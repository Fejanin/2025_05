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4A3874-E187-462B-9D9F-CFB519D9F28E}" xr6:coauthVersionLast="47" xr6:coauthVersionMax="47" xr10:uidLastSave="{00000000-0000-0000-0000-000000000000}"/>
  <bookViews>
    <workbookView xWindow="2205" yWindow="0" windowWidth="24090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N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N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Z279" i="2" s="1"/>
  <c r="Y270" i="2"/>
  <c r="BP270" i="2" s="1"/>
  <c r="P270" i="2"/>
  <c r="BO269" i="2"/>
  <c r="BN269" i="2"/>
  <c r="BM269" i="2"/>
  <c r="Z269" i="2"/>
  <c r="Y269" i="2"/>
  <c r="BP269" i="2" s="1"/>
  <c r="P269" i="2"/>
  <c r="X267" i="2"/>
  <c r="X266" i="2"/>
  <c r="BO265" i="2"/>
  <c r="BN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P263" i="2"/>
  <c r="Y261" i="2"/>
  <c r="X261" i="2"/>
  <c r="X260" i="2"/>
  <c r="BO259" i="2"/>
  <c r="BM259" i="2"/>
  <c r="Z259" i="2"/>
  <c r="Z260" i="2" s="1"/>
  <c r="Y259" i="2"/>
  <c r="Y260" i="2" s="1"/>
  <c r="P259" i="2"/>
  <c r="X257" i="2"/>
  <c r="X256" i="2"/>
  <c r="BP255" i="2"/>
  <c r="BO255" i="2"/>
  <c r="BN255" i="2"/>
  <c r="BM255" i="2"/>
  <c r="Z255" i="2"/>
  <c r="Y255" i="2"/>
  <c r="P255" i="2"/>
  <c r="BO254" i="2"/>
  <c r="BM254" i="2"/>
  <c r="Z254" i="2"/>
  <c r="Y254" i="2"/>
  <c r="BP254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Y246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Y235" i="2"/>
  <c r="X235" i="2"/>
  <c r="BP234" i="2"/>
  <c r="BO234" i="2"/>
  <c r="BN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P228" i="2" s="1"/>
  <c r="P228" i="2"/>
  <c r="X224" i="2"/>
  <c r="X223" i="2"/>
  <c r="BO222" i="2"/>
  <c r="BM222" i="2"/>
  <c r="Z222" i="2"/>
  <c r="Z223" i="2" s="1"/>
  <c r="Y222" i="2"/>
  <c r="Y223" i="2" s="1"/>
  <c r="P222" i="2"/>
  <c r="X219" i="2"/>
  <c r="Y218" i="2"/>
  <c r="X218" i="2"/>
  <c r="BO217" i="2"/>
  <c r="BN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Y213" i="2" s="1"/>
  <c r="P212" i="2"/>
  <c r="BP211" i="2"/>
  <c r="BO211" i="2"/>
  <c r="BN211" i="2"/>
  <c r="BM211" i="2"/>
  <c r="Z211" i="2"/>
  <c r="Z213" i="2" s="1"/>
  <c r="Y211" i="2"/>
  <c r="P211" i="2"/>
  <c r="X208" i="2"/>
  <c r="X207" i="2"/>
  <c r="BO206" i="2"/>
  <c r="BM206" i="2"/>
  <c r="Z206" i="2"/>
  <c r="Y206" i="2"/>
  <c r="Y208" i="2" s="1"/>
  <c r="P206" i="2"/>
  <c r="BO205" i="2"/>
  <c r="BN205" i="2"/>
  <c r="BM205" i="2"/>
  <c r="Z205" i="2"/>
  <c r="Y205" i="2"/>
  <c r="BP205" i="2" s="1"/>
  <c r="P205" i="2"/>
  <c r="BO204" i="2"/>
  <c r="BN204" i="2"/>
  <c r="BM204" i="2"/>
  <c r="Z204" i="2"/>
  <c r="Y204" i="2"/>
  <c r="BP204" i="2" s="1"/>
  <c r="P204" i="2"/>
  <c r="Y202" i="2"/>
  <c r="X202" i="2"/>
  <c r="Y201" i="2"/>
  <c r="X201" i="2"/>
  <c r="BP200" i="2"/>
  <c r="BO200" i="2"/>
  <c r="BN200" i="2"/>
  <c r="BM200" i="2"/>
  <c r="Z200" i="2"/>
  <c r="Z201" i="2" s="1"/>
  <c r="Y200" i="2"/>
  <c r="P200" i="2"/>
  <c r="X196" i="2"/>
  <c r="X195" i="2"/>
  <c r="BO194" i="2"/>
  <c r="BN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N191" i="2"/>
  <c r="BM191" i="2"/>
  <c r="Z191" i="2"/>
  <c r="Y191" i="2"/>
  <c r="P191" i="2"/>
  <c r="X187" i="2"/>
  <c r="X186" i="2"/>
  <c r="BO185" i="2"/>
  <c r="BM185" i="2"/>
  <c r="Z185" i="2"/>
  <c r="Z186" i="2" s="1"/>
  <c r="Y185" i="2"/>
  <c r="BP185" i="2" s="1"/>
  <c r="P185" i="2"/>
  <c r="Y182" i="2"/>
  <c r="X182" i="2"/>
  <c r="X181" i="2"/>
  <c r="BO180" i="2"/>
  <c r="BM180" i="2"/>
  <c r="Z180" i="2"/>
  <c r="Y180" i="2"/>
  <c r="BP180" i="2" s="1"/>
  <c r="P180" i="2"/>
  <c r="BO179" i="2"/>
  <c r="BM179" i="2"/>
  <c r="Z179" i="2"/>
  <c r="Z181" i="2" s="1"/>
  <c r="Y179" i="2"/>
  <c r="Y181" i="2" s="1"/>
  <c r="P179" i="2"/>
  <c r="X175" i="2"/>
  <c r="X174" i="2"/>
  <c r="BO173" i="2"/>
  <c r="BM173" i="2"/>
  <c r="Z173" i="2"/>
  <c r="Z174" i="2" s="1"/>
  <c r="Y173" i="2"/>
  <c r="Y175" i="2" s="1"/>
  <c r="P173" i="2"/>
  <c r="Y170" i="2"/>
  <c r="X170" i="2"/>
  <c r="Z169" i="2"/>
  <c r="Y169" i="2"/>
  <c r="X169" i="2"/>
  <c r="BO168" i="2"/>
  <c r="BN168" i="2"/>
  <c r="BM168" i="2"/>
  <c r="Z168" i="2"/>
  <c r="Y168" i="2"/>
  <c r="BP168" i="2" s="1"/>
  <c r="P168" i="2"/>
  <c r="X165" i="2"/>
  <c r="X164" i="2"/>
  <c r="BO163" i="2"/>
  <c r="BM163" i="2"/>
  <c r="Z163" i="2"/>
  <c r="Z164" i="2" s="1"/>
  <c r="Y163" i="2"/>
  <c r="Y165" i="2" s="1"/>
  <c r="P163" i="2"/>
  <c r="X160" i="2"/>
  <c r="X159" i="2"/>
  <c r="BO158" i="2"/>
  <c r="BM158" i="2"/>
  <c r="Z158" i="2"/>
  <c r="Y158" i="2"/>
  <c r="BN158" i="2" s="1"/>
  <c r="P158" i="2"/>
  <c r="BO157" i="2"/>
  <c r="BM157" i="2"/>
  <c r="Z157" i="2"/>
  <c r="Z159" i="2" s="1"/>
  <c r="Y157" i="2"/>
  <c r="P157" i="2"/>
  <c r="X154" i="2"/>
  <c r="X153" i="2"/>
  <c r="BO152" i="2"/>
  <c r="BM152" i="2"/>
  <c r="Z152" i="2"/>
  <c r="Y152" i="2"/>
  <c r="BN152" i="2" s="1"/>
  <c r="P152" i="2"/>
  <c r="BO151" i="2"/>
  <c r="BN151" i="2"/>
  <c r="BM151" i="2"/>
  <c r="Z151" i="2"/>
  <c r="Y151" i="2"/>
  <c r="P151" i="2"/>
  <c r="X148" i="2"/>
  <c r="X147" i="2"/>
  <c r="BO146" i="2"/>
  <c r="BN146" i="2"/>
  <c r="BM146" i="2"/>
  <c r="Z146" i="2"/>
  <c r="Y146" i="2"/>
  <c r="BP146" i="2" s="1"/>
  <c r="P146" i="2"/>
  <c r="BO145" i="2"/>
  <c r="BN145" i="2"/>
  <c r="BM145" i="2"/>
  <c r="Z145" i="2"/>
  <c r="Y145" i="2"/>
  <c r="P145" i="2"/>
  <c r="X142" i="2"/>
  <c r="X141" i="2"/>
  <c r="BO140" i="2"/>
  <c r="BM140" i="2"/>
  <c r="Z140" i="2"/>
  <c r="Y140" i="2"/>
  <c r="BN140" i="2" s="1"/>
  <c r="P140" i="2"/>
  <c r="BO139" i="2"/>
  <c r="BN139" i="2"/>
  <c r="BM139" i="2"/>
  <c r="Z139" i="2"/>
  <c r="Y139" i="2"/>
  <c r="BP139" i="2" s="1"/>
  <c r="P139" i="2"/>
  <c r="BO138" i="2"/>
  <c r="BM138" i="2"/>
  <c r="Z138" i="2"/>
  <c r="Z141" i="2" s="1"/>
  <c r="Y138" i="2"/>
  <c r="BP138" i="2" s="1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P132" i="2"/>
  <c r="BP131" i="2"/>
  <c r="BO131" i="2"/>
  <c r="BN131" i="2"/>
  <c r="BM131" i="2"/>
  <c r="Z131" i="2"/>
  <c r="Y131" i="2"/>
  <c r="P131" i="2"/>
  <c r="X128" i="2"/>
  <c r="X127" i="2"/>
  <c r="BO126" i="2"/>
  <c r="BN126" i="2"/>
  <c r="BM126" i="2"/>
  <c r="Z126" i="2"/>
  <c r="Z127" i="2" s="1"/>
  <c r="Y126" i="2"/>
  <c r="BP126" i="2" s="1"/>
  <c r="P126" i="2"/>
  <c r="X124" i="2"/>
  <c r="X123" i="2"/>
  <c r="BP122" i="2"/>
  <c r="BO122" i="2"/>
  <c r="BN122" i="2"/>
  <c r="BM122" i="2"/>
  <c r="Z122" i="2"/>
  <c r="Z123" i="2" s="1"/>
  <c r="Y122" i="2"/>
  <c r="Y123" i="2" s="1"/>
  <c r="P122" i="2"/>
  <c r="X120" i="2"/>
  <c r="X119" i="2"/>
  <c r="BO118" i="2"/>
  <c r="BM118" i="2"/>
  <c r="Z118" i="2"/>
  <c r="Y118" i="2"/>
  <c r="BN118" i="2" s="1"/>
  <c r="P118" i="2"/>
  <c r="BO117" i="2"/>
  <c r="BN117" i="2"/>
  <c r="BM117" i="2"/>
  <c r="Z117" i="2"/>
  <c r="Y117" i="2"/>
  <c r="BP117" i="2" s="1"/>
  <c r="P117" i="2"/>
  <c r="BO116" i="2"/>
  <c r="BN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N113" i="2"/>
  <c r="BM113" i="2"/>
  <c r="Z113" i="2"/>
  <c r="Y113" i="2"/>
  <c r="BP113" i="2" s="1"/>
  <c r="P113" i="2"/>
  <c r="BO112" i="2"/>
  <c r="BN112" i="2"/>
  <c r="BM112" i="2"/>
  <c r="Z112" i="2"/>
  <c r="Y112" i="2"/>
  <c r="BP112" i="2" s="1"/>
  <c r="P112" i="2"/>
  <c r="BP111" i="2"/>
  <c r="BO111" i="2"/>
  <c r="BN111" i="2"/>
  <c r="BM111" i="2"/>
  <c r="Z111" i="2"/>
  <c r="Z119" i="2" s="1"/>
  <c r="Y111" i="2"/>
  <c r="P111" i="2"/>
  <c r="BO110" i="2"/>
  <c r="BM110" i="2"/>
  <c r="Z110" i="2"/>
  <c r="Y110" i="2"/>
  <c r="BP110" i="2" s="1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Z106" i="2" s="1"/>
  <c r="Y104" i="2"/>
  <c r="BP104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P97" i="2"/>
  <c r="BO96" i="2"/>
  <c r="BN96" i="2"/>
  <c r="BM96" i="2"/>
  <c r="Z96" i="2"/>
  <c r="Y96" i="2"/>
  <c r="BP96" i="2" s="1"/>
  <c r="P96" i="2"/>
  <c r="BP95" i="2"/>
  <c r="BO95" i="2"/>
  <c r="BN95" i="2"/>
  <c r="BM95" i="2"/>
  <c r="Z95" i="2"/>
  <c r="Y95" i="2"/>
  <c r="P95" i="2"/>
  <c r="BO94" i="2"/>
  <c r="BM94" i="2"/>
  <c r="Z94" i="2"/>
  <c r="Y94" i="2"/>
  <c r="BN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5" i="2" s="1"/>
  <c r="P83" i="2"/>
  <c r="Y80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Y79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Y74" i="2" s="1"/>
  <c r="P71" i="2"/>
  <c r="BP70" i="2"/>
  <c r="BO70" i="2"/>
  <c r="BN70" i="2"/>
  <c r="BM70" i="2"/>
  <c r="Z70" i="2"/>
  <c r="Y70" i="2"/>
  <c r="P70" i="2"/>
  <c r="X68" i="2"/>
  <c r="X67" i="2"/>
  <c r="BO66" i="2"/>
  <c r="BN66" i="2"/>
  <c r="BM66" i="2"/>
  <c r="Z66" i="2"/>
  <c r="Y66" i="2"/>
  <c r="BP66" i="2" s="1"/>
  <c r="P66" i="2"/>
  <c r="BO65" i="2"/>
  <c r="BM65" i="2"/>
  <c r="Z65" i="2"/>
  <c r="Y65" i="2"/>
  <c r="BP65" i="2" s="1"/>
  <c r="P65" i="2"/>
  <c r="X63" i="2"/>
  <c r="Z62" i="2"/>
  <c r="X62" i="2"/>
  <c r="BO61" i="2"/>
  <c r="BN61" i="2"/>
  <c r="BM61" i="2"/>
  <c r="Z61" i="2"/>
  <c r="Y61" i="2"/>
  <c r="Y63" i="2" s="1"/>
  <c r="P61" i="2"/>
  <c r="X58" i="2"/>
  <c r="X57" i="2"/>
  <c r="BO56" i="2"/>
  <c r="BN56" i="2"/>
  <c r="BM56" i="2"/>
  <c r="Z56" i="2"/>
  <c r="Y56" i="2"/>
  <c r="BP56" i="2" s="1"/>
  <c r="P56" i="2"/>
  <c r="BO55" i="2"/>
  <c r="BN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Z57" i="2" s="1"/>
  <c r="Y53" i="2"/>
  <c r="Y58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Z49" i="2" s="1"/>
  <c r="Y47" i="2"/>
  <c r="Y50" i="2" s="1"/>
  <c r="P47" i="2"/>
  <c r="X44" i="2"/>
  <c r="X43" i="2"/>
  <c r="BO42" i="2"/>
  <c r="BM42" i="2"/>
  <c r="Z42" i="2"/>
  <c r="Y42" i="2"/>
  <c r="BP42" i="2" s="1"/>
  <c r="P42" i="2"/>
  <c r="BO41" i="2"/>
  <c r="BN41" i="2"/>
  <c r="BM41" i="2"/>
  <c r="Z41" i="2"/>
  <c r="Z43" i="2" s="1"/>
  <c r="Y41" i="2"/>
  <c r="P41" i="2"/>
  <c r="X37" i="2"/>
  <c r="X36" i="2"/>
  <c r="BO35" i="2"/>
  <c r="BN35" i="2"/>
  <c r="BM35" i="2"/>
  <c r="Z35" i="2"/>
  <c r="Y35" i="2"/>
  <c r="BP35" i="2" s="1"/>
  <c r="P35" i="2"/>
  <c r="BO34" i="2"/>
  <c r="BM34" i="2"/>
  <c r="Z34" i="2"/>
  <c r="Z36" i="2" s="1"/>
  <c r="Y34" i="2"/>
  <c r="Y37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P25" i="2"/>
  <c r="BO25" i="2"/>
  <c r="BN25" i="2"/>
  <c r="BM25" i="2"/>
  <c r="Z25" i="2"/>
  <c r="Y25" i="2"/>
  <c r="P25" i="2"/>
  <c r="BO24" i="2"/>
  <c r="BM24" i="2"/>
  <c r="Z24" i="2"/>
  <c r="Y24" i="2"/>
  <c r="BN24" i="2" s="1"/>
  <c r="P24" i="2"/>
  <c r="BO23" i="2"/>
  <c r="BN23" i="2"/>
  <c r="BM23" i="2"/>
  <c r="Z23" i="2"/>
  <c r="Y23" i="2"/>
  <c r="BP23" i="2" s="1"/>
  <c r="P23" i="2"/>
  <c r="BO22" i="2"/>
  <c r="BM22" i="2"/>
  <c r="Z22" i="2"/>
  <c r="Y22" i="2"/>
  <c r="Y30" i="2" s="1"/>
  <c r="P22" i="2"/>
  <c r="H10" i="2"/>
  <c r="A9" i="2"/>
  <c r="F10" i="2" s="1"/>
  <c r="D7" i="2"/>
  <c r="Q6" i="2"/>
  <c r="P2" i="2"/>
  <c r="Z30" i="2" l="1"/>
  <c r="BP24" i="2"/>
  <c r="BP28" i="2"/>
  <c r="X285" i="2"/>
  <c r="Y68" i="2"/>
  <c r="Z100" i="2"/>
  <c r="BP94" i="2"/>
  <c r="Y101" i="2"/>
  <c r="BP105" i="2"/>
  <c r="BP118" i="2"/>
  <c r="Y128" i="2"/>
  <c r="BP140" i="2"/>
  <c r="Y195" i="2"/>
  <c r="Y196" i="2"/>
  <c r="Z207" i="2"/>
  <c r="BP248" i="2"/>
  <c r="X282" i="2"/>
  <c r="X281" i="2"/>
  <c r="Z67" i="2"/>
  <c r="BP88" i="2"/>
  <c r="Y136" i="2"/>
  <c r="Y148" i="2"/>
  <c r="Y154" i="2"/>
  <c r="BP191" i="2"/>
  <c r="BP212" i="2"/>
  <c r="Y224" i="2"/>
  <c r="Y267" i="2"/>
  <c r="Z266" i="2"/>
  <c r="BP277" i="2"/>
  <c r="BP22" i="2"/>
  <c r="Y107" i="2"/>
  <c r="BP134" i="2"/>
  <c r="Y142" i="2"/>
  <c r="BP276" i="2"/>
  <c r="Y31" i="2"/>
  <c r="X283" i="2"/>
  <c r="BN34" i="2"/>
  <c r="Y44" i="2"/>
  <c r="BP61" i="2"/>
  <c r="Y67" i="2"/>
  <c r="Z73" i="2"/>
  <c r="Z286" i="2" s="1"/>
  <c r="Z79" i="2"/>
  <c r="Z90" i="2"/>
  <c r="BN89" i="2"/>
  <c r="BP99" i="2"/>
  <c r="Y119" i="2"/>
  <c r="Y124" i="2"/>
  <c r="Y127" i="2"/>
  <c r="Z135" i="2"/>
  <c r="Z147" i="2"/>
  <c r="BP145" i="2"/>
  <c r="Z153" i="2"/>
  <c r="Y160" i="2"/>
  <c r="Z195" i="2"/>
  <c r="Y214" i="2"/>
  <c r="BP217" i="2"/>
  <c r="Y240" i="2"/>
  <c r="BN248" i="2"/>
  <c r="Y249" i="2"/>
  <c r="Z256" i="2"/>
  <c r="Y257" i="2"/>
  <c r="BP264" i="2"/>
  <c r="X284" i="2"/>
  <c r="F9" i="2"/>
  <c r="BN71" i="2"/>
  <c r="BN97" i="2"/>
  <c r="BN157" i="2"/>
  <c r="BN270" i="2"/>
  <c r="J9" i="2"/>
  <c r="BN26" i="2"/>
  <c r="BP41" i="2"/>
  <c r="BN53" i="2"/>
  <c r="BN77" i="2"/>
  <c r="Y106" i="2"/>
  <c r="BN114" i="2"/>
  <c r="BP151" i="2"/>
  <c r="BN163" i="2"/>
  <c r="BN179" i="2"/>
  <c r="BN206" i="2"/>
  <c r="Y256" i="2"/>
  <c r="H9" i="2"/>
  <c r="BP34" i="2"/>
  <c r="BN47" i="2"/>
  <c r="Y100" i="2"/>
  <c r="Y120" i="2"/>
  <c r="BN132" i="2"/>
  <c r="Y135" i="2"/>
  <c r="A10" i="2"/>
  <c r="BP47" i="2"/>
  <c r="Y62" i="2"/>
  <c r="BP71" i="2"/>
  <c r="BN83" i="2"/>
  <c r="BP97" i="2"/>
  <c r="BP132" i="2"/>
  <c r="BP157" i="2"/>
  <c r="BN185" i="2"/>
  <c r="BN212" i="2"/>
  <c r="BN228" i="2"/>
  <c r="BN244" i="2"/>
  <c r="BN278" i="2"/>
  <c r="BP163" i="2"/>
  <c r="BP179" i="2"/>
  <c r="BN192" i="2"/>
  <c r="BP206" i="2"/>
  <c r="BN263" i="2"/>
  <c r="Y266" i="2"/>
  <c r="BN273" i="2"/>
  <c r="BP53" i="2"/>
  <c r="BP83" i="2"/>
  <c r="BP244" i="2"/>
  <c r="Y164" i="2"/>
  <c r="Y207" i="2"/>
  <c r="BP263" i="2"/>
  <c r="Y84" i="2"/>
  <c r="Y229" i="2"/>
  <c r="Y245" i="2"/>
  <c r="Y279" i="2"/>
  <c r="BN271" i="2"/>
  <c r="BP26" i="2"/>
  <c r="BN42" i="2"/>
  <c r="Y186" i="2"/>
  <c r="Y141" i="2"/>
  <c r="BN180" i="2"/>
  <c r="BN222" i="2"/>
  <c r="BP77" i="2"/>
  <c r="BN72" i="2"/>
  <c r="BN98" i="2"/>
  <c r="BN133" i="2"/>
  <c r="BN173" i="2"/>
  <c r="BN27" i="2"/>
  <c r="Y57" i="2"/>
  <c r="BN104" i="2"/>
  <c r="BN115" i="2"/>
  <c r="BN138" i="2"/>
  <c r="BP152" i="2"/>
  <c r="BN238" i="2"/>
  <c r="BN254" i="2"/>
  <c r="BN22" i="2"/>
  <c r="Y36" i="2"/>
  <c r="BP48" i="2"/>
  <c r="BN110" i="2"/>
  <c r="Y147" i="2"/>
  <c r="BP158" i="2"/>
  <c r="BP173" i="2"/>
  <c r="Y187" i="2"/>
  <c r="Y230" i="2"/>
  <c r="BN259" i="2"/>
  <c r="Y280" i="2"/>
  <c r="Y90" i="2"/>
  <c r="BN54" i="2"/>
  <c r="BN78" i="2"/>
  <c r="Y43" i="2"/>
  <c r="BN65" i="2"/>
  <c r="Y91" i="2"/>
  <c r="Y153" i="2"/>
  <c r="BN193" i="2"/>
  <c r="BP222" i="2"/>
  <c r="BP238" i="2"/>
  <c r="BN274" i="2"/>
  <c r="Y49" i="2"/>
  <c r="Y159" i="2"/>
  <c r="Y174" i="2"/>
  <c r="BP259" i="2"/>
  <c r="Y73" i="2"/>
  <c r="Y283" i="2" l="1"/>
  <c r="Y285" i="2"/>
  <c r="Y281" i="2"/>
  <c r="Y282" i="2"/>
  <c r="Y284" i="2" s="1"/>
  <c r="C294" i="2"/>
  <c r="B294" i="2"/>
  <c r="A294" i="2"/>
</calcChain>
</file>

<file path=xl/sharedStrings.xml><?xml version="1.0" encoding="utf-8"?>
<sst xmlns="http://schemas.openxmlformats.org/spreadsheetml/2006/main" count="1748" uniqueCount="406">
  <si>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</si>
  <si>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</si>
  <si>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</si>
  <si>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</si>
  <si>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</si>
  <si>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</si>
  <si>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</si>
  <si>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</si>
  <si>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</si>
  <si>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</si>
  <si>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</si>
  <si>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</si>
  <si>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</si>
  <si>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</si>
  <si>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</si>
  <si>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</si>
  <si>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</si>
  <si>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</si>
  <si>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</si>
  <si>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</si>
  <si>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</si>
  <si>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</si>
  <si>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</si>
  <si>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</si>
  <si>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</si>
  <si>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</si>
  <si>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</si>
  <si>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</si>
  <si>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</si>
  <si>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</si>
  <si>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</si>
  <si>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</si>
  <si>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</si>
  <si>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</si>
  <si>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</si>
  <si>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</si>
  <si>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</si>
  <si>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</si>
  <si>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</si>
  <si>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</si>
  <si>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</si>
  <si>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</si>
  <si>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</si>
  <si>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</si>
  <si>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</si>
  <si>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</si>
  <si>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</si>
  <si>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</si>
  <si>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</si>
  <si>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</si>
  <si>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</si>
  <si>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</si>
  <si>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</si>
  <si>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</si>
  <si>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</si>
  <si>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</si>
  <si>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</si>
  <si>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</si>
  <si>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</si>
  <si>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</si>
  <si>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</si>
  <si>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</si>
  <si>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</si>
  <si>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</si>
  <si>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</si>
  <si>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</si>
  <si>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</si>
  <si>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</si>
  <si>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</si>
  <si>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</si>
  <si>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</si>
  <si>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29.08.2026</t>
  </si>
  <si>
    <t>27.08.2026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</si>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</sst>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4"/>
  <sheetViews>
    <sheetView showGridLines="0" tabSelected="1" topLeftCell="B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5" t="s">
        <v>26</v>
      </c>
      <c r="E1" s="465"/>
      <c r="F1" s="465"/>
      <c r="G1" s="14" t="s">
        <v>70</v>
      </c>
      <c r="H1" s="465" t="s">
        <v>47</v>
      </c>
      <c r="I1" s="465"/>
      <c r="J1" s="465"/>
      <c r="K1" s="465"/>
      <c r="L1" s="465"/>
      <c r="M1" s="465"/>
      <c r="N1" s="465"/>
      <c r="O1" s="465"/>
      <c r="P1" s="465"/>
      <c r="Q1" s="465"/>
      <c r="R1" s="466" t="s">
        <v>71</v>
      </c>
      <c r="S1" s="467"/>
      <c r="T1" s="4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8"/>
      <c r="R2" s="468"/>
      <c r="S2" s="468"/>
      <c r="T2" s="468"/>
      <c r="U2" s="468"/>
      <c r="V2" s="468"/>
      <c r="W2" s="4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8"/>
      <c r="Q3" s="468"/>
      <c r="R3" s="468"/>
      <c r="S3" s="468"/>
      <c r="T3" s="468"/>
      <c r="U3" s="468"/>
      <c r="V3" s="468"/>
      <c r="W3" s="4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7" t="s">
        <v>8</v>
      </c>
      <c r="B5" s="447"/>
      <c r="C5" s="447"/>
      <c r="D5" s="469"/>
      <c r="E5" s="469"/>
      <c r="F5" s="470" t="s">
        <v>14</v>
      </c>
      <c r="G5" s="470"/>
      <c r="H5" s="469"/>
      <c r="I5" s="469"/>
      <c r="J5" s="469"/>
      <c r="K5" s="469"/>
      <c r="L5" s="469"/>
      <c r="M5" s="469"/>
      <c r="N5" s="75"/>
      <c r="P5" s="27" t="s">
        <v>4</v>
      </c>
      <c r="Q5" s="471">
        <v>46264</v>
      </c>
      <c r="R5" s="471"/>
      <c r="T5" s="472" t="s">
        <v>3</v>
      </c>
      <c r="U5" s="473"/>
      <c r="V5" s="474" t="s">
        <v>392</v>
      </c>
      <c r="W5" s="475"/>
      <c r="AB5" s="59"/>
      <c r="AC5" s="59"/>
      <c r="AD5" s="59"/>
      <c r="AE5" s="59"/>
    </row>
    <row r="6" spans="1:32" s="17" customFormat="1" ht="24" customHeight="1" x14ac:dyDescent="0.2">
      <c r="A6" s="447" t="s">
        <v>1</v>
      </c>
      <c r="B6" s="447"/>
      <c r="C6" s="447"/>
      <c r="D6" s="448" t="s">
        <v>79</v>
      </c>
      <c r="E6" s="448"/>
      <c r="F6" s="448"/>
      <c r="G6" s="448"/>
      <c r="H6" s="448"/>
      <c r="I6" s="448"/>
      <c r="J6" s="448"/>
      <c r="K6" s="448"/>
      <c r="L6" s="448"/>
      <c r="M6" s="448"/>
      <c r="N6" s="76"/>
      <c r="P6" s="27" t="s">
        <v>27</v>
      </c>
      <c r="Q6" s="449" t="str">
        <f>IF(Q5=0," ",CHOOSE(WEEKDAY(Q5,2),"Понедельник","Вторник","Среда","Четверг","Пятница","Суббота","Воскресенье"))</f>
        <v>Воскресенье</v>
      </c>
      <c r="R6" s="449"/>
      <c r="T6" s="450" t="s">
        <v>5</v>
      </c>
      <c r="U6" s="451"/>
      <c r="V6" s="452" t="s">
        <v>73</v>
      </c>
      <c r="W6" s="4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8" t="str">
        <f>IFERROR(VLOOKUP(DeliveryAddress,Table,3,0),1)</f>
        <v>1</v>
      </c>
      <c r="E7" s="459"/>
      <c r="F7" s="459"/>
      <c r="G7" s="459"/>
      <c r="H7" s="459"/>
      <c r="I7" s="459"/>
      <c r="J7" s="459"/>
      <c r="K7" s="459"/>
      <c r="L7" s="459"/>
      <c r="M7" s="460"/>
      <c r="N7" s="77"/>
      <c r="P7" s="29"/>
      <c r="Q7" s="48"/>
      <c r="R7" s="48"/>
      <c r="T7" s="450"/>
      <c r="U7" s="451"/>
      <c r="V7" s="454"/>
      <c r="W7" s="455"/>
      <c r="AB7" s="59"/>
      <c r="AC7" s="59"/>
      <c r="AD7" s="59"/>
      <c r="AE7" s="59"/>
    </row>
    <row r="8" spans="1:32" s="17" customFormat="1" ht="25.5" customHeight="1" x14ac:dyDescent="0.2">
      <c r="A8" s="461" t="s">
        <v>58</v>
      </c>
      <c r="B8" s="461"/>
      <c r="C8" s="461"/>
      <c r="D8" s="462" t="s">
        <v>80</v>
      </c>
      <c r="E8" s="462"/>
      <c r="F8" s="462"/>
      <c r="G8" s="462"/>
      <c r="H8" s="462"/>
      <c r="I8" s="462"/>
      <c r="J8" s="462"/>
      <c r="K8" s="462"/>
      <c r="L8" s="462"/>
      <c r="M8" s="462"/>
      <c r="N8" s="78"/>
      <c r="P8" s="27" t="s">
        <v>11</v>
      </c>
      <c r="Q8" s="445">
        <v>0.375</v>
      </c>
      <c r="R8" s="445"/>
      <c r="T8" s="450"/>
      <c r="U8" s="451"/>
      <c r="V8" s="454"/>
      <c r="W8" s="455"/>
      <c r="AB8" s="59"/>
      <c r="AC8" s="59"/>
      <c r="AD8" s="59"/>
      <c r="AE8" s="59"/>
    </row>
    <row r="9" spans="1:32" s="17" customFormat="1" ht="39.950000000000003" customHeight="1" x14ac:dyDescent="0.2">
      <c r="A9" s="4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7"/>
      <c r="C9" s="437"/>
      <c r="D9" s="438" t="s">
        <v>46</v>
      </c>
      <c r="E9" s="439"/>
      <c r="F9" s="4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7"/>
      <c r="H9" s="463" t="str">
        <f>IF(AND($A$9="Тип доверенности/получателя при получении в адресе перегруза:",$D$9="Разовая доверенность"),"Введите ФИО","")</f>
        <v/>
      </c>
      <c r="I9" s="463"/>
      <c r="J9" s="4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3"/>
      <c r="L9" s="463"/>
      <c r="M9" s="463"/>
      <c r="N9" s="73"/>
      <c r="P9" s="31" t="s">
        <v>15</v>
      </c>
      <c r="Q9" s="464"/>
      <c r="R9" s="464"/>
      <c r="T9" s="450"/>
      <c r="U9" s="451"/>
      <c r="V9" s="456"/>
      <c r="W9" s="4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7"/>
      <c r="C10" s="437"/>
      <c r="D10" s="438"/>
      <c r="E10" s="439"/>
      <c r="F10" s="4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7"/>
      <c r="H10" s="440" t="str">
        <f>IFERROR(VLOOKUP($D$10,Proxy,2,FALSE),"")</f>
        <v/>
      </c>
      <c r="I10" s="440"/>
      <c r="J10" s="440"/>
      <c r="K10" s="440"/>
      <c r="L10" s="440"/>
      <c r="M10" s="440"/>
      <c r="N10" s="74"/>
      <c r="P10" s="31" t="s">
        <v>32</v>
      </c>
      <c r="Q10" s="441"/>
      <c r="R10" s="441"/>
      <c r="U10" s="29" t="s">
        <v>12</v>
      </c>
      <c r="V10" s="442" t="s">
        <v>74</v>
      </c>
      <c r="W10" s="44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4"/>
      <c r="R11" s="444"/>
      <c r="U11" s="29" t="s">
        <v>28</v>
      </c>
      <c r="V11" s="423" t="s">
        <v>55</v>
      </c>
      <c r="W11" s="4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2" t="s">
        <v>75</v>
      </c>
      <c r="B12" s="422"/>
      <c r="C12" s="422"/>
      <c r="D12" s="422"/>
      <c r="E12" s="422"/>
      <c r="F12" s="422"/>
      <c r="G12" s="422"/>
      <c r="H12" s="422"/>
      <c r="I12" s="422"/>
      <c r="J12" s="422"/>
      <c r="K12" s="422"/>
      <c r="L12" s="422"/>
      <c r="M12" s="422"/>
      <c r="N12" s="79"/>
      <c r="P12" s="27" t="s">
        <v>30</v>
      </c>
      <c r="Q12" s="445"/>
      <c r="R12" s="445"/>
      <c r="S12" s="28"/>
      <c r="T12"/>
      <c r="U12" s="29" t="s">
        <v>46</v>
      </c>
      <c r="V12" s="446"/>
      <c r="W12" s="446"/>
      <c r="X12"/>
      <c r="AB12" s="59"/>
      <c r="AC12" s="59"/>
      <c r="AD12" s="59"/>
      <c r="AE12" s="59"/>
    </row>
    <row r="13" spans="1:32" s="17" customFormat="1" ht="23.25" customHeight="1" x14ac:dyDescent="0.2">
      <c r="A13" s="422" t="s">
        <v>76</v>
      </c>
      <c r="B13" s="422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79"/>
      <c r="O13" s="31"/>
      <c r="P13" s="31" t="s">
        <v>31</v>
      </c>
      <c r="Q13" s="423"/>
      <c r="R13" s="4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2" t="s">
        <v>77</v>
      </c>
      <c r="B14" s="422"/>
      <c r="C14" s="422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4" t="s">
        <v>78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80"/>
      <c r="O15"/>
      <c r="P15" s="425" t="s">
        <v>61</v>
      </c>
      <c r="Q15" s="425"/>
      <c r="R15" s="425"/>
      <c r="S15" s="425"/>
      <c r="T15" s="4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6"/>
      <c r="Q16" s="426"/>
      <c r="R16" s="426"/>
      <c r="S16" s="426"/>
      <c r="T16" s="4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8" t="s">
        <v>59</v>
      </c>
      <c r="B17" s="408" t="s">
        <v>49</v>
      </c>
      <c r="C17" s="429" t="s">
        <v>48</v>
      </c>
      <c r="D17" s="431" t="s">
        <v>50</v>
      </c>
      <c r="E17" s="432"/>
      <c r="F17" s="408" t="s">
        <v>21</v>
      </c>
      <c r="G17" s="408" t="s">
        <v>24</v>
      </c>
      <c r="H17" s="408" t="s">
        <v>22</v>
      </c>
      <c r="I17" s="408" t="s">
        <v>23</v>
      </c>
      <c r="J17" s="408" t="s">
        <v>16</v>
      </c>
      <c r="K17" s="408" t="s">
        <v>69</v>
      </c>
      <c r="L17" s="408" t="s">
        <v>67</v>
      </c>
      <c r="M17" s="408" t="s">
        <v>2</v>
      </c>
      <c r="N17" s="408" t="s">
        <v>66</v>
      </c>
      <c r="O17" s="408" t="s">
        <v>25</v>
      </c>
      <c r="P17" s="431" t="s">
        <v>17</v>
      </c>
      <c r="Q17" s="435"/>
      <c r="R17" s="435"/>
      <c r="S17" s="435"/>
      <c r="T17" s="432"/>
      <c r="U17" s="427" t="s">
        <v>56</v>
      </c>
      <c r="V17" s="428"/>
      <c r="W17" s="408" t="s">
        <v>6</v>
      </c>
      <c r="X17" s="408" t="s">
        <v>41</v>
      </c>
      <c r="Y17" s="410" t="s">
        <v>54</v>
      </c>
      <c r="Z17" s="412" t="s">
        <v>18</v>
      </c>
      <c r="AA17" s="414" t="s">
        <v>60</v>
      </c>
      <c r="AB17" s="414" t="s">
        <v>19</v>
      </c>
      <c r="AC17" s="414" t="s">
        <v>68</v>
      </c>
      <c r="AD17" s="416" t="s">
        <v>57</v>
      </c>
      <c r="AE17" s="417"/>
      <c r="AF17" s="418"/>
      <c r="AG17" s="85"/>
      <c r="BD17" s="84" t="s">
        <v>64</v>
      </c>
    </row>
    <row r="18" spans="1:68" ht="14.25" customHeight="1" x14ac:dyDescent="0.2">
      <c r="A18" s="409"/>
      <c r="B18" s="409"/>
      <c r="C18" s="430"/>
      <c r="D18" s="433"/>
      <c r="E18" s="434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33"/>
      <c r="Q18" s="436"/>
      <c r="R18" s="436"/>
      <c r="S18" s="436"/>
      <c r="T18" s="434"/>
      <c r="U18" s="86" t="s">
        <v>44</v>
      </c>
      <c r="V18" s="86" t="s">
        <v>43</v>
      </c>
      <c r="W18" s="409"/>
      <c r="X18" s="409"/>
      <c r="Y18" s="411"/>
      <c r="Z18" s="413"/>
      <c r="AA18" s="415"/>
      <c r="AB18" s="415"/>
      <c r="AC18" s="415"/>
      <c r="AD18" s="419"/>
      <c r="AE18" s="420"/>
      <c r="AF18" s="421"/>
      <c r="AG18" s="85"/>
      <c r="BD18" s="84"/>
    </row>
    <row r="19" spans="1:68" ht="27.75" customHeight="1" x14ac:dyDescent="0.2">
      <c r="A19" s="320" t="s">
        <v>81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customHeight="1" x14ac:dyDescent="0.25">
      <c r="A20" s="321" t="s">
        <v>81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customHeight="1" x14ac:dyDescent="0.25">
      <c r="A21" s="316" t="s">
        <v>82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98">
        <v>4620207491508</v>
      </c>
      <c r="E22" s="29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0"/>
      <c r="R22" s="300"/>
      <c r="S22" s="300"/>
      <c r="T22" s="30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8">
        <v>4620207491256</v>
      </c>
      <c r="E23" s="29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0"/>
      <c r="R23" s="300"/>
      <c r="S23" s="300"/>
      <c r="T23" s="30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298">
        <v>4620207491713</v>
      </c>
      <c r="E24" s="29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0"/>
      <c r="R24" s="300"/>
      <c r="S24" s="300"/>
      <c r="T24" s="30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298">
        <v>4620207491720</v>
      </c>
      <c r="E25" s="29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0"/>
      <c r="R25" s="300"/>
      <c r="S25" s="300"/>
      <c r="T25" s="30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298">
        <v>4607111035912</v>
      </c>
      <c r="E26" s="29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0"/>
      <c r="R26" s="300"/>
      <c r="S26" s="300"/>
      <c r="T26" s="30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8">
        <v>4607111035929</v>
      </c>
      <c r="E27" s="29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0"/>
      <c r="R27" s="300"/>
      <c r="S27" s="300"/>
      <c r="T27" s="30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298">
        <v>4607111035882</v>
      </c>
      <c r="E28" s="29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0"/>
      <c r="R28" s="300"/>
      <c r="S28" s="300"/>
      <c r="T28" s="30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298">
        <v>4607111035905</v>
      </c>
      <c r="E29" s="29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0"/>
      <c r="R29" s="300"/>
      <c r="S29" s="300"/>
      <c r="T29" s="30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295"/>
      <c r="N30" s="295"/>
      <c r="O30" s="308"/>
      <c r="P30" s="305" t="s">
        <v>40</v>
      </c>
      <c r="Q30" s="306"/>
      <c r="R30" s="306"/>
      <c r="S30" s="306"/>
      <c r="T30" s="306"/>
      <c r="U30" s="306"/>
      <c r="V30" s="30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308"/>
      <c r="P31" s="305" t="s">
        <v>40</v>
      </c>
      <c r="Q31" s="306"/>
      <c r="R31" s="306"/>
      <c r="S31" s="306"/>
      <c r="T31" s="306"/>
      <c r="U31" s="306"/>
      <c r="V31" s="30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1" t="s">
        <v>106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customHeight="1" x14ac:dyDescent="0.25">
      <c r="A33" s="316" t="s">
        <v>82</v>
      </c>
      <c r="B33" s="316"/>
      <c r="C33" s="316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298">
        <v>4607111039019</v>
      </c>
      <c r="E34" s="29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0"/>
      <c r="R34" s="300"/>
      <c r="S34" s="300"/>
      <c r="T34" s="30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8">
        <v>4607111038708</v>
      </c>
      <c r="E35" s="29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0"/>
      <c r="R35" s="300"/>
      <c r="S35" s="300"/>
      <c r="T35" s="30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308"/>
      <c r="P36" s="305" t="s">
        <v>40</v>
      </c>
      <c r="Q36" s="306"/>
      <c r="R36" s="306"/>
      <c r="S36" s="306"/>
      <c r="T36" s="306"/>
      <c r="U36" s="306"/>
      <c r="V36" s="30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308"/>
      <c r="P37" s="305" t="s">
        <v>40</v>
      </c>
      <c r="Q37" s="306"/>
      <c r="R37" s="306"/>
      <c r="S37" s="306"/>
      <c r="T37" s="306"/>
      <c r="U37" s="306"/>
      <c r="V37" s="30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customHeight="1" x14ac:dyDescent="0.25">
      <c r="A39" s="321" t="s">
        <v>112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customHeight="1" x14ac:dyDescent="0.25">
      <c r="A40" s="316" t="s">
        <v>113</v>
      </c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8">
        <v>4607111036537</v>
      </c>
      <c r="E41" s="29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0"/>
      <c r="R41" s="300"/>
      <c r="S41" s="300"/>
      <c r="T41" s="30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8">
        <v>4607111036605</v>
      </c>
      <c r="E42" s="29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0"/>
      <c r="R42" s="300"/>
      <c r="S42" s="300"/>
      <c r="T42" s="30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308"/>
      <c r="P43" s="305" t="s">
        <v>40</v>
      </c>
      <c r="Q43" s="306"/>
      <c r="R43" s="306"/>
      <c r="S43" s="306"/>
      <c r="T43" s="306"/>
      <c r="U43" s="306"/>
      <c r="V43" s="307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308"/>
      <c r="P44" s="305" t="s">
        <v>40</v>
      </c>
      <c r="Q44" s="306"/>
      <c r="R44" s="306"/>
      <c r="S44" s="306"/>
      <c r="T44" s="306"/>
      <c r="U44" s="306"/>
      <c r="V44" s="307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1" t="s">
        <v>123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customHeight="1" x14ac:dyDescent="0.25">
      <c r="A46" s="316" t="s">
        <v>82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298">
        <v>4620207490075</v>
      </c>
      <c r="E47" s="29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0"/>
      <c r="R47" s="300"/>
      <c r="S47" s="300"/>
      <c r="T47" s="30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8">
        <v>4620207490174</v>
      </c>
      <c r="E48" s="29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0"/>
      <c r="R48" s="300"/>
      <c r="S48" s="300"/>
      <c r="T48" s="301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308"/>
      <c r="P49" s="305" t="s">
        <v>40</v>
      </c>
      <c r="Q49" s="306"/>
      <c r="R49" s="306"/>
      <c r="S49" s="306"/>
      <c r="T49" s="306"/>
      <c r="U49" s="306"/>
      <c r="V49" s="307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308"/>
      <c r="P50" s="305" t="s">
        <v>40</v>
      </c>
      <c r="Q50" s="306"/>
      <c r="R50" s="306"/>
      <c r="S50" s="306"/>
      <c r="T50" s="306"/>
      <c r="U50" s="306"/>
      <c r="V50" s="307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21" t="s">
        <v>130</v>
      </c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65"/>
      <c r="AB51" s="65"/>
      <c r="AC51" s="82"/>
    </row>
    <row r="52" spans="1:68" ht="14.25" customHeight="1" x14ac:dyDescent="0.25">
      <c r="A52" s="316" t="s">
        <v>82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8">
        <v>4607111039385</v>
      </c>
      <c r="E53" s="29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0"/>
      <c r="R53" s="300"/>
      <c r="S53" s="300"/>
      <c r="T53" s="30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8">
        <v>4607111038982</v>
      </c>
      <c r="E54" s="29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0"/>
      <c r="R54" s="300"/>
      <c r="S54" s="300"/>
      <c r="T54" s="30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298">
        <v>4607111039354</v>
      </c>
      <c r="E55" s="29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0"/>
      <c r="R55" s="300"/>
      <c r="S55" s="300"/>
      <c r="T55" s="30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8">
        <v>4607111039330</v>
      </c>
      <c r="E56" s="29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0"/>
      <c r="R56" s="300"/>
      <c r="S56" s="300"/>
      <c r="T56" s="301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308"/>
      <c r="P57" s="305" t="s">
        <v>40</v>
      </c>
      <c r="Q57" s="306"/>
      <c r="R57" s="306"/>
      <c r="S57" s="306"/>
      <c r="T57" s="306"/>
      <c r="U57" s="306"/>
      <c r="V57" s="307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308"/>
      <c r="P58" s="305" t="s">
        <v>40</v>
      </c>
      <c r="Q58" s="306"/>
      <c r="R58" s="306"/>
      <c r="S58" s="306"/>
      <c r="T58" s="306"/>
      <c r="U58" s="306"/>
      <c r="V58" s="307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21" t="s">
        <v>141</v>
      </c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65"/>
      <c r="AB59" s="65"/>
      <c r="AC59" s="82"/>
    </row>
    <row r="60" spans="1:68" ht="14.25" customHeight="1" x14ac:dyDescent="0.25">
      <c r="A60" s="316" t="s">
        <v>113</v>
      </c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298">
        <v>4607111039712</v>
      </c>
      <c r="E61" s="29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0"/>
      <c r="R61" s="300"/>
      <c r="S61" s="300"/>
      <c r="T61" s="30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308"/>
      <c r="P62" s="305" t="s">
        <v>40</v>
      </c>
      <c r="Q62" s="306"/>
      <c r="R62" s="306"/>
      <c r="S62" s="306"/>
      <c r="T62" s="306"/>
      <c r="U62" s="306"/>
      <c r="V62" s="307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308"/>
      <c r="P63" s="305" t="s">
        <v>40</v>
      </c>
      <c r="Q63" s="306"/>
      <c r="R63" s="306"/>
      <c r="S63" s="306"/>
      <c r="T63" s="306"/>
      <c r="U63" s="306"/>
      <c r="V63" s="307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6" t="s">
        <v>145</v>
      </c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4301136018</v>
      </c>
      <c r="D65" s="298">
        <v>4607111037008</v>
      </c>
      <c r="E65" s="29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00"/>
      <c r="R65" s="300"/>
      <c r="S65" s="300"/>
      <c r="T65" s="30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149</v>
      </c>
      <c r="B66" s="63" t="s">
        <v>150</v>
      </c>
      <c r="C66" s="36">
        <v>4301136015</v>
      </c>
      <c r="D66" s="298">
        <v>4607111037398</v>
      </c>
      <c r="E66" s="29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00"/>
      <c r="R66" s="300"/>
      <c r="S66" s="300"/>
      <c r="T66" s="30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308"/>
      <c r="P67" s="305" t="s">
        <v>40</v>
      </c>
      <c r="Q67" s="306"/>
      <c r="R67" s="306"/>
      <c r="S67" s="306"/>
      <c r="T67" s="306"/>
      <c r="U67" s="306"/>
      <c r="V67" s="307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308"/>
      <c r="P68" s="305" t="s">
        <v>40</v>
      </c>
      <c r="Q68" s="306"/>
      <c r="R68" s="306"/>
      <c r="S68" s="306"/>
      <c r="T68" s="306"/>
      <c r="U68" s="306"/>
      <c r="V68" s="307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16" t="s">
        <v>151</v>
      </c>
      <c r="B69" s="316"/>
      <c r="C69" s="316"/>
      <c r="D69" s="316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66"/>
      <c r="AB69" s="66"/>
      <c r="AC69" s="83"/>
    </row>
    <row r="70" spans="1:68" ht="27" customHeight="1" x14ac:dyDescent="0.25">
      <c r="A70" s="63" t="s">
        <v>152</v>
      </c>
      <c r="B70" s="63" t="s">
        <v>153</v>
      </c>
      <c r="C70" s="36">
        <v>4301135664</v>
      </c>
      <c r="D70" s="298">
        <v>4607111039705</v>
      </c>
      <c r="E70" s="29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00"/>
      <c r="R70" s="300"/>
      <c r="S70" s="300"/>
      <c r="T70" s="30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8">
        <v>4607111039729</v>
      </c>
      <c r="E71" s="29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00"/>
      <c r="R71" s="300"/>
      <c r="S71" s="300"/>
      <c r="T71" s="301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8">
        <v>4620207490228</v>
      </c>
      <c r="E72" s="29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00"/>
      <c r="R72" s="300"/>
      <c r="S72" s="300"/>
      <c r="T72" s="301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308"/>
      <c r="P73" s="305" t="s">
        <v>40</v>
      </c>
      <c r="Q73" s="306"/>
      <c r="R73" s="306"/>
      <c r="S73" s="306"/>
      <c r="T73" s="306"/>
      <c r="U73" s="306"/>
      <c r="V73" s="307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308"/>
      <c r="P74" s="305" t="s">
        <v>40</v>
      </c>
      <c r="Q74" s="306"/>
      <c r="R74" s="306"/>
      <c r="S74" s="306"/>
      <c r="T74" s="306"/>
      <c r="U74" s="306"/>
      <c r="V74" s="307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21" t="s">
        <v>159</v>
      </c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65"/>
      <c r="AB75" s="65"/>
      <c r="AC75" s="82"/>
    </row>
    <row r="76" spans="1:68" ht="14.25" customHeight="1" x14ac:dyDescent="0.25">
      <c r="A76" s="316" t="s">
        <v>82</v>
      </c>
      <c r="B76" s="316"/>
      <c r="C76" s="316"/>
      <c r="D76" s="316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66"/>
      <c r="AB76" s="66"/>
      <c r="AC76" s="83"/>
    </row>
    <row r="77" spans="1:68" ht="27" customHeight="1" x14ac:dyDescent="0.25">
      <c r="A77" s="63" t="s">
        <v>160</v>
      </c>
      <c r="B77" s="63" t="s">
        <v>161</v>
      </c>
      <c r="C77" s="36">
        <v>4301070977</v>
      </c>
      <c r="D77" s="298">
        <v>4607111037411</v>
      </c>
      <c r="E77" s="29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00"/>
      <c r="R77" s="300"/>
      <c r="S77" s="300"/>
      <c r="T77" s="30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8">
        <v>4607111036728</v>
      </c>
      <c r="E78" s="29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00"/>
      <c r="R78" s="300"/>
      <c r="S78" s="300"/>
      <c r="T78" s="301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308"/>
      <c r="P79" s="305" t="s">
        <v>40</v>
      </c>
      <c r="Q79" s="306"/>
      <c r="R79" s="306"/>
      <c r="S79" s="306"/>
      <c r="T79" s="306"/>
      <c r="U79" s="306"/>
      <c r="V79" s="307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308"/>
      <c r="P80" s="305" t="s">
        <v>40</v>
      </c>
      <c r="Q80" s="306"/>
      <c r="R80" s="306"/>
      <c r="S80" s="306"/>
      <c r="T80" s="306"/>
      <c r="U80" s="306"/>
      <c r="V80" s="307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21" t="s">
        <v>166</v>
      </c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65"/>
      <c r="AB81" s="65"/>
      <c r="AC81" s="82"/>
    </row>
    <row r="82" spans="1:68" ht="14.25" customHeight="1" x14ac:dyDescent="0.25">
      <c r="A82" s="316" t="s">
        <v>151</v>
      </c>
      <c r="B82" s="316"/>
      <c r="C82" s="316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8">
        <v>4607111033659</v>
      </c>
      <c r="E83" s="29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00"/>
      <c r="R83" s="300"/>
      <c r="S83" s="300"/>
      <c r="T83" s="301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308"/>
      <c r="P84" s="305" t="s">
        <v>40</v>
      </c>
      <c r="Q84" s="306"/>
      <c r="R84" s="306"/>
      <c r="S84" s="306"/>
      <c r="T84" s="306"/>
      <c r="U84" s="306"/>
      <c r="V84" s="307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308"/>
      <c r="P85" s="305" t="s">
        <v>40</v>
      </c>
      <c r="Q85" s="306"/>
      <c r="R85" s="306"/>
      <c r="S85" s="306"/>
      <c r="T85" s="306"/>
      <c r="U85" s="306"/>
      <c r="V85" s="307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customHeight="1" x14ac:dyDescent="0.25">
      <c r="A87" s="316" t="s">
        <v>171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8">
        <v>4607111034120</v>
      </c>
      <c r="E88" s="29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00"/>
      <c r="R88" s="300"/>
      <c r="S88" s="300"/>
      <c r="T88" s="301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8">
        <v>4607111034137</v>
      </c>
      <c r="E89" s="29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00"/>
      <c r="R89" s="300"/>
      <c r="S89" s="300"/>
      <c r="T89" s="301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308"/>
      <c r="P90" s="305" t="s">
        <v>40</v>
      </c>
      <c r="Q90" s="306"/>
      <c r="R90" s="306"/>
      <c r="S90" s="306"/>
      <c r="T90" s="306"/>
      <c r="U90" s="306"/>
      <c r="V90" s="307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308"/>
      <c r="P91" s="305" t="s">
        <v>40</v>
      </c>
      <c r="Q91" s="306"/>
      <c r="R91" s="306"/>
      <c r="S91" s="306"/>
      <c r="T91" s="306"/>
      <c r="U91" s="306"/>
      <c r="V91" s="307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21" t="s">
        <v>178</v>
      </c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65"/>
      <c r="AB92" s="65"/>
      <c r="AC92" s="82"/>
    </row>
    <row r="93" spans="1:68" ht="14.25" customHeight="1" x14ac:dyDescent="0.25">
      <c r="A93" s="316" t="s">
        <v>151</v>
      </c>
      <c r="B93" s="316"/>
      <c r="C93" s="316"/>
      <c r="D93" s="316"/>
      <c r="E93" s="316"/>
      <c r="F93" s="316"/>
      <c r="G93" s="316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8">
        <v>4620207491027</v>
      </c>
      <c r="E94" s="29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00"/>
      <c r="R94" s="300"/>
      <c r="S94" s="300"/>
      <c r="T94" s="301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298">
        <v>4620207491621</v>
      </c>
      <c r="E95" s="29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7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00"/>
      <c r="R95" s="300"/>
      <c r="S95" s="300"/>
      <c r="T95" s="301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184</v>
      </c>
      <c r="B96" s="63" t="s">
        <v>185</v>
      </c>
      <c r="C96" s="36">
        <v>4301135768</v>
      </c>
      <c r="D96" s="298">
        <v>4620207491034</v>
      </c>
      <c r="E96" s="29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00"/>
      <c r="R96" s="300"/>
      <c r="S96" s="300"/>
      <c r="T96" s="301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186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187</v>
      </c>
      <c r="B97" s="63" t="s">
        <v>188</v>
      </c>
      <c r="C97" s="36">
        <v>4301135760</v>
      </c>
      <c r="D97" s="298">
        <v>4620207491010</v>
      </c>
      <c r="E97" s="29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7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00"/>
      <c r="R97" s="300"/>
      <c r="S97" s="300"/>
      <c r="T97" s="30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189</v>
      </c>
      <c r="B98" s="63" t="s">
        <v>190</v>
      </c>
      <c r="C98" s="36">
        <v>4301135571</v>
      </c>
      <c r="D98" s="298">
        <v>4607111035028</v>
      </c>
      <c r="E98" s="298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7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00"/>
      <c r="R98" s="300"/>
      <c r="S98" s="300"/>
      <c r="T98" s="30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169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191</v>
      </c>
      <c r="B99" s="63" t="s">
        <v>192</v>
      </c>
      <c r="C99" s="36">
        <v>4301135285</v>
      </c>
      <c r="D99" s="298">
        <v>4607111036407</v>
      </c>
      <c r="E99" s="298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00"/>
      <c r="R99" s="300"/>
      <c r="S99" s="300"/>
      <c r="T99" s="30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193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308"/>
      <c r="P100" s="305" t="s">
        <v>40</v>
      </c>
      <c r="Q100" s="306"/>
      <c r="R100" s="306"/>
      <c r="S100" s="306"/>
      <c r="T100" s="306"/>
      <c r="U100" s="306"/>
      <c r="V100" s="307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308"/>
      <c r="P101" s="305" t="s">
        <v>40</v>
      </c>
      <c r="Q101" s="306"/>
      <c r="R101" s="306"/>
      <c r="S101" s="306"/>
      <c r="T101" s="306"/>
      <c r="U101" s="306"/>
      <c r="V101" s="307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21" t="s">
        <v>194</v>
      </c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65"/>
      <c r="AB102" s="65"/>
      <c r="AC102" s="82"/>
    </row>
    <row r="103" spans="1:68" ht="14.25" customHeight="1" x14ac:dyDescent="0.25">
      <c r="A103" s="316" t="s">
        <v>145</v>
      </c>
      <c r="B103" s="316"/>
      <c r="C103" s="316"/>
      <c r="D103" s="316"/>
      <c r="E103" s="316"/>
      <c r="F103" s="316"/>
      <c r="G103" s="316"/>
      <c r="H103" s="316"/>
      <c r="I103" s="316"/>
      <c r="J103" s="316"/>
      <c r="K103" s="316"/>
      <c r="L103" s="316"/>
      <c r="M103" s="316"/>
      <c r="N103" s="316"/>
      <c r="O103" s="316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66"/>
      <c r="AB103" s="66"/>
      <c r="AC103" s="83"/>
    </row>
    <row r="104" spans="1:68" ht="27" customHeight="1" x14ac:dyDescent="0.25">
      <c r="A104" s="63" t="s">
        <v>195</v>
      </c>
      <c r="B104" s="63" t="s">
        <v>196</v>
      </c>
      <c r="C104" s="36">
        <v>4301136070</v>
      </c>
      <c r="D104" s="298">
        <v>4607025784012</v>
      </c>
      <c r="E104" s="298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00"/>
      <c r="R104" s="300"/>
      <c r="S104" s="300"/>
      <c r="T104" s="301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197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198</v>
      </c>
      <c r="B105" s="63" t="s">
        <v>199</v>
      </c>
      <c r="C105" s="36">
        <v>4301136103</v>
      </c>
      <c r="D105" s="298">
        <v>4620207491645</v>
      </c>
      <c r="E105" s="298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00"/>
      <c r="R105" s="300"/>
      <c r="S105" s="300"/>
      <c r="T105" s="301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200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308"/>
      <c r="P106" s="305" t="s">
        <v>40</v>
      </c>
      <c r="Q106" s="306"/>
      <c r="R106" s="306"/>
      <c r="S106" s="306"/>
      <c r="T106" s="306"/>
      <c r="U106" s="306"/>
      <c r="V106" s="307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308"/>
      <c r="P107" s="305" t="s">
        <v>40</v>
      </c>
      <c r="Q107" s="306"/>
      <c r="R107" s="306"/>
      <c r="S107" s="306"/>
      <c r="T107" s="306"/>
      <c r="U107" s="306"/>
      <c r="V107" s="307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21" t="s">
        <v>201</v>
      </c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65"/>
      <c r="AB108" s="65"/>
      <c r="AC108" s="82"/>
    </row>
    <row r="109" spans="1:68" ht="14.25" customHeight="1" x14ac:dyDescent="0.25">
      <c r="A109" s="316" t="s">
        <v>82</v>
      </c>
      <c r="B109" s="316"/>
      <c r="C109" s="316"/>
      <c r="D109" s="316"/>
      <c r="E109" s="316"/>
      <c r="F109" s="316"/>
      <c r="G109" s="316"/>
      <c r="H109" s="316"/>
      <c r="I109" s="316"/>
      <c r="J109" s="316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66"/>
      <c r="AB109" s="66"/>
      <c r="AC109" s="83"/>
    </row>
    <row r="110" spans="1:68" ht="27" customHeight="1" x14ac:dyDescent="0.25">
      <c r="A110" s="63" t="s">
        <v>202</v>
      </c>
      <c r="B110" s="63" t="s">
        <v>203</v>
      </c>
      <c r="C110" s="36">
        <v>4301071074</v>
      </c>
      <c r="D110" s="298">
        <v>4620207491157</v>
      </c>
      <c r="E110" s="298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00"/>
      <c r="R110" s="300"/>
      <c r="S110" s="300"/>
      <c r="T110" s="301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204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customHeight="1" x14ac:dyDescent="0.25">
      <c r="A111" s="63" t="s">
        <v>205</v>
      </c>
      <c r="B111" s="63" t="s">
        <v>206</v>
      </c>
      <c r="C111" s="36">
        <v>4301071121</v>
      </c>
      <c r="D111" s="298">
        <v>4620207491393</v>
      </c>
      <c r="E111" s="298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00"/>
      <c r="R111" s="300"/>
      <c r="S111" s="300"/>
      <c r="T111" s="301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207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208</v>
      </c>
      <c r="B112" s="63" t="s">
        <v>209</v>
      </c>
      <c r="C112" s="36">
        <v>4301071136</v>
      </c>
      <c r="D112" s="298">
        <v>4620207491829</v>
      </c>
      <c r="E112" s="298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6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00"/>
      <c r="R112" s="300"/>
      <c r="S112" s="300"/>
      <c r="T112" s="301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207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210</v>
      </c>
      <c r="B113" s="63" t="s">
        <v>211</v>
      </c>
      <c r="C113" s="36">
        <v>4301071051</v>
      </c>
      <c r="D113" s="298">
        <v>4607111039262</v>
      </c>
      <c r="E113" s="298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6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00"/>
      <c r="R113" s="300"/>
      <c r="S113" s="300"/>
      <c r="T113" s="30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212</v>
      </c>
      <c r="B114" s="63" t="s">
        <v>213</v>
      </c>
      <c r="C114" s="36">
        <v>4301071038</v>
      </c>
      <c r="D114" s="298">
        <v>4607111039248</v>
      </c>
      <c r="E114" s="298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6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00"/>
      <c r="R114" s="300"/>
      <c r="S114" s="300"/>
      <c r="T114" s="30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214</v>
      </c>
      <c r="B115" s="63" t="s">
        <v>215</v>
      </c>
      <c r="C115" s="36">
        <v>4301070979</v>
      </c>
      <c r="D115" s="298">
        <v>4607111037145</v>
      </c>
      <c r="E115" s="298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6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00"/>
      <c r="R115" s="300"/>
      <c r="S115" s="300"/>
      <c r="T115" s="30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217</v>
      </c>
      <c r="B116" s="63" t="s">
        <v>218</v>
      </c>
      <c r="C116" s="36">
        <v>4301071075</v>
      </c>
      <c r="D116" s="298">
        <v>4620207491102</v>
      </c>
      <c r="E116" s="298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00"/>
      <c r="R116" s="300"/>
      <c r="S116" s="300"/>
      <c r="T116" s="30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220</v>
      </c>
      <c r="B117" s="63" t="s">
        <v>221</v>
      </c>
      <c r="C117" s="36">
        <v>4301071049</v>
      </c>
      <c r="D117" s="298">
        <v>4607111039293</v>
      </c>
      <c r="E117" s="29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00"/>
      <c r="R117" s="300"/>
      <c r="S117" s="300"/>
      <c r="T117" s="30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222</v>
      </c>
      <c r="B118" s="63" t="s">
        <v>223</v>
      </c>
      <c r="C118" s="36">
        <v>4301071039</v>
      </c>
      <c r="D118" s="298">
        <v>4607111039279</v>
      </c>
      <c r="E118" s="29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00"/>
      <c r="R118" s="300"/>
      <c r="S118" s="300"/>
      <c r="T118" s="30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x14ac:dyDescent="0.2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308"/>
      <c r="P119" s="305" t="s">
        <v>40</v>
      </c>
      <c r="Q119" s="306"/>
      <c r="R119" s="306"/>
      <c r="S119" s="306"/>
      <c r="T119" s="306"/>
      <c r="U119" s="306"/>
      <c r="V119" s="307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308"/>
      <c r="P120" s="305" t="s">
        <v>40</v>
      </c>
      <c r="Q120" s="306"/>
      <c r="R120" s="306"/>
      <c r="S120" s="306"/>
      <c r="T120" s="306"/>
      <c r="U120" s="306"/>
      <c r="V120" s="307"/>
      <c r="W120" s="42" t="s">
        <v>0</v>
      </c>
      <c r="X120" s="43">
        <f>IFERROR(SUMPRODUCT(X110:X118*H110:H118),"0")</f>
        <v>0</v>
      </c>
      <c r="Y120" s="43">
        <f>IFERROR(SUMPRODUCT(Y110:Y118*H110:H118),"0")</f>
        <v>0</v>
      </c>
      <c r="Z120" s="42"/>
      <c r="AA120" s="67"/>
      <c r="AB120" s="67"/>
      <c r="AC120" s="67"/>
    </row>
    <row r="121" spans="1:68" ht="14.25" customHeight="1" x14ac:dyDescent="0.25">
      <c r="A121" s="316" t="s">
        <v>151</v>
      </c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16"/>
      <c r="AA121" s="66"/>
      <c r="AB121" s="66"/>
      <c r="AC121" s="83"/>
    </row>
    <row r="122" spans="1:68" ht="27" customHeight="1" x14ac:dyDescent="0.25">
      <c r="A122" s="63" t="s">
        <v>224</v>
      </c>
      <c r="B122" s="63" t="s">
        <v>225</v>
      </c>
      <c r="C122" s="36">
        <v>4301135826</v>
      </c>
      <c r="D122" s="298">
        <v>4620207490983</v>
      </c>
      <c r="E122" s="298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00"/>
      <c r="R122" s="300"/>
      <c r="S122" s="300"/>
      <c r="T122" s="30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226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308"/>
      <c r="P123" s="305" t="s">
        <v>40</v>
      </c>
      <c r="Q123" s="306"/>
      <c r="R123" s="306"/>
      <c r="S123" s="306"/>
      <c r="T123" s="306"/>
      <c r="U123" s="306"/>
      <c r="V123" s="307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308"/>
      <c r="P124" s="305" t="s">
        <v>40</v>
      </c>
      <c r="Q124" s="306"/>
      <c r="R124" s="306"/>
      <c r="S124" s="306"/>
      <c r="T124" s="306"/>
      <c r="U124" s="306"/>
      <c r="V124" s="307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16" t="s">
        <v>227</v>
      </c>
      <c r="B125" s="316"/>
      <c r="C125" s="316"/>
      <c r="D125" s="316"/>
      <c r="E125" s="316"/>
      <c r="F125" s="316"/>
      <c r="G125" s="316"/>
      <c r="H125" s="316"/>
      <c r="I125" s="316"/>
      <c r="J125" s="316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4301071094</v>
      </c>
      <c r="D126" s="298">
        <v>4620207491140</v>
      </c>
      <c r="E126" s="298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00"/>
      <c r="R126" s="300"/>
      <c r="S126" s="300"/>
      <c r="T126" s="301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230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308"/>
      <c r="P127" s="305" t="s">
        <v>40</v>
      </c>
      <c r="Q127" s="306"/>
      <c r="R127" s="306"/>
      <c r="S127" s="306"/>
      <c r="T127" s="306"/>
      <c r="U127" s="306"/>
      <c r="V127" s="307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308"/>
      <c r="P128" s="305" t="s">
        <v>40</v>
      </c>
      <c r="Q128" s="306"/>
      <c r="R128" s="306"/>
      <c r="S128" s="306"/>
      <c r="T128" s="306"/>
      <c r="U128" s="306"/>
      <c r="V128" s="307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21" t="s">
        <v>231</v>
      </c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65"/>
      <c r="AB129" s="65"/>
      <c r="AC129" s="82"/>
    </row>
    <row r="130" spans="1:68" ht="14.25" customHeight="1" x14ac:dyDescent="0.25">
      <c r="A130" s="316" t="s">
        <v>151</v>
      </c>
      <c r="B130" s="316"/>
      <c r="C130" s="316"/>
      <c r="D130" s="316"/>
      <c r="E130" s="316"/>
      <c r="F130" s="316"/>
      <c r="G130" s="316"/>
      <c r="H130" s="316"/>
      <c r="I130" s="316"/>
      <c r="J130" s="316"/>
      <c r="K130" s="316"/>
      <c r="L130" s="316"/>
      <c r="M130" s="316"/>
      <c r="N130" s="316"/>
      <c r="O130" s="316"/>
      <c r="P130" s="316"/>
      <c r="Q130" s="316"/>
      <c r="R130" s="316"/>
      <c r="S130" s="316"/>
      <c r="T130" s="316"/>
      <c r="U130" s="316"/>
      <c r="V130" s="316"/>
      <c r="W130" s="316"/>
      <c r="X130" s="316"/>
      <c r="Y130" s="316"/>
      <c r="Z130" s="316"/>
      <c r="AA130" s="66"/>
      <c r="AB130" s="66"/>
      <c r="AC130" s="83"/>
    </row>
    <row r="131" spans="1:68" ht="27" customHeight="1" x14ac:dyDescent="0.25">
      <c r="A131" s="63" t="s">
        <v>232</v>
      </c>
      <c r="B131" s="63" t="s">
        <v>233</v>
      </c>
      <c r="C131" s="36">
        <v>4301135848</v>
      </c>
      <c r="D131" s="298">
        <v>4620207491799</v>
      </c>
      <c r="E131" s="29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5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00"/>
      <c r="R131" s="300"/>
      <c r="S131" s="300"/>
      <c r="T131" s="301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234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235</v>
      </c>
      <c r="B132" s="63" t="s">
        <v>236</v>
      </c>
      <c r="C132" s="36">
        <v>4301135850</v>
      </c>
      <c r="D132" s="298">
        <v>4620207491492</v>
      </c>
      <c r="E132" s="298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5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00"/>
      <c r="R132" s="300"/>
      <c r="S132" s="300"/>
      <c r="T132" s="301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234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237</v>
      </c>
      <c r="B133" s="63" t="s">
        <v>238</v>
      </c>
      <c r="C133" s="36">
        <v>4301190118</v>
      </c>
      <c r="D133" s="298">
        <v>4620207491461</v>
      </c>
      <c r="E133" s="298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00"/>
      <c r="R133" s="300"/>
      <c r="S133" s="300"/>
      <c r="T133" s="30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234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239</v>
      </c>
      <c r="B134" s="63" t="s">
        <v>240</v>
      </c>
      <c r="C134" s="36">
        <v>4301135865</v>
      </c>
      <c r="D134" s="298">
        <v>4620207491485</v>
      </c>
      <c r="E134" s="29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00"/>
      <c r="R134" s="300"/>
      <c r="S134" s="300"/>
      <c r="T134" s="30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234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308"/>
      <c r="P135" s="305" t="s">
        <v>40</v>
      </c>
      <c r="Q135" s="306"/>
      <c r="R135" s="306"/>
      <c r="S135" s="306"/>
      <c r="T135" s="306"/>
      <c r="U135" s="306"/>
      <c r="V135" s="307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x14ac:dyDescent="0.2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308"/>
      <c r="P136" s="305" t="s">
        <v>40</v>
      </c>
      <c r="Q136" s="306"/>
      <c r="R136" s="306"/>
      <c r="S136" s="306"/>
      <c r="T136" s="306"/>
      <c r="U136" s="306"/>
      <c r="V136" s="307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customHeight="1" x14ac:dyDescent="0.25">
      <c r="A137" s="316" t="s">
        <v>241</v>
      </c>
      <c r="B137" s="316"/>
      <c r="C137" s="316"/>
      <c r="D137" s="316"/>
      <c r="E137" s="316"/>
      <c r="F137" s="316"/>
      <c r="G137" s="316"/>
      <c r="H137" s="316"/>
      <c r="I137" s="316"/>
      <c r="J137" s="316"/>
      <c r="K137" s="316"/>
      <c r="L137" s="316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66"/>
      <c r="AB137" s="66"/>
      <c r="AC137" s="83"/>
    </row>
    <row r="138" spans="1:68" ht="27" customHeight="1" x14ac:dyDescent="0.25">
      <c r="A138" s="63" t="s">
        <v>242</v>
      </c>
      <c r="B138" s="63" t="s">
        <v>243</v>
      </c>
      <c r="C138" s="36">
        <v>4301190117</v>
      </c>
      <c r="D138" s="298">
        <v>4620207491386</v>
      </c>
      <c r="E138" s="29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5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00"/>
      <c r="R138" s="300"/>
      <c r="S138" s="300"/>
      <c r="T138" s="30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244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245</v>
      </c>
      <c r="B139" s="63" t="s">
        <v>246</v>
      </c>
      <c r="C139" s="36">
        <v>4301190115</v>
      </c>
      <c r="D139" s="298">
        <v>4620207491362</v>
      </c>
      <c r="E139" s="29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00"/>
      <c r="R139" s="300"/>
      <c r="S139" s="300"/>
      <c r="T139" s="30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244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247</v>
      </c>
      <c r="B140" s="63" t="s">
        <v>248</v>
      </c>
      <c r="C140" s="36">
        <v>4301190116</v>
      </c>
      <c r="D140" s="298">
        <v>4620207491379</v>
      </c>
      <c r="E140" s="29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00"/>
      <c r="R140" s="300"/>
      <c r="S140" s="300"/>
      <c r="T140" s="30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244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308"/>
      <c r="P141" s="305" t="s">
        <v>40</v>
      </c>
      <c r="Q141" s="306"/>
      <c r="R141" s="306"/>
      <c r="S141" s="306"/>
      <c r="T141" s="306"/>
      <c r="U141" s="306"/>
      <c r="V141" s="307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308"/>
      <c r="P142" s="305" t="s">
        <v>40</v>
      </c>
      <c r="Q142" s="306"/>
      <c r="R142" s="306"/>
      <c r="S142" s="306"/>
      <c r="T142" s="306"/>
      <c r="U142" s="306"/>
      <c r="V142" s="307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21" t="s">
        <v>249</v>
      </c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65"/>
      <c r="AB143" s="65"/>
      <c r="AC143" s="82"/>
    </row>
    <row r="144" spans="1:68" ht="14.25" customHeight="1" x14ac:dyDescent="0.25">
      <c r="A144" s="316" t="s">
        <v>151</v>
      </c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66"/>
      <c r="AB144" s="66"/>
      <c r="AC144" s="83"/>
    </row>
    <row r="145" spans="1:68" ht="27" customHeight="1" x14ac:dyDescent="0.25">
      <c r="A145" s="63" t="s">
        <v>250</v>
      </c>
      <c r="B145" s="63" t="s">
        <v>251</v>
      </c>
      <c r="C145" s="36">
        <v>4301135555</v>
      </c>
      <c r="D145" s="298">
        <v>4607111034014</v>
      </c>
      <c r="E145" s="29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00"/>
      <c r="R145" s="300"/>
      <c r="S145" s="300"/>
      <c r="T145" s="30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252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253</v>
      </c>
      <c r="B146" s="63" t="s">
        <v>254</v>
      </c>
      <c r="C146" s="36">
        <v>4301135532</v>
      </c>
      <c r="D146" s="298">
        <v>4607111033994</v>
      </c>
      <c r="E146" s="298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00"/>
      <c r="R146" s="300"/>
      <c r="S146" s="300"/>
      <c r="T146" s="301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308"/>
      <c r="P147" s="305" t="s">
        <v>40</v>
      </c>
      <c r="Q147" s="306"/>
      <c r="R147" s="306"/>
      <c r="S147" s="306"/>
      <c r="T147" s="306"/>
      <c r="U147" s="306"/>
      <c r="V147" s="307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308"/>
      <c r="P148" s="305" t="s">
        <v>40</v>
      </c>
      <c r="Q148" s="306"/>
      <c r="R148" s="306"/>
      <c r="S148" s="306"/>
      <c r="T148" s="306"/>
      <c r="U148" s="306"/>
      <c r="V148" s="307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21" t="s">
        <v>255</v>
      </c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65"/>
      <c r="AB149" s="65"/>
      <c r="AC149" s="82"/>
    </row>
    <row r="150" spans="1:68" ht="14.25" customHeight="1" x14ac:dyDescent="0.25">
      <c r="A150" s="316" t="s">
        <v>151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66"/>
      <c r="AB150" s="66"/>
      <c r="AC150" s="83"/>
    </row>
    <row r="151" spans="1:68" ht="27" customHeight="1" x14ac:dyDescent="0.25">
      <c r="A151" s="63" t="s">
        <v>256</v>
      </c>
      <c r="B151" s="63" t="s">
        <v>257</v>
      </c>
      <c r="C151" s="36">
        <v>4301135824</v>
      </c>
      <c r="D151" s="298">
        <v>4607111039095</v>
      </c>
      <c r="E151" s="298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4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00"/>
      <c r="R151" s="300"/>
      <c r="S151" s="300"/>
      <c r="T151" s="301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259</v>
      </c>
      <c r="B152" s="63" t="s">
        <v>260</v>
      </c>
      <c r="C152" s="36">
        <v>4301135946</v>
      </c>
      <c r="D152" s="298">
        <v>4620207491553</v>
      </c>
      <c r="E152" s="298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00"/>
      <c r="R152" s="300"/>
      <c r="S152" s="300"/>
      <c r="T152" s="301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308"/>
      <c r="P153" s="305" t="s">
        <v>40</v>
      </c>
      <c r="Q153" s="306"/>
      <c r="R153" s="306"/>
      <c r="S153" s="306"/>
      <c r="T153" s="306"/>
      <c r="U153" s="306"/>
      <c r="V153" s="307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x14ac:dyDescent="0.2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308"/>
      <c r="P154" s="305" t="s">
        <v>40</v>
      </c>
      <c r="Q154" s="306"/>
      <c r="R154" s="306"/>
      <c r="S154" s="306"/>
      <c r="T154" s="306"/>
      <c r="U154" s="306"/>
      <c r="V154" s="307"/>
      <c r="W154" s="42" t="s">
        <v>0</v>
      </c>
      <c r="X154" s="43">
        <f>IFERROR(SUMPRODUCT(X151:X152*H151:H152),"0")</f>
        <v>0</v>
      </c>
      <c r="Y154" s="43">
        <f>IFERROR(SUMPRODUCT(Y151:Y152*H151:H152),"0")</f>
        <v>0</v>
      </c>
      <c r="Z154" s="42"/>
      <c r="AA154" s="67"/>
      <c r="AB154" s="67"/>
      <c r="AC154" s="67"/>
    </row>
    <row r="155" spans="1:68" ht="16.5" customHeight="1" x14ac:dyDescent="0.25">
      <c r="A155" s="321" t="s">
        <v>262</v>
      </c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65"/>
      <c r="AB155" s="65"/>
      <c r="AC155" s="82"/>
    </row>
    <row r="156" spans="1:68" ht="14.25" customHeight="1" x14ac:dyDescent="0.25">
      <c r="A156" s="316" t="s">
        <v>151</v>
      </c>
      <c r="B156" s="316"/>
      <c r="C156" s="316"/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66"/>
      <c r="AB156" s="66"/>
      <c r="AC156" s="83"/>
    </row>
    <row r="157" spans="1:68" ht="27" customHeight="1" x14ac:dyDescent="0.25">
      <c r="A157" s="63" t="s">
        <v>263</v>
      </c>
      <c r="B157" s="63" t="s">
        <v>264</v>
      </c>
      <c r="C157" s="36">
        <v>4301135753</v>
      </c>
      <c r="D157" s="298">
        <v>4620207490914</v>
      </c>
      <c r="E157" s="298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00"/>
      <c r="R157" s="300"/>
      <c r="S157" s="300"/>
      <c r="T157" s="301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252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265</v>
      </c>
      <c r="B158" s="63" t="s">
        <v>266</v>
      </c>
      <c r="C158" s="36">
        <v>4301135778</v>
      </c>
      <c r="D158" s="298">
        <v>4620207490853</v>
      </c>
      <c r="E158" s="298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00"/>
      <c r="R158" s="300"/>
      <c r="S158" s="300"/>
      <c r="T158" s="301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252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308"/>
      <c r="P159" s="305" t="s">
        <v>40</v>
      </c>
      <c r="Q159" s="306"/>
      <c r="R159" s="306"/>
      <c r="S159" s="306"/>
      <c r="T159" s="306"/>
      <c r="U159" s="306"/>
      <c r="V159" s="307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308"/>
      <c r="P160" s="305" t="s">
        <v>40</v>
      </c>
      <c r="Q160" s="306"/>
      <c r="R160" s="306"/>
      <c r="S160" s="306"/>
      <c r="T160" s="306"/>
      <c r="U160" s="306"/>
      <c r="V160" s="307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customHeight="1" x14ac:dyDescent="0.25">
      <c r="A161" s="321" t="s">
        <v>267</v>
      </c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65"/>
      <c r="AB161" s="65"/>
      <c r="AC161" s="82"/>
    </row>
    <row r="162" spans="1:68" ht="14.25" customHeight="1" x14ac:dyDescent="0.25">
      <c r="A162" s="316" t="s">
        <v>151</v>
      </c>
      <c r="B162" s="316"/>
      <c r="C162" s="316"/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66"/>
      <c r="AB162" s="66"/>
      <c r="AC162" s="83"/>
    </row>
    <row r="163" spans="1:68" ht="27" customHeight="1" x14ac:dyDescent="0.25">
      <c r="A163" s="63" t="s">
        <v>268</v>
      </c>
      <c r="B163" s="63" t="s">
        <v>269</v>
      </c>
      <c r="C163" s="36">
        <v>4301135570</v>
      </c>
      <c r="D163" s="298">
        <v>4607111035806</v>
      </c>
      <c r="E163" s="298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119</v>
      </c>
      <c r="M163" s="38" t="s">
        <v>86</v>
      </c>
      <c r="N163" s="38"/>
      <c r="O163" s="37">
        <v>180</v>
      </c>
      <c r="P163" s="3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00"/>
      <c r="R163" s="300"/>
      <c r="S163" s="300"/>
      <c r="T163" s="301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270</v>
      </c>
      <c r="AG163" s="81"/>
      <c r="AJ163" s="87" t="s">
        <v>120</v>
      </c>
      <c r="AK163" s="87">
        <v>14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308"/>
      <c r="P164" s="305" t="s">
        <v>40</v>
      </c>
      <c r="Q164" s="306"/>
      <c r="R164" s="306"/>
      <c r="S164" s="306"/>
      <c r="T164" s="306"/>
      <c r="U164" s="306"/>
      <c r="V164" s="307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308"/>
      <c r="P165" s="305" t="s">
        <v>40</v>
      </c>
      <c r="Q165" s="306"/>
      <c r="R165" s="306"/>
      <c r="S165" s="306"/>
      <c r="T165" s="306"/>
      <c r="U165" s="306"/>
      <c r="V165" s="307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21" t="s">
        <v>271</v>
      </c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65"/>
      <c r="AB166" s="65"/>
      <c r="AC166" s="82"/>
    </row>
    <row r="167" spans="1:68" ht="14.25" customHeight="1" x14ac:dyDescent="0.25">
      <c r="A167" s="316" t="s">
        <v>151</v>
      </c>
      <c r="B167" s="316"/>
      <c r="C167" s="316"/>
      <c r="D167" s="316"/>
      <c r="E167" s="316"/>
      <c r="F167" s="316"/>
      <c r="G167" s="316"/>
      <c r="H167" s="316"/>
      <c r="I167" s="316"/>
      <c r="J167" s="316"/>
      <c r="K167" s="316"/>
      <c r="L167" s="316"/>
      <c r="M167" s="316"/>
      <c r="N167" s="316"/>
      <c r="O167" s="316"/>
      <c r="P167" s="316"/>
      <c r="Q167" s="316"/>
      <c r="R167" s="316"/>
      <c r="S167" s="316"/>
      <c r="T167" s="316"/>
      <c r="U167" s="316"/>
      <c r="V167" s="316"/>
      <c r="W167" s="316"/>
      <c r="X167" s="316"/>
      <c r="Y167" s="316"/>
      <c r="Z167" s="316"/>
      <c r="AA167" s="66"/>
      <c r="AB167" s="66"/>
      <c r="AC167" s="83"/>
    </row>
    <row r="168" spans="1:68" ht="16.5" customHeight="1" x14ac:dyDescent="0.25">
      <c r="A168" s="63" t="s">
        <v>272</v>
      </c>
      <c r="B168" s="63" t="s">
        <v>273</v>
      </c>
      <c r="C168" s="36">
        <v>4301135607</v>
      </c>
      <c r="D168" s="298">
        <v>4607111039613</v>
      </c>
      <c r="E168" s="298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00"/>
      <c r="R168" s="300"/>
      <c r="S168" s="300"/>
      <c r="T168" s="30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308"/>
      <c r="P169" s="305" t="s">
        <v>40</v>
      </c>
      <c r="Q169" s="306"/>
      <c r="R169" s="306"/>
      <c r="S169" s="306"/>
      <c r="T169" s="306"/>
      <c r="U169" s="306"/>
      <c r="V169" s="307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308"/>
      <c r="P170" s="305" t="s">
        <v>40</v>
      </c>
      <c r="Q170" s="306"/>
      <c r="R170" s="306"/>
      <c r="S170" s="306"/>
      <c r="T170" s="306"/>
      <c r="U170" s="306"/>
      <c r="V170" s="307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21" t="s">
        <v>274</v>
      </c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65"/>
      <c r="AB171" s="65"/>
      <c r="AC171" s="82"/>
    </row>
    <row r="172" spans="1:68" ht="14.25" customHeight="1" x14ac:dyDescent="0.25">
      <c r="A172" s="316" t="s">
        <v>151</v>
      </c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66"/>
      <c r="AB172" s="66"/>
      <c r="AC172" s="83"/>
    </row>
    <row r="173" spans="1:68" ht="27" customHeight="1" x14ac:dyDescent="0.25">
      <c r="A173" s="63" t="s">
        <v>275</v>
      </c>
      <c r="B173" s="63" t="s">
        <v>276</v>
      </c>
      <c r="C173" s="36">
        <v>4301135591</v>
      </c>
      <c r="D173" s="298">
        <v>4607111036568</v>
      </c>
      <c r="E173" s="298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00"/>
      <c r="R173" s="300"/>
      <c r="S173" s="300"/>
      <c r="T173" s="30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308"/>
      <c r="P174" s="305" t="s">
        <v>40</v>
      </c>
      <c r="Q174" s="306"/>
      <c r="R174" s="306"/>
      <c r="S174" s="306"/>
      <c r="T174" s="306"/>
      <c r="U174" s="306"/>
      <c r="V174" s="307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308"/>
      <c r="P175" s="305" t="s">
        <v>40</v>
      </c>
      <c r="Q175" s="306"/>
      <c r="R175" s="306"/>
      <c r="S175" s="306"/>
      <c r="T175" s="306"/>
      <c r="U175" s="306"/>
      <c r="V175" s="307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20" t="s">
        <v>278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54"/>
      <c r="AB176" s="54"/>
      <c r="AC176" s="54"/>
    </row>
    <row r="177" spans="1:68" ht="16.5" customHeight="1" x14ac:dyDescent="0.25">
      <c r="A177" s="321" t="s">
        <v>279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65"/>
      <c r="AB177" s="65"/>
      <c r="AC177" s="82"/>
    </row>
    <row r="178" spans="1:68" ht="14.25" customHeight="1" x14ac:dyDescent="0.25">
      <c r="A178" s="316" t="s">
        <v>82</v>
      </c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66"/>
      <c r="AB178" s="66"/>
      <c r="AC178" s="83"/>
    </row>
    <row r="179" spans="1:68" ht="16.5" customHeight="1" x14ac:dyDescent="0.25">
      <c r="A179" s="63" t="s">
        <v>280</v>
      </c>
      <c r="B179" s="63" t="s">
        <v>281</v>
      </c>
      <c r="C179" s="36">
        <v>4301071062</v>
      </c>
      <c r="D179" s="298">
        <v>4607111036384</v>
      </c>
      <c r="E179" s="298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00"/>
      <c r="R179" s="300"/>
      <c r="S179" s="300"/>
      <c r="T179" s="30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283</v>
      </c>
      <c r="B180" s="63" t="s">
        <v>284</v>
      </c>
      <c r="C180" s="36">
        <v>4301071050</v>
      </c>
      <c r="D180" s="298">
        <v>4607111036216</v>
      </c>
      <c r="E180" s="298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00"/>
      <c r="R180" s="300"/>
      <c r="S180" s="300"/>
      <c r="T180" s="30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308"/>
      <c r="P181" s="305" t="s">
        <v>40</v>
      </c>
      <c r="Q181" s="306"/>
      <c r="R181" s="306"/>
      <c r="S181" s="306"/>
      <c r="T181" s="306"/>
      <c r="U181" s="306"/>
      <c r="V181" s="307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308"/>
      <c r="P182" s="305" t="s">
        <v>40</v>
      </c>
      <c r="Q182" s="306"/>
      <c r="R182" s="306"/>
      <c r="S182" s="306"/>
      <c r="T182" s="306"/>
      <c r="U182" s="306"/>
      <c r="V182" s="307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customHeight="1" x14ac:dyDescent="0.25">
      <c r="A183" s="321" t="s">
        <v>286</v>
      </c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65"/>
      <c r="AB183" s="65"/>
      <c r="AC183" s="82"/>
    </row>
    <row r="184" spans="1:68" ht="14.25" customHeight="1" x14ac:dyDescent="0.25">
      <c r="A184" s="316" t="s">
        <v>82</v>
      </c>
      <c r="B184" s="316"/>
      <c r="C184" s="316"/>
      <c r="D184" s="316"/>
      <c r="E184" s="316"/>
      <c r="F184" s="316"/>
      <c r="G184" s="316"/>
      <c r="H184" s="316"/>
      <c r="I184" s="316"/>
      <c r="J184" s="316"/>
      <c r="K184" s="316"/>
      <c r="L184" s="316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298">
        <v>4620207491737</v>
      </c>
      <c r="E185" s="298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00"/>
      <c r="R185" s="300"/>
      <c r="S185" s="300"/>
      <c r="T185" s="30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308"/>
      <c r="P186" s="305" t="s">
        <v>40</v>
      </c>
      <c r="Q186" s="306"/>
      <c r="R186" s="306"/>
      <c r="S186" s="306"/>
      <c r="T186" s="306"/>
      <c r="U186" s="306"/>
      <c r="V186" s="307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308"/>
      <c r="P187" s="305" t="s">
        <v>40</v>
      </c>
      <c r="Q187" s="306"/>
      <c r="R187" s="306"/>
      <c r="S187" s="306"/>
      <c r="T187" s="306"/>
      <c r="U187" s="306"/>
      <c r="V187" s="307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20" t="s">
        <v>289</v>
      </c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54"/>
      <c r="AB188" s="54"/>
      <c r="AC188" s="54"/>
    </row>
    <row r="189" spans="1:68" ht="16.5" customHeight="1" x14ac:dyDescent="0.25">
      <c r="A189" s="321" t="s">
        <v>290</v>
      </c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65"/>
      <c r="AB189" s="65"/>
      <c r="AC189" s="82"/>
    </row>
    <row r="190" spans="1:68" ht="14.25" customHeight="1" x14ac:dyDescent="0.25">
      <c r="A190" s="316" t="s">
        <v>113</v>
      </c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298">
        <v>4607111035691</v>
      </c>
      <c r="E191" s="298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00"/>
      <c r="R191" s="300"/>
      <c r="S191" s="300"/>
      <c r="T191" s="30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298">
        <v>4607111035721</v>
      </c>
      <c r="E192" s="298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00"/>
      <c r="R192" s="300"/>
      <c r="S192" s="300"/>
      <c r="T192" s="301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298">
        <v>4607111038487</v>
      </c>
      <c r="E193" s="298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00"/>
      <c r="R193" s="300"/>
      <c r="S193" s="300"/>
      <c r="T193" s="30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300</v>
      </c>
      <c r="B194" s="63" t="s">
        <v>301</v>
      </c>
      <c r="C194" s="36">
        <v>4301132243</v>
      </c>
      <c r="D194" s="298">
        <v>4620207491195</v>
      </c>
      <c r="E194" s="298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00"/>
      <c r="R194" s="300"/>
      <c r="S194" s="300"/>
      <c r="T194" s="30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308"/>
      <c r="P195" s="305" t="s">
        <v>40</v>
      </c>
      <c r="Q195" s="306"/>
      <c r="R195" s="306"/>
      <c r="S195" s="306"/>
      <c r="T195" s="306"/>
      <c r="U195" s="306"/>
      <c r="V195" s="307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308"/>
      <c r="P196" s="305" t="s">
        <v>40</v>
      </c>
      <c r="Q196" s="306"/>
      <c r="R196" s="306"/>
      <c r="S196" s="306"/>
      <c r="T196" s="306"/>
      <c r="U196" s="306"/>
      <c r="V196" s="307"/>
      <c r="W196" s="42" t="s">
        <v>0</v>
      </c>
      <c r="X196" s="43">
        <f>IFERROR(SUMPRODUCT(X191:X194*H191:H194),"0")</f>
        <v>0</v>
      </c>
      <c r="Y196" s="43">
        <f>IFERROR(SUMPRODUCT(Y191:Y194*H191:H194),"0")</f>
        <v>0</v>
      </c>
      <c r="Z196" s="42"/>
      <c r="AA196" s="67"/>
      <c r="AB196" s="67"/>
      <c r="AC196" s="67"/>
    </row>
    <row r="197" spans="1:68" ht="27.75" customHeight="1" x14ac:dyDescent="0.2">
      <c r="A197" s="320" t="s">
        <v>303</v>
      </c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54"/>
      <c r="AB197" s="54"/>
      <c r="AC197" s="54"/>
    </row>
    <row r="198" spans="1:68" ht="16.5" customHeight="1" x14ac:dyDescent="0.25">
      <c r="A198" s="321" t="s">
        <v>304</v>
      </c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65"/>
      <c r="AB198" s="65"/>
      <c r="AC198" s="82"/>
    </row>
    <row r="199" spans="1:68" ht="14.25" customHeight="1" x14ac:dyDescent="0.25">
      <c r="A199" s="316" t="s">
        <v>113</v>
      </c>
      <c r="B199" s="316"/>
      <c r="C199" s="316"/>
      <c r="D199" s="316"/>
      <c r="E199" s="316"/>
      <c r="F199" s="316"/>
      <c r="G199" s="316"/>
      <c r="H199" s="316"/>
      <c r="I199" s="316"/>
      <c r="J199" s="316"/>
      <c r="K199" s="316"/>
      <c r="L199" s="316"/>
      <c r="M199" s="316"/>
      <c r="N199" s="316"/>
      <c r="O199" s="316"/>
      <c r="P199" s="316"/>
      <c r="Q199" s="316"/>
      <c r="R199" s="316"/>
      <c r="S199" s="316"/>
      <c r="T199" s="316"/>
      <c r="U199" s="316"/>
      <c r="V199" s="316"/>
      <c r="W199" s="316"/>
      <c r="X199" s="316"/>
      <c r="Y199" s="316"/>
      <c r="Z199" s="316"/>
      <c r="AA199" s="66"/>
      <c r="AB199" s="66"/>
      <c r="AC199" s="83"/>
    </row>
    <row r="200" spans="1:68" ht="27" customHeight="1" x14ac:dyDescent="0.25">
      <c r="A200" s="63" t="s">
        <v>305</v>
      </c>
      <c r="B200" s="63" t="s">
        <v>306</v>
      </c>
      <c r="C200" s="36">
        <v>4301132227</v>
      </c>
      <c r="D200" s="298">
        <v>4620207491133</v>
      </c>
      <c r="E200" s="298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00"/>
      <c r="R200" s="300"/>
      <c r="S200" s="300"/>
      <c r="T200" s="30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308"/>
      <c r="P201" s="305" t="s">
        <v>40</v>
      </c>
      <c r="Q201" s="306"/>
      <c r="R201" s="306"/>
      <c r="S201" s="306"/>
      <c r="T201" s="306"/>
      <c r="U201" s="306"/>
      <c r="V201" s="307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308"/>
      <c r="P202" s="305" t="s">
        <v>40</v>
      </c>
      <c r="Q202" s="306"/>
      <c r="R202" s="306"/>
      <c r="S202" s="306"/>
      <c r="T202" s="306"/>
      <c r="U202" s="306"/>
      <c r="V202" s="307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customHeight="1" x14ac:dyDescent="0.25">
      <c r="A203" s="316" t="s">
        <v>151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66"/>
      <c r="AB203" s="66"/>
      <c r="AC203" s="83"/>
    </row>
    <row r="204" spans="1:68" ht="27" customHeight="1" x14ac:dyDescent="0.25">
      <c r="A204" s="63" t="s">
        <v>308</v>
      </c>
      <c r="B204" s="63" t="s">
        <v>309</v>
      </c>
      <c r="C204" s="36">
        <v>4301135834</v>
      </c>
      <c r="D204" s="298">
        <v>4620207491188</v>
      </c>
      <c r="E204" s="29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00"/>
      <c r="R204" s="300"/>
      <c r="S204" s="300"/>
      <c r="T204" s="30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311</v>
      </c>
      <c r="B205" s="63" t="s">
        <v>312</v>
      </c>
      <c r="C205" s="36">
        <v>4301135696</v>
      </c>
      <c r="D205" s="298">
        <v>4620207490235</v>
      </c>
      <c r="E205" s="298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00"/>
      <c r="R205" s="300"/>
      <c r="S205" s="300"/>
      <c r="T205" s="30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314</v>
      </c>
      <c r="B206" s="63" t="s">
        <v>315</v>
      </c>
      <c r="C206" s="36">
        <v>4301135697</v>
      </c>
      <c r="D206" s="298">
        <v>4620207490259</v>
      </c>
      <c r="E206" s="298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3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00"/>
      <c r="R206" s="300"/>
      <c r="S206" s="300"/>
      <c r="T206" s="301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308"/>
      <c r="P207" s="305" t="s">
        <v>40</v>
      </c>
      <c r="Q207" s="306"/>
      <c r="R207" s="306"/>
      <c r="S207" s="306"/>
      <c r="T207" s="306"/>
      <c r="U207" s="306"/>
      <c r="V207" s="307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308"/>
      <c r="P208" s="305" t="s">
        <v>40</v>
      </c>
      <c r="Q208" s="306"/>
      <c r="R208" s="306"/>
      <c r="S208" s="306"/>
      <c r="T208" s="306"/>
      <c r="U208" s="306"/>
      <c r="V208" s="307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21" t="s">
        <v>317</v>
      </c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65"/>
      <c r="AB209" s="65"/>
      <c r="AC209" s="82"/>
    </row>
    <row r="210" spans="1:68" ht="14.25" customHeight="1" x14ac:dyDescent="0.25">
      <c r="A210" s="316" t="s">
        <v>151</v>
      </c>
      <c r="B210" s="316"/>
      <c r="C210" s="316"/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66"/>
      <c r="AB210" s="66"/>
      <c r="AC210" s="83"/>
    </row>
    <row r="211" spans="1:68" ht="27" customHeight="1" x14ac:dyDescent="0.25">
      <c r="A211" s="63" t="s">
        <v>318</v>
      </c>
      <c r="B211" s="63" t="s">
        <v>319</v>
      </c>
      <c r="C211" s="36">
        <v>4301135854</v>
      </c>
      <c r="D211" s="298">
        <v>4620207491706</v>
      </c>
      <c r="E211" s="29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00"/>
      <c r="R211" s="300"/>
      <c r="S211" s="300"/>
      <c r="T211" s="30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321</v>
      </c>
      <c r="B212" s="63" t="s">
        <v>322</v>
      </c>
      <c r="C212" s="36">
        <v>4301135895</v>
      </c>
      <c r="D212" s="298">
        <v>4620207491522</v>
      </c>
      <c r="E212" s="298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00"/>
      <c r="R212" s="300"/>
      <c r="S212" s="300"/>
      <c r="T212" s="301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308"/>
      <c r="P213" s="305" t="s">
        <v>40</v>
      </c>
      <c r="Q213" s="306"/>
      <c r="R213" s="306"/>
      <c r="S213" s="306"/>
      <c r="T213" s="306"/>
      <c r="U213" s="306"/>
      <c r="V213" s="307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308"/>
      <c r="P214" s="305" t="s">
        <v>40</v>
      </c>
      <c r="Q214" s="306"/>
      <c r="R214" s="306"/>
      <c r="S214" s="306"/>
      <c r="T214" s="306"/>
      <c r="U214" s="306"/>
      <c r="V214" s="307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21" t="s">
        <v>324</v>
      </c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65"/>
      <c r="AB215" s="65"/>
      <c r="AC215" s="82"/>
    </row>
    <row r="216" spans="1:68" ht="14.25" customHeight="1" x14ac:dyDescent="0.25">
      <c r="A216" s="316" t="s">
        <v>82</v>
      </c>
      <c r="B216" s="316"/>
      <c r="C216" s="316"/>
      <c r="D216" s="316"/>
      <c r="E216" s="316"/>
      <c r="F216" s="316"/>
      <c r="G216" s="316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298">
        <v>4620207491096</v>
      </c>
      <c r="E217" s="298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00"/>
      <c r="R217" s="300"/>
      <c r="S217" s="300"/>
      <c r="T217" s="30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308"/>
      <c r="P218" s="305" t="s">
        <v>40</v>
      </c>
      <c r="Q218" s="306"/>
      <c r="R218" s="306"/>
      <c r="S218" s="306"/>
      <c r="T218" s="306"/>
      <c r="U218" s="306"/>
      <c r="V218" s="307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308"/>
      <c r="P219" s="305" t="s">
        <v>40</v>
      </c>
      <c r="Q219" s="306"/>
      <c r="R219" s="306"/>
      <c r="S219" s="306"/>
      <c r="T219" s="306"/>
      <c r="U219" s="306"/>
      <c r="V219" s="307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21" t="s">
        <v>328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65"/>
      <c r="AB220" s="65"/>
      <c r="AC220" s="82"/>
    </row>
    <row r="221" spans="1:68" ht="14.25" customHeight="1" x14ac:dyDescent="0.25">
      <c r="A221" s="316" t="s">
        <v>151</v>
      </c>
      <c r="B221" s="316"/>
      <c r="C221" s="316"/>
      <c r="D221" s="316"/>
      <c r="E221" s="316"/>
      <c r="F221" s="316"/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66"/>
      <c r="AB221" s="66"/>
      <c r="AC221" s="83"/>
    </row>
    <row r="222" spans="1:68" ht="27" customHeight="1" x14ac:dyDescent="0.25">
      <c r="A222" s="63" t="s">
        <v>329</v>
      </c>
      <c r="B222" s="63" t="s">
        <v>330</v>
      </c>
      <c r="C222" s="36">
        <v>4301135694</v>
      </c>
      <c r="D222" s="298">
        <v>4620207490501</v>
      </c>
      <c r="E222" s="298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00"/>
      <c r="R222" s="300"/>
      <c r="S222" s="300"/>
      <c r="T222" s="301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308"/>
      <c r="P223" s="305" t="s">
        <v>40</v>
      </c>
      <c r="Q223" s="306"/>
      <c r="R223" s="306"/>
      <c r="S223" s="306"/>
      <c r="T223" s="306"/>
      <c r="U223" s="306"/>
      <c r="V223" s="307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308"/>
      <c r="P224" s="305" t="s">
        <v>40</v>
      </c>
      <c r="Q224" s="306"/>
      <c r="R224" s="306"/>
      <c r="S224" s="306"/>
      <c r="T224" s="306"/>
      <c r="U224" s="306"/>
      <c r="V224" s="307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20" t="s">
        <v>332</v>
      </c>
      <c r="B225" s="320"/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54"/>
      <c r="AB225" s="54"/>
      <c r="AC225" s="54"/>
    </row>
    <row r="226" spans="1:68" ht="16.5" customHeight="1" x14ac:dyDescent="0.25">
      <c r="A226" s="321" t="s">
        <v>333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65"/>
      <c r="AB226" s="65"/>
      <c r="AC226" s="82"/>
    </row>
    <row r="227" spans="1:68" ht="14.25" customHeight="1" x14ac:dyDescent="0.25">
      <c r="A227" s="316" t="s">
        <v>82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66"/>
      <c r="AB227" s="66"/>
      <c r="AC227" s="83"/>
    </row>
    <row r="228" spans="1:68" ht="27" customHeight="1" x14ac:dyDescent="0.25">
      <c r="A228" s="63" t="s">
        <v>334</v>
      </c>
      <c r="B228" s="63" t="s">
        <v>335</v>
      </c>
      <c r="C228" s="36">
        <v>4301071036</v>
      </c>
      <c r="D228" s="298">
        <v>4607111036162</v>
      </c>
      <c r="E228" s="298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00"/>
      <c r="R228" s="300"/>
      <c r="S228" s="300"/>
      <c r="T228" s="301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308"/>
      <c r="P229" s="305" t="s">
        <v>40</v>
      </c>
      <c r="Q229" s="306"/>
      <c r="R229" s="306"/>
      <c r="S229" s="306"/>
      <c r="T229" s="306"/>
      <c r="U229" s="306"/>
      <c r="V229" s="30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308"/>
      <c r="P230" s="305" t="s">
        <v>40</v>
      </c>
      <c r="Q230" s="306"/>
      <c r="R230" s="306"/>
      <c r="S230" s="306"/>
      <c r="T230" s="306"/>
      <c r="U230" s="306"/>
      <c r="V230" s="30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20" t="s">
        <v>337</v>
      </c>
      <c r="B231" s="320"/>
      <c r="C231" s="320"/>
      <c r="D231" s="320"/>
      <c r="E231" s="320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54"/>
      <c r="AB231" s="54"/>
      <c r="AC231" s="54"/>
    </row>
    <row r="232" spans="1:68" ht="16.5" customHeight="1" x14ac:dyDescent="0.25">
      <c r="A232" s="321" t="s">
        <v>338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65"/>
      <c r="AB232" s="65"/>
      <c r="AC232" s="82"/>
    </row>
    <row r="233" spans="1:68" ht="14.25" customHeight="1" x14ac:dyDescent="0.25">
      <c r="A233" s="316" t="s">
        <v>339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66"/>
      <c r="AB233" s="66"/>
      <c r="AC233" s="83"/>
    </row>
    <row r="234" spans="1:68" ht="27" customHeight="1" x14ac:dyDescent="0.25">
      <c r="A234" s="63" t="s">
        <v>340</v>
      </c>
      <c r="B234" s="63" t="s">
        <v>341</v>
      </c>
      <c r="C234" s="36">
        <v>4301133004</v>
      </c>
      <c r="D234" s="298">
        <v>4607111039774</v>
      </c>
      <c r="E234" s="298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2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00"/>
      <c r="R234" s="300"/>
      <c r="S234" s="300"/>
      <c r="T234" s="301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308"/>
      <c r="P235" s="305" t="s">
        <v>40</v>
      </c>
      <c r="Q235" s="306"/>
      <c r="R235" s="306"/>
      <c r="S235" s="306"/>
      <c r="T235" s="306"/>
      <c r="U235" s="306"/>
      <c r="V235" s="30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308"/>
      <c r="P236" s="305" t="s">
        <v>40</v>
      </c>
      <c r="Q236" s="306"/>
      <c r="R236" s="306"/>
      <c r="S236" s="306"/>
      <c r="T236" s="306"/>
      <c r="U236" s="306"/>
      <c r="V236" s="30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16" t="s">
        <v>151</v>
      </c>
      <c r="B237" s="316"/>
      <c r="C237" s="316"/>
      <c r="D237" s="316"/>
      <c r="E237" s="316"/>
      <c r="F237" s="316"/>
      <c r="G237" s="316"/>
      <c r="H237" s="316"/>
      <c r="I237" s="316"/>
      <c r="J237" s="316"/>
      <c r="K237" s="316"/>
      <c r="L237" s="316"/>
      <c r="M237" s="316"/>
      <c r="N237" s="316"/>
      <c r="O237" s="316"/>
      <c r="P237" s="316"/>
      <c r="Q237" s="316"/>
      <c r="R237" s="316"/>
      <c r="S237" s="316"/>
      <c r="T237" s="316"/>
      <c r="U237" s="316"/>
      <c r="V237" s="316"/>
      <c r="W237" s="316"/>
      <c r="X237" s="316"/>
      <c r="Y237" s="316"/>
      <c r="Z237" s="316"/>
      <c r="AA237" s="66"/>
      <c r="AB237" s="66"/>
      <c r="AC237" s="83"/>
    </row>
    <row r="238" spans="1:68" ht="37.5" customHeight="1" x14ac:dyDescent="0.25">
      <c r="A238" s="63" t="s">
        <v>343</v>
      </c>
      <c r="B238" s="63" t="s">
        <v>344</v>
      </c>
      <c r="C238" s="36">
        <v>4301135400</v>
      </c>
      <c r="D238" s="298">
        <v>4607111039361</v>
      </c>
      <c r="E238" s="298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00"/>
      <c r="R238" s="300"/>
      <c r="S238" s="300"/>
      <c r="T238" s="301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308"/>
      <c r="P239" s="305" t="s">
        <v>40</v>
      </c>
      <c r="Q239" s="306"/>
      <c r="R239" s="306"/>
      <c r="S239" s="306"/>
      <c r="T239" s="306"/>
      <c r="U239" s="306"/>
      <c r="V239" s="307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308"/>
      <c r="P240" s="305" t="s">
        <v>40</v>
      </c>
      <c r="Q240" s="306"/>
      <c r="R240" s="306"/>
      <c r="S240" s="306"/>
      <c r="T240" s="306"/>
      <c r="U240" s="306"/>
      <c r="V240" s="307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20" t="s">
        <v>345</v>
      </c>
      <c r="B241" s="320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54"/>
      <c r="AB241" s="54"/>
      <c r="AC241" s="54"/>
    </row>
    <row r="242" spans="1:68" ht="16.5" customHeight="1" x14ac:dyDescent="0.25">
      <c r="A242" s="321" t="s">
        <v>345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65"/>
      <c r="AB242" s="65"/>
      <c r="AC242" s="82"/>
    </row>
    <row r="243" spans="1:68" ht="14.25" customHeight="1" x14ac:dyDescent="0.25">
      <c r="A243" s="316" t="s">
        <v>113</v>
      </c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66"/>
      <c r="AB243" s="66"/>
      <c r="AC243" s="83"/>
    </row>
    <row r="244" spans="1:68" ht="27" customHeight="1" x14ac:dyDescent="0.25">
      <c r="A244" s="63" t="s">
        <v>346</v>
      </c>
      <c r="B244" s="63" t="s">
        <v>347</v>
      </c>
      <c r="C244" s="36">
        <v>4301132228</v>
      </c>
      <c r="D244" s="298">
        <v>4640242181950</v>
      </c>
      <c r="E244" s="298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00"/>
      <c r="R244" s="300"/>
      <c r="S244" s="300"/>
      <c r="T244" s="30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308"/>
      <c r="P245" s="305" t="s">
        <v>40</v>
      </c>
      <c r="Q245" s="306"/>
      <c r="R245" s="306"/>
      <c r="S245" s="306"/>
      <c r="T245" s="306"/>
      <c r="U245" s="306"/>
      <c r="V245" s="30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308"/>
      <c r="P246" s="305" t="s">
        <v>40</v>
      </c>
      <c r="Q246" s="306"/>
      <c r="R246" s="306"/>
      <c r="S246" s="306"/>
      <c r="T246" s="306"/>
      <c r="U246" s="306"/>
      <c r="V246" s="30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16" t="s">
        <v>145</v>
      </c>
      <c r="B247" s="316"/>
      <c r="C247" s="316"/>
      <c r="D247" s="316"/>
      <c r="E247" s="316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66"/>
      <c r="AB247" s="66"/>
      <c r="AC247" s="83"/>
    </row>
    <row r="248" spans="1:68" ht="27" customHeight="1" x14ac:dyDescent="0.25">
      <c r="A248" s="63" t="s">
        <v>349</v>
      </c>
      <c r="B248" s="63" t="s">
        <v>350</v>
      </c>
      <c r="C248" s="36">
        <v>4301136098</v>
      </c>
      <c r="D248" s="298">
        <v>4640242181943</v>
      </c>
      <c r="E248" s="298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00"/>
      <c r="R248" s="300"/>
      <c r="S248" s="300"/>
      <c r="T248" s="30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308"/>
      <c r="P249" s="305" t="s">
        <v>40</v>
      </c>
      <c r="Q249" s="306"/>
      <c r="R249" s="306"/>
      <c r="S249" s="306"/>
      <c r="T249" s="306"/>
      <c r="U249" s="306"/>
      <c r="V249" s="307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308"/>
      <c r="P250" s="305" t="s">
        <v>40</v>
      </c>
      <c r="Q250" s="306"/>
      <c r="R250" s="306"/>
      <c r="S250" s="306"/>
      <c r="T250" s="306"/>
      <c r="U250" s="306"/>
      <c r="V250" s="307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20" t="s">
        <v>352</v>
      </c>
      <c r="B251" s="320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54"/>
      <c r="AB251" s="54"/>
      <c r="AC251" s="54"/>
    </row>
    <row r="252" spans="1:68" ht="16.5" customHeight="1" x14ac:dyDescent="0.25">
      <c r="A252" s="321" t="s">
        <v>352</v>
      </c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65"/>
      <c r="AB252" s="65"/>
      <c r="AC252" s="82"/>
    </row>
    <row r="253" spans="1:68" ht="14.25" customHeight="1" x14ac:dyDescent="0.25">
      <c r="A253" s="316" t="s">
        <v>82</v>
      </c>
      <c r="B253" s="316"/>
      <c r="C253" s="316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6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66"/>
      <c r="AB253" s="66"/>
      <c r="AC253" s="83"/>
    </row>
    <row r="254" spans="1:68" ht="27" customHeight="1" x14ac:dyDescent="0.25">
      <c r="A254" s="63" t="s">
        <v>353</v>
      </c>
      <c r="B254" s="63" t="s">
        <v>354</v>
      </c>
      <c r="C254" s="36">
        <v>4301071014</v>
      </c>
      <c r="D254" s="298">
        <v>4640242181264</v>
      </c>
      <c r="E254" s="298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00"/>
      <c r="R254" s="300"/>
      <c r="S254" s="300"/>
      <c r="T254" s="30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356</v>
      </c>
      <c r="B255" s="63" t="s">
        <v>357</v>
      </c>
      <c r="C255" s="36">
        <v>4301071021</v>
      </c>
      <c r="D255" s="298">
        <v>4640242181325</v>
      </c>
      <c r="E255" s="298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00"/>
      <c r="R255" s="300"/>
      <c r="S255" s="300"/>
      <c r="T255" s="301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308"/>
      <c r="P256" s="305" t="s">
        <v>40</v>
      </c>
      <c r="Q256" s="306"/>
      <c r="R256" s="306"/>
      <c r="S256" s="306"/>
      <c r="T256" s="306"/>
      <c r="U256" s="306"/>
      <c r="V256" s="307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308"/>
      <c r="P257" s="305" t="s">
        <v>40</v>
      </c>
      <c r="Q257" s="306"/>
      <c r="R257" s="306"/>
      <c r="S257" s="306"/>
      <c r="T257" s="306"/>
      <c r="U257" s="306"/>
      <c r="V257" s="307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customHeight="1" x14ac:dyDescent="0.25">
      <c r="A258" s="316" t="s">
        <v>113</v>
      </c>
      <c r="B258" s="316"/>
      <c r="C258" s="316"/>
      <c r="D258" s="316"/>
      <c r="E258" s="316"/>
      <c r="F258" s="316"/>
      <c r="G258" s="316"/>
      <c r="H258" s="316"/>
      <c r="I258" s="316"/>
      <c r="J258" s="316"/>
      <c r="K258" s="316"/>
      <c r="L258" s="316"/>
      <c r="M258" s="316"/>
      <c r="N258" s="316"/>
      <c r="O258" s="316"/>
      <c r="P258" s="316"/>
      <c r="Q258" s="316"/>
      <c r="R258" s="316"/>
      <c r="S258" s="316"/>
      <c r="T258" s="316"/>
      <c r="U258" s="316"/>
      <c r="V258" s="316"/>
      <c r="W258" s="316"/>
      <c r="X258" s="316"/>
      <c r="Y258" s="316"/>
      <c r="Z258" s="316"/>
      <c r="AA258" s="66"/>
      <c r="AB258" s="66"/>
      <c r="AC258" s="83"/>
    </row>
    <row r="259" spans="1:68" ht="27" customHeight="1" x14ac:dyDescent="0.25">
      <c r="A259" s="63" t="s">
        <v>358</v>
      </c>
      <c r="B259" s="63" t="s">
        <v>359</v>
      </c>
      <c r="C259" s="36">
        <v>4301132080</v>
      </c>
      <c r="D259" s="298">
        <v>4640242180397</v>
      </c>
      <c r="E259" s="298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00"/>
      <c r="R259" s="300"/>
      <c r="S259" s="300"/>
      <c r="T259" s="301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360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x14ac:dyDescent="0.2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308"/>
      <c r="P260" s="305" t="s">
        <v>40</v>
      </c>
      <c r="Q260" s="306"/>
      <c r="R260" s="306"/>
      <c r="S260" s="306"/>
      <c r="T260" s="306"/>
      <c r="U260" s="306"/>
      <c r="V260" s="307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x14ac:dyDescent="0.2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308"/>
      <c r="P261" s="305" t="s">
        <v>40</v>
      </c>
      <c r="Q261" s="306"/>
      <c r="R261" s="306"/>
      <c r="S261" s="306"/>
      <c r="T261" s="306"/>
      <c r="U261" s="306"/>
      <c r="V261" s="307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customHeight="1" x14ac:dyDescent="0.25">
      <c r="A262" s="316" t="s">
        <v>145</v>
      </c>
      <c r="B262" s="316"/>
      <c r="C262" s="316"/>
      <c r="D262" s="316"/>
      <c r="E262" s="316"/>
      <c r="F262" s="316"/>
      <c r="G262" s="316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66"/>
      <c r="AB262" s="66"/>
      <c r="AC262" s="83"/>
    </row>
    <row r="263" spans="1:68" ht="27" customHeight="1" x14ac:dyDescent="0.25">
      <c r="A263" s="63" t="s">
        <v>361</v>
      </c>
      <c r="B263" s="63" t="s">
        <v>362</v>
      </c>
      <c r="C263" s="36">
        <v>4301136051</v>
      </c>
      <c r="D263" s="298">
        <v>4640242180304</v>
      </c>
      <c r="E263" s="298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31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00"/>
      <c r="R263" s="300"/>
      <c r="S263" s="300"/>
      <c r="T263" s="301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363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4301136053</v>
      </c>
      <c r="D264" s="298">
        <v>4640242180236</v>
      </c>
      <c r="E264" s="298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00"/>
      <c r="R264" s="300"/>
      <c r="S264" s="300"/>
      <c r="T264" s="301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363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4301136052</v>
      </c>
      <c r="D265" s="298">
        <v>4640242180410</v>
      </c>
      <c r="E265" s="298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00"/>
      <c r="R265" s="300"/>
      <c r="S265" s="300"/>
      <c r="T265" s="301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363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x14ac:dyDescent="0.2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308"/>
      <c r="P266" s="305" t="s">
        <v>40</v>
      </c>
      <c r="Q266" s="306"/>
      <c r="R266" s="306"/>
      <c r="S266" s="306"/>
      <c r="T266" s="306"/>
      <c r="U266" s="306"/>
      <c r="V266" s="307"/>
      <c r="W266" s="42" t="s">
        <v>39</v>
      </c>
      <c r="X266" s="43">
        <f>IFERROR(SUM(X263:X265),"0")</f>
        <v>0</v>
      </c>
      <c r="Y266" s="43">
        <f>IFERROR(SUM(Y263:Y265),"0")</f>
        <v>0</v>
      </c>
      <c r="Z266" s="43">
        <f>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308"/>
      <c r="P267" s="305" t="s">
        <v>40</v>
      </c>
      <c r="Q267" s="306"/>
      <c r="R267" s="306"/>
      <c r="S267" s="306"/>
      <c r="T267" s="306"/>
      <c r="U267" s="306"/>
      <c r="V267" s="307"/>
      <c r="W267" s="42" t="s">
        <v>0</v>
      </c>
      <c r="X267" s="43">
        <f>IFERROR(SUMPRODUCT(X263:X265*H263:H265),"0")</f>
        <v>0</v>
      </c>
      <c r="Y267" s="43">
        <f>IFERROR(SUMPRODUCT(Y263:Y265*H263:H265),"0")</f>
        <v>0</v>
      </c>
      <c r="Z267" s="42"/>
      <c r="AA267" s="67"/>
      <c r="AB267" s="67"/>
      <c r="AC267" s="67"/>
    </row>
    <row r="268" spans="1:68" ht="14.25" customHeight="1" x14ac:dyDescent="0.25">
      <c r="A268" s="316" t="s">
        <v>151</v>
      </c>
      <c r="B268" s="316"/>
      <c r="C268" s="316"/>
      <c r="D268" s="316"/>
      <c r="E268" s="316"/>
      <c r="F268" s="316"/>
      <c r="G268" s="316"/>
      <c r="H268" s="316"/>
      <c r="I268" s="316"/>
      <c r="J268" s="316"/>
      <c r="K268" s="316"/>
      <c r="L268" s="316"/>
      <c r="M268" s="316"/>
      <c r="N268" s="316"/>
      <c r="O268" s="316"/>
      <c r="P268" s="316"/>
      <c r="Q268" s="316"/>
      <c r="R268" s="316"/>
      <c r="S268" s="316"/>
      <c r="T268" s="316"/>
      <c r="U268" s="316"/>
      <c r="V268" s="316"/>
      <c r="W268" s="316"/>
      <c r="X268" s="316"/>
      <c r="Y268" s="316"/>
      <c r="Z268" s="316"/>
      <c r="AA268" s="66"/>
      <c r="AB268" s="66"/>
      <c r="AC268" s="83"/>
    </row>
    <row r="269" spans="1:68" ht="37.5" customHeight="1" x14ac:dyDescent="0.25">
      <c r="A269" s="63" t="s">
        <v>368</v>
      </c>
      <c r="B269" s="63" t="s">
        <v>369</v>
      </c>
      <c r="C269" s="36">
        <v>4301135504</v>
      </c>
      <c r="D269" s="298">
        <v>4640242181554</v>
      </c>
      <c r="E269" s="298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31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00"/>
      <c r="R269" s="300"/>
      <c r="S269" s="300"/>
      <c r="T269" s="30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370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customHeight="1" x14ac:dyDescent="0.25">
      <c r="A270" s="63" t="s">
        <v>371</v>
      </c>
      <c r="B270" s="63" t="s">
        <v>372</v>
      </c>
      <c r="C270" s="36">
        <v>4301135518</v>
      </c>
      <c r="D270" s="298">
        <v>4640242181561</v>
      </c>
      <c r="E270" s="298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30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300"/>
      <c r="R270" s="300"/>
      <c r="S270" s="300"/>
      <c r="T270" s="30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373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374</v>
      </c>
      <c r="B271" s="63" t="s">
        <v>375</v>
      </c>
      <c r="C271" s="36">
        <v>4301135374</v>
      </c>
      <c r="D271" s="298">
        <v>4640242181424</v>
      </c>
      <c r="E271" s="298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00"/>
      <c r="R271" s="300"/>
      <c r="S271" s="300"/>
      <c r="T271" s="30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73" t="s">
        <v>370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376</v>
      </c>
      <c r="B272" s="63" t="s">
        <v>377</v>
      </c>
      <c r="C272" s="36">
        <v>4301135405</v>
      </c>
      <c r="D272" s="298">
        <v>4640242181523</v>
      </c>
      <c r="E272" s="298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00"/>
      <c r="R272" s="300"/>
      <c r="S272" s="300"/>
      <c r="T272" s="301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ref="Z272:Z277" si="23">IFERROR(IF(X272="","",X272*0.00936),"")</f>
        <v>0</v>
      </c>
      <c r="AA272" s="68" t="s">
        <v>46</v>
      </c>
      <c r="AB272" s="69" t="s">
        <v>46</v>
      </c>
      <c r="AC272" s="275" t="s">
        <v>373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378</v>
      </c>
      <c r="B273" s="63" t="s">
        <v>379</v>
      </c>
      <c r="C273" s="36">
        <v>4301135375</v>
      </c>
      <c r="D273" s="298">
        <v>4640242181486</v>
      </c>
      <c r="E273" s="298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00"/>
      <c r="R273" s="300"/>
      <c r="S273" s="300"/>
      <c r="T273" s="30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370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380</v>
      </c>
      <c r="B274" s="63" t="s">
        <v>381</v>
      </c>
      <c r="C274" s="36">
        <v>4301135402</v>
      </c>
      <c r="D274" s="298">
        <v>4640242181493</v>
      </c>
      <c r="E274" s="298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1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00"/>
      <c r="R274" s="300"/>
      <c r="S274" s="300"/>
      <c r="T274" s="30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370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382</v>
      </c>
      <c r="B275" s="63" t="s">
        <v>383</v>
      </c>
      <c r="C275" s="36">
        <v>4301135403</v>
      </c>
      <c r="D275" s="298">
        <v>4640242181509</v>
      </c>
      <c r="E275" s="298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00"/>
      <c r="R275" s="300"/>
      <c r="S275" s="300"/>
      <c r="T275" s="30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370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384</v>
      </c>
      <c r="B276" s="63" t="s">
        <v>385</v>
      </c>
      <c r="C276" s="36">
        <v>4301135304</v>
      </c>
      <c r="D276" s="298">
        <v>4640242181240</v>
      </c>
      <c r="E276" s="298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0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00"/>
      <c r="R276" s="300"/>
      <c r="S276" s="300"/>
      <c r="T276" s="30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370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386</v>
      </c>
      <c r="B277" s="63" t="s">
        <v>387</v>
      </c>
      <c r="C277" s="36">
        <v>4301135610</v>
      </c>
      <c r="D277" s="298">
        <v>4640242181318</v>
      </c>
      <c r="E277" s="298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00"/>
      <c r="R277" s="300"/>
      <c r="S277" s="300"/>
      <c r="T277" s="30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373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388</v>
      </c>
      <c r="B278" s="63" t="s">
        <v>389</v>
      </c>
      <c r="C278" s="36">
        <v>4301135306</v>
      </c>
      <c r="D278" s="298">
        <v>4640242181387</v>
      </c>
      <c r="E278" s="298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163</v>
      </c>
      <c r="L278" s="37" t="s">
        <v>88</v>
      </c>
      <c r="M278" s="38" t="s">
        <v>86</v>
      </c>
      <c r="N278" s="38"/>
      <c r="O278" s="37">
        <v>180</v>
      </c>
      <c r="P278" s="30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00"/>
      <c r="R278" s="300"/>
      <c r="S278" s="300"/>
      <c r="T278" s="301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370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308"/>
      <c r="P279" s="305" t="s">
        <v>40</v>
      </c>
      <c r="Q279" s="306"/>
      <c r="R279" s="306"/>
      <c r="S279" s="306"/>
      <c r="T279" s="306"/>
      <c r="U279" s="306"/>
      <c r="V279" s="307"/>
      <c r="W279" s="42" t="s">
        <v>39</v>
      </c>
      <c r="X279" s="43">
        <f>IFERROR(SUM(X269:X278),"0")</f>
        <v>0</v>
      </c>
      <c r="Y279" s="43">
        <f>IFERROR(SUM(Y269:Y278),"0")</f>
        <v>0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308"/>
      <c r="P280" s="305" t="s">
        <v>40</v>
      </c>
      <c r="Q280" s="306"/>
      <c r="R280" s="306"/>
      <c r="S280" s="306"/>
      <c r="T280" s="306"/>
      <c r="U280" s="306"/>
      <c r="V280" s="307"/>
      <c r="W280" s="42" t="s">
        <v>0</v>
      </c>
      <c r="X280" s="43">
        <f>IFERROR(SUMPRODUCT(X269:X278*H269:H278),"0")</f>
        <v>0</v>
      </c>
      <c r="Y280" s="43">
        <f>IFERROR(SUMPRODUCT(Y269:Y278*H269:H278),"0")</f>
        <v>0</v>
      </c>
      <c r="Z280" s="42"/>
      <c r="AA280" s="67"/>
      <c r="AB280" s="67"/>
      <c r="AC280" s="67"/>
    </row>
    <row r="281" spans="1:68" ht="15" customHeight="1" x14ac:dyDescent="0.2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6"/>
      <c r="P281" s="292" t="s">
        <v>33</v>
      </c>
      <c r="Q281" s="293"/>
      <c r="R281" s="293"/>
      <c r="S281" s="293"/>
      <c r="T281" s="293"/>
      <c r="U281" s="293"/>
      <c r="V281" s="294"/>
      <c r="W281" s="42" t="s">
        <v>0</v>
      </c>
      <c r="X281" s="43">
        <f>IFERROR(X31+X37+X44+X50+X58+X63+X68+X74+X80+X85+X91+X101+X107+X120+X124+X128+X136+X142+X148+X154+X160+X165+X170+X175+X182+X187+X196+X202+X208+X214+X219+X224+X230+X236+X240+X246+X250+X257+X261+X267+X280,"0")</f>
        <v>0</v>
      </c>
      <c r="Y281" s="43">
        <f>IFERROR(Y31+Y37+Y44+Y50+Y58+Y63+Y68+Y74+Y80+Y85+Y91+Y101+Y107+Y120+Y124+Y128+Y136+Y142+Y148+Y154+Y160+Y165+Y170+Y175+Y182+Y187+Y196+Y202+Y208+Y214+Y219+Y224+Y230+Y236+Y240+Y246+Y250+Y257+Y261+Y267+Y280,"0")</f>
        <v>0</v>
      </c>
      <c r="Z281" s="42"/>
      <c r="AA281" s="67"/>
      <c r="AB281" s="67"/>
      <c r="AC281" s="67"/>
    </row>
    <row r="282" spans="1:68" x14ac:dyDescent="0.2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6"/>
      <c r="P282" s="292" t="s">
        <v>34</v>
      </c>
      <c r="Q282" s="293"/>
      <c r="R282" s="293"/>
      <c r="S282" s="293"/>
      <c r="T282" s="293"/>
      <c r="U282" s="293"/>
      <c r="V282" s="294"/>
      <c r="W282" s="42" t="s">
        <v>0</v>
      </c>
      <c r="X282" s="43">
        <f>IFERROR(SUM(BM22:BM278),"0")</f>
        <v>0</v>
      </c>
      <c r="Y282" s="43">
        <f>IFERROR(SUM(BN22:BN278),"0")</f>
        <v>0</v>
      </c>
      <c r="Z282" s="42"/>
      <c r="AA282" s="67"/>
      <c r="AB282" s="67"/>
      <c r="AC282" s="67"/>
    </row>
    <row r="283" spans="1:68" x14ac:dyDescent="0.2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6"/>
      <c r="P283" s="292" t="s">
        <v>35</v>
      </c>
      <c r="Q283" s="293"/>
      <c r="R283" s="293"/>
      <c r="S283" s="293"/>
      <c r="T283" s="293"/>
      <c r="U283" s="293"/>
      <c r="V283" s="294"/>
      <c r="W283" s="42" t="s">
        <v>20</v>
      </c>
      <c r="X283" s="44">
        <f>ROUNDUP(SUM(BO22:BO278),0)</f>
        <v>0</v>
      </c>
      <c r="Y283" s="44">
        <f>ROUNDUP(SUM(BP22:BP278),0)</f>
        <v>0</v>
      </c>
      <c r="Z283" s="42"/>
      <c r="AA283" s="67"/>
      <c r="AB283" s="67"/>
      <c r="AC283" s="67"/>
    </row>
    <row r="284" spans="1:68" x14ac:dyDescent="0.2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6"/>
      <c r="P284" s="292" t="s">
        <v>36</v>
      </c>
      <c r="Q284" s="293"/>
      <c r="R284" s="293"/>
      <c r="S284" s="293"/>
      <c r="T284" s="293"/>
      <c r="U284" s="293"/>
      <c r="V284" s="294"/>
      <c r="W284" s="42" t="s">
        <v>0</v>
      </c>
      <c r="X284" s="43">
        <f>GrossWeightTotal+PalletQtyTotal*25</f>
        <v>0</v>
      </c>
      <c r="Y284" s="43">
        <f>GrossWeightTotalR+PalletQtyTotalR*25</f>
        <v>0</v>
      </c>
      <c r="Z284" s="42"/>
      <c r="AA284" s="67"/>
      <c r="AB284" s="67"/>
      <c r="AC284" s="67"/>
    </row>
    <row r="285" spans="1:68" x14ac:dyDescent="0.2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6"/>
      <c r="P285" s="292" t="s">
        <v>37</v>
      </c>
      <c r="Q285" s="293"/>
      <c r="R285" s="293"/>
      <c r="S285" s="293"/>
      <c r="T285" s="293"/>
      <c r="U285" s="293"/>
      <c r="V285" s="294"/>
      <c r="W285" s="42" t="s">
        <v>20</v>
      </c>
      <c r="X285" s="43">
        <f>IFERROR(X30+X36+X43+X49+X57+X62+X67+X73+X79+X84+X90+X100+X106+X119+X123+X127+X135+X141+X147+X153+X159+X164+X169+X174+X181+X186+X195+X201+X207+X213+X218+X223+X229+X235+X239+X245+X249+X256+X260+X266+X279,"0")</f>
        <v>0</v>
      </c>
      <c r="Y285" s="43">
        <f>IFERROR(Y30+Y36+Y43+Y49+Y57+Y62+Y67+Y73+Y79+Y84+Y90+Y100+Y106+Y119+Y123+Y127+Y135+Y141+Y147+Y153+Y159+Y164+Y169+Y174+Y181+Y186+Y195+Y201+Y207+Y213+Y218+Y223+Y229+Y235+Y239+Y245+Y249+Y256+Y260+Y266+Y279,"0")</f>
        <v>0</v>
      </c>
      <c r="Z285" s="42"/>
      <c r="AA285" s="67"/>
      <c r="AB285" s="67"/>
      <c r="AC285" s="67"/>
    </row>
    <row r="286" spans="1:68" ht="14.25" x14ac:dyDescent="0.2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6"/>
      <c r="P286" s="292" t="s">
        <v>38</v>
      </c>
      <c r="Q286" s="293"/>
      <c r="R286" s="293"/>
      <c r="S286" s="293"/>
      <c r="T286" s="293"/>
      <c r="U286" s="293"/>
      <c r="V286" s="294"/>
      <c r="W286" s="45" t="s">
        <v>52</v>
      </c>
      <c r="X286" s="42"/>
      <c r="Y286" s="42"/>
      <c r="Z286" s="42">
        <f>IFERROR(Z30+Z36+Z43+Z49+Z57+Z62+Z67+Z73+Z79+Z84+Z90+Z100+Z106+Z119+Z123+Z127+Z135+Z141+Z147+Z153+Z159+Z164+Z169+Z174+Z181+Z186+Z195+Z201+Z207+Z213+Z218+Z223+Z229+Z235+Z239+Z245+Z249+Z256+Z260+Z266+Z279,"0")</f>
        <v>0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289" t="s">
        <v>81</v>
      </c>
      <c r="C288" s="289" t="s">
        <v>81</v>
      </c>
      <c r="D288" s="289" t="s">
        <v>45</v>
      </c>
      <c r="E288" s="289" t="s">
        <v>45</v>
      </c>
      <c r="F288" s="289" t="s">
        <v>45</v>
      </c>
      <c r="G288" s="289" t="s">
        <v>45</v>
      </c>
      <c r="H288" s="289" t="s">
        <v>45</v>
      </c>
      <c r="I288" s="289" t="s">
        <v>45</v>
      </c>
      <c r="J288" s="289" t="s">
        <v>45</v>
      </c>
      <c r="K288" s="289" t="s">
        <v>45</v>
      </c>
      <c r="L288" s="289" t="s">
        <v>45</v>
      </c>
      <c r="M288" s="289" t="s">
        <v>45</v>
      </c>
      <c r="N288" s="297"/>
      <c r="O288" s="289" t="s">
        <v>45</v>
      </c>
      <c r="P288" s="289" t="s">
        <v>45</v>
      </c>
      <c r="Q288" s="289" t="s">
        <v>45</v>
      </c>
      <c r="R288" s="289" t="s">
        <v>45</v>
      </c>
      <c r="S288" s="289" t="s">
        <v>45</v>
      </c>
      <c r="T288" s="289" t="s">
        <v>45</v>
      </c>
      <c r="U288" s="289" t="s">
        <v>45</v>
      </c>
      <c r="V288" s="289" t="s">
        <v>278</v>
      </c>
      <c r="W288" s="289" t="s">
        <v>278</v>
      </c>
      <c r="X288" s="88" t="s">
        <v>289</v>
      </c>
      <c r="Y288" s="289" t="s">
        <v>303</v>
      </c>
      <c r="Z288" s="289" t="s">
        <v>303</v>
      </c>
      <c r="AA288" s="289" t="s">
        <v>303</v>
      </c>
      <c r="AB288" s="289" t="s">
        <v>303</v>
      </c>
      <c r="AC288" s="88" t="s">
        <v>332</v>
      </c>
      <c r="AD288" s="88" t="s">
        <v>337</v>
      </c>
      <c r="AE288" s="88" t="s">
        <v>345</v>
      </c>
      <c r="AF288" s="88" t="s">
        <v>352</v>
      </c>
    </row>
    <row r="289" spans="1:32" ht="14.25" customHeight="1" thickTop="1" x14ac:dyDescent="0.2">
      <c r="A289" s="290" t="s">
        <v>10</v>
      </c>
      <c r="B289" s="289" t="s">
        <v>81</v>
      </c>
      <c r="C289" s="289" t="s">
        <v>106</v>
      </c>
      <c r="D289" s="289" t="s">
        <v>112</v>
      </c>
      <c r="E289" s="289" t="s">
        <v>123</v>
      </c>
      <c r="F289" s="289" t="s">
        <v>130</v>
      </c>
      <c r="G289" s="289" t="s">
        <v>141</v>
      </c>
      <c r="H289" s="289" t="s">
        <v>159</v>
      </c>
      <c r="I289" s="289" t="s">
        <v>166</v>
      </c>
      <c r="J289" s="289" t="s">
        <v>170</v>
      </c>
      <c r="K289" s="289" t="s">
        <v>178</v>
      </c>
      <c r="L289" s="289" t="s">
        <v>194</v>
      </c>
      <c r="M289" s="289" t="s">
        <v>201</v>
      </c>
      <c r="N289" s="1"/>
      <c r="O289" s="289" t="s">
        <v>231</v>
      </c>
      <c r="P289" s="289" t="s">
        <v>249</v>
      </c>
      <c r="Q289" s="289" t="s">
        <v>255</v>
      </c>
      <c r="R289" s="289" t="s">
        <v>262</v>
      </c>
      <c r="S289" s="289" t="s">
        <v>267</v>
      </c>
      <c r="T289" s="289" t="s">
        <v>271</v>
      </c>
      <c r="U289" s="289" t="s">
        <v>274</v>
      </c>
      <c r="V289" s="289" t="s">
        <v>279</v>
      </c>
      <c r="W289" s="289" t="s">
        <v>286</v>
      </c>
      <c r="X289" s="289" t="s">
        <v>290</v>
      </c>
      <c r="Y289" s="289" t="s">
        <v>304</v>
      </c>
      <c r="Z289" s="289" t="s">
        <v>317</v>
      </c>
      <c r="AA289" s="289" t="s">
        <v>324</v>
      </c>
      <c r="AB289" s="289" t="s">
        <v>328</v>
      </c>
      <c r="AC289" s="289" t="s">
        <v>333</v>
      </c>
      <c r="AD289" s="289" t="s">
        <v>338</v>
      </c>
      <c r="AE289" s="289" t="s">
        <v>345</v>
      </c>
      <c r="AF289" s="289" t="s">
        <v>352</v>
      </c>
    </row>
    <row r="290" spans="1:32" ht="13.5" thickBot="1" x14ac:dyDescent="0.25">
      <c r="A290" s="291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1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0</v>
      </c>
      <c r="C291" s="52">
        <f>IFERROR(X34*H34,"0")+IFERROR(X35*H35,"0")</f>
        <v>0</v>
      </c>
      <c r="D291" s="52">
        <f>IFERROR(X41*H41,"0")+IFERROR(X42*H42,"0")</f>
        <v>0</v>
      </c>
      <c r="E291" s="52">
        <f>IFERROR(X47*H47,"0")+IFERROR(X48*H48,"0")</f>
        <v>0</v>
      </c>
      <c r="F291" s="52">
        <f>IFERROR(X53*H53,"0")+IFERROR(X54*H54,"0")+IFERROR(X55*H55,"0")+IFERROR(X56*H56,"0")</f>
        <v>0</v>
      </c>
      <c r="G291" s="52">
        <f>IFERROR(X61*H61,"0")+IFERROR(X65*H65,"0")+IFERROR(X66*H66,"0")+IFERROR(X70*H70,"0")+IFERROR(X71*H71,"0")+IFERROR(X72*H72,"0")</f>
        <v>0</v>
      </c>
      <c r="H291" s="52">
        <f>IFERROR(X77*H77,"0")+IFERROR(X78*H78,"0")</f>
        <v>0</v>
      </c>
      <c r="I291" s="52">
        <f>IFERROR(X83*H83,"0")</f>
        <v>0</v>
      </c>
      <c r="J291" s="52">
        <f>IFERROR(X88*H88,"0")+IFERROR(X89*H89,"0")</f>
        <v>0</v>
      </c>
      <c r="K291" s="52">
        <f>IFERROR(X94*H94,"0")+IFERROR(X95*H95,"0")+IFERROR(X96*H96,"0")+IFERROR(X97*H97,"0")+IFERROR(X98*H98,"0")+IFERROR(X99*H99,"0")</f>
        <v>0</v>
      </c>
      <c r="L291" s="52">
        <f>IFERROR(X104*H104,"0")+IFERROR(X105*H105,"0")</f>
        <v>0</v>
      </c>
      <c r="M291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1" s="1"/>
      <c r="O291" s="52">
        <f>IFERROR(X131*H131,"0")+IFERROR(X132*H132,"0")+IFERROR(X133*H133,"0")+IFERROR(X134*H134,"0")+IFERROR(X138*H138,"0")+IFERROR(X139*H139,"0")+IFERROR(X140*H140,"0")</f>
        <v>0</v>
      </c>
      <c r="P291" s="52">
        <f>IFERROR(X145*H145,"0")+IFERROR(X146*H146,"0")</f>
        <v>0</v>
      </c>
      <c r="Q291" s="52">
        <f>IFERROR(X151*H151,"0")+IFERROR(X152*H152,"0")</f>
        <v>0</v>
      </c>
      <c r="R291" s="52">
        <f>IFERROR(X157*H157,"0")+IFERROR(X158*H158,"0")</f>
        <v>0</v>
      </c>
      <c r="S291" s="52">
        <f>IFERROR(X163*H163,"0")</f>
        <v>0</v>
      </c>
      <c r="T291" s="52">
        <f>IFERROR(X168*H168,"0")</f>
        <v>0</v>
      </c>
      <c r="U291" s="52">
        <f>IFERROR(X173*H173,"0")</f>
        <v>0</v>
      </c>
      <c r="V291" s="52">
        <f>IFERROR(X179*H179,"0")+IFERROR(X180*H180,"0")</f>
        <v>0</v>
      </c>
      <c r="W291" s="52">
        <f>IFERROR(X185*H185,"0")</f>
        <v>0</v>
      </c>
      <c r="X291" s="52">
        <f>IFERROR(X191*H191,"0")+IFERROR(X192*H192,"0")+IFERROR(X193*H193,"0")+IFERROR(X194*H194,"0")</f>
        <v>0</v>
      </c>
      <c r="Y291" s="52">
        <f>IFERROR(X200*H200,"0")+IFERROR(X204*H204,"0")+IFERROR(X205*H205,"0")+IFERROR(X206*H206,"0")</f>
        <v>0</v>
      </c>
      <c r="Z291" s="52">
        <f>IFERROR(X211*H211,"0")+IFERROR(X212*H212,"0")</f>
        <v>0</v>
      </c>
      <c r="AA291" s="52">
        <f>IFERROR(X217*H217,"0")</f>
        <v>0</v>
      </c>
      <c r="AB291" s="52">
        <f>IFERROR(X222*H222,"0")</f>
        <v>0</v>
      </c>
      <c r="AC291" s="52">
        <f>IFERROR(X228*H228,"0")</f>
        <v>0</v>
      </c>
      <c r="AD291" s="52">
        <f>IFERROR(X234*H234,"0")+IFERROR(X238*H238,"0")</f>
        <v>0</v>
      </c>
      <c r="AE291" s="52">
        <f>IFERROR(X244*H244,"0")+IFERROR(X248*H248,"0")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0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0</v>
      </c>
      <c r="B294" s="72">
        <f>SUMPRODUCT(--(BB:BB="ПГП"),--(W:W="кор"),H:H,Y:Y)+SUMPRODUCT(--(BB:BB="ПГП"),--(W:W="кг"),Y:Y)</f>
        <v>0</v>
      </c>
      <c r="C294" s="72">
        <f>SUMPRODUCT(--(BB:BB="КИЗ"),--(W:W="кор"),H:H,Y:Y)+SUMPRODUCT(--(BB:BB="КИЗ"),--(W:W="кг"),Y:Y)</f>
        <v>0</v>
      </c>
    </row>
  </sheetData>
  <sheetProtection algorithmName="SHA-512" hashValue="1SMODQG15xj3uNBcAu287HlDOwsAn5s9Dj0Ph/VRZjVK5zPU4+/zY1pxz3UCruaLWiH/Xx71KFLckE3aTmZ0pQ==" saltValue="jhphcYpEuJAjDXV1A/gv3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T289:T290"/>
    <mergeCell ref="U289:U290"/>
    <mergeCell ref="V289:V290"/>
    <mergeCell ref="W289:W290"/>
    <mergeCell ref="X289:X290"/>
    <mergeCell ref="P281:V281"/>
    <mergeCell ref="A281:O286"/>
    <mergeCell ref="P282:V282"/>
    <mergeCell ref="P283:V283"/>
    <mergeCell ref="P284:V284"/>
    <mergeCell ref="P285:V285"/>
    <mergeCell ref="P286:V286"/>
    <mergeCell ref="B288:C288"/>
    <mergeCell ref="D288:U288"/>
    <mergeCell ref="V288:W288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Y289:Y290"/>
    <mergeCell ref="Z289:Z290"/>
    <mergeCell ref="AA289:AA290"/>
    <mergeCell ref="AB289:AB290"/>
    <mergeCell ref="AC289:AC290"/>
    <mergeCell ref="AD289:AD290"/>
    <mergeCell ref="AE289:AE290"/>
    <mergeCell ref="AF289:AF290"/>
    <mergeCell ref="Y288:AB28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4 X238 X234 X228 X222 X211:X212 X204 X194 X185 X173 X157 X151:X152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17 X205:X206 X200 X191:X193 X179:X180 X168 X163 X158 X145:X146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390</v>
      </c>
      <c r="H1" s="9"/>
    </row>
    <row r="3" spans="2:8" x14ac:dyDescent="0.2">
      <c r="B3" s="53" t="s">
        <v>391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393</v>
      </c>
      <c r="D6" s="53" t="s">
        <v>394</v>
      </c>
      <c r="E6" s="53" t="s">
        <v>46</v>
      </c>
    </row>
    <row r="8" spans="2:8" x14ac:dyDescent="0.2">
      <c r="B8" s="53" t="s">
        <v>80</v>
      </c>
      <c r="C8" s="53" t="s">
        <v>393</v>
      </c>
      <c r="D8" s="53" t="s">
        <v>46</v>
      </c>
      <c r="E8" s="53" t="s">
        <v>46</v>
      </c>
    </row>
    <row r="10" spans="2:8" x14ac:dyDescent="0.2">
      <c r="B10" s="53" t="s">
        <v>395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405</v>
      </c>
      <c r="C20" s="53" t="s">
        <v>46</v>
      </c>
      <c r="D20" s="53" t="s">
        <v>46</v>
      </c>
      <c r="E20" s="53" t="s">
        <v>46</v>
      </c>
    </row>
  </sheetData>
  <sheetProtection algorithmName="SHA-512" hashValue="O7UgjMboGYN+U/XYugWlPxcTrPq7GXpSrwt4yWQjRI9Aw6WooGQAUPRI4FqLNKidRsdbaDwcMlikqg8nGCywkA==" saltValue="+hNfV6iRY3Gq8jvvVm6/r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442</vt:i4>
      </vt:variant>
    </vt:vector>
  </HeadingPairs>
  <TitlesOfParts>
    <vt:vector size="44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2026-08-27T11:06:26Z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