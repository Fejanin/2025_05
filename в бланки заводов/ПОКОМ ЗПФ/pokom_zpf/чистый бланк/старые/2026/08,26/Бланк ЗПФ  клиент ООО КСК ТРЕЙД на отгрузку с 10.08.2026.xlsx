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657AA41-C407-48BD-B589-6D09E62348C6}" xr6:coauthVersionLast="47" xr6:coauthVersionMax="47" xr10:uidLastSave="{00000000-0000-0000-0000-000000000000}"/>
  <bookViews>
    <workbookView xWindow="960" yWindow="0" windowWidth="22485" windowHeight="1516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N277" i="2"/>
  <c r="BM277" i="2"/>
  <c r="Z277" i="2"/>
  <c r="Y277" i="2"/>
  <c r="BP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N275" i="2" s="1"/>
  <c r="P275" i="2"/>
  <c r="BO274" i="2"/>
  <c r="BM274" i="2"/>
  <c r="Z274" i="2"/>
  <c r="Y274" i="2"/>
  <c r="BP274" i="2" s="1"/>
  <c r="P274" i="2"/>
  <c r="BO273" i="2"/>
  <c r="BN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P268" i="2" s="1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N263" i="2" s="1"/>
  <c r="P263" i="2"/>
  <c r="BO262" i="2"/>
  <c r="BM262" i="2"/>
  <c r="Z262" i="2"/>
  <c r="Z265" i="2" s="1"/>
  <c r="Y262" i="2"/>
  <c r="BN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Z255" i="2" s="1"/>
  <c r="Y254" i="2"/>
  <c r="P254" i="2"/>
  <c r="BO253" i="2"/>
  <c r="BM253" i="2"/>
  <c r="Z253" i="2"/>
  <c r="Y253" i="2"/>
  <c r="BP253" i="2" s="1"/>
  <c r="P253" i="2"/>
  <c r="X249" i="2"/>
  <c r="X248" i="2"/>
  <c r="BO247" i="2"/>
  <c r="BM247" i="2"/>
  <c r="Z247" i="2"/>
  <c r="Z248" i="2" s="1"/>
  <c r="Y247" i="2"/>
  <c r="BN247" i="2" s="1"/>
  <c r="P247" i="2"/>
  <c r="Y245" i="2"/>
  <c r="X245" i="2"/>
  <c r="Y244" i="2"/>
  <c r="X244" i="2"/>
  <c r="BP243" i="2"/>
  <c r="BO243" i="2"/>
  <c r="BN243" i="2"/>
  <c r="BM243" i="2"/>
  <c r="Z243" i="2"/>
  <c r="Z244" i="2" s="1"/>
  <c r="Y243" i="2"/>
  <c r="P243" i="2"/>
  <c r="X239" i="2"/>
  <c r="X238" i="2"/>
  <c r="BO237" i="2"/>
  <c r="BM237" i="2"/>
  <c r="Z237" i="2"/>
  <c r="Z238" i="2" s="1"/>
  <c r="Y237" i="2"/>
  <c r="BP237" i="2" s="1"/>
  <c r="P237" i="2"/>
  <c r="Y235" i="2"/>
  <c r="X235" i="2"/>
  <c r="X234" i="2"/>
  <c r="BP233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Y229" i="2" s="1"/>
  <c r="P227" i="2"/>
  <c r="X223" i="2"/>
  <c r="X222" i="2"/>
  <c r="BP221" i="2"/>
  <c r="BO221" i="2"/>
  <c r="BM221" i="2"/>
  <c r="Z221" i="2"/>
  <c r="Z222" i="2" s="1"/>
  <c r="Y221" i="2"/>
  <c r="Y223" i="2" s="1"/>
  <c r="P221" i="2"/>
  <c r="X218" i="2"/>
  <c r="X217" i="2"/>
  <c r="BO216" i="2"/>
  <c r="BM216" i="2"/>
  <c r="Z216" i="2"/>
  <c r="Z217" i="2" s="1"/>
  <c r="Y216" i="2"/>
  <c r="BN216" i="2" s="1"/>
  <c r="P216" i="2"/>
  <c r="X213" i="2"/>
  <c r="X212" i="2"/>
  <c r="BO211" i="2"/>
  <c r="BM211" i="2"/>
  <c r="Z211" i="2"/>
  <c r="Y211" i="2"/>
  <c r="BP211" i="2" s="1"/>
  <c r="P211" i="2"/>
  <c r="BO210" i="2"/>
  <c r="BM210" i="2"/>
  <c r="Z210" i="2"/>
  <c r="Z212" i="2" s="1"/>
  <c r="Y210" i="2"/>
  <c r="BP210" i="2" s="1"/>
  <c r="P210" i="2"/>
  <c r="X207" i="2"/>
  <c r="X206" i="2"/>
  <c r="BO205" i="2"/>
  <c r="BM205" i="2"/>
  <c r="Z205" i="2"/>
  <c r="Y205" i="2"/>
  <c r="BP205" i="2" s="1"/>
  <c r="P205" i="2"/>
  <c r="BO204" i="2"/>
  <c r="BM204" i="2"/>
  <c r="Z204" i="2"/>
  <c r="Y204" i="2"/>
  <c r="BN204" i="2" s="1"/>
  <c r="P204" i="2"/>
  <c r="BO203" i="2"/>
  <c r="BM203" i="2"/>
  <c r="Z203" i="2"/>
  <c r="Y203" i="2"/>
  <c r="BP203" i="2" s="1"/>
  <c r="P203" i="2"/>
  <c r="X201" i="2"/>
  <c r="X200" i="2"/>
  <c r="BO199" i="2"/>
  <c r="BM199" i="2"/>
  <c r="Z199" i="2"/>
  <c r="Z200" i="2" s="1"/>
  <c r="Y199" i="2"/>
  <c r="Y200" i="2" s="1"/>
  <c r="P199" i="2"/>
  <c r="X195" i="2"/>
  <c r="X194" i="2"/>
  <c r="BO193" i="2"/>
  <c r="BM193" i="2"/>
  <c r="Z193" i="2"/>
  <c r="Y193" i="2"/>
  <c r="BN193" i="2" s="1"/>
  <c r="P193" i="2"/>
  <c r="BO192" i="2"/>
  <c r="BM192" i="2"/>
  <c r="Z192" i="2"/>
  <c r="Y192" i="2"/>
  <c r="BN192" i="2" s="1"/>
  <c r="P192" i="2"/>
  <c r="BP191" i="2"/>
  <c r="BO191" i="2"/>
  <c r="BN191" i="2"/>
  <c r="BM191" i="2"/>
  <c r="Z191" i="2"/>
  <c r="Y191" i="2"/>
  <c r="P191" i="2"/>
  <c r="BO190" i="2"/>
  <c r="BM190" i="2"/>
  <c r="Z190" i="2"/>
  <c r="Y190" i="2"/>
  <c r="Y195" i="2" s="1"/>
  <c r="P190" i="2"/>
  <c r="X186" i="2"/>
  <c r="X185" i="2"/>
  <c r="BO184" i="2"/>
  <c r="BM184" i="2"/>
  <c r="Z184" i="2"/>
  <c r="Z185" i="2" s="1"/>
  <c r="Y184" i="2"/>
  <c r="BP184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Z180" i="2" s="1"/>
  <c r="Y178" i="2"/>
  <c r="BN178" i="2" s="1"/>
  <c r="P178" i="2"/>
  <c r="X174" i="2"/>
  <c r="Z173" i="2"/>
  <c r="X173" i="2"/>
  <c r="BO172" i="2"/>
  <c r="BM172" i="2"/>
  <c r="Z172" i="2"/>
  <c r="Y172" i="2"/>
  <c r="BN172" i="2" s="1"/>
  <c r="P172" i="2"/>
  <c r="X169" i="2"/>
  <c r="X168" i="2"/>
  <c r="BO167" i="2"/>
  <c r="BM167" i="2"/>
  <c r="Z167" i="2"/>
  <c r="Z168" i="2" s="1"/>
  <c r="Y167" i="2"/>
  <c r="BP167" i="2" s="1"/>
  <c r="P167" i="2"/>
  <c r="Y164" i="2"/>
  <c r="X164" i="2"/>
  <c r="Y163" i="2"/>
  <c r="X163" i="2"/>
  <c r="BO162" i="2"/>
  <c r="BM162" i="2"/>
  <c r="Z162" i="2"/>
  <c r="Z163" i="2" s="1"/>
  <c r="Y162" i="2"/>
  <c r="BN162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P156" i="2"/>
  <c r="X153" i="2"/>
  <c r="X152" i="2"/>
  <c r="BO151" i="2"/>
  <c r="BM151" i="2"/>
  <c r="Z151" i="2"/>
  <c r="Y151" i="2"/>
  <c r="BP151" i="2" s="1"/>
  <c r="P151" i="2"/>
  <c r="BO150" i="2"/>
  <c r="BM150" i="2"/>
  <c r="Z150" i="2"/>
  <c r="Y150" i="2"/>
  <c r="BP150" i="2" s="1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Z146" i="2" s="1"/>
  <c r="Y144" i="2"/>
  <c r="BN144" i="2" s="1"/>
  <c r="P144" i="2"/>
  <c r="X141" i="2"/>
  <c r="X140" i="2"/>
  <c r="BP139" i="2"/>
  <c r="BO139" i="2"/>
  <c r="BM139" i="2"/>
  <c r="Z139" i="2"/>
  <c r="Y139" i="2"/>
  <c r="BN139" i="2" s="1"/>
  <c r="P139" i="2"/>
  <c r="BO138" i="2"/>
  <c r="BM138" i="2"/>
  <c r="Z138" i="2"/>
  <c r="Z140" i="2" s="1"/>
  <c r="Y138" i="2"/>
  <c r="BP138" i="2" s="1"/>
  <c r="P138" i="2"/>
  <c r="BO137" i="2"/>
  <c r="BM137" i="2"/>
  <c r="Z137" i="2"/>
  <c r="Y137" i="2"/>
  <c r="BP137" i="2" s="1"/>
  <c r="P137" i="2"/>
  <c r="X135" i="2"/>
  <c r="X134" i="2"/>
  <c r="BP133" i="2"/>
  <c r="BO133" i="2"/>
  <c r="BM133" i="2"/>
  <c r="Z133" i="2"/>
  <c r="Y133" i="2"/>
  <c r="BN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P131" i="2" s="1"/>
  <c r="P131" i="2"/>
  <c r="BP130" i="2"/>
  <c r="BO130" i="2"/>
  <c r="BN130" i="2"/>
  <c r="BM130" i="2"/>
  <c r="Z130" i="2"/>
  <c r="Y130" i="2"/>
  <c r="Y134" i="2" s="1"/>
  <c r="P130" i="2"/>
  <c r="X127" i="2"/>
  <c r="X126" i="2"/>
  <c r="BO125" i="2"/>
  <c r="BM125" i="2"/>
  <c r="Z125" i="2"/>
  <c r="Z126" i="2" s="1"/>
  <c r="Y125" i="2"/>
  <c r="Y127" i="2" s="1"/>
  <c r="P125" i="2"/>
  <c r="Y123" i="2"/>
  <c r="X123" i="2"/>
  <c r="X122" i="2"/>
  <c r="BP121" i="2"/>
  <c r="BO121" i="2"/>
  <c r="BM121" i="2"/>
  <c r="Z121" i="2"/>
  <c r="Z122" i="2" s="1"/>
  <c r="Y121" i="2"/>
  <c r="Y122" i="2" s="1"/>
  <c r="P121" i="2"/>
  <c r="X119" i="2"/>
  <c r="X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N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Z118" i="2" s="1"/>
  <c r="Y110" i="2"/>
  <c r="P110" i="2"/>
  <c r="X107" i="2"/>
  <c r="X106" i="2"/>
  <c r="BP105" i="2"/>
  <c r="BO105" i="2"/>
  <c r="BM105" i="2"/>
  <c r="Z105" i="2"/>
  <c r="Y105" i="2"/>
  <c r="BN105" i="2" s="1"/>
  <c r="P105" i="2"/>
  <c r="BO104" i="2"/>
  <c r="BM104" i="2"/>
  <c r="Z104" i="2"/>
  <c r="Z106" i="2" s="1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N98" i="2" s="1"/>
  <c r="P98" i="2"/>
  <c r="BO97" i="2"/>
  <c r="BM97" i="2"/>
  <c r="Z97" i="2"/>
  <c r="Y97" i="2"/>
  <c r="BP97" i="2" s="1"/>
  <c r="P97" i="2"/>
  <c r="BO96" i="2"/>
  <c r="BM96" i="2"/>
  <c r="Z96" i="2"/>
  <c r="Y96" i="2"/>
  <c r="P96" i="2"/>
  <c r="BP95" i="2"/>
  <c r="BO95" i="2"/>
  <c r="BM95" i="2"/>
  <c r="Z95" i="2"/>
  <c r="Z100" i="2" s="1"/>
  <c r="Y95" i="2"/>
  <c r="BN95" i="2" s="1"/>
  <c r="P95" i="2"/>
  <c r="BO94" i="2"/>
  <c r="BN94" i="2"/>
  <c r="BM94" i="2"/>
  <c r="Z94" i="2"/>
  <c r="Y94" i="2"/>
  <c r="BP94" i="2" s="1"/>
  <c r="P94" i="2"/>
  <c r="X91" i="2"/>
  <c r="X90" i="2"/>
  <c r="BO89" i="2"/>
  <c r="BM89" i="2"/>
  <c r="Z89" i="2"/>
  <c r="Y89" i="2"/>
  <c r="P89" i="2"/>
  <c r="BP88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N78" i="2" s="1"/>
  <c r="P78" i="2"/>
  <c r="BO77" i="2"/>
  <c r="BM77" i="2"/>
  <c r="Z77" i="2"/>
  <c r="Z79" i="2" s="1"/>
  <c r="Y77" i="2"/>
  <c r="BP77" i="2" s="1"/>
  <c r="P77" i="2"/>
  <c r="X74" i="2"/>
  <c r="X73" i="2"/>
  <c r="BO72" i="2"/>
  <c r="BM72" i="2"/>
  <c r="Z72" i="2"/>
  <c r="Y72" i="2"/>
  <c r="Y74" i="2" s="1"/>
  <c r="P72" i="2"/>
  <c r="BO71" i="2"/>
  <c r="BM71" i="2"/>
  <c r="Z71" i="2"/>
  <c r="Y71" i="2"/>
  <c r="BN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Z67" i="2" s="1"/>
  <c r="Y66" i="2"/>
  <c r="Y68" i="2" s="1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BN61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N55" i="2" s="1"/>
  <c r="P55" i="2"/>
  <c r="BO54" i="2"/>
  <c r="BM54" i="2"/>
  <c r="Z54" i="2"/>
  <c r="Z57" i="2" s="1"/>
  <c r="Y54" i="2"/>
  <c r="P54" i="2"/>
  <c r="BO53" i="2"/>
  <c r="BM53" i="2"/>
  <c r="Z53" i="2"/>
  <c r="Y53" i="2"/>
  <c r="BN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Y44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Z36" i="2" s="1"/>
  <c r="Y34" i="2"/>
  <c r="BP34" i="2" s="1"/>
  <c r="P34" i="2"/>
  <c r="X31" i="2"/>
  <c r="X30" i="2"/>
  <c r="X284" i="2" s="1"/>
  <c r="BP29" i="2"/>
  <c r="BO29" i="2"/>
  <c r="BM29" i="2"/>
  <c r="Z29" i="2"/>
  <c r="Y29" i="2"/>
  <c r="BN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P22" i="2"/>
  <c r="BO22" i="2"/>
  <c r="BM22" i="2"/>
  <c r="Z22" i="2"/>
  <c r="Y22" i="2"/>
  <c r="BN22" i="2" s="1"/>
  <c r="P22" i="2"/>
  <c r="H10" i="2"/>
  <c r="A9" i="2"/>
  <c r="F10" i="2" s="1"/>
  <c r="D7" i="2"/>
  <c r="Q6" i="2"/>
  <c r="P2" i="2"/>
  <c r="X281" i="2" l="1"/>
  <c r="BP35" i="2"/>
  <c r="X280" i="2"/>
  <c r="Z43" i="2"/>
  <c r="Z49" i="2"/>
  <c r="BP53" i="2"/>
  <c r="Z73" i="2"/>
  <c r="BP78" i="2"/>
  <c r="BP98" i="2"/>
  <c r="Y107" i="2"/>
  <c r="BP115" i="2"/>
  <c r="Y141" i="2"/>
  <c r="Y146" i="2"/>
  <c r="Y174" i="2"/>
  <c r="Z194" i="2"/>
  <c r="BP199" i="2"/>
  <c r="Y201" i="2"/>
  <c r="BP204" i="2"/>
  <c r="Y213" i="2"/>
  <c r="BN221" i="2"/>
  <c r="Y222" i="2"/>
  <c r="Y265" i="2"/>
  <c r="BN274" i="2"/>
  <c r="Y37" i="2"/>
  <c r="Y57" i="2"/>
  <c r="BP71" i="2"/>
  <c r="Y80" i="2"/>
  <c r="Y90" i="2"/>
  <c r="Y101" i="2"/>
  <c r="Y106" i="2"/>
  <c r="BN121" i="2"/>
  <c r="Z134" i="2"/>
  <c r="Y140" i="2"/>
  <c r="Y158" i="2"/>
  <c r="BP162" i="2"/>
  <c r="Y173" i="2"/>
  <c r="Y181" i="2"/>
  <c r="BN211" i="2"/>
  <c r="Y212" i="2"/>
  <c r="BN253" i="2"/>
  <c r="Y255" i="2"/>
  <c r="Y278" i="2"/>
  <c r="X282" i="2"/>
  <c r="X283" i="2" s="1"/>
  <c r="Z30" i="2"/>
  <c r="Z285" i="2" s="1"/>
  <c r="BN28" i="2"/>
  <c r="Y36" i="2"/>
  <c r="Y58" i="2"/>
  <c r="Y79" i="2"/>
  <c r="Z90" i="2"/>
  <c r="Y119" i="2"/>
  <c r="Y135" i="2"/>
  <c r="Z152" i="2"/>
  <c r="Z158" i="2"/>
  <c r="BN184" i="2"/>
  <c r="BN199" i="2"/>
  <c r="Z278" i="2"/>
  <c r="BP25" i="2"/>
  <c r="Y147" i="2"/>
  <c r="BP172" i="2"/>
  <c r="Z206" i="2"/>
  <c r="BN233" i="2"/>
  <c r="Y260" i="2"/>
  <c r="Y266" i="2"/>
  <c r="BP270" i="2"/>
  <c r="BN66" i="2"/>
  <c r="BN47" i="2"/>
  <c r="BP66" i="2"/>
  <c r="BN54" i="2"/>
  <c r="BP26" i="2"/>
  <c r="BN89" i="2"/>
  <c r="BP54" i="2"/>
  <c r="Y206" i="2"/>
  <c r="BP262" i="2"/>
  <c r="BN268" i="2"/>
  <c r="Y31" i="2"/>
  <c r="BN96" i="2"/>
  <c r="BN131" i="2"/>
  <c r="BP192" i="2"/>
  <c r="BP61" i="2"/>
  <c r="BN113" i="2"/>
  <c r="BN137" i="2"/>
  <c r="BN227" i="2"/>
  <c r="BP275" i="2"/>
  <c r="Y62" i="2"/>
  <c r="Y186" i="2"/>
  <c r="BN34" i="2"/>
  <c r="BP272" i="2"/>
  <c r="Y63" i="2"/>
  <c r="Y217" i="2"/>
  <c r="Y238" i="2"/>
  <c r="Y248" i="2"/>
  <c r="BP263" i="2"/>
  <c r="BN42" i="2"/>
  <c r="Y84" i="2"/>
  <c r="BP269" i="2"/>
  <c r="BN205" i="2"/>
  <c r="BP156" i="2"/>
  <c r="Y30" i="2"/>
  <c r="BN99" i="2"/>
  <c r="BP72" i="2"/>
  <c r="Y73" i="2"/>
  <c r="BP41" i="2"/>
  <c r="BN48" i="2"/>
  <c r="BP96" i="2"/>
  <c r="Y207" i="2"/>
  <c r="BP178" i="2"/>
  <c r="BN110" i="2"/>
  <c r="BP227" i="2"/>
  <c r="BP247" i="2"/>
  <c r="BP27" i="2"/>
  <c r="Y91" i="2"/>
  <c r="BN117" i="2"/>
  <c r="BN125" i="2"/>
  <c r="Y168" i="2"/>
  <c r="BN203" i="2"/>
  <c r="Y49" i="2"/>
  <c r="BP110" i="2"/>
  <c r="BP144" i="2"/>
  <c r="BN151" i="2"/>
  <c r="Y228" i="2"/>
  <c r="H9" i="2"/>
  <c r="BN97" i="2"/>
  <c r="BP125" i="2"/>
  <c r="BN132" i="2"/>
  <c r="BP193" i="2"/>
  <c r="BN210" i="2"/>
  <c r="BN276" i="2"/>
  <c r="J9" i="2"/>
  <c r="BP24" i="2"/>
  <c r="BP70" i="2"/>
  <c r="BN77" i="2"/>
  <c r="BN114" i="2"/>
  <c r="Y159" i="2"/>
  <c r="Y169" i="2"/>
  <c r="BN179" i="2"/>
  <c r="BN190" i="2"/>
  <c r="A10" i="2"/>
  <c r="Y50" i="2"/>
  <c r="BN104" i="2"/>
  <c r="Y118" i="2"/>
  <c r="Y126" i="2"/>
  <c r="BN138" i="2"/>
  <c r="Y194" i="2"/>
  <c r="Y218" i="2"/>
  <c r="Y239" i="2"/>
  <c r="Y249" i="2"/>
  <c r="BN258" i="2"/>
  <c r="Y279" i="2"/>
  <c r="Y67" i="2"/>
  <c r="BN41" i="2"/>
  <c r="BP116" i="2"/>
  <c r="Y185" i="2"/>
  <c r="BP23" i="2"/>
  <c r="Y100" i="2"/>
  <c r="BN157" i="2"/>
  <c r="BN237" i="2"/>
  <c r="Y256" i="2"/>
  <c r="BN112" i="2"/>
  <c r="BN156" i="2"/>
  <c r="BN271" i="2"/>
  <c r="BP55" i="2"/>
  <c r="BP190" i="2"/>
  <c r="Y43" i="2"/>
  <c r="BN56" i="2"/>
  <c r="BN65" i="2"/>
  <c r="BN111" i="2"/>
  <c r="BN145" i="2"/>
  <c r="BP258" i="2"/>
  <c r="BN264" i="2"/>
  <c r="BN254" i="2"/>
  <c r="BP271" i="2"/>
  <c r="BP254" i="2"/>
  <c r="BP83" i="2"/>
  <c r="F9" i="2"/>
  <c r="Y152" i="2"/>
  <c r="BP216" i="2"/>
  <c r="Y85" i="2"/>
  <c r="Y180" i="2"/>
  <c r="Y153" i="2"/>
  <c r="BN72" i="2"/>
  <c r="BN150" i="2"/>
  <c r="BP89" i="2"/>
  <c r="BN167" i="2"/>
  <c r="Y281" i="2" l="1"/>
  <c r="Y282" i="2"/>
  <c r="Y284" i="2"/>
  <c r="Y280" i="2"/>
  <c r="Y283" i="2" l="1"/>
  <c r="C293" i="2" l="1"/>
  <c r="B293" i="2"/>
  <c r="A293" i="2"/>
</calcChain>
</file>

<file path=xl/sharedStrings.xml><?xml version="1.0" encoding="utf-8"?>
<sst xmlns="http://schemas.openxmlformats.org/spreadsheetml/2006/main" count="1735" uniqueCount="401">
  <si>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</si>
  <si>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</si>
  <si>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</si>
  <si>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</si>
  <si>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</si>
  <si>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</si>
  <si>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</si>
  <si>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</si>
  <si>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</si>
  <si>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</si>
  <si>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</si>
  <si>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</si>
  <si>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</si>
  <si>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</si>
  <si>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</si>
  <si>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</si>
  <si>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</si>
  <si>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</si>
  <si>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</si>
  <si>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</si>
  <si>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</si>
  <si>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</si>
  <si>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</si>
  <si>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</si>
  <si>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</si>
  <si>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</si>
  <si>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</si>
  <si>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</si>
  <si>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</si>
  <si>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</si>
  <si>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</si>
  <si>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</si>
  <si>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</si>
  <si>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</si>
  <si>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</si>
  <si>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</si>
  <si>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</si>
  <si>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</si>
  <si>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</si>
  <si>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</si>
  <si>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</si>
  <si>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</si>
  <si>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</si>
  <si>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</si>
  <si>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</si>
  <si>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</si>
  <si>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</si>
  <si>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</si>
  <si>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</si>
  <si>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</si>
  <si>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</si>
  <si>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</si>
  <si>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</si>
  <si>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</si>
  <si>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</si>
  <si>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</si>
  <si>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</si>
  <si>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</si>
  <si>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</si>
  <si>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</si>
  <si>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</si>
  <si>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</si>
  <si>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</si>
  <si>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</si>
  <si>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</si>
  <si>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</si>
  <si>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</si>
  <si>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</si>
  <si>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</si>
  <si>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</si>
  <si>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</si>
  <si>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10.08.2026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</si>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</sst>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4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topLeftCell="F2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62" t="s">
        <v>26</v>
      </c>
      <c r="E1" s="462"/>
      <c r="F1" s="462"/>
      <c r="G1" s="14" t="s">
        <v>70</v>
      </c>
      <c r="H1" s="462" t="s">
        <v>47</v>
      </c>
      <c r="I1" s="462"/>
      <c r="J1" s="462"/>
      <c r="K1" s="462"/>
      <c r="L1" s="462"/>
      <c r="M1" s="462"/>
      <c r="N1" s="462"/>
      <c r="O1" s="462"/>
      <c r="P1" s="462"/>
      <c r="Q1" s="462"/>
      <c r="R1" s="463" t="s">
        <v>71</v>
      </c>
      <c r="S1" s="464"/>
      <c r="T1" s="4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5"/>
      <c r="R2" s="465"/>
      <c r="S2" s="465"/>
      <c r="T2" s="465"/>
      <c r="U2" s="465"/>
      <c r="V2" s="465"/>
      <c r="W2" s="4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5"/>
      <c r="Q3" s="465"/>
      <c r="R3" s="465"/>
      <c r="S3" s="465"/>
      <c r="T3" s="465"/>
      <c r="U3" s="465"/>
      <c r="V3" s="465"/>
      <c r="W3" s="4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44" t="s">
        <v>8</v>
      </c>
      <c r="B5" s="444"/>
      <c r="C5" s="444"/>
      <c r="D5" s="466"/>
      <c r="E5" s="466"/>
      <c r="F5" s="467" t="s">
        <v>14</v>
      </c>
      <c r="G5" s="467"/>
      <c r="H5" s="466"/>
      <c r="I5" s="466"/>
      <c r="J5" s="466"/>
      <c r="K5" s="466"/>
      <c r="L5" s="466"/>
      <c r="M5" s="466"/>
      <c r="N5" s="75"/>
      <c r="P5" s="27" t="s">
        <v>4</v>
      </c>
      <c r="Q5" s="468">
        <v>46249</v>
      </c>
      <c r="R5" s="468"/>
      <c r="T5" s="469" t="s">
        <v>3</v>
      </c>
      <c r="U5" s="470"/>
      <c r="V5" s="471" t="s">
        <v>387</v>
      </c>
      <c r="W5" s="472"/>
      <c r="AB5" s="59"/>
      <c r="AC5" s="59"/>
      <c r="AD5" s="59"/>
      <c r="AE5" s="59"/>
    </row>
    <row r="6" spans="1:32" s="17" customFormat="1" ht="24" customHeight="1" x14ac:dyDescent="0.2">
      <c r="A6" s="444" t="s">
        <v>1</v>
      </c>
      <c r="B6" s="444"/>
      <c r="C6" s="444"/>
      <c r="D6" s="445" t="s">
        <v>78</v>
      </c>
      <c r="E6" s="445"/>
      <c r="F6" s="445"/>
      <c r="G6" s="445"/>
      <c r="H6" s="445"/>
      <c r="I6" s="445"/>
      <c r="J6" s="445"/>
      <c r="K6" s="445"/>
      <c r="L6" s="445"/>
      <c r="M6" s="445"/>
      <c r="N6" s="76"/>
      <c r="P6" s="27" t="s">
        <v>27</v>
      </c>
      <c r="Q6" s="446" t="str">
        <f>IF(Q5=0," ",CHOOSE(WEEKDAY(Q5,2),"Понедельник","Вторник","Среда","Четверг","Пятница","Суббота","Воскресенье"))</f>
        <v>Суббота</v>
      </c>
      <c r="R6" s="446"/>
      <c r="T6" s="447" t="s">
        <v>5</v>
      </c>
      <c r="U6" s="448"/>
      <c r="V6" s="449" t="s">
        <v>72</v>
      </c>
      <c r="W6" s="45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55" t="str">
        <f>IFERROR(VLOOKUP(DeliveryAddress,Table,3,0),1)</f>
        <v>1</v>
      </c>
      <c r="E7" s="456"/>
      <c r="F7" s="456"/>
      <c r="G7" s="456"/>
      <c r="H7" s="456"/>
      <c r="I7" s="456"/>
      <c r="J7" s="456"/>
      <c r="K7" s="456"/>
      <c r="L7" s="456"/>
      <c r="M7" s="457"/>
      <c r="N7" s="77"/>
      <c r="P7" s="29"/>
      <c r="Q7" s="48"/>
      <c r="R7" s="48"/>
      <c r="T7" s="447"/>
      <c r="U7" s="448"/>
      <c r="V7" s="451"/>
      <c r="W7" s="452"/>
      <c r="AB7" s="59"/>
      <c r="AC7" s="59"/>
      <c r="AD7" s="59"/>
      <c r="AE7" s="59"/>
    </row>
    <row r="8" spans="1:32" s="17" customFormat="1" ht="25.5" customHeight="1" x14ac:dyDescent="0.2">
      <c r="A8" s="458" t="s">
        <v>58</v>
      </c>
      <c r="B8" s="458"/>
      <c r="C8" s="458"/>
      <c r="D8" s="459" t="s">
        <v>79</v>
      </c>
      <c r="E8" s="459"/>
      <c r="F8" s="459"/>
      <c r="G8" s="459"/>
      <c r="H8" s="459"/>
      <c r="I8" s="459"/>
      <c r="J8" s="459"/>
      <c r="K8" s="459"/>
      <c r="L8" s="459"/>
      <c r="M8" s="459"/>
      <c r="N8" s="78"/>
      <c r="P8" s="27" t="s">
        <v>11</v>
      </c>
      <c r="Q8" s="442">
        <v>0.375</v>
      </c>
      <c r="R8" s="442"/>
      <c r="T8" s="447"/>
      <c r="U8" s="448"/>
      <c r="V8" s="451"/>
      <c r="W8" s="452"/>
      <c r="AB8" s="59"/>
      <c r="AC8" s="59"/>
      <c r="AD8" s="59"/>
      <c r="AE8" s="59"/>
    </row>
    <row r="9" spans="1:32" s="17" customFormat="1" ht="39.950000000000003" customHeight="1" x14ac:dyDescent="0.2">
      <c r="A9" s="4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4"/>
      <c r="C9" s="434"/>
      <c r="D9" s="435" t="s">
        <v>46</v>
      </c>
      <c r="E9" s="436"/>
      <c r="F9" s="4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4"/>
      <c r="H9" s="460" t="str">
        <f>IF(AND($A$9="Тип доверенности/получателя при получении в адресе перегруза:",$D$9="Разовая доверенность"),"Введите ФИО","")</f>
        <v/>
      </c>
      <c r="I9" s="460"/>
      <c r="J9" s="4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0"/>
      <c r="L9" s="460"/>
      <c r="M9" s="460"/>
      <c r="N9" s="73"/>
      <c r="P9" s="31" t="s">
        <v>15</v>
      </c>
      <c r="Q9" s="461"/>
      <c r="R9" s="461"/>
      <c r="T9" s="447"/>
      <c r="U9" s="448"/>
      <c r="V9" s="453"/>
      <c r="W9" s="45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4"/>
      <c r="C10" s="434"/>
      <c r="D10" s="435"/>
      <c r="E10" s="436"/>
      <c r="F10" s="4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4"/>
      <c r="H10" s="437" t="str">
        <f>IFERROR(VLOOKUP($D$10,Proxy,2,FALSE),"")</f>
        <v/>
      </c>
      <c r="I10" s="437"/>
      <c r="J10" s="437"/>
      <c r="K10" s="437"/>
      <c r="L10" s="437"/>
      <c r="M10" s="437"/>
      <c r="N10" s="74"/>
      <c r="P10" s="31" t="s">
        <v>32</v>
      </c>
      <c r="Q10" s="438"/>
      <c r="R10" s="438"/>
      <c r="U10" s="29" t="s">
        <v>12</v>
      </c>
      <c r="V10" s="439" t="s">
        <v>73</v>
      </c>
      <c r="W10" s="44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41"/>
      <c r="R11" s="441"/>
      <c r="U11" s="29" t="s">
        <v>28</v>
      </c>
      <c r="V11" s="420" t="s">
        <v>55</v>
      </c>
      <c r="W11" s="42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9" t="s">
        <v>74</v>
      </c>
      <c r="B12" s="419"/>
      <c r="C12" s="419"/>
      <c r="D12" s="419"/>
      <c r="E12" s="419"/>
      <c r="F12" s="419"/>
      <c r="G12" s="419"/>
      <c r="H12" s="419"/>
      <c r="I12" s="419"/>
      <c r="J12" s="419"/>
      <c r="K12" s="419"/>
      <c r="L12" s="419"/>
      <c r="M12" s="419"/>
      <c r="N12" s="79"/>
      <c r="P12" s="27" t="s">
        <v>30</v>
      </c>
      <c r="Q12" s="442"/>
      <c r="R12" s="442"/>
      <c r="S12" s="28"/>
      <c r="T12"/>
      <c r="U12" s="29" t="s">
        <v>46</v>
      </c>
      <c r="V12" s="443"/>
      <c r="W12" s="443"/>
      <c r="X12"/>
      <c r="AB12" s="59"/>
      <c r="AC12" s="59"/>
      <c r="AD12" s="59"/>
      <c r="AE12" s="59"/>
    </row>
    <row r="13" spans="1:32" s="17" customFormat="1" ht="23.25" customHeight="1" x14ac:dyDescent="0.2">
      <c r="A13" s="419" t="s">
        <v>75</v>
      </c>
      <c r="B13" s="419"/>
      <c r="C13" s="419"/>
      <c r="D13" s="419"/>
      <c r="E13" s="419"/>
      <c r="F13" s="419"/>
      <c r="G13" s="419"/>
      <c r="H13" s="419"/>
      <c r="I13" s="419"/>
      <c r="J13" s="419"/>
      <c r="K13" s="419"/>
      <c r="L13" s="419"/>
      <c r="M13" s="419"/>
      <c r="N13" s="79"/>
      <c r="O13" s="31"/>
      <c r="P13" s="31" t="s">
        <v>31</v>
      </c>
      <c r="Q13" s="420"/>
      <c r="R13" s="42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9" t="s">
        <v>76</v>
      </c>
      <c r="B14" s="419"/>
      <c r="C14" s="419"/>
      <c r="D14" s="419"/>
      <c r="E14" s="419"/>
      <c r="F14" s="419"/>
      <c r="G14" s="419"/>
      <c r="H14" s="419"/>
      <c r="I14" s="419"/>
      <c r="J14" s="419"/>
      <c r="K14" s="419"/>
      <c r="L14" s="419"/>
      <c r="M14" s="419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21" t="s">
        <v>77</v>
      </c>
      <c r="B15" s="421"/>
      <c r="C15" s="421"/>
      <c r="D15" s="421"/>
      <c r="E15" s="421"/>
      <c r="F15" s="421"/>
      <c r="G15" s="421"/>
      <c r="H15" s="421"/>
      <c r="I15" s="421"/>
      <c r="J15" s="421"/>
      <c r="K15" s="421"/>
      <c r="L15" s="421"/>
      <c r="M15" s="421"/>
      <c r="N15" s="80"/>
      <c r="O15"/>
      <c r="P15" s="422" t="s">
        <v>61</v>
      </c>
      <c r="Q15" s="422"/>
      <c r="R15" s="422"/>
      <c r="S15" s="422"/>
      <c r="T15" s="42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3"/>
      <c r="Q16" s="423"/>
      <c r="R16" s="423"/>
      <c r="S16" s="423"/>
      <c r="T16" s="42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5" t="s">
        <v>59</v>
      </c>
      <c r="B17" s="405" t="s">
        <v>49</v>
      </c>
      <c r="C17" s="426" t="s">
        <v>48</v>
      </c>
      <c r="D17" s="428" t="s">
        <v>50</v>
      </c>
      <c r="E17" s="429"/>
      <c r="F17" s="405" t="s">
        <v>21</v>
      </c>
      <c r="G17" s="405" t="s">
        <v>24</v>
      </c>
      <c r="H17" s="405" t="s">
        <v>22</v>
      </c>
      <c r="I17" s="405" t="s">
        <v>23</v>
      </c>
      <c r="J17" s="405" t="s">
        <v>16</v>
      </c>
      <c r="K17" s="405" t="s">
        <v>69</v>
      </c>
      <c r="L17" s="405" t="s">
        <v>67</v>
      </c>
      <c r="M17" s="405" t="s">
        <v>2</v>
      </c>
      <c r="N17" s="405" t="s">
        <v>66</v>
      </c>
      <c r="O17" s="405" t="s">
        <v>25</v>
      </c>
      <c r="P17" s="428" t="s">
        <v>17</v>
      </c>
      <c r="Q17" s="432"/>
      <c r="R17" s="432"/>
      <c r="S17" s="432"/>
      <c r="T17" s="429"/>
      <c r="U17" s="424" t="s">
        <v>56</v>
      </c>
      <c r="V17" s="425"/>
      <c r="W17" s="405" t="s">
        <v>6</v>
      </c>
      <c r="X17" s="405" t="s">
        <v>41</v>
      </c>
      <c r="Y17" s="407" t="s">
        <v>54</v>
      </c>
      <c r="Z17" s="409" t="s">
        <v>18</v>
      </c>
      <c r="AA17" s="411" t="s">
        <v>60</v>
      </c>
      <c r="AB17" s="411" t="s">
        <v>19</v>
      </c>
      <c r="AC17" s="411" t="s">
        <v>68</v>
      </c>
      <c r="AD17" s="413" t="s">
        <v>57</v>
      </c>
      <c r="AE17" s="414"/>
      <c r="AF17" s="415"/>
      <c r="AG17" s="85"/>
      <c r="BD17" s="84" t="s">
        <v>64</v>
      </c>
    </row>
    <row r="18" spans="1:68" ht="14.25" customHeight="1" x14ac:dyDescent="0.2">
      <c r="A18" s="406"/>
      <c r="B18" s="406"/>
      <c r="C18" s="427"/>
      <c r="D18" s="430"/>
      <c r="E18" s="431"/>
      <c r="F18" s="406"/>
      <c r="G18" s="406"/>
      <c r="H18" s="406"/>
      <c r="I18" s="406"/>
      <c r="J18" s="406"/>
      <c r="K18" s="406"/>
      <c r="L18" s="406"/>
      <c r="M18" s="406"/>
      <c r="N18" s="406"/>
      <c r="O18" s="406"/>
      <c r="P18" s="430"/>
      <c r="Q18" s="433"/>
      <c r="R18" s="433"/>
      <c r="S18" s="433"/>
      <c r="T18" s="431"/>
      <c r="U18" s="86" t="s">
        <v>44</v>
      </c>
      <c r="V18" s="86" t="s">
        <v>43</v>
      </c>
      <c r="W18" s="406"/>
      <c r="X18" s="406"/>
      <c r="Y18" s="408"/>
      <c r="Z18" s="410"/>
      <c r="AA18" s="412"/>
      <c r="AB18" s="412"/>
      <c r="AC18" s="412"/>
      <c r="AD18" s="416"/>
      <c r="AE18" s="417"/>
      <c r="AF18" s="418"/>
      <c r="AG18" s="85"/>
      <c r="BD18" s="84"/>
    </row>
    <row r="19" spans="1:68" ht="27.75" customHeight="1" x14ac:dyDescent="0.2">
      <c r="A19" s="318" t="s">
        <v>80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54"/>
      <c r="AB19" s="54"/>
      <c r="AC19" s="54"/>
    </row>
    <row r="20" spans="1:68" ht="16.5" customHeight="1" x14ac:dyDescent="0.25">
      <c r="A20" s="319" t="s">
        <v>80</v>
      </c>
      <c r="B20" s="319"/>
      <c r="C20" s="319"/>
      <c r="D20" s="319"/>
      <c r="E20" s="319"/>
      <c r="F20" s="319"/>
      <c r="G20" s="319"/>
      <c r="H20" s="319"/>
      <c r="I20" s="319"/>
      <c r="J20" s="319"/>
      <c r="K20" s="319"/>
      <c r="L20" s="319"/>
      <c r="M20" s="319"/>
      <c r="N20" s="319"/>
      <c r="O20" s="319"/>
      <c r="P20" s="319"/>
      <c r="Q20" s="319"/>
      <c r="R20" s="319"/>
      <c r="S20" s="319"/>
      <c r="T20" s="319"/>
      <c r="U20" s="319"/>
      <c r="V20" s="319"/>
      <c r="W20" s="319"/>
      <c r="X20" s="319"/>
      <c r="Y20" s="319"/>
      <c r="Z20" s="319"/>
      <c r="AA20" s="65"/>
      <c r="AB20" s="65"/>
      <c r="AC20" s="82"/>
    </row>
    <row r="21" spans="1:68" ht="14.25" customHeight="1" x14ac:dyDescent="0.25">
      <c r="A21" s="314" t="s">
        <v>81</v>
      </c>
      <c r="B21" s="314"/>
      <c r="C21" s="314"/>
      <c r="D21" s="314"/>
      <c r="E21" s="314"/>
      <c r="F21" s="314"/>
      <c r="G21" s="314"/>
      <c r="H21" s="314"/>
      <c r="I21" s="314"/>
      <c r="J21" s="314"/>
      <c r="K21" s="314"/>
      <c r="L21" s="314"/>
      <c r="M21" s="314"/>
      <c r="N21" s="314"/>
      <c r="O21" s="314"/>
      <c r="P21" s="314"/>
      <c r="Q21" s="314"/>
      <c r="R21" s="314"/>
      <c r="S21" s="314"/>
      <c r="T21" s="314"/>
      <c r="U21" s="314"/>
      <c r="V21" s="314"/>
      <c r="W21" s="314"/>
      <c r="X21" s="314"/>
      <c r="Y21" s="314"/>
      <c r="Z21" s="314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4301071113</v>
      </c>
      <c r="D22" s="296">
        <v>4620207491508</v>
      </c>
      <c r="E22" s="29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40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8"/>
      <c r="R22" s="298"/>
      <c r="S22" s="298"/>
      <c r="T22" s="29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4301071112</v>
      </c>
      <c r="D23" s="296">
        <v>4620207491256</v>
      </c>
      <c r="E23" s="29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402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8"/>
      <c r="R23" s="298"/>
      <c r="S23" s="298"/>
      <c r="T23" s="29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4301071135</v>
      </c>
      <c r="D24" s="296">
        <v>4620207491713</v>
      </c>
      <c r="E24" s="29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403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8"/>
      <c r="R24" s="298"/>
      <c r="S24" s="298"/>
      <c r="T24" s="29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93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94</v>
      </c>
      <c r="B25" s="63" t="s">
        <v>95</v>
      </c>
      <c r="C25" s="36">
        <v>4301071134</v>
      </c>
      <c r="D25" s="296">
        <v>4620207491720</v>
      </c>
      <c r="E25" s="29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404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8"/>
      <c r="R25" s="298"/>
      <c r="S25" s="298"/>
      <c r="T25" s="29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93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96</v>
      </c>
      <c r="B26" s="63" t="s">
        <v>97</v>
      </c>
      <c r="C26" s="36">
        <v>4301071108</v>
      </c>
      <c r="D26" s="296">
        <v>4607111035912</v>
      </c>
      <c r="E26" s="29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9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8"/>
      <c r="R26" s="298"/>
      <c r="S26" s="298"/>
      <c r="T26" s="29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98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99</v>
      </c>
      <c r="B27" s="63" t="s">
        <v>100</v>
      </c>
      <c r="C27" s="36">
        <v>4301071109</v>
      </c>
      <c r="D27" s="296">
        <v>4607111035929</v>
      </c>
      <c r="E27" s="29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9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8"/>
      <c r="R27" s="298"/>
      <c r="S27" s="298"/>
      <c r="T27" s="29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98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101</v>
      </c>
      <c r="B28" s="63" t="s">
        <v>102</v>
      </c>
      <c r="C28" s="36">
        <v>4301071106</v>
      </c>
      <c r="D28" s="296">
        <v>4607111035882</v>
      </c>
      <c r="E28" s="29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86</v>
      </c>
      <c r="L28" s="37" t="s">
        <v>87</v>
      </c>
      <c r="M28" s="38" t="s">
        <v>85</v>
      </c>
      <c r="N28" s="38"/>
      <c r="O28" s="37">
        <v>180</v>
      </c>
      <c r="P28" s="3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8"/>
      <c r="R28" s="298"/>
      <c r="S28" s="298"/>
      <c r="T28" s="29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98</v>
      </c>
      <c r="AG28" s="81"/>
      <c r="AJ28" s="87" t="s">
        <v>88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103</v>
      </c>
      <c r="B29" s="63" t="s">
        <v>104</v>
      </c>
      <c r="C29" s="36">
        <v>4301071107</v>
      </c>
      <c r="D29" s="296">
        <v>4607111035905</v>
      </c>
      <c r="E29" s="29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86</v>
      </c>
      <c r="L29" s="37" t="s">
        <v>87</v>
      </c>
      <c r="M29" s="38" t="s">
        <v>85</v>
      </c>
      <c r="N29" s="38"/>
      <c r="O29" s="37">
        <v>180</v>
      </c>
      <c r="P29" s="40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8"/>
      <c r="R29" s="298"/>
      <c r="S29" s="298"/>
      <c r="T29" s="29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98</v>
      </c>
      <c r="AG29" s="81"/>
      <c r="AJ29" s="87" t="s">
        <v>88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293"/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306"/>
      <c r="P30" s="303" t="s">
        <v>40</v>
      </c>
      <c r="Q30" s="304"/>
      <c r="R30" s="304"/>
      <c r="S30" s="304"/>
      <c r="T30" s="304"/>
      <c r="U30" s="304"/>
      <c r="V30" s="305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293"/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306"/>
      <c r="P31" s="303" t="s">
        <v>40</v>
      </c>
      <c r="Q31" s="304"/>
      <c r="R31" s="304"/>
      <c r="S31" s="304"/>
      <c r="T31" s="304"/>
      <c r="U31" s="304"/>
      <c r="V31" s="305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19" t="s">
        <v>105</v>
      </c>
      <c r="B32" s="319"/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  <c r="X32" s="319"/>
      <c r="Y32" s="319"/>
      <c r="Z32" s="319"/>
      <c r="AA32" s="65"/>
      <c r="AB32" s="65"/>
      <c r="AC32" s="82"/>
    </row>
    <row r="33" spans="1:68" ht="14.25" customHeight="1" x14ac:dyDescent="0.25">
      <c r="A33" s="314" t="s">
        <v>81</v>
      </c>
      <c r="B33" s="314"/>
      <c r="C33" s="314"/>
      <c r="D33" s="314"/>
      <c r="E33" s="314"/>
      <c r="F33" s="314"/>
      <c r="G33" s="314"/>
      <c r="H33" s="314"/>
      <c r="I33" s="314"/>
      <c r="J33" s="314"/>
      <c r="K33" s="314"/>
      <c r="L33" s="314"/>
      <c r="M33" s="314"/>
      <c r="N33" s="314"/>
      <c r="O33" s="314"/>
      <c r="P33" s="314"/>
      <c r="Q33" s="314"/>
      <c r="R33" s="314"/>
      <c r="S33" s="314"/>
      <c r="T33" s="314"/>
      <c r="U33" s="314"/>
      <c r="V33" s="314"/>
      <c r="W33" s="314"/>
      <c r="X33" s="314"/>
      <c r="Y33" s="314"/>
      <c r="Z33" s="314"/>
      <c r="AA33" s="66"/>
      <c r="AB33" s="66"/>
      <c r="AC33" s="83"/>
    </row>
    <row r="34" spans="1:68" ht="16.5" customHeight="1" x14ac:dyDescent="0.25">
      <c r="A34" s="63" t="s">
        <v>106</v>
      </c>
      <c r="B34" s="63" t="s">
        <v>107</v>
      </c>
      <c r="C34" s="36">
        <v>4301071099</v>
      </c>
      <c r="D34" s="296">
        <v>4607111039019</v>
      </c>
      <c r="E34" s="29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86</v>
      </c>
      <c r="L34" s="37" t="s">
        <v>87</v>
      </c>
      <c r="M34" s="38" t="s">
        <v>85</v>
      </c>
      <c r="N34" s="38"/>
      <c r="O34" s="37">
        <v>180</v>
      </c>
      <c r="P34" s="39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8"/>
      <c r="R34" s="298"/>
      <c r="S34" s="298"/>
      <c r="T34" s="29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88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109</v>
      </c>
      <c r="B35" s="63" t="s">
        <v>110</v>
      </c>
      <c r="C35" s="36">
        <v>4301071100</v>
      </c>
      <c r="D35" s="296">
        <v>4607111038708</v>
      </c>
      <c r="E35" s="29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86</v>
      </c>
      <c r="L35" s="37" t="s">
        <v>87</v>
      </c>
      <c r="M35" s="38" t="s">
        <v>85</v>
      </c>
      <c r="N35" s="38"/>
      <c r="O35" s="37">
        <v>180</v>
      </c>
      <c r="P35" s="39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8"/>
      <c r="R35" s="298"/>
      <c r="S35" s="298"/>
      <c r="T35" s="29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88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293"/>
      <c r="B36" s="293"/>
      <c r="C36" s="293"/>
      <c r="D36" s="293"/>
      <c r="E36" s="293"/>
      <c r="F36" s="293"/>
      <c r="G36" s="293"/>
      <c r="H36" s="293"/>
      <c r="I36" s="293"/>
      <c r="J36" s="293"/>
      <c r="K36" s="293"/>
      <c r="L36" s="293"/>
      <c r="M36" s="293"/>
      <c r="N36" s="293"/>
      <c r="O36" s="306"/>
      <c r="P36" s="303" t="s">
        <v>40</v>
      </c>
      <c r="Q36" s="304"/>
      <c r="R36" s="304"/>
      <c r="S36" s="304"/>
      <c r="T36" s="304"/>
      <c r="U36" s="304"/>
      <c r="V36" s="305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293"/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306"/>
      <c r="P37" s="303" t="s">
        <v>40</v>
      </c>
      <c r="Q37" s="304"/>
      <c r="R37" s="304"/>
      <c r="S37" s="304"/>
      <c r="T37" s="304"/>
      <c r="U37" s="304"/>
      <c r="V37" s="305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18" t="s">
        <v>45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54"/>
      <c r="AB38" s="54"/>
      <c r="AC38" s="54"/>
    </row>
    <row r="39" spans="1:68" ht="16.5" customHeight="1" x14ac:dyDescent="0.25">
      <c r="A39" s="319" t="s">
        <v>111</v>
      </c>
      <c r="B39" s="319"/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  <c r="X39" s="319"/>
      <c r="Y39" s="319"/>
      <c r="Z39" s="319"/>
      <c r="AA39" s="65"/>
      <c r="AB39" s="65"/>
      <c r="AC39" s="82"/>
    </row>
    <row r="40" spans="1:68" ht="14.25" customHeight="1" x14ac:dyDescent="0.25">
      <c r="A40" s="314" t="s">
        <v>112</v>
      </c>
      <c r="B40" s="314"/>
      <c r="C40" s="314"/>
      <c r="D40" s="314"/>
      <c r="E40" s="314"/>
      <c r="F40" s="314"/>
      <c r="G40" s="314"/>
      <c r="H40" s="314"/>
      <c r="I40" s="314"/>
      <c r="J40" s="314"/>
      <c r="K40" s="314"/>
      <c r="L40" s="314"/>
      <c r="M40" s="314"/>
      <c r="N40" s="314"/>
      <c r="O40" s="314"/>
      <c r="P40" s="314"/>
      <c r="Q40" s="314"/>
      <c r="R40" s="314"/>
      <c r="S40" s="314"/>
      <c r="T40" s="314"/>
      <c r="U40" s="314"/>
      <c r="V40" s="314"/>
      <c r="W40" s="314"/>
      <c r="X40" s="314"/>
      <c r="Y40" s="314"/>
      <c r="Z40" s="314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296">
        <v>4607111036537</v>
      </c>
      <c r="E41" s="29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85</v>
      </c>
      <c r="N41" s="38"/>
      <c r="O41" s="37">
        <v>365</v>
      </c>
      <c r="P41" s="39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8"/>
      <c r="R41" s="298"/>
      <c r="S41" s="298"/>
      <c r="T41" s="299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IFERROR(IF(X41="","",X41*0.00941),"")</f>
        <v>0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296">
        <v>4607111036605</v>
      </c>
      <c r="E42" s="29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87</v>
      </c>
      <c r="M42" s="38" t="s">
        <v>85</v>
      </c>
      <c r="N42" s="38"/>
      <c r="O42" s="37">
        <v>365</v>
      </c>
      <c r="P42" s="39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8"/>
      <c r="R42" s="298"/>
      <c r="S42" s="298"/>
      <c r="T42" s="299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115</v>
      </c>
      <c r="AG42" s="81"/>
      <c r="AJ42" s="87" t="s">
        <v>88</v>
      </c>
      <c r="AK42" s="87">
        <v>1</v>
      </c>
      <c r="BB42" s="112" t="s">
        <v>116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293"/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306"/>
      <c r="P43" s="303" t="s">
        <v>40</v>
      </c>
      <c r="Q43" s="304"/>
      <c r="R43" s="304"/>
      <c r="S43" s="304"/>
      <c r="T43" s="304"/>
      <c r="U43" s="304"/>
      <c r="V43" s="305"/>
      <c r="W43" s="42" t="s">
        <v>39</v>
      </c>
      <c r="X43" s="43">
        <f>IFERROR(SUM(X41:X42),"0")</f>
        <v>0</v>
      </c>
      <c r="Y43" s="43">
        <f>IFERROR(SUM(Y41:Y42),"0")</f>
        <v>0</v>
      </c>
      <c r="Z43" s="43">
        <f>IFERROR(IF(Z41="",0,Z41),"0")+IFERROR(IF(Z42="",0,Z42),"0")</f>
        <v>0</v>
      </c>
      <c r="AA43" s="67"/>
      <c r="AB43" s="67"/>
      <c r="AC43" s="67"/>
    </row>
    <row r="44" spans="1:68" x14ac:dyDescent="0.2">
      <c r="A44" s="293"/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306"/>
      <c r="P44" s="303" t="s">
        <v>40</v>
      </c>
      <c r="Q44" s="304"/>
      <c r="R44" s="304"/>
      <c r="S44" s="304"/>
      <c r="T44" s="304"/>
      <c r="U44" s="304"/>
      <c r="V44" s="305"/>
      <c r="W44" s="42" t="s">
        <v>0</v>
      </c>
      <c r="X44" s="43">
        <f>IFERROR(SUMPRODUCT(X41:X42*H41:H42),"0")</f>
        <v>0</v>
      </c>
      <c r="Y44" s="43">
        <f>IFERROR(SUMPRODUCT(Y41:Y42*H41:H42),"0")</f>
        <v>0</v>
      </c>
      <c r="Z44" s="42"/>
      <c r="AA44" s="67"/>
      <c r="AB44" s="67"/>
      <c r="AC44" s="67"/>
    </row>
    <row r="45" spans="1:68" ht="16.5" customHeight="1" x14ac:dyDescent="0.25">
      <c r="A45" s="319" t="s">
        <v>122</v>
      </c>
      <c r="B45" s="319"/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  <c r="X45" s="319"/>
      <c r="Y45" s="319"/>
      <c r="Z45" s="319"/>
      <c r="AA45" s="65"/>
      <c r="AB45" s="65"/>
      <c r="AC45" s="82"/>
    </row>
    <row r="46" spans="1:68" ht="14.25" customHeight="1" x14ac:dyDescent="0.25">
      <c r="A46" s="314" t="s">
        <v>81</v>
      </c>
      <c r="B46" s="314"/>
      <c r="C46" s="314"/>
      <c r="D46" s="314"/>
      <c r="E46" s="314"/>
      <c r="F46" s="314"/>
      <c r="G46" s="314"/>
      <c r="H46" s="314"/>
      <c r="I46" s="314"/>
      <c r="J46" s="314"/>
      <c r="K46" s="314"/>
      <c r="L46" s="314"/>
      <c r="M46" s="314"/>
      <c r="N46" s="314"/>
      <c r="O46" s="314"/>
      <c r="P46" s="314"/>
      <c r="Q46" s="314"/>
      <c r="R46" s="314"/>
      <c r="S46" s="314"/>
      <c r="T46" s="314"/>
      <c r="U46" s="314"/>
      <c r="V46" s="314"/>
      <c r="W46" s="314"/>
      <c r="X46" s="314"/>
      <c r="Y46" s="314"/>
      <c r="Z46" s="314"/>
      <c r="AA46" s="66"/>
      <c r="AB46" s="66"/>
      <c r="AC46" s="83"/>
    </row>
    <row r="47" spans="1:68" ht="27" customHeight="1" x14ac:dyDescent="0.25">
      <c r="A47" s="63" t="s">
        <v>123</v>
      </c>
      <c r="B47" s="63" t="s">
        <v>124</v>
      </c>
      <c r="C47" s="36">
        <v>4301071090</v>
      </c>
      <c r="D47" s="296">
        <v>4620207490075</v>
      </c>
      <c r="E47" s="29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87</v>
      </c>
      <c r="M47" s="38" t="s">
        <v>85</v>
      </c>
      <c r="N47" s="38"/>
      <c r="O47" s="37">
        <v>180</v>
      </c>
      <c r="P47" s="39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8"/>
      <c r="R47" s="298"/>
      <c r="S47" s="298"/>
      <c r="T47" s="29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88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126</v>
      </c>
      <c r="B48" s="63" t="s">
        <v>127</v>
      </c>
      <c r="C48" s="36">
        <v>4301071092</v>
      </c>
      <c r="D48" s="296">
        <v>4620207490174</v>
      </c>
      <c r="E48" s="29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86</v>
      </c>
      <c r="L48" s="37" t="s">
        <v>118</v>
      </c>
      <c r="M48" s="38" t="s">
        <v>85</v>
      </c>
      <c r="N48" s="38"/>
      <c r="O48" s="37">
        <v>180</v>
      </c>
      <c r="P48" s="392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8"/>
      <c r="R48" s="298"/>
      <c r="S48" s="298"/>
      <c r="T48" s="299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x14ac:dyDescent="0.2">
      <c r="A49" s="293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306"/>
      <c r="P49" s="303" t="s">
        <v>40</v>
      </c>
      <c r="Q49" s="304"/>
      <c r="R49" s="304"/>
      <c r="S49" s="304"/>
      <c r="T49" s="304"/>
      <c r="U49" s="304"/>
      <c r="V49" s="305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x14ac:dyDescent="0.2">
      <c r="A50" s="293"/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306"/>
      <c r="P50" s="303" t="s">
        <v>40</v>
      </c>
      <c r="Q50" s="304"/>
      <c r="R50" s="304"/>
      <c r="S50" s="304"/>
      <c r="T50" s="304"/>
      <c r="U50" s="304"/>
      <c r="V50" s="305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customHeight="1" x14ac:dyDescent="0.25">
      <c r="A51" s="319" t="s">
        <v>129</v>
      </c>
      <c r="B51" s="319"/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  <c r="X51" s="319"/>
      <c r="Y51" s="319"/>
      <c r="Z51" s="319"/>
      <c r="AA51" s="65"/>
      <c r="AB51" s="65"/>
      <c r="AC51" s="82"/>
    </row>
    <row r="52" spans="1:68" ht="14.25" customHeight="1" x14ac:dyDescent="0.25">
      <c r="A52" s="314" t="s">
        <v>81</v>
      </c>
      <c r="B52" s="314"/>
      <c r="C52" s="314"/>
      <c r="D52" s="314"/>
      <c r="E52" s="314"/>
      <c r="F52" s="314"/>
      <c r="G52" s="314"/>
      <c r="H52" s="314"/>
      <c r="I52" s="314"/>
      <c r="J52" s="314"/>
      <c r="K52" s="314"/>
      <c r="L52" s="314"/>
      <c r="M52" s="314"/>
      <c r="N52" s="314"/>
      <c r="O52" s="314"/>
      <c r="P52" s="314"/>
      <c r="Q52" s="314"/>
      <c r="R52" s="314"/>
      <c r="S52" s="314"/>
      <c r="T52" s="314"/>
      <c r="U52" s="314"/>
      <c r="V52" s="314"/>
      <c r="W52" s="314"/>
      <c r="X52" s="314"/>
      <c r="Y52" s="314"/>
      <c r="Z52" s="314"/>
      <c r="AA52" s="66"/>
      <c r="AB52" s="66"/>
      <c r="AC52" s="83"/>
    </row>
    <row r="53" spans="1:68" ht="27" customHeight="1" x14ac:dyDescent="0.25">
      <c r="A53" s="63" t="s">
        <v>130</v>
      </c>
      <c r="B53" s="63" t="s">
        <v>131</v>
      </c>
      <c r="C53" s="36">
        <v>4301071044</v>
      </c>
      <c r="D53" s="296">
        <v>4607111039385</v>
      </c>
      <c r="E53" s="29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86</v>
      </c>
      <c r="L53" s="37" t="s">
        <v>118</v>
      </c>
      <c r="M53" s="38" t="s">
        <v>85</v>
      </c>
      <c r="N53" s="38"/>
      <c r="O53" s="37">
        <v>180</v>
      </c>
      <c r="P53" s="38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8"/>
      <c r="R53" s="298"/>
      <c r="S53" s="298"/>
      <c r="T53" s="29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132</v>
      </c>
      <c r="AG53" s="81"/>
      <c r="AJ53" s="87" t="s">
        <v>119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133</v>
      </c>
      <c r="B54" s="63" t="s">
        <v>134</v>
      </c>
      <c r="C54" s="36">
        <v>4301071031</v>
      </c>
      <c r="D54" s="296">
        <v>4607111038982</v>
      </c>
      <c r="E54" s="29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86</v>
      </c>
      <c r="L54" s="37" t="s">
        <v>118</v>
      </c>
      <c r="M54" s="38" t="s">
        <v>85</v>
      </c>
      <c r="N54" s="38"/>
      <c r="O54" s="37">
        <v>180</v>
      </c>
      <c r="P54" s="38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8"/>
      <c r="R54" s="298"/>
      <c r="S54" s="298"/>
      <c r="T54" s="29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136</v>
      </c>
      <c r="B55" s="63" t="s">
        <v>137</v>
      </c>
      <c r="C55" s="36">
        <v>4301071046</v>
      </c>
      <c r="D55" s="296">
        <v>4607111039354</v>
      </c>
      <c r="E55" s="29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86</v>
      </c>
      <c r="L55" s="37" t="s">
        <v>118</v>
      </c>
      <c r="M55" s="38" t="s">
        <v>85</v>
      </c>
      <c r="N55" s="38"/>
      <c r="O55" s="37">
        <v>180</v>
      </c>
      <c r="P55" s="38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8"/>
      <c r="R55" s="298"/>
      <c r="S55" s="298"/>
      <c r="T55" s="299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135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4301071047</v>
      </c>
      <c r="D56" s="296">
        <v>4607111039330</v>
      </c>
      <c r="E56" s="29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86</v>
      </c>
      <c r="L56" s="37" t="s">
        <v>118</v>
      </c>
      <c r="M56" s="38" t="s">
        <v>85</v>
      </c>
      <c r="N56" s="38"/>
      <c r="O56" s="37">
        <v>180</v>
      </c>
      <c r="P56" s="39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8"/>
      <c r="R56" s="298"/>
      <c r="S56" s="298"/>
      <c r="T56" s="299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135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x14ac:dyDescent="0.2">
      <c r="A57" s="293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306"/>
      <c r="P57" s="303" t="s">
        <v>40</v>
      </c>
      <c r="Q57" s="304"/>
      <c r="R57" s="304"/>
      <c r="S57" s="304"/>
      <c r="T57" s="304"/>
      <c r="U57" s="304"/>
      <c r="V57" s="305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293"/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306"/>
      <c r="P58" s="303" t="s">
        <v>40</v>
      </c>
      <c r="Q58" s="304"/>
      <c r="R58" s="304"/>
      <c r="S58" s="304"/>
      <c r="T58" s="304"/>
      <c r="U58" s="304"/>
      <c r="V58" s="305"/>
      <c r="W58" s="42" t="s">
        <v>0</v>
      </c>
      <c r="X58" s="43">
        <f>IFERROR(SUMPRODUCT(X53:X56*H53:H56),"0")</f>
        <v>0</v>
      </c>
      <c r="Y58" s="43">
        <f>IFERROR(SUMPRODUCT(Y53:Y56*H53:H56),"0")</f>
        <v>0</v>
      </c>
      <c r="Z58" s="42"/>
      <c r="AA58" s="67"/>
      <c r="AB58" s="67"/>
      <c r="AC58" s="67"/>
    </row>
    <row r="59" spans="1:68" ht="16.5" customHeight="1" x14ac:dyDescent="0.25">
      <c r="A59" s="319" t="s">
        <v>140</v>
      </c>
      <c r="B59" s="319"/>
      <c r="C59" s="319"/>
      <c r="D59" s="319"/>
      <c r="E59" s="319"/>
      <c r="F59" s="319"/>
      <c r="G59" s="319"/>
      <c r="H59" s="319"/>
      <c r="I59" s="319"/>
      <c r="J59" s="319"/>
      <c r="K59" s="319"/>
      <c r="L59" s="319"/>
      <c r="M59" s="319"/>
      <c r="N59" s="319"/>
      <c r="O59" s="319"/>
      <c r="P59" s="319"/>
      <c r="Q59" s="319"/>
      <c r="R59" s="319"/>
      <c r="S59" s="319"/>
      <c r="T59" s="319"/>
      <c r="U59" s="319"/>
      <c r="V59" s="319"/>
      <c r="W59" s="319"/>
      <c r="X59" s="319"/>
      <c r="Y59" s="319"/>
      <c r="Z59" s="319"/>
      <c r="AA59" s="65"/>
      <c r="AB59" s="65"/>
      <c r="AC59" s="82"/>
    </row>
    <row r="60" spans="1:68" ht="14.25" customHeight="1" x14ac:dyDescent="0.25">
      <c r="A60" s="314" t="s">
        <v>112</v>
      </c>
      <c r="B60" s="314"/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314"/>
      <c r="W60" s="314"/>
      <c r="X60" s="314"/>
      <c r="Y60" s="314"/>
      <c r="Z60" s="314"/>
      <c r="AA60" s="66"/>
      <c r="AB60" s="66"/>
      <c r="AC60" s="83"/>
    </row>
    <row r="61" spans="1:68" ht="27" customHeight="1" x14ac:dyDescent="0.25">
      <c r="A61" s="63" t="s">
        <v>141</v>
      </c>
      <c r="B61" s="63" t="s">
        <v>142</v>
      </c>
      <c r="C61" s="36">
        <v>4301132194</v>
      </c>
      <c r="D61" s="296">
        <v>4607111039712</v>
      </c>
      <c r="E61" s="29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117</v>
      </c>
      <c r="L61" s="37" t="s">
        <v>87</v>
      </c>
      <c r="M61" s="38" t="s">
        <v>85</v>
      </c>
      <c r="N61" s="38"/>
      <c r="O61" s="37">
        <v>365</v>
      </c>
      <c r="P61" s="38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8"/>
      <c r="R61" s="298"/>
      <c r="S61" s="298"/>
      <c r="T61" s="29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143</v>
      </c>
      <c r="AG61" s="81"/>
      <c r="AJ61" s="87" t="s">
        <v>88</v>
      </c>
      <c r="AK61" s="87">
        <v>1</v>
      </c>
      <c r="BB61" s="126" t="s">
        <v>116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x14ac:dyDescent="0.2">
      <c r="A62" s="293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306"/>
      <c r="P62" s="303" t="s">
        <v>40</v>
      </c>
      <c r="Q62" s="304"/>
      <c r="R62" s="304"/>
      <c r="S62" s="304"/>
      <c r="T62" s="304"/>
      <c r="U62" s="304"/>
      <c r="V62" s="305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x14ac:dyDescent="0.2">
      <c r="A63" s="293"/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306"/>
      <c r="P63" s="303" t="s">
        <v>40</v>
      </c>
      <c r="Q63" s="304"/>
      <c r="R63" s="304"/>
      <c r="S63" s="304"/>
      <c r="T63" s="304"/>
      <c r="U63" s="304"/>
      <c r="V63" s="305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customHeight="1" x14ac:dyDescent="0.25">
      <c r="A64" s="314" t="s">
        <v>144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X64" s="314"/>
      <c r="Y64" s="314"/>
      <c r="Z64" s="314"/>
      <c r="AA64" s="66"/>
      <c r="AB64" s="66"/>
      <c r="AC64" s="83"/>
    </row>
    <row r="65" spans="1:68" ht="16.5" customHeight="1" x14ac:dyDescent="0.25">
      <c r="A65" s="63" t="s">
        <v>145</v>
      </c>
      <c r="B65" s="63" t="s">
        <v>146</v>
      </c>
      <c r="C65" s="36">
        <v>4301136018</v>
      </c>
      <c r="D65" s="296">
        <v>4607111037008</v>
      </c>
      <c r="E65" s="296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117</v>
      </c>
      <c r="L65" s="37" t="s">
        <v>87</v>
      </c>
      <c r="M65" s="38" t="s">
        <v>85</v>
      </c>
      <c r="N65" s="38"/>
      <c r="O65" s="37">
        <v>365</v>
      </c>
      <c r="P65" s="384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8"/>
      <c r="R65" s="298"/>
      <c r="S65" s="298"/>
      <c r="T65" s="29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147</v>
      </c>
      <c r="AG65" s="81"/>
      <c r="AJ65" s="87" t="s">
        <v>88</v>
      </c>
      <c r="AK65" s="87">
        <v>1</v>
      </c>
      <c r="BB65" s="128" t="s">
        <v>116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customHeight="1" x14ac:dyDescent="0.25">
      <c r="A66" s="63" t="s">
        <v>148</v>
      </c>
      <c r="B66" s="63" t="s">
        <v>149</v>
      </c>
      <c r="C66" s="36">
        <v>4301136015</v>
      </c>
      <c r="D66" s="296">
        <v>4607111037398</v>
      </c>
      <c r="E66" s="296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117</v>
      </c>
      <c r="L66" s="37" t="s">
        <v>87</v>
      </c>
      <c r="M66" s="38" t="s">
        <v>85</v>
      </c>
      <c r="N66" s="38"/>
      <c r="O66" s="37">
        <v>365</v>
      </c>
      <c r="P66" s="38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8"/>
      <c r="R66" s="298"/>
      <c r="S66" s="298"/>
      <c r="T66" s="299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147</v>
      </c>
      <c r="AG66" s="81"/>
      <c r="AJ66" s="87" t="s">
        <v>88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293"/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306"/>
      <c r="P67" s="303" t="s">
        <v>40</v>
      </c>
      <c r="Q67" s="304"/>
      <c r="R67" s="304"/>
      <c r="S67" s="304"/>
      <c r="T67" s="304"/>
      <c r="U67" s="304"/>
      <c r="V67" s="305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x14ac:dyDescent="0.2">
      <c r="A68" s="293"/>
      <c r="B68" s="293"/>
      <c r="C68" s="293"/>
      <c r="D68" s="293"/>
      <c r="E68" s="293"/>
      <c r="F68" s="293"/>
      <c r="G68" s="293"/>
      <c r="H68" s="293"/>
      <c r="I68" s="293"/>
      <c r="J68" s="293"/>
      <c r="K68" s="293"/>
      <c r="L68" s="293"/>
      <c r="M68" s="293"/>
      <c r="N68" s="293"/>
      <c r="O68" s="306"/>
      <c r="P68" s="303" t="s">
        <v>40</v>
      </c>
      <c r="Q68" s="304"/>
      <c r="R68" s="304"/>
      <c r="S68" s="304"/>
      <c r="T68" s="304"/>
      <c r="U68" s="304"/>
      <c r="V68" s="305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customHeight="1" x14ac:dyDescent="0.25">
      <c r="A69" s="314" t="s">
        <v>150</v>
      </c>
      <c r="B69" s="314"/>
      <c r="C69" s="314"/>
      <c r="D69" s="314"/>
      <c r="E69" s="314"/>
      <c r="F69" s="314"/>
      <c r="G69" s="314"/>
      <c r="H69" s="314"/>
      <c r="I69" s="314"/>
      <c r="J69" s="314"/>
      <c r="K69" s="314"/>
      <c r="L69" s="314"/>
      <c r="M69" s="314"/>
      <c r="N69" s="314"/>
      <c r="O69" s="314"/>
      <c r="P69" s="314"/>
      <c r="Q69" s="314"/>
      <c r="R69" s="314"/>
      <c r="S69" s="314"/>
      <c r="T69" s="314"/>
      <c r="U69" s="314"/>
      <c r="V69" s="314"/>
      <c r="W69" s="314"/>
      <c r="X69" s="314"/>
      <c r="Y69" s="314"/>
      <c r="Z69" s="314"/>
      <c r="AA69" s="66"/>
      <c r="AB69" s="66"/>
      <c r="AC69" s="83"/>
    </row>
    <row r="70" spans="1:68" ht="27" customHeight="1" x14ac:dyDescent="0.25">
      <c r="A70" s="63" t="s">
        <v>151</v>
      </c>
      <c r="B70" s="63" t="s">
        <v>152</v>
      </c>
      <c r="C70" s="36">
        <v>4301135664</v>
      </c>
      <c r="D70" s="296">
        <v>4607111039705</v>
      </c>
      <c r="E70" s="29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117</v>
      </c>
      <c r="L70" s="37" t="s">
        <v>87</v>
      </c>
      <c r="M70" s="38" t="s">
        <v>85</v>
      </c>
      <c r="N70" s="38"/>
      <c r="O70" s="37">
        <v>365</v>
      </c>
      <c r="P70" s="38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8"/>
      <c r="R70" s="298"/>
      <c r="S70" s="298"/>
      <c r="T70" s="29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147</v>
      </c>
      <c r="AG70" s="81"/>
      <c r="AJ70" s="87" t="s">
        <v>88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customHeight="1" x14ac:dyDescent="0.25">
      <c r="A71" s="63" t="s">
        <v>153</v>
      </c>
      <c r="B71" s="63" t="s">
        <v>154</v>
      </c>
      <c r="C71" s="36">
        <v>4301135665</v>
      </c>
      <c r="D71" s="296">
        <v>4607111039729</v>
      </c>
      <c r="E71" s="29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117</v>
      </c>
      <c r="L71" s="37" t="s">
        <v>118</v>
      </c>
      <c r="M71" s="38" t="s">
        <v>85</v>
      </c>
      <c r="N71" s="38"/>
      <c r="O71" s="37">
        <v>365</v>
      </c>
      <c r="P71" s="38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8"/>
      <c r="R71" s="298"/>
      <c r="S71" s="298"/>
      <c r="T71" s="29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155</v>
      </c>
      <c r="AG71" s="81"/>
      <c r="AJ71" s="87" t="s">
        <v>119</v>
      </c>
      <c r="AK71" s="87">
        <v>14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customHeight="1" x14ac:dyDescent="0.25">
      <c r="A72" s="63" t="s">
        <v>156</v>
      </c>
      <c r="B72" s="63" t="s">
        <v>157</v>
      </c>
      <c r="C72" s="36">
        <v>4301135702</v>
      </c>
      <c r="D72" s="296">
        <v>4620207490228</v>
      </c>
      <c r="E72" s="296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117</v>
      </c>
      <c r="L72" s="37" t="s">
        <v>118</v>
      </c>
      <c r="M72" s="38" t="s">
        <v>85</v>
      </c>
      <c r="N72" s="38"/>
      <c r="O72" s="37">
        <v>365</v>
      </c>
      <c r="P72" s="38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8"/>
      <c r="R72" s="298"/>
      <c r="S72" s="298"/>
      <c r="T72" s="299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155</v>
      </c>
      <c r="AG72" s="81"/>
      <c r="AJ72" s="87" t="s">
        <v>119</v>
      </c>
      <c r="AK72" s="87">
        <v>14</v>
      </c>
      <c r="BB72" s="136" t="s">
        <v>116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x14ac:dyDescent="0.2">
      <c r="A73" s="293"/>
      <c r="B73" s="293"/>
      <c r="C73" s="293"/>
      <c r="D73" s="293"/>
      <c r="E73" s="293"/>
      <c r="F73" s="293"/>
      <c r="G73" s="293"/>
      <c r="H73" s="293"/>
      <c r="I73" s="293"/>
      <c r="J73" s="293"/>
      <c r="K73" s="293"/>
      <c r="L73" s="293"/>
      <c r="M73" s="293"/>
      <c r="N73" s="293"/>
      <c r="O73" s="306"/>
      <c r="P73" s="303" t="s">
        <v>40</v>
      </c>
      <c r="Q73" s="304"/>
      <c r="R73" s="304"/>
      <c r="S73" s="304"/>
      <c r="T73" s="304"/>
      <c r="U73" s="304"/>
      <c r="V73" s="305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x14ac:dyDescent="0.2">
      <c r="A74" s="293"/>
      <c r="B74" s="293"/>
      <c r="C74" s="293"/>
      <c r="D74" s="293"/>
      <c r="E74" s="293"/>
      <c r="F74" s="293"/>
      <c r="G74" s="293"/>
      <c r="H74" s="293"/>
      <c r="I74" s="293"/>
      <c r="J74" s="293"/>
      <c r="K74" s="293"/>
      <c r="L74" s="293"/>
      <c r="M74" s="293"/>
      <c r="N74" s="293"/>
      <c r="O74" s="306"/>
      <c r="P74" s="303" t="s">
        <v>40</v>
      </c>
      <c r="Q74" s="304"/>
      <c r="R74" s="304"/>
      <c r="S74" s="304"/>
      <c r="T74" s="304"/>
      <c r="U74" s="304"/>
      <c r="V74" s="305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customHeight="1" x14ac:dyDescent="0.25">
      <c r="A75" s="319" t="s">
        <v>158</v>
      </c>
      <c r="B75" s="319"/>
      <c r="C75" s="319"/>
      <c r="D75" s="319"/>
      <c r="E75" s="319"/>
      <c r="F75" s="319"/>
      <c r="G75" s="319"/>
      <c r="H75" s="319"/>
      <c r="I75" s="319"/>
      <c r="J75" s="319"/>
      <c r="K75" s="319"/>
      <c r="L75" s="319"/>
      <c r="M75" s="319"/>
      <c r="N75" s="319"/>
      <c r="O75" s="319"/>
      <c r="P75" s="319"/>
      <c r="Q75" s="319"/>
      <c r="R75" s="319"/>
      <c r="S75" s="319"/>
      <c r="T75" s="319"/>
      <c r="U75" s="319"/>
      <c r="V75" s="319"/>
      <c r="W75" s="319"/>
      <c r="X75" s="319"/>
      <c r="Y75" s="319"/>
      <c r="Z75" s="319"/>
      <c r="AA75" s="65"/>
      <c r="AB75" s="65"/>
      <c r="AC75" s="82"/>
    </row>
    <row r="76" spans="1:68" ht="14.25" customHeight="1" x14ac:dyDescent="0.25">
      <c r="A76" s="314" t="s">
        <v>81</v>
      </c>
      <c r="B76" s="314"/>
      <c r="C76" s="314"/>
      <c r="D76" s="314"/>
      <c r="E76" s="314"/>
      <c r="F76" s="314"/>
      <c r="G76" s="314"/>
      <c r="H76" s="314"/>
      <c r="I76" s="314"/>
      <c r="J76" s="314"/>
      <c r="K76" s="314"/>
      <c r="L76" s="314"/>
      <c r="M76" s="314"/>
      <c r="N76" s="314"/>
      <c r="O76" s="314"/>
      <c r="P76" s="314"/>
      <c r="Q76" s="314"/>
      <c r="R76" s="314"/>
      <c r="S76" s="314"/>
      <c r="T76" s="314"/>
      <c r="U76" s="314"/>
      <c r="V76" s="314"/>
      <c r="W76" s="314"/>
      <c r="X76" s="314"/>
      <c r="Y76" s="314"/>
      <c r="Z76" s="314"/>
      <c r="AA76" s="66"/>
      <c r="AB76" s="66"/>
      <c r="AC76" s="83"/>
    </row>
    <row r="77" spans="1:68" ht="27" customHeight="1" x14ac:dyDescent="0.25">
      <c r="A77" s="63" t="s">
        <v>159</v>
      </c>
      <c r="B77" s="63" t="s">
        <v>160</v>
      </c>
      <c r="C77" s="36">
        <v>4301070977</v>
      </c>
      <c r="D77" s="296">
        <v>4607111037411</v>
      </c>
      <c r="E77" s="296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162</v>
      </c>
      <c r="L77" s="37" t="s">
        <v>118</v>
      </c>
      <c r="M77" s="38" t="s">
        <v>85</v>
      </c>
      <c r="N77" s="38"/>
      <c r="O77" s="37">
        <v>180</v>
      </c>
      <c r="P77" s="379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8"/>
      <c r="R77" s="298"/>
      <c r="S77" s="298"/>
      <c r="T77" s="29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161</v>
      </c>
      <c r="AG77" s="81"/>
      <c r="AJ77" s="87" t="s">
        <v>119</v>
      </c>
      <c r="AK77" s="87">
        <v>18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customHeight="1" x14ac:dyDescent="0.25">
      <c r="A78" s="63" t="s">
        <v>163</v>
      </c>
      <c r="B78" s="63" t="s">
        <v>164</v>
      </c>
      <c r="C78" s="36">
        <v>4301070981</v>
      </c>
      <c r="D78" s="296">
        <v>4607111036728</v>
      </c>
      <c r="E78" s="296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86</v>
      </c>
      <c r="L78" s="37" t="s">
        <v>118</v>
      </c>
      <c r="M78" s="38" t="s">
        <v>85</v>
      </c>
      <c r="N78" s="38"/>
      <c r="O78" s="37">
        <v>180</v>
      </c>
      <c r="P78" s="38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8"/>
      <c r="R78" s="298"/>
      <c r="S78" s="298"/>
      <c r="T78" s="299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161</v>
      </c>
      <c r="AG78" s="81"/>
      <c r="AJ78" s="87" t="s">
        <v>119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x14ac:dyDescent="0.2">
      <c r="A79" s="293"/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306"/>
      <c r="P79" s="303" t="s">
        <v>40</v>
      </c>
      <c r="Q79" s="304"/>
      <c r="R79" s="304"/>
      <c r="S79" s="304"/>
      <c r="T79" s="304"/>
      <c r="U79" s="304"/>
      <c r="V79" s="305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x14ac:dyDescent="0.2">
      <c r="A80" s="293"/>
      <c r="B80" s="293"/>
      <c r="C80" s="293"/>
      <c r="D80" s="293"/>
      <c r="E80" s="293"/>
      <c r="F80" s="293"/>
      <c r="G80" s="293"/>
      <c r="H80" s="293"/>
      <c r="I80" s="293"/>
      <c r="J80" s="293"/>
      <c r="K80" s="293"/>
      <c r="L80" s="293"/>
      <c r="M80" s="293"/>
      <c r="N80" s="293"/>
      <c r="O80" s="306"/>
      <c r="P80" s="303" t="s">
        <v>40</v>
      </c>
      <c r="Q80" s="304"/>
      <c r="R80" s="304"/>
      <c r="S80" s="304"/>
      <c r="T80" s="304"/>
      <c r="U80" s="304"/>
      <c r="V80" s="305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customHeight="1" x14ac:dyDescent="0.25">
      <c r="A81" s="319" t="s">
        <v>165</v>
      </c>
      <c r="B81" s="319"/>
      <c r="C81" s="319"/>
      <c r="D81" s="319"/>
      <c r="E81" s="319"/>
      <c r="F81" s="319"/>
      <c r="G81" s="319"/>
      <c r="H81" s="319"/>
      <c r="I81" s="319"/>
      <c r="J81" s="319"/>
      <c r="K81" s="319"/>
      <c r="L81" s="319"/>
      <c r="M81" s="319"/>
      <c r="N81" s="319"/>
      <c r="O81" s="319"/>
      <c r="P81" s="319"/>
      <c r="Q81" s="319"/>
      <c r="R81" s="319"/>
      <c r="S81" s="319"/>
      <c r="T81" s="319"/>
      <c r="U81" s="319"/>
      <c r="V81" s="319"/>
      <c r="W81" s="319"/>
      <c r="X81" s="319"/>
      <c r="Y81" s="319"/>
      <c r="Z81" s="319"/>
      <c r="AA81" s="65"/>
      <c r="AB81" s="65"/>
      <c r="AC81" s="82"/>
    </row>
    <row r="82" spans="1:68" ht="14.25" customHeight="1" x14ac:dyDescent="0.25">
      <c r="A82" s="314" t="s">
        <v>150</v>
      </c>
      <c r="B82" s="314"/>
      <c r="C82" s="314"/>
      <c r="D82" s="314"/>
      <c r="E82" s="314"/>
      <c r="F82" s="314"/>
      <c r="G82" s="314"/>
      <c r="H82" s="314"/>
      <c r="I82" s="314"/>
      <c r="J82" s="314"/>
      <c r="K82" s="314"/>
      <c r="L82" s="314"/>
      <c r="M82" s="314"/>
      <c r="N82" s="314"/>
      <c r="O82" s="314"/>
      <c r="P82" s="314"/>
      <c r="Q82" s="314"/>
      <c r="R82" s="314"/>
      <c r="S82" s="314"/>
      <c r="T82" s="314"/>
      <c r="U82" s="314"/>
      <c r="V82" s="314"/>
      <c r="W82" s="314"/>
      <c r="X82" s="314"/>
      <c r="Y82" s="314"/>
      <c r="Z82" s="314"/>
      <c r="AA82" s="66"/>
      <c r="AB82" s="66"/>
      <c r="AC82" s="83"/>
    </row>
    <row r="83" spans="1:68" ht="27" customHeight="1" x14ac:dyDescent="0.25">
      <c r="A83" s="63" t="s">
        <v>166</v>
      </c>
      <c r="B83" s="63" t="s">
        <v>167</v>
      </c>
      <c r="C83" s="36">
        <v>4301135574</v>
      </c>
      <c r="D83" s="296">
        <v>4607111033659</v>
      </c>
      <c r="E83" s="296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117</v>
      </c>
      <c r="L83" s="37" t="s">
        <v>118</v>
      </c>
      <c r="M83" s="38" t="s">
        <v>85</v>
      </c>
      <c r="N83" s="38"/>
      <c r="O83" s="37">
        <v>180</v>
      </c>
      <c r="P83" s="37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8"/>
      <c r="R83" s="298"/>
      <c r="S83" s="298"/>
      <c r="T83" s="299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IFERROR(IF(X83="","",X83*0.01788),"")</f>
        <v>0</v>
      </c>
      <c r="AA83" s="68" t="s">
        <v>46</v>
      </c>
      <c r="AB83" s="69" t="s">
        <v>46</v>
      </c>
      <c r="AC83" s="141" t="s">
        <v>168</v>
      </c>
      <c r="AG83" s="81"/>
      <c r="AJ83" s="87" t="s">
        <v>119</v>
      </c>
      <c r="AK83" s="87">
        <v>14</v>
      </c>
      <c r="BB83" s="142" t="s">
        <v>116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293"/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306"/>
      <c r="P84" s="303" t="s">
        <v>40</v>
      </c>
      <c r="Q84" s="304"/>
      <c r="R84" s="304"/>
      <c r="S84" s="304"/>
      <c r="T84" s="304"/>
      <c r="U84" s="304"/>
      <c r="V84" s="305"/>
      <c r="W84" s="42" t="s">
        <v>39</v>
      </c>
      <c r="X84" s="43">
        <f>IFERROR(SUM(X83:X83),"0")</f>
        <v>0</v>
      </c>
      <c r="Y84" s="43">
        <f>IFERROR(SUM(Y83:Y83),"0")</f>
        <v>0</v>
      </c>
      <c r="Z84" s="43">
        <f>IFERROR(IF(Z83="",0,Z83),"0")</f>
        <v>0</v>
      </c>
      <c r="AA84" s="67"/>
      <c r="AB84" s="67"/>
      <c r="AC84" s="67"/>
    </row>
    <row r="85" spans="1:68" x14ac:dyDescent="0.2">
      <c r="A85" s="293"/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306"/>
      <c r="P85" s="303" t="s">
        <v>40</v>
      </c>
      <c r="Q85" s="304"/>
      <c r="R85" s="304"/>
      <c r="S85" s="304"/>
      <c r="T85" s="304"/>
      <c r="U85" s="304"/>
      <c r="V85" s="305"/>
      <c r="W85" s="42" t="s">
        <v>0</v>
      </c>
      <c r="X85" s="43">
        <f>IFERROR(SUMPRODUCT(X83:X83*H83:H83),"0")</f>
        <v>0</v>
      </c>
      <c r="Y85" s="43">
        <f>IFERROR(SUMPRODUCT(Y83:Y83*H83:H83),"0")</f>
        <v>0</v>
      </c>
      <c r="Z85" s="42"/>
      <c r="AA85" s="67"/>
      <c r="AB85" s="67"/>
      <c r="AC85" s="67"/>
    </row>
    <row r="86" spans="1:68" ht="16.5" customHeight="1" x14ac:dyDescent="0.25">
      <c r="A86" s="319" t="s">
        <v>169</v>
      </c>
      <c r="B86" s="319"/>
      <c r="C86" s="319"/>
      <c r="D86" s="319"/>
      <c r="E86" s="319"/>
      <c r="F86" s="319"/>
      <c r="G86" s="319"/>
      <c r="H86" s="319"/>
      <c r="I86" s="319"/>
      <c r="J86" s="319"/>
      <c r="K86" s="319"/>
      <c r="L86" s="319"/>
      <c r="M86" s="319"/>
      <c r="N86" s="319"/>
      <c r="O86" s="319"/>
      <c r="P86" s="319"/>
      <c r="Q86" s="319"/>
      <c r="R86" s="319"/>
      <c r="S86" s="319"/>
      <c r="T86" s="319"/>
      <c r="U86" s="319"/>
      <c r="V86" s="319"/>
      <c r="W86" s="319"/>
      <c r="X86" s="319"/>
      <c r="Y86" s="319"/>
      <c r="Z86" s="319"/>
      <c r="AA86" s="65"/>
      <c r="AB86" s="65"/>
      <c r="AC86" s="82"/>
    </row>
    <row r="87" spans="1:68" ht="14.25" customHeight="1" x14ac:dyDescent="0.25">
      <c r="A87" s="314" t="s">
        <v>170</v>
      </c>
      <c r="B87" s="314"/>
      <c r="C87" s="314"/>
      <c r="D87" s="314"/>
      <c r="E87" s="314"/>
      <c r="F87" s="314"/>
      <c r="G87" s="314"/>
      <c r="H87" s="314"/>
      <c r="I87" s="314"/>
      <c r="J87" s="314"/>
      <c r="K87" s="314"/>
      <c r="L87" s="314"/>
      <c r="M87" s="314"/>
      <c r="N87" s="314"/>
      <c r="O87" s="314"/>
      <c r="P87" s="314"/>
      <c r="Q87" s="314"/>
      <c r="R87" s="314"/>
      <c r="S87" s="314"/>
      <c r="T87" s="314"/>
      <c r="U87" s="314"/>
      <c r="V87" s="314"/>
      <c r="W87" s="314"/>
      <c r="X87" s="314"/>
      <c r="Y87" s="314"/>
      <c r="Z87" s="314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4301131047</v>
      </c>
      <c r="D88" s="296">
        <v>4607111034120</v>
      </c>
      <c r="E88" s="29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85</v>
      </c>
      <c r="N88" s="38"/>
      <c r="O88" s="37">
        <v>180</v>
      </c>
      <c r="P88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8"/>
      <c r="R88" s="298"/>
      <c r="S88" s="298"/>
      <c r="T88" s="299"/>
      <c r="U88" s="39" t="s">
        <v>46</v>
      </c>
      <c r="V88" s="39" t="s">
        <v>46</v>
      </c>
      <c r="W88" s="40" t="s">
        <v>39</v>
      </c>
      <c r="X88" s="58">
        <v>0</v>
      </c>
      <c r="Y88" s="55">
        <f>IFERROR(IF(X88="","",X88),"")</f>
        <v>0</v>
      </c>
      <c r="Z88" s="41">
        <f>IFERROR(IF(X88="","",X88*0.01788),"")</f>
        <v>0</v>
      </c>
      <c r="AA88" s="68" t="s">
        <v>46</v>
      </c>
      <c r="AB88" s="69" t="s">
        <v>46</v>
      </c>
      <c r="AC88" s="143" t="s">
        <v>173</v>
      </c>
      <c r="AG88" s="81"/>
      <c r="AJ88" s="87" t="s">
        <v>119</v>
      </c>
      <c r="AK88" s="87">
        <v>14</v>
      </c>
      <c r="BB88" s="144" t="s">
        <v>116</v>
      </c>
      <c r="BM88" s="81">
        <f>IFERROR(X88*I88,"0")</f>
        <v>0</v>
      </c>
      <c r="BN88" s="81">
        <f>IFERROR(Y88*I88,"0")</f>
        <v>0</v>
      </c>
      <c r="BO88" s="81">
        <f>IFERROR(X88/J88,"0")</f>
        <v>0</v>
      </c>
      <c r="BP88" s="81">
        <f>IFERROR(Y88/J88,"0")</f>
        <v>0</v>
      </c>
    </row>
    <row r="89" spans="1:68" ht="27" customHeight="1" x14ac:dyDescent="0.25">
      <c r="A89" s="63" t="s">
        <v>174</v>
      </c>
      <c r="B89" s="63" t="s">
        <v>175</v>
      </c>
      <c r="C89" s="36">
        <v>4301131046</v>
      </c>
      <c r="D89" s="296">
        <v>4607111034137</v>
      </c>
      <c r="E89" s="296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117</v>
      </c>
      <c r="L89" s="37" t="s">
        <v>118</v>
      </c>
      <c r="M89" s="38" t="s">
        <v>85</v>
      </c>
      <c r="N89" s="38"/>
      <c r="O89" s="37">
        <v>180</v>
      </c>
      <c r="P89" s="37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8"/>
      <c r="R89" s="298"/>
      <c r="S89" s="298"/>
      <c r="T89" s="299"/>
      <c r="U89" s="39" t="s">
        <v>46</v>
      </c>
      <c r="V89" s="39" t="s">
        <v>46</v>
      </c>
      <c r="W89" s="40" t="s">
        <v>39</v>
      </c>
      <c r="X89" s="58">
        <v>0</v>
      </c>
      <c r="Y89" s="55">
        <f>IFERROR(IF(X89="","",X89),"")</f>
        <v>0</v>
      </c>
      <c r="Z89" s="41">
        <f>IFERROR(IF(X89="","",X89*0.01788),"")</f>
        <v>0</v>
      </c>
      <c r="AA89" s="68" t="s">
        <v>46</v>
      </c>
      <c r="AB89" s="69" t="s">
        <v>46</v>
      </c>
      <c r="AC89" s="145" t="s">
        <v>176</v>
      </c>
      <c r="AG89" s="81"/>
      <c r="AJ89" s="87" t="s">
        <v>119</v>
      </c>
      <c r="AK89" s="87">
        <v>14</v>
      </c>
      <c r="BB89" s="146" t="s">
        <v>116</v>
      </c>
      <c r="BM89" s="81">
        <f>IFERROR(X89*I89,"0")</f>
        <v>0</v>
      </c>
      <c r="BN89" s="81">
        <f>IFERROR(Y89*I89,"0")</f>
        <v>0</v>
      </c>
      <c r="BO89" s="81">
        <f>IFERROR(X89/J89,"0")</f>
        <v>0</v>
      </c>
      <c r="BP89" s="81">
        <f>IFERROR(Y89/J89,"0")</f>
        <v>0</v>
      </c>
    </row>
    <row r="90" spans="1:68" x14ac:dyDescent="0.2">
      <c r="A90" s="293"/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306"/>
      <c r="P90" s="303" t="s">
        <v>40</v>
      </c>
      <c r="Q90" s="304"/>
      <c r="R90" s="304"/>
      <c r="S90" s="304"/>
      <c r="T90" s="304"/>
      <c r="U90" s="304"/>
      <c r="V90" s="305"/>
      <c r="W90" s="42" t="s">
        <v>39</v>
      </c>
      <c r="X90" s="43">
        <f>IFERROR(SUM(X88:X89),"0")</f>
        <v>0</v>
      </c>
      <c r="Y90" s="43">
        <f>IFERROR(SUM(Y88:Y89),"0")</f>
        <v>0</v>
      </c>
      <c r="Z90" s="43">
        <f>IFERROR(IF(Z88="",0,Z88),"0")+IFERROR(IF(Z89="",0,Z89),"0")</f>
        <v>0</v>
      </c>
      <c r="AA90" s="67"/>
      <c r="AB90" s="67"/>
      <c r="AC90" s="67"/>
    </row>
    <row r="91" spans="1:68" x14ac:dyDescent="0.2">
      <c r="A91" s="293"/>
      <c r="B91" s="293"/>
      <c r="C91" s="293"/>
      <c r="D91" s="293"/>
      <c r="E91" s="293"/>
      <c r="F91" s="293"/>
      <c r="G91" s="293"/>
      <c r="H91" s="293"/>
      <c r="I91" s="293"/>
      <c r="J91" s="293"/>
      <c r="K91" s="293"/>
      <c r="L91" s="293"/>
      <c r="M91" s="293"/>
      <c r="N91" s="293"/>
      <c r="O91" s="306"/>
      <c r="P91" s="303" t="s">
        <v>40</v>
      </c>
      <c r="Q91" s="304"/>
      <c r="R91" s="304"/>
      <c r="S91" s="304"/>
      <c r="T91" s="304"/>
      <c r="U91" s="304"/>
      <c r="V91" s="305"/>
      <c r="W91" s="42" t="s">
        <v>0</v>
      </c>
      <c r="X91" s="43">
        <f>IFERROR(SUMPRODUCT(X88:X89*H88:H89),"0")</f>
        <v>0</v>
      </c>
      <c r="Y91" s="43">
        <f>IFERROR(SUMPRODUCT(Y88:Y89*H88:H89),"0")</f>
        <v>0</v>
      </c>
      <c r="Z91" s="42"/>
      <c r="AA91" s="67"/>
      <c r="AB91" s="67"/>
      <c r="AC91" s="67"/>
    </row>
    <row r="92" spans="1:68" ht="16.5" customHeight="1" x14ac:dyDescent="0.25">
      <c r="A92" s="319" t="s">
        <v>177</v>
      </c>
      <c r="B92" s="319"/>
      <c r="C92" s="319"/>
      <c r="D92" s="319"/>
      <c r="E92" s="319"/>
      <c r="F92" s="319"/>
      <c r="G92" s="319"/>
      <c r="H92" s="319"/>
      <c r="I92" s="319"/>
      <c r="J92" s="319"/>
      <c r="K92" s="319"/>
      <c r="L92" s="319"/>
      <c r="M92" s="319"/>
      <c r="N92" s="319"/>
      <c r="O92" s="319"/>
      <c r="P92" s="319"/>
      <c r="Q92" s="319"/>
      <c r="R92" s="319"/>
      <c r="S92" s="319"/>
      <c r="T92" s="319"/>
      <c r="U92" s="319"/>
      <c r="V92" s="319"/>
      <c r="W92" s="319"/>
      <c r="X92" s="319"/>
      <c r="Y92" s="319"/>
      <c r="Z92" s="319"/>
      <c r="AA92" s="65"/>
      <c r="AB92" s="65"/>
      <c r="AC92" s="82"/>
    </row>
    <row r="93" spans="1:68" ht="14.25" customHeight="1" x14ac:dyDescent="0.25">
      <c r="A93" s="314" t="s">
        <v>150</v>
      </c>
      <c r="B93" s="314"/>
      <c r="C93" s="314"/>
      <c r="D93" s="314"/>
      <c r="E93" s="314"/>
      <c r="F93" s="314"/>
      <c r="G93" s="314"/>
      <c r="H93" s="314"/>
      <c r="I93" s="314"/>
      <c r="J93" s="314"/>
      <c r="K93" s="314"/>
      <c r="L93" s="314"/>
      <c r="M93" s="314"/>
      <c r="N93" s="314"/>
      <c r="O93" s="314"/>
      <c r="P93" s="314"/>
      <c r="Q93" s="314"/>
      <c r="R93" s="314"/>
      <c r="S93" s="314"/>
      <c r="T93" s="314"/>
      <c r="U93" s="314"/>
      <c r="V93" s="314"/>
      <c r="W93" s="314"/>
      <c r="X93" s="314"/>
      <c r="Y93" s="314"/>
      <c r="Z93" s="314"/>
      <c r="AA93" s="66"/>
      <c r="AB93" s="66"/>
      <c r="AC93" s="83"/>
    </row>
    <row r="94" spans="1:68" ht="27" customHeight="1" x14ac:dyDescent="0.25">
      <c r="A94" s="63" t="s">
        <v>178</v>
      </c>
      <c r="B94" s="63" t="s">
        <v>179</v>
      </c>
      <c r="C94" s="36">
        <v>4301135763</v>
      </c>
      <c r="D94" s="296">
        <v>4620207491027</v>
      </c>
      <c r="E94" s="29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117</v>
      </c>
      <c r="L94" s="37" t="s">
        <v>118</v>
      </c>
      <c r="M94" s="38" t="s">
        <v>85</v>
      </c>
      <c r="N94" s="38"/>
      <c r="O94" s="37">
        <v>180</v>
      </c>
      <c r="P94" s="37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8"/>
      <c r="R94" s="298"/>
      <c r="S94" s="298"/>
      <c r="T94" s="299"/>
      <c r="U94" s="39" t="s">
        <v>46</v>
      </c>
      <c r="V94" s="39" t="s">
        <v>46</v>
      </c>
      <c r="W94" s="40" t="s">
        <v>39</v>
      </c>
      <c r="X94" s="58">
        <v>0</v>
      </c>
      <c r="Y94" s="55">
        <f t="shared" ref="Y94:Y99" si="6">IFERROR(IF(X94="","",X94),"")</f>
        <v>0</v>
      </c>
      <c r="Z94" s="41">
        <f t="shared" ref="Z94:Z99" si="7">IFERROR(IF(X94="","",X94*0.01788),"")</f>
        <v>0</v>
      </c>
      <c r="AA94" s="68" t="s">
        <v>46</v>
      </c>
      <c r="AB94" s="69" t="s">
        <v>46</v>
      </c>
      <c r="AC94" s="147" t="s">
        <v>168</v>
      </c>
      <c r="AG94" s="81"/>
      <c r="AJ94" s="87" t="s">
        <v>119</v>
      </c>
      <c r="AK94" s="87">
        <v>14</v>
      </c>
      <c r="BB94" s="148" t="s">
        <v>116</v>
      </c>
      <c r="BM94" s="81">
        <f t="shared" ref="BM94:BM99" si="8">IFERROR(X94*I94,"0")</f>
        <v>0</v>
      </c>
      <c r="BN94" s="81">
        <f t="shared" ref="BN94:BN99" si="9">IFERROR(Y94*I94,"0")</f>
        <v>0</v>
      </c>
      <c r="BO94" s="81">
        <f t="shared" ref="BO94:BO99" si="10">IFERROR(X94/J94,"0")</f>
        <v>0</v>
      </c>
      <c r="BP94" s="81">
        <f t="shared" ref="BP94:BP99" si="11">IFERROR(Y94/J94,"0")</f>
        <v>0</v>
      </c>
    </row>
    <row r="95" spans="1:68" ht="27" customHeight="1" x14ac:dyDescent="0.25">
      <c r="A95" s="63" t="s">
        <v>180</v>
      </c>
      <c r="B95" s="63" t="s">
        <v>181</v>
      </c>
      <c r="C95" s="36">
        <v>4301135793</v>
      </c>
      <c r="D95" s="296">
        <v>4620207491003</v>
      </c>
      <c r="E95" s="29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117</v>
      </c>
      <c r="L95" s="37" t="s">
        <v>118</v>
      </c>
      <c r="M95" s="38" t="s">
        <v>85</v>
      </c>
      <c r="N95" s="38"/>
      <c r="O95" s="37">
        <v>180</v>
      </c>
      <c r="P95" s="37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8"/>
      <c r="R95" s="298"/>
      <c r="S95" s="298"/>
      <c r="T95" s="299"/>
      <c r="U95" s="39" t="s">
        <v>46</v>
      </c>
      <c r="V95" s="39" t="s">
        <v>46</v>
      </c>
      <c r="W95" s="40" t="s">
        <v>39</v>
      </c>
      <c r="X95" s="58">
        <v>0</v>
      </c>
      <c r="Y95" s="55">
        <f t="shared" si="6"/>
        <v>0</v>
      </c>
      <c r="Z95" s="41">
        <f t="shared" si="7"/>
        <v>0</v>
      </c>
      <c r="AA95" s="68" t="s">
        <v>46</v>
      </c>
      <c r="AB95" s="69" t="s">
        <v>46</v>
      </c>
      <c r="AC95" s="149" t="s">
        <v>168</v>
      </c>
      <c r="AG95" s="81"/>
      <c r="AJ95" s="87" t="s">
        <v>119</v>
      </c>
      <c r="AK95" s="87">
        <v>14</v>
      </c>
      <c r="BB95" s="150" t="s">
        <v>116</v>
      </c>
      <c r="BM95" s="81">
        <f t="shared" si="8"/>
        <v>0</v>
      </c>
      <c r="BN95" s="81">
        <f t="shared" si="9"/>
        <v>0</v>
      </c>
      <c r="BO95" s="81">
        <f t="shared" si="10"/>
        <v>0</v>
      </c>
      <c r="BP95" s="81">
        <f t="shared" si="11"/>
        <v>0</v>
      </c>
    </row>
    <row r="96" spans="1:68" ht="27" customHeight="1" x14ac:dyDescent="0.25">
      <c r="A96" s="63" t="s">
        <v>182</v>
      </c>
      <c r="B96" s="63" t="s">
        <v>183</v>
      </c>
      <c r="C96" s="36">
        <v>4301135768</v>
      </c>
      <c r="D96" s="296">
        <v>4620207491034</v>
      </c>
      <c r="E96" s="296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117</v>
      </c>
      <c r="L96" s="37" t="s">
        <v>87</v>
      </c>
      <c r="M96" s="38" t="s">
        <v>85</v>
      </c>
      <c r="N96" s="38"/>
      <c r="O96" s="37">
        <v>180</v>
      </c>
      <c r="P96" s="37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298"/>
      <c r="R96" s="298"/>
      <c r="S96" s="298"/>
      <c r="T96" s="299"/>
      <c r="U96" s="39" t="s">
        <v>46</v>
      </c>
      <c r="V96" s="39" t="s">
        <v>46</v>
      </c>
      <c r="W96" s="40" t="s">
        <v>39</v>
      </c>
      <c r="X96" s="58">
        <v>0</v>
      </c>
      <c r="Y96" s="55">
        <f t="shared" si="6"/>
        <v>0</v>
      </c>
      <c r="Z96" s="41">
        <f t="shared" si="7"/>
        <v>0</v>
      </c>
      <c r="AA96" s="68" t="s">
        <v>46</v>
      </c>
      <c r="AB96" s="69" t="s">
        <v>46</v>
      </c>
      <c r="AC96" s="151" t="s">
        <v>184</v>
      </c>
      <c r="AG96" s="81"/>
      <c r="AJ96" s="87" t="s">
        <v>88</v>
      </c>
      <c r="AK96" s="87">
        <v>1</v>
      </c>
      <c r="BB96" s="152" t="s">
        <v>116</v>
      </c>
      <c r="BM96" s="81">
        <f t="shared" si="8"/>
        <v>0</v>
      </c>
      <c r="BN96" s="81">
        <f t="shared" si="9"/>
        <v>0</v>
      </c>
      <c r="BO96" s="81">
        <f t="shared" si="10"/>
        <v>0</v>
      </c>
      <c r="BP96" s="81">
        <f t="shared" si="11"/>
        <v>0</v>
      </c>
    </row>
    <row r="97" spans="1:68" ht="27" customHeight="1" x14ac:dyDescent="0.25">
      <c r="A97" s="63" t="s">
        <v>185</v>
      </c>
      <c r="B97" s="63" t="s">
        <v>186</v>
      </c>
      <c r="C97" s="36">
        <v>4301135760</v>
      </c>
      <c r="D97" s="296">
        <v>4620207491010</v>
      </c>
      <c r="E97" s="29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117</v>
      </c>
      <c r="L97" s="37" t="s">
        <v>118</v>
      </c>
      <c r="M97" s="38" t="s">
        <v>85</v>
      </c>
      <c r="N97" s="38"/>
      <c r="O97" s="37">
        <v>180</v>
      </c>
      <c r="P97" s="374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8"/>
      <c r="R97" s="298"/>
      <c r="S97" s="298"/>
      <c r="T97" s="299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si="6"/>
        <v>0</v>
      </c>
      <c r="Z97" s="41">
        <f t="shared" si="7"/>
        <v>0</v>
      </c>
      <c r="AA97" s="68" t="s">
        <v>46</v>
      </c>
      <c r="AB97" s="69" t="s">
        <v>46</v>
      </c>
      <c r="AC97" s="153" t="s">
        <v>168</v>
      </c>
      <c r="AG97" s="81"/>
      <c r="AJ97" s="87" t="s">
        <v>119</v>
      </c>
      <c r="AK97" s="87">
        <v>14</v>
      </c>
      <c r="BB97" s="154" t="s">
        <v>116</v>
      </c>
      <c r="BM97" s="81">
        <f t="shared" si="8"/>
        <v>0</v>
      </c>
      <c r="BN97" s="81">
        <f t="shared" si="9"/>
        <v>0</v>
      </c>
      <c r="BO97" s="81">
        <f t="shared" si="10"/>
        <v>0</v>
      </c>
      <c r="BP97" s="81">
        <f t="shared" si="11"/>
        <v>0</v>
      </c>
    </row>
    <row r="98" spans="1:68" ht="27" customHeight="1" x14ac:dyDescent="0.25">
      <c r="A98" s="63" t="s">
        <v>187</v>
      </c>
      <c r="B98" s="63" t="s">
        <v>188</v>
      </c>
      <c r="C98" s="36">
        <v>4301135571</v>
      </c>
      <c r="D98" s="296">
        <v>4607111035028</v>
      </c>
      <c r="E98" s="296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117</v>
      </c>
      <c r="L98" s="37" t="s">
        <v>87</v>
      </c>
      <c r="M98" s="38" t="s">
        <v>85</v>
      </c>
      <c r="N98" s="38"/>
      <c r="O98" s="37">
        <v>180</v>
      </c>
      <c r="P98" s="37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8"/>
      <c r="R98" s="298"/>
      <c r="S98" s="298"/>
      <c r="T98" s="299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55" t="s">
        <v>168</v>
      </c>
      <c r="AG98" s="81"/>
      <c r="AJ98" s="87" t="s">
        <v>88</v>
      </c>
      <c r="AK98" s="87">
        <v>1</v>
      </c>
      <c r="BB98" s="156" t="s">
        <v>116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189</v>
      </c>
      <c r="B99" s="63" t="s">
        <v>190</v>
      </c>
      <c r="C99" s="36">
        <v>4301135285</v>
      </c>
      <c r="D99" s="296">
        <v>4607111036407</v>
      </c>
      <c r="E99" s="296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117</v>
      </c>
      <c r="L99" s="37" t="s">
        <v>118</v>
      </c>
      <c r="M99" s="38" t="s">
        <v>85</v>
      </c>
      <c r="N99" s="38"/>
      <c r="O99" s="37">
        <v>180</v>
      </c>
      <c r="P99" s="369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8"/>
      <c r="R99" s="298"/>
      <c r="S99" s="298"/>
      <c r="T99" s="29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191</v>
      </c>
      <c r="AG99" s="81"/>
      <c r="AJ99" s="87" t="s">
        <v>119</v>
      </c>
      <c r="AK99" s="87">
        <v>14</v>
      </c>
      <c r="BB99" s="158" t="s">
        <v>116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293"/>
      <c r="B100" s="293"/>
      <c r="C100" s="293"/>
      <c r="D100" s="293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306"/>
      <c r="P100" s="303" t="s">
        <v>40</v>
      </c>
      <c r="Q100" s="304"/>
      <c r="R100" s="304"/>
      <c r="S100" s="304"/>
      <c r="T100" s="304"/>
      <c r="U100" s="304"/>
      <c r="V100" s="305"/>
      <c r="W100" s="42" t="s">
        <v>39</v>
      </c>
      <c r="X100" s="43">
        <f>IFERROR(SUM(X94:X99),"0")</f>
        <v>0</v>
      </c>
      <c r="Y100" s="43">
        <f>IFERROR(SUM(Y94:Y99),"0")</f>
        <v>0</v>
      </c>
      <c r="Z100" s="43">
        <f>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x14ac:dyDescent="0.2">
      <c r="A101" s="293"/>
      <c r="B101" s="293"/>
      <c r="C101" s="293"/>
      <c r="D101" s="293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306"/>
      <c r="P101" s="303" t="s">
        <v>40</v>
      </c>
      <c r="Q101" s="304"/>
      <c r="R101" s="304"/>
      <c r="S101" s="304"/>
      <c r="T101" s="304"/>
      <c r="U101" s="304"/>
      <c r="V101" s="305"/>
      <c r="W101" s="42" t="s">
        <v>0</v>
      </c>
      <c r="X101" s="43">
        <f>IFERROR(SUMPRODUCT(X94:X99*H94:H99),"0")</f>
        <v>0</v>
      </c>
      <c r="Y101" s="43">
        <f>IFERROR(SUMPRODUCT(Y94:Y99*H94:H99),"0")</f>
        <v>0</v>
      </c>
      <c r="Z101" s="42"/>
      <c r="AA101" s="67"/>
      <c r="AB101" s="67"/>
      <c r="AC101" s="67"/>
    </row>
    <row r="102" spans="1:68" ht="16.5" customHeight="1" x14ac:dyDescent="0.25">
      <c r="A102" s="319" t="s">
        <v>192</v>
      </c>
      <c r="B102" s="319"/>
      <c r="C102" s="319"/>
      <c r="D102" s="319"/>
      <c r="E102" s="319"/>
      <c r="F102" s="319"/>
      <c r="G102" s="319"/>
      <c r="H102" s="319"/>
      <c r="I102" s="319"/>
      <c r="J102" s="319"/>
      <c r="K102" s="319"/>
      <c r="L102" s="319"/>
      <c r="M102" s="319"/>
      <c r="N102" s="319"/>
      <c r="O102" s="319"/>
      <c r="P102" s="319"/>
      <c r="Q102" s="319"/>
      <c r="R102" s="319"/>
      <c r="S102" s="319"/>
      <c r="T102" s="319"/>
      <c r="U102" s="319"/>
      <c r="V102" s="319"/>
      <c r="W102" s="319"/>
      <c r="X102" s="319"/>
      <c r="Y102" s="319"/>
      <c r="Z102" s="319"/>
      <c r="AA102" s="65"/>
      <c r="AB102" s="65"/>
      <c r="AC102" s="82"/>
    </row>
    <row r="103" spans="1:68" ht="14.25" customHeight="1" x14ac:dyDescent="0.25">
      <c r="A103" s="314" t="s">
        <v>144</v>
      </c>
      <c r="B103" s="314"/>
      <c r="C103" s="314"/>
      <c r="D103" s="314"/>
      <c r="E103" s="314"/>
      <c r="F103" s="314"/>
      <c r="G103" s="314"/>
      <c r="H103" s="314"/>
      <c r="I103" s="314"/>
      <c r="J103" s="314"/>
      <c r="K103" s="314"/>
      <c r="L103" s="314"/>
      <c r="M103" s="314"/>
      <c r="N103" s="314"/>
      <c r="O103" s="314"/>
      <c r="P103" s="314"/>
      <c r="Q103" s="314"/>
      <c r="R103" s="314"/>
      <c r="S103" s="314"/>
      <c r="T103" s="314"/>
      <c r="U103" s="314"/>
      <c r="V103" s="314"/>
      <c r="W103" s="314"/>
      <c r="X103" s="314"/>
      <c r="Y103" s="314"/>
      <c r="Z103" s="314"/>
      <c r="AA103" s="66"/>
      <c r="AB103" s="66"/>
      <c r="AC103" s="83"/>
    </row>
    <row r="104" spans="1:68" ht="27" customHeight="1" x14ac:dyDescent="0.25">
      <c r="A104" s="63" t="s">
        <v>193</v>
      </c>
      <c r="B104" s="63" t="s">
        <v>194</v>
      </c>
      <c r="C104" s="36">
        <v>4301136070</v>
      </c>
      <c r="D104" s="296">
        <v>4607025784012</v>
      </c>
      <c r="E104" s="296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117</v>
      </c>
      <c r="L104" s="37" t="s">
        <v>118</v>
      </c>
      <c r="M104" s="38" t="s">
        <v>85</v>
      </c>
      <c r="N104" s="38"/>
      <c r="O104" s="37">
        <v>180</v>
      </c>
      <c r="P104" s="37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8"/>
      <c r="R104" s="298"/>
      <c r="S104" s="298"/>
      <c r="T104" s="299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195</v>
      </c>
      <c r="AG104" s="81"/>
      <c r="AJ104" s="87" t="s">
        <v>119</v>
      </c>
      <c r="AK104" s="87">
        <v>14</v>
      </c>
      <c r="BB104" s="160" t="s">
        <v>116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customHeight="1" x14ac:dyDescent="0.25">
      <c r="A105" s="63" t="s">
        <v>196</v>
      </c>
      <c r="B105" s="63" t="s">
        <v>197</v>
      </c>
      <c r="C105" s="36">
        <v>4301136079</v>
      </c>
      <c r="D105" s="296">
        <v>4607025784319</v>
      </c>
      <c r="E105" s="296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117</v>
      </c>
      <c r="L105" s="37" t="s">
        <v>87</v>
      </c>
      <c r="M105" s="38" t="s">
        <v>85</v>
      </c>
      <c r="N105" s="38"/>
      <c r="O105" s="37">
        <v>180</v>
      </c>
      <c r="P105" s="367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298"/>
      <c r="R105" s="298"/>
      <c r="S105" s="298"/>
      <c r="T105" s="299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168</v>
      </c>
      <c r="AG105" s="81"/>
      <c r="AJ105" s="87" t="s">
        <v>88</v>
      </c>
      <c r="AK105" s="87">
        <v>1</v>
      </c>
      <c r="BB105" s="162" t="s">
        <v>116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x14ac:dyDescent="0.2">
      <c r="A106" s="293"/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306"/>
      <c r="P106" s="303" t="s">
        <v>40</v>
      </c>
      <c r="Q106" s="304"/>
      <c r="R106" s="304"/>
      <c r="S106" s="304"/>
      <c r="T106" s="304"/>
      <c r="U106" s="304"/>
      <c r="V106" s="305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x14ac:dyDescent="0.2">
      <c r="A107" s="293"/>
      <c r="B107" s="293"/>
      <c r="C107" s="293"/>
      <c r="D107" s="293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306"/>
      <c r="P107" s="303" t="s">
        <v>40</v>
      </c>
      <c r="Q107" s="304"/>
      <c r="R107" s="304"/>
      <c r="S107" s="304"/>
      <c r="T107" s="304"/>
      <c r="U107" s="304"/>
      <c r="V107" s="305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customHeight="1" x14ac:dyDescent="0.25">
      <c r="A108" s="319" t="s">
        <v>198</v>
      </c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65"/>
      <c r="AB108" s="65"/>
      <c r="AC108" s="82"/>
    </row>
    <row r="109" spans="1:68" ht="14.25" customHeight="1" x14ac:dyDescent="0.25">
      <c r="A109" s="314" t="s">
        <v>81</v>
      </c>
      <c r="B109" s="314"/>
      <c r="C109" s="314"/>
      <c r="D109" s="314"/>
      <c r="E109" s="314"/>
      <c r="F109" s="314"/>
      <c r="G109" s="314"/>
      <c r="H109" s="314"/>
      <c r="I109" s="314"/>
      <c r="J109" s="314"/>
      <c r="K109" s="314"/>
      <c r="L109" s="314"/>
      <c r="M109" s="314"/>
      <c r="N109" s="314"/>
      <c r="O109" s="314"/>
      <c r="P109" s="314"/>
      <c r="Q109" s="314"/>
      <c r="R109" s="314"/>
      <c r="S109" s="314"/>
      <c r="T109" s="314"/>
      <c r="U109" s="314"/>
      <c r="V109" s="314"/>
      <c r="W109" s="314"/>
      <c r="X109" s="314"/>
      <c r="Y109" s="314"/>
      <c r="Z109" s="314"/>
      <c r="AA109" s="66"/>
      <c r="AB109" s="66"/>
      <c r="AC109" s="83"/>
    </row>
    <row r="110" spans="1:68" ht="27" customHeight="1" x14ac:dyDescent="0.25">
      <c r="A110" s="63" t="s">
        <v>199</v>
      </c>
      <c r="B110" s="63" t="s">
        <v>200</v>
      </c>
      <c r="C110" s="36">
        <v>4301071074</v>
      </c>
      <c r="D110" s="296">
        <v>4620207491157</v>
      </c>
      <c r="E110" s="296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86</v>
      </c>
      <c r="L110" s="37" t="s">
        <v>118</v>
      </c>
      <c r="M110" s="38" t="s">
        <v>85</v>
      </c>
      <c r="N110" s="38"/>
      <c r="O110" s="37">
        <v>180</v>
      </c>
      <c r="P110" s="36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8"/>
      <c r="R110" s="298"/>
      <c r="S110" s="298"/>
      <c r="T110" s="299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201</v>
      </c>
      <c r="AG110" s="81"/>
      <c r="AJ110" s="87" t="s">
        <v>119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customHeight="1" x14ac:dyDescent="0.25">
      <c r="A111" s="63" t="s">
        <v>202</v>
      </c>
      <c r="B111" s="63" t="s">
        <v>203</v>
      </c>
      <c r="C111" s="36">
        <v>4301071121</v>
      </c>
      <c r="D111" s="296">
        <v>4620207491393</v>
      </c>
      <c r="E111" s="296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86</v>
      </c>
      <c r="L111" s="37" t="s">
        <v>87</v>
      </c>
      <c r="M111" s="38" t="s">
        <v>85</v>
      </c>
      <c r="N111" s="38"/>
      <c r="O111" s="37">
        <v>180</v>
      </c>
      <c r="P111" s="36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8"/>
      <c r="R111" s="298"/>
      <c r="S111" s="298"/>
      <c r="T111" s="299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204</v>
      </c>
      <c r="AG111" s="81"/>
      <c r="AJ111" s="87" t="s">
        <v>88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customHeight="1" x14ac:dyDescent="0.25">
      <c r="A112" s="63" t="s">
        <v>205</v>
      </c>
      <c r="B112" s="63" t="s">
        <v>206</v>
      </c>
      <c r="C112" s="36">
        <v>4301071051</v>
      </c>
      <c r="D112" s="296">
        <v>4607111039262</v>
      </c>
      <c r="E112" s="296"/>
      <c r="F112" s="62">
        <v>0.4</v>
      </c>
      <c r="G112" s="37">
        <v>16</v>
      </c>
      <c r="H112" s="62">
        <v>6.4</v>
      </c>
      <c r="I112" s="62">
        <v>6.7195999999999998</v>
      </c>
      <c r="J112" s="37">
        <v>84</v>
      </c>
      <c r="K112" s="37" t="s">
        <v>86</v>
      </c>
      <c r="L112" s="37" t="s">
        <v>118</v>
      </c>
      <c r="M112" s="38" t="s">
        <v>85</v>
      </c>
      <c r="N112" s="38"/>
      <c r="O112" s="37">
        <v>180</v>
      </c>
      <c r="P112" s="36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298"/>
      <c r="R112" s="298"/>
      <c r="S112" s="298"/>
      <c r="T112" s="299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161</v>
      </c>
      <c r="AG112" s="81"/>
      <c r="AJ112" s="87" t="s">
        <v>119</v>
      </c>
      <c r="AK112" s="87">
        <v>12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customHeight="1" x14ac:dyDescent="0.25">
      <c r="A113" s="63" t="s">
        <v>207</v>
      </c>
      <c r="B113" s="63" t="s">
        <v>208</v>
      </c>
      <c r="C113" s="36">
        <v>4301071038</v>
      </c>
      <c r="D113" s="296">
        <v>4607111039248</v>
      </c>
      <c r="E113" s="296"/>
      <c r="F113" s="62">
        <v>0.7</v>
      </c>
      <c r="G113" s="37">
        <v>10</v>
      </c>
      <c r="H113" s="62">
        <v>7</v>
      </c>
      <c r="I113" s="62">
        <v>7.3</v>
      </c>
      <c r="J113" s="37">
        <v>84</v>
      </c>
      <c r="K113" s="37" t="s">
        <v>86</v>
      </c>
      <c r="L113" s="37" t="s">
        <v>118</v>
      </c>
      <c r="M113" s="38" t="s">
        <v>85</v>
      </c>
      <c r="N113" s="38"/>
      <c r="O113" s="37">
        <v>180</v>
      </c>
      <c r="P113" s="36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3" s="298"/>
      <c r="R113" s="298"/>
      <c r="S113" s="298"/>
      <c r="T113" s="29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161</v>
      </c>
      <c r="AG113" s="81"/>
      <c r="AJ113" s="87" t="s">
        <v>119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customHeight="1" x14ac:dyDescent="0.25">
      <c r="A114" s="63" t="s">
        <v>209</v>
      </c>
      <c r="B114" s="63" t="s">
        <v>210</v>
      </c>
      <c r="C114" s="36">
        <v>4301070979</v>
      </c>
      <c r="D114" s="296">
        <v>4607111037145</v>
      </c>
      <c r="E114" s="296"/>
      <c r="F114" s="62">
        <v>0.8</v>
      </c>
      <c r="G114" s="37">
        <v>8</v>
      </c>
      <c r="H114" s="62">
        <v>6.4</v>
      </c>
      <c r="I114" s="62">
        <v>6.6748000000000003</v>
      </c>
      <c r="J114" s="37">
        <v>84</v>
      </c>
      <c r="K114" s="37" t="s">
        <v>86</v>
      </c>
      <c r="L114" s="37" t="s">
        <v>87</v>
      </c>
      <c r="M114" s="38" t="s">
        <v>85</v>
      </c>
      <c r="N114" s="38"/>
      <c r="O114" s="37">
        <v>180</v>
      </c>
      <c r="P114" s="36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4" s="298"/>
      <c r="R114" s="298"/>
      <c r="S114" s="298"/>
      <c r="T114" s="29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211</v>
      </c>
      <c r="AG114" s="81"/>
      <c r="AJ114" s="87" t="s">
        <v>88</v>
      </c>
      <c r="AK114" s="87">
        <v>1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212</v>
      </c>
      <c r="B115" s="63" t="s">
        <v>213</v>
      </c>
      <c r="C115" s="36">
        <v>4301071075</v>
      </c>
      <c r="D115" s="296">
        <v>4620207491102</v>
      </c>
      <c r="E115" s="296"/>
      <c r="F115" s="62">
        <v>0.7</v>
      </c>
      <c r="G115" s="37">
        <v>10</v>
      </c>
      <c r="H115" s="62">
        <v>7</v>
      </c>
      <c r="I115" s="62">
        <v>7.23</v>
      </c>
      <c r="J115" s="37">
        <v>84</v>
      </c>
      <c r="K115" s="37" t="s">
        <v>86</v>
      </c>
      <c r="L115" s="37" t="s">
        <v>87</v>
      </c>
      <c r="M115" s="38" t="s">
        <v>85</v>
      </c>
      <c r="N115" s="38"/>
      <c r="O115" s="37">
        <v>180</v>
      </c>
      <c r="P115" s="366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5" s="298"/>
      <c r="R115" s="298"/>
      <c r="S115" s="298"/>
      <c r="T115" s="29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214</v>
      </c>
      <c r="AG115" s="81"/>
      <c r="AJ115" s="87" t="s">
        <v>88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215</v>
      </c>
      <c r="B116" s="63" t="s">
        <v>216</v>
      </c>
      <c r="C116" s="36">
        <v>4301071049</v>
      </c>
      <c r="D116" s="296">
        <v>4607111039293</v>
      </c>
      <c r="E116" s="296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86</v>
      </c>
      <c r="L116" s="37" t="s">
        <v>118</v>
      </c>
      <c r="M116" s="38" t="s">
        <v>85</v>
      </c>
      <c r="N116" s="38"/>
      <c r="O116" s="37">
        <v>180</v>
      </c>
      <c r="P116" s="35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8"/>
      <c r="R116" s="298"/>
      <c r="S116" s="298"/>
      <c r="T116" s="29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161</v>
      </c>
      <c r="AG116" s="81"/>
      <c r="AJ116" s="87" t="s">
        <v>119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217</v>
      </c>
      <c r="B117" s="63" t="s">
        <v>218</v>
      </c>
      <c r="C117" s="36">
        <v>4301071039</v>
      </c>
      <c r="D117" s="296">
        <v>4607111039279</v>
      </c>
      <c r="E117" s="296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86</v>
      </c>
      <c r="L117" s="37" t="s">
        <v>118</v>
      </c>
      <c r="M117" s="38" t="s">
        <v>85</v>
      </c>
      <c r="N117" s="38"/>
      <c r="O117" s="37">
        <v>180</v>
      </c>
      <c r="P117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8"/>
      <c r="R117" s="298"/>
      <c r="S117" s="298"/>
      <c r="T117" s="299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7" t="s">
        <v>161</v>
      </c>
      <c r="AG117" s="81"/>
      <c r="AJ117" s="87" t="s">
        <v>119</v>
      </c>
      <c r="AK117" s="87">
        <v>12</v>
      </c>
      <c r="BB117" s="178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x14ac:dyDescent="0.2">
      <c r="A118" s="293"/>
      <c r="B118" s="293"/>
      <c r="C118" s="293"/>
      <c r="D118" s="293"/>
      <c r="E118" s="293"/>
      <c r="F118" s="293"/>
      <c r="G118" s="293"/>
      <c r="H118" s="293"/>
      <c r="I118" s="293"/>
      <c r="J118" s="293"/>
      <c r="K118" s="293"/>
      <c r="L118" s="293"/>
      <c r="M118" s="293"/>
      <c r="N118" s="293"/>
      <c r="O118" s="306"/>
      <c r="P118" s="303" t="s">
        <v>40</v>
      </c>
      <c r="Q118" s="304"/>
      <c r="R118" s="304"/>
      <c r="S118" s="304"/>
      <c r="T118" s="304"/>
      <c r="U118" s="304"/>
      <c r="V118" s="305"/>
      <c r="W118" s="42" t="s">
        <v>39</v>
      </c>
      <c r="X118" s="43">
        <f>IFERROR(SUM(X110:X117),"0")</f>
        <v>0</v>
      </c>
      <c r="Y118" s="43">
        <f>IFERROR(SUM(Y110:Y117),"0")</f>
        <v>0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293"/>
      <c r="B119" s="293"/>
      <c r="C119" s="293"/>
      <c r="D119" s="293"/>
      <c r="E119" s="293"/>
      <c r="F119" s="293"/>
      <c r="G119" s="293"/>
      <c r="H119" s="293"/>
      <c r="I119" s="293"/>
      <c r="J119" s="293"/>
      <c r="K119" s="293"/>
      <c r="L119" s="293"/>
      <c r="M119" s="293"/>
      <c r="N119" s="293"/>
      <c r="O119" s="306"/>
      <c r="P119" s="303" t="s">
        <v>40</v>
      </c>
      <c r="Q119" s="304"/>
      <c r="R119" s="304"/>
      <c r="S119" s="304"/>
      <c r="T119" s="304"/>
      <c r="U119" s="304"/>
      <c r="V119" s="305"/>
      <c r="W119" s="42" t="s">
        <v>0</v>
      </c>
      <c r="X119" s="43">
        <f>IFERROR(SUMPRODUCT(X110:X117*H110:H117),"0")</f>
        <v>0</v>
      </c>
      <c r="Y119" s="43">
        <f>IFERROR(SUMPRODUCT(Y110:Y117*H110:H117),"0")</f>
        <v>0</v>
      </c>
      <c r="Z119" s="42"/>
      <c r="AA119" s="67"/>
      <c r="AB119" s="67"/>
      <c r="AC119" s="67"/>
    </row>
    <row r="120" spans="1:68" ht="14.25" customHeight="1" x14ac:dyDescent="0.25">
      <c r="A120" s="314" t="s">
        <v>150</v>
      </c>
      <c r="B120" s="314"/>
      <c r="C120" s="314"/>
      <c r="D120" s="314"/>
      <c r="E120" s="314"/>
      <c r="F120" s="314"/>
      <c r="G120" s="314"/>
      <c r="H120" s="314"/>
      <c r="I120" s="314"/>
      <c r="J120" s="314"/>
      <c r="K120" s="314"/>
      <c r="L120" s="314"/>
      <c r="M120" s="314"/>
      <c r="N120" s="314"/>
      <c r="O120" s="314"/>
      <c r="P120" s="314"/>
      <c r="Q120" s="314"/>
      <c r="R120" s="314"/>
      <c r="S120" s="314"/>
      <c r="T120" s="314"/>
      <c r="U120" s="314"/>
      <c r="V120" s="314"/>
      <c r="W120" s="314"/>
      <c r="X120" s="314"/>
      <c r="Y120" s="314"/>
      <c r="Z120" s="314"/>
      <c r="AA120" s="66"/>
      <c r="AB120" s="66"/>
      <c r="AC120" s="83"/>
    </row>
    <row r="121" spans="1:68" ht="27" customHeight="1" x14ac:dyDescent="0.25">
      <c r="A121" s="63" t="s">
        <v>219</v>
      </c>
      <c r="B121" s="63" t="s">
        <v>220</v>
      </c>
      <c r="C121" s="36">
        <v>4301135826</v>
      </c>
      <c r="D121" s="296">
        <v>4620207490983</v>
      </c>
      <c r="E121" s="296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117</v>
      </c>
      <c r="L121" s="37" t="s">
        <v>87</v>
      </c>
      <c r="M121" s="38" t="s">
        <v>85</v>
      </c>
      <c r="N121" s="38"/>
      <c r="O121" s="37">
        <v>180</v>
      </c>
      <c r="P121" s="361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8"/>
      <c r="R121" s="298"/>
      <c r="S121" s="298"/>
      <c r="T121" s="299"/>
      <c r="U121" s="39" t="s">
        <v>46</v>
      </c>
      <c r="V121" s="39" t="s">
        <v>46</v>
      </c>
      <c r="W121" s="40" t="s">
        <v>39</v>
      </c>
      <c r="X121" s="58">
        <v>0</v>
      </c>
      <c r="Y121" s="55">
        <f>IFERROR(IF(X121="","",X121),"")</f>
        <v>0</v>
      </c>
      <c r="Z121" s="41">
        <f>IFERROR(IF(X121="","",X121*0.01788),"")</f>
        <v>0</v>
      </c>
      <c r="AA121" s="68" t="s">
        <v>46</v>
      </c>
      <c r="AB121" s="69" t="s">
        <v>46</v>
      </c>
      <c r="AC121" s="179" t="s">
        <v>221</v>
      </c>
      <c r="AG121" s="81"/>
      <c r="AJ121" s="87" t="s">
        <v>88</v>
      </c>
      <c r="AK121" s="87">
        <v>1</v>
      </c>
      <c r="BB121" s="180" t="s">
        <v>116</v>
      </c>
      <c r="BM121" s="81">
        <f>IFERROR(X121*I121,"0")</f>
        <v>0</v>
      </c>
      <c r="BN121" s="81">
        <f>IFERROR(Y121*I121,"0")</f>
        <v>0</v>
      </c>
      <c r="BO121" s="81">
        <f>IFERROR(X121/J121,"0")</f>
        <v>0</v>
      </c>
      <c r="BP121" s="81">
        <f>IFERROR(Y121/J121,"0")</f>
        <v>0</v>
      </c>
    </row>
    <row r="122" spans="1:68" x14ac:dyDescent="0.2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306"/>
      <c r="P122" s="303" t="s">
        <v>40</v>
      </c>
      <c r="Q122" s="304"/>
      <c r="R122" s="304"/>
      <c r="S122" s="304"/>
      <c r="T122" s="304"/>
      <c r="U122" s="304"/>
      <c r="V122" s="305"/>
      <c r="W122" s="42" t="s">
        <v>39</v>
      </c>
      <c r="X122" s="43">
        <f>IFERROR(SUM(X121:X121),"0")</f>
        <v>0</v>
      </c>
      <c r="Y122" s="43">
        <f>IFERROR(SUM(Y121:Y121),"0")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293"/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306"/>
      <c r="P123" s="303" t="s">
        <v>40</v>
      </c>
      <c r="Q123" s="304"/>
      <c r="R123" s="304"/>
      <c r="S123" s="304"/>
      <c r="T123" s="304"/>
      <c r="U123" s="304"/>
      <c r="V123" s="305"/>
      <c r="W123" s="42" t="s">
        <v>0</v>
      </c>
      <c r="X123" s="43">
        <f>IFERROR(SUMPRODUCT(X121:X121*H121:H121),"0")</f>
        <v>0</v>
      </c>
      <c r="Y123" s="43">
        <f>IFERROR(SUMPRODUCT(Y121:Y121*H121:H121),"0")</f>
        <v>0</v>
      </c>
      <c r="Z123" s="42"/>
      <c r="AA123" s="67"/>
      <c r="AB123" s="67"/>
      <c r="AC123" s="67"/>
    </row>
    <row r="124" spans="1:68" ht="14.25" customHeight="1" x14ac:dyDescent="0.25">
      <c r="A124" s="314" t="s">
        <v>222</v>
      </c>
      <c r="B124" s="314"/>
      <c r="C124" s="314"/>
      <c r="D124" s="314"/>
      <c r="E124" s="314"/>
      <c r="F124" s="314"/>
      <c r="G124" s="314"/>
      <c r="H124" s="314"/>
      <c r="I124" s="314"/>
      <c r="J124" s="314"/>
      <c r="K124" s="314"/>
      <c r="L124" s="314"/>
      <c r="M124" s="314"/>
      <c r="N124" s="314"/>
      <c r="O124" s="314"/>
      <c r="P124" s="314"/>
      <c r="Q124" s="314"/>
      <c r="R124" s="314"/>
      <c r="S124" s="314"/>
      <c r="T124" s="314"/>
      <c r="U124" s="314"/>
      <c r="V124" s="314"/>
      <c r="W124" s="314"/>
      <c r="X124" s="314"/>
      <c r="Y124" s="314"/>
      <c r="Z124" s="314"/>
      <c r="AA124" s="66"/>
      <c r="AB124" s="66"/>
      <c r="AC124" s="83"/>
    </row>
    <row r="125" spans="1:68" ht="27" customHeight="1" x14ac:dyDescent="0.25">
      <c r="A125" s="63" t="s">
        <v>223</v>
      </c>
      <c r="B125" s="63" t="s">
        <v>224</v>
      </c>
      <c r="C125" s="36">
        <v>4301071094</v>
      </c>
      <c r="D125" s="296">
        <v>4620207491140</v>
      </c>
      <c r="E125" s="296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86</v>
      </c>
      <c r="L125" s="37" t="s">
        <v>87</v>
      </c>
      <c r="M125" s="38" t="s">
        <v>85</v>
      </c>
      <c r="N125" s="38"/>
      <c r="O125" s="37">
        <v>180</v>
      </c>
      <c r="P125" s="35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8"/>
      <c r="R125" s="298"/>
      <c r="S125" s="298"/>
      <c r="T125" s="299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225</v>
      </c>
      <c r="AG125" s="81"/>
      <c r="AJ125" s="87" t="s">
        <v>88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293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306"/>
      <c r="P126" s="303" t="s">
        <v>40</v>
      </c>
      <c r="Q126" s="304"/>
      <c r="R126" s="304"/>
      <c r="S126" s="304"/>
      <c r="T126" s="304"/>
      <c r="U126" s="304"/>
      <c r="V126" s="305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306"/>
      <c r="P127" s="303" t="s">
        <v>40</v>
      </c>
      <c r="Q127" s="304"/>
      <c r="R127" s="304"/>
      <c r="S127" s="304"/>
      <c r="T127" s="304"/>
      <c r="U127" s="304"/>
      <c r="V127" s="305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customHeight="1" x14ac:dyDescent="0.25">
      <c r="A128" s="319" t="s">
        <v>226</v>
      </c>
      <c r="B128" s="319"/>
      <c r="C128" s="319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319"/>
      <c r="W128" s="319"/>
      <c r="X128" s="319"/>
      <c r="Y128" s="319"/>
      <c r="Z128" s="319"/>
      <c r="AA128" s="65"/>
      <c r="AB128" s="65"/>
      <c r="AC128" s="82"/>
    </row>
    <row r="129" spans="1:68" ht="14.25" customHeight="1" x14ac:dyDescent="0.25">
      <c r="A129" s="314" t="s">
        <v>150</v>
      </c>
      <c r="B129" s="314"/>
      <c r="C129" s="314"/>
      <c r="D129" s="314"/>
      <c r="E129" s="314"/>
      <c r="F129" s="314"/>
      <c r="G129" s="314"/>
      <c r="H129" s="314"/>
      <c r="I129" s="314"/>
      <c r="J129" s="314"/>
      <c r="K129" s="314"/>
      <c r="L129" s="314"/>
      <c r="M129" s="314"/>
      <c r="N129" s="314"/>
      <c r="O129" s="314"/>
      <c r="P129" s="314"/>
      <c r="Q129" s="314"/>
      <c r="R129" s="314"/>
      <c r="S129" s="314"/>
      <c r="T129" s="314"/>
      <c r="U129" s="314"/>
      <c r="V129" s="314"/>
      <c r="W129" s="314"/>
      <c r="X129" s="314"/>
      <c r="Y129" s="314"/>
      <c r="Z129" s="314"/>
      <c r="AA129" s="66"/>
      <c r="AB129" s="66"/>
      <c r="AC129" s="83"/>
    </row>
    <row r="130" spans="1:68" ht="27" customHeight="1" x14ac:dyDescent="0.25">
      <c r="A130" s="63" t="s">
        <v>227</v>
      </c>
      <c r="B130" s="63" t="s">
        <v>228</v>
      </c>
      <c r="C130" s="36">
        <v>4301135848</v>
      </c>
      <c r="D130" s="296">
        <v>4620207491799</v>
      </c>
      <c r="E130" s="296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117</v>
      </c>
      <c r="L130" s="37" t="s">
        <v>87</v>
      </c>
      <c r="M130" s="38" t="s">
        <v>85</v>
      </c>
      <c r="N130" s="38"/>
      <c r="O130" s="37">
        <v>180</v>
      </c>
      <c r="P130" s="35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8"/>
      <c r="R130" s="298"/>
      <c r="S130" s="298"/>
      <c r="T130" s="299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229</v>
      </c>
      <c r="AG130" s="81"/>
      <c r="AJ130" s="87" t="s">
        <v>88</v>
      </c>
      <c r="AK130" s="87">
        <v>1</v>
      </c>
      <c r="BB130" s="184" t="s">
        <v>116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230</v>
      </c>
      <c r="B131" s="63" t="s">
        <v>231</v>
      </c>
      <c r="C131" s="36">
        <v>4301135850</v>
      </c>
      <c r="D131" s="296">
        <v>4620207491492</v>
      </c>
      <c r="E131" s="29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117</v>
      </c>
      <c r="L131" s="37" t="s">
        <v>87</v>
      </c>
      <c r="M131" s="38" t="s">
        <v>85</v>
      </c>
      <c r="N131" s="38"/>
      <c r="O131" s="37">
        <v>180</v>
      </c>
      <c r="P131" s="35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8"/>
      <c r="R131" s="298"/>
      <c r="S131" s="298"/>
      <c r="T131" s="299"/>
      <c r="U131" s="39" t="s">
        <v>46</v>
      </c>
      <c r="V131" s="39" t="s">
        <v>46</v>
      </c>
      <c r="W131" s="40" t="s">
        <v>39</v>
      </c>
      <c r="X131" s="58">
        <v>0</v>
      </c>
      <c r="Y131" s="55">
        <f>IFERROR(IF(X131="","",X131),"")</f>
        <v>0</v>
      </c>
      <c r="Z131" s="41">
        <f>IFERROR(IF(X131="","",X131*0.00941),"")</f>
        <v>0</v>
      </c>
      <c r="AA131" s="68" t="s">
        <v>46</v>
      </c>
      <c r="AB131" s="69" t="s">
        <v>46</v>
      </c>
      <c r="AC131" s="185" t="s">
        <v>229</v>
      </c>
      <c r="AG131" s="81"/>
      <c r="AJ131" s="87" t="s">
        <v>88</v>
      </c>
      <c r="AK131" s="87">
        <v>1</v>
      </c>
      <c r="BB131" s="186" t="s">
        <v>116</v>
      </c>
      <c r="BM131" s="81">
        <f>IFERROR(X131*I131,"0")</f>
        <v>0</v>
      </c>
      <c r="BN131" s="81">
        <f>IFERROR(Y131*I131,"0")</f>
        <v>0</v>
      </c>
      <c r="BO131" s="81">
        <f>IFERROR(X131/J131,"0")</f>
        <v>0</v>
      </c>
      <c r="BP131" s="81">
        <f>IFERROR(Y131/J131,"0")</f>
        <v>0</v>
      </c>
    </row>
    <row r="132" spans="1:68" ht="27" customHeight="1" x14ac:dyDescent="0.25">
      <c r="A132" s="63" t="s">
        <v>232</v>
      </c>
      <c r="B132" s="63" t="s">
        <v>233</v>
      </c>
      <c r="C132" s="36">
        <v>4301190118</v>
      </c>
      <c r="D132" s="296">
        <v>4620207491461</v>
      </c>
      <c r="E132" s="296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117</v>
      </c>
      <c r="L132" s="37" t="s">
        <v>87</v>
      </c>
      <c r="M132" s="38" t="s">
        <v>85</v>
      </c>
      <c r="N132" s="38"/>
      <c r="O132" s="37">
        <v>180</v>
      </c>
      <c r="P132" s="356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8"/>
      <c r="R132" s="298"/>
      <c r="S132" s="298"/>
      <c r="T132" s="299"/>
      <c r="U132" s="39" t="s">
        <v>46</v>
      </c>
      <c r="V132" s="39" t="s">
        <v>46</v>
      </c>
      <c r="W132" s="40" t="s">
        <v>39</v>
      </c>
      <c r="X132" s="58">
        <v>0</v>
      </c>
      <c r="Y132" s="55">
        <f>IFERROR(IF(X132="","",X132),"")</f>
        <v>0</v>
      </c>
      <c r="Z132" s="41">
        <f>IFERROR(IF(X132="","",X132*0.00941),"")</f>
        <v>0</v>
      </c>
      <c r="AA132" s="68" t="s">
        <v>46</v>
      </c>
      <c r="AB132" s="69" t="s">
        <v>46</v>
      </c>
      <c r="AC132" s="187" t="s">
        <v>229</v>
      </c>
      <c r="AG132" s="81"/>
      <c r="AJ132" s="87" t="s">
        <v>88</v>
      </c>
      <c r="AK132" s="87">
        <v>1</v>
      </c>
      <c r="BB132" s="188" t="s">
        <v>116</v>
      </c>
      <c r="BM132" s="81">
        <f>IFERROR(X132*I132,"0")</f>
        <v>0</v>
      </c>
      <c r="BN132" s="81">
        <f>IFERROR(Y132*I132,"0")</f>
        <v>0</v>
      </c>
      <c r="BO132" s="81">
        <f>IFERROR(X132/J132,"0")</f>
        <v>0</v>
      </c>
      <c r="BP132" s="81">
        <f>IFERROR(Y132/J132,"0")</f>
        <v>0</v>
      </c>
    </row>
    <row r="133" spans="1:68" ht="27" customHeight="1" x14ac:dyDescent="0.25">
      <c r="A133" s="63" t="s">
        <v>234</v>
      </c>
      <c r="B133" s="63" t="s">
        <v>235</v>
      </c>
      <c r="C133" s="36">
        <v>4301135865</v>
      </c>
      <c r="D133" s="296">
        <v>4620207491485</v>
      </c>
      <c r="E133" s="296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117</v>
      </c>
      <c r="L133" s="37" t="s">
        <v>87</v>
      </c>
      <c r="M133" s="38" t="s">
        <v>85</v>
      </c>
      <c r="N133" s="38"/>
      <c r="O133" s="37">
        <v>180</v>
      </c>
      <c r="P133" s="35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8"/>
      <c r="R133" s="298"/>
      <c r="S133" s="298"/>
      <c r="T133" s="299"/>
      <c r="U133" s="39" t="s">
        <v>46</v>
      </c>
      <c r="V133" s="39" t="s">
        <v>46</v>
      </c>
      <c r="W133" s="40" t="s">
        <v>39</v>
      </c>
      <c r="X133" s="58">
        <v>0</v>
      </c>
      <c r="Y133" s="55">
        <f>IFERROR(IF(X133="","",X133),"")</f>
        <v>0</v>
      </c>
      <c r="Z133" s="41">
        <f>IFERROR(IF(X133="","",X133*0.00941),"")</f>
        <v>0</v>
      </c>
      <c r="AA133" s="68" t="s">
        <v>46</v>
      </c>
      <c r="AB133" s="69" t="s">
        <v>46</v>
      </c>
      <c r="AC133" s="189" t="s">
        <v>229</v>
      </c>
      <c r="AG133" s="81"/>
      <c r="AJ133" s="87" t="s">
        <v>88</v>
      </c>
      <c r="AK133" s="87">
        <v>1</v>
      </c>
      <c r="BB133" s="190" t="s">
        <v>116</v>
      </c>
      <c r="BM133" s="81">
        <f>IFERROR(X133*I133,"0")</f>
        <v>0</v>
      </c>
      <c r="BN133" s="81">
        <f>IFERROR(Y133*I133,"0")</f>
        <v>0</v>
      </c>
      <c r="BO133" s="81">
        <f>IFERROR(X133/J133,"0")</f>
        <v>0</v>
      </c>
      <c r="BP133" s="81">
        <f>IFERROR(Y133/J133,"0")</f>
        <v>0</v>
      </c>
    </row>
    <row r="134" spans="1:68" x14ac:dyDescent="0.2">
      <c r="A134" s="293"/>
      <c r="B134" s="293"/>
      <c r="C134" s="293"/>
      <c r="D134" s="293"/>
      <c r="E134" s="293"/>
      <c r="F134" s="293"/>
      <c r="G134" s="293"/>
      <c r="H134" s="293"/>
      <c r="I134" s="293"/>
      <c r="J134" s="293"/>
      <c r="K134" s="293"/>
      <c r="L134" s="293"/>
      <c r="M134" s="293"/>
      <c r="N134" s="293"/>
      <c r="O134" s="306"/>
      <c r="P134" s="303" t="s">
        <v>40</v>
      </c>
      <c r="Q134" s="304"/>
      <c r="R134" s="304"/>
      <c r="S134" s="304"/>
      <c r="T134" s="304"/>
      <c r="U134" s="304"/>
      <c r="V134" s="305"/>
      <c r="W134" s="42" t="s">
        <v>39</v>
      </c>
      <c r="X134" s="43">
        <f>IFERROR(SUM(X130:X133),"0")</f>
        <v>0</v>
      </c>
      <c r="Y134" s="43">
        <f>IFERROR(SUM(Y130:Y133),"0")</f>
        <v>0</v>
      </c>
      <c r="Z134" s="43">
        <f>IFERROR(IF(Z130="",0,Z130),"0")+IFERROR(IF(Z131="",0,Z131),"0")+IFERROR(IF(Z132="",0,Z132),"0")+IFERROR(IF(Z133="",0,Z133),"0")</f>
        <v>0</v>
      </c>
      <c r="AA134" s="67"/>
      <c r="AB134" s="67"/>
      <c r="AC134" s="67"/>
    </row>
    <row r="135" spans="1:68" x14ac:dyDescent="0.2">
      <c r="A135" s="293"/>
      <c r="B135" s="293"/>
      <c r="C135" s="293"/>
      <c r="D135" s="293"/>
      <c r="E135" s="293"/>
      <c r="F135" s="293"/>
      <c r="G135" s="293"/>
      <c r="H135" s="293"/>
      <c r="I135" s="293"/>
      <c r="J135" s="293"/>
      <c r="K135" s="293"/>
      <c r="L135" s="293"/>
      <c r="M135" s="293"/>
      <c r="N135" s="293"/>
      <c r="O135" s="306"/>
      <c r="P135" s="303" t="s">
        <v>40</v>
      </c>
      <c r="Q135" s="304"/>
      <c r="R135" s="304"/>
      <c r="S135" s="304"/>
      <c r="T135" s="304"/>
      <c r="U135" s="304"/>
      <c r="V135" s="305"/>
      <c r="W135" s="42" t="s">
        <v>0</v>
      </c>
      <c r="X135" s="43">
        <f>IFERROR(SUMPRODUCT(X130:X133*H130:H133),"0")</f>
        <v>0</v>
      </c>
      <c r="Y135" s="43">
        <f>IFERROR(SUMPRODUCT(Y130:Y133*H130:H133),"0")</f>
        <v>0</v>
      </c>
      <c r="Z135" s="42"/>
      <c r="AA135" s="67"/>
      <c r="AB135" s="67"/>
      <c r="AC135" s="67"/>
    </row>
    <row r="136" spans="1:68" ht="14.25" customHeight="1" x14ac:dyDescent="0.25">
      <c r="A136" s="314" t="s">
        <v>236</v>
      </c>
      <c r="B136" s="314"/>
      <c r="C136" s="314"/>
      <c r="D136" s="314"/>
      <c r="E136" s="314"/>
      <c r="F136" s="314"/>
      <c r="G136" s="314"/>
      <c r="H136" s="314"/>
      <c r="I136" s="314"/>
      <c r="J136" s="314"/>
      <c r="K136" s="314"/>
      <c r="L136" s="314"/>
      <c r="M136" s="314"/>
      <c r="N136" s="314"/>
      <c r="O136" s="314"/>
      <c r="P136" s="314"/>
      <c r="Q136" s="314"/>
      <c r="R136" s="314"/>
      <c r="S136" s="314"/>
      <c r="T136" s="314"/>
      <c r="U136" s="314"/>
      <c r="V136" s="314"/>
      <c r="W136" s="314"/>
      <c r="X136" s="314"/>
      <c r="Y136" s="314"/>
      <c r="Z136" s="314"/>
      <c r="AA136" s="66"/>
      <c r="AB136" s="66"/>
      <c r="AC136" s="83"/>
    </row>
    <row r="137" spans="1:68" ht="27" customHeight="1" x14ac:dyDescent="0.25">
      <c r="A137" s="63" t="s">
        <v>237</v>
      </c>
      <c r="B137" s="63" t="s">
        <v>238</v>
      </c>
      <c r="C137" s="36">
        <v>4301190117</v>
      </c>
      <c r="D137" s="296">
        <v>4620207491386</v>
      </c>
      <c r="E137" s="29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117</v>
      </c>
      <c r="L137" s="37" t="s">
        <v>87</v>
      </c>
      <c r="M137" s="38" t="s">
        <v>85</v>
      </c>
      <c r="N137" s="38"/>
      <c r="O137" s="37">
        <v>180</v>
      </c>
      <c r="P137" s="35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8"/>
      <c r="R137" s="298"/>
      <c r="S137" s="298"/>
      <c r="T137" s="299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239</v>
      </c>
      <c r="AG137" s="81"/>
      <c r="AJ137" s="87" t="s">
        <v>88</v>
      </c>
      <c r="AK137" s="87">
        <v>1</v>
      </c>
      <c r="BB137" s="192" t="s">
        <v>116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customHeight="1" x14ac:dyDescent="0.25">
      <c r="A138" s="63" t="s">
        <v>240</v>
      </c>
      <c r="B138" s="63" t="s">
        <v>241</v>
      </c>
      <c r="C138" s="36">
        <v>4301190115</v>
      </c>
      <c r="D138" s="296">
        <v>4620207491362</v>
      </c>
      <c r="E138" s="296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117</v>
      </c>
      <c r="L138" s="37" t="s">
        <v>87</v>
      </c>
      <c r="M138" s="38" t="s">
        <v>85</v>
      </c>
      <c r="N138" s="38"/>
      <c r="O138" s="37">
        <v>180</v>
      </c>
      <c r="P138" s="352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8"/>
      <c r="R138" s="298"/>
      <c r="S138" s="298"/>
      <c r="T138" s="299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239</v>
      </c>
      <c r="AG138" s="81"/>
      <c r="AJ138" s="87" t="s">
        <v>88</v>
      </c>
      <c r="AK138" s="87">
        <v>1</v>
      </c>
      <c r="BB138" s="194" t="s">
        <v>116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customHeight="1" x14ac:dyDescent="0.25">
      <c r="A139" s="63" t="s">
        <v>242</v>
      </c>
      <c r="B139" s="63" t="s">
        <v>243</v>
      </c>
      <c r="C139" s="36">
        <v>4301190116</v>
      </c>
      <c r="D139" s="296">
        <v>4620207491379</v>
      </c>
      <c r="E139" s="296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117</v>
      </c>
      <c r="L139" s="37" t="s">
        <v>87</v>
      </c>
      <c r="M139" s="38" t="s">
        <v>85</v>
      </c>
      <c r="N139" s="38"/>
      <c r="O139" s="37">
        <v>180</v>
      </c>
      <c r="P139" s="353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8"/>
      <c r="R139" s="298"/>
      <c r="S139" s="298"/>
      <c r="T139" s="29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239</v>
      </c>
      <c r="AG139" s="81"/>
      <c r="AJ139" s="87" t="s">
        <v>88</v>
      </c>
      <c r="AK139" s="87">
        <v>1</v>
      </c>
      <c r="BB139" s="196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x14ac:dyDescent="0.2">
      <c r="A140" s="293"/>
      <c r="B140" s="293"/>
      <c r="C140" s="293"/>
      <c r="D140" s="293"/>
      <c r="E140" s="293"/>
      <c r="F140" s="293"/>
      <c r="G140" s="293"/>
      <c r="H140" s="293"/>
      <c r="I140" s="293"/>
      <c r="J140" s="293"/>
      <c r="K140" s="293"/>
      <c r="L140" s="293"/>
      <c r="M140" s="293"/>
      <c r="N140" s="293"/>
      <c r="O140" s="306"/>
      <c r="P140" s="303" t="s">
        <v>40</v>
      </c>
      <c r="Q140" s="304"/>
      <c r="R140" s="304"/>
      <c r="S140" s="304"/>
      <c r="T140" s="304"/>
      <c r="U140" s="304"/>
      <c r="V140" s="305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x14ac:dyDescent="0.2">
      <c r="A141" s="293"/>
      <c r="B141" s="293"/>
      <c r="C141" s="293"/>
      <c r="D141" s="293"/>
      <c r="E141" s="293"/>
      <c r="F141" s="293"/>
      <c r="G141" s="293"/>
      <c r="H141" s="293"/>
      <c r="I141" s="293"/>
      <c r="J141" s="293"/>
      <c r="K141" s="293"/>
      <c r="L141" s="293"/>
      <c r="M141" s="293"/>
      <c r="N141" s="293"/>
      <c r="O141" s="306"/>
      <c r="P141" s="303" t="s">
        <v>40</v>
      </c>
      <c r="Q141" s="304"/>
      <c r="R141" s="304"/>
      <c r="S141" s="304"/>
      <c r="T141" s="304"/>
      <c r="U141" s="304"/>
      <c r="V141" s="305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customHeight="1" x14ac:dyDescent="0.25">
      <c r="A142" s="319" t="s">
        <v>244</v>
      </c>
      <c r="B142" s="319"/>
      <c r="C142" s="319"/>
      <c r="D142" s="319"/>
      <c r="E142" s="319"/>
      <c r="F142" s="319"/>
      <c r="G142" s="319"/>
      <c r="H142" s="319"/>
      <c r="I142" s="319"/>
      <c r="J142" s="319"/>
      <c r="K142" s="319"/>
      <c r="L142" s="319"/>
      <c r="M142" s="319"/>
      <c r="N142" s="319"/>
      <c r="O142" s="319"/>
      <c r="P142" s="319"/>
      <c r="Q142" s="319"/>
      <c r="R142" s="319"/>
      <c r="S142" s="319"/>
      <c r="T142" s="319"/>
      <c r="U142" s="319"/>
      <c r="V142" s="319"/>
      <c r="W142" s="319"/>
      <c r="X142" s="319"/>
      <c r="Y142" s="319"/>
      <c r="Z142" s="319"/>
      <c r="AA142" s="65"/>
      <c r="AB142" s="65"/>
      <c r="AC142" s="82"/>
    </row>
    <row r="143" spans="1:68" ht="14.25" customHeight="1" x14ac:dyDescent="0.25">
      <c r="A143" s="314" t="s">
        <v>150</v>
      </c>
      <c r="B143" s="314"/>
      <c r="C143" s="314"/>
      <c r="D143" s="314"/>
      <c r="E143" s="314"/>
      <c r="F143" s="314"/>
      <c r="G143" s="314"/>
      <c r="H143" s="314"/>
      <c r="I143" s="314"/>
      <c r="J143" s="314"/>
      <c r="K143" s="314"/>
      <c r="L143" s="314"/>
      <c r="M143" s="314"/>
      <c r="N143" s="314"/>
      <c r="O143" s="314"/>
      <c r="P143" s="314"/>
      <c r="Q143" s="314"/>
      <c r="R143" s="314"/>
      <c r="S143" s="314"/>
      <c r="T143" s="314"/>
      <c r="U143" s="314"/>
      <c r="V143" s="314"/>
      <c r="W143" s="314"/>
      <c r="X143" s="314"/>
      <c r="Y143" s="314"/>
      <c r="Z143" s="314"/>
      <c r="AA143" s="66"/>
      <c r="AB143" s="66"/>
      <c r="AC143" s="83"/>
    </row>
    <row r="144" spans="1:68" ht="27" customHeight="1" x14ac:dyDescent="0.25">
      <c r="A144" s="63" t="s">
        <v>245</v>
      </c>
      <c r="B144" s="63" t="s">
        <v>246</v>
      </c>
      <c r="C144" s="36">
        <v>4301135555</v>
      </c>
      <c r="D144" s="296">
        <v>4607111034014</v>
      </c>
      <c r="E144" s="296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117</v>
      </c>
      <c r="L144" s="37" t="s">
        <v>118</v>
      </c>
      <c r="M144" s="38" t="s">
        <v>85</v>
      </c>
      <c r="N144" s="38"/>
      <c r="O144" s="37">
        <v>180</v>
      </c>
      <c r="P144" s="34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8"/>
      <c r="R144" s="298"/>
      <c r="S144" s="298"/>
      <c r="T144" s="299"/>
      <c r="U144" s="39" t="s">
        <v>46</v>
      </c>
      <c r="V144" s="39" t="s">
        <v>46</v>
      </c>
      <c r="W144" s="40" t="s">
        <v>39</v>
      </c>
      <c r="X144" s="58">
        <v>0</v>
      </c>
      <c r="Y144" s="55">
        <f>IFERROR(IF(X144="","",X144),"")</f>
        <v>0</v>
      </c>
      <c r="Z144" s="41">
        <f>IFERROR(IF(X144="","",X144*0.01788),"")</f>
        <v>0</v>
      </c>
      <c r="AA144" s="68" t="s">
        <v>46</v>
      </c>
      <c r="AB144" s="69" t="s">
        <v>46</v>
      </c>
      <c r="AC144" s="197" t="s">
        <v>247</v>
      </c>
      <c r="AG144" s="81"/>
      <c r="AJ144" s="87" t="s">
        <v>119</v>
      </c>
      <c r="AK144" s="87">
        <v>14</v>
      </c>
      <c r="BB144" s="198" t="s">
        <v>116</v>
      </c>
      <c r="BM144" s="81">
        <f>IFERROR(X144*I144,"0")</f>
        <v>0</v>
      </c>
      <c r="BN144" s="81">
        <f>IFERROR(Y144*I144,"0")</f>
        <v>0</v>
      </c>
      <c r="BO144" s="81">
        <f>IFERROR(X144/J144,"0")</f>
        <v>0</v>
      </c>
      <c r="BP144" s="81">
        <f>IFERROR(Y144/J144,"0")</f>
        <v>0</v>
      </c>
    </row>
    <row r="145" spans="1:68" ht="27" customHeight="1" x14ac:dyDescent="0.25">
      <c r="A145" s="63" t="s">
        <v>248</v>
      </c>
      <c r="B145" s="63" t="s">
        <v>249</v>
      </c>
      <c r="C145" s="36">
        <v>4301135532</v>
      </c>
      <c r="D145" s="296">
        <v>4607111033994</v>
      </c>
      <c r="E145" s="296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117</v>
      </c>
      <c r="L145" s="37" t="s">
        <v>118</v>
      </c>
      <c r="M145" s="38" t="s">
        <v>85</v>
      </c>
      <c r="N145" s="38"/>
      <c r="O145" s="37">
        <v>180</v>
      </c>
      <c r="P145" s="35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8"/>
      <c r="R145" s="298"/>
      <c r="S145" s="298"/>
      <c r="T145" s="299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IFERROR(IF(X145="","",X145*0.01788),"")</f>
        <v>0</v>
      </c>
      <c r="AA145" s="68" t="s">
        <v>46</v>
      </c>
      <c r="AB145" s="69" t="s">
        <v>46</v>
      </c>
      <c r="AC145" s="199" t="s">
        <v>168</v>
      </c>
      <c r="AG145" s="81"/>
      <c r="AJ145" s="87" t="s">
        <v>119</v>
      </c>
      <c r="AK145" s="87">
        <v>14</v>
      </c>
      <c r="BB145" s="200" t="s">
        <v>116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293"/>
      <c r="B146" s="293"/>
      <c r="C146" s="293"/>
      <c r="D146" s="293"/>
      <c r="E146" s="293"/>
      <c r="F146" s="293"/>
      <c r="G146" s="293"/>
      <c r="H146" s="293"/>
      <c r="I146" s="293"/>
      <c r="J146" s="293"/>
      <c r="K146" s="293"/>
      <c r="L146" s="293"/>
      <c r="M146" s="293"/>
      <c r="N146" s="293"/>
      <c r="O146" s="306"/>
      <c r="P146" s="303" t="s">
        <v>40</v>
      </c>
      <c r="Q146" s="304"/>
      <c r="R146" s="304"/>
      <c r="S146" s="304"/>
      <c r="T146" s="304"/>
      <c r="U146" s="304"/>
      <c r="V146" s="305"/>
      <c r="W146" s="42" t="s">
        <v>39</v>
      </c>
      <c r="X146" s="43">
        <f>IFERROR(SUM(X144:X145),"0")</f>
        <v>0</v>
      </c>
      <c r="Y146" s="43">
        <f>IFERROR(SUM(Y144:Y145),"0")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x14ac:dyDescent="0.2">
      <c r="A147" s="293"/>
      <c r="B147" s="293"/>
      <c r="C147" s="293"/>
      <c r="D147" s="293"/>
      <c r="E147" s="293"/>
      <c r="F147" s="293"/>
      <c r="G147" s="293"/>
      <c r="H147" s="293"/>
      <c r="I147" s="293"/>
      <c r="J147" s="293"/>
      <c r="K147" s="293"/>
      <c r="L147" s="293"/>
      <c r="M147" s="293"/>
      <c r="N147" s="293"/>
      <c r="O147" s="306"/>
      <c r="P147" s="303" t="s">
        <v>40</v>
      </c>
      <c r="Q147" s="304"/>
      <c r="R147" s="304"/>
      <c r="S147" s="304"/>
      <c r="T147" s="304"/>
      <c r="U147" s="304"/>
      <c r="V147" s="305"/>
      <c r="W147" s="42" t="s">
        <v>0</v>
      </c>
      <c r="X147" s="43">
        <f>IFERROR(SUMPRODUCT(X144:X145*H144:H145),"0")</f>
        <v>0</v>
      </c>
      <c r="Y147" s="43">
        <f>IFERROR(SUMPRODUCT(Y144:Y145*H144:H145),"0")</f>
        <v>0</v>
      </c>
      <c r="Z147" s="42"/>
      <c r="AA147" s="67"/>
      <c r="AB147" s="67"/>
      <c r="AC147" s="67"/>
    </row>
    <row r="148" spans="1:68" ht="16.5" customHeight="1" x14ac:dyDescent="0.25">
      <c r="A148" s="319" t="s">
        <v>250</v>
      </c>
      <c r="B148" s="319"/>
      <c r="C148" s="319"/>
      <c r="D148" s="319"/>
      <c r="E148" s="319"/>
      <c r="F148" s="319"/>
      <c r="G148" s="319"/>
      <c r="H148" s="319"/>
      <c r="I148" s="319"/>
      <c r="J148" s="319"/>
      <c r="K148" s="319"/>
      <c r="L148" s="319"/>
      <c r="M148" s="319"/>
      <c r="N148" s="319"/>
      <c r="O148" s="319"/>
      <c r="P148" s="319"/>
      <c r="Q148" s="319"/>
      <c r="R148" s="319"/>
      <c r="S148" s="319"/>
      <c r="T148" s="319"/>
      <c r="U148" s="319"/>
      <c r="V148" s="319"/>
      <c r="W148" s="319"/>
      <c r="X148" s="319"/>
      <c r="Y148" s="319"/>
      <c r="Z148" s="319"/>
      <c r="AA148" s="65"/>
      <c r="AB148" s="65"/>
      <c r="AC148" s="82"/>
    </row>
    <row r="149" spans="1:68" ht="14.25" customHeight="1" x14ac:dyDescent="0.25">
      <c r="A149" s="314" t="s">
        <v>150</v>
      </c>
      <c r="B149" s="314"/>
      <c r="C149" s="314"/>
      <c r="D149" s="314"/>
      <c r="E149" s="314"/>
      <c r="F149" s="314"/>
      <c r="G149" s="314"/>
      <c r="H149" s="314"/>
      <c r="I149" s="314"/>
      <c r="J149" s="314"/>
      <c r="K149" s="314"/>
      <c r="L149" s="314"/>
      <c r="M149" s="314"/>
      <c r="N149" s="314"/>
      <c r="O149" s="314"/>
      <c r="P149" s="314"/>
      <c r="Q149" s="314"/>
      <c r="R149" s="314"/>
      <c r="S149" s="314"/>
      <c r="T149" s="314"/>
      <c r="U149" s="314"/>
      <c r="V149" s="314"/>
      <c r="W149" s="314"/>
      <c r="X149" s="314"/>
      <c r="Y149" s="314"/>
      <c r="Z149" s="314"/>
      <c r="AA149" s="66"/>
      <c r="AB149" s="66"/>
      <c r="AC149" s="83"/>
    </row>
    <row r="150" spans="1:68" ht="27" customHeight="1" x14ac:dyDescent="0.25">
      <c r="A150" s="63" t="s">
        <v>251</v>
      </c>
      <c r="B150" s="63" t="s">
        <v>252</v>
      </c>
      <c r="C150" s="36">
        <v>4301135824</v>
      </c>
      <c r="D150" s="296">
        <v>4607111039095</v>
      </c>
      <c r="E150" s="296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117</v>
      </c>
      <c r="L150" s="37" t="s">
        <v>87</v>
      </c>
      <c r="M150" s="38" t="s">
        <v>85</v>
      </c>
      <c r="N150" s="38"/>
      <c r="O150" s="37">
        <v>180</v>
      </c>
      <c r="P150" s="34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8"/>
      <c r="R150" s="298"/>
      <c r="S150" s="298"/>
      <c r="T150" s="299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IFERROR(IF(X150="","",X150*0.01788),"")</f>
        <v>0</v>
      </c>
      <c r="AA150" s="68" t="s">
        <v>46</v>
      </c>
      <c r="AB150" s="69" t="s">
        <v>46</v>
      </c>
      <c r="AC150" s="201" t="s">
        <v>253</v>
      </c>
      <c r="AG150" s="81"/>
      <c r="AJ150" s="87" t="s">
        <v>88</v>
      </c>
      <c r="AK150" s="87">
        <v>1</v>
      </c>
      <c r="BB150" s="202" t="s">
        <v>116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ht="16.5" customHeight="1" x14ac:dyDescent="0.25">
      <c r="A151" s="63" t="s">
        <v>254</v>
      </c>
      <c r="B151" s="63" t="s">
        <v>255</v>
      </c>
      <c r="C151" s="36">
        <v>4301135550</v>
      </c>
      <c r="D151" s="296">
        <v>4607111034199</v>
      </c>
      <c r="E151" s="29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117</v>
      </c>
      <c r="L151" s="37" t="s">
        <v>118</v>
      </c>
      <c r="M151" s="38" t="s">
        <v>85</v>
      </c>
      <c r="N151" s="38"/>
      <c r="O151" s="37">
        <v>180</v>
      </c>
      <c r="P151" s="34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1" s="298"/>
      <c r="R151" s="298"/>
      <c r="S151" s="298"/>
      <c r="T151" s="299"/>
      <c r="U151" s="39" t="s">
        <v>46</v>
      </c>
      <c r="V151" s="39" t="s">
        <v>46</v>
      </c>
      <c r="W151" s="40" t="s">
        <v>39</v>
      </c>
      <c r="X151" s="58">
        <v>0</v>
      </c>
      <c r="Y151" s="55">
        <f>IFERROR(IF(X151="","",X151),"")</f>
        <v>0</v>
      </c>
      <c r="Z151" s="41">
        <f>IFERROR(IF(X151="","",X151*0.01788),"")</f>
        <v>0</v>
      </c>
      <c r="AA151" s="68" t="s">
        <v>46</v>
      </c>
      <c r="AB151" s="69" t="s">
        <v>46</v>
      </c>
      <c r="AC151" s="203" t="s">
        <v>256</v>
      </c>
      <c r="AG151" s="81"/>
      <c r="AJ151" s="87" t="s">
        <v>119</v>
      </c>
      <c r="AK151" s="87">
        <v>14</v>
      </c>
      <c r="BB151" s="204" t="s">
        <v>116</v>
      </c>
      <c r="BM151" s="81">
        <f>IFERROR(X151*I151,"0")</f>
        <v>0</v>
      </c>
      <c r="BN151" s="81">
        <f>IFERROR(Y151*I151,"0")</f>
        <v>0</v>
      </c>
      <c r="BO151" s="81">
        <f>IFERROR(X151/J151,"0")</f>
        <v>0</v>
      </c>
      <c r="BP151" s="81">
        <f>IFERROR(Y151/J151,"0")</f>
        <v>0</v>
      </c>
    </row>
    <row r="152" spans="1:68" x14ac:dyDescent="0.2">
      <c r="A152" s="293"/>
      <c r="B152" s="293"/>
      <c r="C152" s="293"/>
      <c r="D152" s="293"/>
      <c r="E152" s="293"/>
      <c r="F152" s="293"/>
      <c r="G152" s="293"/>
      <c r="H152" s="293"/>
      <c r="I152" s="293"/>
      <c r="J152" s="293"/>
      <c r="K152" s="293"/>
      <c r="L152" s="293"/>
      <c r="M152" s="293"/>
      <c r="N152" s="293"/>
      <c r="O152" s="306"/>
      <c r="P152" s="303" t="s">
        <v>40</v>
      </c>
      <c r="Q152" s="304"/>
      <c r="R152" s="304"/>
      <c r="S152" s="304"/>
      <c r="T152" s="304"/>
      <c r="U152" s="304"/>
      <c r="V152" s="305"/>
      <c r="W152" s="42" t="s">
        <v>39</v>
      </c>
      <c r="X152" s="43">
        <f>IFERROR(SUM(X150:X151),"0")</f>
        <v>0</v>
      </c>
      <c r="Y152" s="43">
        <f>IFERROR(SUM(Y150:Y151),"0")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306"/>
      <c r="P153" s="303" t="s">
        <v>40</v>
      </c>
      <c r="Q153" s="304"/>
      <c r="R153" s="304"/>
      <c r="S153" s="304"/>
      <c r="T153" s="304"/>
      <c r="U153" s="304"/>
      <c r="V153" s="305"/>
      <c r="W153" s="42" t="s">
        <v>0</v>
      </c>
      <c r="X153" s="43">
        <f>IFERROR(SUMPRODUCT(X150:X151*H150:H151),"0")</f>
        <v>0</v>
      </c>
      <c r="Y153" s="43">
        <f>IFERROR(SUMPRODUCT(Y150:Y151*H150:H151),"0")</f>
        <v>0</v>
      </c>
      <c r="Z153" s="42"/>
      <c r="AA153" s="67"/>
      <c r="AB153" s="67"/>
      <c r="AC153" s="67"/>
    </row>
    <row r="154" spans="1:68" ht="16.5" customHeight="1" x14ac:dyDescent="0.25">
      <c r="A154" s="319" t="s">
        <v>257</v>
      </c>
      <c r="B154" s="319"/>
      <c r="C154" s="319"/>
      <c r="D154" s="319"/>
      <c r="E154" s="319"/>
      <c r="F154" s="319"/>
      <c r="G154" s="319"/>
      <c r="H154" s="319"/>
      <c r="I154" s="319"/>
      <c r="J154" s="319"/>
      <c r="K154" s="319"/>
      <c r="L154" s="319"/>
      <c r="M154" s="319"/>
      <c r="N154" s="319"/>
      <c r="O154" s="319"/>
      <c r="P154" s="319"/>
      <c r="Q154" s="319"/>
      <c r="R154" s="319"/>
      <c r="S154" s="319"/>
      <c r="T154" s="319"/>
      <c r="U154" s="319"/>
      <c r="V154" s="319"/>
      <c r="W154" s="319"/>
      <c r="X154" s="319"/>
      <c r="Y154" s="319"/>
      <c r="Z154" s="319"/>
      <c r="AA154" s="65"/>
      <c r="AB154" s="65"/>
      <c r="AC154" s="82"/>
    </row>
    <row r="155" spans="1:68" ht="14.25" customHeight="1" x14ac:dyDescent="0.25">
      <c r="A155" s="314" t="s">
        <v>150</v>
      </c>
      <c r="B155" s="314"/>
      <c r="C155" s="314"/>
      <c r="D155" s="314"/>
      <c r="E155" s="314"/>
      <c r="F155" s="314"/>
      <c r="G155" s="314"/>
      <c r="H155" s="314"/>
      <c r="I155" s="314"/>
      <c r="J155" s="314"/>
      <c r="K155" s="314"/>
      <c r="L155" s="314"/>
      <c r="M155" s="314"/>
      <c r="N155" s="314"/>
      <c r="O155" s="314"/>
      <c r="P155" s="314"/>
      <c r="Q155" s="314"/>
      <c r="R155" s="314"/>
      <c r="S155" s="314"/>
      <c r="T155" s="314"/>
      <c r="U155" s="314"/>
      <c r="V155" s="314"/>
      <c r="W155" s="314"/>
      <c r="X155" s="314"/>
      <c r="Y155" s="314"/>
      <c r="Z155" s="314"/>
      <c r="AA155" s="66"/>
      <c r="AB155" s="66"/>
      <c r="AC155" s="83"/>
    </row>
    <row r="156" spans="1:68" ht="27" customHeight="1" x14ac:dyDescent="0.25">
      <c r="A156" s="63" t="s">
        <v>258</v>
      </c>
      <c r="B156" s="63" t="s">
        <v>259</v>
      </c>
      <c r="C156" s="36">
        <v>4301135753</v>
      </c>
      <c r="D156" s="296">
        <v>4620207490914</v>
      </c>
      <c r="E156" s="29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117</v>
      </c>
      <c r="L156" s="37" t="s">
        <v>87</v>
      </c>
      <c r="M156" s="38" t="s">
        <v>85</v>
      </c>
      <c r="N156" s="38"/>
      <c r="O156" s="37">
        <v>180</v>
      </c>
      <c r="P156" s="34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8"/>
      <c r="R156" s="298"/>
      <c r="S156" s="298"/>
      <c r="T156" s="299"/>
      <c r="U156" s="39" t="s">
        <v>46</v>
      </c>
      <c r="V156" s="39" t="s">
        <v>46</v>
      </c>
      <c r="W156" s="40" t="s">
        <v>39</v>
      </c>
      <c r="X156" s="58">
        <v>0</v>
      </c>
      <c r="Y156" s="55">
        <f>IFERROR(IF(X156="","",X156),"")</f>
        <v>0</v>
      </c>
      <c r="Z156" s="41">
        <f>IFERROR(IF(X156="","",X156*0.01788),"")</f>
        <v>0</v>
      </c>
      <c r="AA156" s="68" t="s">
        <v>46</v>
      </c>
      <c r="AB156" s="69" t="s">
        <v>46</v>
      </c>
      <c r="AC156" s="205" t="s">
        <v>247</v>
      </c>
      <c r="AG156" s="81"/>
      <c r="AJ156" s="87" t="s">
        <v>88</v>
      </c>
      <c r="AK156" s="87">
        <v>1</v>
      </c>
      <c r="BB156" s="206" t="s">
        <v>116</v>
      </c>
      <c r="BM156" s="81">
        <f>IFERROR(X156*I156,"0")</f>
        <v>0</v>
      </c>
      <c r="BN156" s="81">
        <f>IFERROR(Y156*I156,"0")</f>
        <v>0</v>
      </c>
      <c r="BO156" s="81">
        <f>IFERROR(X156/J156,"0")</f>
        <v>0</v>
      </c>
      <c r="BP156" s="81">
        <f>IFERROR(Y156/J156,"0")</f>
        <v>0</v>
      </c>
    </row>
    <row r="157" spans="1:68" ht="27" customHeight="1" x14ac:dyDescent="0.25">
      <c r="A157" s="63" t="s">
        <v>260</v>
      </c>
      <c r="B157" s="63" t="s">
        <v>261</v>
      </c>
      <c r="C157" s="36">
        <v>4301135778</v>
      </c>
      <c r="D157" s="296">
        <v>4620207490853</v>
      </c>
      <c r="E157" s="296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117</v>
      </c>
      <c r="L157" s="37" t="s">
        <v>118</v>
      </c>
      <c r="M157" s="38" t="s">
        <v>85</v>
      </c>
      <c r="N157" s="38"/>
      <c r="O157" s="37">
        <v>180</v>
      </c>
      <c r="P157" s="34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8"/>
      <c r="R157" s="298"/>
      <c r="S157" s="298"/>
      <c r="T157" s="299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IFERROR(IF(X157="","",X157*0.01788),"")</f>
        <v>0</v>
      </c>
      <c r="AA157" s="68" t="s">
        <v>46</v>
      </c>
      <c r="AB157" s="69" t="s">
        <v>46</v>
      </c>
      <c r="AC157" s="207" t="s">
        <v>247</v>
      </c>
      <c r="AG157" s="81"/>
      <c r="AJ157" s="87" t="s">
        <v>119</v>
      </c>
      <c r="AK157" s="87">
        <v>14</v>
      </c>
      <c r="BB157" s="208" t="s">
        <v>116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293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306"/>
      <c r="P158" s="303" t="s">
        <v>40</v>
      </c>
      <c r="Q158" s="304"/>
      <c r="R158" s="304"/>
      <c r="S158" s="304"/>
      <c r="T158" s="304"/>
      <c r="U158" s="304"/>
      <c r="V158" s="305"/>
      <c r="W158" s="42" t="s">
        <v>39</v>
      </c>
      <c r="X158" s="43">
        <f>IFERROR(SUM(X156:X157),"0")</f>
        <v>0</v>
      </c>
      <c r="Y158" s="43">
        <f>IFERROR(SUM(Y156:Y157),"0")</f>
        <v>0</v>
      </c>
      <c r="Z158" s="43">
        <f>IFERROR(IF(Z156="",0,Z156),"0")+IFERROR(IF(Z157="",0,Z157),"0")</f>
        <v>0</v>
      </c>
      <c r="AA158" s="67"/>
      <c r="AB158" s="67"/>
      <c r="AC158" s="67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306"/>
      <c r="P159" s="303" t="s">
        <v>40</v>
      </c>
      <c r="Q159" s="304"/>
      <c r="R159" s="304"/>
      <c r="S159" s="304"/>
      <c r="T159" s="304"/>
      <c r="U159" s="304"/>
      <c r="V159" s="305"/>
      <c r="W159" s="42" t="s">
        <v>0</v>
      </c>
      <c r="X159" s="43">
        <f>IFERROR(SUMPRODUCT(X156:X157*H156:H157),"0")</f>
        <v>0</v>
      </c>
      <c r="Y159" s="43">
        <f>IFERROR(SUMPRODUCT(Y156:Y157*H156:H157),"0")</f>
        <v>0</v>
      </c>
      <c r="Z159" s="42"/>
      <c r="AA159" s="67"/>
      <c r="AB159" s="67"/>
      <c r="AC159" s="67"/>
    </row>
    <row r="160" spans="1:68" ht="16.5" customHeight="1" x14ac:dyDescent="0.25">
      <c r="A160" s="319" t="s">
        <v>262</v>
      </c>
      <c r="B160" s="319"/>
      <c r="C160" s="319"/>
      <c r="D160" s="319"/>
      <c r="E160" s="319"/>
      <c r="F160" s="319"/>
      <c r="G160" s="319"/>
      <c r="H160" s="319"/>
      <c r="I160" s="319"/>
      <c r="J160" s="319"/>
      <c r="K160" s="319"/>
      <c r="L160" s="319"/>
      <c r="M160" s="319"/>
      <c r="N160" s="319"/>
      <c r="O160" s="319"/>
      <c r="P160" s="319"/>
      <c r="Q160" s="319"/>
      <c r="R160" s="319"/>
      <c r="S160" s="319"/>
      <c r="T160" s="319"/>
      <c r="U160" s="319"/>
      <c r="V160" s="319"/>
      <c r="W160" s="319"/>
      <c r="X160" s="319"/>
      <c r="Y160" s="319"/>
      <c r="Z160" s="319"/>
      <c r="AA160" s="65"/>
      <c r="AB160" s="65"/>
      <c r="AC160" s="82"/>
    </row>
    <row r="161" spans="1:68" ht="14.25" customHeight="1" x14ac:dyDescent="0.25">
      <c r="A161" s="314" t="s">
        <v>150</v>
      </c>
      <c r="B161" s="314"/>
      <c r="C161" s="314"/>
      <c r="D161" s="314"/>
      <c r="E161" s="314"/>
      <c r="F161" s="314"/>
      <c r="G161" s="314"/>
      <c r="H161" s="314"/>
      <c r="I161" s="314"/>
      <c r="J161" s="314"/>
      <c r="K161" s="314"/>
      <c r="L161" s="314"/>
      <c r="M161" s="314"/>
      <c r="N161" s="314"/>
      <c r="O161" s="314"/>
      <c r="P161" s="314"/>
      <c r="Q161" s="314"/>
      <c r="R161" s="314"/>
      <c r="S161" s="314"/>
      <c r="T161" s="314"/>
      <c r="U161" s="314"/>
      <c r="V161" s="314"/>
      <c r="W161" s="314"/>
      <c r="X161" s="314"/>
      <c r="Y161" s="314"/>
      <c r="Z161" s="314"/>
      <c r="AA161" s="66"/>
      <c r="AB161" s="66"/>
      <c r="AC161" s="83"/>
    </row>
    <row r="162" spans="1:68" ht="27" customHeight="1" x14ac:dyDescent="0.25">
      <c r="A162" s="63" t="s">
        <v>263</v>
      </c>
      <c r="B162" s="63" t="s">
        <v>264</v>
      </c>
      <c r="C162" s="36">
        <v>4301135570</v>
      </c>
      <c r="D162" s="296">
        <v>4607111035806</v>
      </c>
      <c r="E162" s="296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117</v>
      </c>
      <c r="L162" s="37" t="s">
        <v>118</v>
      </c>
      <c r="M162" s="38" t="s">
        <v>85</v>
      </c>
      <c r="N162" s="38"/>
      <c r="O162" s="37">
        <v>180</v>
      </c>
      <c r="P162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298"/>
      <c r="R162" s="298"/>
      <c r="S162" s="298"/>
      <c r="T162" s="299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265</v>
      </c>
      <c r="AG162" s="81"/>
      <c r="AJ162" s="87" t="s">
        <v>119</v>
      </c>
      <c r="AK162" s="87">
        <v>14</v>
      </c>
      <c r="BB162" s="210" t="s">
        <v>116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293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306"/>
      <c r="P163" s="303" t="s">
        <v>40</v>
      </c>
      <c r="Q163" s="304"/>
      <c r="R163" s="304"/>
      <c r="S163" s="304"/>
      <c r="T163" s="304"/>
      <c r="U163" s="304"/>
      <c r="V163" s="305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306"/>
      <c r="P164" s="303" t="s">
        <v>40</v>
      </c>
      <c r="Q164" s="304"/>
      <c r="R164" s="304"/>
      <c r="S164" s="304"/>
      <c r="T164" s="304"/>
      <c r="U164" s="304"/>
      <c r="V164" s="305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19" t="s">
        <v>266</v>
      </c>
      <c r="B165" s="319"/>
      <c r="C165" s="319"/>
      <c r="D165" s="319"/>
      <c r="E165" s="319"/>
      <c r="F165" s="319"/>
      <c r="G165" s="319"/>
      <c r="H165" s="319"/>
      <c r="I165" s="319"/>
      <c r="J165" s="319"/>
      <c r="K165" s="319"/>
      <c r="L165" s="319"/>
      <c r="M165" s="319"/>
      <c r="N165" s="319"/>
      <c r="O165" s="319"/>
      <c r="P165" s="319"/>
      <c r="Q165" s="319"/>
      <c r="R165" s="319"/>
      <c r="S165" s="319"/>
      <c r="T165" s="319"/>
      <c r="U165" s="319"/>
      <c r="V165" s="319"/>
      <c r="W165" s="319"/>
      <c r="X165" s="319"/>
      <c r="Y165" s="319"/>
      <c r="Z165" s="319"/>
      <c r="AA165" s="65"/>
      <c r="AB165" s="65"/>
      <c r="AC165" s="82"/>
    </row>
    <row r="166" spans="1:68" ht="14.25" customHeight="1" x14ac:dyDescent="0.25">
      <c r="A166" s="314" t="s">
        <v>150</v>
      </c>
      <c r="B166" s="314"/>
      <c r="C166" s="314"/>
      <c r="D166" s="314"/>
      <c r="E166" s="314"/>
      <c r="F166" s="314"/>
      <c r="G166" s="314"/>
      <c r="H166" s="314"/>
      <c r="I166" s="314"/>
      <c r="J166" s="314"/>
      <c r="K166" s="314"/>
      <c r="L166" s="314"/>
      <c r="M166" s="314"/>
      <c r="N166" s="314"/>
      <c r="O166" s="314"/>
      <c r="P166" s="314"/>
      <c r="Q166" s="314"/>
      <c r="R166" s="314"/>
      <c r="S166" s="314"/>
      <c r="T166" s="314"/>
      <c r="U166" s="314"/>
      <c r="V166" s="314"/>
      <c r="W166" s="314"/>
      <c r="X166" s="314"/>
      <c r="Y166" s="314"/>
      <c r="Z166" s="314"/>
      <c r="AA166" s="66"/>
      <c r="AB166" s="66"/>
      <c r="AC166" s="83"/>
    </row>
    <row r="167" spans="1:68" ht="16.5" customHeight="1" x14ac:dyDescent="0.25">
      <c r="A167" s="63" t="s">
        <v>267</v>
      </c>
      <c r="B167" s="63" t="s">
        <v>268</v>
      </c>
      <c r="C167" s="36">
        <v>4301135607</v>
      </c>
      <c r="D167" s="296">
        <v>4607111039613</v>
      </c>
      <c r="E167" s="296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117</v>
      </c>
      <c r="L167" s="37" t="s">
        <v>118</v>
      </c>
      <c r="M167" s="38" t="s">
        <v>85</v>
      </c>
      <c r="N167" s="38"/>
      <c r="O167" s="37">
        <v>180</v>
      </c>
      <c r="P167" s="34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8"/>
      <c r="R167" s="298"/>
      <c r="S167" s="298"/>
      <c r="T167" s="299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IFERROR(IF(X167="","",X167*0.00936),"")</f>
        <v>0</v>
      </c>
      <c r="AA167" s="68" t="s">
        <v>46</v>
      </c>
      <c r="AB167" s="69" t="s">
        <v>46</v>
      </c>
      <c r="AC167" s="211" t="s">
        <v>253</v>
      </c>
      <c r="AG167" s="81"/>
      <c r="AJ167" s="87" t="s">
        <v>119</v>
      </c>
      <c r="AK167" s="87">
        <v>14</v>
      </c>
      <c r="BB167" s="212" t="s">
        <v>116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293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306"/>
      <c r="P168" s="303" t="s">
        <v>40</v>
      </c>
      <c r="Q168" s="304"/>
      <c r="R168" s="304"/>
      <c r="S168" s="304"/>
      <c r="T168" s="304"/>
      <c r="U168" s="304"/>
      <c r="V168" s="305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306"/>
      <c r="P169" s="303" t="s">
        <v>40</v>
      </c>
      <c r="Q169" s="304"/>
      <c r="R169" s="304"/>
      <c r="S169" s="304"/>
      <c r="T169" s="304"/>
      <c r="U169" s="304"/>
      <c r="V169" s="305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16.5" customHeight="1" x14ac:dyDescent="0.25">
      <c r="A170" s="319" t="s">
        <v>269</v>
      </c>
      <c r="B170" s="319"/>
      <c r="C170" s="319"/>
      <c r="D170" s="319"/>
      <c r="E170" s="319"/>
      <c r="F170" s="319"/>
      <c r="G170" s="319"/>
      <c r="H170" s="319"/>
      <c r="I170" s="319"/>
      <c r="J170" s="319"/>
      <c r="K170" s="319"/>
      <c r="L170" s="319"/>
      <c r="M170" s="319"/>
      <c r="N170" s="319"/>
      <c r="O170" s="319"/>
      <c r="P170" s="319"/>
      <c r="Q170" s="319"/>
      <c r="R170" s="319"/>
      <c r="S170" s="319"/>
      <c r="T170" s="319"/>
      <c r="U170" s="319"/>
      <c r="V170" s="319"/>
      <c r="W170" s="319"/>
      <c r="X170" s="319"/>
      <c r="Y170" s="319"/>
      <c r="Z170" s="319"/>
      <c r="AA170" s="65"/>
      <c r="AB170" s="65"/>
      <c r="AC170" s="82"/>
    </row>
    <row r="171" spans="1:68" ht="14.25" customHeight="1" x14ac:dyDescent="0.25">
      <c r="A171" s="314" t="s">
        <v>150</v>
      </c>
      <c r="B171" s="314"/>
      <c r="C171" s="314"/>
      <c r="D171" s="314"/>
      <c r="E171" s="314"/>
      <c r="F171" s="314"/>
      <c r="G171" s="314"/>
      <c r="H171" s="314"/>
      <c r="I171" s="314"/>
      <c r="J171" s="314"/>
      <c r="K171" s="314"/>
      <c r="L171" s="314"/>
      <c r="M171" s="314"/>
      <c r="N171" s="314"/>
      <c r="O171" s="314"/>
      <c r="P171" s="314"/>
      <c r="Q171" s="314"/>
      <c r="R171" s="314"/>
      <c r="S171" s="314"/>
      <c r="T171" s="314"/>
      <c r="U171" s="314"/>
      <c r="V171" s="314"/>
      <c r="W171" s="314"/>
      <c r="X171" s="314"/>
      <c r="Y171" s="314"/>
      <c r="Z171" s="314"/>
      <c r="AA171" s="66"/>
      <c r="AB171" s="66"/>
      <c r="AC171" s="83"/>
    </row>
    <row r="172" spans="1:68" ht="27" customHeight="1" x14ac:dyDescent="0.25">
      <c r="A172" s="63" t="s">
        <v>270</v>
      </c>
      <c r="B172" s="63" t="s">
        <v>271</v>
      </c>
      <c r="C172" s="36">
        <v>4301135591</v>
      </c>
      <c r="D172" s="296">
        <v>4607111036568</v>
      </c>
      <c r="E172" s="296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117</v>
      </c>
      <c r="L172" s="37" t="s">
        <v>87</v>
      </c>
      <c r="M172" s="38" t="s">
        <v>85</v>
      </c>
      <c r="N172" s="38"/>
      <c r="O172" s="37">
        <v>180</v>
      </c>
      <c r="P172" s="34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8"/>
      <c r="R172" s="298"/>
      <c r="S172" s="298"/>
      <c r="T172" s="299"/>
      <c r="U172" s="39" t="s">
        <v>46</v>
      </c>
      <c r="V172" s="39" t="s">
        <v>46</v>
      </c>
      <c r="W172" s="40" t="s">
        <v>39</v>
      </c>
      <c r="X172" s="58">
        <v>0</v>
      </c>
      <c r="Y172" s="55">
        <f>IFERROR(IF(X172="","",X172),"")</f>
        <v>0</v>
      </c>
      <c r="Z172" s="41">
        <f>IFERROR(IF(X172="","",X172*0.00941),"")</f>
        <v>0</v>
      </c>
      <c r="AA172" s="68" t="s">
        <v>46</v>
      </c>
      <c r="AB172" s="69" t="s">
        <v>46</v>
      </c>
      <c r="AC172" s="213" t="s">
        <v>272</v>
      </c>
      <c r="AG172" s="81"/>
      <c r="AJ172" s="87" t="s">
        <v>88</v>
      </c>
      <c r="AK172" s="87">
        <v>1</v>
      </c>
      <c r="BB172" s="214" t="s">
        <v>116</v>
      </c>
      <c r="BM172" s="81">
        <f>IFERROR(X172*I172,"0")</f>
        <v>0</v>
      </c>
      <c r="BN172" s="81">
        <f>IFERROR(Y172*I172,"0")</f>
        <v>0</v>
      </c>
      <c r="BO172" s="81">
        <f>IFERROR(X172/J172,"0")</f>
        <v>0</v>
      </c>
      <c r="BP172" s="81">
        <f>IFERROR(Y172/J172,"0")</f>
        <v>0</v>
      </c>
    </row>
    <row r="173" spans="1:68" x14ac:dyDescent="0.2">
      <c r="A173" s="293"/>
      <c r="B173" s="293"/>
      <c r="C173" s="293"/>
      <c r="D173" s="293"/>
      <c r="E173" s="293"/>
      <c r="F173" s="293"/>
      <c r="G173" s="293"/>
      <c r="H173" s="293"/>
      <c r="I173" s="293"/>
      <c r="J173" s="293"/>
      <c r="K173" s="293"/>
      <c r="L173" s="293"/>
      <c r="M173" s="293"/>
      <c r="N173" s="293"/>
      <c r="O173" s="306"/>
      <c r="P173" s="303" t="s">
        <v>40</v>
      </c>
      <c r="Q173" s="304"/>
      <c r="R173" s="304"/>
      <c r="S173" s="304"/>
      <c r="T173" s="304"/>
      <c r="U173" s="304"/>
      <c r="V173" s="305"/>
      <c r="W173" s="42" t="s">
        <v>39</v>
      </c>
      <c r="X173" s="43">
        <f>IFERROR(SUM(X172:X172),"0")</f>
        <v>0</v>
      </c>
      <c r="Y173" s="43">
        <f>IFERROR(SUM(Y172:Y172),"0")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">
      <c r="A174" s="293"/>
      <c r="B174" s="293"/>
      <c r="C174" s="293"/>
      <c r="D174" s="293"/>
      <c r="E174" s="293"/>
      <c r="F174" s="293"/>
      <c r="G174" s="293"/>
      <c r="H174" s="293"/>
      <c r="I174" s="293"/>
      <c r="J174" s="293"/>
      <c r="K174" s="293"/>
      <c r="L174" s="293"/>
      <c r="M174" s="293"/>
      <c r="N174" s="293"/>
      <c r="O174" s="306"/>
      <c r="P174" s="303" t="s">
        <v>40</v>
      </c>
      <c r="Q174" s="304"/>
      <c r="R174" s="304"/>
      <c r="S174" s="304"/>
      <c r="T174" s="304"/>
      <c r="U174" s="304"/>
      <c r="V174" s="305"/>
      <c r="W174" s="42" t="s">
        <v>0</v>
      </c>
      <c r="X174" s="43">
        <f>IFERROR(SUMPRODUCT(X172:X172*H172:H172),"0")</f>
        <v>0</v>
      </c>
      <c r="Y174" s="43">
        <f>IFERROR(SUMPRODUCT(Y172:Y172*H172:H172),"0")</f>
        <v>0</v>
      </c>
      <c r="Z174" s="42"/>
      <c r="AA174" s="67"/>
      <c r="AB174" s="67"/>
      <c r="AC174" s="67"/>
    </row>
    <row r="175" spans="1:68" ht="27.75" customHeight="1" x14ac:dyDescent="0.2">
      <c r="A175" s="318" t="s">
        <v>273</v>
      </c>
      <c r="B175" s="318"/>
      <c r="C175" s="318"/>
      <c r="D175" s="318"/>
      <c r="E175" s="318"/>
      <c r="F175" s="318"/>
      <c r="G175" s="318"/>
      <c r="H175" s="318"/>
      <c r="I175" s="318"/>
      <c r="J175" s="318"/>
      <c r="K175" s="318"/>
      <c r="L175" s="318"/>
      <c r="M175" s="318"/>
      <c r="N175" s="318"/>
      <c r="O175" s="318"/>
      <c r="P175" s="318"/>
      <c r="Q175" s="318"/>
      <c r="R175" s="318"/>
      <c r="S175" s="318"/>
      <c r="T175" s="318"/>
      <c r="U175" s="318"/>
      <c r="V175" s="318"/>
      <c r="W175" s="318"/>
      <c r="X175" s="318"/>
      <c r="Y175" s="318"/>
      <c r="Z175" s="318"/>
      <c r="AA175" s="54"/>
      <c r="AB175" s="54"/>
      <c r="AC175" s="54"/>
    </row>
    <row r="176" spans="1:68" ht="16.5" customHeight="1" x14ac:dyDescent="0.25">
      <c r="A176" s="319" t="s">
        <v>274</v>
      </c>
      <c r="B176" s="319"/>
      <c r="C176" s="319"/>
      <c r="D176" s="319"/>
      <c r="E176" s="319"/>
      <c r="F176" s="319"/>
      <c r="G176" s="319"/>
      <c r="H176" s="319"/>
      <c r="I176" s="319"/>
      <c r="J176" s="319"/>
      <c r="K176" s="319"/>
      <c r="L176" s="319"/>
      <c r="M176" s="319"/>
      <c r="N176" s="319"/>
      <c r="O176" s="319"/>
      <c r="P176" s="319"/>
      <c r="Q176" s="319"/>
      <c r="R176" s="319"/>
      <c r="S176" s="319"/>
      <c r="T176" s="319"/>
      <c r="U176" s="319"/>
      <c r="V176" s="319"/>
      <c r="W176" s="319"/>
      <c r="X176" s="319"/>
      <c r="Y176" s="319"/>
      <c r="Z176" s="319"/>
      <c r="AA176" s="65"/>
      <c r="AB176" s="65"/>
      <c r="AC176" s="82"/>
    </row>
    <row r="177" spans="1:68" ht="14.25" customHeight="1" x14ac:dyDescent="0.25">
      <c r="A177" s="314" t="s">
        <v>81</v>
      </c>
      <c r="B177" s="314"/>
      <c r="C177" s="314"/>
      <c r="D177" s="314"/>
      <c r="E177" s="314"/>
      <c r="F177" s="314"/>
      <c r="G177" s="314"/>
      <c r="H177" s="314"/>
      <c r="I177" s="314"/>
      <c r="J177" s="314"/>
      <c r="K177" s="314"/>
      <c r="L177" s="314"/>
      <c r="M177" s="314"/>
      <c r="N177" s="314"/>
      <c r="O177" s="314"/>
      <c r="P177" s="314"/>
      <c r="Q177" s="314"/>
      <c r="R177" s="314"/>
      <c r="S177" s="314"/>
      <c r="T177" s="314"/>
      <c r="U177" s="314"/>
      <c r="V177" s="314"/>
      <c r="W177" s="314"/>
      <c r="X177" s="314"/>
      <c r="Y177" s="314"/>
      <c r="Z177" s="314"/>
      <c r="AA177" s="66"/>
      <c r="AB177" s="66"/>
      <c r="AC177" s="83"/>
    </row>
    <row r="178" spans="1:68" ht="16.5" customHeight="1" x14ac:dyDescent="0.25">
      <c r="A178" s="63" t="s">
        <v>275</v>
      </c>
      <c r="B178" s="63" t="s">
        <v>276</v>
      </c>
      <c r="C178" s="36">
        <v>4301071062</v>
      </c>
      <c r="D178" s="296">
        <v>4607111036384</v>
      </c>
      <c r="E178" s="296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86</v>
      </c>
      <c r="L178" s="37" t="s">
        <v>118</v>
      </c>
      <c r="M178" s="38" t="s">
        <v>85</v>
      </c>
      <c r="N178" s="38"/>
      <c r="O178" s="37">
        <v>180</v>
      </c>
      <c r="P178" s="3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8"/>
      <c r="R178" s="298"/>
      <c r="S178" s="298"/>
      <c r="T178" s="29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277</v>
      </c>
      <c r="AG178" s="81"/>
      <c r="AJ178" s="87" t="s">
        <v>119</v>
      </c>
      <c r="AK178" s="87">
        <v>12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customHeight="1" x14ac:dyDescent="0.25">
      <c r="A179" s="63" t="s">
        <v>278</v>
      </c>
      <c r="B179" s="63" t="s">
        <v>279</v>
      </c>
      <c r="C179" s="36">
        <v>4301071050</v>
      </c>
      <c r="D179" s="296">
        <v>4607111036216</v>
      </c>
      <c r="E179" s="296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86</v>
      </c>
      <c r="L179" s="37" t="s">
        <v>118</v>
      </c>
      <c r="M179" s="38" t="s">
        <v>85</v>
      </c>
      <c r="N179" s="38"/>
      <c r="O179" s="37">
        <v>180</v>
      </c>
      <c r="P179" s="33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8"/>
      <c r="R179" s="298"/>
      <c r="S179" s="298"/>
      <c r="T179" s="29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280</v>
      </c>
      <c r="AG179" s="81"/>
      <c r="AJ179" s="87" t="s">
        <v>119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x14ac:dyDescent="0.2">
      <c r="A180" s="293"/>
      <c r="B180" s="293"/>
      <c r="C180" s="293"/>
      <c r="D180" s="293"/>
      <c r="E180" s="293"/>
      <c r="F180" s="293"/>
      <c r="G180" s="293"/>
      <c r="H180" s="293"/>
      <c r="I180" s="293"/>
      <c r="J180" s="293"/>
      <c r="K180" s="293"/>
      <c r="L180" s="293"/>
      <c r="M180" s="293"/>
      <c r="N180" s="293"/>
      <c r="O180" s="306"/>
      <c r="P180" s="303" t="s">
        <v>40</v>
      </c>
      <c r="Q180" s="304"/>
      <c r="R180" s="304"/>
      <c r="S180" s="304"/>
      <c r="T180" s="304"/>
      <c r="U180" s="304"/>
      <c r="V180" s="305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x14ac:dyDescent="0.2">
      <c r="A181" s="293"/>
      <c r="B181" s="293"/>
      <c r="C181" s="293"/>
      <c r="D181" s="293"/>
      <c r="E181" s="293"/>
      <c r="F181" s="293"/>
      <c r="G181" s="293"/>
      <c r="H181" s="293"/>
      <c r="I181" s="293"/>
      <c r="J181" s="293"/>
      <c r="K181" s="293"/>
      <c r="L181" s="293"/>
      <c r="M181" s="293"/>
      <c r="N181" s="293"/>
      <c r="O181" s="306"/>
      <c r="P181" s="303" t="s">
        <v>40</v>
      </c>
      <c r="Q181" s="304"/>
      <c r="R181" s="304"/>
      <c r="S181" s="304"/>
      <c r="T181" s="304"/>
      <c r="U181" s="304"/>
      <c r="V181" s="305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customHeight="1" x14ac:dyDescent="0.25">
      <c r="A182" s="319" t="s">
        <v>281</v>
      </c>
      <c r="B182" s="319"/>
      <c r="C182" s="319"/>
      <c r="D182" s="319"/>
      <c r="E182" s="319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  <c r="Z182" s="319"/>
      <c r="AA182" s="65"/>
      <c r="AB182" s="65"/>
      <c r="AC182" s="82"/>
    </row>
    <row r="183" spans="1:68" ht="14.25" customHeight="1" x14ac:dyDescent="0.25">
      <c r="A183" s="314" t="s">
        <v>81</v>
      </c>
      <c r="B183" s="314"/>
      <c r="C183" s="314"/>
      <c r="D183" s="314"/>
      <c r="E183" s="314"/>
      <c r="F183" s="314"/>
      <c r="G183" s="314"/>
      <c r="H183" s="314"/>
      <c r="I183" s="314"/>
      <c r="J183" s="314"/>
      <c r="K183" s="314"/>
      <c r="L183" s="314"/>
      <c r="M183" s="314"/>
      <c r="N183" s="314"/>
      <c r="O183" s="314"/>
      <c r="P183" s="314"/>
      <c r="Q183" s="314"/>
      <c r="R183" s="314"/>
      <c r="S183" s="314"/>
      <c r="T183" s="314"/>
      <c r="U183" s="314"/>
      <c r="V183" s="314"/>
      <c r="W183" s="314"/>
      <c r="X183" s="314"/>
      <c r="Y183" s="314"/>
      <c r="Z183" s="314"/>
      <c r="AA183" s="66"/>
      <c r="AB183" s="66"/>
      <c r="AC183" s="83"/>
    </row>
    <row r="184" spans="1:68" ht="27" customHeight="1" x14ac:dyDescent="0.25">
      <c r="A184" s="63" t="s">
        <v>282</v>
      </c>
      <c r="B184" s="63" t="s">
        <v>283</v>
      </c>
      <c r="C184" s="36">
        <v>4301071117</v>
      </c>
      <c r="D184" s="296">
        <v>4620207491737</v>
      </c>
      <c r="E184" s="296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86</v>
      </c>
      <c r="L184" s="37" t="s">
        <v>87</v>
      </c>
      <c r="M184" s="38" t="s">
        <v>85</v>
      </c>
      <c r="N184" s="38"/>
      <c r="O184" s="37">
        <v>180</v>
      </c>
      <c r="P184" s="34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8"/>
      <c r="R184" s="298"/>
      <c r="S184" s="298"/>
      <c r="T184" s="299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280</v>
      </c>
      <c r="AG184" s="81"/>
      <c r="AJ184" s="87" t="s">
        <v>88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x14ac:dyDescent="0.2">
      <c r="A185" s="293"/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306"/>
      <c r="P185" s="303" t="s">
        <v>40</v>
      </c>
      <c r="Q185" s="304"/>
      <c r="R185" s="304"/>
      <c r="S185" s="304"/>
      <c r="T185" s="304"/>
      <c r="U185" s="304"/>
      <c r="V185" s="305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x14ac:dyDescent="0.2">
      <c r="A186" s="293"/>
      <c r="B186" s="293"/>
      <c r="C186" s="293"/>
      <c r="D186" s="293"/>
      <c r="E186" s="293"/>
      <c r="F186" s="293"/>
      <c r="G186" s="293"/>
      <c r="H186" s="293"/>
      <c r="I186" s="293"/>
      <c r="J186" s="293"/>
      <c r="K186" s="293"/>
      <c r="L186" s="293"/>
      <c r="M186" s="293"/>
      <c r="N186" s="293"/>
      <c r="O186" s="306"/>
      <c r="P186" s="303" t="s">
        <v>40</v>
      </c>
      <c r="Q186" s="304"/>
      <c r="R186" s="304"/>
      <c r="S186" s="304"/>
      <c r="T186" s="304"/>
      <c r="U186" s="304"/>
      <c r="V186" s="305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customHeight="1" x14ac:dyDescent="0.2">
      <c r="A187" s="318" t="s">
        <v>284</v>
      </c>
      <c r="B187" s="318"/>
      <c r="C187" s="318"/>
      <c r="D187" s="318"/>
      <c r="E187" s="318"/>
      <c r="F187" s="318"/>
      <c r="G187" s="318"/>
      <c r="H187" s="318"/>
      <c r="I187" s="318"/>
      <c r="J187" s="318"/>
      <c r="K187" s="318"/>
      <c r="L187" s="318"/>
      <c r="M187" s="318"/>
      <c r="N187" s="318"/>
      <c r="O187" s="318"/>
      <c r="P187" s="318"/>
      <c r="Q187" s="318"/>
      <c r="R187" s="318"/>
      <c r="S187" s="318"/>
      <c r="T187" s="318"/>
      <c r="U187" s="318"/>
      <c r="V187" s="318"/>
      <c r="W187" s="318"/>
      <c r="X187" s="318"/>
      <c r="Y187" s="318"/>
      <c r="Z187" s="318"/>
      <c r="AA187" s="54"/>
      <c r="AB187" s="54"/>
      <c r="AC187" s="54"/>
    </row>
    <row r="188" spans="1:68" ht="16.5" customHeight="1" x14ac:dyDescent="0.25">
      <c r="A188" s="319" t="s">
        <v>285</v>
      </c>
      <c r="B188" s="319"/>
      <c r="C188" s="319"/>
      <c r="D188" s="319"/>
      <c r="E188" s="319"/>
      <c r="F188" s="319"/>
      <c r="G188" s="319"/>
      <c r="H188" s="319"/>
      <c r="I188" s="319"/>
      <c r="J188" s="319"/>
      <c r="K188" s="319"/>
      <c r="L188" s="319"/>
      <c r="M188" s="319"/>
      <c r="N188" s="319"/>
      <c r="O188" s="319"/>
      <c r="P188" s="319"/>
      <c r="Q188" s="319"/>
      <c r="R188" s="319"/>
      <c r="S188" s="319"/>
      <c r="T188" s="319"/>
      <c r="U188" s="319"/>
      <c r="V188" s="319"/>
      <c r="W188" s="319"/>
      <c r="X188" s="319"/>
      <c r="Y188" s="319"/>
      <c r="Z188" s="319"/>
      <c r="AA188" s="65"/>
      <c r="AB188" s="65"/>
      <c r="AC188" s="82"/>
    </row>
    <row r="189" spans="1:68" ht="14.25" customHeight="1" x14ac:dyDescent="0.25">
      <c r="A189" s="314" t="s">
        <v>112</v>
      </c>
      <c r="B189" s="314"/>
      <c r="C189" s="314"/>
      <c r="D189" s="314"/>
      <c r="E189" s="314"/>
      <c r="F189" s="314"/>
      <c r="G189" s="314"/>
      <c r="H189" s="314"/>
      <c r="I189" s="314"/>
      <c r="J189" s="314"/>
      <c r="K189" s="314"/>
      <c r="L189" s="314"/>
      <c r="M189" s="314"/>
      <c r="N189" s="314"/>
      <c r="O189" s="314"/>
      <c r="P189" s="314"/>
      <c r="Q189" s="314"/>
      <c r="R189" s="314"/>
      <c r="S189" s="314"/>
      <c r="T189" s="314"/>
      <c r="U189" s="314"/>
      <c r="V189" s="314"/>
      <c r="W189" s="314"/>
      <c r="X189" s="314"/>
      <c r="Y189" s="314"/>
      <c r="Z189" s="314"/>
      <c r="AA189" s="66"/>
      <c r="AB189" s="66"/>
      <c r="AC189" s="83"/>
    </row>
    <row r="190" spans="1:68" ht="16.5" customHeight="1" x14ac:dyDescent="0.25">
      <c r="A190" s="63" t="s">
        <v>286</v>
      </c>
      <c r="B190" s="63" t="s">
        <v>287</v>
      </c>
      <c r="C190" s="36">
        <v>4301132179</v>
      </c>
      <c r="D190" s="296">
        <v>4607111035691</v>
      </c>
      <c r="E190" s="29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117</v>
      </c>
      <c r="L190" s="37" t="s">
        <v>118</v>
      </c>
      <c r="M190" s="38" t="s">
        <v>85</v>
      </c>
      <c r="N190" s="38"/>
      <c r="O190" s="37">
        <v>365</v>
      </c>
      <c r="P190" s="33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8"/>
      <c r="R190" s="298"/>
      <c r="S190" s="298"/>
      <c r="T190" s="299"/>
      <c r="U190" s="39" t="s">
        <v>46</v>
      </c>
      <c r="V190" s="39" t="s">
        <v>46</v>
      </c>
      <c r="W190" s="40" t="s">
        <v>39</v>
      </c>
      <c r="X190" s="58">
        <v>0</v>
      </c>
      <c r="Y190" s="55">
        <f>IFERROR(IF(X190="","",X190),"")</f>
        <v>0</v>
      </c>
      <c r="Z190" s="41">
        <f>IFERROR(IF(X190="","",X190*0.01788),"")</f>
        <v>0</v>
      </c>
      <c r="AA190" s="68" t="s">
        <v>46</v>
      </c>
      <c r="AB190" s="69" t="s">
        <v>46</v>
      </c>
      <c r="AC190" s="221" t="s">
        <v>288</v>
      </c>
      <c r="AG190" s="81"/>
      <c r="AJ190" s="87" t="s">
        <v>119</v>
      </c>
      <c r="AK190" s="87">
        <v>14</v>
      </c>
      <c r="BB190" s="222" t="s">
        <v>116</v>
      </c>
      <c r="BM190" s="81">
        <f>IFERROR(X190*I190,"0")</f>
        <v>0</v>
      </c>
      <c r="BN190" s="81">
        <f>IFERROR(Y190*I190,"0")</f>
        <v>0</v>
      </c>
      <c r="BO190" s="81">
        <f>IFERROR(X190/J190,"0")</f>
        <v>0</v>
      </c>
      <c r="BP190" s="81">
        <f>IFERROR(Y190/J190,"0")</f>
        <v>0</v>
      </c>
    </row>
    <row r="191" spans="1:68" ht="27" customHeight="1" x14ac:dyDescent="0.25">
      <c r="A191" s="63" t="s">
        <v>289</v>
      </c>
      <c r="B191" s="63" t="s">
        <v>290</v>
      </c>
      <c r="C191" s="36">
        <v>4301132182</v>
      </c>
      <c r="D191" s="296">
        <v>4607111035721</v>
      </c>
      <c r="E191" s="296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117</v>
      </c>
      <c r="L191" s="37" t="s">
        <v>118</v>
      </c>
      <c r="M191" s="38" t="s">
        <v>85</v>
      </c>
      <c r="N191" s="38"/>
      <c r="O191" s="37">
        <v>365</v>
      </c>
      <c r="P191" s="33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8"/>
      <c r="R191" s="298"/>
      <c r="S191" s="298"/>
      <c r="T191" s="299"/>
      <c r="U191" s="39" t="s">
        <v>46</v>
      </c>
      <c r="V191" s="39" t="s">
        <v>46</v>
      </c>
      <c r="W191" s="40" t="s">
        <v>39</v>
      </c>
      <c r="X191" s="58">
        <v>0</v>
      </c>
      <c r="Y191" s="55">
        <f>IFERROR(IF(X191="","",X191),"")</f>
        <v>0</v>
      </c>
      <c r="Z191" s="41">
        <f>IFERROR(IF(X191="","",X191*0.01788),"")</f>
        <v>0</v>
      </c>
      <c r="AA191" s="68" t="s">
        <v>46</v>
      </c>
      <c r="AB191" s="69" t="s">
        <v>46</v>
      </c>
      <c r="AC191" s="223" t="s">
        <v>291</v>
      </c>
      <c r="AG191" s="81"/>
      <c r="AJ191" s="87" t="s">
        <v>119</v>
      </c>
      <c r="AK191" s="87">
        <v>14</v>
      </c>
      <c r="BB191" s="224" t="s">
        <v>116</v>
      </c>
      <c r="BM191" s="81">
        <f>IFERROR(X191*I191,"0")</f>
        <v>0</v>
      </c>
      <c r="BN191" s="81">
        <f>IFERROR(Y191*I191,"0")</f>
        <v>0</v>
      </c>
      <c r="BO191" s="81">
        <f>IFERROR(X191/J191,"0")</f>
        <v>0</v>
      </c>
      <c r="BP191" s="81">
        <f>IFERROR(Y191/J191,"0")</f>
        <v>0</v>
      </c>
    </row>
    <row r="192" spans="1:68" ht="27" customHeight="1" x14ac:dyDescent="0.25">
      <c r="A192" s="63" t="s">
        <v>292</v>
      </c>
      <c r="B192" s="63" t="s">
        <v>293</v>
      </c>
      <c r="C192" s="36">
        <v>4301132170</v>
      </c>
      <c r="D192" s="296">
        <v>4607111038487</v>
      </c>
      <c r="E192" s="296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117</v>
      </c>
      <c r="L192" s="37" t="s">
        <v>118</v>
      </c>
      <c r="M192" s="38" t="s">
        <v>85</v>
      </c>
      <c r="N192" s="38"/>
      <c r="O192" s="37">
        <v>180</v>
      </c>
      <c r="P192" s="3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8"/>
      <c r="R192" s="298"/>
      <c r="S192" s="298"/>
      <c r="T192" s="29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294</v>
      </c>
      <c r="AG192" s="81"/>
      <c r="AJ192" s="87" t="s">
        <v>119</v>
      </c>
      <c r="AK192" s="87">
        <v>14</v>
      </c>
      <c r="BB192" s="226" t="s">
        <v>116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295</v>
      </c>
      <c r="B193" s="63" t="s">
        <v>296</v>
      </c>
      <c r="C193" s="36">
        <v>4301132243</v>
      </c>
      <c r="D193" s="296">
        <v>4620207491195</v>
      </c>
      <c r="E193" s="296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117</v>
      </c>
      <c r="L193" s="37" t="s">
        <v>87</v>
      </c>
      <c r="M193" s="38" t="s">
        <v>85</v>
      </c>
      <c r="N193" s="38"/>
      <c r="O193" s="37">
        <v>180</v>
      </c>
      <c r="P193" s="33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8"/>
      <c r="R193" s="298"/>
      <c r="S193" s="298"/>
      <c r="T193" s="299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IFERROR(IF(X193="","",X193*0.01788),"")</f>
        <v>0</v>
      </c>
      <c r="AA193" s="68" t="s">
        <v>46</v>
      </c>
      <c r="AB193" s="69" t="s">
        <v>46</v>
      </c>
      <c r="AC193" s="227" t="s">
        <v>297</v>
      </c>
      <c r="AG193" s="81"/>
      <c r="AJ193" s="87" t="s">
        <v>88</v>
      </c>
      <c r="AK193" s="87">
        <v>1</v>
      </c>
      <c r="BB193" s="228" t="s">
        <v>116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x14ac:dyDescent="0.2">
      <c r="A194" s="293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306"/>
      <c r="P194" s="303" t="s">
        <v>40</v>
      </c>
      <c r="Q194" s="304"/>
      <c r="R194" s="304"/>
      <c r="S194" s="304"/>
      <c r="T194" s="304"/>
      <c r="U194" s="304"/>
      <c r="V194" s="305"/>
      <c r="W194" s="42" t="s">
        <v>39</v>
      </c>
      <c r="X194" s="43">
        <f>IFERROR(SUM(X190:X193),"0")</f>
        <v>0</v>
      </c>
      <c r="Y194" s="43">
        <f>IFERROR(SUM(Y190:Y193),"0")</f>
        <v>0</v>
      </c>
      <c r="Z194" s="43">
        <f>IFERROR(IF(Z190="",0,Z190),"0")+IFERROR(IF(Z191="",0,Z191),"0")+IFERROR(IF(Z192="",0,Z192),"0")+IFERROR(IF(Z193="",0,Z193),"0")</f>
        <v>0</v>
      </c>
      <c r="AA194" s="67"/>
      <c r="AB194" s="67"/>
      <c r="AC194" s="67"/>
    </row>
    <row r="195" spans="1:68" x14ac:dyDescent="0.2">
      <c r="A195" s="293"/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306"/>
      <c r="P195" s="303" t="s">
        <v>40</v>
      </c>
      <c r="Q195" s="304"/>
      <c r="R195" s="304"/>
      <c r="S195" s="304"/>
      <c r="T195" s="304"/>
      <c r="U195" s="304"/>
      <c r="V195" s="305"/>
      <c r="W195" s="42" t="s">
        <v>0</v>
      </c>
      <c r="X195" s="43">
        <f>IFERROR(SUMPRODUCT(X190:X193*H190:H193),"0")</f>
        <v>0</v>
      </c>
      <c r="Y195" s="43">
        <f>IFERROR(SUMPRODUCT(Y190:Y193*H190:H193),"0")</f>
        <v>0</v>
      </c>
      <c r="Z195" s="42"/>
      <c r="AA195" s="67"/>
      <c r="AB195" s="67"/>
      <c r="AC195" s="67"/>
    </row>
    <row r="196" spans="1:68" ht="27.75" customHeight="1" x14ac:dyDescent="0.2">
      <c r="A196" s="318" t="s">
        <v>298</v>
      </c>
      <c r="B196" s="318"/>
      <c r="C196" s="318"/>
      <c r="D196" s="318"/>
      <c r="E196" s="318"/>
      <c r="F196" s="318"/>
      <c r="G196" s="318"/>
      <c r="H196" s="318"/>
      <c r="I196" s="318"/>
      <c r="J196" s="318"/>
      <c r="K196" s="318"/>
      <c r="L196" s="318"/>
      <c r="M196" s="318"/>
      <c r="N196" s="318"/>
      <c r="O196" s="318"/>
      <c r="P196" s="318"/>
      <c r="Q196" s="318"/>
      <c r="R196" s="318"/>
      <c r="S196" s="318"/>
      <c r="T196" s="318"/>
      <c r="U196" s="318"/>
      <c r="V196" s="318"/>
      <c r="W196" s="318"/>
      <c r="X196" s="318"/>
      <c r="Y196" s="318"/>
      <c r="Z196" s="318"/>
      <c r="AA196" s="54"/>
      <c r="AB196" s="54"/>
      <c r="AC196" s="54"/>
    </row>
    <row r="197" spans="1:68" ht="16.5" customHeight="1" x14ac:dyDescent="0.25">
      <c r="A197" s="319" t="s">
        <v>299</v>
      </c>
      <c r="B197" s="31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319"/>
      <c r="W197" s="319"/>
      <c r="X197" s="319"/>
      <c r="Y197" s="319"/>
      <c r="Z197" s="319"/>
      <c r="AA197" s="65"/>
      <c r="AB197" s="65"/>
      <c r="AC197" s="82"/>
    </row>
    <row r="198" spans="1:68" ht="14.25" customHeight="1" x14ac:dyDescent="0.25">
      <c r="A198" s="314" t="s">
        <v>112</v>
      </c>
      <c r="B198" s="314"/>
      <c r="C198" s="314"/>
      <c r="D198" s="314"/>
      <c r="E198" s="314"/>
      <c r="F198" s="314"/>
      <c r="G198" s="314"/>
      <c r="H198" s="314"/>
      <c r="I198" s="314"/>
      <c r="J198" s="314"/>
      <c r="K198" s="314"/>
      <c r="L198" s="314"/>
      <c r="M198" s="314"/>
      <c r="N198" s="314"/>
      <c r="O198" s="314"/>
      <c r="P198" s="314"/>
      <c r="Q198" s="314"/>
      <c r="R198" s="314"/>
      <c r="S198" s="314"/>
      <c r="T198" s="314"/>
      <c r="U198" s="314"/>
      <c r="V198" s="314"/>
      <c r="W198" s="314"/>
      <c r="X198" s="314"/>
      <c r="Y198" s="314"/>
      <c r="Z198" s="314"/>
      <c r="AA198" s="66"/>
      <c r="AB198" s="66"/>
      <c r="AC198" s="83"/>
    </row>
    <row r="199" spans="1:68" ht="27" customHeight="1" x14ac:dyDescent="0.25">
      <c r="A199" s="63" t="s">
        <v>300</v>
      </c>
      <c r="B199" s="63" t="s">
        <v>301</v>
      </c>
      <c r="C199" s="36">
        <v>4301132227</v>
      </c>
      <c r="D199" s="296">
        <v>4620207491133</v>
      </c>
      <c r="E199" s="296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117</v>
      </c>
      <c r="L199" s="37" t="s">
        <v>118</v>
      </c>
      <c r="M199" s="38" t="s">
        <v>85</v>
      </c>
      <c r="N199" s="38"/>
      <c r="O199" s="37">
        <v>180</v>
      </c>
      <c r="P199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8"/>
      <c r="R199" s="298"/>
      <c r="S199" s="298"/>
      <c r="T199" s="29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302</v>
      </c>
      <c r="AG199" s="81"/>
      <c r="AJ199" s="87" t="s">
        <v>119</v>
      </c>
      <c r="AK199" s="87">
        <v>14</v>
      </c>
      <c r="BB199" s="230" t="s">
        <v>116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x14ac:dyDescent="0.2">
      <c r="A200" s="293"/>
      <c r="B200" s="293"/>
      <c r="C200" s="293"/>
      <c r="D200" s="293"/>
      <c r="E200" s="293"/>
      <c r="F200" s="293"/>
      <c r="G200" s="293"/>
      <c r="H200" s="293"/>
      <c r="I200" s="293"/>
      <c r="J200" s="293"/>
      <c r="K200" s="293"/>
      <c r="L200" s="293"/>
      <c r="M200" s="293"/>
      <c r="N200" s="293"/>
      <c r="O200" s="306"/>
      <c r="P200" s="303" t="s">
        <v>40</v>
      </c>
      <c r="Q200" s="304"/>
      <c r="R200" s="304"/>
      <c r="S200" s="304"/>
      <c r="T200" s="304"/>
      <c r="U200" s="304"/>
      <c r="V200" s="305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306"/>
      <c r="P201" s="303" t="s">
        <v>40</v>
      </c>
      <c r="Q201" s="304"/>
      <c r="R201" s="304"/>
      <c r="S201" s="304"/>
      <c r="T201" s="304"/>
      <c r="U201" s="304"/>
      <c r="V201" s="305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customHeight="1" x14ac:dyDescent="0.25">
      <c r="A202" s="314" t="s">
        <v>150</v>
      </c>
      <c r="B202" s="314"/>
      <c r="C202" s="314"/>
      <c r="D202" s="314"/>
      <c r="E202" s="314"/>
      <c r="F202" s="314"/>
      <c r="G202" s="314"/>
      <c r="H202" s="314"/>
      <c r="I202" s="314"/>
      <c r="J202" s="314"/>
      <c r="K202" s="314"/>
      <c r="L202" s="314"/>
      <c r="M202" s="314"/>
      <c r="N202" s="314"/>
      <c r="O202" s="314"/>
      <c r="P202" s="314"/>
      <c r="Q202" s="314"/>
      <c r="R202" s="314"/>
      <c r="S202" s="314"/>
      <c r="T202" s="314"/>
      <c r="U202" s="314"/>
      <c r="V202" s="314"/>
      <c r="W202" s="314"/>
      <c r="X202" s="314"/>
      <c r="Y202" s="314"/>
      <c r="Z202" s="314"/>
      <c r="AA202" s="66"/>
      <c r="AB202" s="66"/>
      <c r="AC202" s="83"/>
    </row>
    <row r="203" spans="1:68" ht="27" customHeight="1" x14ac:dyDescent="0.25">
      <c r="A203" s="63" t="s">
        <v>303</v>
      </c>
      <c r="B203" s="63" t="s">
        <v>304</v>
      </c>
      <c r="C203" s="36">
        <v>4301135834</v>
      </c>
      <c r="D203" s="296">
        <v>4620207491188</v>
      </c>
      <c r="E203" s="29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117</v>
      </c>
      <c r="L203" s="37" t="s">
        <v>87</v>
      </c>
      <c r="M203" s="38" t="s">
        <v>85</v>
      </c>
      <c r="N203" s="38"/>
      <c r="O203" s="37">
        <v>180</v>
      </c>
      <c r="P203" s="3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8"/>
      <c r="R203" s="298"/>
      <c r="S203" s="298"/>
      <c r="T203" s="29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305</v>
      </c>
      <c r="AG203" s="81"/>
      <c r="AJ203" s="87" t="s">
        <v>88</v>
      </c>
      <c r="AK203" s="87">
        <v>1</v>
      </c>
      <c r="BB203" s="232" t="s">
        <v>116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customHeight="1" x14ac:dyDescent="0.25">
      <c r="A204" s="63" t="s">
        <v>306</v>
      </c>
      <c r="B204" s="63" t="s">
        <v>307</v>
      </c>
      <c r="C204" s="36">
        <v>4301135696</v>
      </c>
      <c r="D204" s="296">
        <v>4620207490235</v>
      </c>
      <c r="E204" s="29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117</v>
      </c>
      <c r="L204" s="37" t="s">
        <v>118</v>
      </c>
      <c r="M204" s="38" t="s">
        <v>85</v>
      </c>
      <c r="N204" s="38"/>
      <c r="O204" s="37">
        <v>180</v>
      </c>
      <c r="P204" s="331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8"/>
      <c r="R204" s="298"/>
      <c r="S204" s="298"/>
      <c r="T204" s="29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308</v>
      </c>
      <c r="AG204" s="81"/>
      <c r="AJ204" s="87" t="s">
        <v>119</v>
      </c>
      <c r="AK204" s="87">
        <v>14</v>
      </c>
      <c r="BB204" s="234" t="s">
        <v>116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customHeight="1" x14ac:dyDescent="0.25">
      <c r="A205" s="63" t="s">
        <v>309</v>
      </c>
      <c r="B205" s="63" t="s">
        <v>310</v>
      </c>
      <c r="C205" s="36">
        <v>4301135697</v>
      </c>
      <c r="D205" s="296">
        <v>4620207490259</v>
      </c>
      <c r="E205" s="296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118</v>
      </c>
      <c r="M205" s="38" t="s">
        <v>85</v>
      </c>
      <c r="N205" s="38"/>
      <c r="O205" s="37">
        <v>180</v>
      </c>
      <c r="P205" s="33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8"/>
      <c r="R205" s="298"/>
      <c r="S205" s="298"/>
      <c r="T205" s="29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311</v>
      </c>
      <c r="AG205" s="81"/>
      <c r="AJ205" s="87" t="s">
        <v>119</v>
      </c>
      <c r="AK205" s="87">
        <v>14</v>
      </c>
      <c r="BB205" s="236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293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306"/>
      <c r="P206" s="303" t="s">
        <v>40</v>
      </c>
      <c r="Q206" s="304"/>
      <c r="R206" s="304"/>
      <c r="S206" s="304"/>
      <c r="T206" s="304"/>
      <c r="U206" s="304"/>
      <c r="V206" s="305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306"/>
      <c r="P207" s="303" t="s">
        <v>40</v>
      </c>
      <c r="Q207" s="304"/>
      <c r="R207" s="304"/>
      <c r="S207" s="304"/>
      <c r="T207" s="304"/>
      <c r="U207" s="304"/>
      <c r="V207" s="305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customHeight="1" x14ac:dyDescent="0.25">
      <c r="A208" s="319" t="s">
        <v>312</v>
      </c>
      <c r="B208" s="319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319"/>
      <c r="W208" s="319"/>
      <c r="X208" s="319"/>
      <c r="Y208" s="319"/>
      <c r="Z208" s="319"/>
      <c r="AA208" s="65"/>
      <c r="AB208" s="65"/>
      <c r="AC208" s="82"/>
    </row>
    <row r="209" spans="1:68" ht="14.25" customHeight="1" x14ac:dyDescent="0.25">
      <c r="A209" s="314" t="s">
        <v>150</v>
      </c>
      <c r="B209" s="314"/>
      <c r="C209" s="314"/>
      <c r="D209" s="314"/>
      <c r="E209" s="314"/>
      <c r="F209" s="314"/>
      <c r="G209" s="314"/>
      <c r="H209" s="314"/>
      <c r="I209" s="314"/>
      <c r="J209" s="314"/>
      <c r="K209" s="314"/>
      <c r="L209" s="314"/>
      <c r="M209" s="314"/>
      <c r="N209" s="314"/>
      <c r="O209" s="314"/>
      <c r="P209" s="314"/>
      <c r="Q209" s="314"/>
      <c r="R209" s="314"/>
      <c r="S209" s="314"/>
      <c r="T209" s="314"/>
      <c r="U209" s="314"/>
      <c r="V209" s="314"/>
      <c r="W209" s="314"/>
      <c r="X209" s="314"/>
      <c r="Y209" s="314"/>
      <c r="Z209" s="314"/>
      <c r="AA209" s="66"/>
      <c r="AB209" s="66"/>
      <c r="AC209" s="83"/>
    </row>
    <row r="210" spans="1:68" ht="27" customHeight="1" x14ac:dyDescent="0.25">
      <c r="A210" s="63" t="s">
        <v>313</v>
      </c>
      <c r="B210" s="63" t="s">
        <v>314</v>
      </c>
      <c r="C210" s="36">
        <v>4301135854</v>
      </c>
      <c r="D210" s="296">
        <v>4620207491706</v>
      </c>
      <c r="E210" s="296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117</v>
      </c>
      <c r="L210" s="37" t="s">
        <v>87</v>
      </c>
      <c r="M210" s="38" t="s">
        <v>85</v>
      </c>
      <c r="N210" s="38"/>
      <c r="O210" s="37">
        <v>180</v>
      </c>
      <c r="P210" s="32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8"/>
      <c r="R210" s="298"/>
      <c r="S210" s="298"/>
      <c r="T210" s="29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315</v>
      </c>
      <c r="AG210" s="81"/>
      <c r="AJ210" s="87" t="s">
        <v>88</v>
      </c>
      <c r="AK210" s="87">
        <v>1</v>
      </c>
      <c r="BB210" s="238" t="s">
        <v>116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316</v>
      </c>
      <c r="B211" s="63" t="s">
        <v>317</v>
      </c>
      <c r="C211" s="36">
        <v>4301135895</v>
      </c>
      <c r="D211" s="296">
        <v>4620207491522</v>
      </c>
      <c r="E211" s="296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117</v>
      </c>
      <c r="L211" s="37" t="s">
        <v>87</v>
      </c>
      <c r="M211" s="38" t="s">
        <v>85</v>
      </c>
      <c r="N211" s="38"/>
      <c r="O211" s="37">
        <v>180</v>
      </c>
      <c r="P211" s="33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8"/>
      <c r="R211" s="298"/>
      <c r="S211" s="298"/>
      <c r="T211" s="29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318</v>
      </c>
      <c r="AG211" s="81"/>
      <c r="AJ211" s="87" t="s">
        <v>88</v>
      </c>
      <c r="AK211" s="87">
        <v>1</v>
      </c>
      <c r="BB211" s="240" t="s">
        <v>116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293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306"/>
      <c r="P212" s="303" t="s">
        <v>40</v>
      </c>
      <c r="Q212" s="304"/>
      <c r="R212" s="304"/>
      <c r="S212" s="304"/>
      <c r="T212" s="304"/>
      <c r="U212" s="304"/>
      <c r="V212" s="305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293"/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306"/>
      <c r="P213" s="303" t="s">
        <v>40</v>
      </c>
      <c r="Q213" s="304"/>
      <c r="R213" s="304"/>
      <c r="S213" s="304"/>
      <c r="T213" s="304"/>
      <c r="U213" s="304"/>
      <c r="V213" s="305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customHeight="1" x14ac:dyDescent="0.25">
      <c r="A214" s="319" t="s">
        <v>319</v>
      </c>
      <c r="B214" s="31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319"/>
      <c r="W214" s="319"/>
      <c r="X214" s="319"/>
      <c r="Y214" s="319"/>
      <c r="Z214" s="319"/>
      <c r="AA214" s="65"/>
      <c r="AB214" s="65"/>
      <c r="AC214" s="82"/>
    </row>
    <row r="215" spans="1:68" ht="14.25" customHeight="1" x14ac:dyDescent="0.25">
      <c r="A215" s="314" t="s">
        <v>81</v>
      </c>
      <c r="B215" s="314"/>
      <c r="C215" s="314"/>
      <c r="D215" s="314"/>
      <c r="E215" s="314"/>
      <c r="F215" s="314"/>
      <c r="G215" s="314"/>
      <c r="H215" s="314"/>
      <c r="I215" s="314"/>
      <c r="J215" s="314"/>
      <c r="K215" s="314"/>
      <c r="L215" s="314"/>
      <c r="M215" s="314"/>
      <c r="N215" s="314"/>
      <c r="O215" s="314"/>
      <c r="P215" s="314"/>
      <c r="Q215" s="314"/>
      <c r="R215" s="314"/>
      <c r="S215" s="314"/>
      <c r="T215" s="314"/>
      <c r="U215" s="314"/>
      <c r="V215" s="314"/>
      <c r="W215" s="314"/>
      <c r="X215" s="314"/>
      <c r="Y215" s="314"/>
      <c r="Z215" s="314"/>
      <c r="AA215" s="66"/>
      <c r="AB215" s="66"/>
      <c r="AC215" s="83"/>
    </row>
    <row r="216" spans="1:68" ht="27" customHeight="1" x14ac:dyDescent="0.25">
      <c r="A216" s="63" t="s">
        <v>320</v>
      </c>
      <c r="B216" s="63" t="s">
        <v>321</v>
      </c>
      <c r="C216" s="36">
        <v>4301071097</v>
      </c>
      <c r="D216" s="296">
        <v>4620207491096</v>
      </c>
      <c r="E216" s="296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86</v>
      </c>
      <c r="L216" s="37" t="s">
        <v>118</v>
      </c>
      <c r="M216" s="38" t="s">
        <v>85</v>
      </c>
      <c r="N216" s="38"/>
      <c r="O216" s="37">
        <v>180</v>
      </c>
      <c r="P216" s="32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8"/>
      <c r="R216" s="298"/>
      <c r="S216" s="298"/>
      <c r="T216" s="299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322</v>
      </c>
      <c r="AG216" s="81"/>
      <c r="AJ216" s="87" t="s">
        <v>119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x14ac:dyDescent="0.2">
      <c r="A217" s="293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306"/>
      <c r="P217" s="303" t="s">
        <v>40</v>
      </c>
      <c r="Q217" s="304"/>
      <c r="R217" s="304"/>
      <c r="S217" s="304"/>
      <c r="T217" s="304"/>
      <c r="U217" s="304"/>
      <c r="V217" s="305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x14ac:dyDescent="0.2">
      <c r="A218" s="293"/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306"/>
      <c r="P218" s="303" t="s">
        <v>40</v>
      </c>
      <c r="Q218" s="304"/>
      <c r="R218" s="304"/>
      <c r="S218" s="304"/>
      <c r="T218" s="304"/>
      <c r="U218" s="304"/>
      <c r="V218" s="305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customHeight="1" x14ac:dyDescent="0.25">
      <c r="A219" s="319" t="s">
        <v>323</v>
      </c>
      <c r="B219" s="319"/>
      <c r="C219" s="319"/>
      <c r="D219" s="319"/>
      <c r="E219" s="319"/>
      <c r="F219" s="319"/>
      <c r="G219" s="319"/>
      <c r="H219" s="319"/>
      <c r="I219" s="319"/>
      <c r="J219" s="319"/>
      <c r="K219" s="319"/>
      <c r="L219" s="319"/>
      <c r="M219" s="319"/>
      <c r="N219" s="319"/>
      <c r="O219" s="319"/>
      <c r="P219" s="319"/>
      <c r="Q219" s="319"/>
      <c r="R219" s="319"/>
      <c r="S219" s="319"/>
      <c r="T219" s="319"/>
      <c r="U219" s="319"/>
      <c r="V219" s="319"/>
      <c r="W219" s="319"/>
      <c r="X219" s="319"/>
      <c r="Y219" s="319"/>
      <c r="Z219" s="319"/>
      <c r="AA219" s="65"/>
      <c r="AB219" s="65"/>
      <c r="AC219" s="82"/>
    </row>
    <row r="220" spans="1:68" ht="14.25" customHeight="1" x14ac:dyDescent="0.25">
      <c r="A220" s="314" t="s">
        <v>150</v>
      </c>
      <c r="B220" s="314"/>
      <c r="C220" s="314"/>
      <c r="D220" s="314"/>
      <c r="E220" s="314"/>
      <c r="F220" s="314"/>
      <c r="G220" s="314"/>
      <c r="H220" s="314"/>
      <c r="I220" s="314"/>
      <c r="J220" s="314"/>
      <c r="K220" s="314"/>
      <c r="L220" s="314"/>
      <c r="M220" s="314"/>
      <c r="N220" s="314"/>
      <c r="O220" s="314"/>
      <c r="P220" s="314"/>
      <c r="Q220" s="314"/>
      <c r="R220" s="314"/>
      <c r="S220" s="314"/>
      <c r="T220" s="314"/>
      <c r="U220" s="314"/>
      <c r="V220" s="314"/>
      <c r="W220" s="314"/>
      <c r="X220" s="314"/>
      <c r="Y220" s="314"/>
      <c r="Z220" s="314"/>
      <c r="AA220" s="66"/>
      <c r="AB220" s="66"/>
      <c r="AC220" s="83"/>
    </row>
    <row r="221" spans="1:68" ht="27" customHeight="1" x14ac:dyDescent="0.25">
      <c r="A221" s="63" t="s">
        <v>324</v>
      </c>
      <c r="B221" s="63" t="s">
        <v>325</v>
      </c>
      <c r="C221" s="36">
        <v>4301135694</v>
      </c>
      <c r="D221" s="296">
        <v>4620207490501</v>
      </c>
      <c r="E221" s="296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117</v>
      </c>
      <c r="L221" s="37" t="s">
        <v>87</v>
      </c>
      <c r="M221" s="38" t="s">
        <v>85</v>
      </c>
      <c r="N221" s="38"/>
      <c r="O221" s="37">
        <v>180</v>
      </c>
      <c r="P221" s="32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8"/>
      <c r="R221" s="298"/>
      <c r="S221" s="298"/>
      <c r="T221" s="299"/>
      <c r="U221" s="39" t="s">
        <v>46</v>
      </c>
      <c r="V221" s="39" t="s">
        <v>46</v>
      </c>
      <c r="W221" s="40" t="s">
        <v>39</v>
      </c>
      <c r="X221" s="58">
        <v>0</v>
      </c>
      <c r="Y221" s="55">
        <f>IFERROR(IF(X221="","",X221),"")</f>
        <v>0</v>
      </c>
      <c r="Z221" s="41">
        <f>IFERROR(IF(X221="","",X221*0.01788),"")</f>
        <v>0</v>
      </c>
      <c r="AA221" s="68" t="s">
        <v>46</v>
      </c>
      <c r="AB221" s="69" t="s">
        <v>46</v>
      </c>
      <c r="AC221" s="243" t="s">
        <v>326</v>
      </c>
      <c r="AG221" s="81"/>
      <c r="AJ221" s="87" t="s">
        <v>88</v>
      </c>
      <c r="AK221" s="87">
        <v>1</v>
      </c>
      <c r="BB221" s="244" t="s">
        <v>116</v>
      </c>
      <c r="BM221" s="81">
        <f>IFERROR(X221*I221,"0")</f>
        <v>0</v>
      </c>
      <c r="BN221" s="81">
        <f>IFERROR(Y221*I221,"0")</f>
        <v>0</v>
      </c>
      <c r="BO221" s="81">
        <f>IFERROR(X221/J221,"0")</f>
        <v>0</v>
      </c>
      <c r="BP221" s="81">
        <f>IFERROR(Y221/J221,"0")</f>
        <v>0</v>
      </c>
    </row>
    <row r="222" spans="1:68" x14ac:dyDescent="0.2">
      <c r="A222" s="293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306"/>
      <c r="P222" s="303" t="s">
        <v>40</v>
      </c>
      <c r="Q222" s="304"/>
      <c r="R222" s="304"/>
      <c r="S222" s="304"/>
      <c r="T222" s="304"/>
      <c r="U222" s="304"/>
      <c r="V222" s="305"/>
      <c r="W222" s="42" t="s">
        <v>39</v>
      </c>
      <c r="X222" s="43">
        <f>IFERROR(SUM(X221:X221),"0")</f>
        <v>0</v>
      </c>
      <c r="Y222" s="43">
        <f>IFERROR(SUM(Y221:Y221),"0")</f>
        <v>0</v>
      </c>
      <c r="Z222" s="43">
        <f>IFERROR(IF(Z221="",0,Z221),"0")</f>
        <v>0</v>
      </c>
      <c r="AA222" s="67"/>
      <c r="AB222" s="67"/>
      <c r="AC222" s="67"/>
    </row>
    <row r="223" spans="1:68" x14ac:dyDescent="0.2">
      <c r="A223" s="293"/>
      <c r="B223" s="293"/>
      <c r="C223" s="293"/>
      <c r="D223" s="293"/>
      <c r="E223" s="293"/>
      <c r="F223" s="293"/>
      <c r="G223" s="293"/>
      <c r="H223" s="293"/>
      <c r="I223" s="293"/>
      <c r="J223" s="293"/>
      <c r="K223" s="293"/>
      <c r="L223" s="293"/>
      <c r="M223" s="293"/>
      <c r="N223" s="293"/>
      <c r="O223" s="306"/>
      <c r="P223" s="303" t="s">
        <v>40</v>
      </c>
      <c r="Q223" s="304"/>
      <c r="R223" s="304"/>
      <c r="S223" s="304"/>
      <c r="T223" s="304"/>
      <c r="U223" s="304"/>
      <c r="V223" s="305"/>
      <c r="W223" s="42" t="s">
        <v>0</v>
      </c>
      <c r="X223" s="43">
        <f>IFERROR(SUMPRODUCT(X221:X221*H221:H221),"0")</f>
        <v>0</v>
      </c>
      <c r="Y223" s="43">
        <f>IFERROR(SUMPRODUCT(Y221:Y221*H221:H221),"0")</f>
        <v>0</v>
      </c>
      <c r="Z223" s="42"/>
      <c r="AA223" s="67"/>
      <c r="AB223" s="67"/>
      <c r="AC223" s="67"/>
    </row>
    <row r="224" spans="1:68" ht="27.75" customHeight="1" x14ac:dyDescent="0.2">
      <c r="A224" s="318" t="s">
        <v>327</v>
      </c>
      <c r="B224" s="318"/>
      <c r="C224" s="318"/>
      <c r="D224" s="318"/>
      <c r="E224" s="318"/>
      <c r="F224" s="318"/>
      <c r="G224" s="318"/>
      <c r="H224" s="318"/>
      <c r="I224" s="318"/>
      <c r="J224" s="318"/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  <c r="AA224" s="54"/>
      <c r="AB224" s="54"/>
      <c r="AC224" s="54"/>
    </row>
    <row r="225" spans="1:68" ht="16.5" customHeight="1" x14ac:dyDescent="0.25">
      <c r="A225" s="319" t="s">
        <v>328</v>
      </c>
      <c r="B225" s="319"/>
      <c r="C225" s="319"/>
      <c r="D225" s="319"/>
      <c r="E225" s="319"/>
      <c r="F225" s="319"/>
      <c r="G225" s="319"/>
      <c r="H225" s="319"/>
      <c r="I225" s="319"/>
      <c r="J225" s="319"/>
      <c r="K225" s="319"/>
      <c r="L225" s="319"/>
      <c r="M225" s="319"/>
      <c r="N225" s="319"/>
      <c r="O225" s="319"/>
      <c r="P225" s="319"/>
      <c r="Q225" s="319"/>
      <c r="R225" s="319"/>
      <c r="S225" s="319"/>
      <c r="T225" s="319"/>
      <c r="U225" s="319"/>
      <c r="V225" s="319"/>
      <c r="W225" s="319"/>
      <c r="X225" s="319"/>
      <c r="Y225" s="319"/>
      <c r="Z225" s="319"/>
      <c r="AA225" s="65"/>
      <c r="AB225" s="65"/>
      <c r="AC225" s="82"/>
    </row>
    <row r="226" spans="1:68" ht="14.25" customHeight="1" x14ac:dyDescent="0.25">
      <c r="A226" s="314" t="s">
        <v>81</v>
      </c>
      <c r="B226" s="314"/>
      <c r="C226" s="314"/>
      <c r="D226" s="314"/>
      <c r="E226" s="314"/>
      <c r="F226" s="314"/>
      <c r="G226" s="314"/>
      <c r="H226" s="314"/>
      <c r="I226" s="314"/>
      <c r="J226" s="314"/>
      <c r="K226" s="314"/>
      <c r="L226" s="314"/>
      <c r="M226" s="314"/>
      <c r="N226" s="314"/>
      <c r="O226" s="314"/>
      <c r="P226" s="314"/>
      <c r="Q226" s="314"/>
      <c r="R226" s="314"/>
      <c r="S226" s="314"/>
      <c r="T226" s="314"/>
      <c r="U226" s="314"/>
      <c r="V226" s="314"/>
      <c r="W226" s="314"/>
      <c r="X226" s="314"/>
      <c r="Y226" s="314"/>
      <c r="Z226" s="314"/>
      <c r="AA226" s="66"/>
      <c r="AB226" s="66"/>
      <c r="AC226" s="83"/>
    </row>
    <row r="227" spans="1:68" ht="27" customHeight="1" x14ac:dyDescent="0.25">
      <c r="A227" s="63" t="s">
        <v>329</v>
      </c>
      <c r="B227" s="63" t="s">
        <v>330</v>
      </c>
      <c r="C227" s="36">
        <v>4301071036</v>
      </c>
      <c r="D227" s="296">
        <v>4607111036162</v>
      </c>
      <c r="E227" s="296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86</v>
      </c>
      <c r="L227" s="37" t="s">
        <v>87</v>
      </c>
      <c r="M227" s="38" t="s">
        <v>85</v>
      </c>
      <c r="N227" s="38"/>
      <c r="O227" s="37">
        <v>90</v>
      </c>
      <c r="P227" s="32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8"/>
      <c r="R227" s="298"/>
      <c r="S227" s="298"/>
      <c r="T227" s="299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331</v>
      </c>
      <c r="AG227" s="81"/>
      <c r="AJ227" s="87" t="s">
        <v>88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x14ac:dyDescent="0.2">
      <c r="A228" s="293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306"/>
      <c r="P228" s="303" t="s">
        <v>40</v>
      </c>
      <c r="Q228" s="304"/>
      <c r="R228" s="304"/>
      <c r="S228" s="304"/>
      <c r="T228" s="304"/>
      <c r="U228" s="304"/>
      <c r="V228" s="305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x14ac:dyDescent="0.2">
      <c r="A229" s="293"/>
      <c r="B229" s="293"/>
      <c r="C229" s="293"/>
      <c r="D229" s="293"/>
      <c r="E229" s="293"/>
      <c r="F229" s="293"/>
      <c r="G229" s="293"/>
      <c r="H229" s="293"/>
      <c r="I229" s="293"/>
      <c r="J229" s="293"/>
      <c r="K229" s="293"/>
      <c r="L229" s="293"/>
      <c r="M229" s="293"/>
      <c r="N229" s="293"/>
      <c r="O229" s="306"/>
      <c r="P229" s="303" t="s">
        <v>40</v>
      </c>
      <c r="Q229" s="304"/>
      <c r="R229" s="304"/>
      <c r="S229" s="304"/>
      <c r="T229" s="304"/>
      <c r="U229" s="304"/>
      <c r="V229" s="305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customHeight="1" x14ac:dyDescent="0.2">
      <c r="A230" s="318" t="s">
        <v>332</v>
      </c>
      <c r="B230" s="318"/>
      <c r="C230" s="318"/>
      <c r="D230" s="318"/>
      <c r="E230" s="318"/>
      <c r="F230" s="318"/>
      <c r="G230" s="318"/>
      <c r="H230" s="318"/>
      <c r="I230" s="318"/>
      <c r="J230" s="318"/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  <c r="AA230" s="54"/>
      <c r="AB230" s="54"/>
      <c r="AC230" s="54"/>
    </row>
    <row r="231" spans="1:68" ht="16.5" customHeight="1" x14ac:dyDescent="0.25">
      <c r="A231" s="319" t="s">
        <v>333</v>
      </c>
      <c r="B231" s="319"/>
      <c r="C231" s="319"/>
      <c r="D231" s="319"/>
      <c r="E231" s="319"/>
      <c r="F231" s="319"/>
      <c r="G231" s="319"/>
      <c r="H231" s="319"/>
      <c r="I231" s="319"/>
      <c r="J231" s="319"/>
      <c r="K231" s="319"/>
      <c r="L231" s="319"/>
      <c r="M231" s="319"/>
      <c r="N231" s="319"/>
      <c r="O231" s="319"/>
      <c r="P231" s="319"/>
      <c r="Q231" s="319"/>
      <c r="R231" s="319"/>
      <c r="S231" s="319"/>
      <c r="T231" s="319"/>
      <c r="U231" s="319"/>
      <c r="V231" s="319"/>
      <c r="W231" s="319"/>
      <c r="X231" s="319"/>
      <c r="Y231" s="319"/>
      <c r="Z231" s="319"/>
      <c r="AA231" s="65"/>
      <c r="AB231" s="65"/>
      <c r="AC231" s="82"/>
    </row>
    <row r="232" spans="1:68" ht="14.25" customHeight="1" x14ac:dyDescent="0.25">
      <c r="A232" s="314" t="s">
        <v>334</v>
      </c>
      <c r="B232" s="314"/>
      <c r="C232" s="314"/>
      <c r="D232" s="314"/>
      <c r="E232" s="314"/>
      <c r="F232" s="314"/>
      <c r="G232" s="314"/>
      <c r="H232" s="314"/>
      <c r="I232" s="314"/>
      <c r="J232" s="314"/>
      <c r="K232" s="314"/>
      <c r="L232" s="314"/>
      <c r="M232" s="314"/>
      <c r="N232" s="314"/>
      <c r="O232" s="314"/>
      <c r="P232" s="314"/>
      <c r="Q232" s="314"/>
      <c r="R232" s="314"/>
      <c r="S232" s="314"/>
      <c r="T232" s="314"/>
      <c r="U232" s="314"/>
      <c r="V232" s="314"/>
      <c r="W232" s="314"/>
      <c r="X232" s="314"/>
      <c r="Y232" s="314"/>
      <c r="Z232" s="314"/>
      <c r="AA232" s="66"/>
      <c r="AB232" s="66"/>
      <c r="AC232" s="83"/>
    </row>
    <row r="233" spans="1:68" ht="27" customHeight="1" x14ac:dyDescent="0.25">
      <c r="A233" s="63" t="s">
        <v>335</v>
      </c>
      <c r="B233" s="63" t="s">
        <v>336</v>
      </c>
      <c r="C233" s="36">
        <v>4301133004</v>
      </c>
      <c r="D233" s="296">
        <v>4607111039774</v>
      </c>
      <c r="E233" s="296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117</v>
      </c>
      <c r="L233" s="37" t="s">
        <v>87</v>
      </c>
      <c r="M233" s="38" t="s">
        <v>85</v>
      </c>
      <c r="N233" s="38"/>
      <c r="O233" s="37">
        <v>180</v>
      </c>
      <c r="P233" s="32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8"/>
      <c r="R233" s="298"/>
      <c r="S233" s="298"/>
      <c r="T233" s="299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337</v>
      </c>
      <c r="AG233" s="81"/>
      <c r="AJ233" s="87" t="s">
        <v>88</v>
      </c>
      <c r="AK233" s="87">
        <v>1</v>
      </c>
      <c r="BB233" s="248" t="s">
        <v>116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x14ac:dyDescent="0.2">
      <c r="A234" s="293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306"/>
      <c r="P234" s="303" t="s">
        <v>40</v>
      </c>
      <c r="Q234" s="304"/>
      <c r="R234" s="304"/>
      <c r="S234" s="304"/>
      <c r="T234" s="304"/>
      <c r="U234" s="304"/>
      <c r="V234" s="305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x14ac:dyDescent="0.2">
      <c r="A235" s="293"/>
      <c r="B235" s="293"/>
      <c r="C235" s="293"/>
      <c r="D235" s="293"/>
      <c r="E235" s="293"/>
      <c r="F235" s="293"/>
      <c r="G235" s="293"/>
      <c r="H235" s="293"/>
      <c r="I235" s="293"/>
      <c r="J235" s="293"/>
      <c r="K235" s="293"/>
      <c r="L235" s="293"/>
      <c r="M235" s="293"/>
      <c r="N235" s="293"/>
      <c r="O235" s="306"/>
      <c r="P235" s="303" t="s">
        <v>40</v>
      </c>
      <c r="Q235" s="304"/>
      <c r="R235" s="304"/>
      <c r="S235" s="304"/>
      <c r="T235" s="304"/>
      <c r="U235" s="304"/>
      <c r="V235" s="305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customHeight="1" x14ac:dyDescent="0.25">
      <c r="A236" s="314" t="s">
        <v>150</v>
      </c>
      <c r="B236" s="314"/>
      <c r="C236" s="314"/>
      <c r="D236" s="314"/>
      <c r="E236" s="314"/>
      <c r="F236" s="314"/>
      <c r="G236" s="314"/>
      <c r="H236" s="314"/>
      <c r="I236" s="314"/>
      <c r="J236" s="314"/>
      <c r="K236" s="314"/>
      <c r="L236" s="314"/>
      <c r="M236" s="314"/>
      <c r="N236" s="314"/>
      <c r="O236" s="314"/>
      <c r="P236" s="314"/>
      <c r="Q236" s="314"/>
      <c r="R236" s="314"/>
      <c r="S236" s="314"/>
      <c r="T236" s="314"/>
      <c r="U236" s="314"/>
      <c r="V236" s="314"/>
      <c r="W236" s="314"/>
      <c r="X236" s="314"/>
      <c r="Y236" s="314"/>
      <c r="Z236" s="314"/>
      <c r="AA236" s="66"/>
      <c r="AB236" s="66"/>
      <c r="AC236" s="83"/>
    </row>
    <row r="237" spans="1:68" ht="37.5" customHeight="1" x14ac:dyDescent="0.25">
      <c r="A237" s="63" t="s">
        <v>338</v>
      </c>
      <c r="B237" s="63" t="s">
        <v>339</v>
      </c>
      <c r="C237" s="36">
        <v>4301135400</v>
      </c>
      <c r="D237" s="296">
        <v>4607111039361</v>
      </c>
      <c r="E237" s="296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117</v>
      </c>
      <c r="L237" s="37" t="s">
        <v>87</v>
      </c>
      <c r="M237" s="38" t="s">
        <v>85</v>
      </c>
      <c r="N237" s="38"/>
      <c r="O237" s="37">
        <v>180</v>
      </c>
      <c r="P237" s="32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8"/>
      <c r="R237" s="298"/>
      <c r="S237" s="298"/>
      <c r="T237" s="299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337</v>
      </c>
      <c r="AG237" s="81"/>
      <c r="AJ237" s="87" t="s">
        <v>88</v>
      </c>
      <c r="AK237" s="87">
        <v>1</v>
      </c>
      <c r="BB237" s="250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293"/>
      <c r="B238" s="293"/>
      <c r="C238" s="293"/>
      <c r="D238" s="293"/>
      <c r="E238" s="293"/>
      <c r="F238" s="293"/>
      <c r="G238" s="293"/>
      <c r="H238" s="293"/>
      <c r="I238" s="293"/>
      <c r="J238" s="293"/>
      <c r="K238" s="293"/>
      <c r="L238" s="293"/>
      <c r="M238" s="293"/>
      <c r="N238" s="293"/>
      <c r="O238" s="306"/>
      <c r="P238" s="303" t="s">
        <v>40</v>
      </c>
      <c r="Q238" s="304"/>
      <c r="R238" s="304"/>
      <c r="S238" s="304"/>
      <c r="T238" s="304"/>
      <c r="U238" s="304"/>
      <c r="V238" s="305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306"/>
      <c r="P239" s="303" t="s">
        <v>40</v>
      </c>
      <c r="Q239" s="304"/>
      <c r="R239" s="304"/>
      <c r="S239" s="304"/>
      <c r="T239" s="304"/>
      <c r="U239" s="304"/>
      <c r="V239" s="305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customHeight="1" x14ac:dyDescent="0.2">
      <c r="A240" s="318" t="s">
        <v>340</v>
      </c>
      <c r="B240" s="318"/>
      <c r="C240" s="318"/>
      <c r="D240" s="318"/>
      <c r="E240" s="318"/>
      <c r="F240" s="318"/>
      <c r="G240" s="318"/>
      <c r="H240" s="318"/>
      <c r="I240" s="318"/>
      <c r="J240" s="318"/>
      <c r="K240" s="318"/>
      <c r="L240" s="318"/>
      <c r="M240" s="318"/>
      <c r="N240" s="318"/>
      <c r="O240" s="318"/>
      <c r="P240" s="318"/>
      <c r="Q240" s="318"/>
      <c r="R240" s="318"/>
      <c r="S240" s="318"/>
      <c r="T240" s="318"/>
      <c r="U240" s="318"/>
      <c r="V240" s="318"/>
      <c r="W240" s="318"/>
      <c r="X240" s="318"/>
      <c r="Y240" s="318"/>
      <c r="Z240" s="318"/>
      <c r="AA240" s="54"/>
      <c r="AB240" s="54"/>
      <c r="AC240" s="54"/>
    </row>
    <row r="241" spans="1:68" ht="16.5" customHeight="1" x14ac:dyDescent="0.25">
      <c r="A241" s="319" t="s">
        <v>340</v>
      </c>
      <c r="B241" s="319"/>
      <c r="C241" s="319"/>
      <c r="D241" s="319"/>
      <c r="E241" s="319"/>
      <c r="F241" s="319"/>
      <c r="G241" s="319"/>
      <c r="H241" s="319"/>
      <c r="I241" s="319"/>
      <c r="J241" s="319"/>
      <c r="K241" s="319"/>
      <c r="L241" s="319"/>
      <c r="M241" s="319"/>
      <c r="N241" s="319"/>
      <c r="O241" s="319"/>
      <c r="P241" s="319"/>
      <c r="Q241" s="319"/>
      <c r="R241" s="319"/>
      <c r="S241" s="319"/>
      <c r="T241" s="319"/>
      <c r="U241" s="319"/>
      <c r="V241" s="319"/>
      <c r="W241" s="319"/>
      <c r="X241" s="319"/>
      <c r="Y241" s="319"/>
      <c r="Z241" s="319"/>
      <c r="AA241" s="65"/>
      <c r="AB241" s="65"/>
      <c r="AC241" s="82"/>
    </row>
    <row r="242" spans="1:68" ht="14.25" customHeight="1" x14ac:dyDescent="0.25">
      <c r="A242" s="314" t="s">
        <v>112</v>
      </c>
      <c r="B242" s="314"/>
      <c r="C242" s="314"/>
      <c r="D242" s="314"/>
      <c r="E242" s="314"/>
      <c r="F242" s="314"/>
      <c r="G242" s="314"/>
      <c r="H242" s="314"/>
      <c r="I242" s="314"/>
      <c r="J242" s="314"/>
      <c r="K242" s="314"/>
      <c r="L242" s="314"/>
      <c r="M242" s="314"/>
      <c r="N242" s="314"/>
      <c r="O242" s="314"/>
      <c r="P242" s="314"/>
      <c r="Q242" s="314"/>
      <c r="R242" s="314"/>
      <c r="S242" s="314"/>
      <c r="T242" s="314"/>
      <c r="U242" s="314"/>
      <c r="V242" s="314"/>
      <c r="W242" s="314"/>
      <c r="X242" s="314"/>
      <c r="Y242" s="314"/>
      <c r="Z242" s="314"/>
      <c r="AA242" s="66"/>
      <c r="AB242" s="66"/>
      <c r="AC242" s="83"/>
    </row>
    <row r="243" spans="1:68" ht="27" customHeight="1" x14ac:dyDescent="0.25">
      <c r="A243" s="63" t="s">
        <v>341</v>
      </c>
      <c r="B243" s="63" t="s">
        <v>342</v>
      </c>
      <c r="C243" s="36">
        <v>4301132228</v>
      </c>
      <c r="D243" s="296">
        <v>4640242181950</v>
      </c>
      <c r="E243" s="296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117</v>
      </c>
      <c r="L243" s="37" t="s">
        <v>87</v>
      </c>
      <c r="M243" s="38" t="s">
        <v>85</v>
      </c>
      <c r="N243" s="38"/>
      <c r="O243" s="37">
        <v>365</v>
      </c>
      <c r="P243" s="324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8"/>
      <c r="R243" s="298"/>
      <c r="S243" s="298"/>
      <c r="T243" s="299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343</v>
      </c>
      <c r="AG243" s="81"/>
      <c r="AJ243" s="87" t="s">
        <v>88</v>
      </c>
      <c r="AK243" s="87">
        <v>1</v>
      </c>
      <c r="BB243" s="252" t="s">
        <v>116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x14ac:dyDescent="0.2">
      <c r="A244" s="293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306"/>
      <c r="P244" s="303" t="s">
        <v>40</v>
      </c>
      <c r="Q244" s="304"/>
      <c r="R244" s="304"/>
      <c r="S244" s="304"/>
      <c r="T244" s="304"/>
      <c r="U244" s="304"/>
      <c r="V244" s="305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x14ac:dyDescent="0.2">
      <c r="A245" s="293"/>
      <c r="B245" s="293"/>
      <c r="C245" s="293"/>
      <c r="D245" s="293"/>
      <c r="E245" s="293"/>
      <c r="F245" s="293"/>
      <c r="G245" s="293"/>
      <c r="H245" s="293"/>
      <c r="I245" s="293"/>
      <c r="J245" s="293"/>
      <c r="K245" s="293"/>
      <c r="L245" s="293"/>
      <c r="M245" s="293"/>
      <c r="N245" s="293"/>
      <c r="O245" s="306"/>
      <c r="P245" s="303" t="s">
        <v>40</v>
      </c>
      <c r="Q245" s="304"/>
      <c r="R245" s="304"/>
      <c r="S245" s="304"/>
      <c r="T245" s="304"/>
      <c r="U245" s="304"/>
      <c r="V245" s="305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14.25" customHeight="1" x14ac:dyDescent="0.25">
      <c r="A246" s="314" t="s">
        <v>144</v>
      </c>
      <c r="B246" s="314"/>
      <c r="C246" s="314"/>
      <c r="D246" s="314"/>
      <c r="E246" s="314"/>
      <c r="F246" s="314"/>
      <c r="G246" s="314"/>
      <c r="H246" s="314"/>
      <c r="I246" s="314"/>
      <c r="J246" s="314"/>
      <c r="K246" s="314"/>
      <c r="L246" s="314"/>
      <c r="M246" s="314"/>
      <c r="N246" s="314"/>
      <c r="O246" s="314"/>
      <c r="P246" s="314"/>
      <c r="Q246" s="314"/>
      <c r="R246" s="314"/>
      <c r="S246" s="314"/>
      <c r="T246" s="314"/>
      <c r="U246" s="314"/>
      <c r="V246" s="314"/>
      <c r="W246" s="314"/>
      <c r="X246" s="314"/>
      <c r="Y246" s="314"/>
      <c r="Z246" s="314"/>
      <c r="AA246" s="66"/>
      <c r="AB246" s="66"/>
      <c r="AC246" s="83"/>
    </row>
    <row r="247" spans="1:68" ht="27" customHeight="1" x14ac:dyDescent="0.25">
      <c r="A247" s="63" t="s">
        <v>344</v>
      </c>
      <c r="B247" s="63" t="s">
        <v>345</v>
      </c>
      <c r="C247" s="36">
        <v>4301136098</v>
      </c>
      <c r="D247" s="296">
        <v>4640242181943</v>
      </c>
      <c r="E247" s="296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117</v>
      </c>
      <c r="L247" s="37" t="s">
        <v>87</v>
      </c>
      <c r="M247" s="38" t="s">
        <v>85</v>
      </c>
      <c r="N247" s="38"/>
      <c r="O247" s="37">
        <v>180</v>
      </c>
      <c r="P247" s="322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8"/>
      <c r="R247" s="298"/>
      <c r="S247" s="298"/>
      <c r="T247" s="299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346</v>
      </c>
      <c r="AG247" s="81"/>
      <c r="AJ247" s="87" t="s">
        <v>88</v>
      </c>
      <c r="AK247" s="87">
        <v>1</v>
      </c>
      <c r="BB247" s="254" t="s">
        <v>116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293"/>
      <c r="B248" s="293"/>
      <c r="C248" s="293"/>
      <c r="D248" s="293"/>
      <c r="E248" s="293"/>
      <c r="F248" s="293"/>
      <c r="G248" s="293"/>
      <c r="H248" s="293"/>
      <c r="I248" s="293"/>
      <c r="J248" s="293"/>
      <c r="K248" s="293"/>
      <c r="L248" s="293"/>
      <c r="M248" s="293"/>
      <c r="N248" s="293"/>
      <c r="O248" s="306"/>
      <c r="P248" s="303" t="s">
        <v>40</v>
      </c>
      <c r="Q248" s="304"/>
      <c r="R248" s="304"/>
      <c r="S248" s="304"/>
      <c r="T248" s="304"/>
      <c r="U248" s="304"/>
      <c r="V248" s="305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293"/>
      <c r="B249" s="293"/>
      <c r="C249" s="293"/>
      <c r="D249" s="293"/>
      <c r="E249" s="293"/>
      <c r="F249" s="293"/>
      <c r="G249" s="293"/>
      <c r="H249" s="293"/>
      <c r="I249" s="293"/>
      <c r="J249" s="293"/>
      <c r="K249" s="293"/>
      <c r="L249" s="293"/>
      <c r="M249" s="293"/>
      <c r="N249" s="293"/>
      <c r="O249" s="306"/>
      <c r="P249" s="303" t="s">
        <v>40</v>
      </c>
      <c r="Q249" s="304"/>
      <c r="R249" s="304"/>
      <c r="S249" s="304"/>
      <c r="T249" s="304"/>
      <c r="U249" s="304"/>
      <c r="V249" s="305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18" t="s">
        <v>347</v>
      </c>
      <c r="B250" s="318"/>
      <c r="C250" s="318"/>
      <c r="D250" s="318"/>
      <c r="E250" s="318"/>
      <c r="F250" s="318"/>
      <c r="G250" s="318"/>
      <c r="H250" s="318"/>
      <c r="I250" s="318"/>
      <c r="J250" s="318"/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  <c r="AA250" s="54"/>
      <c r="AB250" s="54"/>
      <c r="AC250" s="54"/>
    </row>
    <row r="251" spans="1:68" ht="16.5" customHeight="1" x14ac:dyDescent="0.25">
      <c r="A251" s="319" t="s">
        <v>347</v>
      </c>
      <c r="B251" s="319"/>
      <c r="C251" s="319"/>
      <c r="D251" s="319"/>
      <c r="E251" s="319"/>
      <c r="F251" s="319"/>
      <c r="G251" s="319"/>
      <c r="H251" s="319"/>
      <c r="I251" s="319"/>
      <c r="J251" s="319"/>
      <c r="K251" s="319"/>
      <c r="L251" s="319"/>
      <c r="M251" s="319"/>
      <c r="N251" s="319"/>
      <c r="O251" s="319"/>
      <c r="P251" s="319"/>
      <c r="Q251" s="319"/>
      <c r="R251" s="319"/>
      <c r="S251" s="319"/>
      <c r="T251" s="319"/>
      <c r="U251" s="319"/>
      <c r="V251" s="319"/>
      <c r="W251" s="319"/>
      <c r="X251" s="319"/>
      <c r="Y251" s="319"/>
      <c r="Z251" s="319"/>
      <c r="AA251" s="65"/>
      <c r="AB251" s="65"/>
      <c r="AC251" s="82"/>
    </row>
    <row r="252" spans="1:68" ht="14.25" customHeight="1" x14ac:dyDescent="0.25">
      <c r="A252" s="314" t="s">
        <v>81</v>
      </c>
      <c r="B252" s="314"/>
      <c r="C252" s="314"/>
      <c r="D252" s="314"/>
      <c r="E252" s="314"/>
      <c r="F252" s="314"/>
      <c r="G252" s="314"/>
      <c r="H252" s="314"/>
      <c r="I252" s="314"/>
      <c r="J252" s="314"/>
      <c r="K252" s="314"/>
      <c r="L252" s="314"/>
      <c r="M252" s="314"/>
      <c r="N252" s="314"/>
      <c r="O252" s="314"/>
      <c r="P252" s="314"/>
      <c r="Q252" s="314"/>
      <c r="R252" s="314"/>
      <c r="S252" s="314"/>
      <c r="T252" s="314"/>
      <c r="U252" s="314"/>
      <c r="V252" s="314"/>
      <c r="W252" s="314"/>
      <c r="X252" s="314"/>
      <c r="Y252" s="314"/>
      <c r="Z252" s="314"/>
      <c r="AA252" s="66"/>
      <c r="AB252" s="66"/>
      <c r="AC252" s="83"/>
    </row>
    <row r="253" spans="1:68" ht="27" customHeight="1" x14ac:dyDescent="0.25">
      <c r="A253" s="63" t="s">
        <v>348</v>
      </c>
      <c r="B253" s="63" t="s">
        <v>349</v>
      </c>
      <c r="C253" s="36">
        <v>4301071014</v>
      </c>
      <c r="D253" s="296">
        <v>4640242181264</v>
      </c>
      <c r="E253" s="296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86</v>
      </c>
      <c r="L253" s="37" t="s">
        <v>87</v>
      </c>
      <c r="M253" s="38" t="s">
        <v>85</v>
      </c>
      <c r="N253" s="38"/>
      <c r="O253" s="37">
        <v>180</v>
      </c>
      <c r="P253" s="320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8"/>
      <c r="R253" s="298"/>
      <c r="S253" s="298"/>
      <c r="T253" s="299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350</v>
      </c>
      <c r="AG253" s="81"/>
      <c r="AJ253" s="87" t="s">
        <v>88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351</v>
      </c>
      <c r="B254" s="63" t="s">
        <v>352</v>
      </c>
      <c r="C254" s="36">
        <v>4301071021</v>
      </c>
      <c r="D254" s="296">
        <v>4640242181325</v>
      </c>
      <c r="E254" s="296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86</v>
      </c>
      <c r="L254" s="37" t="s">
        <v>87</v>
      </c>
      <c r="M254" s="38" t="s">
        <v>85</v>
      </c>
      <c r="N254" s="38"/>
      <c r="O254" s="37">
        <v>180</v>
      </c>
      <c r="P254" s="32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8"/>
      <c r="R254" s="298"/>
      <c r="S254" s="298"/>
      <c r="T254" s="299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350</v>
      </c>
      <c r="AG254" s="81"/>
      <c r="AJ254" s="87" t="s">
        <v>88</v>
      </c>
      <c r="AK254" s="87">
        <v>1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293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306"/>
      <c r="P255" s="303" t="s">
        <v>40</v>
      </c>
      <c r="Q255" s="304"/>
      <c r="R255" s="304"/>
      <c r="S255" s="304"/>
      <c r="T255" s="304"/>
      <c r="U255" s="304"/>
      <c r="V255" s="305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306"/>
      <c r="P256" s="303" t="s">
        <v>40</v>
      </c>
      <c r="Q256" s="304"/>
      <c r="R256" s="304"/>
      <c r="S256" s="304"/>
      <c r="T256" s="304"/>
      <c r="U256" s="304"/>
      <c r="V256" s="305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customHeight="1" x14ac:dyDescent="0.25">
      <c r="A257" s="314" t="s">
        <v>112</v>
      </c>
      <c r="B257" s="314"/>
      <c r="C257" s="314"/>
      <c r="D257" s="314"/>
      <c r="E257" s="314"/>
      <c r="F257" s="314"/>
      <c r="G257" s="314"/>
      <c r="H257" s="314"/>
      <c r="I257" s="314"/>
      <c r="J257" s="314"/>
      <c r="K257" s="314"/>
      <c r="L257" s="314"/>
      <c r="M257" s="314"/>
      <c r="N257" s="314"/>
      <c r="O257" s="314"/>
      <c r="P257" s="314"/>
      <c r="Q257" s="314"/>
      <c r="R257" s="314"/>
      <c r="S257" s="314"/>
      <c r="T257" s="314"/>
      <c r="U257" s="314"/>
      <c r="V257" s="314"/>
      <c r="W257" s="314"/>
      <c r="X257" s="314"/>
      <c r="Y257" s="314"/>
      <c r="Z257" s="314"/>
      <c r="AA257" s="66"/>
      <c r="AB257" s="66"/>
      <c r="AC257" s="83"/>
    </row>
    <row r="258" spans="1:68" ht="27" customHeight="1" x14ac:dyDescent="0.25">
      <c r="A258" s="63" t="s">
        <v>353</v>
      </c>
      <c r="B258" s="63" t="s">
        <v>354</v>
      </c>
      <c r="C258" s="36">
        <v>4301132080</v>
      </c>
      <c r="D258" s="296">
        <v>4640242180397</v>
      </c>
      <c r="E258" s="296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86</v>
      </c>
      <c r="L258" s="37" t="s">
        <v>118</v>
      </c>
      <c r="M258" s="38" t="s">
        <v>85</v>
      </c>
      <c r="N258" s="38"/>
      <c r="O258" s="37">
        <v>180</v>
      </c>
      <c r="P258" s="31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8"/>
      <c r="R258" s="298"/>
      <c r="S258" s="298"/>
      <c r="T258" s="299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355</v>
      </c>
      <c r="AG258" s="81"/>
      <c r="AJ258" s="87" t="s">
        <v>119</v>
      </c>
      <c r="AK258" s="87">
        <v>12</v>
      </c>
      <c r="BB258" s="260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293"/>
      <c r="B259" s="293"/>
      <c r="C259" s="293"/>
      <c r="D259" s="293"/>
      <c r="E259" s="293"/>
      <c r="F259" s="293"/>
      <c r="G259" s="293"/>
      <c r="H259" s="293"/>
      <c r="I259" s="293"/>
      <c r="J259" s="293"/>
      <c r="K259" s="293"/>
      <c r="L259" s="293"/>
      <c r="M259" s="293"/>
      <c r="N259" s="293"/>
      <c r="O259" s="306"/>
      <c r="P259" s="303" t="s">
        <v>40</v>
      </c>
      <c r="Q259" s="304"/>
      <c r="R259" s="304"/>
      <c r="S259" s="304"/>
      <c r="T259" s="304"/>
      <c r="U259" s="304"/>
      <c r="V259" s="305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x14ac:dyDescent="0.2">
      <c r="A260" s="293"/>
      <c r="B260" s="293"/>
      <c r="C260" s="293"/>
      <c r="D260" s="293"/>
      <c r="E260" s="293"/>
      <c r="F260" s="293"/>
      <c r="G260" s="293"/>
      <c r="H260" s="293"/>
      <c r="I260" s="293"/>
      <c r="J260" s="293"/>
      <c r="K260" s="293"/>
      <c r="L260" s="293"/>
      <c r="M260" s="293"/>
      <c r="N260" s="293"/>
      <c r="O260" s="306"/>
      <c r="P260" s="303" t="s">
        <v>40</v>
      </c>
      <c r="Q260" s="304"/>
      <c r="R260" s="304"/>
      <c r="S260" s="304"/>
      <c r="T260" s="304"/>
      <c r="U260" s="304"/>
      <c r="V260" s="305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customHeight="1" x14ac:dyDescent="0.25">
      <c r="A261" s="314" t="s">
        <v>144</v>
      </c>
      <c r="B261" s="314"/>
      <c r="C261" s="314"/>
      <c r="D261" s="314"/>
      <c r="E261" s="314"/>
      <c r="F261" s="314"/>
      <c r="G261" s="314"/>
      <c r="H261" s="314"/>
      <c r="I261" s="314"/>
      <c r="J261" s="314"/>
      <c r="K261" s="314"/>
      <c r="L261" s="314"/>
      <c r="M261" s="314"/>
      <c r="N261" s="314"/>
      <c r="O261" s="314"/>
      <c r="P261" s="314"/>
      <c r="Q261" s="314"/>
      <c r="R261" s="314"/>
      <c r="S261" s="314"/>
      <c r="T261" s="314"/>
      <c r="U261" s="314"/>
      <c r="V261" s="314"/>
      <c r="W261" s="314"/>
      <c r="X261" s="314"/>
      <c r="Y261" s="314"/>
      <c r="Z261" s="314"/>
      <c r="AA261" s="66"/>
      <c r="AB261" s="66"/>
      <c r="AC261" s="83"/>
    </row>
    <row r="262" spans="1:68" ht="27" customHeight="1" x14ac:dyDescent="0.25">
      <c r="A262" s="63" t="s">
        <v>356</v>
      </c>
      <c r="B262" s="63" t="s">
        <v>357</v>
      </c>
      <c r="C262" s="36">
        <v>4301136051</v>
      </c>
      <c r="D262" s="296">
        <v>4640242180304</v>
      </c>
      <c r="E262" s="296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117</v>
      </c>
      <c r="L262" s="37" t="s">
        <v>118</v>
      </c>
      <c r="M262" s="38" t="s">
        <v>85</v>
      </c>
      <c r="N262" s="38"/>
      <c r="O262" s="37">
        <v>180</v>
      </c>
      <c r="P262" s="31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8"/>
      <c r="R262" s="298"/>
      <c r="S262" s="298"/>
      <c r="T262" s="299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358</v>
      </c>
      <c r="AG262" s="81"/>
      <c r="AJ262" s="87" t="s">
        <v>119</v>
      </c>
      <c r="AK262" s="87">
        <v>14</v>
      </c>
      <c r="BB262" s="262" t="s">
        <v>116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359</v>
      </c>
      <c r="B263" s="63" t="s">
        <v>360</v>
      </c>
      <c r="C263" s="36">
        <v>4301136053</v>
      </c>
      <c r="D263" s="296">
        <v>4640242180236</v>
      </c>
      <c r="E263" s="296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86</v>
      </c>
      <c r="L263" s="37" t="s">
        <v>118</v>
      </c>
      <c r="M263" s="38" t="s">
        <v>85</v>
      </c>
      <c r="N263" s="38"/>
      <c r="O263" s="37">
        <v>180</v>
      </c>
      <c r="P263" s="31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8"/>
      <c r="R263" s="298"/>
      <c r="S263" s="298"/>
      <c r="T263" s="299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358</v>
      </c>
      <c r="AG263" s="81"/>
      <c r="AJ263" s="87" t="s">
        <v>119</v>
      </c>
      <c r="AK263" s="87">
        <v>12</v>
      </c>
      <c r="BB263" s="264" t="s">
        <v>116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361</v>
      </c>
      <c r="B264" s="63" t="s">
        <v>362</v>
      </c>
      <c r="C264" s="36">
        <v>4301136052</v>
      </c>
      <c r="D264" s="296">
        <v>4640242180410</v>
      </c>
      <c r="E264" s="296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117</v>
      </c>
      <c r="L264" s="37" t="s">
        <v>118</v>
      </c>
      <c r="M264" s="38" t="s">
        <v>85</v>
      </c>
      <c r="N264" s="38"/>
      <c r="O264" s="37">
        <v>180</v>
      </c>
      <c r="P264" s="31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8"/>
      <c r="R264" s="298"/>
      <c r="S264" s="298"/>
      <c r="T264" s="299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358</v>
      </c>
      <c r="AG264" s="81"/>
      <c r="AJ264" s="87" t="s">
        <v>119</v>
      </c>
      <c r="AK264" s="87">
        <v>14</v>
      </c>
      <c r="BB264" s="266" t="s">
        <v>116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">
      <c r="A265" s="293"/>
      <c r="B265" s="293"/>
      <c r="C265" s="293"/>
      <c r="D265" s="293"/>
      <c r="E265" s="293"/>
      <c r="F265" s="293"/>
      <c r="G265" s="293"/>
      <c r="H265" s="293"/>
      <c r="I265" s="293"/>
      <c r="J265" s="293"/>
      <c r="K265" s="293"/>
      <c r="L265" s="293"/>
      <c r="M265" s="293"/>
      <c r="N265" s="293"/>
      <c r="O265" s="306"/>
      <c r="P265" s="303" t="s">
        <v>40</v>
      </c>
      <c r="Q265" s="304"/>
      <c r="R265" s="304"/>
      <c r="S265" s="304"/>
      <c r="T265" s="304"/>
      <c r="U265" s="304"/>
      <c r="V265" s="305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293"/>
      <c r="B266" s="293"/>
      <c r="C266" s="293"/>
      <c r="D266" s="293"/>
      <c r="E266" s="293"/>
      <c r="F266" s="293"/>
      <c r="G266" s="293"/>
      <c r="H266" s="293"/>
      <c r="I266" s="293"/>
      <c r="J266" s="293"/>
      <c r="K266" s="293"/>
      <c r="L266" s="293"/>
      <c r="M266" s="293"/>
      <c r="N266" s="293"/>
      <c r="O266" s="306"/>
      <c r="P266" s="303" t="s">
        <v>40</v>
      </c>
      <c r="Q266" s="304"/>
      <c r="R266" s="304"/>
      <c r="S266" s="304"/>
      <c r="T266" s="304"/>
      <c r="U266" s="304"/>
      <c r="V266" s="305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customHeight="1" x14ac:dyDescent="0.25">
      <c r="A267" s="314" t="s">
        <v>150</v>
      </c>
      <c r="B267" s="314"/>
      <c r="C267" s="314"/>
      <c r="D267" s="314"/>
      <c r="E267" s="314"/>
      <c r="F267" s="314"/>
      <c r="G267" s="314"/>
      <c r="H267" s="314"/>
      <c r="I267" s="314"/>
      <c r="J267" s="314"/>
      <c r="K267" s="314"/>
      <c r="L267" s="314"/>
      <c r="M267" s="314"/>
      <c r="N267" s="314"/>
      <c r="O267" s="314"/>
      <c r="P267" s="314"/>
      <c r="Q267" s="314"/>
      <c r="R267" s="314"/>
      <c r="S267" s="314"/>
      <c r="T267" s="314"/>
      <c r="U267" s="314"/>
      <c r="V267" s="314"/>
      <c r="W267" s="314"/>
      <c r="X267" s="314"/>
      <c r="Y267" s="314"/>
      <c r="Z267" s="314"/>
      <c r="AA267" s="66"/>
      <c r="AB267" s="66"/>
      <c r="AC267" s="83"/>
    </row>
    <row r="268" spans="1:68" ht="37.5" customHeight="1" x14ac:dyDescent="0.25">
      <c r="A268" s="63" t="s">
        <v>363</v>
      </c>
      <c r="B268" s="63" t="s">
        <v>364</v>
      </c>
      <c r="C268" s="36">
        <v>4301135504</v>
      </c>
      <c r="D268" s="296">
        <v>4640242181554</v>
      </c>
      <c r="E268" s="296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117</v>
      </c>
      <c r="L268" s="37" t="s">
        <v>87</v>
      </c>
      <c r="M268" s="38" t="s">
        <v>85</v>
      </c>
      <c r="N268" s="38"/>
      <c r="O268" s="37">
        <v>180</v>
      </c>
      <c r="P268" s="31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8"/>
      <c r="R268" s="298"/>
      <c r="S268" s="298"/>
      <c r="T268" s="299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365</v>
      </c>
      <c r="AG268" s="81"/>
      <c r="AJ268" s="87" t="s">
        <v>88</v>
      </c>
      <c r="AK268" s="87">
        <v>1</v>
      </c>
      <c r="BB268" s="268" t="s">
        <v>116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customHeight="1" x14ac:dyDescent="0.25">
      <c r="A269" s="63" t="s">
        <v>366</v>
      </c>
      <c r="B269" s="63" t="s">
        <v>367</v>
      </c>
      <c r="C269" s="36">
        <v>4301135518</v>
      </c>
      <c r="D269" s="296">
        <v>4640242181561</v>
      </c>
      <c r="E269" s="296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117</v>
      </c>
      <c r="L269" s="37" t="s">
        <v>118</v>
      </c>
      <c r="M269" s="38" t="s">
        <v>85</v>
      </c>
      <c r="N269" s="38"/>
      <c r="O269" s="37">
        <v>180</v>
      </c>
      <c r="P269" s="307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9" s="298"/>
      <c r="R269" s="298"/>
      <c r="S269" s="298"/>
      <c r="T269" s="299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IFERROR(IF(X269="","",X269*0.00936),"")</f>
        <v>0</v>
      </c>
      <c r="AA269" s="68" t="s">
        <v>46</v>
      </c>
      <c r="AB269" s="69" t="s">
        <v>46</v>
      </c>
      <c r="AC269" s="269" t="s">
        <v>368</v>
      </c>
      <c r="AG269" s="81"/>
      <c r="AJ269" s="87" t="s">
        <v>119</v>
      </c>
      <c r="AK269" s="87">
        <v>14</v>
      </c>
      <c r="BB269" s="270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369</v>
      </c>
      <c r="B270" s="63" t="s">
        <v>370</v>
      </c>
      <c r="C270" s="36">
        <v>4301135374</v>
      </c>
      <c r="D270" s="296">
        <v>4640242181424</v>
      </c>
      <c r="E270" s="296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86</v>
      </c>
      <c r="L270" s="37" t="s">
        <v>118</v>
      </c>
      <c r="M270" s="38" t="s">
        <v>85</v>
      </c>
      <c r="N270" s="38"/>
      <c r="O270" s="37">
        <v>180</v>
      </c>
      <c r="P270" s="30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8"/>
      <c r="R270" s="298"/>
      <c r="S270" s="298"/>
      <c r="T270" s="299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365</v>
      </c>
      <c r="AG270" s="81"/>
      <c r="AJ270" s="87" t="s">
        <v>119</v>
      </c>
      <c r="AK270" s="87">
        <v>12</v>
      </c>
      <c r="BB270" s="272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371</v>
      </c>
      <c r="B271" s="63" t="s">
        <v>372</v>
      </c>
      <c r="C271" s="36">
        <v>4301135405</v>
      </c>
      <c r="D271" s="296">
        <v>4640242181523</v>
      </c>
      <c r="E271" s="296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117</v>
      </c>
      <c r="L271" s="37" t="s">
        <v>118</v>
      </c>
      <c r="M271" s="38" t="s">
        <v>85</v>
      </c>
      <c r="N271" s="38"/>
      <c r="O271" s="37">
        <v>180</v>
      </c>
      <c r="P271" s="30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8"/>
      <c r="R271" s="298"/>
      <c r="S271" s="298"/>
      <c r="T271" s="29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368</v>
      </c>
      <c r="AG271" s="81"/>
      <c r="AJ271" s="87" t="s">
        <v>119</v>
      </c>
      <c r="AK271" s="87">
        <v>14</v>
      </c>
      <c r="BB271" s="274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373</v>
      </c>
      <c r="B272" s="63" t="s">
        <v>374</v>
      </c>
      <c r="C272" s="36">
        <v>4301135375</v>
      </c>
      <c r="D272" s="296">
        <v>4640242181486</v>
      </c>
      <c r="E272" s="296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117</v>
      </c>
      <c r="L272" s="37" t="s">
        <v>118</v>
      </c>
      <c r="M272" s="38" t="s">
        <v>85</v>
      </c>
      <c r="N272" s="38"/>
      <c r="O272" s="37">
        <v>180</v>
      </c>
      <c r="P272" s="31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8"/>
      <c r="R272" s="298"/>
      <c r="S272" s="298"/>
      <c r="T272" s="29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365</v>
      </c>
      <c r="AG272" s="81"/>
      <c r="AJ272" s="87" t="s">
        <v>119</v>
      </c>
      <c r="AK272" s="87">
        <v>14</v>
      </c>
      <c r="BB272" s="276" t="s">
        <v>116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375</v>
      </c>
      <c r="B273" s="63" t="s">
        <v>376</v>
      </c>
      <c r="C273" s="36">
        <v>4301135402</v>
      </c>
      <c r="D273" s="296">
        <v>4640242181493</v>
      </c>
      <c r="E273" s="296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117</v>
      </c>
      <c r="L273" s="37" t="s">
        <v>87</v>
      </c>
      <c r="M273" s="38" t="s">
        <v>85</v>
      </c>
      <c r="N273" s="38"/>
      <c r="O273" s="37">
        <v>180</v>
      </c>
      <c r="P273" s="31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8"/>
      <c r="R273" s="298"/>
      <c r="S273" s="298"/>
      <c r="T273" s="29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365</v>
      </c>
      <c r="AG273" s="81"/>
      <c r="AJ273" s="87" t="s">
        <v>88</v>
      </c>
      <c r="AK273" s="87">
        <v>1</v>
      </c>
      <c r="BB273" s="278" t="s">
        <v>116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377</v>
      </c>
      <c r="B274" s="63" t="s">
        <v>378</v>
      </c>
      <c r="C274" s="36">
        <v>4301135403</v>
      </c>
      <c r="D274" s="296">
        <v>4640242181509</v>
      </c>
      <c r="E274" s="296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117</v>
      </c>
      <c r="L274" s="37" t="s">
        <v>87</v>
      </c>
      <c r="M274" s="38" t="s">
        <v>85</v>
      </c>
      <c r="N274" s="38"/>
      <c r="O274" s="37">
        <v>180</v>
      </c>
      <c r="P274" s="29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8"/>
      <c r="R274" s="298"/>
      <c r="S274" s="298"/>
      <c r="T274" s="299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365</v>
      </c>
      <c r="AG274" s="81"/>
      <c r="AJ274" s="87" t="s">
        <v>88</v>
      </c>
      <c r="AK274" s="87">
        <v>1</v>
      </c>
      <c r="BB274" s="280" t="s">
        <v>116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379</v>
      </c>
      <c r="B275" s="63" t="s">
        <v>380</v>
      </c>
      <c r="C275" s="36">
        <v>4301135304</v>
      </c>
      <c r="D275" s="296">
        <v>4640242181240</v>
      </c>
      <c r="E275" s="296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117</v>
      </c>
      <c r="L275" s="37" t="s">
        <v>87</v>
      </c>
      <c r="M275" s="38" t="s">
        <v>85</v>
      </c>
      <c r="N275" s="38"/>
      <c r="O275" s="37">
        <v>180</v>
      </c>
      <c r="P275" s="3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8"/>
      <c r="R275" s="298"/>
      <c r="S275" s="298"/>
      <c r="T275" s="299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365</v>
      </c>
      <c r="AG275" s="81"/>
      <c r="AJ275" s="87" t="s">
        <v>88</v>
      </c>
      <c r="AK275" s="87">
        <v>1</v>
      </c>
      <c r="BB275" s="282" t="s">
        <v>116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381</v>
      </c>
      <c r="B276" s="63" t="s">
        <v>382</v>
      </c>
      <c r="C276" s="36">
        <v>4301135610</v>
      </c>
      <c r="D276" s="296">
        <v>4640242181318</v>
      </c>
      <c r="E276" s="296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117</v>
      </c>
      <c r="L276" s="37" t="s">
        <v>87</v>
      </c>
      <c r="M276" s="38" t="s">
        <v>85</v>
      </c>
      <c r="N276" s="38"/>
      <c r="O276" s="37">
        <v>180</v>
      </c>
      <c r="P276" s="3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8"/>
      <c r="R276" s="298"/>
      <c r="S276" s="298"/>
      <c r="T276" s="299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368</v>
      </c>
      <c r="AG276" s="81"/>
      <c r="AJ276" s="87" t="s">
        <v>88</v>
      </c>
      <c r="AK276" s="87">
        <v>1</v>
      </c>
      <c r="BB276" s="284" t="s">
        <v>116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383</v>
      </c>
      <c r="B277" s="63" t="s">
        <v>384</v>
      </c>
      <c r="C277" s="36">
        <v>4301135306</v>
      </c>
      <c r="D277" s="296">
        <v>4640242181387</v>
      </c>
      <c r="E277" s="296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162</v>
      </c>
      <c r="L277" s="37" t="s">
        <v>87</v>
      </c>
      <c r="M277" s="38" t="s">
        <v>85</v>
      </c>
      <c r="N277" s="38"/>
      <c r="O277" s="37">
        <v>180</v>
      </c>
      <c r="P277" s="302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8"/>
      <c r="R277" s="298"/>
      <c r="S277" s="298"/>
      <c r="T277" s="299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365</v>
      </c>
      <c r="AG277" s="81"/>
      <c r="AJ277" s="87" t="s">
        <v>88</v>
      </c>
      <c r="AK277" s="87">
        <v>1</v>
      </c>
      <c r="BB277" s="286" t="s">
        <v>116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306"/>
      <c r="P278" s="303" t="s">
        <v>40</v>
      </c>
      <c r="Q278" s="304"/>
      <c r="R278" s="304"/>
      <c r="S278" s="304"/>
      <c r="T278" s="304"/>
      <c r="U278" s="304"/>
      <c r="V278" s="305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306"/>
      <c r="P279" s="303" t="s">
        <v>40</v>
      </c>
      <c r="Q279" s="304"/>
      <c r="R279" s="304"/>
      <c r="S279" s="304"/>
      <c r="T279" s="304"/>
      <c r="U279" s="304"/>
      <c r="V279" s="305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29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294"/>
      <c r="P280" s="290" t="s">
        <v>33</v>
      </c>
      <c r="Q280" s="291"/>
      <c r="R280" s="291"/>
      <c r="S280" s="291"/>
      <c r="T280" s="291"/>
      <c r="U280" s="291"/>
      <c r="V280" s="292"/>
      <c r="W280" s="42" t="s">
        <v>0</v>
      </c>
      <c r="X280" s="43">
        <f>IFERROR(X31+X37+X44+X50+X58+X63+X68+X74+X80+X85+X91+X101+X107+X119+X123+X127+X135+X141+X147+X153+X159+X164+X169+X174+X181+X186+X195+X201+X207+X213+X218+X223+X229+X235+X239+X245+X249+X256+X260+X266+X279,"0")</f>
        <v>0</v>
      </c>
      <c r="Y280" s="43">
        <f>IFERROR(Y31+Y37+Y44+Y50+Y58+Y63+Y68+Y74+Y80+Y85+Y91+Y101+Y107+Y119+Y123+Y127+Y135+Y141+Y147+Y153+Y159+Y164+Y169+Y174+Y181+Y186+Y195+Y201+Y207+Y213+Y218+Y223+Y229+Y235+Y239+Y245+Y249+Y256+Y260+Y266+Y279,"0")</f>
        <v>0</v>
      </c>
      <c r="Z280" s="42"/>
      <c r="AA280" s="67"/>
      <c r="AB280" s="67"/>
      <c r="AC280" s="67"/>
    </row>
    <row r="281" spans="1:68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294"/>
      <c r="P281" s="290" t="s">
        <v>34</v>
      </c>
      <c r="Q281" s="291"/>
      <c r="R281" s="291"/>
      <c r="S281" s="291"/>
      <c r="T281" s="291"/>
      <c r="U281" s="291"/>
      <c r="V281" s="292"/>
      <c r="W281" s="42" t="s">
        <v>0</v>
      </c>
      <c r="X281" s="43">
        <f>IFERROR(SUM(BM22:BM277),"0")</f>
        <v>0</v>
      </c>
      <c r="Y281" s="43">
        <f>IFERROR(SUM(BN22:BN277),"0")</f>
        <v>0</v>
      </c>
      <c r="Z281" s="42"/>
      <c r="AA281" s="67"/>
      <c r="AB281" s="67"/>
      <c r="AC281" s="67"/>
    </row>
    <row r="282" spans="1:68" x14ac:dyDescent="0.2">
      <c r="A282" s="293"/>
      <c r="B282" s="293"/>
      <c r="C282" s="293"/>
      <c r="D282" s="293"/>
      <c r="E282" s="293"/>
      <c r="F282" s="293"/>
      <c r="G282" s="293"/>
      <c r="H282" s="293"/>
      <c r="I282" s="293"/>
      <c r="J282" s="293"/>
      <c r="K282" s="293"/>
      <c r="L282" s="293"/>
      <c r="M282" s="293"/>
      <c r="N282" s="293"/>
      <c r="O282" s="294"/>
      <c r="P282" s="290" t="s">
        <v>35</v>
      </c>
      <c r="Q282" s="291"/>
      <c r="R282" s="291"/>
      <c r="S282" s="291"/>
      <c r="T282" s="291"/>
      <c r="U282" s="291"/>
      <c r="V282" s="292"/>
      <c r="W282" s="42" t="s">
        <v>20</v>
      </c>
      <c r="X282" s="44">
        <f>ROUNDUP(SUM(BO22:BO277),0)</f>
        <v>0</v>
      </c>
      <c r="Y282" s="44">
        <f>ROUNDUP(SUM(BP22:BP277),0)</f>
        <v>0</v>
      </c>
      <c r="Z282" s="42"/>
      <c r="AA282" s="67"/>
      <c r="AB282" s="67"/>
      <c r="AC282" s="67"/>
    </row>
    <row r="283" spans="1:68" x14ac:dyDescent="0.2">
      <c r="A283" s="293"/>
      <c r="B283" s="293"/>
      <c r="C283" s="293"/>
      <c r="D283" s="293"/>
      <c r="E283" s="293"/>
      <c r="F283" s="293"/>
      <c r="G283" s="293"/>
      <c r="H283" s="293"/>
      <c r="I283" s="293"/>
      <c r="J283" s="293"/>
      <c r="K283" s="293"/>
      <c r="L283" s="293"/>
      <c r="M283" s="293"/>
      <c r="N283" s="293"/>
      <c r="O283" s="294"/>
      <c r="P283" s="290" t="s">
        <v>36</v>
      </c>
      <c r="Q283" s="291"/>
      <c r="R283" s="291"/>
      <c r="S283" s="291"/>
      <c r="T283" s="291"/>
      <c r="U283" s="291"/>
      <c r="V283" s="292"/>
      <c r="W283" s="42" t="s">
        <v>0</v>
      </c>
      <c r="X283" s="43">
        <f>GrossWeightTotal+PalletQtyTotal*25</f>
        <v>0</v>
      </c>
      <c r="Y283" s="43">
        <f>GrossWeightTotalR+PalletQtyTotalR*25</f>
        <v>0</v>
      </c>
      <c r="Z283" s="42"/>
      <c r="AA283" s="67"/>
      <c r="AB283" s="67"/>
      <c r="AC283" s="67"/>
    </row>
    <row r="284" spans="1:68" x14ac:dyDescent="0.2">
      <c r="A284" s="293"/>
      <c r="B284" s="293"/>
      <c r="C284" s="293"/>
      <c r="D284" s="293"/>
      <c r="E284" s="293"/>
      <c r="F284" s="293"/>
      <c r="G284" s="293"/>
      <c r="H284" s="293"/>
      <c r="I284" s="293"/>
      <c r="J284" s="293"/>
      <c r="K284" s="293"/>
      <c r="L284" s="293"/>
      <c r="M284" s="293"/>
      <c r="N284" s="293"/>
      <c r="O284" s="294"/>
      <c r="P284" s="290" t="s">
        <v>37</v>
      </c>
      <c r="Q284" s="291"/>
      <c r="R284" s="291"/>
      <c r="S284" s="291"/>
      <c r="T284" s="291"/>
      <c r="U284" s="291"/>
      <c r="V284" s="292"/>
      <c r="W284" s="42" t="s">
        <v>20</v>
      </c>
      <c r="X284" s="43">
        <f>IFERROR(X30+X36+X43+X49+X57+X62+X67+X73+X79+X84+X90+X100+X106+X118+X122+X126+X134+X140+X146+X152+X158+X163+X168+X173+X180+X185+X194+X200+X206+X212+X217+X222+X228+X234+X238+X244+X248+X255+X259+X265+X278,"0")</f>
        <v>0</v>
      </c>
      <c r="Y284" s="43">
        <f>IFERROR(Y30+Y36+Y43+Y49+Y57+Y62+Y67+Y73+Y79+Y84+Y90+Y100+Y106+Y118+Y122+Y126+Y134+Y140+Y146+Y152+Y158+Y163+Y168+Y173+Y180+Y185+Y194+Y200+Y206+Y212+Y217+Y222+Y228+Y234+Y238+Y244+Y248+Y255+Y259+Y265+Y278,"0")</f>
        <v>0</v>
      </c>
      <c r="Z284" s="42"/>
      <c r="AA284" s="67"/>
      <c r="AB284" s="67"/>
      <c r="AC284" s="67"/>
    </row>
    <row r="285" spans="1:68" ht="14.25" x14ac:dyDescent="0.2">
      <c r="A285" s="293"/>
      <c r="B285" s="293"/>
      <c r="C285" s="293"/>
      <c r="D285" s="293"/>
      <c r="E285" s="293"/>
      <c r="F285" s="293"/>
      <c r="G285" s="293"/>
      <c r="H285" s="293"/>
      <c r="I285" s="293"/>
      <c r="J285" s="293"/>
      <c r="K285" s="293"/>
      <c r="L285" s="293"/>
      <c r="M285" s="293"/>
      <c r="N285" s="293"/>
      <c r="O285" s="294"/>
      <c r="P285" s="290" t="s">
        <v>38</v>
      </c>
      <c r="Q285" s="291"/>
      <c r="R285" s="291"/>
      <c r="S285" s="291"/>
      <c r="T285" s="291"/>
      <c r="U285" s="291"/>
      <c r="V285" s="292"/>
      <c r="W285" s="45" t="s">
        <v>52</v>
      </c>
      <c r="X285" s="42"/>
      <c r="Y285" s="42"/>
      <c r="Z285" s="42">
        <f>IFERROR(Z30+Z36+Z43+Z49+Z57+Z62+Z67+Z73+Z79+Z84+Z90+Z100+Z106+Z118+Z122+Z126+Z134+Z140+Z146+Z152+Z158+Z163+Z168+Z173+Z180+Z185+Z194+Z200+Z206+Z212+Z217+Z222+Z228+Z234+Z238+Z244+Z248+Z255+Z259+Z265+Z278,"0")</f>
        <v>0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287" t="s">
        <v>80</v>
      </c>
      <c r="C287" s="287" t="s">
        <v>80</v>
      </c>
      <c r="D287" s="287" t="s">
        <v>45</v>
      </c>
      <c r="E287" s="287" t="s">
        <v>45</v>
      </c>
      <c r="F287" s="287" t="s">
        <v>45</v>
      </c>
      <c r="G287" s="287" t="s">
        <v>45</v>
      </c>
      <c r="H287" s="287" t="s">
        <v>45</v>
      </c>
      <c r="I287" s="287" t="s">
        <v>45</v>
      </c>
      <c r="J287" s="287" t="s">
        <v>45</v>
      </c>
      <c r="K287" s="287" t="s">
        <v>45</v>
      </c>
      <c r="L287" s="287" t="s">
        <v>45</v>
      </c>
      <c r="M287" s="287" t="s">
        <v>45</v>
      </c>
      <c r="N287" s="295"/>
      <c r="O287" s="287" t="s">
        <v>45</v>
      </c>
      <c r="P287" s="287" t="s">
        <v>45</v>
      </c>
      <c r="Q287" s="287" t="s">
        <v>45</v>
      </c>
      <c r="R287" s="287" t="s">
        <v>45</v>
      </c>
      <c r="S287" s="287" t="s">
        <v>45</v>
      </c>
      <c r="T287" s="287" t="s">
        <v>45</v>
      </c>
      <c r="U287" s="287" t="s">
        <v>45</v>
      </c>
      <c r="V287" s="287" t="s">
        <v>273</v>
      </c>
      <c r="W287" s="287" t="s">
        <v>273</v>
      </c>
      <c r="X287" s="88" t="s">
        <v>284</v>
      </c>
      <c r="Y287" s="287" t="s">
        <v>298</v>
      </c>
      <c r="Z287" s="287" t="s">
        <v>298</v>
      </c>
      <c r="AA287" s="287" t="s">
        <v>298</v>
      </c>
      <c r="AB287" s="287" t="s">
        <v>298</v>
      </c>
      <c r="AC287" s="88" t="s">
        <v>327</v>
      </c>
      <c r="AD287" s="88" t="s">
        <v>332</v>
      </c>
      <c r="AE287" s="88" t="s">
        <v>340</v>
      </c>
      <c r="AF287" s="88" t="s">
        <v>347</v>
      </c>
    </row>
    <row r="288" spans="1:68" ht="14.25" customHeight="1" thickTop="1" x14ac:dyDescent="0.2">
      <c r="A288" s="288" t="s">
        <v>10</v>
      </c>
      <c r="B288" s="287" t="s">
        <v>80</v>
      </c>
      <c r="C288" s="287" t="s">
        <v>105</v>
      </c>
      <c r="D288" s="287" t="s">
        <v>111</v>
      </c>
      <c r="E288" s="287" t="s">
        <v>122</v>
      </c>
      <c r="F288" s="287" t="s">
        <v>129</v>
      </c>
      <c r="G288" s="287" t="s">
        <v>140</v>
      </c>
      <c r="H288" s="287" t="s">
        <v>158</v>
      </c>
      <c r="I288" s="287" t="s">
        <v>165</v>
      </c>
      <c r="J288" s="287" t="s">
        <v>169</v>
      </c>
      <c r="K288" s="287" t="s">
        <v>177</v>
      </c>
      <c r="L288" s="287" t="s">
        <v>192</v>
      </c>
      <c r="M288" s="287" t="s">
        <v>198</v>
      </c>
      <c r="N288" s="1"/>
      <c r="O288" s="287" t="s">
        <v>226</v>
      </c>
      <c r="P288" s="287" t="s">
        <v>244</v>
      </c>
      <c r="Q288" s="287" t="s">
        <v>250</v>
      </c>
      <c r="R288" s="287" t="s">
        <v>257</v>
      </c>
      <c r="S288" s="287" t="s">
        <v>262</v>
      </c>
      <c r="T288" s="287" t="s">
        <v>266</v>
      </c>
      <c r="U288" s="287" t="s">
        <v>269</v>
      </c>
      <c r="V288" s="287" t="s">
        <v>274</v>
      </c>
      <c r="W288" s="287" t="s">
        <v>281</v>
      </c>
      <c r="X288" s="287" t="s">
        <v>285</v>
      </c>
      <c r="Y288" s="287" t="s">
        <v>299</v>
      </c>
      <c r="Z288" s="287" t="s">
        <v>312</v>
      </c>
      <c r="AA288" s="287" t="s">
        <v>319</v>
      </c>
      <c r="AB288" s="287" t="s">
        <v>323</v>
      </c>
      <c r="AC288" s="287" t="s">
        <v>328</v>
      </c>
      <c r="AD288" s="287" t="s">
        <v>333</v>
      </c>
      <c r="AE288" s="287" t="s">
        <v>340</v>
      </c>
      <c r="AF288" s="287" t="s">
        <v>347</v>
      </c>
    </row>
    <row r="289" spans="1:32" ht="13.5" thickBot="1" x14ac:dyDescent="0.25">
      <c r="A289" s="289"/>
      <c r="B289" s="287"/>
      <c r="C289" s="287"/>
      <c r="D289" s="287"/>
      <c r="E289" s="287"/>
      <c r="F289" s="287"/>
      <c r="G289" s="287"/>
      <c r="H289" s="287"/>
      <c r="I289" s="287"/>
      <c r="J289" s="287"/>
      <c r="K289" s="287"/>
      <c r="L289" s="287"/>
      <c r="M289" s="287"/>
      <c r="N289" s="1"/>
      <c r="O289" s="287"/>
      <c r="P289" s="287"/>
      <c r="Q289" s="287"/>
      <c r="R289" s="287"/>
      <c r="S289" s="287"/>
      <c r="T289" s="287"/>
      <c r="U289" s="287"/>
      <c r="V289" s="287"/>
      <c r="W289" s="287"/>
      <c r="X289" s="287"/>
      <c r="Y289" s="287"/>
      <c r="Z289" s="287"/>
      <c r="AA289" s="287"/>
      <c r="AB289" s="287"/>
      <c r="AC289" s="287"/>
      <c r="AD289" s="287"/>
      <c r="AE289" s="287"/>
      <c r="AF289" s="287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0</v>
      </c>
      <c r="E290" s="52">
        <f>IFERROR(X47*H47,"0")+IFERROR(X48*H48,"0")</f>
        <v>0</v>
      </c>
      <c r="F290" s="52">
        <f>IFERROR(X53*H53,"0")+IFERROR(X54*H54,"0")+IFERROR(X55*H55,"0")+IFERROR(X56*H56,"0")</f>
        <v>0</v>
      </c>
      <c r="G290" s="52">
        <f>IFERROR(X61*H61,"0")+IFERROR(X65*H65,"0")+IFERROR(X66*H66,"0")+IFERROR(X70*H70,"0")+IFERROR(X71*H71,"0")+IFERROR(X72*H72,"0")</f>
        <v>0</v>
      </c>
      <c r="H290" s="52">
        <f>IFERROR(X77*H77,"0")+IFERROR(X78*H78,"0")</f>
        <v>0</v>
      </c>
      <c r="I290" s="52">
        <f>IFERROR(X83*H83,"0")</f>
        <v>0</v>
      </c>
      <c r="J290" s="52">
        <f>IFERROR(X88*H88,"0")+IFERROR(X89*H89,"0")</f>
        <v>0</v>
      </c>
      <c r="K290" s="52">
        <f>IFERROR(X94*H94,"0")+IFERROR(X95*H95,"0")+IFERROR(X96*H96,"0")+IFERROR(X97*H97,"0")+IFERROR(X98*H98,"0")+IFERROR(X99*H99,"0")</f>
        <v>0</v>
      </c>
      <c r="L290" s="52">
        <f>IFERROR(X104*H104,"0")+IFERROR(X105*H105,"0")</f>
        <v>0</v>
      </c>
      <c r="M290" s="52">
        <f>IFERROR(X110*H110,"0")+IFERROR(X111*H111,"0")+IFERROR(X112*H112,"0")+IFERROR(X113*H113,"0")+IFERROR(X114*H114,"0")+IFERROR(X115*H115,"0")+IFERROR(X116*H116,"0")+IFERROR(X117*H117,"0")+IFERROR(X121*H121,"0")+IFERROR(X125*H125,"0")</f>
        <v>0</v>
      </c>
      <c r="N290" s="1"/>
      <c r="O290" s="52">
        <f>IFERROR(X130*H130,"0")+IFERROR(X131*H131,"0")+IFERROR(X132*H132,"0")+IFERROR(X133*H133,"0")+IFERROR(X137*H137,"0")+IFERROR(X138*H138,"0")+IFERROR(X139*H139,"0")</f>
        <v>0</v>
      </c>
      <c r="P290" s="52">
        <f>IFERROR(X144*H144,"0")+IFERROR(X145*H145,"0")</f>
        <v>0</v>
      </c>
      <c r="Q290" s="52">
        <f>IFERROR(X150*H150,"0")+IFERROR(X151*H151,"0")</f>
        <v>0</v>
      </c>
      <c r="R290" s="52">
        <f>IFERROR(X156*H156,"0")+IFERROR(X157*H157,"0")</f>
        <v>0</v>
      </c>
      <c r="S290" s="52">
        <f>IFERROR(X162*H162,"0")</f>
        <v>0</v>
      </c>
      <c r="T290" s="52">
        <f>IFERROR(X167*H167,"0")</f>
        <v>0</v>
      </c>
      <c r="U290" s="52">
        <f>IFERROR(X172*H172,"0")</f>
        <v>0</v>
      </c>
      <c r="V290" s="52">
        <f>IFERROR(X178*H178,"0")+IFERROR(X179*H179,"0")</f>
        <v>0</v>
      </c>
      <c r="W290" s="52">
        <f>IFERROR(X184*H184,"0")</f>
        <v>0</v>
      </c>
      <c r="X290" s="52">
        <f>IFERROR(X190*H190,"0")+IFERROR(X191*H191,"0")+IFERROR(X192*H192,"0")+IFERROR(X193*H193,"0")</f>
        <v>0</v>
      </c>
      <c r="Y290" s="52">
        <f>IFERROR(X199*H199,"0")+IFERROR(X203*H203,"0")+IFERROR(X204*H204,"0")+IFERROR(X205*H205,"0")</f>
        <v>0</v>
      </c>
      <c r="Z290" s="52">
        <f>IFERROR(X210*H210,"0")+IFERROR(X211*H211,"0")</f>
        <v>0</v>
      </c>
      <c r="AA290" s="52">
        <f>IFERROR(X216*H216,"0")</f>
        <v>0</v>
      </c>
      <c r="AB290" s="52">
        <f>IFERROR(X221*H221,"0")</f>
        <v>0</v>
      </c>
      <c r="AC290" s="52">
        <f>IFERROR(X227*H227,"0")</f>
        <v>0</v>
      </c>
      <c r="AD290" s="52">
        <f>IFERROR(X233*H233,"0")+IFERROR(X237*H237,"0")</f>
        <v>0</v>
      </c>
      <c r="AE290" s="52">
        <f>IFERROR(X243*H243,"0")+IFERROR(X247*H247,"0")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0</v>
      </c>
      <c r="B293" s="72">
        <f>SUMPRODUCT(--(BB:BB="ПГП"),--(W:W="кор"),H:H,Y:Y)+SUMPRODUCT(--(BB:BB="ПГП"),--(W:W="кг"),Y:Y)</f>
        <v>0</v>
      </c>
      <c r="C293" s="72">
        <f>SUMPRODUCT(--(BB:BB="КИЗ"),--(W:W="кор"),H:H,Y:Y)+SUMPRODUCT(--(BB:BB="КИЗ"),--(W:W="кг"),Y:Y)</f>
        <v>0</v>
      </c>
    </row>
  </sheetData>
  <sheetProtection algorithmName="SHA-512" hashValue="oSaWFlxD/M+DvIc+qtUYBFnXjxB0SGWQYOeLP8OfzjdKdGz/ZBaJSwoDOtoWzYvfRkEATvi3cklLUH5vULQWIQ==" saltValue="CMN99F3npCaIGecw+47Bf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T288:T289"/>
    <mergeCell ref="U288:U289"/>
    <mergeCell ref="V288:V289"/>
    <mergeCell ref="W288:W289"/>
    <mergeCell ref="X288:X289"/>
    <mergeCell ref="P280:V280"/>
    <mergeCell ref="A280:O285"/>
    <mergeCell ref="P281:V281"/>
    <mergeCell ref="P282:V282"/>
    <mergeCell ref="P283:V283"/>
    <mergeCell ref="P284:V284"/>
    <mergeCell ref="P285:V285"/>
    <mergeCell ref="B287:C287"/>
    <mergeCell ref="D287:U287"/>
    <mergeCell ref="V287:W287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Y288:Y289"/>
    <mergeCell ref="Z288:Z289"/>
    <mergeCell ref="AA288:AA289"/>
    <mergeCell ref="AB288:AB289"/>
    <mergeCell ref="AC288:AC289"/>
    <mergeCell ref="AD288:AD289"/>
    <mergeCell ref="AE288:AE289"/>
    <mergeCell ref="AF288:AF289"/>
    <mergeCell ref="Y287:AB287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3:X277 X268 X253:X254 X247 X243 X237 X233 X227 X221 X210:X211 X203 X193 X184 X172 X156 X150 X137:X139 X130:X133 X125 X121 X114:X115 X111 X105 X98 X96 X70 X65:X66 X61 X47 X4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 X269:X272 X262:X264 X258 X216 X204:X205 X199 X190:X192 X178:X179 X167 X162 X157 X151 X144:X145 X116:X117 X112:X113 X110 X104 X99 X97 X94:X95 X88:X89 X83 X77:X78 X71:X72 X53:X56 X48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9"/>
    </row>
    <row r="3" spans="2:8" x14ac:dyDescent="0.2">
      <c r="B3" s="53" t="s">
        <v>386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388</v>
      </c>
      <c r="D6" s="53" t="s">
        <v>389</v>
      </c>
      <c r="E6" s="53" t="s">
        <v>46</v>
      </c>
    </row>
    <row r="8" spans="2:8" x14ac:dyDescent="0.2">
      <c r="B8" s="53" t="s">
        <v>79</v>
      </c>
      <c r="C8" s="53" t="s">
        <v>388</v>
      </c>
      <c r="D8" s="53" t="s">
        <v>46</v>
      </c>
      <c r="E8" s="53" t="s">
        <v>46</v>
      </c>
    </row>
    <row r="10" spans="2:8" x14ac:dyDescent="0.2">
      <c r="B10" s="53" t="s">
        <v>390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391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392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393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394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395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400</v>
      </c>
      <c r="C20" s="53" t="s">
        <v>46</v>
      </c>
      <c r="D20" s="53" t="s">
        <v>46</v>
      </c>
      <c r="E20" s="53" t="s">
        <v>46</v>
      </c>
    </row>
  </sheetData>
  <sheetProtection algorithmName="SHA-512" hashValue="jJPobETSSCpbkw9cHf7v8phr4+KyOk/jjjqx9LYVmeuHYhDAUFHNs5d8y8k8LVhHJ5m9+XSLpgZekC0GGZAYlw==" saltValue="gUbInLhLJVILc3j6cRaCc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438</vt:i4>
      </vt:variant>
    </vt:vector>
  </HeadingPairs>
  <TitlesOfParts>
    <vt:vector size="44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2026-08-10T10:58:36Z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