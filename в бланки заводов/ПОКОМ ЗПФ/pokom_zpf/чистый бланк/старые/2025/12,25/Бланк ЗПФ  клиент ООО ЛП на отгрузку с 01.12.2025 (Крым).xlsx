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5B50A1-D49A-4B50-895A-D131BAE61A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заказа'!$B$30:$B$30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заказа'!$B$202:$B$202</definedName>
    <definedName name="ProductId69">'Бланк заказа'!$B$207:$B$207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заказа'!$B$38:$B$38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заказа'!$X$30:$X$30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заказа'!$X$202:$X$202</definedName>
    <definedName name="SalesQty69">'Бланк заказа'!$X$207:$X$207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заказа'!$X$38:$X$38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заказа'!$Y$30:$Y$30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заказа'!$Y$202:$Y$202</definedName>
    <definedName name="SalesRoundBox69">'Бланк заказа'!$Y$207:$Y$207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заказа'!$Y$38:$Y$38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заказа'!$W$30:$W$30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заказа'!$W$202:$W$202</definedName>
    <definedName name="UnitOfMeasure69">'Бланк заказа'!$W$207:$W$207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заказа'!$W$38:$W$38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2" l="1"/>
  <c r="AC279" i="2"/>
  <c r="Z279" i="2"/>
  <c r="W279" i="2"/>
  <c r="U279" i="2"/>
  <c r="S279" i="2"/>
  <c r="R279" i="2"/>
  <c r="M279" i="2"/>
  <c r="L279" i="2"/>
  <c r="D279" i="2"/>
  <c r="C279" i="2"/>
  <c r="B279" i="2"/>
  <c r="X268" i="2"/>
  <c r="X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N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N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P259" i="2"/>
  <c r="BO259" i="2"/>
  <c r="BN259" i="2"/>
  <c r="BM259" i="2"/>
  <c r="Z259" i="2"/>
  <c r="Y259" i="2"/>
  <c r="P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BP251" i="2"/>
  <c r="BO251" i="2"/>
  <c r="BN251" i="2"/>
  <c r="BM251" i="2"/>
  <c r="Z251" i="2"/>
  <c r="Z254" i="2" s="1"/>
  <c r="Y251" i="2"/>
  <c r="P251" i="2"/>
  <c r="X249" i="2"/>
  <c r="Z248" i="2"/>
  <c r="X248" i="2"/>
  <c r="BO247" i="2"/>
  <c r="BM247" i="2"/>
  <c r="Z247" i="2"/>
  <c r="Y247" i="2"/>
  <c r="BP247" i="2" s="1"/>
  <c r="P247" i="2"/>
  <c r="BO246" i="2"/>
  <c r="BM246" i="2"/>
  <c r="Z246" i="2"/>
  <c r="Y246" i="2"/>
  <c r="BP246" i="2" s="1"/>
  <c r="P246" i="2"/>
  <c r="X244" i="2"/>
  <c r="Z243" i="2"/>
  <c r="X243" i="2"/>
  <c r="BO242" i="2"/>
  <c r="BM242" i="2"/>
  <c r="Z242" i="2"/>
  <c r="Y242" i="2"/>
  <c r="BP242" i="2" s="1"/>
  <c r="P242" i="2"/>
  <c r="BO241" i="2"/>
  <c r="BM241" i="2"/>
  <c r="Z241" i="2"/>
  <c r="Y241" i="2"/>
  <c r="Y243" i="2" s="1"/>
  <c r="P241" i="2"/>
  <c r="Y237" i="2"/>
  <c r="X237" i="2"/>
  <c r="Y236" i="2"/>
  <c r="X236" i="2"/>
  <c r="BP235" i="2"/>
  <c r="BO235" i="2"/>
  <c r="BN235" i="2"/>
  <c r="BM235" i="2"/>
  <c r="Z235" i="2"/>
  <c r="Z236" i="2" s="1"/>
  <c r="Y235" i="2"/>
  <c r="P235" i="2"/>
  <c r="X233" i="2"/>
  <c r="X232" i="2"/>
  <c r="BO231" i="2"/>
  <c r="BM231" i="2"/>
  <c r="Z231" i="2"/>
  <c r="Z232" i="2" s="1"/>
  <c r="Y231" i="2"/>
  <c r="Y233" i="2" s="1"/>
  <c r="P231" i="2"/>
  <c r="Y227" i="2"/>
  <c r="X227" i="2"/>
  <c r="X226" i="2"/>
  <c r="AB279" i="2" s="1"/>
  <c r="BO225" i="2"/>
  <c r="BM225" i="2"/>
  <c r="Z225" i="2"/>
  <c r="Z226" i="2" s="1"/>
  <c r="Y225" i="2"/>
  <c r="BN225" i="2" s="1"/>
  <c r="P225" i="2"/>
  <c r="X221" i="2"/>
  <c r="X220" i="2"/>
  <c r="AA279" i="2" s="1"/>
  <c r="BO219" i="2"/>
  <c r="BM219" i="2"/>
  <c r="Z219" i="2"/>
  <c r="Z220" i="2" s="1"/>
  <c r="Y219" i="2"/>
  <c r="Y221" i="2" s="1"/>
  <c r="P219" i="2"/>
  <c r="X215" i="2"/>
  <c r="X214" i="2"/>
  <c r="BP213" i="2"/>
  <c r="BO213" i="2"/>
  <c r="BN213" i="2"/>
  <c r="BM213" i="2"/>
  <c r="Z213" i="2"/>
  <c r="Y213" i="2"/>
  <c r="P213" i="2"/>
  <c r="BO212" i="2"/>
  <c r="BM212" i="2"/>
  <c r="Z212" i="2"/>
  <c r="Y212" i="2"/>
  <c r="BP212" i="2" s="1"/>
  <c r="P212" i="2"/>
  <c r="BO211" i="2"/>
  <c r="BM211" i="2"/>
  <c r="Z211" i="2"/>
  <c r="Z214" i="2" s="1"/>
  <c r="Y211" i="2"/>
  <c r="P211" i="2"/>
  <c r="X209" i="2"/>
  <c r="Y208" i="2"/>
  <c r="X208" i="2"/>
  <c r="BP207" i="2"/>
  <c r="BO207" i="2"/>
  <c r="BN207" i="2"/>
  <c r="BM207" i="2"/>
  <c r="Z207" i="2"/>
  <c r="Z208" i="2" s="1"/>
  <c r="Y207" i="2"/>
  <c r="Y209" i="2" s="1"/>
  <c r="P207" i="2"/>
  <c r="X204" i="2"/>
  <c r="Y279" i="2" s="1"/>
  <c r="X203" i="2"/>
  <c r="BO202" i="2"/>
  <c r="BM202" i="2"/>
  <c r="Z202" i="2"/>
  <c r="Z203" i="2" s="1"/>
  <c r="Y202" i="2"/>
  <c r="BN202" i="2" s="1"/>
  <c r="P202" i="2"/>
  <c r="X199" i="2"/>
  <c r="X198" i="2"/>
  <c r="BO197" i="2"/>
  <c r="BM197" i="2"/>
  <c r="Z197" i="2"/>
  <c r="Y197" i="2"/>
  <c r="P197" i="2"/>
  <c r="BO196" i="2"/>
  <c r="BM196" i="2"/>
  <c r="Z196" i="2"/>
  <c r="Y196" i="2"/>
  <c r="BP196" i="2" s="1"/>
  <c r="P196" i="2"/>
  <c r="BP195" i="2"/>
  <c r="BO195" i="2"/>
  <c r="BN195" i="2"/>
  <c r="BM195" i="2"/>
  <c r="Z195" i="2"/>
  <c r="Y195" i="2"/>
  <c r="P195" i="2"/>
  <c r="BO194" i="2"/>
  <c r="BM194" i="2"/>
  <c r="Z194" i="2"/>
  <c r="Y194" i="2"/>
  <c r="BP194" i="2" s="1"/>
  <c r="P194" i="2"/>
  <c r="X192" i="2"/>
  <c r="X279" i="2" s="1"/>
  <c r="Y191" i="2"/>
  <c r="X191" i="2"/>
  <c r="BO190" i="2"/>
  <c r="BM190" i="2"/>
  <c r="Z190" i="2"/>
  <c r="Z191" i="2" s="1"/>
  <c r="Y190" i="2"/>
  <c r="Y192" i="2" s="1"/>
  <c r="P190" i="2"/>
  <c r="X186" i="2"/>
  <c r="X185" i="2"/>
  <c r="BO184" i="2"/>
  <c r="BN184" i="2"/>
  <c r="BM184" i="2"/>
  <c r="Z184" i="2"/>
  <c r="Z185" i="2" s="1"/>
  <c r="Y184" i="2"/>
  <c r="Y185" i="2" s="1"/>
  <c r="X182" i="2"/>
  <c r="X181" i="2"/>
  <c r="BP180" i="2"/>
  <c r="BO180" i="2"/>
  <c r="BN180" i="2"/>
  <c r="BM180" i="2"/>
  <c r="Z180" i="2"/>
  <c r="Y180" i="2"/>
  <c r="P180" i="2"/>
  <c r="BO179" i="2"/>
  <c r="BN179" i="2"/>
  <c r="BM179" i="2"/>
  <c r="Z179" i="2"/>
  <c r="Y179" i="2"/>
  <c r="BP179" i="2" s="1"/>
  <c r="P179" i="2"/>
  <c r="BO178" i="2"/>
  <c r="BM178" i="2"/>
  <c r="Z178" i="2"/>
  <c r="Z181" i="2" s="1"/>
  <c r="Y178" i="2"/>
  <c r="Y182" i="2" s="1"/>
  <c r="P178" i="2"/>
  <c r="X174" i="2"/>
  <c r="X173" i="2"/>
  <c r="BP172" i="2"/>
  <c r="BO172" i="2"/>
  <c r="BN172" i="2"/>
  <c r="BM172" i="2"/>
  <c r="Z172" i="2"/>
  <c r="Y172" i="2"/>
  <c r="P172" i="2"/>
  <c r="BO171" i="2"/>
  <c r="BM171" i="2"/>
  <c r="Z171" i="2"/>
  <c r="Y171" i="2"/>
  <c r="Y173" i="2" s="1"/>
  <c r="P171" i="2"/>
  <c r="Y167" i="2"/>
  <c r="X167" i="2"/>
  <c r="X166" i="2"/>
  <c r="BO165" i="2"/>
  <c r="BM165" i="2"/>
  <c r="Z165" i="2"/>
  <c r="Z166" i="2" s="1"/>
  <c r="Y165" i="2"/>
  <c r="Y166" i="2" s="1"/>
  <c r="P165" i="2"/>
  <c r="X162" i="2"/>
  <c r="X161" i="2"/>
  <c r="BP160" i="2"/>
  <c r="BO160" i="2"/>
  <c r="BN160" i="2"/>
  <c r="BM160" i="2"/>
  <c r="Z160" i="2"/>
  <c r="Z161" i="2" s="1"/>
  <c r="Y160" i="2"/>
  <c r="Y162" i="2" s="1"/>
  <c r="P160" i="2"/>
  <c r="X157" i="2"/>
  <c r="X156" i="2"/>
  <c r="T279" i="2" s="1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Z151" i="2" s="1"/>
  <c r="Y150" i="2"/>
  <c r="P150" i="2"/>
  <c r="X147" i="2"/>
  <c r="X146" i="2"/>
  <c r="BP145" i="2"/>
  <c r="BO145" i="2"/>
  <c r="BN145" i="2"/>
  <c r="BM145" i="2"/>
  <c r="Z145" i="2"/>
  <c r="Y145" i="2"/>
  <c r="P145" i="2"/>
  <c r="BO144" i="2"/>
  <c r="BM144" i="2"/>
  <c r="Z144" i="2"/>
  <c r="Y144" i="2"/>
  <c r="P144" i="2"/>
  <c r="X141" i="2"/>
  <c r="X140" i="2"/>
  <c r="Q279" i="2" s="1"/>
  <c r="BO139" i="2"/>
  <c r="BM139" i="2"/>
  <c r="Z139" i="2"/>
  <c r="Z140" i="2" s="1"/>
  <c r="Y139" i="2"/>
  <c r="BN139" i="2" s="1"/>
  <c r="P139" i="2"/>
  <c r="BO138" i="2"/>
  <c r="BM138" i="2"/>
  <c r="Z138" i="2"/>
  <c r="Y138" i="2"/>
  <c r="BN138" i="2" s="1"/>
  <c r="P138" i="2"/>
  <c r="X135" i="2"/>
  <c r="P279" i="2" s="1"/>
  <c r="X134" i="2"/>
  <c r="BO133" i="2"/>
  <c r="BM133" i="2"/>
  <c r="Z133" i="2"/>
  <c r="Y133" i="2"/>
  <c r="BN133" i="2" s="1"/>
  <c r="P133" i="2"/>
  <c r="BO132" i="2"/>
  <c r="BN132" i="2"/>
  <c r="BM132" i="2"/>
  <c r="Z132" i="2"/>
  <c r="Z134" i="2" s="1"/>
  <c r="Y132" i="2"/>
  <c r="BP132" i="2" s="1"/>
  <c r="P132" i="2"/>
  <c r="X129" i="2"/>
  <c r="O279" i="2" s="1"/>
  <c r="Z128" i="2"/>
  <c r="X128" i="2"/>
  <c r="BO127" i="2"/>
  <c r="BM127" i="2"/>
  <c r="Z127" i="2"/>
  <c r="Y127" i="2"/>
  <c r="P127" i="2"/>
  <c r="X125" i="2"/>
  <c r="X124" i="2"/>
  <c r="BO123" i="2"/>
  <c r="BM123" i="2"/>
  <c r="Z123" i="2"/>
  <c r="Z124" i="2" s="1"/>
  <c r="Y123" i="2"/>
  <c r="Y125" i="2" s="1"/>
  <c r="P123" i="2"/>
  <c r="X121" i="2"/>
  <c r="X120" i="2"/>
  <c r="BO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Y120" i="2" s="1"/>
  <c r="P113" i="2"/>
  <c r="BO112" i="2"/>
  <c r="BM112" i="2"/>
  <c r="Z112" i="2"/>
  <c r="Y112" i="2"/>
  <c r="BP112" i="2" s="1"/>
  <c r="P112" i="2"/>
  <c r="BO111" i="2"/>
  <c r="BM111" i="2"/>
  <c r="Z111" i="2"/>
  <c r="Y111" i="2"/>
  <c r="P111" i="2"/>
  <c r="X108" i="2"/>
  <c r="X107" i="2"/>
  <c r="BO106" i="2"/>
  <c r="BM106" i="2"/>
  <c r="Z106" i="2"/>
  <c r="Y106" i="2"/>
  <c r="BP106" i="2" s="1"/>
  <c r="P106" i="2"/>
  <c r="BO105" i="2"/>
  <c r="BM105" i="2"/>
  <c r="Z105" i="2"/>
  <c r="Z107" i="2" s="1"/>
  <c r="Y105" i="2"/>
  <c r="P105" i="2"/>
  <c r="X102" i="2"/>
  <c r="X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P97" i="2"/>
  <c r="BO97" i="2"/>
  <c r="BN97" i="2"/>
  <c r="BM97" i="2"/>
  <c r="Z97" i="2"/>
  <c r="Y97" i="2"/>
  <c r="P97" i="2"/>
  <c r="BO96" i="2"/>
  <c r="BM96" i="2"/>
  <c r="Z96" i="2"/>
  <c r="Y96" i="2"/>
  <c r="P96" i="2"/>
  <c r="BO95" i="2"/>
  <c r="BM95" i="2"/>
  <c r="Z95" i="2"/>
  <c r="Z101" i="2" s="1"/>
  <c r="Y95" i="2"/>
  <c r="P95" i="2"/>
  <c r="X92" i="2"/>
  <c r="X91" i="2"/>
  <c r="J279" i="2" s="1"/>
  <c r="BO90" i="2"/>
  <c r="BM90" i="2"/>
  <c r="Z90" i="2"/>
  <c r="Y90" i="2"/>
  <c r="P90" i="2"/>
  <c r="BO89" i="2"/>
  <c r="BM89" i="2"/>
  <c r="Z89" i="2"/>
  <c r="Z91" i="2" s="1"/>
  <c r="Y89" i="2"/>
  <c r="BP89" i="2" s="1"/>
  <c r="P89" i="2"/>
  <c r="X86" i="2"/>
  <c r="X85" i="2"/>
  <c r="BP84" i="2"/>
  <c r="BO84" i="2"/>
  <c r="BN84" i="2"/>
  <c r="BM84" i="2"/>
  <c r="Z84" i="2"/>
  <c r="Z85" i="2" s="1"/>
  <c r="Y84" i="2"/>
  <c r="Y86" i="2" s="1"/>
  <c r="P84" i="2"/>
  <c r="X81" i="2"/>
  <c r="Z80" i="2"/>
  <c r="X80" i="2"/>
  <c r="I279" i="2" s="1"/>
  <c r="BO79" i="2"/>
  <c r="BM79" i="2"/>
  <c r="Z79" i="2"/>
  <c r="Y79" i="2"/>
  <c r="P79" i="2"/>
  <c r="BO78" i="2"/>
  <c r="BM78" i="2"/>
  <c r="Z78" i="2"/>
  <c r="Y78" i="2"/>
  <c r="P78" i="2"/>
  <c r="X75" i="2"/>
  <c r="X74" i="2"/>
  <c r="H279" i="2" s="1"/>
  <c r="BO73" i="2"/>
  <c r="BM73" i="2"/>
  <c r="Z73" i="2"/>
  <c r="Y73" i="2"/>
  <c r="P73" i="2"/>
  <c r="BO72" i="2"/>
  <c r="BM72" i="2"/>
  <c r="Z72" i="2"/>
  <c r="Y72" i="2"/>
  <c r="BN72" i="2" s="1"/>
  <c r="P72" i="2"/>
  <c r="BP71" i="2"/>
  <c r="BO71" i="2"/>
  <c r="BN71" i="2"/>
  <c r="BM71" i="2"/>
  <c r="Z71" i="2"/>
  <c r="Z74" i="2" s="1"/>
  <c r="Y71" i="2"/>
  <c r="P71" i="2"/>
  <c r="X69" i="2"/>
  <c r="G279" i="2" s="1"/>
  <c r="Z68" i="2"/>
  <c r="X68" i="2"/>
  <c r="BO67" i="2"/>
  <c r="BM67" i="2"/>
  <c r="Z67" i="2"/>
  <c r="Y67" i="2"/>
  <c r="BP67" i="2" s="1"/>
  <c r="P67" i="2"/>
  <c r="BO66" i="2"/>
  <c r="BM66" i="2"/>
  <c r="Z66" i="2"/>
  <c r="Y66" i="2"/>
  <c r="P66" i="2"/>
  <c r="X64" i="2"/>
  <c r="Z63" i="2"/>
  <c r="X63" i="2"/>
  <c r="F279" i="2" s="1"/>
  <c r="BO62" i="2"/>
  <c r="BM62" i="2"/>
  <c r="Z62" i="2"/>
  <c r="Y62" i="2"/>
  <c r="Y64" i="2" s="1"/>
  <c r="P62" i="2"/>
  <c r="Y60" i="2"/>
  <c r="X60" i="2"/>
  <c r="Y59" i="2"/>
  <c r="X59" i="2"/>
  <c r="BP58" i="2"/>
  <c r="BO58" i="2"/>
  <c r="BN58" i="2"/>
  <c r="BM58" i="2"/>
  <c r="Z58" i="2"/>
  <c r="Z59" i="2" s="1"/>
  <c r="Y58" i="2"/>
  <c r="P58" i="2"/>
  <c r="X55" i="2"/>
  <c r="X54" i="2"/>
  <c r="BO53" i="2"/>
  <c r="BM53" i="2"/>
  <c r="Z53" i="2"/>
  <c r="Y53" i="2"/>
  <c r="BN53" i="2" s="1"/>
  <c r="P53" i="2"/>
  <c r="BO52" i="2"/>
  <c r="BM52" i="2"/>
  <c r="Z52" i="2"/>
  <c r="Y52" i="2"/>
  <c r="P52" i="2"/>
  <c r="BO51" i="2"/>
  <c r="BM51" i="2"/>
  <c r="Z51" i="2"/>
  <c r="Y51" i="2"/>
  <c r="BP51" i="2" s="1"/>
  <c r="P51" i="2"/>
  <c r="BO50" i="2"/>
  <c r="BM50" i="2"/>
  <c r="Z50" i="2"/>
  <c r="Y50" i="2"/>
  <c r="Y55" i="2" s="1"/>
  <c r="P50" i="2"/>
  <c r="X47" i="2"/>
  <c r="E279" i="2" s="1"/>
  <c r="X46" i="2"/>
  <c r="BO45" i="2"/>
  <c r="BM45" i="2"/>
  <c r="Z45" i="2"/>
  <c r="Y45" i="2"/>
  <c r="P45" i="2"/>
  <c r="BO44" i="2"/>
  <c r="BM44" i="2"/>
  <c r="Z44" i="2"/>
  <c r="Y44" i="2"/>
  <c r="BP44" i="2" s="1"/>
  <c r="P44" i="2"/>
  <c r="BO43" i="2"/>
  <c r="BM43" i="2"/>
  <c r="Z43" i="2"/>
  <c r="Y43" i="2"/>
  <c r="BP43" i="2" s="1"/>
  <c r="P43" i="2"/>
  <c r="X40" i="2"/>
  <c r="X39" i="2"/>
  <c r="BO38" i="2"/>
  <c r="BM38" i="2"/>
  <c r="Z38" i="2"/>
  <c r="Y38" i="2"/>
  <c r="P38" i="2"/>
  <c r="BO37" i="2"/>
  <c r="BM37" i="2"/>
  <c r="Z37" i="2"/>
  <c r="Y37" i="2"/>
  <c r="BP37" i="2" s="1"/>
  <c r="P37" i="2"/>
  <c r="X33" i="2"/>
  <c r="X32" i="2"/>
  <c r="BO31" i="2"/>
  <c r="BM31" i="2"/>
  <c r="Z31" i="2"/>
  <c r="Y31" i="2"/>
  <c r="P31" i="2"/>
  <c r="BO30" i="2"/>
  <c r="BM30" i="2"/>
  <c r="Z30" i="2"/>
  <c r="Y30" i="2"/>
  <c r="BP30" i="2" s="1"/>
  <c r="P30" i="2"/>
  <c r="X27" i="2"/>
  <c r="X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X271" i="2" s="1"/>
  <c r="BM22" i="2"/>
  <c r="Z22" i="2"/>
  <c r="Z26" i="2" s="1"/>
  <c r="Y22" i="2"/>
  <c r="BN22" i="2" s="1"/>
  <c r="P22" i="2"/>
  <c r="H10" i="2"/>
  <c r="A9" i="2"/>
  <c r="F10" i="2" s="1"/>
  <c r="D7" i="2"/>
  <c r="Q6" i="2"/>
  <c r="P2" i="2"/>
  <c r="BP45" i="2" l="1"/>
  <c r="BN45" i="2"/>
  <c r="Y47" i="2"/>
  <c r="BP52" i="2"/>
  <c r="BN52" i="2"/>
  <c r="BN66" i="2"/>
  <c r="Y68" i="2"/>
  <c r="BP66" i="2"/>
  <c r="BN78" i="2"/>
  <c r="Y80" i="2"/>
  <c r="BP78" i="2"/>
  <c r="Y81" i="2"/>
  <c r="Z120" i="2"/>
  <c r="BP62" i="2"/>
  <c r="Y63" i="2"/>
  <c r="BP72" i="2"/>
  <c r="Y74" i="2"/>
  <c r="BP90" i="2"/>
  <c r="BN90" i="2"/>
  <c r="BP96" i="2"/>
  <c r="BN96" i="2"/>
  <c r="BP98" i="2"/>
  <c r="BP117" i="2"/>
  <c r="BN117" i="2"/>
  <c r="BP119" i="2"/>
  <c r="BN119" i="2"/>
  <c r="BP127" i="2"/>
  <c r="Y128" i="2"/>
  <c r="BP144" i="2"/>
  <c r="BN144" i="2"/>
  <c r="Y151" i="2"/>
  <c r="Y152" i="2"/>
  <c r="BP202" i="2"/>
  <c r="Y203" i="2"/>
  <c r="BP241" i="2"/>
  <c r="Y244" i="2"/>
  <c r="BP257" i="2"/>
  <c r="X270" i="2"/>
  <c r="BP22" i="2"/>
  <c r="Z32" i="2"/>
  <c r="Y33" i="2"/>
  <c r="X269" i="2"/>
  <c r="Z39" i="2"/>
  <c r="Z274" i="2" s="1"/>
  <c r="Y40" i="2"/>
  <c r="X273" i="2"/>
  <c r="Z46" i="2"/>
  <c r="Z54" i="2"/>
  <c r="BP53" i="2"/>
  <c r="Y101" i="2"/>
  <c r="K279" i="2"/>
  <c r="Y102" i="2"/>
  <c r="Y107" i="2"/>
  <c r="Y108" i="2"/>
  <c r="Y121" i="2"/>
  <c r="BP111" i="2"/>
  <c r="BP114" i="2"/>
  <c r="BP115" i="2"/>
  <c r="BP133" i="2"/>
  <c r="Y134" i="2"/>
  <c r="BP138" i="2"/>
  <c r="BP139" i="2"/>
  <c r="Y140" i="2"/>
  <c r="Z146" i="2"/>
  <c r="Y147" i="2"/>
  <c r="Z173" i="2"/>
  <c r="Y174" i="2"/>
  <c r="BP178" i="2"/>
  <c r="V279" i="2"/>
  <c r="Y186" i="2"/>
  <c r="Z198" i="2"/>
  <c r="BN194" i="2"/>
  <c r="Y198" i="2"/>
  <c r="Y215" i="2"/>
  <c r="BN219" i="2"/>
  <c r="BP219" i="2"/>
  <c r="Y220" i="2"/>
  <c r="BP225" i="2"/>
  <c r="Y226" i="2"/>
  <c r="BN231" i="2"/>
  <c r="BP231" i="2"/>
  <c r="BN242" i="2"/>
  <c r="BN246" i="2"/>
  <c r="Y248" i="2"/>
  <c r="Z267" i="2"/>
  <c r="BN260" i="2"/>
  <c r="BP264" i="2"/>
  <c r="X272" i="2"/>
  <c r="BP31" i="2"/>
  <c r="BN44" i="2"/>
  <c r="Y69" i="2"/>
  <c r="Y85" i="2"/>
  <c r="Y129" i="2"/>
  <c r="Y146" i="2"/>
  <c r="Y161" i="2"/>
  <c r="Y249" i="2"/>
  <c r="BN211" i="2"/>
  <c r="Y214" i="2"/>
  <c r="Y232" i="2"/>
  <c r="BN253" i="2"/>
  <c r="BN263" i="2"/>
  <c r="BN38" i="2"/>
  <c r="BN73" i="2"/>
  <c r="BN171" i="2"/>
  <c r="Y204" i="2"/>
  <c r="BN258" i="2"/>
  <c r="BN113" i="2"/>
  <c r="BN123" i="2"/>
  <c r="BN23" i="2"/>
  <c r="BP113" i="2"/>
  <c r="BP123" i="2"/>
  <c r="Y135" i="2"/>
  <c r="BN197" i="2"/>
  <c r="F9" i="2"/>
  <c r="BN105" i="2"/>
  <c r="BN116" i="2"/>
  <c r="Y39" i="2"/>
  <c r="BP50" i="2"/>
  <c r="BP99" i="2"/>
  <c r="BN111" i="2"/>
  <c r="BN178" i="2"/>
  <c r="BN241" i="2"/>
  <c r="Y26" i="2"/>
  <c r="BP38" i="2"/>
  <c r="BN50" i="2"/>
  <c r="Y91" i="2"/>
  <c r="Y32" i="2"/>
  <c r="BN79" i="2"/>
  <c r="Y141" i="2"/>
  <c r="BN155" i="2"/>
  <c r="H9" i="2"/>
  <c r="BP73" i="2"/>
  <c r="Y124" i="2"/>
  <c r="Y181" i="2"/>
  <c r="BP197" i="2"/>
  <c r="BP211" i="2"/>
  <c r="J9" i="2"/>
  <c r="Y27" i="2"/>
  <c r="BP79" i="2"/>
  <c r="Y92" i="2"/>
  <c r="BP105" i="2"/>
  <c r="BP155" i="2"/>
  <c r="BP171" i="2"/>
  <c r="BN190" i="2"/>
  <c r="BN266" i="2"/>
  <c r="Y254" i="2"/>
  <c r="Y156" i="2"/>
  <c r="BP190" i="2"/>
  <c r="BN31" i="2"/>
  <c r="BN24" i="2"/>
  <c r="BN51" i="2"/>
  <c r="Y54" i="2"/>
  <c r="Y75" i="2"/>
  <c r="BN89" i="2"/>
  <c r="BN100" i="2"/>
  <c r="BN150" i="2"/>
  <c r="BN165" i="2"/>
  <c r="Y199" i="2"/>
  <c r="BN212" i="2"/>
  <c r="Y255" i="2"/>
  <c r="Y267" i="2"/>
  <c r="BN37" i="2"/>
  <c r="BN62" i="2"/>
  <c r="BN112" i="2"/>
  <c r="BP150" i="2"/>
  <c r="BP165" i="2"/>
  <c r="A10" i="2"/>
  <c r="BN30" i="2"/>
  <c r="BN95" i="2"/>
  <c r="BN67" i="2"/>
  <c r="Y268" i="2"/>
  <c r="BN106" i="2"/>
  <c r="BN43" i="2"/>
  <c r="Y46" i="2"/>
  <c r="BP95" i="2"/>
  <c r="BN127" i="2"/>
  <c r="BN247" i="2"/>
  <c r="BP184" i="2"/>
  <c r="BN196" i="2"/>
  <c r="BN252" i="2"/>
  <c r="BN262" i="2"/>
  <c r="Y269" i="2" l="1"/>
  <c r="Y273" i="2"/>
  <c r="Y270" i="2"/>
  <c r="Y271" i="2"/>
  <c r="Y272" i="2" l="1"/>
  <c r="C282" i="2" l="1"/>
  <c r="A282" i="2"/>
  <c r="B282" i="2"/>
</calcChain>
</file>

<file path=xl/sharedStrings.xml><?xml version="1.0" encoding="utf-8"?>
<sst xmlns="http://schemas.openxmlformats.org/spreadsheetml/2006/main" count="1647" uniqueCount="394">
  <si>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</si>
  <si>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</si>
  <si>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</si>
  <si>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</si>
  <si>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</si>
  <si>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</si>
  <si>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</si>
  <si>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</si>
  <si>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</si>
  <si>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</si>
  <si>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</si>
  <si>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</si>
  <si>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</si>
  <si>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</si>
  <si>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</si>
  <si>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</si>
  <si>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</si>
  <si>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</si>
  <si>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</si>
  <si>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</si>
  <si>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</si>
  <si>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</si>
  <si>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</si>
  <si>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</si>
  <si>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</si>
  <si>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</si>
  <si>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</si>
  <si>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</si>
  <si>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</si>
  <si>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</si>
  <si>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</si>
  <si>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</si>
  <si>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</si>
  <si>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</si>
  <si>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</si>
  <si>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</si>
  <si>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</si>
  <si>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</si>
  <si>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</si>
  <si>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</si>
  <si>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</si>
  <si>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</si>
  <si>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</si>
  <si>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</si>
  <si>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</si>
  <si>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</si>
  <si>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</si>
  <si>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</si>
  <si>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</si>
  <si>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</si>
  <si>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</si>
  <si>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</si>
  <si>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</si>
  <si>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</si>
  <si>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</si>
  <si>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</si>
  <si>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</si>
  <si>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</si>
  <si>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</si>
  <si>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</si>
  <si>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</si>
  <si>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</si>
  <si>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</si>
  <si>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</si>
  <si>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</si>
  <si>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</si>
  <si>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</si>
  <si>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</si>
  <si>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</si>
  <si>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</si>
  <si>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</si>
  <si>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01.12.2025</t>
  </si>
  <si>
    <t>26.11.2025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</si>
  <si>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</si>
  <si>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</si>
  <si>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</si>
  <si>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</si>
  <si>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</si>
  <si>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</si>
  <si>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</si>
  <si>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</si>
  <si>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</si>
  <si>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</si>
  <si>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SU003968</t>
  </si>
  <si>
    <t>P005109</t>
  </si>
  <si>
    <t>ЕАЭС N RU Д-RU.РА01.В.79461/23</t>
  </si>
  <si>
    <t>МГ</t>
  </si>
  <si>
    <t>12</t>
  </si>
  <si>
    <t>Короб, мин. 1</t>
  </si>
  <si>
    <t>Короб</t>
  </si>
  <si>
    <t>SU003975</t>
  </si>
  <si>
    <t>P005107</t>
  </si>
  <si>
    <t>SU003972</t>
  </si>
  <si>
    <t>P005104</t>
  </si>
  <si>
    <t>SU003971</t>
  </si>
  <si>
    <t>P005103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</si>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</sst>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45992</v>
      </c>
      <c r="R5" s="282"/>
      <c r="T5" s="283" t="s">
        <v>3</v>
      </c>
      <c r="U5" s="284"/>
      <c r="V5" s="285" t="s">
        <v>380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0.375</v>
      </c>
      <c r="R8" s="303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4"/>
      <c r="C9" s="304"/>
      <c r="D9" s="305" t="s">
        <v>46</v>
      </c>
      <c r="E9" s="306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4"/>
      <c r="H9" s="307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73"/>
      <c r="P9" s="31" t="s">
        <v>15</v>
      </c>
      <c r="Q9" s="308"/>
      <c r="R9" s="308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4"/>
      <c r="C10" s="304"/>
      <c r="D10" s="305"/>
      <c r="E10" s="306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4"/>
      <c r="H10" s="309" t="str">
        <f>IFERROR(VLOOKUP($D$10,Proxy,2,FALSE),"")</f>
        <v/>
      </c>
      <c r="I10" s="309"/>
      <c r="J10" s="309"/>
      <c r="K10" s="309"/>
      <c r="L10" s="309"/>
      <c r="M10" s="309"/>
      <c r="N10" s="74"/>
      <c r="P10" s="31" t="s">
        <v>32</v>
      </c>
      <c r="Q10" s="310"/>
      <c r="R10" s="310"/>
      <c r="U10" s="29" t="s">
        <v>12</v>
      </c>
      <c r="V10" s="311" t="s">
        <v>74</v>
      </c>
      <c r="W10" s="31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3"/>
      <c r="R11" s="313"/>
      <c r="U11" s="29" t="s">
        <v>28</v>
      </c>
      <c r="V11" s="314" t="s">
        <v>55</v>
      </c>
      <c r="W11" s="3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5" t="s">
        <v>75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79"/>
      <c r="P12" s="27" t="s">
        <v>30</v>
      </c>
      <c r="Q12" s="302"/>
      <c r="R12" s="302"/>
      <c r="S12" s="28"/>
      <c r="T12"/>
      <c r="U12" s="29" t="s">
        <v>46</v>
      </c>
      <c r="V12" s="316"/>
      <c r="W12" s="316"/>
      <c r="X12"/>
      <c r="AB12" s="59"/>
      <c r="AC12" s="59"/>
      <c r="AD12" s="59"/>
      <c r="AE12" s="59"/>
    </row>
    <row r="13" spans="1:32" s="17" customFormat="1" ht="23.25" customHeight="1" x14ac:dyDescent="0.2">
      <c r="A13" s="315" t="s">
        <v>76</v>
      </c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79"/>
      <c r="O13" s="31"/>
      <c r="P13" s="31" t="s">
        <v>31</v>
      </c>
      <c r="Q13" s="314"/>
      <c r="R13" s="3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5" t="s">
        <v>77</v>
      </c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7" t="s">
        <v>78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80"/>
      <c r="O15"/>
      <c r="P15" s="318" t="s">
        <v>61</v>
      </c>
      <c r="Q15" s="318"/>
      <c r="R15" s="318"/>
      <c r="S15" s="318"/>
      <c r="T15" s="3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9"/>
      <c r="Q16" s="319"/>
      <c r="R16" s="319"/>
      <c r="S16" s="319"/>
      <c r="T16" s="3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2" t="s">
        <v>59</v>
      </c>
      <c r="B17" s="322" t="s">
        <v>49</v>
      </c>
      <c r="C17" s="324" t="s">
        <v>48</v>
      </c>
      <c r="D17" s="326" t="s">
        <v>50</v>
      </c>
      <c r="E17" s="327"/>
      <c r="F17" s="322" t="s">
        <v>21</v>
      </c>
      <c r="G17" s="322" t="s">
        <v>24</v>
      </c>
      <c r="H17" s="322" t="s">
        <v>22</v>
      </c>
      <c r="I17" s="322" t="s">
        <v>23</v>
      </c>
      <c r="J17" s="322" t="s">
        <v>16</v>
      </c>
      <c r="K17" s="322" t="s">
        <v>69</v>
      </c>
      <c r="L17" s="322" t="s">
        <v>67</v>
      </c>
      <c r="M17" s="322" t="s">
        <v>2</v>
      </c>
      <c r="N17" s="322" t="s">
        <v>66</v>
      </c>
      <c r="O17" s="322" t="s">
        <v>25</v>
      </c>
      <c r="P17" s="326" t="s">
        <v>17</v>
      </c>
      <c r="Q17" s="330"/>
      <c r="R17" s="330"/>
      <c r="S17" s="330"/>
      <c r="T17" s="327"/>
      <c r="U17" s="320" t="s">
        <v>56</v>
      </c>
      <c r="V17" s="321"/>
      <c r="W17" s="322" t="s">
        <v>6</v>
      </c>
      <c r="X17" s="322" t="s">
        <v>41</v>
      </c>
      <c r="Y17" s="332" t="s">
        <v>54</v>
      </c>
      <c r="Z17" s="334" t="s">
        <v>18</v>
      </c>
      <c r="AA17" s="336" t="s">
        <v>60</v>
      </c>
      <c r="AB17" s="336" t="s">
        <v>19</v>
      </c>
      <c r="AC17" s="336" t="s">
        <v>68</v>
      </c>
      <c r="AD17" s="338" t="s">
        <v>57</v>
      </c>
      <c r="AE17" s="339"/>
      <c r="AF17" s="340"/>
      <c r="AG17" s="85"/>
      <c r="BD17" s="84" t="s">
        <v>64</v>
      </c>
    </row>
    <row r="18" spans="1:68" ht="14.25" customHeight="1" x14ac:dyDescent="0.2">
      <c r="A18" s="323"/>
      <c r="B18" s="323"/>
      <c r="C18" s="325"/>
      <c r="D18" s="328"/>
      <c r="E18" s="329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8"/>
      <c r="Q18" s="331"/>
      <c r="R18" s="331"/>
      <c r="S18" s="331"/>
      <c r="T18" s="329"/>
      <c r="U18" s="86" t="s">
        <v>44</v>
      </c>
      <c r="V18" s="86" t="s">
        <v>43</v>
      </c>
      <c r="W18" s="323"/>
      <c r="X18" s="323"/>
      <c r="Y18" s="333"/>
      <c r="Z18" s="335"/>
      <c r="AA18" s="337"/>
      <c r="AB18" s="337"/>
      <c r="AC18" s="337"/>
      <c r="AD18" s="341"/>
      <c r="AE18" s="342"/>
      <c r="AF18" s="343"/>
      <c r="AG18" s="85"/>
      <c r="BD18" s="84"/>
    </row>
    <row r="19" spans="1:68" ht="27.75" customHeight="1" x14ac:dyDescent="0.2">
      <c r="A19" s="344" t="s">
        <v>81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54"/>
      <c r="AB19" s="54"/>
      <c r="AC19" s="54"/>
    </row>
    <row r="20" spans="1:68" ht="16.5" customHeight="1" x14ac:dyDescent="0.25">
      <c r="A20" s="345" t="s">
        <v>81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65"/>
      <c r="AB20" s="65"/>
      <c r="AC20" s="82"/>
    </row>
    <row r="21" spans="1:68" ht="14.25" customHeight="1" x14ac:dyDescent="0.25">
      <c r="A21" s="346" t="s">
        <v>82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4301071110</v>
      </c>
      <c r="D22" s="347">
        <v>4607111035103</v>
      </c>
      <c r="E22" s="347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349"/>
      <c r="R22" s="349"/>
      <c r="S22" s="349"/>
      <c r="T22" s="350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4301071109</v>
      </c>
      <c r="D23" s="347">
        <v>4607111035929</v>
      </c>
      <c r="E23" s="347"/>
      <c r="F23" s="62">
        <v>0.9</v>
      </c>
      <c r="G23" s="37">
        <v>8</v>
      </c>
      <c r="H23" s="62">
        <v>7.2</v>
      </c>
      <c r="I23" s="62">
        <v>7.47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349"/>
      <c r="R23" s="349"/>
      <c r="S23" s="349"/>
      <c r="T23" s="350"/>
      <c r="U23" s="39" t="s">
        <v>46</v>
      </c>
      <c r="V23" s="39" t="s">
        <v>46</v>
      </c>
      <c r="W23" s="40" t="s">
        <v>39</v>
      </c>
      <c r="X23" s="58">
        <v>0</v>
      </c>
      <c r="Y23" s="55">
        <f>IFERROR(IF(X23="","",X23),"")</f>
        <v>0</v>
      </c>
      <c r="Z23" s="41">
        <f>IFERROR(IF(X23="","",X23*0.0155),"")</f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>IFERROR(X23*I23,"0")</f>
        <v>0</v>
      </c>
      <c r="BN23" s="81">
        <f>IFERROR(Y23*I23,"0")</f>
        <v>0</v>
      </c>
      <c r="BO23" s="81">
        <f>IFERROR(X23/J23,"0")</f>
        <v>0</v>
      </c>
      <c r="BP23" s="81">
        <f>IFERROR(Y23/J23,"0")</f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4301071106</v>
      </c>
      <c r="D24" s="347">
        <v>4607111035882</v>
      </c>
      <c r="E24" s="34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349"/>
      <c r="R24" s="349"/>
      <c r="S24" s="349"/>
      <c r="T24" s="350"/>
      <c r="U24" s="39" t="s">
        <v>46</v>
      </c>
      <c r="V24" s="39" t="s">
        <v>46</v>
      </c>
      <c r="W24" s="40" t="s">
        <v>39</v>
      </c>
      <c r="X24" s="58">
        <v>0</v>
      </c>
      <c r="Y24" s="55">
        <f>IFERROR(IF(X24="","",X24),"")</f>
        <v>0</v>
      </c>
      <c r="Z24" s="41">
        <f>IFERROR(IF(X24="","",X24*0.0155),"")</f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>IFERROR(X24*I24,"0")</f>
        <v>0</v>
      </c>
      <c r="BN24" s="81">
        <f>IFERROR(Y24*I24,"0")</f>
        <v>0</v>
      </c>
      <c r="BO24" s="81">
        <f>IFERROR(X24/J24,"0")</f>
        <v>0</v>
      </c>
      <c r="BP24" s="81">
        <f>IFERROR(Y24/J24,"0")</f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4301071105</v>
      </c>
      <c r="D25" s="347">
        <v>4607111035110</v>
      </c>
      <c r="E25" s="347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349"/>
      <c r="R25" s="349"/>
      <c r="S25" s="349"/>
      <c r="T25" s="350"/>
      <c r="U25" s="39" t="s">
        <v>46</v>
      </c>
      <c r="V25" s="39" t="s">
        <v>46</v>
      </c>
      <c r="W25" s="40" t="s">
        <v>39</v>
      </c>
      <c r="X25" s="58">
        <v>0</v>
      </c>
      <c r="Y25" s="55">
        <f>IFERROR(IF(X25="","",X25),"")</f>
        <v>0</v>
      </c>
      <c r="Z25" s="41">
        <f>IFERROR(IF(X25="","",X25*0.0155),"")</f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>IFERROR(X25*I25,"0")</f>
        <v>0</v>
      </c>
      <c r="BN25" s="81">
        <f>IFERROR(Y25*I25,"0")</f>
        <v>0</v>
      </c>
      <c r="BO25" s="81">
        <f>IFERROR(X25/J25,"0")</f>
        <v>0</v>
      </c>
      <c r="BP25" s="81">
        <f>IFERROR(Y25/J25,"0")</f>
        <v>0</v>
      </c>
    </row>
    <row r="26" spans="1:68" x14ac:dyDescent="0.2">
      <c r="A26" s="357"/>
      <c r="B26" s="357"/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8"/>
      <c r="P26" s="354" t="s">
        <v>40</v>
      </c>
      <c r="Q26" s="355"/>
      <c r="R26" s="355"/>
      <c r="S26" s="355"/>
      <c r="T26" s="355"/>
      <c r="U26" s="355"/>
      <c r="V26" s="356"/>
      <c r="W26" s="42" t="s">
        <v>39</v>
      </c>
      <c r="X26" s="43">
        <f>IFERROR(SUM(X22:X25),"0")</f>
        <v>0</v>
      </c>
      <c r="Y26" s="43">
        <f>IFERROR(SUM(Y22:Y25),"0")</f>
        <v>0</v>
      </c>
      <c r="Z26" s="43">
        <f>IFERROR(IF(Z22="",0,Z22),"0")+IFERROR(IF(Z23="",0,Z23),"0")+IFERROR(IF(Z24="",0,Z24),"0")+IFERROR(IF(Z25="",0,Z25),"0")</f>
        <v>0</v>
      </c>
      <c r="AA26" s="67"/>
      <c r="AB26" s="67"/>
      <c r="AC26" s="67"/>
    </row>
    <row r="27" spans="1:68" x14ac:dyDescent="0.2">
      <c r="A27" s="357"/>
      <c r="B27" s="357"/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357"/>
      <c r="O27" s="358"/>
      <c r="P27" s="354" t="s">
        <v>40</v>
      </c>
      <c r="Q27" s="355"/>
      <c r="R27" s="355"/>
      <c r="S27" s="355"/>
      <c r="T27" s="355"/>
      <c r="U27" s="355"/>
      <c r="V27" s="356"/>
      <c r="W27" s="42" t="s">
        <v>0</v>
      </c>
      <c r="X27" s="43">
        <f>IFERROR(SUMPRODUCT(X22:X25*H22:H25),"0")</f>
        <v>0</v>
      </c>
      <c r="Y27" s="43">
        <f>IFERROR(SUMPRODUCT(Y22:Y25*H22:H25),"0")</f>
        <v>0</v>
      </c>
      <c r="Z27" s="42"/>
      <c r="AA27" s="67"/>
      <c r="AB27" s="67"/>
      <c r="AC27" s="67"/>
    </row>
    <row r="28" spans="1:68" ht="16.5" customHeight="1" x14ac:dyDescent="0.25">
      <c r="A28" s="345" t="s">
        <v>96</v>
      </c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45"/>
      <c r="AA28" s="65"/>
      <c r="AB28" s="65"/>
      <c r="AC28" s="82"/>
    </row>
    <row r="29" spans="1:68" ht="14.25" customHeight="1" x14ac:dyDescent="0.25">
      <c r="A29" s="346" t="s">
        <v>82</v>
      </c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66"/>
      <c r="AB29" s="66"/>
      <c r="AC29" s="83"/>
    </row>
    <row r="30" spans="1:68" ht="16.5" customHeight="1" x14ac:dyDescent="0.25">
      <c r="A30" s="63" t="s">
        <v>97</v>
      </c>
      <c r="B30" s="63" t="s">
        <v>98</v>
      </c>
      <c r="C30" s="36">
        <v>4301071099</v>
      </c>
      <c r="D30" s="347">
        <v>4607111039019</v>
      </c>
      <c r="E30" s="347"/>
      <c r="F30" s="62">
        <v>0.43</v>
      </c>
      <c r="G30" s="37">
        <v>16</v>
      </c>
      <c r="H30" s="62">
        <v>6.88</v>
      </c>
      <c r="I30" s="62">
        <v>7.2060000000000004</v>
      </c>
      <c r="J30" s="37">
        <v>84</v>
      </c>
      <c r="K30" s="37" t="s">
        <v>87</v>
      </c>
      <c r="L30" s="37" t="s">
        <v>88</v>
      </c>
      <c r="M30" s="38" t="s">
        <v>86</v>
      </c>
      <c r="N30" s="38"/>
      <c r="O30" s="37">
        <v>180</v>
      </c>
      <c r="P30" s="35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349"/>
      <c r="R30" s="349"/>
      <c r="S30" s="349"/>
      <c r="T30" s="350"/>
      <c r="U30" s="39" t="s">
        <v>46</v>
      </c>
      <c r="V30" s="39" t="s">
        <v>46</v>
      </c>
      <c r="W30" s="40" t="s">
        <v>39</v>
      </c>
      <c r="X30" s="58">
        <v>0</v>
      </c>
      <c r="Y30" s="55">
        <f>IFERROR(IF(X30="","",X30),"")</f>
        <v>0</v>
      </c>
      <c r="Z30" s="41">
        <f>IFERROR(IF(X30="","",X30*0.0155),"")</f>
        <v>0</v>
      </c>
      <c r="AA30" s="68" t="s">
        <v>46</v>
      </c>
      <c r="AB30" s="69" t="s">
        <v>46</v>
      </c>
      <c r="AC30" s="97" t="s">
        <v>99</v>
      </c>
      <c r="AG30" s="81"/>
      <c r="AJ30" s="87" t="s">
        <v>89</v>
      </c>
      <c r="AK30" s="87">
        <v>1</v>
      </c>
      <c r="BB30" s="98" t="s">
        <v>70</v>
      </c>
      <c r="BM30" s="81">
        <f>IFERROR(X30*I30,"0")</f>
        <v>0</v>
      </c>
      <c r="BN30" s="81">
        <f>IFERROR(Y30*I30,"0")</f>
        <v>0</v>
      </c>
      <c r="BO30" s="81">
        <f>IFERROR(X30/J30,"0")</f>
        <v>0</v>
      </c>
      <c r="BP30" s="81">
        <f>IFERROR(Y30/J30,"0")</f>
        <v>0</v>
      </c>
    </row>
    <row r="31" spans="1:68" ht="16.5" customHeight="1" x14ac:dyDescent="0.25">
      <c r="A31" s="63" t="s">
        <v>100</v>
      </c>
      <c r="B31" s="63" t="s">
        <v>101</v>
      </c>
      <c r="C31" s="36">
        <v>4301071100</v>
      </c>
      <c r="D31" s="347">
        <v>4607111038708</v>
      </c>
      <c r="E31" s="347"/>
      <c r="F31" s="62">
        <v>0.8</v>
      </c>
      <c r="G31" s="37">
        <v>8</v>
      </c>
      <c r="H31" s="62">
        <v>6.4</v>
      </c>
      <c r="I31" s="62">
        <v>6.67</v>
      </c>
      <c r="J31" s="37">
        <v>84</v>
      </c>
      <c r="K31" s="37" t="s">
        <v>87</v>
      </c>
      <c r="L31" s="37" t="s">
        <v>88</v>
      </c>
      <c r="M31" s="38" t="s">
        <v>86</v>
      </c>
      <c r="N31" s="38"/>
      <c r="O31" s="37">
        <v>180</v>
      </c>
      <c r="P31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349"/>
      <c r="R31" s="349"/>
      <c r="S31" s="349"/>
      <c r="T31" s="350"/>
      <c r="U31" s="39" t="s">
        <v>46</v>
      </c>
      <c r="V31" s="39" t="s">
        <v>46</v>
      </c>
      <c r="W31" s="40" t="s">
        <v>39</v>
      </c>
      <c r="X31" s="58">
        <v>0</v>
      </c>
      <c r="Y31" s="55">
        <f>IFERROR(IF(X31="","",X31),"")</f>
        <v>0</v>
      </c>
      <c r="Z31" s="41">
        <f>IFERROR(IF(X31="","",X31*0.0155),"")</f>
        <v>0</v>
      </c>
      <c r="AA31" s="68" t="s">
        <v>46</v>
      </c>
      <c r="AB31" s="69" t="s">
        <v>46</v>
      </c>
      <c r="AC31" s="99" t="s">
        <v>99</v>
      </c>
      <c r="AG31" s="81"/>
      <c r="AJ31" s="87" t="s">
        <v>89</v>
      </c>
      <c r="AK31" s="87">
        <v>1</v>
      </c>
      <c r="BB31" s="100" t="s">
        <v>70</v>
      </c>
      <c r="BM31" s="81">
        <f>IFERROR(X31*I31,"0")</f>
        <v>0</v>
      </c>
      <c r="BN31" s="81">
        <f>IFERROR(Y31*I31,"0")</f>
        <v>0</v>
      </c>
      <c r="BO31" s="81">
        <f>IFERROR(X31/J31,"0")</f>
        <v>0</v>
      </c>
      <c r="BP31" s="81">
        <f>IFERROR(Y31/J31,"0")</f>
        <v>0</v>
      </c>
    </row>
    <row r="32" spans="1:68" x14ac:dyDescent="0.2">
      <c r="A32" s="357"/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8"/>
      <c r="P32" s="354" t="s">
        <v>40</v>
      </c>
      <c r="Q32" s="355"/>
      <c r="R32" s="355"/>
      <c r="S32" s="355"/>
      <c r="T32" s="355"/>
      <c r="U32" s="355"/>
      <c r="V32" s="356"/>
      <c r="W32" s="42" t="s">
        <v>39</v>
      </c>
      <c r="X32" s="43">
        <f>IFERROR(SUM(X30:X31),"0")</f>
        <v>0</v>
      </c>
      <c r="Y32" s="43">
        <f>IFERROR(SUM(Y30:Y31),"0")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357"/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8"/>
      <c r="P33" s="354" t="s">
        <v>40</v>
      </c>
      <c r="Q33" s="355"/>
      <c r="R33" s="355"/>
      <c r="S33" s="355"/>
      <c r="T33" s="355"/>
      <c r="U33" s="355"/>
      <c r="V33" s="356"/>
      <c r="W33" s="42" t="s">
        <v>0</v>
      </c>
      <c r="X33" s="43">
        <f>IFERROR(SUMPRODUCT(X30:X31*H30:H31),"0")</f>
        <v>0</v>
      </c>
      <c r="Y33" s="43">
        <f>IFERROR(SUMPRODUCT(Y30:Y31*H30:H31),"0")</f>
        <v>0</v>
      </c>
      <c r="Z33" s="42"/>
      <c r="AA33" s="67"/>
      <c r="AB33" s="67"/>
      <c r="AC33" s="67"/>
    </row>
    <row r="34" spans="1:68" ht="27.75" customHeight="1" x14ac:dyDescent="0.2">
      <c r="A34" s="344" t="s">
        <v>45</v>
      </c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54"/>
      <c r="AB34" s="54"/>
      <c r="AC34" s="54"/>
    </row>
    <row r="35" spans="1:68" ht="16.5" customHeight="1" x14ac:dyDescent="0.25">
      <c r="A35" s="345" t="s">
        <v>102</v>
      </c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65"/>
      <c r="AB35" s="65"/>
      <c r="AC35" s="82"/>
    </row>
    <row r="36" spans="1:68" ht="14.25" customHeight="1" x14ac:dyDescent="0.25">
      <c r="A36" s="346" t="s">
        <v>103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66"/>
      <c r="AB36" s="66"/>
      <c r="AC36" s="83"/>
    </row>
    <row r="37" spans="1:68" ht="27" customHeight="1" x14ac:dyDescent="0.25">
      <c r="A37" s="63" t="s">
        <v>104</v>
      </c>
      <c r="B37" s="63" t="s">
        <v>105</v>
      </c>
      <c r="C37" s="36">
        <v>4301132190</v>
      </c>
      <c r="D37" s="347">
        <v>4607111036537</v>
      </c>
      <c r="E37" s="347"/>
      <c r="F37" s="62">
        <v>0.25</v>
      </c>
      <c r="G37" s="37">
        <v>6</v>
      </c>
      <c r="H37" s="62">
        <v>1.5</v>
      </c>
      <c r="I37" s="62">
        <v>1.9218</v>
      </c>
      <c r="J37" s="37">
        <v>140</v>
      </c>
      <c r="K37" s="37" t="s">
        <v>108</v>
      </c>
      <c r="L37" s="37" t="s">
        <v>109</v>
      </c>
      <c r="M37" s="38" t="s">
        <v>86</v>
      </c>
      <c r="N37" s="38"/>
      <c r="O37" s="37">
        <v>365</v>
      </c>
      <c r="P37" s="36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349"/>
      <c r="R37" s="349"/>
      <c r="S37" s="349"/>
      <c r="T37" s="350"/>
      <c r="U37" s="39" t="s">
        <v>46</v>
      </c>
      <c r="V37" s="39" t="s">
        <v>46</v>
      </c>
      <c r="W37" s="40" t="s">
        <v>39</v>
      </c>
      <c r="X37" s="58">
        <v>0</v>
      </c>
      <c r="Y37" s="55">
        <f>IFERROR(IF(X37="","",X37),"")</f>
        <v>0</v>
      </c>
      <c r="Z37" s="41">
        <f>IFERROR(IF(X37="","",X37*0.00941),"")</f>
        <v>0</v>
      </c>
      <c r="AA37" s="68" t="s">
        <v>46</v>
      </c>
      <c r="AB37" s="69" t="s">
        <v>46</v>
      </c>
      <c r="AC37" s="101" t="s">
        <v>106</v>
      </c>
      <c r="AG37" s="81"/>
      <c r="AJ37" s="87" t="s">
        <v>110</v>
      </c>
      <c r="AK37" s="87">
        <v>14</v>
      </c>
      <c r="BB37" s="102" t="s">
        <v>107</v>
      </c>
      <c r="BM37" s="81">
        <f>IFERROR(X37*I37,"0")</f>
        <v>0</v>
      </c>
      <c r="BN37" s="81">
        <f>IFERROR(Y37*I37,"0")</f>
        <v>0</v>
      </c>
      <c r="BO37" s="81">
        <f>IFERROR(X37/J37,"0")</f>
        <v>0</v>
      </c>
      <c r="BP37" s="81">
        <f>IFERROR(Y37/J37,"0")</f>
        <v>0</v>
      </c>
    </row>
    <row r="38" spans="1:68" ht="27" customHeight="1" x14ac:dyDescent="0.25">
      <c r="A38" s="63" t="s">
        <v>111</v>
      </c>
      <c r="B38" s="63" t="s">
        <v>112</v>
      </c>
      <c r="C38" s="36">
        <v>4301132188</v>
      </c>
      <c r="D38" s="347">
        <v>4607111036605</v>
      </c>
      <c r="E38" s="347"/>
      <c r="F38" s="62">
        <v>0.25</v>
      </c>
      <c r="G38" s="37">
        <v>6</v>
      </c>
      <c r="H38" s="62">
        <v>1.5</v>
      </c>
      <c r="I38" s="62">
        <v>1.9218</v>
      </c>
      <c r="J38" s="37">
        <v>140</v>
      </c>
      <c r="K38" s="37" t="s">
        <v>108</v>
      </c>
      <c r="L38" s="37" t="s">
        <v>88</v>
      </c>
      <c r="M38" s="38" t="s">
        <v>86</v>
      </c>
      <c r="N38" s="38"/>
      <c r="O38" s="37">
        <v>365</v>
      </c>
      <c r="P38" s="36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349"/>
      <c r="R38" s="349"/>
      <c r="S38" s="349"/>
      <c r="T38" s="350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IFERROR(IF(X38="","",X38*0.00941),"")</f>
        <v>0</v>
      </c>
      <c r="AA38" s="68" t="s">
        <v>46</v>
      </c>
      <c r="AB38" s="69" t="s">
        <v>46</v>
      </c>
      <c r="AC38" s="103" t="s">
        <v>106</v>
      </c>
      <c r="AG38" s="81"/>
      <c r="AJ38" s="87" t="s">
        <v>89</v>
      </c>
      <c r="AK38" s="87">
        <v>1</v>
      </c>
      <c r="BB38" s="104" t="s">
        <v>107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x14ac:dyDescent="0.2">
      <c r="A39" s="357"/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8"/>
      <c r="P39" s="354" t="s">
        <v>40</v>
      </c>
      <c r="Q39" s="355"/>
      <c r="R39" s="355"/>
      <c r="S39" s="355"/>
      <c r="T39" s="355"/>
      <c r="U39" s="355"/>
      <c r="V39" s="356"/>
      <c r="W39" s="42" t="s">
        <v>39</v>
      </c>
      <c r="X39" s="43">
        <f>IFERROR(SUM(X37:X38),"0")</f>
        <v>0</v>
      </c>
      <c r="Y39" s="43">
        <f>IFERROR(SUM(Y37:Y38),"0")</f>
        <v>0</v>
      </c>
      <c r="Z39" s="43">
        <f>IFERROR(IF(Z37="",0,Z37),"0")+IFERROR(IF(Z38="",0,Z38),"0")</f>
        <v>0</v>
      </c>
      <c r="AA39" s="67"/>
      <c r="AB39" s="67"/>
      <c r="AC39" s="67"/>
    </row>
    <row r="40" spans="1:68" x14ac:dyDescent="0.2">
      <c r="A40" s="357"/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8"/>
      <c r="P40" s="354" t="s">
        <v>40</v>
      </c>
      <c r="Q40" s="355"/>
      <c r="R40" s="355"/>
      <c r="S40" s="355"/>
      <c r="T40" s="355"/>
      <c r="U40" s="355"/>
      <c r="V40" s="356"/>
      <c r="W40" s="42" t="s">
        <v>0</v>
      </c>
      <c r="X40" s="43">
        <f>IFERROR(SUMPRODUCT(X37:X38*H37:H38),"0")</f>
        <v>0</v>
      </c>
      <c r="Y40" s="43">
        <f>IFERROR(SUMPRODUCT(Y37:Y38*H37:H38),"0")</f>
        <v>0</v>
      </c>
      <c r="Z40" s="42"/>
      <c r="AA40" s="67"/>
      <c r="AB40" s="67"/>
      <c r="AC40" s="67"/>
    </row>
    <row r="41" spans="1:68" ht="16.5" customHeight="1" x14ac:dyDescent="0.25">
      <c r="A41" s="345" t="s">
        <v>113</v>
      </c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65"/>
      <c r="AB41" s="65"/>
      <c r="AC41" s="82"/>
    </row>
    <row r="42" spans="1:68" ht="14.25" customHeight="1" x14ac:dyDescent="0.25">
      <c r="A42" s="346" t="s">
        <v>82</v>
      </c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  <c r="AA42" s="66"/>
      <c r="AB42" s="66"/>
      <c r="AC42" s="83"/>
    </row>
    <row r="43" spans="1:68" ht="27" customHeight="1" x14ac:dyDescent="0.25">
      <c r="A43" s="63" t="s">
        <v>114</v>
      </c>
      <c r="B43" s="63" t="s">
        <v>115</v>
      </c>
      <c r="C43" s="36">
        <v>4301071090</v>
      </c>
      <c r="D43" s="347">
        <v>4620207490075</v>
      </c>
      <c r="E43" s="347"/>
      <c r="F43" s="62">
        <v>0.7</v>
      </c>
      <c r="G43" s="37">
        <v>8</v>
      </c>
      <c r="H43" s="62">
        <v>5.6</v>
      </c>
      <c r="I43" s="62">
        <v>5.87</v>
      </c>
      <c r="J43" s="37">
        <v>84</v>
      </c>
      <c r="K43" s="37" t="s">
        <v>87</v>
      </c>
      <c r="L43" s="37" t="s">
        <v>88</v>
      </c>
      <c r="M43" s="38" t="s">
        <v>86</v>
      </c>
      <c r="N43" s="38"/>
      <c r="O43" s="37">
        <v>180</v>
      </c>
      <c r="P43" s="36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349"/>
      <c r="R43" s="349"/>
      <c r="S43" s="349"/>
      <c r="T43" s="350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89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117</v>
      </c>
      <c r="B44" s="63" t="s">
        <v>118</v>
      </c>
      <c r="C44" s="36">
        <v>4301071092</v>
      </c>
      <c r="D44" s="347">
        <v>4620207490174</v>
      </c>
      <c r="E44" s="347"/>
      <c r="F44" s="62">
        <v>0.7</v>
      </c>
      <c r="G44" s="37">
        <v>8</v>
      </c>
      <c r="H44" s="62">
        <v>5.6</v>
      </c>
      <c r="I44" s="62">
        <v>5.87</v>
      </c>
      <c r="J44" s="37">
        <v>84</v>
      </c>
      <c r="K44" s="37" t="s">
        <v>87</v>
      </c>
      <c r="L44" s="37" t="s">
        <v>109</v>
      </c>
      <c r="M44" s="38" t="s">
        <v>86</v>
      </c>
      <c r="N44" s="38"/>
      <c r="O44" s="37">
        <v>180</v>
      </c>
      <c r="P44" s="36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349"/>
      <c r="R44" s="349"/>
      <c r="S44" s="349"/>
      <c r="T44" s="350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110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ht="27" customHeight="1" x14ac:dyDescent="0.25">
      <c r="A45" s="63" t="s">
        <v>120</v>
      </c>
      <c r="B45" s="63" t="s">
        <v>121</v>
      </c>
      <c r="C45" s="36">
        <v>4301071091</v>
      </c>
      <c r="D45" s="347">
        <v>4620207490044</v>
      </c>
      <c r="E45" s="347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349"/>
      <c r="R45" s="349"/>
      <c r="S45" s="349"/>
      <c r="T45" s="350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122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x14ac:dyDescent="0.2">
      <c r="A46" s="357"/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8"/>
      <c r="P46" s="354" t="s">
        <v>40</v>
      </c>
      <c r="Q46" s="355"/>
      <c r="R46" s="355"/>
      <c r="S46" s="355"/>
      <c r="T46" s="355"/>
      <c r="U46" s="355"/>
      <c r="V46" s="356"/>
      <c r="W46" s="42" t="s">
        <v>39</v>
      </c>
      <c r="X46" s="43">
        <f>IFERROR(SUM(X43:X45),"0")</f>
        <v>0</v>
      </c>
      <c r="Y46" s="43">
        <f>IFERROR(SUM(Y43:Y45),"0")</f>
        <v>0</v>
      </c>
      <c r="Z46" s="43">
        <f>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357"/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358"/>
      <c r="P47" s="354" t="s">
        <v>40</v>
      </c>
      <c r="Q47" s="355"/>
      <c r="R47" s="355"/>
      <c r="S47" s="355"/>
      <c r="T47" s="355"/>
      <c r="U47" s="355"/>
      <c r="V47" s="356"/>
      <c r="W47" s="42" t="s">
        <v>0</v>
      </c>
      <c r="X47" s="43">
        <f>IFERROR(SUMPRODUCT(X43:X45*H43:H45),"0")</f>
        <v>0</v>
      </c>
      <c r="Y47" s="43">
        <f>IFERROR(SUMPRODUCT(Y43:Y45*H43:H45),"0")</f>
        <v>0</v>
      </c>
      <c r="Z47" s="42"/>
      <c r="AA47" s="67"/>
      <c r="AB47" s="67"/>
      <c r="AC47" s="67"/>
    </row>
    <row r="48" spans="1:68" ht="16.5" customHeight="1" x14ac:dyDescent="0.25">
      <c r="A48" s="345" t="s">
        <v>123</v>
      </c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65"/>
      <c r="AB48" s="65"/>
      <c r="AC48" s="82"/>
    </row>
    <row r="49" spans="1:68" ht="14.25" customHeight="1" x14ac:dyDescent="0.25">
      <c r="A49" s="346" t="s">
        <v>82</v>
      </c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66"/>
      <c r="AB49" s="66"/>
      <c r="AC49" s="83"/>
    </row>
    <row r="50" spans="1:68" ht="27" customHeight="1" x14ac:dyDescent="0.25">
      <c r="A50" s="63" t="s">
        <v>124</v>
      </c>
      <c r="B50" s="63" t="s">
        <v>125</v>
      </c>
      <c r="C50" s="36">
        <v>4301071044</v>
      </c>
      <c r="D50" s="347">
        <v>4607111039385</v>
      </c>
      <c r="E50" s="347"/>
      <c r="F50" s="62">
        <v>0.7</v>
      </c>
      <c r="G50" s="37">
        <v>10</v>
      </c>
      <c r="H50" s="62">
        <v>7</v>
      </c>
      <c r="I50" s="62">
        <v>7.3</v>
      </c>
      <c r="J50" s="37">
        <v>84</v>
      </c>
      <c r="K50" s="37" t="s">
        <v>87</v>
      </c>
      <c r="L50" s="37" t="s">
        <v>109</v>
      </c>
      <c r="M50" s="38" t="s">
        <v>86</v>
      </c>
      <c r="N50" s="38"/>
      <c r="O50" s="37">
        <v>180</v>
      </c>
      <c r="P50" s="36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349"/>
      <c r="R50" s="349"/>
      <c r="S50" s="349"/>
      <c r="T50" s="350"/>
      <c r="U50" s="39" t="s">
        <v>46</v>
      </c>
      <c r="V50" s="39" t="s">
        <v>46</v>
      </c>
      <c r="W50" s="40" t="s">
        <v>39</v>
      </c>
      <c r="X50" s="58">
        <v>0</v>
      </c>
      <c r="Y50" s="55">
        <f>IFERROR(IF(X50="","",X50),"")</f>
        <v>0</v>
      </c>
      <c r="Z50" s="41">
        <f>IFERROR(IF(X50="","",X50*0.0155),"")</f>
        <v>0</v>
      </c>
      <c r="AA50" s="68" t="s">
        <v>46</v>
      </c>
      <c r="AB50" s="69" t="s">
        <v>46</v>
      </c>
      <c r="AC50" s="111" t="s">
        <v>126</v>
      </c>
      <c r="AG50" s="81"/>
      <c r="AJ50" s="87" t="s">
        <v>110</v>
      </c>
      <c r="AK50" s="87">
        <v>12</v>
      </c>
      <c r="BB50" s="112" t="s">
        <v>70</v>
      </c>
      <c r="BM50" s="81">
        <f>IFERROR(X50*I50,"0")</f>
        <v>0</v>
      </c>
      <c r="BN50" s="81">
        <f>IFERROR(Y50*I50,"0")</f>
        <v>0</v>
      </c>
      <c r="BO50" s="81">
        <f>IFERROR(X50/J50,"0")</f>
        <v>0</v>
      </c>
      <c r="BP50" s="81">
        <f>IFERROR(Y50/J50,"0")</f>
        <v>0</v>
      </c>
    </row>
    <row r="51" spans="1:68" ht="27" customHeight="1" x14ac:dyDescent="0.25">
      <c r="A51" s="63" t="s">
        <v>127</v>
      </c>
      <c r="B51" s="63" t="s">
        <v>128</v>
      </c>
      <c r="C51" s="36">
        <v>4301071031</v>
      </c>
      <c r="D51" s="347">
        <v>4607111038982</v>
      </c>
      <c r="E51" s="347"/>
      <c r="F51" s="62">
        <v>0.7</v>
      </c>
      <c r="G51" s="37">
        <v>10</v>
      </c>
      <c r="H51" s="62">
        <v>7</v>
      </c>
      <c r="I51" s="62">
        <v>7.2859999999999996</v>
      </c>
      <c r="J51" s="37">
        <v>84</v>
      </c>
      <c r="K51" s="37" t="s">
        <v>87</v>
      </c>
      <c r="L51" s="37" t="s">
        <v>109</v>
      </c>
      <c r="M51" s="38" t="s">
        <v>86</v>
      </c>
      <c r="N51" s="38"/>
      <c r="O51" s="37">
        <v>180</v>
      </c>
      <c r="P51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349"/>
      <c r="R51" s="349"/>
      <c r="S51" s="349"/>
      <c r="T51" s="350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3" t="s">
        <v>129</v>
      </c>
      <c r="AG51" s="81"/>
      <c r="AJ51" s="87" t="s">
        <v>110</v>
      </c>
      <c r="AK51" s="87">
        <v>12</v>
      </c>
      <c r="BB51" s="114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4301071046</v>
      </c>
      <c r="D52" s="347">
        <v>4607111039354</v>
      </c>
      <c r="E52" s="347"/>
      <c r="F52" s="62">
        <v>0.4</v>
      </c>
      <c r="G52" s="37">
        <v>16</v>
      </c>
      <c r="H52" s="62">
        <v>6.4</v>
      </c>
      <c r="I52" s="62">
        <v>6.7195999999999998</v>
      </c>
      <c r="J52" s="37">
        <v>84</v>
      </c>
      <c r="K52" s="37" t="s">
        <v>87</v>
      </c>
      <c r="L52" s="37" t="s">
        <v>109</v>
      </c>
      <c r="M52" s="38" t="s">
        <v>86</v>
      </c>
      <c r="N52" s="38"/>
      <c r="O52" s="37">
        <v>180</v>
      </c>
      <c r="P52" s="36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349"/>
      <c r="R52" s="349"/>
      <c r="S52" s="349"/>
      <c r="T52" s="350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110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4301071047</v>
      </c>
      <c r="D53" s="347">
        <v>4607111039330</v>
      </c>
      <c r="E53" s="347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88</v>
      </c>
      <c r="M53" s="38" t="s">
        <v>86</v>
      </c>
      <c r="N53" s="38"/>
      <c r="O53" s="37">
        <v>180</v>
      </c>
      <c r="P53" s="36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49"/>
      <c r="R53" s="349"/>
      <c r="S53" s="349"/>
      <c r="T53" s="35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129</v>
      </c>
      <c r="AG53" s="81"/>
      <c r="AJ53" s="87" t="s">
        <v>89</v>
      </c>
      <c r="AK53" s="87">
        <v>1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7"/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8"/>
      <c r="P54" s="354" t="s">
        <v>40</v>
      </c>
      <c r="Q54" s="355"/>
      <c r="R54" s="355"/>
      <c r="S54" s="355"/>
      <c r="T54" s="355"/>
      <c r="U54" s="355"/>
      <c r="V54" s="356"/>
      <c r="W54" s="42" t="s">
        <v>39</v>
      </c>
      <c r="X54" s="43">
        <f>IFERROR(SUM(X50:X53),"0")</f>
        <v>0</v>
      </c>
      <c r="Y54" s="43">
        <f>IFERROR(SUM(Y50:Y53),"0")</f>
        <v>0</v>
      </c>
      <c r="Z54" s="43">
        <f>IFERROR(IF(Z50="",0,Z50),"0")+IFERROR(IF(Z51="",0,Z51),"0")+IFERROR(IF(Z52="",0,Z52),"0")+IFERROR(IF(Z53="",0,Z53),"0")</f>
        <v>0</v>
      </c>
      <c r="AA54" s="67"/>
      <c r="AB54" s="67"/>
      <c r="AC54" s="67"/>
    </row>
    <row r="55" spans="1:68" x14ac:dyDescent="0.2">
      <c r="A55" s="357"/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357"/>
      <c r="O55" s="358"/>
      <c r="P55" s="354" t="s">
        <v>40</v>
      </c>
      <c r="Q55" s="355"/>
      <c r="R55" s="355"/>
      <c r="S55" s="355"/>
      <c r="T55" s="355"/>
      <c r="U55" s="355"/>
      <c r="V55" s="356"/>
      <c r="W55" s="42" t="s">
        <v>0</v>
      </c>
      <c r="X55" s="43">
        <f>IFERROR(SUMPRODUCT(X50:X53*H50:H53),"0")</f>
        <v>0</v>
      </c>
      <c r="Y55" s="43">
        <f>IFERROR(SUMPRODUCT(Y50:Y53*H50:H53),"0")</f>
        <v>0</v>
      </c>
      <c r="Z55" s="42"/>
      <c r="AA55" s="67"/>
      <c r="AB55" s="67"/>
      <c r="AC55" s="67"/>
    </row>
    <row r="56" spans="1:68" ht="16.5" customHeight="1" x14ac:dyDescent="0.25">
      <c r="A56" s="345" t="s">
        <v>134</v>
      </c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65"/>
      <c r="AB56" s="65"/>
      <c r="AC56" s="82"/>
    </row>
    <row r="57" spans="1:68" ht="14.25" customHeight="1" x14ac:dyDescent="0.25">
      <c r="A57" s="346" t="s">
        <v>82</v>
      </c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66"/>
      <c r="AB57" s="66"/>
      <c r="AC57" s="83"/>
    </row>
    <row r="58" spans="1:68" ht="16.5" customHeight="1" x14ac:dyDescent="0.25">
      <c r="A58" s="63" t="s">
        <v>135</v>
      </c>
      <c r="B58" s="63" t="s">
        <v>136</v>
      </c>
      <c r="C58" s="36">
        <v>4301071073</v>
      </c>
      <c r="D58" s="347">
        <v>4620207490822</v>
      </c>
      <c r="E58" s="347"/>
      <c r="F58" s="62">
        <v>0.43</v>
      </c>
      <c r="G58" s="37">
        <v>8</v>
      </c>
      <c r="H58" s="62">
        <v>3.44</v>
      </c>
      <c r="I58" s="62">
        <v>3.64</v>
      </c>
      <c r="J58" s="37">
        <v>144</v>
      </c>
      <c r="K58" s="37" t="s">
        <v>87</v>
      </c>
      <c r="L58" s="37" t="s">
        <v>88</v>
      </c>
      <c r="M58" s="38" t="s">
        <v>86</v>
      </c>
      <c r="N58" s="38"/>
      <c r="O58" s="37">
        <v>365</v>
      </c>
      <c r="P58" s="37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349"/>
      <c r="R58" s="349"/>
      <c r="S58" s="349"/>
      <c r="T58" s="350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IFERROR(IF(X58="","",X58*0.00866),"")</f>
        <v>0</v>
      </c>
      <c r="AA58" s="68" t="s">
        <v>46</v>
      </c>
      <c r="AB58" s="69" t="s">
        <v>46</v>
      </c>
      <c r="AC58" s="119" t="s">
        <v>137</v>
      </c>
      <c r="AG58" s="81"/>
      <c r="AJ58" s="87" t="s">
        <v>89</v>
      </c>
      <c r="AK58" s="87">
        <v>1</v>
      </c>
      <c r="BB58" s="120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7"/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8"/>
      <c r="P59" s="354" t="s">
        <v>40</v>
      </c>
      <c r="Q59" s="355"/>
      <c r="R59" s="355"/>
      <c r="S59" s="355"/>
      <c r="T59" s="355"/>
      <c r="U59" s="355"/>
      <c r="V59" s="356"/>
      <c r="W59" s="42" t="s">
        <v>39</v>
      </c>
      <c r="X59" s="43">
        <f>IFERROR(SUM(X58:X58),"0")</f>
        <v>0</v>
      </c>
      <c r="Y59" s="43">
        <f>IFERROR(SUM(Y58:Y58),"0")</f>
        <v>0</v>
      </c>
      <c r="Z59" s="43">
        <f>IFERROR(IF(Z58="",0,Z58),"0")</f>
        <v>0</v>
      </c>
      <c r="AA59" s="67"/>
      <c r="AB59" s="67"/>
      <c r="AC59" s="67"/>
    </row>
    <row r="60" spans="1:68" x14ac:dyDescent="0.2">
      <c r="A60" s="357"/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8"/>
      <c r="P60" s="354" t="s">
        <v>40</v>
      </c>
      <c r="Q60" s="355"/>
      <c r="R60" s="355"/>
      <c r="S60" s="355"/>
      <c r="T60" s="355"/>
      <c r="U60" s="355"/>
      <c r="V60" s="356"/>
      <c r="W60" s="42" t="s">
        <v>0</v>
      </c>
      <c r="X60" s="43">
        <f>IFERROR(SUMPRODUCT(X58:X58*H58:H58),"0")</f>
        <v>0</v>
      </c>
      <c r="Y60" s="43">
        <f>IFERROR(SUMPRODUCT(Y58:Y58*H58:H58),"0")</f>
        <v>0</v>
      </c>
      <c r="Z60" s="42"/>
      <c r="AA60" s="67"/>
      <c r="AB60" s="67"/>
      <c r="AC60" s="67"/>
    </row>
    <row r="61" spans="1:68" ht="14.25" customHeight="1" x14ac:dyDescent="0.25">
      <c r="A61" s="346" t="s">
        <v>103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  <c r="AA61" s="66"/>
      <c r="AB61" s="66"/>
      <c r="AC61" s="83"/>
    </row>
    <row r="62" spans="1:68" ht="27" customHeight="1" x14ac:dyDescent="0.25">
      <c r="A62" s="63" t="s">
        <v>138</v>
      </c>
      <c r="B62" s="63" t="s">
        <v>139</v>
      </c>
      <c r="C62" s="36">
        <v>4301132194</v>
      </c>
      <c r="D62" s="347">
        <v>4607111039712</v>
      </c>
      <c r="E62" s="347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108</v>
      </c>
      <c r="L62" s="37" t="s">
        <v>88</v>
      </c>
      <c r="M62" s="38" t="s">
        <v>86</v>
      </c>
      <c r="N62" s="38"/>
      <c r="O62" s="37">
        <v>365</v>
      </c>
      <c r="P62" s="37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349"/>
      <c r="R62" s="349"/>
      <c r="S62" s="349"/>
      <c r="T62" s="35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1" t="s">
        <v>140</v>
      </c>
      <c r="AG62" s="81"/>
      <c r="AJ62" s="87" t="s">
        <v>89</v>
      </c>
      <c r="AK62" s="87">
        <v>1</v>
      </c>
      <c r="BB62" s="122" t="s">
        <v>107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57"/>
      <c r="B63" s="357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8"/>
      <c r="P63" s="354" t="s">
        <v>40</v>
      </c>
      <c r="Q63" s="355"/>
      <c r="R63" s="355"/>
      <c r="S63" s="355"/>
      <c r="T63" s="355"/>
      <c r="U63" s="355"/>
      <c r="V63" s="356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57"/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8"/>
      <c r="P64" s="354" t="s">
        <v>40</v>
      </c>
      <c r="Q64" s="355"/>
      <c r="R64" s="355"/>
      <c r="S64" s="355"/>
      <c r="T64" s="355"/>
      <c r="U64" s="355"/>
      <c r="V64" s="356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46" t="s">
        <v>141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  <c r="AA65" s="66"/>
      <c r="AB65" s="66"/>
      <c r="AC65" s="83"/>
    </row>
    <row r="66" spans="1:68" ht="16.5" customHeight="1" x14ac:dyDescent="0.25">
      <c r="A66" s="63" t="s">
        <v>142</v>
      </c>
      <c r="B66" s="63" t="s">
        <v>143</v>
      </c>
      <c r="C66" s="36">
        <v>4301136018</v>
      </c>
      <c r="D66" s="347">
        <v>4607111037008</v>
      </c>
      <c r="E66" s="347"/>
      <c r="F66" s="62">
        <v>0.36</v>
      </c>
      <c r="G66" s="37">
        <v>4</v>
      </c>
      <c r="H66" s="62">
        <v>1.44</v>
      </c>
      <c r="I66" s="62">
        <v>1.74</v>
      </c>
      <c r="J66" s="37">
        <v>140</v>
      </c>
      <c r="K66" s="37" t="s">
        <v>108</v>
      </c>
      <c r="L66" s="37" t="s">
        <v>88</v>
      </c>
      <c r="M66" s="38" t="s">
        <v>86</v>
      </c>
      <c r="N66" s="38"/>
      <c r="O66" s="37">
        <v>365</v>
      </c>
      <c r="P66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49"/>
      <c r="R66" s="349"/>
      <c r="S66" s="349"/>
      <c r="T66" s="35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3" t="s">
        <v>144</v>
      </c>
      <c r="AG66" s="81"/>
      <c r="AJ66" s="87" t="s">
        <v>89</v>
      </c>
      <c r="AK66" s="87">
        <v>1</v>
      </c>
      <c r="BB66" s="124" t="s">
        <v>107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6.5" customHeight="1" x14ac:dyDescent="0.25">
      <c r="A67" s="63" t="s">
        <v>145</v>
      </c>
      <c r="B67" s="63" t="s">
        <v>146</v>
      </c>
      <c r="C67" s="36">
        <v>4301136015</v>
      </c>
      <c r="D67" s="347">
        <v>4607111037398</v>
      </c>
      <c r="E67" s="347"/>
      <c r="F67" s="62">
        <v>0.09</v>
      </c>
      <c r="G67" s="37">
        <v>24</v>
      </c>
      <c r="H67" s="62">
        <v>2.16</v>
      </c>
      <c r="I67" s="62">
        <v>4.0199999999999996</v>
      </c>
      <c r="J67" s="37">
        <v>126</v>
      </c>
      <c r="K67" s="37" t="s">
        <v>108</v>
      </c>
      <c r="L67" s="37" t="s">
        <v>88</v>
      </c>
      <c r="M67" s="38" t="s">
        <v>86</v>
      </c>
      <c r="N67" s="38"/>
      <c r="O67" s="37">
        <v>365</v>
      </c>
      <c r="P67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349"/>
      <c r="R67" s="349"/>
      <c r="S67" s="349"/>
      <c r="T67" s="350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IFERROR(IF(X67="","",X67*0.00936),"")</f>
        <v>0</v>
      </c>
      <c r="AA67" s="68" t="s">
        <v>46</v>
      </c>
      <c r="AB67" s="69" t="s">
        <v>46</v>
      </c>
      <c r="AC67" s="125" t="s">
        <v>144</v>
      </c>
      <c r="AG67" s="81"/>
      <c r="AJ67" s="87" t="s">
        <v>89</v>
      </c>
      <c r="AK67" s="87">
        <v>1</v>
      </c>
      <c r="BB67" s="126" t="s">
        <v>107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x14ac:dyDescent="0.2">
      <c r="A68" s="357"/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8"/>
      <c r="P68" s="354" t="s">
        <v>40</v>
      </c>
      <c r="Q68" s="355"/>
      <c r="R68" s="355"/>
      <c r="S68" s="355"/>
      <c r="T68" s="355"/>
      <c r="U68" s="355"/>
      <c r="V68" s="356"/>
      <c r="W68" s="42" t="s">
        <v>39</v>
      </c>
      <c r="X68" s="43">
        <f>IFERROR(SUM(X66:X67),"0")</f>
        <v>0</v>
      </c>
      <c r="Y68" s="43">
        <f>IFERROR(SUM(Y66:Y67),"0")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357"/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8"/>
      <c r="P69" s="354" t="s">
        <v>40</v>
      </c>
      <c r="Q69" s="355"/>
      <c r="R69" s="355"/>
      <c r="S69" s="355"/>
      <c r="T69" s="355"/>
      <c r="U69" s="355"/>
      <c r="V69" s="356"/>
      <c r="W69" s="42" t="s">
        <v>0</v>
      </c>
      <c r="X69" s="43">
        <f>IFERROR(SUMPRODUCT(X66:X67*H66:H67),"0")</f>
        <v>0</v>
      </c>
      <c r="Y69" s="43">
        <f>IFERROR(SUMPRODUCT(Y66:Y67*H66:H67),"0")</f>
        <v>0</v>
      </c>
      <c r="Z69" s="42"/>
      <c r="AA69" s="67"/>
      <c r="AB69" s="67"/>
      <c r="AC69" s="67"/>
    </row>
    <row r="70" spans="1:68" ht="14.25" customHeight="1" x14ac:dyDescent="0.25">
      <c r="A70" s="346" t="s">
        <v>147</v>
      </c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  <c r="Z70" s="346"/>
      <c r="AA70" s="66"/>
      <c r="AB70" s="66"/>
      <c r="AC70" s="83"/>
    </row>
    <row r="71" spans="1:68" ht="27" customHeight="1" x14ac:dyDescent="0.25">
      <c r="A71" s="63" t="s">
        <v>148</v>
      </c>
      <c r="B71" s="63" t="s">
        <v>149</v>
      </c>
      <c r="C71" s="36">
        <v>4301135664</v>
      </c>
      <c r="D71" s="347">
        <v>4607111039705</v>
      </c>
      <c r="E71" s="347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108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349"/>
      <c r="R71" s="349"/>
      <c r="S71" s="349"/>
      <c r="T71" s="35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27" t="s">
        <v>144</v>
      </c>
      <c r="AG71" s="81"/>
      <c r="AJ71" s="87" t="s">
        <v>89</v>
      </c>
      <c r="AK71" s="87">
        <v>1</v>
      </c>
      <c r="BB71" s="128" t="s">
        <v>107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150</v>
      </c>
      <c r="B72" s="63" t="s">
        <v>151</v>
      </c>
      <c r="C72" s="36">
        <v>4301135665</v>
      </c>
      <c r="D72" s="347">
        <v>4607111039729</v>
      </c>
      <c r="E72" s="347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108</v>
      </c>
      <c r="L72" s="37" t="s">
        <v>88</v>
      </c>
      <c r="M72" s="38" t="s">
        <v>86</v>
      </c>
      <c r="N72" s="38"/>
      <c r="O72" s="37">
        <v>365</v>
      </c>
      <c r="P72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349"/>
      <c r="R72" s="349"/>
      <c r="S72" s="349"/>
      <c r="T72" s="350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29" t="s">
        <v>152</v>
      </c>
      <c r="AG72" s="81"/>
      <c r="AJ72" s="87" t="s">
        <v>89</v>
      </c>
      <c r="AK72" s="87">
        <v>1</v>
      </c>
      <c r="BB72" s="130" t="s">
        <v>107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t="27" customHeight="1" x14ac:dyDescent="0.25">
      <c r="A73" s="63" t="s">
        <v>153</v>
      </c>
      <c r="B73" s="63" t="s">
        <v>154</v>
      </c>
      <c r="C73" s="36">
        <v>4301135702</v>
      </c>
      <c r="D73" s="347">
        <v>4620207490228</v>
      </c>
      <c r="E73" s="347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108</v>
      </c>
      <c r="L73" s="37" t="s">
        <v>88</v>
      </c>
      <c r="M73" s="38" t="s">
        <v>86</v>
      </c>
      <c r="N73" s="38"/>
      <c r="O73" s="37">
        <v>365</v>
      </c>
      <c r="P73" s="37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349"/>
      <c r="R73" s="349"/>
      <c r="S73" s="349"/>
      <c r="T73" s="350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152</v>
      </c>
      <c r="AG73" s="81"/>
      <c r="AJ73" s="87" t="s">
        <v>89</v>
      </c>
      <c r="AK73" s="87">
        <v>1</v>
      </c>
      <c r="BB73" s="132" t="s">
        <v>107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x14ac:dyDescent="0.2">
      <c r="A74" s="357"/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8"/>
      <c r="P74" s="354" t="s">
        <v>40</v>
      </c>
      <c r="Q74" s="355"/>
      <c r="R74" s="355"/>
      <c r="S74" s="355"/>
      <c r="T74" s="355"/>
      <c r="U74" s="355"/>
      <c r="V74" s="356"/>
      <c r="W74" s="42" t="s">
        <v>39</v>
      </c>
      <c r="X74" s="43">
        <f>IFERROR(SUM(X71:X73),"0")</f>
        <v>0</v>
      </c>
      <c r="Y74" s="43">
        <f>IFERROR(SUM(Y71:Y73),"0")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357"/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8"/>
      <c r="P75" s="354" t="s">
        <v>40</v>
      </c>
      <c r="Q75" s="355"/>
      <c r="R75" s="355"/>
      <c r="S75" s="355"/>
      <c r="T75" s="355"/>
      <c r="U75" s="355"/>
      <c r="V75" s="356"/>
      <c r="W75" s="42" t="s">
        <v>0</v>
      </c>
      <c r="X75" s="43">
        <f>IFERROR(SUMPRODUCT(X71:X73*H71:H73),"0")</f>
        <v>0</v>
      </c>
      <c r="Y75" s="43">
        <f>IFERROR(SUMPRODUCT(Y71:Y73*H71:H73),"0")</f>
        <v>0</v>
      </c>
      <c r="Z75" s="42"/>
      <c r="AA75" s="67"/>
      <c r="AB75" s="67"/>
      <c r="AC75" s="67"/>
    </row>
    <row r="76" spans="1:68" ht="16.5" customHeight="1" x14ac:dyDescent="0.25">
      <c r="A76" s="345" t="s">
        <v>155</v>
      </c>
      <c r="B76" s="345"/>
      <c r="C76" s="345"/>
      <c r="D76" s="345"/>
      <c r="E76" s="345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65"/>
      <c r="AB76" s="65"/>
      <c r="AC76" s="82"/>
    </row>
    <row r="77" spans="1:68" ht="14.25" customHeight="1" x14ac:dyDescent="0.25">
      <c r="A77" s="346" t="s">
        <v>82</v>
      </c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  <c r="Z77" s="346"/>
      <c r="AA77" s="66"/>
      <c r="AB77" s="66"/>
      <c r="AC77" s="83"/>
    </row>
    <row r="78" spans="1:68" ht="27" customHeight="1" x14ac:dyDescent="0.25">
      <c r="A78" s="63" t="s">
        <v>156</v>
      </c>
      <c r="B78" s="63" t="s">
        <v>157</v>
      </c>
      <c r="C78" s="36">
        <v>4301070977</v>
      </c>
      <c r="D78" s="347">
        <v>4607111037411</v>
      </c>
      <c r="E78" s="347"/>
      <c r="F78" s="62">
        <v>2.7</v>
      </c>
      <c r="G78" s="37">
        <v>1</v>
      </c>
      <c r="H78" s="62">
        <v>2.7</v>
      </c>
      <c r="I78" s="62">
        <v>2.8132000000000001</v>
      </c>
      <c r="J78" s="37">
        <v>234</v>
      </c>
      <c r="K78" s="37" t="s">
        <v>159</v>
      </c>
      <c r="L78" s="37" t="s">
        <v>109</v>
      </c>
      <c r="M78" s="38" t="s">
        <v>86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9"/>
      <c r="R78" s="349"/>
      <c r="S78" s="349"/>
      <c r="T78" s="350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IFERROR(IF(X78="","",X78*0.00502),"")</f>
        <v>0</v>
      </c>
      <c r="AA78" s="68" t="s">
        <v>46</v>
      </c>
      <c r="AB78" s="69" t="s">
        <v>46</v>
      </c>
      <c r="AC78" s="133" t="s">
        <v>158</v>
      </c>
      <c r="AG78" s="81"/>
      <c r="AJ78" s="87" t="s">
        <v>110</v>
      </c>
      <c r="AK78" s="87">
        <v>18</v>
      </c>
      <c r="BB78" s="134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customHeight="1" x14ac:dyDescent="0.25">
      <c r="A79" s="63" t="s">
        <v>160</v>
      </c>
      <c r="B79" s="63" t="s">
        <v>161</v>
      </c>
      <c r="C79" s="36">
        <v>4301070981</v>
      </c>
      <c r="D79" s="347">
        <v>4607111036728</v>
      </c>
      <c r="E79" s="347"/>
      <c r="F79" s="62">
        <v>5</v>
      </c>
      <c r="G79" s="37">
        <v>1</v>
      </c>
      <c r="H79" s="62">
        <v>5</v>
      </c>
      <c r="I79" s="62">
        <v>5.2131999999999996</v>
      </c>
      <c r="J79" s="37">
        <v>144</v>
      </c>
      <c r="K79" s="37" t="s">
        <v>87</v>
      </c>
      <c r="L79" s="37" t="s">
        <v>162</v>
      </c>
      <c r="M79" s="38" t="s">
        <v>86</v>
      </c>
      <c r="N79" s="38"/>
      <c r="O79" s="37">
        <v>180</v>
      </c>
      <c r="P79" s="37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9"/>
      <c r="R79" s="349"/>
      <c r="S79" s="349"/>
      <c r="T79" s="350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IFERROR(IF(X79="","",X79*0.00866),"")</f>
        <v>0</v>
      </c>
      <c r="AA79" s="68" t="s">
        <v>46</v>
      </c>
      <c r="AB79" s="69" t="s">
        <v>46</v>
      </c>
      <c r="AC79" s="135" t="s">
        <v>158</v>
      </c>
      <c r="AG79" s="81"/>
      <c r="AJ79" s="87" t="s">
        <v>163</v>
      </c>
      <c r="AK79" s="87">
        <v>144</v>
      </c>
      <c r="BB79" s="136" t="s">
        <v>70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x14ac:dyDescent="0.2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8"/>
      <c r="P80" s="354" t="s">
        <v>40</v>
      </c>
      <c r="Q80" s="355"/>
      <c r="R80" s="355"/>
      <c r="S80" s="355"/>
      <c r="T80" s="355"/>
      <c r="U80" s="355"/>
      <c r="V80" s="356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357"/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8"/>
      <c r="P81" s="354" t="s">
        <v>40</v>
      </c>
      <c r="Q81" s="355"/>
      <c r="R81" s="355"/>
      <c r="S81" s="355"/>
      <c r="T81" s="355"/>
      <c r="U81" s="355"/>
      <c r="V81" s="356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customHeight="1" x14ac:dyDescent="0.25">
      <c r="A82" s="345" t="s">
        <v>164</v>
      </c>
      <c r="B82" s="345"/>
      <c r="C82" s="34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65"/>
      <c r="AB82" s="65"/>
      <c r="AC82" s="82"/>
    </row>
    <row r="83" spans="1:68" ht="14.25" customHeight="1" x14ac:dyDescent="0.25">
      <c r="A83" s="346" t="s">
        <v>147</v>
      </c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  <c r="Z83" s="346"/>
      <c r="AA83" s="66"/>
      <c r="AB83" s="66"/>
      <c r="AC83" s="83"/>
    </row>
    <row r="84" spans="1:68" ht="27" customHeight="1" x14ac:dyDescent="0.25">
      <c r="A84" s="63" t="s">
        <v>165</v>
      </c>
      <c r="B84" s="63" t="s">
        <v>166</v>
      </c>
      <c r="C84" s="36">
        <v>4301135574</v>
      </c>
      <c r="D84" s="347">
        <v>4607111033659</v>
      </c>
      <c r="E84" s="347"/>
      <c r="F84" s="62">
        <v>0.3</v>
      </c>
      <c r="G84" s="37">
        <v>12</v>
      </c>
      <c r="H84" s="62">
        <v>3.6</v>
      </c>
      <c r="I84" s="62">
        <v>4.3036000000000003</v>
      </c>
      <c r="J84" s="37">
        <v>70</v>
      </c>
      <c r="K84" s="37" t="s">
        <v>108</v>
      </c>
      <c r="L84" s="37" t="s">
        <v>109</v>
      </c>
      <c r="M84" s="38" t="s">
        <v>86</v>
      </c>
      <c r="N84" s="38"/>
      <c r="O84" s="37">
        <v>180</v>
      </c>
      <c r="P84" s="37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349"/>
      <c r="R84" s="349"/>
      <c r="S84" s="349"/>
      <c r="T84" s="350"/>
      <c r="U84" s="39" t="s">
        <v>46</v>
      </c>
      <c r="V84" s="39" t="s">
        <v>46</v>
      </c>
      <c r="W84" s="40" t="s">
        <v>39</v>
      </c>
      <c r="X84" s="58">
        <v>0</v>
      </c>
      <c r="Y84" s="55">
        <f>IFERROR(IF(X84="","",X84),"")</f>
        <v>0</v>
      </c>
      <c r="Z84" s="41">
        <f>IFERROR(IF(X84="","",X84*0.01788),"")</f>
        <v>0</v>
      </c>
      <c r="AA84" s="68" t="s">
        <v>46</v>
      </c>
      <c r="AB84" s="69" t="s">
        <v>46</v>
      </c>
      <c r="AC84" s="137" t="s">
        <v>167</v>
      </c>
      <c r="AG84" s="81"/>
      <c r="AJ84" s="87" t="s">
        <v>110</v>
      </c>
      <c r="AK84" s="87">
        <v>14</v>
      </c>
      <c r="BB84" s="138" t="s">
        <v>107</v>
      </c>
      <c r="BM84" s="81">
        <f>IFERROR(X84*I84,"0")</f>
        <v>0</v>
      </c>
      <c r="BN84" s="81">
        <f>IFERROR(Y84*I84,"0")</f>
        <v>0</v>
      </c>
      <c r="BO84" s="81">
        <f>IFERROR(X84/J84,"0")</f>
        <v>0</v>
      </c>
      <c r="BP84" s="81">
        <f>IFERROR(Y84/J84,"0")</f>
        <v>0</v>
      </c>
    </row>
    <row r="85" spans="1:68" x14ac:dyDescent="0.2">
      <c r="A85" s="357"/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8"/>
      <c r="P85" s="354" t="s">
        <v>40</v>
      </c>
      <c r="Q85" s="355"/>
      <c r="R85" s="355"/>
      <c r="S85" s="355"/>
      <c r="T85" s="355"/>
      <c r="U85" s="355"/>
      <c r="V85" s="356"/>
      <c r="W85" s="42" t="s">
        <v>39</v>
      </c>
      <c r="X85" s="43">
        <f>IFERROR(SUM(X84:X84),"0")</f>
        <v>0</v>
      </c>
      <c r="Y85" s="43">
        <f>IFERROR(SUM(Y84:Y84),"0")</f>
        <v>0</v>
      </c>
      <c r="Z85" s="43">
        <f>IFERROR(IF(Z84="",0,Z84),"0")</f>
        <v>0</v>
      </c>
      <c r="AA85" s="67"/>
      <c r="AB85" s="67"/>
      <c r="AC85" s="67"/>
    </row>
    <row r="86" spans="1:68" x14ac:dyDescent="0.2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8"/>
      <c r="P86" s="354" t="s">
        <v>40</v>
      </c>
      <c r="Q86" s="355"/>
      <c r="R86" s="355"/>
      <c r="S86" s="355"/>
      <c r="T86" s="355"/>
      <c r="U86" s="355"/>
      <c r="V86" s="356"/>
      <c r="W86" s="42" t="s">
        <v>0</v>
      </c>
      <c r="X86" s="43">
        <f>IFERROR(SUMPRODUCT(X84:X84*H84:H84),"0")</f>
        <v>0</v>
      </c>
      <c r="Y86" s="43">
        <f>IFERROR(SUMPRODUCT(Y84:Y84*H84:H84),"0")</f>
        <v>0</v>
      </c>
      <c r="Z86" s="42"/>
      <c r="AA86" s="67"/>
      <c r="AB86" s="67"/>
      <c r="AC86" s="67"/>
    </row>
    <row r="87" spans="1:68" ht="16.5" customHeight="1" x14ac:dyDescent="0.25">
      <c r="A87" s="345" t="s">
        <v>168</v>
      </c>
      <c r="B87" s="345"/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65"/>
      <c r="AB87" s="65"/>
      <c r="AC87" s="82"/>
    </row>
    <row r="88" spans="1:68" ht="14.25" customHeight="1" x14ac:dyDescent="0.25">
      <c r="A88" s="346" t="s">
        <v>169</v>
      </c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  <c r="Z88" s="346"/>
      <c r="AA88" s="66"/>
      <c r="AB88" s="66"/>
      <c r="AC88" s="83"/>
    </row>
    <row r="89" spans="1:68" ht="27" customHeight="1" x14ac:dyDescent="0.25">
      <c r="A89" s="63" t="s">
        <v>170</v>
      </c>
      <c r="B89" s="63" t="s">
        <v>171</v>
      </c>
      <c r="C89" s="36">
        <v>4301131047</v>
      </c>
      <c r="D89" s="347">
        <v>4607111034120</v>
      </c>
      <c r="E89" s="347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108</v>
      </c>
      <c r="L89" s="37" t="s">
        <v>109</v>
      </c>
      <c r="M89" s="38" t="s">
        <v>86</v>
      </c>
      <c r="N89" s="38"/>
      <c r="O89" s="37">
        <v>180</v>
      </c>
      <c r="P89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349"/>
      <c r="R89" s="349"/>
      <c r="S89" s="349"/>
      <c r="T89" s="350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39" t="s">
        <v>172</v>
      </c>
      <c r="AG89" s="81"/>
      <c r="AJ89" s="87" t="s">
        <v>110</v>
      </c>
      <c r="AK89" s="87">
        <v>14</v>
      </c>
      <c r="BB89" s="140" t="s">
        <v>107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t="27" customHeight="1" x14ac:dyDescent="0.25">
      <c r="A90" s="63" t="s">
        <v>173</v>
      </c>
      <c r="B90" s="63" t="s">
        <v>174</v>
      </c>
      <c r="C90" s="36">
        <v>4301131046</v>
      </c>
      <c r="D90" s="347">
        <v>4607111034137</v>
      </c>
      <c r="E90" s="347"/>
      <c r="F90" s="62">
        <v>0.3</v>
      </c>
      <c r="G90" s="37">
        <v>12</v>
      </c>
      <c r="H90" s="62">
        <v>3.6</v>
      </c>
      <c r="I90" s="62">
        <v>4.3036000000000003</v>
      </c>
      <c r="J90" s="37">
        <v>70</v>
      </c>
      <c r="K90" s="37" t="s">
        <v>108</v>
      </c>
      <c r="L90" s="37" t="s">
        <v>88</v>
      </c>
      <c r="M90" s="38" t="s">
        <v>86</v>
      </c>
      <c r="N90" s="38"/>
      <c r="O90" s="37">
        <v>180</v>
      </c>
      <c r="P90" s="38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349"/>
      <c r="R90" s="349"/>
      <c r="S90" s="349"/>
      <c r="T90" s="350"/>
      <c r="U90" s="39" t="s">
        <v>46</v>
      </c>
      <c r="V90" s="39" t="s">
        <v>46</v>
      </c>
      <c r="W90" s="40" t="s">
        <v>39</v>
      </c>
      <c r="X90" s="58">
        <v>0</v>
      </c>
      <c r="Y90" s="55">
        <f>IFERROR(IF(X90="","",X90),"")</f>
        <v>0</v>
      </c>
      <c r="Z90" s="41">
        <f>IFERROR(IF(X90="","",X90*0.01788),"")</f>
        <v>0</v>
      </c>
      <c r="AA90" s="68" t="s">
        <v>46</v>
      </c>
      <c r="AB90" s="69" t="s">
        <v>46</v>
      </c>
      <c r="AC90" s="141" t="s">
        <v>175</v>
      </c>
      <c r="AG90" s="81"/>
      <c r="AJ90" s="87" t="s">
        <v>89</v>
      </c>
      <c r="AK90" s="87">
        <v>1</v>
      </c>
      <c r="BB90" s="142" t="s">
        <v>107</v>
      </c>
      <c r="BM90" s="81">
        <f>IFERROR(X90*I90,"0")</f>
        <v>0</v>
      </c>
      <c r="BN90" s="81">
        <f>IFERROR(Y90*I90,"0")</f>
        <v>0</v>
      </c>
      <c r="BO90" s="81">
        <f>IFERROR(X90/J90,"0")</f>
        <v>0</v>
      </c>
      <c r="BP90" s="81">
        <f>IFERROR(Y90/J90,"0")</f>
        <v>0</v>
      </c>
    </row>
    <row r="91" spans="1:68" x14ac:dyDescent="0.2">
      <c r="A91" s="357"/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8"/>
      <c r="P91" s="354" t="s">
        <v>40</v>
      </c>
      <c r="Q91" s="355"/>
      <c r="R91" s="355"/>
      <c r="S91" s="355"/>
      <c r="T91" s="355"/>
      <c r="U91" s="355"/>
      <c r="V91" s="356"/>
      <c r="W91" s="42" t="s">
        <v>39</v>
      </c>
      <c r="X91" s="43">
        <f>IFERROR(SUM(X89:X90),"0")</f>
        <v>0</v>
      </c>
      <c r="Y91" s="43">
        <f>IFERROR(SUM(Y89:Y90),"0")</f>
        <v>0</v>
      </c>
      <c r="Z91" s="43">
        <f>IFERROR(IF(Z89="",0,Z89),"0")+IFERROR(IF(Z90="",0,Z90),"0")</f>
        <v>0</v>
      </c>
      <c r="AA91" s="67"/>
      <c r="AB91" s="67"/>
      <c r="AC91" s="67"/>
    </row>
    <row r="92" spans="1:68" x14ac:dyDescent="0.2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8"/>
      <c r="P92" s="354" t="s">
        <v>40</v>
      </c>
      <c r="Q92" s="355"/>
      <c r="R92" s="355"/>
      <c r="S92" s="355"/>
      <c r="T92" s="355"/>
      <c r="U92" s="355"/>
      <c r="V92" s="356"/>
      <c r="W92" s="42" t="s">
        <v>0</v>
      </c>
      <c r="X92" s="43">
        <f>IFERROR(SUMPRODUCT(X89:X90*H89:H90),"0")</f>
        <v>0</v>
      </c>
      <c r="Y92" s="43">
        <f>IFERROR(SUMPRODUCT(Y89:Y90*H89:H90),"0")</f>
        <v>0</v>
      </c>
      <c r="Z92" s="42"/>
      <c r="AA92" s="67"/>
      <c r="AB92" s="67"/>
      <c r="AC92" s="67"/>
    </row>
    <row r="93" spans="1:68" ht="16.5" customHeight="1" x14ac:dyDescent="0.25">
      <c r="A93" s="345" t="s">
        <v>176</v>
      </c>
      <c r="B93" s="345"/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65"/>
      <c r="AB93" s="65"/>
      <c r="AC93" s="82"/>
    </row>
    <row r="94" spans="1:68" ht="14.25" customHeight="1" x14ac:dyDescent="0.25">
      <c r="A94" s="346" t="s">
        <v>147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6"/>
      <c r="AB94" s="66"/>
      <c r="AC94" s="83"/>
    </row>
    <row r="95" spans="1:68" ht="27" customHeight="1" x14ac:dyDescent="0.25">
      <c r="A95" s="63" t="s">
        <v>177</v>
      </c>
      <c r="B95" s="63" t="s">
        <v>178</v>
      </c>
      <c r="C95" s="36">
        <v>4301135763</v>
      </c>
      <c r="D95" s="347">
        <v>4620207491027</v>
      </c>
      <c r="E95" s="347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108</v>
      </c>
      <c r="L95" s="37" t="s">
        <v>88</v>
      </c>
      <c r="M95" s="38" t="s">
        <v>86</v>
      </c>
      <c r="N95" s="38"/>
      <c r="O95" s="37">
        <v>180</v>
      </c>
      <c r="P95" s="38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349"/>
      <c r="R95" s="349"/>
      <c r="S95" s="349"/>
      <c r="T95" s="350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ref="Y95:Y100" si="0">IFERROR(IF(X95="","",X95),"")</f>
        <v>0</v>
      </c>
      <c r="Z95" s="41">
        <f t="shared" ref="Z95:Z100" si="1">IFERROR(IF(X95="","",X95*0.01788),"")</f>
        <v>0</v>
      </c>
      <c r="AA95" s="68" t="s">
        <v>46</v>
      </c>
      <c r="AB95" s="69" t="s">
        <v>46</v>
      </c>
      <c r="AC95" s="143" t="s">
        <v>167</v>
      </c>
      <c r="AG95" s="81"/>
      <c r="AJ95" s="87" t="s">
        <v>89</v>
      </c>
      <c r="AK95" s="87">
        <v>1</v>
      </c>
      <c r="BB95" s="144" t="s">
        <v>107</v>
      </c>
      <c r="BM95" s="81">
        <f t="shared" ref="BM95:BM100" si="2">IFERROR(X95*I95,"0")</f>
        <v>0</v>
      </c>
      <c r="BN95" s="81">
        <f t="shared" ref="BN95:BN100" si="3">IFERROR(Y95*I95,"0")</f>
        <v>0</v>
      </c>
      <c r="BO95" s="81">
        <f t="shared" ref="BO95:BO100" si="4">IFERROR(X95/J95,"0")</f>
        <v>0</v>
      </c>
      <c r="BP95" s="81">
        <f t="shared" ref="BP95:BP100" si="5">IFERROR(Y95/J95,"0")</f>
        <v>0</v>
      </c>
    </row>
    <row r="96" spans="1:68" ht="27" customHeight="1" x14ac:dyDescent="0.25">
      <c r="A96" s="63" t="s">
        <v>179</v>
      </c>
      <c r="B96" s="63" t="s">
        <v>180</v>
      </c>
      <c r="C96" s="36">
        <v>4301135793</v>
      </c>
      <c r="D96" s="347">
        <v>4620207491003</v>
      </c>
      <c r="E96" s="347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108</v>
      </c>
      <c r="L96" s="37" t="s">
        <v>88</v>
      </c>
      <c r="M96" s="38" t="s">
        <v>86</v>
      </c>
      <c r="N96" s="38"/>
      <c r="O96" s="37">
        <v>180</v>
      </c>
      <c r="P96" s="38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49"/>
      <c r="R96" s="349"/>
      <c r="S96" s="349"/>
      <c r="T96" s="350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0"/>
        <v>0</v>
      </c>
      <c r="Z96" s="41">
        <f t="shared" si="1"/>
        <v>0</v>
      </c>
      <c r="AA96" s="68" t="s">
        <v>46</v>
      </c>
      <c r="AB96" s="69" t="s">
        <v>46</v>
      </c>
      <c r="AC96" s="145" t="s">
        <v>167</v>
      </c>
      <c r="AG96" s="81"/>
      <c r="AJ96" s="87" t="s">
        <v>89</v>
      </c>
      <c r="AK96" s="87">
        <v>1</v>
      </c>
      <c r="BB96" s="146" t="s">
        <v>107</v>
      </c>
      <c r="BM96" s="81">
        <f t="shared" si="2"/>
        <v>0</v>
      </c>
      <c r="BN96" s="81">
        <f t="shared" si="3"/>
        <v>0</v>
      </c>
      <c r="BO96" s="81">
        <f t="shared" si="4"/>
        <v>0</v>
      </c>
      <c r="BP96" s="81">
        <f t="shared" si="5"/>
        <v>0</v>
      </c>
    </row>
    <row r="97" spans="1:68" ht="27" customHeight="1" x14ac:dyDescent="0.25">
      <c r="A97" s="63" t="s">
        <v>181</v>
      </c>
      <c r="B97" s="63" t="s">
        <v>182</v>
      </c>
      <c r="C97" s="36">
        <v>4301135768</v>
      </c>
      <c r="D97" s="347">
        <v>4620207491034</v>
      </c>
      <c r="E97" s="34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108</v>
      </c>
      <c r="L97" s="37" t="s">
        <v>88</v>
      </c>
      <c r="M97" s="38" t="s">
        <v>86</v>
      </c>
      <c r="N97" s="38"/>
      <c r="O97" s="37">
        <v>180</v>
      </c>
      <c r="P97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49"/>
      <c r="R97" s="349"/>
      <c r="S97" s="349"/>
      <c r="T97" s="350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0"/>
        <v>0</v>
      </c>
      <c r="Z97" s="41">
        <f t="shared" si="1"/>
        <v>0</v>
      </c>
      <c r="AA97" s="68" t="s">
        <v>46</v>
      </c>
      <c r="AB97" s="69" t="s">
        <v>46</v>
      </c>
      <c r="AC97" s="147" t="s">
        <v>183</v>
      </c>
      <c r="AG97" s="81"/>
      <c r="AJ97" s="87" t="s">
        <v>89</v>
      </c>
      <c r="AK97" s="87">
        <v>1</v>
      </c>
      <c r="BB97" s="148" t="s">
        <v>107</v>
      </c>
      <c r="BM97" s="81">
        <f t="shared" si="2"/>
        <v>0</v>
      </c>
      <c r="BN97" s="81">
        <f t="shared" si="3"/>
        <v>0</v>
      </c>
      <c r="BO97" s="81">
        <f t="shared" si="4"/>
        <v>0</v>
      </c>
      <c r="BP97" s="81">
        <f t="shared" si="5"/>
        <v>0</v>
      </c>
    </row>
    <row r="98" spans="1:68" ht="27" customHeight="1" x14ac:dyDescent="0.25">
      <c r="A98" s="63" t="s">
        <v>184</v>
      </c>
      <c r="B98" s="63" t="s">
        <v>185</v>
      </c>
      <c r="C98" s="36">
        <v>4301135760</v>
      </c>
      <c r="D98" s="347">
        <v>4620207491010</v>
      </c>
      <c r="E98" s="347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108</v>
      </c>
      <c r="L98" s="37" t="s">
        <v>88</v>
      </c>
      <c r="M98" s="38" t="s">
        <v>86</v>
      </c>
      <c r="N98" s="38"/>
      <c r="O98" s="37">
        <v>180</v>
      </c>
      <c r="P98" s="38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49"/>
      <c r="R98" s="349"/>
      <c r="S98" s="349"/>
      <c r="T98" s="350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0"/>
        <v>0</v>
      </c>
      <c r="Z98" s="41">
        <f t="shared" si="1"/>
        <v>0</v>
      </c>
      <c r="AA98" s="68" t="s">
        <v>46</v>
      </c>
      <c r="AB98" s="69" t="s">
        <v>46</v>
      </c>
      <c r="AC98" s="149" t="s">
        <v>167</v>
      </c>
      <c r="AG98" s="81"/>
      <c r="AJ98" s="87" t="s">
        <v>89</v>
      </c>
      <c r="AK98" s="87">
        <v>1</v>
      </c>
      <c r="BB98" s="150" t="s">
        <v>107</v>
      </c>
      <c r="BM98" s="81">
        <f t="shared" si="2"/>
        <v>0</v>
      </c>
      <c r="BN98" s="81">
        <f t="shared" si="3"/>
        <v>0</v>
      </c>
      <c r="BO98" s="81">
        <f t="shared" si="4"/>
        <v>0</v>
      </c>
      <c r="BP98" s="81">
        <f t="shared" si="5"/>
        <v>0</v>
      </c>
    </row>
    <row r="99" spans="1:68" ht="27" customHeight="1" x14ac:dyDescent="0.25">
      <c r="A99" s="63" t="s">
        <v>186</v>
      </c>
      <c r="B99" s="63" t="s">
        <v>187</v>
      </c>
      <c r="C99" s="36">
        <v>4301135571</v>
      </c>
      <c r="D99" s="347">
        <v>4607111035028</v>
      </c>
      <c r="E99" s="347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108</v>
      </c>
      <c r="L99" s="37" t="s">
        <v>88</v>
      </c>
      <c r="M99" s="38" t="s">
        <v>86</v>
      </c>
      <c r="N99" s="38"/>
      <c r="O99" s="37">
        <v>180</v>
      </c>
      <c r="P99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49"/>
      <c r="R99" s="349"/>
      <c r="S99" s="349"/>
      <c r="T99" s="350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0"/>
        <v>0</v>
      </c>
      <c r="Z99" s="41">
        <f t="shared" si="1"/>
        <v>0</v>
      </c>
      <c r="AA99" s="68" t="s">
        <v>46</v>
      </c>
      <c r="AB99" s="69" t="s">
        <v>46</v>
      </c>
      <c r="AC99" s="151" t="s">
        <v>167</v>
      </c>
      <c r="AG99" s="81"/>
      <c r="AJ99" s="87" t="s">
        <v>89</v>
      </c>
      <c r="AK99" s="87">
        <v>1</v>
      </c>
      <c r="BB99" s="152" t="s">
        <v>107</v>
      </c>
      <c r="BM99" s="81">
        <f t="shared" si="2"/>
        <v>0</v>
      </c>
      <c r="BN99" s="81">
        <f t="shared" si="3"/>
        <v>0</v>
      </c>
      <c r="BO99" s="81">
        <f t="shared" si="4"/>
        <v>0</v>
      </c>
      <c r="BP99" s="81">
        <f t="shared" si="5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4301135285</v>
      </c>
      <c r="D100" s="347">
        <v>4607111036407</v>
      </c>
      <c r="E100" s="347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108</v>
      </c>
      <c r="L100" s="37" t="s">
        <v>109</v>
      </c>
      <c r="M100" s="38" t="s">
        <v>86</v>
      </c>
      <c r="N100" s="38"/>
      <c r="O100" s="37">
        <v>180</v>
      </c>
      <c r="P100" s="38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9"/>
      <c r="R100" s="349"/>
      <c r="S100" s="349"/>
      <c r="T100" s="350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0"/>
        <v>0</v>
      </c>
      <c r="Z100" s="41">
        <f t="shared" si="1"/>
        <v>0</v>
      </c>
      <c r="AA100" s="68" t="s">
        <v>46</v>
      </c>
      <c r="AB100" s="69" t="s">
        <v>46</v>
      </c>
      <c r="AC100" s="153" t="s">
        <v>190</v>
      </c>
      <c r="AG100" s="81"/>
      <c r="AJ100" s="87" t="s">
        <v>110</v>
      </c>
      <c r="AK100" s="87">
        <v>14</v>
      </c>
      <c r="BB100" s="154" t="s">
        <v>107</v>
      </c>
      <c r="BM100" s="81">
        <f t="shared" si="2"/>
        <v>0</v>
      </c>
      <c r="BN100" s="81">
        <f t="shared" si="3"/>
        <v>0</v>
      </c>
      <c r="BO100" s="81">
        <f t="shared" si="4"/>
        <v>0</v>
      </c>
      <c r="BP100" s="81">
        <f t="shared" si="5"/>
        <v>0</v>
      </c>
    </row>
    <row r="101" spans="1:68" x14ac:dyDescent="0.2">
      <c r="A101" s="357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8"/>
      <c r="P101" s="354" t="s">
        <v>40</v>
      </c>
      <c r="Q101" s="355"/>
      <c r="R101" s="355"/>
      <c r="S101" s="355"/>
      <c r="T101" s="355"/>
      <c r="U101" s="355"/>
      <c r="V101" s="356"/>
      <c r="W101" s="42" t="s">
        <v>39</v>
      </c>
      <c r="X101" s="43">
        <f>IFERROR(SUM(X95:X100),"0")</f>
        <v>0</v>
      </c>
      <c r="Y101" s="43">
        <f>IFERROR(SUM(Y95:Y100),"0")</f>
        <v>0</v>
      </c>
      <c r="Z101" s="43">
        <f>IFERROR(IF(Z95="",0,Z95),"0")+IFERROR(IF(Z96="",0,Z96),"0")+IFERROR(IF(Z97="",0,Z97),"0")+IFERROR(IF(Z98="",0,Z98),"0")+IFERROR(IF(Z99="",0,Z99),"0")+IFERROR(IF(Z100="",0,Z100),"0")</f>
        <v>0</v>
      </c>
      <c r="AA101" s="67"/>
      <c r="AB101" s="67"/>
      <c r="AC101" s="67"/>
    </row>
    <row r="102" spans="1:68" x14ac:dyDescent="0.2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8"/>
      <c r="P102" s="354" t="s">
        <v>40</v>
      </c>
      <c r="Q102" s="355"/>
      <c r="R102" s="355"/>
      <c r="S102" s="355"/>
      <c r="T102" s="355"/>
      <c r="U102" s="355"/>
      <c r="V102" s="356"/>
      <c r="W102" s="42" t="s">
        <v>0</v>
      </c>
      <c r="X102" s="43">
        <f>IFERROR(SUMPRODUCT(X95:X100*H95:H100),"0")</f>
        <v>0</v>
      </c>
      <c r="Y102" s="43">
        <f>IFERROR(SUMPRODUCT(Y95:Y100*H95:H100),"0")</f>
        <v>0</v>
      </c>
      <c r="Z102" s="42"/>
      <c r="AA102" s="67"/>
      <c r="AB102" s="67"/>
      <c r="AC102" s="67"/>
    </row>
    <row r="103" spans="1:68" ht="16.5" customHeight="1" x14ac:dyDescent="0.25">
      <c r="A103" s="345" t="s">
        <v>191</v>
      </c>
      <c r="B103" s="345"/>
      <c r="C103" s="345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  <c r="Z103" s="345"/>
      <c r="AA103" s="65"/>
      <c r="AB103" s="65"/>
      <c r="AC103" s="82"/>
    </row>
    <row r="104" spans="1:68" ht="14.25" customHeight="1" x14ac:dyDescent="0.25">
      <c r="A104" s="346" t="s">
        <v>141</v>
      </c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  <c r="AA104" s="66"/>
      <c r="AB104" s="66"/>
      <c r="AC104" s="83"/>
    </row>
    <row r="105" spans="1:68" ht="27" customHeight="1" x14ac:dyDescent="0.25">
      <c r="A105" s="63" t="s">
        <v>192</v>
      </c>
      <c r="B105" s="63" t="s">
        <v>193</v>
      </c>
      <c r="C105" s="36">
        <v>4301136070</v>
      </c>
      <c r="D105" s="347">
        <v>4607025784012</v>
      </c>
      <c r="E105" s="347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108</v>
      </c>
      <c r="L105" s="37" t="s">
        <v>109</v>
      </c>
      <c r="M105" s="38" t="s">
        <v>86</v>
      </c>
      <c r="N105" s="38"/>
      <c r="O105" s="37">
        <v>180</v>
      </c>
      <c r="P105" s="38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9"/>
      <c r="R105" s="349"/>
      <c r="S105" s="349"/>
      <c r="T105" s="350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IFERROR(IF(X105="","",X105*0.00936),"")</f>
        <v>0</v>
      </c>
      <c r="AA105" s="68" t="s">
        <v>46</v>
      </c>
      <c r="AB105" s="69" t="s">
        <v>46</v>
      </c>
      <c r="AC105" s="155" t="s">
        <v>194</v>
      </c>
      <c r="AG105" s="81"/>
      <c r="AJ105" s="87" t="s">
        <v>110</v>
      </c>
      <c r="AK105" s="87">
        <v>14</v>
      </c>
      <c r="BB105" s="156" t="s">
        <v>107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t="27" customHeight="1" x14ac:dyDescent="0.25">
      <c r="A106" s="63" t="s">
        <v>195</v>
      </c>
      <c r="B106" s="63" t="s">
        <v>196</v>
      </c>
      <c r="C106" s="36">
        <v>4301136079</v>
      </c>
      <c r="D106" s="347">
        <v>4607025784319</v>
      </c>
      <c r="E106" s="347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108</v>
      </c>
      <c r="L106" s="37" t="s">
        <v>88</v>
      </c>
      <c r="M106" s="38" t="s">
        <v>86</v>
      </c>
      <c r="N106" s="38"/>
      <c r="O106" s="37">
        <v>180</v>
      </c>
      <c r="P106" s="38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49"/>
      <c r="R106" s="349"/>
      <c r="S106" s="349"/>
      <c r="T106" s="350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57" t="s">
        <v>167</v>
      </c>
      <c r="AG106" s="81"/>
      <c r="AJ106" s="87" t="s">
        <v>89</v>
      </c>
      <c r="AK106" s="87">
        <v>1</v>
      </c>
      <c r="BB106" s="158" t="s">
        <v>107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8"/>
      <c r="P107" s="354" t="s">
        <v>40</v>
      </c>
      <c r="Q107" s="355"/>
      <c r="R107" s="355"/>
      <c r="S107" s="355"/>
      <c r="T107" s="355"/>
      <c r="U107" s="355"/>
      <c r="V107" s="356"/>
      <c r="W107" s="42" t="s">
        <v>39</v>
      </c>
      <c r="X107" s="43">
        <f>IFERROR(SUM(X105:X106),"0")</f>
        <v>0</v>
      </c>
      <c r="Y107" s="43">
        <f>IFERROR(SUM(Y105:Y106),"0")</f>
        <v>0</v>
      </c>
      <c r="Z107" s="43">
        <f>IFERROR(IF(Z105="",0,Z105),"0")+IFERROR(IF(Z106="",0,Z106),"0")</f>
        <v>0</v>
      </c>
      <c r="AA107" s="67"/>
      <c r="AB107" s="67"/>
      <c r="AC107" s="67"/>
    </row>
    <row r="108" spans="1:68" x14ac:dyDescent="0.2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8"/>
      <c r="P108" s="354" t="s">
        <v>40</v>
      </c>
      <c r="Q108" s="355"/>
      <c r="R108" s="355"/>
      <c r="S108" s="355"/>
      <c r="T108" s="355"/>
      <c r="U108" s="355"/>
      <c r="V108" s="356"/>
      <c r="W108" s="42" t="s">
        <v>0</v>
      </c>
      <c r="X108" s="43">
        <f>IFERROR(SUMPRODUCT(X105:X106*H105:H106),"0")</f>
        <v>0</v>
      </c>
      <c r="Y108" s="43">
        <f>IFERROR(SUMPRODUCT(Y105:Y106*H105:H106),"0")</f>
        <v>0</v>
      </c>
      <c r="Z108" s="42"/>
      <c r="AA108" s="67"/>
      <c r="AB108" s="67"/>
      <c r="AC108" s="67"/>
    </row>
    <row r="109" spans="1:68" ht="16.5" customHeight="1" x14ac:dyDescent="0.25">
      <c r="A109" s="345" t="s">
        <v>197</v>
      </c>
      <c r="B109" s="345"/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  <c r="AA109" s="65"/>
      <c r="AB109" s="65"/>
      <c r="AC109" s="82"/>
    </row>
    <row r="110" spans="1:68" ht="14.25" customHeight="1" x14ac:dyDescent="0.25">
      <c r="A110" s="346" t="s">
        <v>82</v>
      </c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  <c r="Z110" s="346"/>
      <c r="AA110" s="66"/>
      <c r="AB110" s="66"/>
      <c r="AC110" s="83"/>
    </row>
    <row r="111" spans="1:68" ht="27" customHeight="1" x14ac:dyDescent="0.25">
      <c r="A111" s="63" t="s">
        <v>198</v>
      </c>
      <c r="B111" s="63" t="s">
        <v>199</v>
      </c>
      <c r="C111" s="36">
        <v>4301071121</v>
      </c>
      <c r="D111" s="347">
        <v>4620207491393</v>
      </c>
      <c r="E111" s="347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9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49"/>
      <c r="R111" s="349"/>
      <c r="S111" s="349"/>
      <c r="T111" s="350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ref="Y111:Y119" si="6">IFERROR(IF(X111="","",X111),"")</f>
        <v>0</v>
      </c>
      <c r="Z111" s="41">
        <f t="shared" ref="Z111:Z119" si="7">IFERROR(IF(X111="","",X111*0.0155),"")</f>
        <v>0</v>
      </c>
      <c r="AA111" s="68" t="s">
        <v>46</v>
      </c>
      <c r="AB111" s="69" t="s">
        <v>201</v>
      </c>
      <c r="AC111" s="159" t="s">
        <v>200</v>
      </c>
      <c r="AG111" s="81"/>
      <c r="AJ111" s="87" t="s">
        <v>89</v>
      </c>
      <c r="AK111" s="87">
        <v>1</v>
      </c>
      <c r="BB111" s="160" t="s">
        <v>70</v>
      </c>
      <c r="BM111" s="81">
        <f t="shared" ref="BM111:BM119" si="8">IFERROR(X111*I111,"0")</f>
        <v>0</v>
      </c>
      <c r="BN111" s="81">
        <f t="shared" ref="BN111:BN119" si="9">IFERROR(Y111*I111,"0")</f>
        <v>0</v>
      </c>
      <c r="BO111" s="81">
        <f t="shared" ref="BO111:BO119" si="10">IFERROR(X111/J111,"0")</f>
        <v>0</v>
      </c>
      <c r="BP111" s="81">
        <f t="shared" ref="BP111:BP119" si="11">IFERROR(Y111/J111,"0")</f>
        <v>0</v>
      </c>
    </row>
    <row r="112" spans="1:68" ht="27" customHeight="1" x14ac:dyDescent="0.25">
      <c r="A112" s="63" t="s">
        <v>202</v>
      </c>
      <c r="B112" s="63" t="s">
        <v>203</v>
      </c>
      <c r="C112" s="36">
        <v>4301071074</v>
      </c>
      <c r="D112" s="347">
        <v>4620207491157</v>
      </c>
      <c r="E112" s="347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2" s="349"/>
      <c r="R112" s="349"/>
      <c r="S112" s="349"/>
      <c r="T112" s="350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6"/>
        <v>0</v>
      </c>
      <c r="Z112" s="41">
        <f t="shared" si="7"/>
        <v>0</v>
      </c>
      <c r="AA112" s="68" t="s">
        <v>46</v>
      </c>
      <c r="AB112" s="69" t="s">
        <v>46</v>
      </c>
      <c r="AC112" s="161" t="s">
        <v>204</v>
      </c>
      <c r="AG112" s="81"/>
      <c r="AJ112" s="87" t="s">
        <v>89</v>
      </c>
      <c r="AK112" s="87">
        <v>1</v>
      </c>
      <c r="BB112" s="162" t="s">
        <v>70</v>
      </c>
      <c r="BM112" s="81">
        <f t="shared" si="8"/>
        <v>0</v>
      </c>
      <c r="BN112" s="81">
        <f t="shared" si="9"/>
        <v>0</v>
      </c>
      <c r="BO112" s="81">
        <f t="shared" si="10"/>
        <v>0</v>
      </c>
      <c r="BP112" s="81">
        <f t="shared" si="11"/>
        <v>0</v>
      </c>
    </row>
    <row r="113" spans="1:68" ht="27" customHeight="1" x14ac:dyDescent="0.25">
      <c r="A113" s="63" t="s">
        <v>205</v>
      </c>
      <c r="B113" s="63" t="s">
        <v>206</v>
      </c>
      <c r="C113" s="36">
        <v>4301071051</v>
      </c>
      <c r="D113" s="347">
        <v>4607111039262</v>
      </c>
      <c r="E113" s="347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109</v>
      </c>
      <c r="M113" s="38" t="s">
        <v>86</v>
      </c>
      <c r="N113" s="38"/>
      <c r="O113" s="37">
        <v>180</v>
      </c>
      <c r="P113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49"/>
      <c r="R113" s="349"/>
      <c r="S113" s="349"/>
      <c r="T113" s="35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6"/>
        <v>0</v>
      </c>
      <c r="Z113" s="41">
        <f t="shared" si="7"/>
        <v>0</v>
      </c>
      <c r="AA113" s="68" t="s">
        <v>46</v>
      </c>
      <c r="AB113" s="69" t="s">
        <v>46</v>
      </c>
      <c r="AC113" s="163" t="s">
        <v>158</v>
      </c>
      <c r="AG113" s="81"/>
      <c r="AJ113" s="87" t="s">
        <v>110</v>
      </c>
      <c r="AK113" s="87">
        <v>12</v>
      </c>
      <c r="BB113" s="164" t="s">
        <v>70</v>
      </c>
      <c r="BM113" s="81">
        <f t="shared" si="8"/>
        <v>0</v>
      </c>
      <c r="BN113" s="81">
        <f t="shared" si="9"/>
        <v>0</v>
      </c>
      <c r="BO113" s="81">
        <f t="shared" si="10"/>
        <v>0</v>
      </c>
      <c r="BP113" s="81">
        <f t="shared" si="11"/>
        <v>0</v>
      </c>
    </row>
    <row r="114" spans="1:68" ht="27" customHeight="1" x14ac:dyDescent="0.25">
      <c r="A114" s="63" t="s">
        <v>207</v>
      </c>
      <c r="B114" s="63" t="s">
        <v>208</v>
      </c>
      <c r="C114" s="36">
        <v>4301071038</v>
      </c>
      <c r="D114" s="347">
        <v>4607111039248</v>
      </c>
      <c r="E114" s="347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162</v>
      </c>
      <c r="M114" s="38" t="s">
        <v>86</v>
      </c>
      <c r="N114" s="38"/>
      <c r="O114" s="37">
        <v>180</v>
      </c>
      <c r="P114" s="3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9"/>
      <c r="R114" s="349"/>
      <c r="S114" s="349"/>
      <c r="T114" s="350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6"/>
        <v>0</v>
      </c>
      <c r="Z114" s="41">
        <f t="shared" si="7"/>
        <v>0</v>
      </c>
      <c r="AA114" s="68" t="s">
        <v>46</v>
      </c>
      <c r="AB114" s="69" t="s">
        <v>46</v>
      </c>
      <c r="AC114" s="165" t="s">
        <v>158</v>
      </c>
      <c r="AG114" s="81"/>
      <c r="AJ114" s="87" t="s">
        <v>163</v>
      </c>
      <c r="AK114" s="87">
        <v>84</v>
      </c>
      <c r="BB114" s="166" t="s">
        <v>70</v>
      </c>
      <c r="BM114" s="81">
        <f t="shared" si="8"/>
        <v>0</v>
      </c>
      <c r="BN114" s="81">
        <f t="shared" si="9"/>
        <v>0</v>
      </c>
      <c r="BO114" s="81">
        <f t="shared" si="10"/>
        <v>0</v>
      </c>
      <c r="BP114" s="81">
        <f t="shared" si="11"/>
        <v>0</v>
      </c>
    </row>
    <row r="115" spans="1:68" ht="27" customHeight="1" x14ac:dyDescent="0.25">
      <c r="A115" s="63" t="s">
        <v>209</v>
      </c>
      <c r="B115" s="63" t="s">
        <v>210</v>
      </c>
      <c r="C115" s="36">
        <v>4301070979</v>
      </c>
      <c r="D115" s="347">
        <v>4607111037145</v>
      </c>
      <c r="E115" s="347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49"/>
      <c r="R115" s="349"/>
      <c r="S115" s="349"/>
      <c r="T115" s="35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6"/>
        <v>0</v>
      </c>
      <c r="Z115" s="41">
        <f t="shared" si="7"/>
        <v>0</v>
      </c>
      <c r="AA115" s="68" t="s">
        <v>46</v>
      </c>
      <c r="AB115" s="69" t="s">
        <v>46</v>
      </c>
      <c r="AC115" s="167" t="s">
        <v>211</v>
      </c>
      <c r="AG115" s="81"/>
      <c r="AJ115" s="87" t="s">
        <v>89</v>
      </c>
      <c r="AK115" s="87">
        <v>1</v>
      </c>
      <c r="BB115" s="168" t="s">
        <v>70</v>
      </c>
      <c r="BM115" s="81">
        <f t="shared" si="8"/>
        <v>0</v>
      </c>
      <c r="BN115" s="81">
        <f t="shared" si="9"/>
        <v>0</v>
      </c>
      <c r="BO115" s="81">
        <f t="shared" si="10"/>
        <v>0</v>
      </c>
      <c r="BP115" s="81">
        <f t="shared" si="11"/>
        <v>0</v>
      </c>
    </row>
    <row r="116" spans="1:68" ht="27" customHeight="1" x14ac:dyDescent="0.25">
      <c r="A116" s="63" t="s">
        <v>212</v>
      </c>
      <c r="B116" s="63" t="s">
        <v>213</v>
      </c>
      <c r="C116" s="36">
        <v>4301071049</v>
      </c>
      <c r="D116" s="347">
        <v>4607111039293</v>
      </c>
      <c r="E116" s="347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109</v>
      </c>
      <c r="M116" s="38" t="s">
        <v>86</v>
      </c>
      <c r="N116" s="38"/>
      <c r="O116" s="37">
        <v>180</v>
      </c>
      <c r="P116" s="39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49"/>
      <c r="R116" s="349"/>
      <c r="S116" s="349"/>
      <c r="T116" s="35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6"/>
        <v>0</v>
      </c>
      <c r="Z116" s="41">
        <f t="shared" si="7"/>
        <v>0</v>
      </c>
      <c r="AA116" s="68" t="s">
        <v>46</v>
      </c>
      <c r="AB116" s="69" t="s">
        <v>46</v>
      </c>
      <c r="AC116" s="169" t="s">
        <v>158</v>
      </c>
      <c r="AG116" s="81"/>
      <c r="AJ116" s="87" t="s">
        <v>110</v>
      </c>
      <c r="AK116" s="87">
        <v>12</v>
      </c>
      <c r="BB116" s="170" t="s">
        <v>70</v>
      </c>
      <c r="BM116" s="81">
        <f t="shared" si="8"/>
        <v>0</v>
      </c>
      <c r="BN116" s="81">
        <f t="shared" si="9"/>
        <v>0</v>
      </c>
      <c r="BO116" s="81">
        <f t="shared" si="10"/>
        <v>0</v>
      </c>
      <c r="BP116" s="81">
        <f t="shared" si="11"/>
        <v>0</v>
      </c>
    </row>
    <row r="117" spans="1:68" ht="27" customHeight="1" x14ac:dyDescent="0.25">
      <c r="A117" s="63" t="s">
        <v>214</v>
      </c>
      <c r="B117" s="63" t="s">
        <v>215</v>
      </c>
      <c r="C117" s="36">
        <v>4301071039</v>
      </c>
      <c r="D117" s="347">
        <v>4607111039279</v>
      </c>
      <c r="E117" s="347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109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49"/>
      <c r="R117" s="349"/>
      <c r="S117" s="349"/>
      <c r="T117" s="35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6"/>
        <v>0</v>
      </c>
      <c r="Z117" s="41">
        <f t="shared" si="7"/>
        <v>0</v>
      </c>
      <c r="AA117" s="68" t="s">
        <v>46</v>
      </c>
      <c r="AB117" s="69" t="s">
        <v>46</v>
      </c>
      <c r="AC117" s="171" t="s">
        <v>158</v>
      </c>
      <c r="AG117" s="81"/>
      <c r="AJ117" s="87" t="s">
        <v>110</v>
      </c>
      <c r="AK117" s="87">
        <v>12</v>
      </c>
      <c r="BB117" s="172" t="s">
        <v>70</v>
      </c>
      <c r="BM117" s="81">
        <f t="shared" si="8"/>
        <v>0</v>
      </c>
      <c r="BN117" s="81">
        <f t="shared" si="9"/>
        <v>0</v>
      </c>
      <c r="BO117" s="81">
        <f t="shared" si="10"/>
        <v>0</v>
      </c>
      <c r="BP117" s="81">
        <f t="shared" si="11"/>
        <v>0</v>
      </c>
    </row>
    <row r="118" spans="1:68" ht="27" customHeight="1" x14ac:dyDescent="0.25">
      <c r="A118" s="63" t="s">
        <v>216</v>
      </c>
      <c r="B118" s="63" t="s">
        <v>217</v>
      </c>
      <c r="C118" s="36">
        <v>4301070978</v>
      </c>
      <c r="D118" s="347">
        <v>4607111037435</v>
      </c>
      <c r="E118" s="347"/>
      <c r="F118" s="62">
        <v>0.8</v>
      </c>
      <c r="G118" s="37">
        <v>8</v>
      </c>
      <c r="H118" s="62">
        <v>6.4</v>
      </c>
      <c r="I118" s="62">
        <v>6.6859999999999999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8" s="349"/>
      <c r="R118" s="349"/>
      <c r="S118" s="349"/>
      <c r="T118" s="350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6"/>
        <v>0</v>
      </c>
      <c r="Z118" s="41">
        <f t="shared" si="7"/>
        <v>0</v>
      </c>
      <c r="AA118" s="68" t="s">
        <v>46</v>
      </c>
      <c r="AB118" s="69" t="s">
        <v>46</v>
      </c>
      <c r="AC118" s="173" t="s">
        <v>218</v>
      </c>
      <c r="AG118" s="81"/>
      <c r="AJ118" s="87" t="s">
        <v>89</v>
      </c>
      <c r="AK118" s="87">
        <v>1</v>
      </c>
      <c r="BB118" s="174" t="s">
        <v>70</v>
      </c>
      <c r="BM118" s="81">
        <f t="shared" si="8"/>
        <v>0</v>
      </c>
      <c r="BN118" s="81">
        <f t="shared" si="9"/>
        <v>0</v>
      </c>
      <c r="BO118" s="81">
        <f t="shared" si="10"/>
        <v>0</v>
      </c>
      <c r="BP118" s="81">
        <f t="shared" si="11"/>
        <v>0</v>
      </c>
    </row>
    <row r="119" spans="1:68" ht="27" customHeight="1" x14ac:dyDescent="0.25">
      <c r="A119" s="63" t="s">
        <v>219</v>
      </c>
      <c r="B119" s="63" t="s">
        <v>220</v>
      </c>
      <c r="C119" s="36">
        <v>4301071075</v>
      </c>
      <c r="D119" s="347">
        <v>4620207491102</v>
      </c>
      <c r="E119" s="347"/>
      <c r="F119" s="62">
        <v>0.7</v>
      </c>
      <c r="G119" s="37">
        <v>10</v>
      </c>
      <c r="H119" s="62">
        <v>7</v>
      </c>
      <c r="I119" s="62">
        <v>7.23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9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9" s="349"/>
      <c r="R119" s="349"/>
      <c r="S119" s="349"/>
      <c r="T119" s="35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6"/>
        <v>0</v>
      </c>
      <c r="Z119" s="41">
        <f t="shared" si="7"/>
        <v>0</v>
      </c>
      <c r="AA119" s="68" t="s">
        <v>46</v>
      </c>
      <c r="AB119" s="69" t="s">
        <v>46</v>
      </c>
      <c r="AC119" s="175" t="s">
        <v>221</v>
      </c>
      <c r="AG119" s="81"/>
      <c r="AJ119" s="87" t="s">
        <v>89</v>
      </c>
      <c r="AK119" s="87">
        <v>1</v>
      </c>
      <c r="BB119" s="176" t="s">
        <v>70</v>
      </c>
      <c r="BM119" s="81">
        <f t="shared" si="8"/>
        <v>0</v>
      </c>
      <c r="BN119" s="81">
        <f t="shared" si="9"/>
        <v>0</v>
      </c>
      <c r="BO119" s="81">
        <f t="shared" si="10"/>
        <v>0</v>
      </c>
      <c r="BP119" s="81">
        <f t="shared" si="11"/>
        <v>0</v>
      </c>
    </row>
    <row r="120" spans="1:68" x14ac:dyDescent="0.2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8"/>
      <c r="P120" s="354" t="s">
        <v>40</v>
      </c>
      <c r="Q120" s="355"/>
      <c r="R120" s="355"/>
      <c r="S120" s="355"/>
      <c r="T120" s="355"/>
      <c r="U120" s="355"/>
      <c r="V120" s="356"/>
      <c r="W120" s="42" t="s">
        <v>39</v>
      </c>
      <c r="X120" s="43">
        <f>IFERROR(SUM(X111:X119),"0")</f>
        <v>0</v>
      </c>
      <c r="Y120" s="43">
        <f>IFERROR(SUM(Y111:Y119),"0")</f>
        <v>0</v>
      </c>
      <c r="Z120" s="43">
        <f>IFERROR(IF(Z111="",0,Z111),"0")+IFERROR(IF(Z112="",0,Z112),"0")+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8"/>
      <c r="P121" s="354" t="s">
        <v>40</v>
      </c>
      <c r="Q121" s="355"/>
      <c r="R121" s="355"/>
      <c r="S121" s="355"/>
      <c r="T121" s="355"/>
      <c r="U121" s="355"/>
      <c r="V121" s="356"/>
      <c r="W121" s="42" t="s">
        <v>0</v>
      </c>
      <c r="X121" s="43">
        <f>IFERROR(SUMPRODUCT(X111:X119*H111:H119),"0")</f>
        <v>0</v>
      </c>
      <c r="Y121" s="43">
        <f>IFERROR(SUMPRODUCT(Y111:Y119*H111:H119),"0")</f>
        <v>0</v>
      </c>
      <c r="Z121" s="42"/>
      <c r="AA121" s="67"/>
      <c r="AB121" s="67"/>
      <c r="AC121" s="67"/>
    </row>
    <row r="122" spans="1:68" ht="14.25" customHeight="1" x14ac:dyDescent="0.25">
      <c r="A122" s="346" t="s">
        <v>147</v>
      </c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46"/>
      <c r="AA122" s="66"/>
      <c r="AB122" s="66"/>
      <c r="AC122" s="83"/>
    </row>
    <row r="123" spans="1:68" ht="27" customHeight="1" x14ac:dyDescent="0.25">
      <c r="A123" s="63" t="s">
        <v>222</v>
      </c>
      <c r="B123" s="63" t="s">
        <v>223</v>
      </c>
      <c r="C123" s="36">
        <v>4301135826</v>
      </c>
      <c r="D123" s="347">
        <v>4620207490983</v>
      </c>
      <c r="E123" s="347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108</v>
      </c>
      <c r="L123" s="37" t="s">
        <v>88</v>
      </c>
      <c r="M123" s="38" t="s">
        <v>86</v>
      </c>
      <c r="N123" s="38"/>
      <c r="O123" s="37">
        <v>180</v>
      </c>
      <c r="P123" s="3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9"/>
      <c r="R123" s="349"/>
      <c r="S123" s="349"/>
      <c r="T123" s="350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224</v>
      </c>
      <c r="AG123" s="81"/>
      <c r="AJ123" s="87" t="s">
        <v>89</v>
      </c>
      <c r="AK123" s="87">
        <v>1</v>
      </c>
      <c r="BB123" s="178" t="s">
        <v>107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8"/>
      <c r="P124" s="354" t="s">
        <v>40</v>
      </c>
      <c r="Q124" s="355"/>
      <c r="R124" s="355"/>
      <c r="S124" s="355"/>
      <c r="T124" s="355"/>
      <c r="U124" s="355"/>
      <c r="V124" s="356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8"/>
      <c r="P125" s="354" t="s">
        <v>40</v>
      </c>
      <c r="Q125" s="355"/>
      <c r="R125" s="355"/>
      <c r="S125" s="355"/>
      <c r="T125" s="355"/>
      <c r="U125" s="355"/>
      <c r="V125" s="356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6" t="s">
        <v>225</v>
      </c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66"/>
      <c r="AB126" s="66"/>
      <c r="AC126" s="83"/>
    </row>
    <row r="127" spans="1:68" ht="27" customHeight="1" x14ac:dyDescent="0.25">
      <c r="A127" s="63" t="s">
        <v>226</v>
      </c>
      <c r="B127" s="63" t="s">
        <v>227</v>
      </c>
      <c r="C127" s="36">
        <v>4301071094</v>
      </c>
      <c r="D127" s="347">
        <v>4620207491140</v>
      </c>
      <c r="E127" s="347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49"/>
      <c r="R127" s="349"/>
      <c r="S127" s="349"/>
      <c r="T127" s="350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228</v>
      </c>
      <c r="AG127" s="81"/>
      <c r="AJ127" s="87" t="s">
        <v>89</v>
      </c>
      <c r="AK127" s="87">
        <v>1</v>
      </c>
      <c r="BB127" s="180" t="s">
        <v>107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8"/>
      <c r="P128" s="354" t="s">
        <v>40</v>
      </c>
      <c r="Q128" s="355"/>
      <c r="R128" s="355"/>
      <c r="S128" s="355"/>
      <c r="T128" s="355"/>
      <c r="U128" s="355"/>
      <c r="V128" s="356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8"/>
      <c r="P129" s="354" t="s">
        <v>40</v>
      </c>
      <c r="Q129" s="355"/>
      <c r="R129" s="355"/>
      <c r="S129" s="355"/>
      <c r="T129" s="355"/>
      <c r="U129" s="355"/>
      <c r="V129" s="356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5" t="s">
        <v>229</v>
      </c>
      <c r="B130" s="345"/>
      <c r="C130" s="345"/>
      <c r="D130" s="345"/>
      <c r="E130" s="345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/>
      <c r="R130" s="345"/>
      <c r="S130" s="345"/>
      <c r="T130" s="345"/>
      <c r="U130" s="345"/>
      <c r="V130" s="345"/>
      <c r="W130" s="345"/>
      <c r="X130" s="345"/>
      <c r="Y130" s="345"/>
      <c r="Z130" s="345"/>
      <c r="AA130" s="65"/>
      <c r="AB130" s="65"/>
      <c r="AC130" s="82"/>
    </row>
    <row r="131" spans="1:68" ht="14.25" customHeight="1" x14ac:dyDescent="0.25">
      <c r="A131" s="346" t="s">
        <v>147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6"/>
      <c r="AB131" s="66"/>
      <c r="AC131" s="83"/>
    </row>
    <row r="132" spans="1:68" ht="27" customHeight="1" x14ac:dyDescent="0.25">
      <c r="A132" s="63" t="s">
        <v>230</v>
      </c>
      <c r="B132" s="63" t="s">
        <v>231</v>
      </c>
      <c r="C132" s="36">
        <v>4301135555</v>
      </c>
      <c r="D132" s="347">
        <v>4607111034014</v>
      </c>
      <c r="E132" s="347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108</v>
      </c>
      <c r="L132" s="37" t="s">
        <v>109</v>
      </c>
      <c r="M132" s="38" t="s">
        <v>86</v>
      </c>
      <c r="N132" s="38"/>
      <c r="O132" s="37">
        <v>180</v>
      </c>
      <c r="P132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49"/>
      <c r="R132" s="349"/>
      <c r="S132" s="349"/>
      <c r="T132" s="350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232</v>
      </c>
      <c r="AG132" s="81"/>
      <c r="AJ132" s="87" t="s">
        <v>110</v>
      </c>
      <c r="AK132" s="87">
        <v>14</v>
      </c>
      <c r="BB132" s="182" t="s">
        <v>107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233</v>
      </c>
      <c r="B133" s="63" t="s">
        <v>234</v>
      </c>
      <c r="C133" s="36">
        <v>4301135532</v>
      </c>
      <c r="D133" s="347">
        <v>4607111033994</v>
      </c>
      <c r="E133" s="347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108</v>
      </c>
      <c r="L133" s="37" t="s">
        <v>109</v>
      </c>
      <c r="M133" s="38" t="s">
        <v>86</v>
      </c>
      <c r="N133" s="38"/>
      <c r="O133" s="37">
        <v>180</v>
      </c>
      <c r="P133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49"/>
      <c r="R133" s="349"/>
      <c r="S133" s="349"/>
      <c r="T133" s="350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167</v>
      </c>
      <c r="AG133" s="81"/>
      <c r="AJ133" s="87" t="s">
        <v>110</v>
      </c>
      <c r="AK133" s="87">
        <v>14</v>
      </c>
      <c r="BB133" s="184" t="s">
        <v>107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8"/>
      <c r="P134" s="354" t="s">
        <v>40</v>
      </c>
      <c r="Q134" s="355"/>
      <c r="R134" s="355"/>
      <c r="S134" s="355"/>
      <c r="T134" s="355"/>
      <c r="U134" s="355"/>
      <c r="V134" s="356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8"/>
      <c r="P135" s="354" t="s">
        <v>40</v>
      </c>
      <c r="Q135" s="355"/>
      <c r="R135" s="355"/>
      <c r="S135" s="355"/>
      <c r="T135" s="355"/>
      <c r="U135" s="355"/>
      <c r="V135" s="356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5" t="s">
        <v>235</v>
      </c>
      <c r="B136" s="345"/>
      <c r="C136" s="345"/>
      <c r="D136" s="345"/>
      <c r="E136" s="345"/>
      <c r="F136" s="345"/>
      <c r="G136" s="345"/>
      <c r="H136" s="345"/>
      <c r="I136" s="345"/>
      <c r="J136" s="345"/>
      <c r="K136" s="345"/>
      <c r="L136" s="345"/>
      <c r="M136" s="345"/>
      <c r="N136" s="345"/>
      <c r="O136" s="345"/>
      <c r="P136" s="345"/>
      <c r="Q136" s="345"/>
      <c r="R136" s="345"/>
      <c r="S136" s="345"/>
      <c r="T136" s="345"/>
      <c r="U136" s="345"/>
      <c r="V136" s="345"/>
      <c r="W136" s="345"/>
      <c r="X136" s="345"/>
      <c r="Y136" s="345"/>
      <c r="Z136" s="345"/>
      <c r="AA136" s="65"/>
      <c r="AB136" s="65"/>
      <c r="AC136" s="82"/>
    </row>
    <row r="137" spans="1:68" ht="14.25" customHeight="1" x14ac:dyDescent="0.25">
      <c r="A137" s="346" t="s">
        <v>147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6"/>
      <c r="AB137" s="66"/>
      <c r="AC137" s="83"/>
    </row>
    <row r="138" spans="1:68" ht="27" customHeight="1" x14ac:dyDescent="0.25">
      <c r="A138" s="63" t="s">
        <v>236</v>
      </c>
      <c r="B138" s="63" t="s">
        <v>237</v>
      </c>
      <c r="C138" s="36">
        <v>4301135824</v>
      </c>
      <c r="D138" s="347">
        <v>4607111039095</v>
      </c>
      <c r="E138" s="347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108</v>
      </c>
      <c r="L138" s="37" t="s">
        <v>88</v>
      </c>
      <c r="M138" s="38" t="s">
        <v>86</v>
      </c>
      <c r="N138" s="38"/>
      <c r="O138" s="37">
        <v>180</v>
      </c>
      <c r="P138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49"/>
      <c r="R138" s="349"/>
      <c r="S138" s="349"/>
      <c r="T138" s="350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238</v>
      </c>
      <c r="AG138" s="81"/>
      <c r="AJ138" s="87" t="s">
        <v>89</v>
      </c>
      <c r="AK138" s="87">
        <v>1</v>
      </c>
      <c r="BB138" s="186" t="s">
        <v>107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239</v>
      </c>
      <c r="B139" s="63" t="s">
        <v>240</v>
      </c>
      <c r="C139" s="36">
        <v>4301135550</v>
      </c>
      <c r="D139" s="347">
        <v>4607111034199</v>
      </c>
      <c r="E139" s="347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108</v>
      </c>
      <c r="L139" s="37" t="s">
        <v>162</v>
      </c>
      <c r="M139" s="38" t="s">
        <v>86</v>
      </c>
      <c r="N139" s="38"/>
      <c r="O139" s="37">
        <v>180</v>
      </c>
      <c r="P139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49"/>
      <c r="R139" s="349"/>
      <c r="S139" s="349"/>
      <c r="T139" s="35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241</v>
      </c>
      <c r="AG139" s="81"/>
      <c r="AJ139" s="87" t="s">
        <v>163</v>
      </c>
      <c r="AK139" s="87">
        <v>70</v>
      </c>
      <c r="BB139" s="188" t="s">
        <v>107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8"/>
      <c r="P140" s="354" t="s">
        <v>40</v>
      </c>
      <c r="Q140" s="355"/>
      <c r="R140" s="355"/>
      <c r="S140" s="355"/>
      <c r="T140" s="355"/>
      <c r="U140" s="355"/>
      <c r="V140" s="356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8"/>
      <c r="P141" s="354" t="s">
        <v>40</v>
      </c>
      <c r="Q141" s="355"/>
      <c r="R141" s="355"/>
      <c r="S141" s="355"/>
      <c r="T141" s="355"/>
      <c r="U141" s="355"/>
      <c r="V141" s="356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5" t="s">
        <v>242</v>
      </c>
      <c r="B142" s="345"/>
      <c r="C142" s="345"/>
      <c r="D142" s="345"/>
      <c r="E142" s="345"/>
      <c r="F142" s="345"/>
      <c r="G142" s="345"/>
      <c r="H142" s="345"/>
      <c r="I142" s="345"/>
      <c r="J142" s="345"/>
      <c r="K142" s="345"/>
      <c r="L142" s="345"/>
      <c r="M142" s="345"/>
      <c r="N142" s="345"/>
      <c r="O142" s="345"/>
      <c r="P142" s="345"/>
      <c r="Q142" s="345"/>
      <c r="R142" s="345"/>
      <c r="S142" s="345"/>
      <c r="T142" s="345"/>
      <c r="U142" s="345"/>
      <c r="V142" s="345"/>
      <c r="W142" s="345"/>
      <c r="X142" s="345"/>
      <c r="Y142" s="345"/>
      <c r="Z142" s="345"/>
      <c r="AA142" s="65"/>
      <c r="AB142" s="65"/>
      <c r="AC142" s="82"/>
    </row>
    <row r="143" spans="1:68" ht="14.25" customHeight="1" x14ac:dyDescent="0.25">
      <c r="A143" s="346" t="s">
        <v>147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4301135753</v>
      </c>
      <c r="D144" s="347">
        <v>4620207490914</v>
      </c>
      <c r="E144" s="347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108</v>
      </c>
      <c r="L144" s="37" t="s">
        <v>88</v>
      </c>
      <c r="M144" s="38" t="s">
        <v>86</v>
      </c>
      <c r="N144" s="38"/>
      <c r="O144" s="37">
        <v>180</v>
      </c>
      <c r="P144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49"/>
      <c r="R144" s="349"/>
      <c r="S144" s="349"/>
      <c r="T144" s="350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232</v>
      </c>
      <c r="AG144" s="81"/>
      <c r="AJ144" s="87" t="s">
        <v>89</v>
      </c>
      <c r="AK144" s="87">
        <v>1</v>
      </c>
      <c r="BB144" s="190" t="s">
        <v>107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245</v>
      </c>
      <c r="B145" s="63" t="s">
        <v>246</v>
      </c>
      <c r="C145" s="36">
        <v>4301135778</v>
      </c>
      <c r="D145" s="347">
        <v>4620207490853</v>
      </c>
      <c r="E145" s="347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108</v>
      </c>
      <c r="L145" s="37" t="s">
        <v>88</v>
      </c>
      <c r="M145" s="38" t="s">
        <v>86</v>
      </c>
      <c r="N145" s="38"/>
      <c r="O145" s="37">
        <v>180</v>
      </c>
      <c r="P145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49"/>
      <c r="R145" s="349"/>
      <c r="S145" s="349"/>
      <c r="T145" s="350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107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8"/>
      <c r="P146" s="354" t="s">
        <v>40</v>
      </c>
      <c r="Q146" s="355"/>
      <c r="R146" s="355"/>
      <c r="S146" s="355"/>
      <c r="T146" s="355"/>
      <c r="U146" s="355"/>
      <c r="V146" s="356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8"/>
      <c r="P147" s="354" t="s">
        <v>40</v>
      </c>
      <c r="Q147" s="355"/>
      <c r="R147" s="355"/>
      <c r="S147" s="355"/>
      <c r="T147" s="355"/>
      <c r="U147" s="355"/>
      <c r="V147" s="356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5" t="s">
        <v>247</v>
      </c>
      <c r="B148" s="345"/>
      <c r="C148" s="345"/>
      <c r="D148" s="345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/>
      <c r="Q148" s="345"/>
      <c r="R148" s="345"/>
      <c r="S148" s="345"/>
      <c r="T148" s="345"/>
      <c r="U148" s="345"/>
      <c r="V148" s="345"/>
      <c r="W148" s="345"/>
      <c r="X148" s="345"/>
      <c r="Y148" s="345"/>
      <c r="Z148" s="345"/>
      <c r="AA148" s="65"/>
      <c r="AB148" s="65"/>
      <c r="AC148" s="82"/>
    </row>
    <row r="149" spans="1:68" ht="14.25" customHeight="1" x14ac:dyDescent="0.25">
      <c r="A149" s="346" t="s">
        <v>147</v>
      </c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66"/>
      <c r="AB149" s="66"/>
      <c r="AC149" s="83"/>
    </row>
    <row r="150" spans="1:68" ht="27" customHeight="1" x14ac:dyDescent="0.25">
      <c r="A150" s="63" t="s">
        <v>248</v>
      </c>
      <c r="B150" s="63" t="s">
        <v>249</v>
      </c>
      <c r="C150" s="36">
        <v>4301135570</v>
      </c>
      <c r="D150" s="347">
        <v>4607111035806</v>
      </c>
      <c r="E150" s="347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108</v>
      </c>
      <c r="L150" s="37" t="s">
        <v>88</v>
      </c>
      <c r="M150" s="38" t="s">
        <v>86</v>
      </c>
      <c r="N150" s="38"/>
      <c r="O150" s="37">
        <v>180</v>
      </c>
      <c r="P150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49"/>
      <c r="R150" s="349"/>
      <c r="S150" s="349"/>
      <c r="T150" s="350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250</v>
      </c>
      <c r="AG150" s="81"/>
      <c r="AJ150" s="87" t="s">
        <v>89</v>
      </c>
      <c r="AK150" s="87">
        <v>1</v>
      </c>
      <c r="BB150" s="194" t="s">
        <v>107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8"/>
      <c r="P151" s="354" t="s">
        <v>40</v>
      </c>
      <c r="Q151" s="355"/>
      <c r="R151" s="355"/>
      <c r="S151" s="355"/>
      <c r="T151" s="355"/>
      <c r="U151" s="355"/>
      <c r="V151" s="356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8"/>
      <c r="P152" s="354" t="s">
        <v>40</v>
      </c>
      <c r="Q152" s="355"/>
      <c r="R152" s="355"/>
      <c r="S152" s="355"/>
      <c r="T152" s="355"/>
      <c r="U152" s="355"/>
      <c r="V152" s="356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5" t="s">
        <v>251</v>
      </c>
      <c r="B153" s="345"/>
      <c r="C153" s="345"/>
      <c r="D153" s="345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/>
      <c r="Q153" s="345"/>
      <c r="R153" s="345"/>
      <c r="S153" s="345"/>
      <c r="T153" s="345"/>
      <c r="U153" s="345"/>
      <c r="V153" s="345"/>
      <c r="W153" s="345"/>
      <c r="X153" s="345"/>
      <c r="Y153" s="345"/>
      <c r="Z153" s="345"/>
      <c r="AA153" s="65"/>
      <c r="AB153" s="65"/>
      <c r="AC153" s="82"/>
    </row>
    <row r="154" spans="1:68" ht="14.25" customHeight="1" x14ac:dyDescent="0.25">
      <c r="A154" s="346" t="s">
        <v>147</v>
      </c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66"/>
      <c r="AB154" s="66"/>
      <c r="AC154" s="83"/>
    </row>
    <row r="155" spans="1:68" ht="16.5" customHeight="1" x14ac:dyDescent="0.25">
      <c r="A155" s="63" t="s">
        <v>252</v>
      </c>
      <c r="B155" s="63" t="s">
        <v>253</v>
      </c>
      <c r="C155" s="36">
        <v>4301135607</v>
      </c>
      <c r="D155" s="347">
        <v>4607111039613</v>
      </c>
      <c r="E155" s="347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108</v>
      </c>
      <c r="L155" s="37" t="s">
        <v>88</v>
      </c>
      <c r="M155" s="38" t="s">
        <v>86</v>
      </c>
      <c r="N155" s="38"/>
      <c r="O155" s="37">
        <v>180</v>
      </c>
      <c r="P155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49"/>
      <c r="R155" s="349"/>
      <c r="S155" s="349"/>
      <c r="T155" s="350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238</v>
      </c>
      <c r="AG155" s="81"/>
      <c r="AJ155" s="87" t="s">
        <v>89</v>
      </c>
      <c r="AK155" s="87">
        <v>1</v>
      </c>
      <c r="BB155" s="196" t="s">
        <v>107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8"/>
      <c r="P156" s="354" t="s">
        <v>40</v>
      </c>
      <c r="Q156" s="355"/>
      <c r="R156" s="355"/>
      <c r="S156" s="355"/>
      <c r="T156" s="355"/>
      <c r="U156" s="355"/>
      <c r="V156" s="356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8"/>
      <c r="P157" s="354" t="s">
        <v>40</v>
      </c>
      <c r="Q157" s="355"/>
      <c r="R157" s="355"/>
      <c r="S157" s="355"/>
      <c r="T157" s="355"/>
      <c r="U157" s="355"/>
      <c r="V157" s="356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5" t="s">
        <v>254</v>
      </c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65"/>
      <c r="AB158" s="65"/>
      <c r="AC158" s="82"/>
    </row>
    <row r="159" spans="1:68" ht="14.25" customHeight="1" x14ac:dyDescent="0.25">
      <c r="A159" s="346" t="s">
        <v>225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6"/>
      <c r="AB159" s="66"/>
      <c r="AC159" s="83"/>
    </row>
    <row r="160" spans="1:68" ht="27" customHeight="1" x14ac:dyDescent="0.25">
      <c r="A160" s="63" t="s">
        <v>255</v>
      </c>
      <c r="B160" s="63" t="s">
        <v>256</v>
      </c>
      <c r="C160" s="36">
        <v>4301135540</v>
      </c>
      <c r="D160" s="347">
        <v>4607111035646</v>
      </c>
      <c r="E160" s="347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258</v>
      </c>
      <c r="L160" s="37" t="s">
        <v>88</v>
      </c>
      <c r="M160" s="38" t="s">
        <v>86</v>
      </c>
      <c r="N160" s="38"/>
      <c r="O160" s="37">
        <v>180</v>
      </c>
      <c r="P160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49"/>
      <c r="R160" s="349"/>
      <c r="S160" s="349"/>
      <c r="T160" s="350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257</v>
      </c>
      <c r="AG160" s="81"/>
      <c r="AJ160" s="87" t="s">
        <v>89</v>
      </c>
      <c r="AK160" s="87">
        <v>1</v>
      </c>
      <c r="BB160" s="198" t="s">
        <v>107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8"/>
      <c r="P161" s="354" t="s">
        <v>40</v>
      </c>
      <c r="Q161" s="355"/>
      <c r="R161" s="355"/>
      <c r="S161" s="355"/>
      <c r="T161" s="355"/>
      <c r="U161" s="355"/>
      <c r="V161" s="356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8"/>
      <c r="P162" s="354" t="s">
        <v>40</v>
      </c>
      <c r="Q162" s="355"/>
      <c r="R162" s="355"/>
      <c r="S162" s="355"/>
      <c r="T162" s="355"/>
      <c r="U162" s="355"/>
      <c r="V162" s="356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5" t="s">
        <v>259</v>
      </c>
      <c r="B163" s="345"/>
      <c r="C163" s="345"/>
      <c r="D163" s="345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345"/>
      <c r="W163" s="345"/>
      <c r="X163" s="345"/>
      <c r="Y163" s="345"/>
      <c r="Z163" s="345"/>
      <c r="AA163" s="65"/>
      <c r="AB163" s="65"/>
      <c r="AC163" s="82"/>
    </row>
    <row r="164" spans="1:68" ht="14.25" customHeight="1" x14ac:dyDescent="0.25">
      <c r="A164" s="346" t="s">
        <v>147</v>
      </c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66"/>
      <c r="AB164" s="66"/>
      <c r="AC164" s="83"/>
    </row>
    <row r="165" spans="1:68" ht="27" customHeight="1" x14ac:dyDescent="0.25">
      <c r="A165" s="63" t="s">
        <v>260</v>
      </c>
      <c r="B165" s="63" t="s">
        <v>261</v>
      </c>
      <c r="C165" s="36">
        <v>4301135591</v>
      </c>
      <c r="D165" s="347">
        <v>4607111036568</v>
      </c>
      <c r="E165" s="347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108</v>
      </c>
      <c r="L165" s="37" t="s">
        <v>88</v>
      </c>
      <c r="M165" s="38" t="s">
        <v>86</v>
      </c>
      <c r="N165" s="38"/>
      <c r="O165" s="37">
        <v>180</v>
      </c>
      <c r="P165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49"/>
      <c r="R165" s="349"/>
      <c r="S165" s="349"/>
      <c r="T165" s="350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262</v>
      </c>
      <c r="AG165" s="81"/>
      <c r="AJ165" s="87" t="s">
        <v>89</v>
      </c>
      <c r="AK165" s="87">
        <v>1</v>
      </c>
      <c r="BB165" s="200" t="s">
        <v>107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8"/>
      <c r="P166" s="354" t="s">
        <v>40</v>
      </c>
      <c r="Q166" s="355"/>
      <c r="R166" s="355"/>
      <c r="S166" s="355"/>
      <c r="T166" s="355"/>
      <c r="U166" s="355"/>
      <c r="V166" s="356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8"/>
      <c r="P167" s="354" t="s">
        <v>40</v>
      </c>
      <c r="Q167" s="355"/>
      <c r="R167" s="355"/>
      <c r="S167" s="355"/>
      <c r="T167" s="355"/>
      <c r="U167" s="355"/>
      <c r="V167" s="356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4" t="s">
        <v>263</v>
      </c>
      <c r="B168" s="344"/>
      <c r="C168" s="344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  <c r="AA168" s="54"/>
      <c r="AB168" s="54"/>
      <c r="AC168" s="54"/>
    </row>
    <row r="169" spans="1:68" ht="16.5" customHeight="1" x14ac:dyDescent="0.25">
      <c r="A169" s="345" t="s">
        <v>264</v>
      </c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65"/>
      <c r="AB169" s="65"/>
      <c r="AC169" s="82"/>
    </row>
    <row r="170" spans="1:68" ht="14.25" customHeight="1" x14ac:dyDescent="0.25">
      <c r="A170" s="346" t="s">
        <v>82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66"/>
      <c r="AB170" s="66"/>
      <c r="AC170" s="83"/>
    </row>
    <row r="171" spans="1:68" ht="16.5" customHeight="1" x14ac:dyDescent="0.25">
      <c r="A171" s="63" t="s">
        <v>265</v>
      </c>
      <c r="B171" s="63" t="s">
        <v>266</v>
      </c>
      <c r="C171" s="36">
        <v>4301071062</v>
      </c>
      <c r="D171" s="347">
        <v>4607111036384</v>
      </c>
      <c r="E171" s="347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49"/>
      <c r="R171" s="349"/>
      <c r="S171" s="349"/>
      <c r="T171" s="350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267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268</v>
      </c>
      <c r="B172" s="63" t="s">
        <v>269</v>
      </c>
      <c r="C172" s="36">
        <v>4301071050</v>
      </c>
      <c r="D172" s="347">
        <v>4607111036216</v>
      </c>
      <c r="E172" s="347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109</v>
      </c>
      <c r="M172" s="38" t="s">
        <v>86</v>
      </c>
      <c r="N172" s="38"/>
      <c r="O172" s="37">
        <v>180</v>
      </c>
      <c r="P172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9"/>
      <c r="R172" s="349"/>
      <c r="S172" s="349"/>
      <c r="T172" s="350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270</v>
      </c>
      <c r="AG172" s="81"/>
      <c r="AJ172" s="87" t="s">
        <v>110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8"/>
      <c r="P173" s="354" t="s">
        <v>40</v>
      </c>
      <c r="Q173" s="355"/>
      <c r="R173" s="355"/>
      <c r="S173" s="355"/>
      <c r="T173" s="355"/>
      <c r="U173" s="355"/>
      <c r="V173" s="356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8"/>
      <c r="P174" s="354" t="s">
        <v>40</v>
      </c>
      <c r="Q174" s="355"/>
      <c r="R174" s="355"/>
      <c r="S174" s="355"/>
      <c r="T174" s="355"/>
      <c r="U174" s="355"/>
      <c r="V174" s="356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27.75" customHeight="1" x14ac:dyDescent="0.2">
      <c r="A175" s="344" t="s">
        <v>271</v>
      </c>
      <c r="B175" s="344"/>
      <c r="C175" s="34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54"/>
      <c r="AB175" s="54"/>
      <c r="AC175" s="54"/>
    </row>
    <row r="176" spans="1:68" ht="16.5" customHeight="1" x14ac:dyDescent="0.25">
      <c r="A176" s="345" t="s">
        <v>272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65"/>
      <c r="AB176" s="65"/>
      <c r="AC176" s="82"/>
    </row>
    <row r="177" spans="1:68" ht="14.25" customHeight="1" x14ac:dyDescent="0.25">
      <c r="A177" s="346" t="s">
        <v>103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6"/>
      <c r="AB177" s="66"/>
      <c r="AC177" s="83"/>
    </row>
    <row r="178" spans="1:68" ht="16.5" customHeight="1" x14ac:dyDescent="0.25">
      <c r="A178" s="63" t="s">
        <v>273</v>
      </c>
      <c r="B178" s="63" t="s">
        <v>274</v>
      </c>
      <c r="C178" s="36">
        <v>4301132179</v>
      </c>
      <c r="D178" s="347">
        <v>4607111035691</v>
      </c>
      <c r="E178" s="347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108</v>
      </c>
      <c r="L178" s="37" t="s">
        <v>88</v>
      </c>
      <c r="M178" s="38" t="s">
        <v>86</v>
      </c>
      <c r="N178" s="38"/>
      <c r="O178" s="37">
        <v>365</v>
      </c>
      <c r="P178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349"/>
      <c r="R178" s="349"/>
      <c r="S178" s="349"/>
      <c r="T178" s="350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275</v>
      </c>
      <c r="AG178" s="81"/>
      <c r="AJ178" s="87" t="s">
        <v>89</v>
      </c>
      <c r="AK178" s="87">
        <v>1</v>
      </c>
      <c r="BB178" s="206" t="s">
        <v>107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276</v>
      </c>
      <c r="B179" s="63" t="s">
        <v>277</v>
      </c>
      <c r="C179" s="36">
        <v>4301132182</v>
      </c>
      <c r="D179" s="347">
        <v>4607111035721</v>
      </c>
      <c r="E179" s="347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108</v>
      </c>
      <c r="L179" s="37" t="s">
        <v>88</v>
      </c>
      <c r="M179" s="38" t="s">
        <v>86</v>
      </c>
      <c r="N179" s="38"/>
      <c r="O179" s="37">
        <v>365</v>
      </c>
      <c r="P179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349"/>
      <c r="R179" s="349"/>
      <c r="S179" s="349"/>
      <c r="T179" s="350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278</v>
      </c>
      <c r="AG179" s="81"/>
      <c r="AJ179" s="87" t="s">
        <v>89</v>
      </c>
      <c r="AK179" s="87">
        <v>1</v>
      </c>
      <c r="BB179" s="208" t="s">
        <v>107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279</v>
      </c>
      <c r="B180" s="63" t="s">
        <v>280</v>
      </c>
      <c r="C180" s="36">
        <v>4301132170</v>
      </c>
      <c r="D180" s="347">
        <v>4607111038487</v>
      </c>
      <c r="E180" s="347"/>
      <c r="F180" s="62">
        <v>0.25</v>
      </c>
      <c r="G180" s="37">
        <v>12</v>
      </c>
      <c r="H180" s="62">
        <v>3</v>
      </c>
      <c r="I180" s="62">
        <v>3.7360000000000002</v>
      </c>
      <c r="J180" s="37">
        <v>70</v>
      </c>
      <c r="K180" s="37" t="s">
        <v>108</v>
      </c>
      <c r="L180" s="37" t="s">
        <v>109</v>
      </c>
      <c r="M180" s="38" t="s">
        <v>86</v>
      </c>
      <c r="N180" s="38"/>
      <c r="O180" s="37">
        <v>180</v>
      </c>
      <c r="P180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349"/>
      <c r="R180" s="349"/>
      <c r="S180" s="349"/>
      <c r="T180" s="35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281</v>
      </c>
      <c r="AG180" s="81"/>
      <c r="AJ180" s="87" t="s">
        <v>110</v>
      </c>
      <c r="AK180" s="87">
        <v>14</v>
      </c>
      <c r="BB180" s="210" t="s">
        <v>107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8"/>
      <c r="P181" s="354" t="s">
        <v>40</v>
      </c>
      <c r="Q181" s="355"/>
      <c r="R181" s="355"/>
      <c r="S181" s="355"/>
      <c r="T181" s="355"/>
      <c r="U181" s="355"/>
      <c r="V181" s="356"/>
      <c r="W181" s="42" t="s">
        <v>39</v>
      </c>
      <c r="X181" s="43">
        <f>IFERROR(SUM(X178:X180),"0")</f>
        <v>0</v>
      </c>
      <c r="Y181" s="43">
        <f>IFERROR(SUM(Y178:Y180),"0")</f>
        <v>0</v>
      </c>
      <c r="Z181" s="43">
        <f>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8"/>
      <c r="P182" s="354" t="s">
        <v>40</v>
      </c>
      <c r="Q182" s="355"/>
      <c r="R182" s="355"/>
      <c r="S182" s="355"/>
      <c r="T182" s="355"/>
      <c r="U182" s="355"/>
      <c r="V182" s="356"/>
      <c r="W182" s="42" t="s">
        <v>0</v>
      </c>
      <c r="X182" s="43">
        <f>IFERROR(SUMPRODUCT(X178:X180*H178:H180),"0")</f>
        <v>0</v>
      </c>
      <c r="Y182" s="43">
        <f>IFERROR(SUMPRODUCT(Y178:Y180*H178:H180),"0")</f>
        <v>0</v>
      </c>
      <c r="Z182" s="42"/>
      <c r="AA182" s="67"/>
      <c r="AB182" s="67"/>
      <c r="AC182" s="67"/>
    </row>
    <row r="183" spans="1:68" ht="14.25" customHeight="1" x14ac:dyDescent="0.25">
      <c r="A183" s="346" t="s">
        <v>282</v>
      </c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  <c r="AA183" s="66"/>
      <c r="AB183" s="66"/>
      <c r="AC183" s="83"/>
    </row>
    <row r="184" spans="1:68" ht="27" customHeight="1" x14ac:dyDescent="0.25">
      <c r="A184" s="63" t="s">
        <v>283</v>
      </c>
      <c r="B184" s="63" t="s">
        <v>284</v>
      </c>
      <c r="C184" s="36">
        <v>4301051855</v>
      </c>
      <c r="D184" s="347">
        <v>4680115885875</v>
      </c>
      <c r="E184" s="347"/>
      <c r="F184" s="62">
        <v>1</v>
      </c>
      <c r="G184" s="37">
        <v>9</v>
      </c>
      <c r="H184" s="62">
        <v>9</v>
      </c>
      <c r="I184" s="62">
        <v>9.41</v>
      </c>
      <c r="J184" s="37">
        <v>64</v>
      </c>
      <c r="K184" s="37" t="s">
        <v>289</v>
      </c>
      <c r="L184" s="37" t="s">
        <v>88</v>
      </c>
      <c r="M184" s="38" t="s">
        <v>288</v>
      </c>
      <c r="N184" s="38"/>
      <c r="O184" s="37">
        <v>365</v>
      </c>
      <c r="P184" s="416" t="s">
        <v>285</v>
      </c>
      <c r="Q184" s="349"/>
      <c r="R184" s="349"/>
      <c r="S184" s="349"/>
      <c r="T184" s="350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IFERROR(IF(X184="","",X184*0.01898),"")</f>
        <v>0</v>
      </c>
      <c r="AA184" s="68" t="s">
        <v>46</v>
      </c>
      <c r="AB184" s="69" t="s">
        <v>46</v>
      </c>
      <c r="AC184" s="211" t="s">
        <v>286</v>
      </c>
      <c r="AG184" s="81"/>
      <c r="AJ184" s="87" t="s">
        <v>89</v>
      </c>
      <c r="AK184" s="87">
        <v>1</v>
      </c>
      <c r="BB184" s="212" t="s">
        <v>287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8"/>
      <c r="P185" s="354" t="s">
        <v>40</v>
      </c>
      <c r="Q185" s="355"/>
      <c r="R185" s="355"/>
      <c r="S185" s="355"/>
      <c r="T185" s="355"/>
      <c r="U185" s="355"/>
      <c r="V185" s="356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8"/>
      <c r="P186" s="354" t="s">
        <v>40</v>
      </c>
      <c r="Q186" s="355"/>
      <c r="R186" s="355"/>
      <c r="S186" s="355"/>
      <c r="T186" s="355"/>
      <c r="U186" s="355"/>
      <c r="V186" s="356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44" t="s">
        <v>290</v>
      </c>
      <c r="B187" s="344"/>
      <c r="C187" s="344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  <c r="AA187" s="54"/>
      <c r="AB187" s="54"/>
      <c r="AC187" s="54"/>
    </row>
    <row r="188" spans="1:68" ht="16.5" customHeight="1" x14ac:dyDescent="0.25">
      <c r="A188" s="345" t="s">
        <v>291</v>
      </c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65"/>
      <c r="AB188" s="65"/>
      <c r="AC188" s="82"/>
    </row>
    <row r="189" spans="1:68" ht="14.25" customHeight="1" x14ac:dyDescent="0.25">
      <c r="A189" s="346" t="s">
        <v>103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6"/>
      <c r="AB189" s="66"/>
      <c r="AC189" s="83"/>
    </row>
    <row r="190" spans="1:68" ht="27" customHeight="1" x14ac:dyDescent="0.25">
      <c r="A190" s="63" t="s">
        <v>292</v>
      </c>
      <c r="B190" s="63" t="s">
        <v>293</v>
      </c>
      <c r="C190" s="36">
        <v>4301132227</v>
      </c>
      <c r="D190" s="347">
        <v>4620207491133</v>
      </c>
      <c r="E190" s="347"/>
      <c r="F190" s="62">
        <v>0.23</v>
      </c>
      <c r="G190" s="37">
        <v>12</v>
      </c>
      <c r="H190" s="62">
        <v>2.76</v>
      </c>
      <c r="I190" s="62">
        <v>2.98</v>
      </c>
      <c r="J190" s="37">
        <v>70</v>
      </c>
      <c r="K190" s="37" t="s">
        <v>108</v>
      </c>
      <c r="L190" s="37" t="s">
        <v>88</v>
      </c>
      <c r="M190" s="38" t="s">
        <v>86</v>
      </c>
      <c r="N190" s="38"/>
      <c r="O190" s="37">
        <v>180</v>
      </c>
      <c r="P190" s="41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349"/>
      <c r="R190" s="349"/>
      <c r="S190" s="349"/>
      <c r="T190" s="350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13" t="s">
        <v>294</v>
      </c>
      <c r="AG190" s="81"/>
      <c r="AJ190" s="87" t="s">
        <v>89</v>
      </c>
      <c r="AK190" s="87">
        <v>1</v>
      </c>
      <c r="BB190" s="214" t="s">
        <v>107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8"/>
      <c r="P191" s="354" t="s">
        <v>40</v>
      </c>
      <c r="Q191" s="355"/>
      <c r="R191" s="355"/>
      <c r="S191" s="355"/>
      <c r="T191" s="355"/>
      <c r="U191" s="355"/>
      <c r="V191" s="356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8"/>
      <c r="P192" s="354" t="s">
        <v>40</v>
      </c>
      <c r="Q192" s="355"/>
      <c r="R192" s="355"/>
      <c r="S192" s="355"/>
      <c r="T192" s="355"/>
      <c r="U192" s="355"/>
      <c r="V192" s="356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14.25" customHeight="1" x14ac:dyDescent="0.25">
      <c r="A193" s="346" t="s">
        <v>147</v>
      </c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  <c r="AA193" s="66"/>
      <c r="AB193" s="66"/>
      <c r="AC193" s="83"/>
    </row>
    <row r="194" spans="1:68" ht="27" customHeight="1" x14ac:dyDescent="0.25">
      <c r="A194" s="63" t="s">
        <v>295</v>
      </c>
      <c r="B194" s="63" t="s">
        <v>296</v>
      </c>
      <c r="C194" s="36">
        <v>4301135707</v>
      </c>
      <c r="D194" s="347">
        <v>4620207490198</v>
      </c>
      <c r="E194" s="347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108</v>
      </c>
      <c r="L194" s="37" t="s">
        <v>88</v>
      </c>
      <c r="M194" s="38" t="s">
        <v>86</v>
      </c>
      <c r="N194" s="38"/>
      <c r="O194" s="37">
        <v>180</v>
      </c>
      <c r="P194" s="41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4" s="349"/>
      <c r="R194" s="349"/>
      <c r="S194" s="349"/>
      <c r="T194" s="35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297</v>
      </c>
      <c r="AG194" s="81"/>
      <c r="AJ194" s="87" t="s">
        <v>89</v>
      </c>
      <c r="AK194" s="87">
        <v>1</v>
      </c>
      <c r="BB194" s="216" t="s">
        <v>107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4301135829</v>
      </c>
      <c r="D195" s="347">
        <v>4620207490235</v>
      </c>
      <c r="E195" s="347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108</v>
      </c>
      <c r="L195" s="37" t="s">
        <v>88</v>
      </c>
      <c r="M195" s="38" t="s">
        <v>86</v>
      </c>
      <c r="N195" s="38"/>
      <c r="O195" s="37">
        <v>180</v>
      </c>
      <c r="P195" s="41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5" s="349"/>
      <c r="R195" s="349"/>
      <c r="S195" s="349"/>
      <c r="T195" s="35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300</v>
      </c>
      <c r="AG195" s="81"/>
      <c r="AJ195" s="87" t="s">
        <v>89</v>
      </c>
      <c r="AK195" s="87">
        <v>1</v>
      </c>
      <c r="BB195" s="218" t="s">
        <v>107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301</v>
      </c>
      <c r="B196" s="63" t="s">
        <v>302</v>
      </c>
      <c r="C196" s="36">
        <v>4301135697</v>
      </c>
      <c r="D196" s="347">
        <v>4620207490259</v>
      </c>
      <c r="E196" s="347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108</v>
      </c>
      <c r="L196" s="37" t="s">
        <v>88</v>
      </c>
      <c r="M196" s="38" t="s">
        <v>86</v>
      </c>
      <c r="N196" s="38"/>
      <c r="O196" s="37">
        <v>180</v>
      </c>
      <c r="P196" s="42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6" s="349"/>
      <c r="R196" s="349"/>
      <c r="S196" s="349"/>
      <c r="T196" s="350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297</v>
      </c>
      <c r="AG196" s="81"/>
      <c r="AJ196" s="87" t="s">
        <v>89</v>
      </c>
      <c r="AK196" s="87">
        <v>1</v>
      </c>
      <c r="BB196" s="220" t="s">
        <v>107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303</v>
      </c>
      <c r="B197" s="63" t="s">
        <v>304</v>
      </c>
      <c r="C197" s="36">
        <v>4301135681</v>
      </c>
      <c r="D197" s="347">
        <v>4620207490143</v>
      </c>
      <c r="E197" s="347"/>
      <c r="F197" s="62">
        <v>0.22</v>
      </c>
      <c r="G197" s="37">
        <v>12</v>
      </c>
      <c r="H197" s="62">
        <v>2.64</v>
      </c>
      <c r="I197" s="62">
        <v>3.3435999999999999</v>
      </c>
      <c r="J197" s="37">
        <v>70</v>
      </c>
      <c r="K197" s="37" t="s">
        <v>108</v>
      </c>
      <c r="L197" s="37" t="s">
        <v>88</v>
      </c>
      <c r="M197" s="38" t="s">
        <v>86</v>
      </c>
      <c r="N197" s="38"/>
      <c r="O197" s="37">
        <v>180</v>
      </c>
      <c r="P197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7" s="349"/>
      <c r="R197" s="349"/>
      <c r="S197" s="349"/>
      <c r="T197" s="350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305</v>
      </c>
      <c r="AG197" s="81"/>
      <c r="AJ197" s="87" t="s">
        <v>89</v>
      </c>
      <c r="AK197" s="87">
        <v>1</v>
      </c>
      <c r="BB197" s="222" t="s">
        <v>107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8"/>
      <c r="P198" s="354" t="s">
        <v>40</v>
      </c>
      <c r="Q198" s="355"/>
      <c r="R198" s="355"/>
      <c r="S198" s="355"/>
      <c r="T198" s="355"/>
      <c r="U198" s="355"/>
      <c r="V198" s="356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8"/>
      <c r="P199" s="354" t="s">
        <v>40</v>
      </c>
      <c r="Q199" s="355"/>
      <c r="R199" s="355"/>
      <c r="S199" s="355"/>
      <c r="T199" s="355"/>
      <c r="U199" s="355"/>
      <c r="V199" s="356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16.5" customHeight="1" x14ac:dyDescent="0.25">
      <c r="A200" s="345" t="s">
        <v>306</v>
      </c>
      <c r="B200" s="345"/>
      <c r="C200" s="345"/>
      <c r="D200" s="345"/>
      <c r="E200" s="345"/>
      <c r="F200" s="345"/>
      <c r="G200" s="345"/>
      <c r="H200" s="345"/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  <c r="Z200" s="345"/>
      <c r="AA200" s="65"/>
      <c r="AB200" s="65"/>
      <c r="AC200" s="82"/>
    </row>
    <row r="201" spans="1:68" ht="14.25" customHeight="1" x14ac:dyDescent="0.25">
      <c r="A201" s="346" t="s">
        <v>82</v>
      </c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  <c r="AA201" s="66"/>
      <c r="AB201" s="66"/>
      <c r="AC201" s="83"/>
    </row>
    <row r="202" spans="1:68" ht="27" customHeight="1" x14ac:dyDescent="0.25">
      <c r="A202" s="63" t="s">
        <v>307</v>
      </c>
      <c r="B202" s="63" t="s">
        <v>308</v>
      </c>
      <c r="C202" s="36">
        <v>4301071097</v>
      </c>
      <c r="D202" s="347">
        <v>4620207491096</v>
      </c>
      <c r="E202" s="347"/>
      <c r="F202" s="62">
        <v>1</v>
      </c>
      <c r="G202" s="37">
        <v>5</v>
      </c>
      <c r="H202" s="62">
        <v>5</v>
      </c>
      <c r="I202" s="62">
        <v>5.23</v>
      </c>
      <c r="J202" s="37">
        <v>84</v>
      </c>
      <c r="K202" s="37" t="s">
        <v>87</v>
      </c>
      <c r="L202" s="37" t="s">
        <v>88</v>
      </c>
      <c r="M202" s="38" t="s">
        <v>86</v>
      </c>
      <c r="N202" s="38"/>
      <c r="O202" s="37">
        <v>180</v>
      </c>
      <c r="P202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2" s="349"/>
      <c r="R202" s="349"/>
      <c r="S202" s="349"/>
      <c r="T202" s="350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IFERROR(IF(X202="","",X202*0.0155),"")</f>
        <v>0</v>
      </c>
      <c r="AA202" s="68" t="s">
        <v>46</v>
      </c>
      <c r="AB202" s="69" t="s">
        <v>46</v>
      </c>
      <c r="AC202" s="223" t="s">
        <v>309</v>
      </c>
      <c r="AG202" s="81"/>
      <c r="AJ202" s="87" t="s">
        <v>89</v>
      </c>
      <c r="AK202" s="87">
        <v>1</v>
      </c>
      <c r="BB202" s="224" t="s">
        <v>70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8"/>
      <c r="P203" s="354" t="s">
        <v>40</v>
      </c>
      <c r="Q203" s="355"/>
      <c r="R203" s="355"/>
      <c r="S203" s="355"/>
      <c r="T203" s="355"/>
      <c r="U203" s="355"/>
      <c r="V203" s="356"/>
      <c r="W203" s="42" t="s">
        <v>39</v>
      </c>
      <c r="X203" s="43">
        <f>IFERROR(SUM(X202:X202),"0")</f>
        <v>0</v>
      </c>
      <c r="Y203" s="43">
        <f>IFERROR(SUM(Y202:Y202),"0")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8"/>
      <c r="P204" s="354" t="s">
        <v>40</v>
      </c>
      <c r="Q204" s="355"/>
      <c r="R204" s="355"/>
      <c r="S204" s="355"/>
      <c r="T204" s="355"/>
      <c r="U204" s="355"/>
      <c r="V204" s="356"/>
      <c r="W204" s="42" t="s">
        <v>0</v>
      </c>
      <c r="X204" s="43">
        <f>IFERROR(SUMPRODUCT(X202:X202*H202:H202),"0")</f>
        <v>0</v>
      </c>
      <c r="Y204" s="43">
        <f>IFERROR(SUMPRODUCT(Y202:Y202*H202:H202),"0")</f>
        <v>0</v>
      </c>
      <c r="Z204" s="42"/>
      <c r="AA204" s="67"/>
      <c r="AB204" s="67"/>
      <c r="AC204" s="67"/>
    </row>
    <row r="205" spans="1:68" ht="16.5" customHeight="1" x14ac:dyDescent="0.25">
      <c r="A205" s="345" t="s">
        <v>310</v>
      </c>
      <c r="B205" s="345"/>
      <c r="C205" s="345"/>
      <c r="D205" s="345"/>
      <c r="E205" s="345"/>
      <c r="F205" s="345"/>
      <c r="G205" s="345"/>
      <c r="H205" s="345"/>
      <c r="I205" s="345"/>
      <c r="J205" s="345"/>
      <c r="K205" s="345"/>
      <c r="L205" s="345"/>
      <c r="M205" s="345"/>
      <c r="N205" s="345"/>
      <c r="O205" s="345"/>
      <c r="P205" s="345"/>
      <c r="Q205" s="345"/>
      <c r="R205" s="345"/>
      <c r="S205" s="345"/>
      <c r="T205" s="345"/>
      <c r="U205" s="345"/>
      <c r="V205" s="345"/>
      <c r="W205" s="345"/>
      <c r="X205" s="345"/>
      <c r="Y205" s="345"/>
      <c r="Z205" s="345"/>
      <c r="AA205" s="65"/>
      <c r="AB205" s="65"/>
      <c r="AC205" s="82"/>
    </row>
    <row r="206" spans="1:68" ht="14.25" customHeight="1" x14ac:dyDescent="0.25">
      <c r="A206" s="346" t="s">
        <v>82</v>
      </c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  <c r="AA206" s="66"/>
      <c r="AB206" s="66"/>
      <c r="AC206" s="83"/>
    </row>
    <row r="207" spans="1:68" ht="27" customHeight="1" x14ac:dyDescent="0.25">
      <c r="A207" s="63" t="s">
        <v>311</v>
      </c>
      <c r="B207" s="63" t="s">
        <v>312</v>
      </c>
      <c r="C207" s="36">
        <v>4301071093</v>
      </c>
      <c r="D207" s="347">
        <v>4620207490709</v>
      </c>
      <c r="E207" s="347"/>
      <c r="F207" s="62">
        <v>0.65</v>
      </c>
      <c r="G207" s="37">
        <v>8</v>
      </c>
      <c r="H207" s="62">
        <v>5.2</v>
      </c>
      <c r="I207" s="62">
        <v>5.47</v>
      </c>
      <c r="J207" s="37">
        <v>84</v>
      </c>
      <c r="K207" s="37" t="s">
        <v>87</v>
      </c>
      <c r="L207" s="37" t="s">
        <v>88</v>
      </c>
      <c r="M207" s="38" t="s">
        <v>86</v>
      </c>
      <c r="N207" s="38"/>
      <c r="O207" s="37">
        <v>180</v>
      </c>
      <c r="P207" s="42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7" s="349"/>
      <c r="R207" s="349"/>
      <c r="S207" s="349"/>
      <c r="T207" s="35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IFERROR(IF(X207="","",X207*0.0155),"")</f>
        <v>0</v>
      </c>
      <c r="AA207" s="68" t="s">
        <v>46</v>
      </c>
      <c r="AB207" s="69" t="s">
        <v>46</v>
      </c>
      <c r="AC207" s="225" t="s">
        <v>313</v>
      </c>
      <c r="AG207" s="81"/>
      <c r="AJ207" s="87" t="s">
        <v>89</v>
      </c>
      <c r="AK207" s="87">
        <v>1</v>
      </c>
      <c r="BB207" s="226" t="s">
        <v>70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x14ac:dyDescent="0.2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8"/>
      <c r="P208" s="354" t="s">
        <v>40</v>
      </c>
      <c r="Q208" s="355"/>
      <c r="R208" s="355"/>
      <c r="S208" s="355"/>
      <c r="T208" s="355"/>
      <c r="U208" s="355"/>
      <c r="V208" s="356"/>
      <c r="W208" s="42" t="s">
        <v>39</v>
      </c>
      <c r="X208" s="43">
        <f>IFERROR(SUM(X207:X207),"0")</f>
        <v>0</v>
      </c>
      <c r="Y208" s="43">
        <f>IFERROR(SUM(Y207:Y207),"0")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8"/>
      <c r="P209" s="354" t="s">
        <v>40</v>
      </c>
      <c r="Q209" s="355"/>
      <c r="R209" s="355"/>
      <c r="S209" s="355"/>
      <c r="T209" s="355"/>
      <c r="U209" s="355"/>
      <c r="V209" s="356"/>
      <c r="W209" s="42" t="s">
        <v>0</v>
      </c>
      <c r="X209" s="43">
        <f>IFERROR(SUMPRODUCT(X207:X207*H207:H207),"0")</f>
        <v>0</v>
      </c>
      <c r="Y209" s="43">
        <f>IFERROR(SUMPRODUCT(Y207:Y207*H207:H207),"0")</f>
        <v>0</v>
      </c>
      <c r="Z209" s="42"/>
      <c r="AA209" s="67"/>
      <c r="AB209" s="67"/>
      <c r="AC209" s="67"/>
    </row>
    <row r="210" spans="1:68" ht="14.25" customHeight="1" x14ac:dyDescent="0.25">
      <c r="A210" s="346" t="s">
        <v>147</v>
      </c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  <c r="Z210" s="346"/>
      <c r="AA210" s="66"/>
      <c r="AB210" s="66"/>
      <c r="AC210" s="83"/>
    </row>
    <row r="211" spans="1:68" ht="27" customHeight="1" x14ac:dyDescent="0.25">
      <c r="A211" s="63" t="s">
        <v>314</v>
      </c>
      <c r="B211" s="63" t="s">
        <v>315</v>
      </c>
      <c r="C211" s="36">
        <v>4301135692</v>
      </c>
      <c r="D211" s="347">
        <v>4620207490570</v>
      </c>
      <c r="E211" s="347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108</v>
      </c>
      <c r="L211" s="37" t="s">
        <v>88</v>
      </c>
      <c r="M211" s="38" t="s">
        <v>86</v>
      </c>
      <c r="N211" s="38"/>
      <c r="O211" s="37">
        <v>180</v>
      </c>
      <c r="P211" s="424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1" s="349"/>
      <c r="R211" s="349"/>
      <c r="S211" s="349"/>
      <c r="T211" s="350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316</v>
      </c>
      <c r="AG211" s="81"/>
      <c r="AJ211" s="87" t="s">
        <v>89</v>
      </c>
      <c r="AK211" s="87">
        <v>1</v>
      </c>
      <c r="BB211" s="228" t="s">
        <v>107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317</v>
      </c>
      <c r="B212" s="63" t="s">
        <v>318</v>
      </c>
      <c r="C212" s="36">
        <v>4301135691</v>
      </c>
      <c r="D212" s="347">
        <v>4620207490549</v>
      </c>
      <c r="E212" s="347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108</v>
      </c>
      <c r="L212" s="37" t="s">
        <v>88</v>
      </c>
      <c r="M212" s="38" t="s">
        <v>86</v>
      </c>
      <c r="N212" s="38"/>
      <c r="O212" s="37">
        <v>180</v>
      </c>
      <c r="P212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349"/>
      <c r="R212" s="349"/>
      <c r="S212" s="349"/>
      <c r="T212" s="350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316</v>
      </c>
      <c r="AG212" s="81"/>
      <c r="AJ212" s="87" t="s">
        <v>89</v>
      </c>
      <c r="AK212" s="87">
        <v>1</v>
      </c>
      <c r="BB212" s="230" t="s">
        <v>107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319</v>
      </c>
      <c r="B213" s="63" t="s">
        <v>320</v>
      </c>
      <c r="C213" s="36">
        <v>4301135694</v>
      </c>
      <c r="D213" s="347">
        <v>4620207490501</v>
      </c>
      <c r="E213" s="347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108</v>
      </c>
      <c r="L213" s="37" t="s">
        <v>88</v>
      </c>
      <c r="M213" s="38" t="s">
        <v>86</v>
      </c>
      <c r="N213" s="38"/>
      <c r="O213" s="37">
        <v>180</v>
      </c>
      <c r="P213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349"/>
      <c r="R213" s="349"/>
      <c r="S213" s="349"/>
      <c r="T213" s="35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316</v>
      </c>
      <c r="AG213" s="81"/>
      <c r="AJ213" s="87" t="s">
        <v>89</v>
      </c>
      <c r="AK213" s="87">
        <v>1</v>
      </c>
      <c r="BB213" s="232" t="s">
        <v>107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8"/>
      <c r="P214" s="354" t="s">
        <v>40</v>
      </c>
      <c r="Q214" s="355"/>
      <c r="R214" s="355"/>
      <c r="S214" s="355"/>
      <c r="T214" s="355"/>
      <c r="U214" s="355"/>
      <c r="V214" s="356"/>
      <c r="W214" s="42" t="s">
        <v>39</v>
      </c>
      <c r="X214" s="43">
        <f>IFERROR(SUM(X211:X213),"0")</f>
        <v>0</v>
      </c>
      <c r="Y214" s="43">
        <f>IFERROR(SUM(Y211:Y213),"0")</f>
        <v>0</v>
      </c>
      <c r="Z214" s="43">
        <f>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8"/>
      <c r="P215" s="354" t="s">
        <v>40</v>
      </c>
      <c r="Q215" s="355"/>
      <c r="R215" s="355"/>
      <c r="S215" s="355"/>
      <c r="T215" s="355"/>
      <c r="U215" s="355"/>
      <c r="V215" s="356"/>
      <c r="W215" s="42" t="s">
        <v>0</v>
      </c>
      <c r="X215" s="43">
        <f>IFERROR(SUMPRODUCT(X211:X213*H211:H213),"0")</f>
        <v>0</v>
      </c>
      <c r="Y215" s="43">
        <f>IFERROR(SUMPRODUCT(Y211:Y213*H211:H213),"0")</f>
        <v>0</v>
      </c>
      <c r="Z215" s="42"/>
      <c r="AA215" s="67"/>
      <c r="AB215" s="67"/>
      <c r="AC215" s="67"/>
    </row>
    <row r="216" spans="1:68" ht="27.75" customHeight="1" x14ac:dyDescent="0.2">
      <c r="A216" s="344" t="s">
        <v>321</v>
      </c>
      <c r="B216" s="344"/>
      <c r="C216" s="344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54"/>
      <c r="AB216" s="54"/>
      <c r="AC216" s="54"/>
    </row>
    <row r="217" spans="1:68" ht="16.5" customHeight="1" x14ac:dyDescent="0.25">
      <c r="A217" s="345" t="s">
        <v>322</v>
      </c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65"/>
      <c r="AB217" s="65"/>
      <c r="AC217" s="82"/>
    </row>
    <row r="218" spans="1:68" ht="14.25" customHeight="1" x14ac:dyDescent="0.25">
      <c r="A218" s="346" t="s">
        <v>82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66"/>
      <c r="AB218" s="66"/>
      <c r="AC218" s="83"/>
    </row>
    <row r="219" spans="1:68" ht="27" customHeight="1" x14ac:dyDescent="0.25">
      <c r="A219" s="63" t="s">
        <v>323</v>
      </c>
      <c r="B219" s="63" t="s">
        <v>324</v>
      </c>
      <c r="C219" s="36">
        <v>4301071036</v>
      </c>
      <c r="D219" s="347">
        <v>4607111036162</v>
      </c>
      <c r="E219" s="347"/>
      <c r="F219" s="62">
        <v>0.8</v>
      </c>
      <c r="G219" s="37">
        <v>8</v>
      </c>
      <c r="H219" s="62">
        <v>6.4</v>
      </c>
      <c r="I219" s="62">
        <v>6.6811999999999996</v>
      </c>
      <c r="J219" s="37">
        <v>84</v>
      </c>
      <c r="K219" s="37" t="s">
        <v>87</v>
      </c>
      <c r="L219" s="37" t="s">
        <v>88</v>
      </c>
      <c r="M219" s="38" t="s">
        <v>86</v>
      </c>
      <c r="N219" s="38"/>
      <c r="O219" s="37">
        <v>90</v>
      </c>
      <c r="P219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349"/>
      <c r="R219" s="349"/>
      <c r="S219" s="349"/>
      <c r="T219" s="35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33" t="s">
        <v>325</v>
      </c>
      <c r="AG219" s="81"/>
      <c r="AJ219" s="87" t="s">
        <v>89</v>
      </c>
      <c r="AK219" s="87">
        <v>1</v>
      </c>
      <c r="BB219" s="234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8"/>
      <c r="P220" s="354" t="s">
        <v>40</v>
      </c>
      <c r="Q220" s="355"/>
      <c r="R220" s="355"/>
      <c r="S220" s="355"/>
      <c r="T220" s="355"/>
      <c r="U220" s="355"/>
      <c r="V220" s="356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8"/>
      <c r="P221" s="354" t="s">
        <v>40</v>
      </c>
      <c r="Q221" s="355"/>
      <c r="R221" s="355"/>
      <c r="S221" s="355"/>
      <c r="T221" s="355"/>
      <c r="U221" s="355"/>
      <c r="V221" s="356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27.75" customHeight="1" x14ac:dyDescent="0.2">
      <c r="A222" s="344" t="s">
        <v>326</v>
      </c>
      <c r="B222" s="344"/>
      <c r="C222" s="344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54"/>
      <c r="AB222" s="54"/>
      <c r="AC222" s="54"/>
    </row>
    <row r="223" spans="1:68" ht="16.5" customHeight="1" x14ac:dyDescent="0.25">
      <c r="A223" s="345" t="s">
        <v>327</v>
      </c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65"/>
      <c r="AB223" s="65"/>
      <c r="AC223" s="82"/>
    </row>
    <row r="224" spans="1:68" ht="14.25" customHeight="1" x14ac:dyDescent="0.25">
      <c r="A224" s="346" t="s">
        <v>82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66"/>
      <c r="AB224" s="66"/>
      <c r="AC224" s="83"/>
    </row>
    <row r="225" spans="1:68" ht="27" customHeight="1" x14ac:dyDescent="0.25">
      <c r="A225" s="63" t="s">
        <v>328</v>
      </c>
      <c r="B225" s="63" t="s">
        <v>329</v>
      </c>
      <c r="C225" s="36">
        <v>4301071029</v>
      </c>
      <c r="D225" s="347">
        <v>4607111035899</v>
      </c>
      <c r="E225" s="347"/>
      <c r="F225" s="62">
        <v>1</v>
      </c>
      <c r="G225" s="37">
        <v>5</v>
      </c>
      <c r="H225" s="62">
        <v>5</v>
      </c>
      <c r="I225" s="62">
        <v>5.2619999999999996</v>
      </c>
      <c r="J225" s="37">
        <v>84</v>
      </c>
      <c r="K225" s="37" t="s">
        <v>87</v>
      </c>
      <c r="L225" s="37" t="s">
        <v>109</v>
      </c>
      <c r="M225" s="38" t="s">
        <v>86</v>
      </c>
      <c r="N225" s="38"/>
      <c r="O225" s="37">
        <v>180</v>
      </c>
      <c r="P225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349"/>
      <c r="R225" s="349"/>
      <c r="S225" s="349"/>
      <c r="T225" s="35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35" t="s">
        <v>270</v>
      </c>
      <c r="AG225" s="81"/>
      <c r="AJ225" s="87" t="s">
        <v>110</v>
      </c>
      <c r="AK225" s="87">
        <v>12</v>
      </c>
      <c r="BB225" s="23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8"/>
      <c r="P226" s="354" t="s">
        <v>40</v>
      </c>
      <c r="Q226" s="355"/>
      <c r="R226" s="355"/>
      <c r="S226" s="355"/>
      <c r="T226" s="355"/>
      <c r="U226" s="355"/>
      <c r="V226" s="356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8"/>
      <c r="P227" s="354" t="s">
        <v>40</v>
      </c>
      <c r="Q227" s="355"/>
      <c r="R227" s="355"/>
      <c r="S227" s="355"/>
      <c r="T227" s="355"/>
      <c r="U227" s="355"/>
      <c r="V227" s="356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44" t="s">
        <v>330</v>
      </c>
      <c r="B228" s="344"/>
      <c r="C228" s="344"/>
      <c r="D228" s="344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  <c r="AA228" s="54"/>
      <c r="AB228" s="54"/>
      <c r="AC228" s="54"/>
    </row>
    <row r="229" spans="1:68" ht="16.5" customHeight="1" x14ac:dyDescent="0.25">
      <c r="A229" s="345" t="s">
        <v>331</v>
      </c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65"/>
      <c r="AB229" s="65"/>
      <c r="AC229" s="82"/>
    </row>
    <row r="230" spans="1:68" ht="14.25" customHeight="1" x14ac:dyDescent="0.25">
      <c r="A230" s="346" t="s">
        <v>332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66"/>
      <c r="AB230" s="66"/>
      <c r="AC230" s="83"/>
    </row>
    <row r="231" spans="1:68" ht="27" customHeight="1" x14ac:dyDescent="0.25">
      <c r="A231" s="63" t="s">
        <v>333</v>
      </c>
      <c r="B231" s="63" t="s">
        <v>334</v>
      </c>
      <c r="C231" s="36">
        <v>4301133004</v>
      </c>
      <c r="D231" s="347">
        <v>4607111039774</v>
      </c>
      <c r="E231" s="347"/>
      <c r="F231" s="62">
        <v>0.25</v>
      </c>
      <c r="G231" s="37">
        <v>12</v>
      </c>
      <c r="H231" s="62">
        <v>3</v>
      </c>
      <c r="I231" s="62">
        <v>3.22</v>
      </c>
      <c r="J231" s="37">
        <v>70</v>
      </c>
      <c r="K231" s="37" t="s">
        <v>108</v>
      </c>
      <c r="L231" s="37" t="s">
        <v>88</v>
      </c>
      <c r="M231" s="38" t="s">
        <v>86</v>
      </c>
      <c r="N231" s="38"/>
      <c r="O231" s="37">
        <v>180</v>
      </c>
      <c r="P231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349"/>
      <c r="R231" s="349"/>
      <c r="S231" s="349"/>
      <c r="T231" s="35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37" t="s">
        <v>335</v>
      </c>
      <c r="AG231" s="81"/>
      <c r="AJ231" s="87" t="s">
        <v>89</v>
      </c>
      <c r="AK231" s="87">
        <v>1</v>
      </c>
      <c r="BB231" s="238" t="s">
        <v>107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8"/>
      <c r="P232" s="354" t="s">
        <v>40</v>
      </c>
      <c r="Q232" s="355"/>
      <c r="R232" s="355"/>
      <c r="S232" s="355"/>
      <c r="T232" s="355"/>
      <c r="U232" s="355"/>
      <c r="V232" s="356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8"/>
      <c r="P233" s="354" t="s">
        <v>40</v>
      </c>
      <c r="Q233" s="355"/>
      <c r="R233" s="355"/>
      <c r="S233" s="355"/>
      <c r="T233" s="355"/>
      <c r="U233" s="355"/>
      <c r="V233" s="356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14.25" customHeight="1" x14ac:dyDescent="0.25">
      <c r="A234" s="346" t="s">
        <v>147</v>
      </c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66"/>
      <c r="AB234" s="66"/>
      <c r="AC234" s="83"/>
    </row>
    <row r="235" spans="1:68" ht="37.5" customHeight="1" x14ac:dyDescent="0.25">
      <c r="A235" s="63" t="s">
        <v>336</v>
      </c>
      <c r="B235" s="63" t="s">
        <v>337</v>
      </c>
      <c r="C235" s="36">
        <v>4301135400</v>
      </c>
      <c r="D235" s="347">
        <v>4607111039361</v>
      </c>
      <c r="E235" s="347"/>
      <c r="F235" s="62">
        <v>0.25</v>
      </c>
      <c r="G235" s="37">
        <v>12</v>
      </c>
      <c r="H235" s="62">
        <v>3</v>
      </c>
      <c r="I235" s="62">
        <v>3.7035999999999998</v>
      </c>
      <c r="J235" s="37">
        <v>70</v>
      </c>
      <c r="K235" s="37" t="s">
        <v>108</v>
      </c>
      <c r="L235" s="37" t="s">
        <v>88</v>
      </c>
      <c r="M235" s="38" t="s">
        <v>86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349"/>
      <c r="R235" s="349"/>
      <c r="S235" s="349"/>
      <c r="T235" s="350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9" t="s">
        <v>335</v>
      </c>
      <c r="AG235" s="81"/>
      <c r="AJ235" s="87" t="s">
        <v>89</v>
      </c>
      <c r="AK235" s="87">
        <v>1</v>
      </c>
      <c r="BB235" s="240" t="s">
        <v>107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8"/>
      <c r="P236" s="354" t="s">
        <v>40</v>
      </c>
      <c r="Q236" s="355"/>
      <c r="R236" s="355"/>
      <c r="S236" s="355"/>
      <c r="T236" s="355"/>
      <c r="U236" s="355"/>
      <c r="V236" s="356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8"/>
      <c r="P237" s="354" t="s">
        <v>40</v>
      </c>
      <c r="Q237" s="355"/>
      <c r="R237" s="355"/>
      <c r="S237" s="355"/>
      <c r="T237" s="355"/>
      <c r="U237" s="355"/>
      <c r="V237" s="356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27.75" customHeight="1" x14ac:dyDescent="0.2">
      <c r="A238" s="344" t="s">
        <v>338</v>
      </c>
      <c r="B238" s="344"/>
      <c r="C238" s="344"/>
      <c r="D238" s="344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  <c r="AA238" s="54"/>
      <c r="AB238" s="54"/>
      <c r="AC238" s="54"/>
    </row>
    <row r="239" spans="1:68" ht="16.5" customHeight="1" x14ac:dyDescent="0.25">
      <c r="A239" s="345" t="s">
        <v>338</v>
      </c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65"/>
      <c r="AB239" s="65"/>
      <c r="AC239" s="82"/>
    </row>
    <row r="240" spans="1:68" ht="14.25" customHeight="1" x14ac:dyDescent="0.25">
      <c r="A240" s="346" t="s">
        <v>82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66"/>
      <c r="AB240" s="66"/>
      <c r="AC240" s="83"/>
    </row>
    <row r="241" spans="1:68" ht="27" customHeight="1" x14ac:dyDescent="0.25">
      <c r="A241" s="63" t="s">
        <v>339</v>
      </c>
      <c r="B241" s="63" t="s">
        <v>340</v>
      </c>
      <c r="C241" s="36">
        <v>4301071014</v>
      </c>
      <c r="D241" s="347">
        <v>4640242181264</v>
      </c>
      <c r="E241" s="347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349"/>
      <c r="R241" s="349"/>
      <c r="S241" s="349"/>
      <c r="T241" s="35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341</v>
      </c>
      <c r="AG241" s="81"/>
      <c r="AJ241" s="87" t="s">
        <v>89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27" customHeight="1" x14ac:dyDescent="0.25">
      <c r="A242" s="63" t="s">
        <v>342</v>
      </c>
      <c r="B242" s="63" t="s">
        <v>343</v>
      </c>
      <c r="C242" s="36">
        <v>4301071021</v>
      </c>
      <c r="D242" s="347">
        <v>4640242181325</v>
      </c>
      <c r="E242" s="347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88</v>
      </c>
      <c r="M242" s="38" t="s">
        <v>86</v>
      </c>
      <c r="N242" s="38"/>
      <c r="O242" s="37">
        <v>180</v>
      </c>
      <c r="P242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349"/>
      <c r="R242" s="349"/>
      <c r="S242" s="349"/>
      <c r="T242" s="350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341</v>
      </c>
      <c r="AG242" s="81"/>
      <c r="AJ242" s="87" t="s">
        <v>89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8"/>
      <c r="P243" s="354" t="s">
        <v>40</v>
      </c>
      <c r="Q243" s="355"/>
      <c r="R243" s="355"/>
      <c r="S243" s="355"/>
      <c r="T243" s="355"/>
      <c r="U243" s="355"/>
      <c r="V243" s="356"/>
      <c r="W243" s="42" t="s">
        <v>39</v>
      </c>
      <c r="X243" s="43">
        <f>IFERROR(SUM(X241:X242),"0")</f>
        <v>0</v>
      </c>
      <c r="Y243" s="43">
        <f>IFERROR(SUM(Y241:Y242),"0")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8"/>
      <c r="P244" s="354" t="s">
        <v>40</v>
      </c>
      <c r="Q244" s="355"/>
      <c r="R244" s="355"/>
      <c r="S244" s="355"/>
      <c r="T244" s="355"/>
      <c r="U244" s="355"/>
      <c r="V244" s="356"/>
      <c r="W244" s="42" t="s">
        <v>0</v>
      </c>
      <c r="X244" s="43">
        <f>IFERROR(SUMPRODUCT(X241:X242*H241:H242),"0")</f>
        <v>0</v>
      </c>
      <c r="Y244" s="43">
        <f>IFERROR(SUMPRODUCT(Y241:Y242*H241:H242),"0")</f>
        <v>0</v>
      </c>
      <c r="Z244" s="42"/>
      <c r="AA244" s="67"/>
      <c r="AB244" s="67"/>
      <c r="AC244" s="67"/>
    </row>
    <row r="245" spans="1:68" ht="14.25" customHeight="1" x14ac:dyDescent="0.25">
      <c r="A245" s="346" t="s">
        <v>103</v>
      </c>
      <c r="B245" s="346"/>
      <c r="C245" s="346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  <c r="Y245" s="346"/>
      <c r="Z245" s="346"/>
      <c r="AA245" s="66"/>
      <c r="AB245" s="66"/>
      <c r="AC245" s="83"/>
    </row>
    <row r="246" spans="1:68" ht="27" customHeight="1" x14ac:dyDescent="0.25">
      <c r="A246" s="63" t="s">
        <v>344</v>
      </c>
      <c r="B246" s="63" t="s">
        <v>345</v>
      </c>
      <c r="C246" s="36">
        <v>4301132080</v>
      </c>
      <c r="D246" s="347">
        <v>4640242180397</v>
      </c>
      <c r="E246" s="347"/>
      <c r="F246" s="62">
        <v>1</v>
      </c>
      <c r="G246" s="37">
        <v>6</v>
      </c>
      <c r="H246" s="62">
        <v>6</v>
      </c>
      <c r="I246" s="62">
        <v>6.26</v>
      </c>
      <c r="J246" s="37">
        <v>84</v>
      </c>
      <c r="K246" s="37" t="s">
        <v>87</v>
      </c>
      <c r="L246" s="37" t="s">
        <v>109</v>
      </c>
      <c r="M246" s="38" t="s">
        <v>86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349"/>
      <c r="R246" s="349"/>
      <c r="S246" s="349"/>
      <c r="T246" s="350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5" t="s">
        <v>346</v>
      </c>
      <c r="AG246" s="81"/>
      <c r="AJ246" s="87" t="s">
        <v>110</v>
      </c>
      <c r="AK246" s="87">
        <v>12</v>
      </c>
      <c r="BB246" s="246" t="s">
        <v>107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347</v>
      </c>
      <c r="B247" s="63" t="s">
        <v>348</v>
      </c>
      <c r="C247" s="36">
        <v>4301132104</v>
      </c>
      <c r="D247" s="347">
        <v>4640242181219</v>
      </c>
      <c r="E247" s="347"/>
      <c r="F247" s="62">
        <v>0.3</v>
      </c>
      <c r="G247" s="37">
        <v>9</v>
      </c>
      <c r="H247" s="62">
        <v>2.7</v>
      </c>
      <c r="I247" s="62">
        <v>2.8450000000000002</v>
      </c>
      <c r="J247" s="37">
        <v>234</v>
      </c>
      <c r="K247" s="37" t="s">
        <v>159</v>
      </c>
      <c r="L247" s="37" t="s">
        <v>88</v>
      </c>
      <c r="M247" s="38" t="s">
        <v>86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7" s="349"/>
      <c r="R247" s="349"/>
      <c r="S247" s="349"/>
      <c r="T247" s="35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IFERROR(IF(X247="","",X247*0.00502),"")</f>
        <v>0</v>
      </c>
      <c r="AA247" s="68" t="s">
        <v>46</v>
      </c>
      <c r="AB247" s="69" t="s">
        <v>46</v>
      </c>
      <c r="AC247" s="247" t="s">
        <v>346</v>
      </c>
      <c r="AG247" s="81"/>
      <c r="AJ247" s="87" t="s">
        <v>89</v>
      </c>
      <c r="AK247" s="87">
        <v>1</v>
      </c>
      <c r="BB247" s="248" t="s">
        <v>107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8"/>
      <c r="P248" s="354" t="s">
        <v>40</v>
      </c>
      <c r="Q248" s="355"/>
      <c r="R248" s="355"/>
      <c r="S248" s="355"/>
      <c r="T248" s="355"/>
      <c r="U248" s="355"/>
      <c r="V248" s="356"/>
      <c r="W248" s="42" t="s">
        <v>39</v>
      </c>
      <c r="X248" s="43">
        <f>IFERROR(SUM(X246:X247),"0")</f>
        <v>0</v>
      </c>
      <c r="Y248" s="43">
        <f>IFERROR(SUM(Y246:Y247),"0")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8"/>
      <c r="P249" s="354" t="s">
        <v>40</v>
      </c>
      <c r="Q249" s="355"/>
      <c r="R249" s="355"/>
      <c r="S249" s="355"/>
      <c r="T249" s="355"/>
      <c r="U249" s="355"/>
      <c r="V249" s="356"/>
      <c r="W249" s="42" t="s">
        <v>0</v>
      </c>
      <c r="X249" s="43">
        <f>IFERROR(SUMPRODUCT(X246:X247*H246:H247),"0")</f>
        <v>0</v>
      </c>
      <c r="Y249" s="43">
        <f>IFERROR(SUMPRODUCT(Y246:Y247*H246:H247),"0")</f>
        <v>0</v>
      </c>
      <c r="Z249" s="42"/>
      <c r="AA249" s="67"/>
      <c r="AB249" s="67"/>
      <c r="AC249" s="67"/>
    </row>
    <row r="250" spans="1:68" ht="14.25" customHeight="1" x14ac:dyDescent="0.25">
      <c r="A250" s="346" t="s">
        <v>141</v>
      </c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  <c r="AA250" s="66"/>
      <c r="AB250" s="66"/>
      <c r="AC250" s="83"/>
    </row>
    <row r="251" spans="1:68" ht="27" customHeight="1" x14ac:dyDescent="0.25">
      <c r="A251" s="63" t="s">
        <v>349</v>
      </c>
      <c r="B251" s="63" t="s">
        <v>350</v>
      </c>
      <c r="C251" s="36">
        <v>4301136051</v>
      </c>
      <c r="D251" s="347">
        <v>4640242180304</v>
      </c>
      <c r="E251" s="347"/>
      <c r="F251" s="62">
        <v>2.7</v>
      </c>
      <c r="G251" s="37">
        <v>1</v>
      </c>
      <c r="H251" s="62">
        <v>2.7</v>
      </c>
      <c r="I251" s="62">
        <v>2.8906000000000001</v>
      </c>
      <c r="J251" s="37">
        <v>126</v>
      </c>
      <c r="K251" s="37" t="s">
        <v>108</v>
      </c>
      <c r="L251" s="37" t="s">
        <v>88</v>
      </c>
      <c r="M251" s="38" t="s">
        <v>86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349"/>
      <c r="R251" s="349"/>
      <c r="S251" s="349"/>
      <c r="T251" s="350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49" t="s">
        <v>351</v>
      </c>
      <c r="AG251" s="81"/>
      <c r="AJ251" s="87" t="s">
        <v>89</v>
      </c>
      <c r="AK251" s="87">
        <v>1</v>
      </c>
      <c r="BB251" s="250" t="s">
        <v>107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352</v>
      </c>
      <c r="B252" s="63" t="s">
        <v>353</v>
      </c>
      <c r="C252" s="36">
        <v>4301136053</v>
      </c>
      <c r="D252" s="347">
        <v>4640242180236</v>
      </c>
      <c r="E252" s="347"/>
      <c r="F252" s="62">
        <v>5</v>
      </c>
      <c r="G252" s="37">
        <v>1</v>
      </c>
      <c r="H252" s="62">
        <v>5</v>
      </c>
      <c r="I252" s="62">
        <v>5.2350000000000003</v>
      </c>
      <c r="J252" s="37">
        <v>84</v>
      </c>
      <c r="K252" s="37" t="s">
        <v>87</v>
      </c>
      <c r="L252" s="37" t="s">
        <v>109</v>
      </c>
      <c r="M252" s="38" t="s">
        <v>86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349"/>
      <c r="R252" s="349"/>
      <c r="S252" s="349"/>
      <c r="T252" s="350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1" t="s">
        <v>351</v>
      </c>
      <c r="AG252" s="81"/>
      <c r="AJ252" s="87" t="s">
        <v>110</v>
      </c>
      <c r="AK252" s="87">
        <v>12</v>
      </c>
      <c r="BB252" s="252" t="s">
        <v>107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4301136052</v>
      </c>
      <c r="D253" s="347">
        <v>4640242180410</v>
      </c>
      <c r="E253" s="347"/>
      <c r="F253" s="62">
        <v>2.2400000000000002</v>
      </c>
      <c r="G253" s="37">
        <v>1</v>
      </c>
      <c r="H253" s="62">
        <v>2.2400000000000002</v>
      </c>
      <c r="I253" s="62">
        <v>2.4319999999999999</v>
      </c>
      <c r="J253" s="37">
        <v>126</v>
      </c>
      <c r="K253" s="37" t="s">
        <v>108</v>
      </c>
      <c r="L253" s="37" t="s">
        <v>109</v>
      </c>
      <c r="M253" s="38" t="s">
        <v>86</v>
      </c>
      <c r="N253" s="38"/>
      <c r="O253" s="37">
        <v>180</v>
      </c>
      <c r="P253" s="4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349"/>
      <c r="R253" s="349"/>
      <c r="S253" s="349"/>
      <c r="T253" s="350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351</v>
      </c>
      <c r="AG253" s="81"/>
      <c r="AJ253" s="87" t="s">
        <v>110</v>
      </c>
      <c r="AK253" s="87">
        <v>14</v>
      </c>
      <c r="BB253" s="254" t="s">
        <v>107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8"/>
      <c r="P254" s="354" t="s">
        <v>40</v>
      </c>
      <c r="Q254" s="355"/>
      <c r="R254" s="355"/>
      <c r="S254" s="355"/>
      <c r="T254" s="355"/>
      <c r="U254" s="355"/>
      <c r="V254" s="356"/>
      <c r="W254" s="42" t="s">
        <v>39</v>
      </c>
      <c r="X254" s="43">
        <f>IFERROR(SUM(X251:X253),"0")</f>
        <v>0</v>
      </c>
      <c r="Y254" s="43">
        <f>IFERROR(SUM(Y251:Y253),"0")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8"/>
      <c r="P255" s="354" t="s">
        <v>40</v>
      </c>
      <c r="Q255" s="355"/>
      <c r="R255" s="355"/>
      <c r="S255" s="355"/>
      <c r="T255" s="355"/>
      <c r="U255" s="355"/>
      <c r="V255" s="356"/>
      <c r="W255" s="42" t="s">
        <v>0</v>
      </c>
      <c r="X255" s="43">
        <f>IFERROR(SUMPRODUCT(X251:X253*H251:H253),"0")</f>
        <v>0</v>
      </c>
      <c r="Y255" s="43">
        <f>IFERROR(SUMPRODUCT(Y251:Y253*H251:H253),"0")</f>
        <v>0</v>
      </c>
      <c r="Z255" s="42"/>
      <c r="AA255" s="67"/>
      <c r="AB255" s="67"/>
      <c r="AC255" s="67"/>
    </row>
    <row r="256" spans="1:68" ht="14.25" customHeight="1" x14ac:dyDescent="0.25">
      <c r="A256" s="346" t="s">
        <v>147</v>
      </c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  <c r="AA256" s="66"/>
      <c r="AB256" s="66"/>
      <c r="AC256" s="83"/>
    </row>
    <row r="257" spans="1:68" ht="37.5" customHeight="1" x14ac:dyDescent="0.25">
      <c r="A257" s="63" t="s">
        <v>356</v>
      </c>
      <c r="B257" s="63" t="s">
        <v>357</v>
      </c>
      <c r="C257" s="36">
        <v>4301135504</v>
      </c>
      <c r="D257" s="347">
        <v>4640242181554</v>
      </c>
      <c r="E257" s="347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108</v>
      </c>
      <c r="L257" s="37" t="s">
        <v>88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349"/>
      <c r="R257" s="349"/>
      <c r="S257" s="349"/>
      <c r="T257" s="350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ref="Y257:Y266" si="12"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358</v>
      </c>
      <c r="AG257" s="81"/>
      <c r="AJ257" s="87" t="s">
        <v>89</v>
      </c>
      <c r="AK257" s="87">
        <v>1</v>
      </c>
      <c r="BB257" s="256" t="s">
        <v>107</v>
      </c>
      <c r="BM257" s="81">
        <f t="shared" ref="BM257:BM266" si="13">IFERROR(X257*I257,"0")</f>
        <v>0</v>
      </c>
      <c r="BN257" s="81">
        <f t="shared" ref="BN257:BN266" si="14">IFERROR(Y257*I257,"0")</f>
        <v>0</v>
      </c>
      <c r="BO257" s="81">
        <f t="shared" ref="BO257:BO266" si="15">IFERROR(X257/J257,"0")</f>
        <v>0</v>
      </c>
      <c r="BP257" s="81">
        <f t="shared" ref="BP257:BP266" si="16">IFERROR(Y257/J257,"0")</f>
        <v>0</v>
      </c>
    </row>
    <row r="258" spans="1:68" ht="27" customHeight="1" x14ac:dyDescent="0.25">
      <c r="A258" s="63" t="s">
        <v>359</v>
      </c>
      <c r="B258" s="63" t="s">
        <v>360</v>
      </c>
      <c r="C258" s="36">
        <v>4301135518</v>
      </c>
      <c r="D258" s="347">
        <v>4640242181561</v>
      </c>
      <c r="E258" s="347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108</v>
      </c>
      <c r="L258" s="37" t="s">
        <v>109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349"/>
      <c r="R258" s="349"/>
      <c r="S258" s="349"/>
      <c r="T258" s="350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2"/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361</v>
      </c>
      <c r="AG258" s="81"/>
      <c r="AJ258" s="87" t="s">
        <v>110</v>
      </c>
      <c r="AK258" s="87">
        <v>14</v>
      </c>
      <c r="BB258" s="258" t="s">
        <v>107</v>
      </c>
      <c r="BM258" s="81">
        <f t="shared" si="13"/>
        <v>0</v>
      </c>
      <c r="BN258" s="81">
        <f t="shared" si="14"/>
        <v>0</v>
      </c>
      <c r="BO258" s="81">
        <f t="shared" si="15"/>
        <v>0</v>
      </c>
      <c r="BP258" s="81">
        <f t="shared" si="16"/>
        <v>0</v>
      </c>
    </row>
    <row r="259" spans="1:68" ht="27" customHeight="1" x14ac:dyDescent="0.25">
      <c r="A259" s="63" t="s">
        <v>362</v>
      </c>
      <c r="B259" s="63" t="s">
        <v>363</v>
      </c>
      <c r="C259" s="36">
        <v>4301135374</v>
      </c>
      <c r="D259" s="347">
        <v>4640242181424</v>
      </c>
      <c r="E259" s="347"/>
      <c r="F259" s="62">
        <v>5.5</v>
      </c>
      <c r="G259" s="37">
        <v>1</v>
      </c>
      <c r="H259" s="62">
        <v>5.5</v>
      </c>
      <c r="I259" s="62">
        <v>5.7350000000000003</v>
      </c>
      <c r="J259" s="37">
        <v>84</v>
      </c>
      <c r="K259" s="37" t="s">
        <v>87</v>
      </c>
      <c r="L259" s="37" t="s">
        <v>88</v>
      </c>
      <c r="M259" s="38" t="s">
        <v>86</v>
      </c>
      <c r="N259" s="38"/>
      <c r="O259" s="37">
        <v>180</v>
      </c>
      <c r="P259" s="44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349"/>
      <c r="R259" s="349"/>
      <c r="S259" s="349"/>
      <c r="T259" s="350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2"/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358</v>
      </c>
      <c r="AG259" s="81"/>
      <c r="AJ259" s="87" t="s">
        <v>89</v>
      </c>
      <c r="AK259" s="87">
        <v>1</v>
      </c>
      <c r="BB259" s="260" t="s">
        <v>107</v>
      </c>
      <c r="BM259" s="81">
        <f t="shared" si="13"/>
        <v>0</v>
      </c>
      <c r="BN259" s="81">
        <f t="shared" si="14"/>
        <v>0</v>
      </c>
      <c r="BO259" s="81">
        <f t="shared" si="15"/>
        <v>0</v>
      </c>
      <c r="BP259" s="81">
        <f t="shared" si="16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4301135405</v>
      </c>
      <c r="D260" s="347">
        <v>4640242181523</v>
      </c>
      <c r="E260" s="347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108</v>
      </c>
      <c r="L260" s="37" t="s">
        <v>109</v>
      </c>
      <c r="M260" s="38" t="s">
        <v>86</v>
      </c>
      <c r="N260" s="38"/>
      <c r="O260" s="37">
        <v>180</v>
      </c>
      <c r="P260" s="4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349"/>
      <c r="R260" s="349"/>
      <c r="S260" s="349"/>
      <c r="T260" s="350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2"/>
        <v>0</v>
      </c>
      <c r="Z260" s="41">
        <f t="shared" ref="Z260:Z265" si="17">IFERROR(IF(X260="","",X260*0.00936),"")</f>
        <v>0</v>
      </c>
      <c r="AA260" s="68" t="s">
        <v>46</v>
      </c>
      <c r="AB260" s="69" t="s">
        <v>46</v>
      </c>
      <c r="AC260" s="261" t="s">
        <v>361</v>
      </c>
      <c r="AG260" s="81"/>
      <c r="AJ260" s="87" t="s">
        <v>110</v>
      </c>
      <c r="AK260" s="87">
        <v>14</v>
      </c>
      <c r="BB260" s="262" t="s">
        <v>107</v>
      </c>
      <c r="BM260" s="81">
        <f t="shared" si="13"/>
        <v>0</v>
      </c>
      <c r="BN260" s="81">
        <f t="shared" si="14"/>
        <v>0</v>
      </c>
      <c r="BO260" s="81">
        <f t="shared" si="15"/>
        <v>0</v>
      </c>
      <c r="BP260" s="81">
        <f t="shared" si="16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4301135375</v>
      </c>
      <c r="D261" s="347">
        <v>4640242181486</v>
      </c>
      <c r="E261" s="347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108</v>
      </c>
      <c r="L261" s="37" t="s">
        <v>109</v>
      </c>
      <c r="M261" s="38" t="s">
        <v>86</v>
      </c>
      <c r="N261" s="38"/>
      <c r="O261" s="37">
        <v>180</v>
      </c>
      <c r="P261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349"/>
      <c r="R261" s="349"/>
      <c r="S261" s="349"/>
      <c r="T261" s="350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2"/>
        <v>0</v>
      </c>
      <c r="Z261" s="41">
        <f t="shared" si="17"/>
        <v>0</v>
      </c>
      <c r="AA261" s="68" t="s">
        <v>46</v>
      </c>
      <c r="AB261" s="69" t="s">
        <v>46</v>
      </c>
      <c r="AC261" s="263" t="s">
        <v>358</v>
      </c>
      <c r="AG261" s="81"/>
      <c r="AJ261" s="87" t="s">
        <v>110</v>
      </c>
      <c r="AK261" s="87">
        <v>14</v>
      </c>
      <c r="BB261" s="264" t="s">
        <v>107</v>
      </c>
      <c r="BM261" s="81">
        <f t="shared" si="13"/>
        <v>0</v>
      </c>
      <c r="BN261" s="81">
        <f t="shared" si="14"/>
        <v>0</v>
      </c>
      <c r="BO261" s="81">
        <f t="shared" si="15"/>
        <v>0</v>
      </c>
      <c r="BP261" s="81">
        <f t="shared" si="16"/>
        <v>0</v>
      </c>
    </row>
    <row r="262" spans="1:68" ht="37.5" customHeight="1" x14ac:dyDescent="0.25">
      <c r="A262" s="63" t="s">
        <v>368</v>
      </c>
      <c r="B262" s="63" t="s">
        <v>369</v>
      </c>
      <c r="C262" s="36">
        <v>4301135402</v>
      </c>
      <c r="D262" s="347">
        <v>4640242181493</v>
      </c>
      <c r="E262" s="347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108</v>
      </c>
      <c r="L262" s="37" t="s">
        <v>88</v>
      </c>
      <c r="M262" s="38" t="s">
        <v>86</v>
      </c>
      <c r="N262" s="38"/>
      <c r="O262" s="37">
        <v>180</v>
      </c>
      <c r="P262" s="44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349"/>
      <c r="R262" s="349"/>
      <c r="S262" s="349"/>
      <c r="T262" s="35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2"/>
        <v>0</v>
      </c>
      <c r="Z262" s="41">
        <f t="shared" si="17"/>
        <v>0</v>
      </c>
      <c r="AA262" s="68" t="s">
        <v>46</v>
      </c>
      <c r="AB262" s="69" t="s">
        <v>46</v>
      </c>
      <c r="AC262" s="265" t="s">
        <v>358</v>
      </c>
      <c r="AG262" s="81"/>
      <c r="AJ262" s="87" t="s">
        <v>89</v>
      </c>
      <c r="AK262" s="87">
        <v>1</v>
      </c>
      <c r="BB262" s="266" t="s">
        <v>107</v>
      </c>
      <c r="BM262" s="81">
        <f t="shared" si="13"/>
        <v>0</v>
      </c>
      <c r="BN262" s="81">
        <f t="shared" si="14"/>
        <v>0</v>
      </c>
      <c r="BO262" s="81">
        <f t="shared" si="15"/>
        <v>0</v>
      </c>
      <c r="BP262" s="81">
        <f t="shared" si="16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4301135403</v>
      </c>
      <c r="D263" s="347">
        <v>4640242181509</v>
      </c>
      <c r="E263" s="347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108</v>
      </c>
      <c r="L263" s="37" t="s">
        <v>88</v>
      </c>
      <c r="M263" s="38" t="s">
        <v>86</v>
      </c>
      <c r="N263" s="38"/>
      <c r="O263" s="37">
        <v>180</v>
      </c>
      <c r="P263" s="44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349"/>
      <c r="R263" s="349"/>
      <c r="S263" s="349"/>
      <c r="T263" s="350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 t="shared" si="17"/>
        <v>0</v>
      </c>
      <c r="AA263" s="68" t="s">
        <v>46</v>
      </c>
      <c r="AB263" s="69" t="s">
        <v>46</v>
      </c>
      <c r="AC263" s="267" t="s">
        <v>358</v>
      </c>
      <c r="AG263" s="81"/>
      <c r="AJ263" s="87" t="s">
        <v>89</v>
      </c>
      <c r="AK263" s="87">
        <v>1</v>
      </c>
      <c r="BB263" s="268" t="s">
        <v>107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372</v>
      </c>
      <c r="B264" s="63" t="s">
        <v>373</v>
      </c>
      <c r="C264" s="36">
        <v>4301135304</v>
      </c>
      <c r="D264" s="347">
        <v>4640242181240</v>
      </c>
      <c r="E264" s="347"/>
      <c r="F264" s="62">
        <v>0.3</v>
      </c>
      <c r="G264" s="37">
        <v>9</v>
      </c>
      <c r="H264" s="62">
        <v>2.7</v>
      </c>
      <c r="I264" s="62">
        <v>2.88</v>
      </c>
      <c r="J264" s="37">
        <v>126</v>
      </c>
      <c r="K264" s="37" t="s">
        <v>108</v>
      </c>
      <c r="L264" s="37" t="s">
        <v>88</v>
      </c>
      <c r="M264" s="38" t="s">
        <v>86</v>
      </c>
      <c r="N264" s="38"/>
      <c r="O264" s="37">
        <v>180</v>
      </c>
      <c r="P264" s="44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349"/>
      <c r="R264" s="349"/>
      <c r="S264" s="349"/>
      <c r="T264" s="350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 t="shared" si="17"/>
        <v>0</v>
      </c>
      <c r="AA264" s="68" t="s">
        <v>46</v>
      </c>
      <c r="AB264" s="69" t="s">
        <v>46</v>
      </c>
      <c r="AC264" s="269" t="s">
        <v>358</v>
      </c>
      <c r="AG264" s="81"/>
      <c r="AJ264" s="87" t="s">
        <v>89</v>
      </c>
      <c r="AK264" s="87">
        <v>1</v>
      </c>
      <c r="BB264" s="270" t="s">
        <v>107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4301135610</v>
      </c>
      <c r="D265" s="347">
        <v>4640242181318</v>
      </c>
      <c r="E265" s="347"/>
      <c r="F265" s="62">
        <v>0.3</v>
      </c>
      <c r="G265" s="37">
        <v>9</v>
      </c>
      <c r="H265" s="62">
        <v>2.7</v>
      </c>
      <c r="I265" s="62">
        <v>2.988</v>
      </c>
      <c r="J265" s="37">
        <v>126</v>
      </c>
      <c r="K265" s="37" t="s">
        <v>108</v>
      </c>
      <c r="L265" s="37" t="s">
        <v>88</v>
      </c>
      <c r="M265" s="38" t="s">
        <v>86</v>
      </c>
      <c r="N265" s="38"/>
      <c r="O265" s="37">
        <v>180</v>
      </c>
      <c r="P265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349"/>
      <c r="R265" s="349"/>
      <c r="S265" s="349"/>
      <c r="T265" s="350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si="17"/>
        <v>0</v>
      </c>
      <c r="AA265" s="68" t="s">
        <v>46</v>
      </c>
      <c r="AB265" s="69" t="s">
        <v>46</v>
      </c>
      <c r="AC265" s="271" t="s">
        <v>361</v>
      </c>
      <c r="AG265" s="81"/>
      <c r="AJ265" s="87" t="s">
        <v>89</v>
      </c>
      <c r="AK265" s="87">
        <v>1</v>
      </c>
      <c r="BB265" s="272" t="s">
        <v>107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4301135306</v>
      </c>
      <c r="D266" s="347">
        <v>4640242181387</v>
      </c>
      <c r="E266" s="347"/>
      <c r="F266" s="62">
        <v>0.3</v>
      </c>
      <c r="G266" s="37">
        <v>9</v>
      </c>
      <c r="H266" s="62">
        <v>2.7</v>
      </c>
      <c r="I266" s="62">
        <v>2.8450000000000002</v>
      </c>
      <c r="J266" s="37">
        <v>234</v>
      </c>
      <c r="K266" s="37" t="s">
        <v>159</v>
      </c>
      <c r="L266" s="37" t="s">
        <v>88</v>
      </c>
      <c r="M266" s="38" t="s">
        <v>86</v>
      </c>
      <c r="N266" s="38"/>
      <c r="O266" s="37">
        <v>180</v>
      </c>
      <c r="P266" s="44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349"/>
      <c r="R266" s="349"/>
      <c r="S266" s="349"/>
      <c r="T266" s="350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>IFERROR(IF(X266="","",X266*0.00502),"")</f>
        <v>0</v>
      </c>
      <c r="AA266" s="68" t="s">
        <v>46</v>
      </c>
      <c r="AB266" s="69" t="s">
        <v>46</v>
      </c>
      <c r="AC266" s="273" t="s">
        <v>358</v>
      </c>
      <c r="AG266" s="81"/>
      <c r="AJ266" s="87" t="s">
        <v>89</v>
      </c>
      <c r="AK266" s="87">
        <v>1</v>
      </c>
      <c r="BB266" s="274" t="s">
        <v>107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x14ac:dyDescent="0.2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8"/>
      <c r="P267" s="354" t="s">
        <v>40</v>
      </c>
      <c r="Q267" s="355"/>
      <c r="R267" s="355"/>
      <c r="S267" s="355"/>
      <c r="T267" s="355"/>
      <c r="U267" s="355"/>
      <c r="V267" s="356"/>
      <c r="W267" s="42" t="s">
        <v>39</v>
      </c>
      <c r="X267" s="43">
        <f>IFERROR(SUM(X257:X266),"0")</f>
        <v>0</v>
      </c>
      <c r="Y267" s="43">
        <f>IFERROR(SUM(Y257:Y266),"0")</f>
        <v>0</v>
      </c>
      <c r="Z267" s="43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8"/>
      <c r="P268" s="354" t="s">
        <v>40</v>
      </c>
      <c r="Q268" s="355"/>
      <c r="R268" s="355"/>
      <c r="S268" s="355"/>
      <c r="T268" s="355"/>
      <c r="U268" s="355"/>
      <c r="V268" s="356"/>
      <c r="W268" s="42" t="s">
        <v>0</v>
      </c>
      <c r="X268" s="43">
        <f>IFERROR(SUMPRODUCT(X257:X266*H257:H266),"0")</f>
        <v>0</v>
      </c>
      <c r="Y268" s="43">
        <f>IFERROR(SUMPRODUCT(Y257:Y266*H257:H266),"0")</f>
        <v>0</v>
      </c>
      <c r="Z268" s="42"/>
      <c r="AA268" s="67"/>
      <c r="AB268" s="67"/>
      <c r="AC268" s="67"/>
    </row>
    <row r="269" spans="1:68" ht="15" customHeight="1" x14ac:dyDescent="0.2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451"/>
      <c r="P269" s="448" t="s">
        <v>33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IFERROR(X25+X32+X40+X45+X49+X54+X60+X66+X71+X77+X87+X93+X106+X110+X114+X120+X126+X132+X137+X142+X147+X152+X159+X167+X171+X177+X184+X189+X194+X200+X206+X212+X218+X222+X229+X234+X240+X253+X262+X268,"0")</f>
        <v>0</v>
      </c>
      <c r="Y269" s="43">
        <f>IFERROR(Y25+Y32+Y40+Y45+Y49+Y54+Y60+Y66+Y71+Y77+Y87+Y93+Y106+Y110+Y114+Y120+Y126+Y132+Y137+Y142+Y147+Y152+Y159+Y167+Y171+Y177+Y184+Y189+Y194+Y200+Y206+Y212+Y218+Y222+Y229+Y234+Y240+Y253+Y262+Y268,"0")</f>
        <v>0</v>
      </c>
      <c r="Z269" s="42"/>
      <c r="AA269" s="67"/>
      <c r="AB269" s="67"/>
      <c r="AC269" s="67"/>
    </row>
    <row r="270" spans="1:68" x14ac:dyDescent="0.2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451"/>
      <c r="P270" s="448" t="s">
        <v>34</v>
      </c>
      <c r="Q270" s="449"/>
      <c r="R270" s="449"/>
      <c r="S270" s="449"/>
      <c r="T270" s="449"/>
      <c r="U270" s="449"/>
      <c r="V270" s="450"/>
      <c r="W270" s="42" t="s">
        <v>0</v>
      </c>
      <c r="X270" s="43">
        <f>IFERROR(SUM(BM22:BM266),"0")</f>
        <v>0</v>
      </c>
      <c r="Y270" s="43">
        <f>IFERROR(SUM(BN22:BN266),"0")</f>
        <v>0</v>
      </c>
      <c r="Z270" s="42"/>
      <c r="AA270" s="67"/>
      <c r="AB270" s="67"/>
      <c r="AC270" s="67"/>
    </row>
    <row r="271" spans="1:68" x14ac:dyDescent="0.2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451"/>
      <c r="P271" s="448" t="s">
        <v>35</v>
      </c>
      <c r="Q271" s="449"/>
      <c r="R271" s="449"/>
      <c r="S271" s="449"/>
      <c r="T271" s="449"/>
      <c r="U271" s="449"/>
      <c r="V271" s="450"/>
      <c r="W271" s="42" t="s">
        <v>20</v>
      </c>
      <c r="X271" s="44">
        <f>ROUNDUP(SUM(BO22:BO266),0)</f>
        <v>0</v>
      </c>
      <c r="Y271" s="44">
        <f>ROUNDUP(SUM(BP22:BP266),0)</f>
        <v>0</v>
      </c>
      <c r="Z271" s="42"/>
      <c r="AA271" s="67"/>
      <c r="AB271" s="67"/>
      <c r="AC271" s="67"/>
    </row>
    <row r="272" spans="1:68" x14ac:dyDescent="0.2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451"/>
      <c r="P272" s="448" t="s">
        <v>36</v>
      </c>
      <c r="Q272" s="449"/>
      <c r="R272" s="449"/>
      <c r="S272" s="449"/>
      <c r="T272" s="449"/>
      <c r="U272" s="449"/>
      <c r="V272" s="450"/>
      <c r="W272" s="42" t="s">
        <v>0</v>
      </c>
      <c r="X272" s="43">
        <f>GrossWeightTotal+PalletQtyTotal*25</f>
        <v>0</v>
      </c>
      <c r="Y272" s="43">
        <f>GrossWeightTotalR+PalletQtyTotalR*25</f>
        <v>0</v>
      </c>
      <c r="Z272" s="42"/>
      <c r="AA272" s="67"/>
      <c r="AB272" s="67"/>
      <c r="AC272" s="67"/>
    </row>
    <row r="273" spans="1:32" x14ac:dyDescent="0.2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451"/>
      <c r="P273" s="448" t="s">
        <v>37</v>
      </c>
      <c r="Q273" s="449"/>
      <c r="R273" s="449"/>
      <c r="S273" s="449"/>
      <c r="T273" s="449"/>
      <c r="U273" s="449"/>
      <c r="V273" s="450"/>
      <c r="W273" s="42" t="s">
        <v>20</v>
      </c>
      <c r="X273" s="43">
        <f>IFERROR(X24+X31+X39+X44+X48+X53+X59+X65+X70+X76+X86+X92+X105+X109+X113+X119+X125+X131+X136+X141+X146+X151+X158+X166+X170+X176+X183+X188+X193+X199+X205+X211+X217+X221+X228+X233+X239+X252+X261+X267,"0")</f>
        <v>0</v>
      </c>
      <c r="Y273" s="43">
        <f>IFERROR(Y24+Y31+Y39+Y44+Y48+Y53+Y59+Y65+Y70+Y76+Y86+Y92+Y105+Y109+Y113+Y119+Y125+Y131+Y136+Y141+Y146+Y151+Y158+Y166+Y170+Y176+Y183+Y188+Y193+Y199+Y205+Y211+Y217+Y221+Y228+Y233+Y239+Y252+Y261+Y267,"0")</f>
        <v>0</v>
      </c>
      <c r="Z273" s="42"/>
      <c r="AA273" s="67"/>
      <c r="AB273" s="67"/>
      <c r="AC273" s="67"/>
    </row>
    <row r="274" spans="1:32" ht="14.25" x14ac:dyDescent="0.2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451"/>
      <c r="P274" s="448" t="s">
        <v>38</v>
      </c>
      <c r="Q274" s="449"/>
      <c r="R274" s="449"/>
      <c r="S274" s="449"/>
      <c r="T274" s="449"/>
      <c r="U274" s="449"/>
      <c r="V274" s="450"/>
      <c r="W274" s="45" t="s">
        <v>52</v>
      </c>
      <c r="X274" s="42"/>
      <c r="Y274" s="42"/>
      <c r="Z274" s="42">
        <f>IFERROR(Z24+Z31+Z39+Z44+Z48+Z53+Z59+Z65+Z70+Z76+Z86+Z92+Z105+Z109+Z113+Z119+Z125+Z131+Z136+Z141+Z146+Z151+Z158+Z166+Z170+Z176+Z183+Z188+Z193+Z199+Z205+Z211+Z217+Z221+Z228+Z233+Z239+Z252+Z261+Z267,"0")</f>
        <v>0</v>
      </c>
      <c r="AA274" s="67"/>
      <c r="AB274" s="67"/>
      <c r="AC274" s="67"/>
    </row>
    <row r="275" spans="1:32" ht="13.5" thickBot="1" x14ac:dyDescent="0.25"/>
    <row r="276" spans="1:32" ht="27" thickTop="1" thickBot="1" x14ac:dyDescent="0.25">
      <c r="A276" s="46" t="s">
        <v>9</v>
      </c>
      <c r="B276" s="454" t="s">
        <v>45</v>
      </c>
      <c r="C276" s="454" t="s">
        <v>45</v>
      </c>
      <c r="D276" s="454" t="s">
        <v>45</v>
      </c>
      <c r="E276" s="454" t="s">
        <v>45</v>
      </c>
      <c r="F276" s="454" t="s">
        <v>45</v>
      </c>
      <c r="G276" s="454" t="s">
        <v>45</v>
      </c>
      <c r="H276" s="454" t="s">
        <v>45</v>
      </c>
      <c r="I276" s="454" t="s">
        <v>45</v>
      </c>
      <c r="J276" s="454" t="s">
        <v>45</v>
      </c>
      <c r="K276" s="454" t="s">
        <v>45</v>
      </c>
      <c r="L276" s="454" t="s">
        <v>45</v>
      </c>
      <c r="M276" s="454" t="s">
        <v>45</v>
      </c>
      <c r="N276" s="455"/>
      <c r="O276" s="454" t="s">
        <v>45</v>
      </c>
      <c r="P276" s="454" t="s">
        <v>45</v>
      </c>
      <c r="Q276" s="454" t="s">
        <v>45</v>
      </c>
      <c r="R276" s="454" t="s">
        <v>45</v>
      </c>
      <c r="S276" s="454" t="s">
        <v>45</v>
      </c>
      <c r="T276" s="88" t="s">
        <v>263</v>
      </c>
      <c r="U276" s="88" t="s">
        <v>271</v>
      </c>
      <c r="V276" s="454" t="s">
        <v>290</v>
      </c>
      <c r="W276" s="454" t="s">
        <v>290</v>
      </c>
      <c r="X276" s="454" t="s">
        <v>290</v>
      </c>
      <c r="Y276" s="88" t="s">
        <v>321</v>
      </c>
      <c r="Z276" s="88" t="s">
        <v>326</v>
      </c>
      <c r="AA276" s="88" t="s">
        <v>330</v>
      </c>
      <c r="AB276" s="88" t="s">
        <v>338</v>
      </c>
      <c r="AC276" s="454" t="s">
        <v>81</v>
      </c>
      <c r="AD276" s="454" t="s">
        <v>81</v>
      </c>
      <c r="AF276" s="1"/>
    </row>
    <row r="277" spans="1:32" ht="14.25" customHeight="1" thickTop="1" x14ac:dyDescent="0.2">
      <c r="A277" s="452" t="s">
        <v>10</v>
      </c>
      <c r="B277" s="454" t="s">
        <v>102</v>
      </c>
      <c r="C277" s="454" t="s">
        <v>113</v>
      </c>
      <c r="D277" s="454" t="s">
        <v>123</v>
      </c>
      <c r="E277" s="454" t="s">
        <v>134</v>
      </c>
      <c r="F277" s="454" t="s">
        <v>155</v>
      </c>
      <c r="G277" s="454" t="s">
        <v>164</v>
      </c>
      <c r="H277" s="454" t="s">
        <v>168</v>
      </c>
      <c r="I277" s="454" t="s">
        <v>176</v>
      </c>
      <c r="J277" s="454" t="s">
        <v>191</v>
      </c>
      <c r="K277" s="454" t="s">
        <v>197</v>
      </c>
      <c r="L277" s="454" t="s">
        <v>229</v>
      </c>
      <c r="M277" s="454" t="s">
        <v>235</v>
      </c>
      <c r="N277" s="1"/>
      <c r="O277" s="454" t="s">
        <v>242</v>
      </c>
      <c r="P277" s="454" t="s">
        <v>247</v>
      </c>
      <c r="Q277" s="454" t="s">
        <v>251</v>
      </c>
      <c r="R277" s="454" t="s">
        <v>254</v>
      </c>
      <c r="S277" s="454" t="s">
        <v>259</v>
      </c>
      <c r="T277" s="454" t="s">
        <v>264</v>
      </c>
      <c r="U277" s="454" t="s">
        <v>272</v>
      </c>
      <c r="V277" s="454" t="s">
        <v>291</v>
      </c>
      <c r="W277" s="454" t="s">
        <v>306</v>
      </c>
      <c r="X277" s="454" t="s">
        <v>310</v>
      </c>
      <c r="Y277" s="454" t="s">
        <v>322</v>
      </c>
      <c r="Z277" s="454" t="s">
        <v>327</v>
      </c>
      <c r="AA277" s="454" t="s">
        <v>331</v>
      </c>
      <c r="AB277" s="454" t="s">
        <v>338</v>
      </c>
      <c r="AC277" s="454" t="s">
        <v>81</v>
      </c>
      <c r="AD277" s="454" t="s">
        <v>96</v>
      </c>
      <c r="AF277" s="1"/>
    </row>
    <row r="278" spans="1:32" ht="13.5" thickBot="1" x14ac:dyDescent="0.25">
      <c r="A278" s="453"/>
      <c r="B278" s="454"/>
      <c r="C278" s="454"/>
      <c r="D278" s="454"/>
      <c r="E278" s="454"/>
      <c r="F278" s="454"/>
      <c r="G278" s="454"/>
      <c r="H278" s="454"/>
      <c r="I278" s="454"/>
      <c r="J278" s="454"/>
      <c r="K278" s="454"/>
      <c r="L278" s="454"/>
      <c r="M278" s="454"/>
      <c r="N278" s="1"/>
      <c r="O278" s="454"/>
      <c r="P278" s="454"/>
      <c r="Q278" s="454"/>
      <c r="R278" s="454"/>
      <c r="S278" s="454"/>
      <c r="T278" s="454"/>
      <c r="U278" s="454"/>
      <c r="V278" s="454"/>
      <c r="W278" s="454"/>
      <c r="X278" s="454"/>
      <c r="Y278" s="454"/>
      <c r="Z278" s="454"/>
      <c r="AA278" s="454"/>
      <c r="AB278" s="454"/>
      <c r="AC278" s="454"/>
      <c r="AD278" s="454"/>
      <c r="AF278" s="1"/>
    </row>
    <row r="279" spans="1:32" ht="18" thickTop="1" thickBot="1" x14ac:dyDescent="0.25">
      <c r="A279" s="46" t="s">
        <v>13</v>
      </c>
      <c r="B279" s="52">
        <f>IFERROR(X22*H22,"0")+IFERROR(X23*H23,"0")</f>
        <v>0</v>
      </c>
      <c r="C279" s="52">
        <f>IFERROR(X28*H28,"0")+IFERROR(X29*H29,"0")+IFERROR(X30*H30,"0")</f>
        <v>0</v>
      </c>
      <c r="D279" s="52">
        <f>IFERROR(X35*H35,"0")+IFERROR(X36*H36,"0")+IFERROR(X37*H37,"0")+IFERROR(X38*H38,"0")</f>
        <v>0</v>
      </c>
      <c r="E279" s="52">
        <f>IFERROR(X43*H43,"0")+IFERROR(X47*H47,"0")+IFERROR(X51*H51,"0")+IFERROR(X52*H52,"0")+IFERROR(X56*H56,"0")+IFERROR(X57*H57,"0")+IFERROR(X58*H58,"0")</f>
        <v>0</v>
      </c>
      <c r="F279" s="52">
        <f>IFERROR(X63*H63,"0")+IFERROR(X64*H64,"0")</f>
        <v>0</v>
      </c>
      <c r="G279" s="52">
        <f>IFERROR(X69*H69,"0")</f>
        <v>0</v>
      </c>
      <c r="H279" s="52">
        <f>IFERROR(X74*H74,"0")+IFERROR(X75*H75,"0")</f>
        <v>0</v>
      </c>
      <c r="I279" s="52">
        <f>IFERROR(X80*H80,"0")+IFERROR(X81*H81,"0")+IFERROR(X82*H82,"0")+IFERROR(X83*H83,"0")+IFERROR(X84*H84,"0")+IFERROR(X85*H85,"0")</f>
        <v>0</v>
      </c>
      <c r="J279" s="52">
        <f>IFERROR(X90*H90,"0")+IFERROR(X91*H91,"0")</f>
        <v>0</v>
      </c>
      <c r="K279" s="52">
        <f>IFERROR(X96*H96,"0")+IFERROR(X97*H97,"0")+IFERROR(X98*H98,"0")+IFERROR(X99*H99,"0")+IFERROR(X100*H100,"0")+IFERROR(X101*H101,"0")+IFERROR(X102*H102,"0")+IFERROR(X103*H103,"0")+IFERROR(X104*H104,"0")+IFERROR(X108*H108,"0")+IFERROR(X112*H112,"0")</f>
        <v>0</v>
      </c>
      <c r="L279" s="52">
        <f>IFERROR(X117*H117,"0")+IFERROR(X118*H118,"0")</f>
        <v>0</v>
      </c>
      <c r="M279" s="52">
        <f>IFERROR(X123*H123,"0")+IFERROR(X124*H124,"0")</f>
        <v>0</v>
      </c>
      <c r="N279" s="1"/>
      <c r="O279" s="52">
        <f>IFERROR(X129*H129,"0")+IFERROR(X130*H130,"0")</f>
        <v>0</v>
      </c>
      <c r="P279" s="52">
        <f>IFERROR(X135*H135,"0")</f>
        <v>0</v>
      </c>
      <c r="Q279" s="52">
        <f>IFERROR(X140*H140,"0")</f>
        <v>0</v>
      </c>
      <c r="R279" s="52">
        <f>IFERROR(X145*H145,"0")</f>
        <v>0</v>
      </c>
      <c r="S279" s="52">
        <f>IFERROR(X150*H150,"0")</f>
        <v>0</v>
      </c>
      <c r="T279" s="52">
        <f>IFERROR(X156*H156,"0")+IFERROR(X157*H157,"0")</f>
        <v>0</v>
      </c>
      <c r="U279" s="52">
        <f>IFERROR(X163*H163,"0")+IFERROR(X164*H164,"0")+IFERROR(X165*H165,"0")+IFERROR(X169*H169,"0")</f>
        <v>0</v>
      </c>
      <c r="V279" s="52">
        <f>IFERROR(X175*H175,"0")+IFERROR(X179*H179,"0")+IFERROR(X180*H180,"0")+IFERROR(X181*H181,"0")+IFERROR(X182*H182,"0")</f>
        <v>0</v>
      </c>
      <c r="W279" s="52">
        <f>IFERROR(X187*H187,"0")</f>
        <v>0</v>
      </c>
      <c r="X279" s="52">
        <f>IFERROR(X192*H192,"0")+IFERROR(X196*H196,"0")+IFERROR(X197*H197,"0")+IFERROR(X198*H198,"0")</f>
        <v>0</v>
      </c>
      <c r="Y279" s="52">
        <f>IFERROR(X204*H204,"0")</f>
        <v>0</v>
      </c>
      <c r="Z279" s="52">
        <f>IFERROR(X210*H210,"0")</f>
        <v>0</v>
      </c>
      <c r="AA279" s="52">
        <f>IFERROR(X216*H216,"0")+IFERROR(X220*H220,"0")</f>
        <v>0</v>
      </c>
      <c r="AB279" s="52">
        <f>IFERROR(X226*H226,"0")+IFERROR(X227*H227,"0")+IFERROR(X231*H231,"0")+IFERROR(X232*H232,"0")+IFERROR(X236*H236,"0")+IFERROR(X237*H237,"0")+IFERROR(X238*H238,"0")+IFERROR(X242*H242,"0")+IFERROR(X243*H243,"0")+IFERROR(X244*H244,"0")+IFERROR(X245*H245,"0")+IFERROR(X246*H246,"0")+IFERROR(X247*H247,"0")+IFERROR(X248*H248,"0")+IFERROR(X249*H249,"0")+IFERROR(X250*H250,"0")+IFERROR(X251*H251,"0")</f>
        <v>0</v>
      </c>
      <c r="AC279" s="52">
        <f>IFERROR(X257*H257,"0")+IFERROR(X258*H258,"0")+IFERROR(X259*H259,"0")+IFERROR(X260*H260,"0")</f>
        <v>0</v>
      </c>
      <c r="AD279" s="52">
        <f>IFERROR(X265*H265,"0")+IFERROR(X266*H266,"0")</f>
        <v>0</v>
      </c>
      <c r="AF279" s="1"/>
    </row>
    <row r="280" spans="1:32" ht="13.5" thickTop="1" x14ac:dyDescent="0.2">
      <c r="C280" s="1"/>
    </row>
    <row r="281" spans="1:32" ht="19.5" customHeight="1" x14ac:dyDescent="0.2">
      <c r="A281" s="70" t="s">
        <v>62</v>
      </c>
      <c r="B281" s="70" t="s">
        <v>63</v>
      </c>
      <c r="C281" s="70" t="s">
        <v>65</v>
      </c>
    </row>
    <row r="282" spans="1:32" x14ac:dyDescent="0.2">
      <c r="A282" s="71">
        <f>SUMPRODUCT(--(BB:BB="ЗПФ"),--(W:W="кор"),H:H,Y:Y)+SUMPRODUCT(--(BB:BB="ЗПФ"),--(W:W="кг"),Y:Y)</f>
        <v>0</v>
      </c>
      <c r="B282" s="72">
        <f>SUMPRODUCT(--(BB:BB="ПГП"),--(W:W="кор"),H:H,Y:Y)+SUMPRODUCT(--(BB:BB="ПГП"),--(W:W="кг"),Y:Y)</f>
        <v>0</v>
      </c>
      <c r="C282" s="72">
        <f>SUMPRODUCT(--(BB:BB="КИЗ"),--(W:W="кор"),H:H,Y:Y)+SUMPRODUCT(--(BB:BB="КИЗ"),--(W:W="кг"),Y:Y)</f>
        <v>0</v>
      </c>
    </row>
  </sheetData>
  <sheetProtection algorithmName="SHA-512" hashValue="i0xTOXtoOmazApCGssSYRit9svmuotI9AllKMbByqWTXHNRGPZVDqQCpUDmqnHNc7VSarP8iV/h6ebLYXy6ErA==" saltValue="yiHRyB4oXaE64v1kl1X4Q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8"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B276:S276"/>
    <mergeCell ref="V276:X276"/>
    <mergeCell ref="AC276:AD276"/>
    <mergeCell ref="J277:J278"/>
    <mergeCell ref="K277:K278"/>
    <mergeCell ref="L277:L278"/>
    <mergeCell ref="M277:M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D265:E265"/>
    <mergeCell ref="P265:T265"/>
    <mergeCell ref="D266:E266"/>
    <mergeCell ref="P266:T266"/>
    <mergeCell ref="P267:V267"/>
    <mergeCell ref="A267:O268"/>
    <mergeCell ref="P268:V268"/>
    <mergeCell ref="P269:V269"/>
    <mergeCell ref="A269:O274"/>
    <mergeCell ref="P270:V270"/>
    <mergeCell ref="P271:V271"/>
    <mergeCell ref="P272:V272"/>
    <mergeCell ref="P273:V273"/>
    <mergeCell ref="P274:V274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54:V254"/>
    <mergeCell ref="A254:O255"/>
    <mergeCell ref="P255:V255"/>
    <mergeCell ref="A256:Z256"/>
    <mergeCell ref="D257:E257"/>
    <mergeCell ref="P257:T257"/>
    <mergeCell ref="D258:E258"/>
    <mergeCell ref="P258:T258"/>
    <mergeCell ref="D259:E259"/>
    <mergeCell ref="P259:T259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D213:E213"/>
    <mergeCell ref="P213:T213"/>
    <mergeCell ref="P214:V214"/>
    <mergeCell ref="A214:O215"/>
    <mergeCell ref="P215:V215"/>
    <mergeCell ref="A216:Z216"/>
    <mergeCell ref="A217:Z217"/>
    <mergeCell ref="A218:Z218"/>
    <mergeCell ref="D219:E219"/>
    <mergeCell ref="P219:T219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187:Z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6:E106"/>
    <mergeCell ref="P106:T106"/>
    <mergeCell ref="P107:V107"/>
    <mergeCell ref="A107:O108"/>
    <mergeCell ref="P108:V108"/>
    <mergeCell ref="A109:Z109"/>
    <mergeCell ref="A110:Z110"/>
    <mergeCell ref="D111:E111"/>
    <mergeCell ref="P111:T111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P91:V91"/>
    <mergeCell ref="A91:O92"/>
    <mergeCell ref="P92:V92"/>
    <mergeCell ref="A93:Z93"/>
    <mergeCell ref="A94:Z94"/>
    <mergeCell ref="A82:Z82"/>
    <mergeCell ref="A83:Z83"/>
    <mergeCell ref="D84:E84"/>
    <mergeCell ref="P84:T84"/>
    <mergeCell ref="P85:V85"/>
    <mergeCell ref="A85:O86"/>
    <mergeCell ref="P86:V86"/>
    <mergeCell ref="A87:Z87"/>
    <mergeCell ref="A88:Z88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56:Z56"/>
    <mergeCell ref="A57:Z57"/>
    <mergeCell ref="D58:E58"/>
    <mergeCell ref="P58:T58"/>
    <mergeCell ref="P59:V59"/>
    <mergeCell ref="A59:O60"/>
    <mergeCell ref="P60:V60"/>
    <mergeCell ref="A61:Z61"/>
    <mergeCell ref="D62:E62"/>
    <mergeCell ref="P62:T62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D45:E45"/>
    <mergeCell ref="P45:T45"/>
    <mergeCell ref="P46:V46"/>
    <mergeCell ref="A46:O47"/>
    <mergeCell ref="P47:V47"/>
    <mergeCell ref="A48:Z48"/>
    <mergeCell ref="A49:Z49"/>
    <mergeCell ref="D50:E50"/>
    <mergeCell ref="P50:T50"/>
    <mergeCell ref="P39:V39"/>
    <mergeCell ref="A39:O40"/>
    <mergeCell ref="P40:V40"/>
    <mergeCell ref="A41:Z41"/>
    <mergeCell ref="A42:Z42"/>
    <mergeCell ref="D43:E43"/>
    <mergeCell ref="P43:T43"/>
    <mergeCell ref="D44:E44"/>
    <mergeCell ref="P44:T44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P26:V26"/>
    <mergeCell ref="A26:O27"/>
    <mergeCell ref="P27:V27"/>
    <mergeCell ref="A28:Z28"/>
    <mergeCell ref="A29:Z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:X266 X259 X257 X251 X247 X241:X242 X235 X231 X219 X211:X213 X207 X202 X194:X197 X190 X184 X178:X179 X171 X165 X160 X155 X150 X144:X145 X138 X127 X123 X118:X119 X115 X111:X112 X106 X95:X99 X90 X71:X73 X66:X67 X62 X58 X53 X45 X43 X38 X30:X31 X22:X25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260:X261 X258 X252:X253 X246 X225 X180 X172 X132:X133 X116:X117 X113 X105 X100 X89 X84 X78 X50:X52 X44" xr:uid="{00000000-0002-0000-0000-000017000000}">
      <formula1>IF(AK37&gt;0,OR(X37=0,AND(IF(X37-AK37&gt;=0,TRUE,FALSE),X37&gt;0,IF(X37/K37=ROUND(X37/K37,0),TRUE,FALSE))),FALSE)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9 X139 X114" xr:uid="{00000000-0002-0000-0000-000028000000}">
      <formula1>IF(AK79&gt;0,OR(X79=0,AND(IF(X79-AK79&gt;=0,TRUE,FALSE),X79&gt;0,IF(X79/J79=ROUND(X79/J79,0),TRUE,FALSE))),FALSE)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9"/>
    </row>
    <row r="3" spans="2:8" x14ac:dyDescent="0.2">
      <c r="B3" s="53" t="s">
        <v>379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381</v>
      </c>
      <c r="D6" s="53" t="s">
        <v>382</v>
      </c>
      <c r="E6" s="53" t="s">
        <v>46</v>
      </c>
    </row>
    <row r="8" spans="2:8" x14ac:dyDescent="0.2">
      <c r="B8" s="53" t="s">
        <v>80</v>
      </c>
      <c r="C8" s="53" t="s">
        <v>381</v>
      </c>
      <c r="D8" s="53" t="s">
        <v>46</v>
      </c>
      <c r="E8" s="53" t="s">
        <v>46</v>
      </c>
    </row>
    <row r="10" spans="2:8" x14ac:dyDescent="0.2">
      <c r="B10" s="53" t="s">
        <v>383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393</v>
      </c>
      <c r="C20" s="53" t="s">
        <v>46</v>
      </c>
      <c r="D20" s="53" t="s">
        <v>46</v>
      </c>
      <c r="E20" s="53" t="s">
        <v>46</v>
      </c>
    </row>
  </sheetData>
  <sheetProtection algorithmName="SHA-512" hashValue="hUtnoPxs/R52zFDZMytsnFnFTz8AI6hHPeystR/kdScf+26jq1o0WxV4l5Oua+e8UhgbTz/INu+ouZhPEmRikQ==" saltValue="iAbeDCgQOGAdOpMxN5n7M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2025-11-27T07:16:31Z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