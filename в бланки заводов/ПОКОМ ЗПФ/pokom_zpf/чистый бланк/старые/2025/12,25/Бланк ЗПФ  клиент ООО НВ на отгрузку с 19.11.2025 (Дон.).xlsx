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3FDBF6-2360-4EA4-8DA4-31116A5513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2" l="1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N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Y257" i="2"/>
  <c r="Y259" i="2" s="1"/>
  <c r="P257" i="2"/>
  <c r="BO256" i="2"/>
  <c r="BM256" i="2"/>
  <c r="Z256" i="2"/>
  <c r="Y256" i="2"/>
  <c r="BP256" i="2" s="1"/>
  <c r="P256" i="2"/>
  <c r="BO255" i="2"/>
  <c r="BM255" i="2"/>
  <c r="Z255" i="2"/>
  <c r="Y255" i="2"/>
  <c r="P255" i="2"/>
  <c r="X253" i="2"/>
  <c r="X252" i="2"/>
  <c r="BO251" i="2"/>
  <c r="BM251" i="2"/>
  <c r="Z251" i="2"/>
  <c r="Y251" i="2"/>
  <c r="BP251" i="2" s="1"/>
  <c r="P251" i="2"/>
  <c r="BO250" i="2"/>
  <c r="BM250" i="2"/>
  <c r="Z250" i="2"/>
  <c r="Z252" i="2" s="1"/>
  <c r="Y250" i="2"/>
  <c r="BP250" i="2" s="1"/>
  <c r="P250" i="2"/>
  <c r="X248" i="2"/>
  <c r="X247" i="2"/>
  <c r="BO246" i="2"/>
  <c r="BM246" i="2"/>
  <c r="Z246" i="2"/>
  <c r="Z247" i="2" s="1"/>
  <c r="Y246" i="2"/>
  <c r="BN246" i="2" s="1"/>
  <c r="P246" i="2"/>
  <c r="BO245" i="2"/>
  <c r="BM245" i="2"/>
  <c r="Z245" i="2"/>
  <c r="Y245" i="2"/>
  <c r="BP245" i="2" s="1"/>
  <c r="P245" i="2"/>
  <c r="BO244" i="2"/>
  <c r="BM244" i="2"/>
  <c r="Z244" i="2"/>
  <c r="Y244" i="2"/>
  <c r="Y247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5" i="2" s="1"/>
  <c r="P234" i="2"/>
  <c r="Y230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8" i="2"/>
  <c r="X217" i="2"/>
  <c r="BO216" i="2"/>
  <c r="BN216" i="2"/>
  <c r="BM216" i="2"/>
  <c r="Z216" i="2"/>
  <c r="Y216" i="2"/>
  <c r="BP216" i="2" s="1"/>
  <c r="P216" i="2"/>
  <c r="BO215" i="2"/>
  <c r="BM215" i="2"/>
  <c r="Z215" i="2"/>
  <c r="Y215" i="2"/>
  <c r="Y217" i="2" s="1"/>
  <c r="P215" i="2"/>
  <c r="X212" i="2"/>
  <c r="X211" i="2"/>
  <c r="BP210" i="2"/>
  <c r="BO210" i="2"/>
  <c r="BN210" i="2"/>
  <c r="BM210" i="2"/>
  <c r="Z210" i="2"/>
  <c r="Y210" i="2"/>
  <c r="P210" i="2"/>
  <c r="BO209" i="2"/>
  <c r="BM209" i="2"/>
  <c r="Z209" i="2"/>
  <c r="Y209" i="2"/>
  <c r="BN209" i="2" s="1"/>
  <c r="P209" i="2"/>
  <c r="BO208" i="2"/>
  <c r="BM208" i="2"/>
  <c r="Z208" i="2"/>
  <c r="Z211" i="2" s="1"/>
  <c r="Y208" i="2"/>
  <c r="P208" i="2"/>
  <c r="X206" i="2"/>
  <c r="X205" i="2"/>
  <c r="BO204" i="2"/>
  <c r="BM204" i="2"/>
  <c r="Z204" i="2"/>
  <c r="Z205" i="2" s="1"/>
  <c r="Y204" i="2"/>
  <c r="Y206" i="2" s="1"/>
  <c r="P204" i="2"/>
  <c r="X201" i="2"/>
  <c r="X200" i="2"/>
  <c r="BO199" i="2"/>
  <c r="BM199" i="2"/>
  <c r="Z199" i="2"/>
  <c r="Z200" i="2" s="1"/>
  <c r="Y199" i="2"/>
  <c r="Y201" i="2" s="1"/>
  <c r="P199" i="2"/>
  <c r="X196" i="2"/>
  <c r="X195" i="2"/>
  <c r="BO194" i="2"/>
  <c r="BM194" i="2"/>
  <c r="Z194" i="2"/>
  <c r="Y194" i="2"/>
  <c r="BP194" i="2" s="1"/>
  <c r="P194" i="2"/>
  <c r="BO193" i="2"/>
  <c r="BM193" i="2"/>
  <c r="Z193" i="2"/>
  <c r="Z195" i="2" s="1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X188" i="2"/>
  <c r="X187" i="2"/>
  <c r="BO186" i="2"/>
  <c r="BM186" i="2"/>
  <c r="Z186" i="2"/>
  <c r="Y186" i="2"/>
  <c r="BN186" i="2" s="1"/>
  <c r="P186" i="2"/>
  <c r="BP185" i="2"/>
  <c r="BO185" i="2"/>
  <c r="BN185" i="2"/>
  <c r="BM185" i="2"/>
  <c r="Z185" i="2"/>
  <c r="Y185" i="2"/>
  <c r="P185" i="2"/>
  <c r="BO184" i="2"/>
  <c r="BM184" i="2"/>
  <c r="Z184" i="2"/>
  <c r="Y184" i="2"/>
  <c r="BN184" i="2" s="1"/>
  <c r="BO183" i="2"/>
  <c r="BM183" i="2"/>
  <c r="Z183" i="2"/>
  <c r="Y183" i="2"/>
  <c r="BP183" i="2" s="1"/>
  <c r="P183" i="2"/>
  <c r="X181" i="2"/>
  <c r="X180" i="2"/>
  <c r="BO179" i="2"/>
  <c r="BM179" i="2"/>
  <c r="Z179" i="2"/>
  <c r="Z180" i="2" s="1"/>
  <c r="Y179" i="2"/>
  <c r="BN179" i="2" s="1"/>
  <c r="P179" i="2"/>
  <c r="X175" i="2"/>
  <c r="X174" i="2"/>
  <c r="BO173" i="2"/>
  <c r="BN173" i="2"/>
  <c r="BM173" i="2"/>
  <c r="Z173" i="2"/>
  <c r="Z174" i="2" s="1"/>
  <c r="Y173" i="2"/>
  <c r="Y175" i="2" s="1"/>
  <c r="X171" i="2"/>
  <c r="X170" i="2"/>
  <c r="BO169" i="2"/>
  <c r="BM169" i="2"/>
  <c r="Z169" i="2"/>
  <c r="Y169" i="2"/>
  <c r="BN169" i="2" s="1"/>
  <c r="P169" i="2"/>
  <c r="BO168" i="2"/>
  <c r="BN168" i="2"/>
  <c r="BM168" i="2"/>
  <c r="Z168" i="2"/>
  <c r="Y168" i="2"/>
  <c r="BP168" i="2" s="1"/>
  <c r="P168" i="2"/>
  <c r="BO167" i="2"/>
  <c r="BM167" i="2"/>
  <c r="Z167" i="2"/>
  <c r="Y167" i="2"/>
  <c r="Y170" i="2" s="1"/>
  <c r="P167" i="2"/>
  <c r="X163" i="2"/>
  <c r="X162" i="2"/>
  <c r="BO161" i="2"/>
  <c r="BM161" i="2"/>
  <c r="Z161" i="2"/>
  <c r="Y161" i="2"/>
  <c r="Y162" i="2" s="1"/>
  <c r="P161" i="2"/>
  <c r="BP160" i="2"/>
  <c r="BO160" i="2"/>
  <c r="BN160" i="2"/>
  <c r="BM160" i="2"/>
  <c r="Z160" i="2"/>
  <c r="Y160" i="2"/>
  <c r="P160" i="2"/>
  <c r="X156" i="2"/>
  <c r="X155" i="2"/>
  <c r="BO154" i="2"/>
  <c r="BM154" i="2"/>
  <c r="Z154" i="2"/>
  <c r="Z155" i="2" s="1"/>
  <c r="Y154" i="2"/>
  <c r="Y155" i="2" s="1"/>
  <c r="P154" i="2"/>
  <c r="Y151" i="2"/>
  <c r="X151" i="2"/>
  <c r="X150" i="2"/>
  <c r="BO149" i="2"/>
  <c r="BM149" i="2"/>
  <c r="Z149" i="2"/>
  <c r="Z150" i="2" s="1"/>
  <c r="Y149" i="2"/>
  <c r="Y150" i="2" s="1"/>
  <c r="P149" i="2"/>
  <c r="X146" i="2"/>
  <c r="Y145" i="2"/>
  <c r="X145" i="2"/>
  <c r="BP144" i="2"/>
  <c r="BO144" i="2"/>
  <c r="BN144" i="2"/>
  <c r="BM144" i="2"/>
  <c r="Z144" i="2"/>
  <c r="Z145" i="2" s="1"/>
  <c r="Y144" i="2"/>
  <c r="Y146" i="2" s="1"/>
  <c r="P144" i="2"/>
  <c r="X141" i="2"/>
  <c r="X140" i="2"/>
  <c r="BO139" i="2"/>
  <c r="BM139" i="2"/>
  <c r="Z139" i="2"/>
  <c r="Z140" i="2" s="1"/>
  <c r="Y139" i="2"/>
  <c r="Y140" i="2" s="1"/>
  <c r="P139" i="2"/>
  <c r="X136" i="2"/>
  <c r="X135" i="2"/>
  <c r="BO134" i="2"/>
  <c r="BM134" i="2"/>
  <c r="Z134" i="2"/>
  <c r="Z135" i="2" s="1"/>
  <c r="Y134" i="2"/>
  <c r="BP134" i="2" s="1"/>
  <c r="P134" i="2"/>
  <c r="BO133" i="2"/>
  <c r="BM133" i="2"/>
  <c r="Z133" i="2"/>
  <c r="Y133" i="2"/>
  <c r="Y135" i="2" s="1"/>
  <c r="P133" i="2"/>
  <c r="X130" i="2"/>
  <c r="X129" i="2"/>
  <c r="BO128" i="2"/>
  <c r="BM128" i="2"/>
  <c r="Z128" i="2"/>
  <c r="Y128" i="2"/>
  <c r="BN128" i="2" s="1"/>
  <c r="P128" i="2"/>
  <c r="BO127" i="2"/>
  <c r="BM127" i="2"/>
  <c r="Z127" i="2"/>
  <c r="Z129" i="2" s="1"/>
  <c r="Y127" i="2"/>
  <c r="P127" i="2"/>
  <c r="X124" i="2"/>
  <c r="X123" i="2"/>
  <c r="BO122" i="2"/>
  <c r="BM122" i="2"/>
  <c r="Z122" i="2"/>
  <c r="Y122" i="2"/>
  <c r="BP122" i="2" s="1"/>
  <c r="P122" i="2"/>
  <c r="BO121" i="2"/>
  <c r="BM121" i="2"/>
  <c r="Z121" i="2"/>
  <c r="Z123" i="2" s="1"/>
  <c r="Y121" i="2"/>
  <c r="P121" i="2"/>
  <c r="X118" i="2"/>
  <c r="X117" i="2"/>
  <c r="BO116" i="2"/>
  <c r="BN116" i="2"/>
  <c r="BM116" i="2"/>
  <c r="Z116" i="2"/>
  <c r="Z117" i="2" s="1"/>
  <c r="Y116" i="2"/>
  <c r="Y118" i="2" s="1"/>
  <c r="P116" i="2"/>
  <c r="X114" i="2"/>
  <c r="X113" i="2"/>
  <c r="BO112" i="2"/>
  <c r="BM112" i="2"/>
  <c r="Z112" i="2"/>
  <c r="Z113" i="2" s="1"/>
  <c r="Y112" i="2"/>
  <c r="BN112" i="2" s="1"/>
  <c r="P112" i="2"/>
  <c r="X110" i="2"/>
  <c r="X109" i="2"/>
  <c r="BO108" i="2"/>
  <c r="BM108" i="2"/>
  <c r="Z108" i="2"/>
  <c r="Y108" i="2"/>
  <c r="BP108" i="2" s="1"/>
  <c r="P108" i="2"/>
  <c r="BO107" i="2"/>
  <c r="BM107" i="2"/>
  <c r="Z107" i="2"/>
  <c r="Y107" i="2"/>
  <c r="BP107" i="2" s="1"/>
  <c r="P107" i="2"/>
  <c r="BO106" i="2"/>
  <c r="BM106" i="2"/>
  <c r="Z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Z104" i="2"/>
  <c r="Y104" i="2"/>
  <c r="BP104" i="2" s="1"/>
  <c r="P104" i="2"/>
  <c r="BO103" i="2"/>
  <c r="BM103" i="2"/>
  <c r="Z103" i="2"/>
  <c r="Y103" i="2"/>
  <c r="P103" i="2"/>
  <c r="BO102" i="2"/>
  <c r="BM102" i="2"/>
  <c r="Z102" i="2"/>
  <c r="Y102" i="2"/>
  <c r="BN102" i="2" s="1"/>
  <c r="P102" i="2"/>
  <c r="X99" i="2"/>
  <c r="X98" i="2"/>
  <c r="BO97" i="2"/>
  <c r="BM97" i="2"/>
  <c r="Z97" i="2"/>
  <c r="Y97" i="2"/>
  <c r="Y99" i="2" s="1"/>
  <c r="P97" i="2"/>
  <c r="BO96" i="2"/>
  <c r="BM96" i="2"/>
  <c r="Z96" i="2"/>
  <c r="Y96" i="2"/>
  <c r="BP96" i="2" s="1"/>
  <c r="P96" i="2"/>
  <c r="X93" i="2"/>
  <c r="X92" i="2"/>
  <c r="BO91" i="2"/>
  <c r="BM91" i="2"/>
  <c r="Z91" i="2"/>
  <c r="Y91" i="2"/>
  <c r="BN91" i="2" s="1"/>
  <c r="P91" i="2"/>
  <c r="BO90" i="2"/>
  <c r="BM90" i="2"/>
  <c r="Z90" i="2"/>
  <c r="Y90" i="2"/>
  <c r="BP90" i="2" s="1"/>
  <c r="P90" i="2"/>
  <c r="BO89" i="2"/>
  <c r="BM89" i="2"/>
  <c r="Z89" i="2"/>
  <c r="Y89" i="2"/>
  <c r="BP89" i="2" s="1"/>
  <c r="P89" i="2"/>
  <c r="BP88" i="2"/>
  <c r="BO88" i="2"/>
  <c r="BN88" i="2"/>
  <c r="BM88" i="2"/>
  <c r="Z88" i="2"/>
  <c r="Y88" i="2"/>
  <c r="P88" i="2"/>
  <c r="BO87" i="2"/>
  <c r="BN87" i="2"/>
  <c r="BM87" i="2"/>
  <c r="Z87" i="2"/>
  <c r="Y87" i="2"/>
  <c r="BP87" i="2" s="1"/>
  <c r="P87" i="2"/>
  <c r="BO86" i="2"/>
  <c r="BM86" i="2"/>
  <c r="Z86" i="2"/>
  <c r="Y86" i="2"/>
  <c r="BN86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N75" i="2"/>
  <c r="BM75" i="2"/>
  <c r="Z75" i="2"/>
  <c r="Z76" i="2" s="1"/>
  <c r="Y75" i="2"/>
  <c r="Y77" i="2" s="1"/>
  <c r="P75" i="2"/>
  <c r="X72" i="2"/>
  <c r="Y71" i="2"/>
  <c r="X71" i="2"/>
  <c r="BO70" i="2"/>
  <c r="BM70" i="2"/>
  <c r="Z70" i="2"/>
  <c r="Y70" i="2"/>
  <c r="BP70" i="2" s="1"/>
  <c r="P70" i="2"/>
  <c r="BO69" i="2"/>
  <c r="BM69" i="2"/>
  <c r="Z69" i="2"/>
  <c r="Z71" i="2" s="1"/>
  <c r="Y69" i="2"/>
  <c r="BN69" i="2" s="1"/>
  <c r="P69" i="2"/>
  <c r="X66" i="2"/>
  <c r="X65" i="2"/>
  <c r="BO64" i="2"/>
  <c r="BM64" i="2"/>
  <c r="Z64" i="2"/>
  <c r="Y64" i="2"/>
  <c r="BP64" i="2" s="1"/>
  <c r="P64" i="2"/>
  <c r="BO63" i="2"/>
  <c r="BM63" i="2"/>
  <c r="Z63" i="2"/>
  <c r="Y63" i="2"/>
  <c r="P63" i="2"/>
  <c r="BP62" i="2"/>
  <c r="BO62" i="2"/>
  <c r="BN62" i="2"/>
  <c r="BM62" i="2"/>
  <c r="Z62" i="2"/>
  <c r="Z65" i="2" s="1"/>
  <c r="Y62" i="2"/>
  <c r="P62" i="2"/>
  <c r="X60" i="2"/>
  <c r="X59" i="2"/>
  <c r="BO58" i="2"/>
  <c r="BM58" i="2"/>
  <c r="Z58" i="2"/>
  <c r="Y58" i="2"/>
  <c r="P58" i="2"/>
  <c r="BO57" i="2"/>
  <c r="BM57" i="2"/>
  <c r="Z57" i="2"/>
  <c r="Y57" i="2"/>
  <c r="BN57" i="2" s="1"/>
  <c r="P57" i="2"/>
  <c r="X55" i="2"/>
  <c r="X54" i="2"/>
  <c r="BO53" i="2"/>
  <c r="BM53" i="2"/>
  <c r="Z53" i="2"/>
  <c r="Z54" i="2" s="1"/>
  <c r="Y53" i="2"/>
  <c r="Y54" i="2" s="1"/>
  <c r="P53" i="2"/>
  <c r="X51" i="2"/>
  <c r="X50" i="2"/>
  <c r="BO49" i="2"/>
  <c r="BM49" i="2"/>
  <c r="Z49" i="2"/>
  <c r="Z50" i="2" s="1"/>
  <c r="Y49" i="2"/>
  <c r="P49" i="2"/>
  <c r="X46" i="2"/>
  <c r="X45" i="2"/>
  <c r="BO44" i="2"/>
  <c r="BM44" i="2"/>
  <c r="Z44" i="2"/>
  <c r="Y44" i="2"/>
  <c r="BN44" i="2" s="1"/>
  <c r="P44" i="2"/>
  <c r="BO43" i="2"/>
  <c r="BM43" i="2"/>
  <c r="Z43" i="2"/>
  <c r="Y43" i="2"/>
  <c r="P43" i="2"/>
  <c r="BO42" i="2"/>
  <c r="BM42" i="2"/>
  <c r="Z42" i="2"/>
  <c r="Z45" i="2" s="1"/>
  <c r="Y42" i="2"/>
  <c r="P42" i="2"/>
  <c r="BO41" i="2"/>
  <c r="BM41" i="2"/>
  <c r="Z41" i="2"/>
  <c r="Y41" i="2"/>
  <c r="BP41" i="2" s="1"/>
  <c r="P41" i="2"/>
  <c r="X38" i="2"/>
  <c r="X37" i="2"/>
  <c r="BP36" i="2"/>
  <c r="BO36" i="2"/>
  <c r="BN36" i="2"/>
  <c r="BM36" i="2"/>
  <c r="Z36" i="2"/>
  <c r="Y36" i="2"/>
  <c r="P36" i="2"/>
  <c r="BO35" i="2"/>
  <c r="BM35" i="2"/>
  <c r="Z35" i="2"/>
  <c r="Y35" i="2"/>
  <c r="BP35" i="2" s="1"/>
  <c r="P35" i="2"/>
  <c r="BO34" i="2"/>
  <c r="BM34" i="2"/>
  <c r="Z34" i="2"/>
  <c r="Z37" i="2" s="1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P28" i="2"/>
  <c r="Y24" i="2"/>
  <c r="X24" i="2"/>
  <c r="X23" i="2"/>
  <c r="BO22" i="2"/>
  <c r="BN22" i="2"/>
  <c r="BM22" i="2"/>
  <c r="Z22" i="2"/>
  <c r="Z23" i="2" s="1"/>
  <c r="Y22" i="2"/>
  <c r="BP22" i="2" s="1"/>
  <c r="P22" i="2"/>
  <c r="H10" i="2"/>
  <c r="A9" i="2"/>
  <c r="J9" i="2" s="1"/>
  <c r="D7" i="2"/>
  <c r="Q6" i="2"/>
  <c r="P2" i="2"/>
  <c r="Y30" i="2" l="1"/>
  <c r="Y31" i="2"/>
  <c r="BP44" i="2"/>
  <c r="Y50" i="2"/>
  <c r="Y51" i="2"/>
  <c r="BN49" i="2"/>
  <c r="BP57" i="2"/>
  <c r="Y60" i="2"/>
  <c r="BP63" i="2"/>
  <c r="Y65" i="2"/>
  <c r="BP43" i="2"/>
  <c r="BN43" i="2"/>
  <c r="Y66" i="2"/>
  <c r="Z109" i="2"/>
  <c r="BP106" i="2"/>
  <c r="BP112" i="2"/>
  <c r="Y113" i="2"/>
  <c r="Y130" i="2"/>
  <c r="Y136" i="2"/>
  <c r="BP161" i="2"/>
  <c r="BP186" i="2"/>
  <c r="Y196" i="2"/>
  <c r="BP199" i="2"/>
  <c r="Y218" i="2"/>
  <c r="BP244" i="2"/>
  <c r="Y248" i="2"/>
  <c r="Y252" i="2"/>
  <c r="Z271" i="2"/>
  <c r="BP265" i="2"/>
  <c r="X274" i="2"/>
  <c r="X276" i="2" s="1"/>
  <c r="X273" i="2"/>
  <c r="Z30" i="2"/>
  <c r="Y38" i="2"/>
  <c r="X277" i="2"/>
  <c r="Y45" i="2"/>
  <c r="X275" i="2"/>
  <c r="Z59" i="2"/>
  <c r="BP69" i="2"/>
  <c r="Y72" i="2"/>
  <c r="Y83" i="2"/>
  <c r="BN81" i="2"/>
  <c r="Z92" i="2"/>
  <c r="Z98" i="2"/>
  <c r="BP102" i="2"/>
  <c r="Y110" i="2"/>
  <c r="Y114" i="2"/>
  <c r="Y123" i="2"/>
  <c r="BN122" i="2"/>
  <c r="Y124" i="2"/>
  <c r="Y129" i="2"/>
  <c r="Y163" i="2"/>
  <c r="Z162" i="2"/>
  <c r="Z170" i="2"/>
  <c r="BN167" i="2"/>
  <c r="BP167" i="2"/>
  <c r="BP169" i="2"/>
  <c r="Z187" i="2"/>
  <c r="BN191" i="2"/>
  <c r="BN192" i="2"/>
  <c r="Y195" i="2"/>
  <c r="BN204" i="2"/>
  <c r="BP204" i="2"/>
  <c r="Y205" i="2"/>
  <c r="Y212" i="2"/>
  <c r="Z217" i="2"/>
  <c r="BP228" i="2"/>
  <c r="Y229" i="2"/>
  <c r="BN234" i="2"/>
  <c r="Y236" i="2"/>
  <c r="Y253" i="2"/>
  <c r="Y258" i="2"/>
  <c r="BP255" i="2"/>
  <c r="Z258" i="2"/>
  <c r="BP261" i="2"/>
  <c r="Y271" i="2"/>
  <c r="BN268" i="2"/>
  <c r="BN269" i="2"/>
  <c r="Z278" i="2"/>
  <c r="Y187" i="2"/>
  <c r="BN97" i="2"/>
  <c r="BN257" i="2"/>
  <c r="BN267" i="2"/>
  <c r="F10" i="2"/>
  <c r="BP42" i="2"/>
  <c r="BN53" i="2"/>
  <c r="BP80" i="2"/>
  <c r="BP91" i="2"/>
  <c r="BN103" i="2"/>
  <c r="BN127" i="2"/>
  <c r="Y171" i="2"/>
  <c r="BP179" i="2"/>
  <c r="BP184" i="2"/>
  <c r="BP209" i="2"/>
  <c r="BN222" i="2"/>
  <c r="BN238" i="2"/>
  <c r="BN262" i="2"/>
  <c r="BN28" i="2"/>
  <c r="BN58" i="2"/>
  <c r="BP97" i="2"/>
  <c r="BN245" i="2"/>
  <c r="BP257" i="2"/>
  <c r="BP28" i="2"/>
  <c r="BP53" i="2"/>
  <c r="BN63" i="2"/>
  <c r="BN89" i="2"/>
  <c r="Y92" i="2"/>
  <c r="BP103" i="2"/>
  <c r="BP127" i="2"/>
  <c r="BN139" i="2"/>
  <c r="BN154" i="2"/>
  <c r="Y180" i="2"/>
  <c r="BN193" i="2"/>
  <c r="BP222" i="2"/>
  <c r="BP238" i="2"/>
  <c r="BN250" i="2"/>
  <c r="BP262" i="2"/>
  <c r="BN270" i="2"/>
  <c r="BN108" i="2"/>
  <c r="BN121" i="2"/>
  <c r="BN215" i="2"/>
  <c r="BN34" i="2"/>
  <c r="Y37" i="2"/>
  <c r="Y46" i="2"/>
  <c r="BP86" i="2"/>
  <c r="BP121" i="2"/>
  <c r="BN133" i="2"/>
  <c r="Y188" i="2"/>
  <c r="BP215" i="2"/>
  <c r="BP34" i="2"/>
  <c r="BP58" i="2"/>
  <c r="Y98" i="2"/>
  <c r="Y109" i="2"/>
  <c r="BP133" i="2"/>
  <c r="BN161" i="2"/>
  <c r="BN199" i="2"/>
  <c r="BN255" i="2"/>
  <c r="Y239" i="2"/>
  <c r="BN104" i="2"/>
  <c r="F9" i="2"/>
  <c r="H9" i="2"/>
  <c r="BN42" i="2"/>
  <c r="BN80" i="2"/>
  <c r="BP139" i="2"/>
  <c r="BP154" i="2"/>
  <c r="Y223" i="2"/>
  <c r="Y93" i="2"/>
  <c r="Y181" i="2"/>
  <c r="BN29" i="2"/>
  <c r="Y55" i="2"/>
  <c r="Y200" i="2"/>
  <c r="BN263" i="2"/>
  <c r="BN35" i="2"/>
  <c r="BP49" i="2"/>
  <c r="BN134" i="2"/>
  <c r="Y174" i="2"/>
  <c r="BP234" i="2"/>
  <c r="BN41" i="2"/>
  <c r="Y82" i="2"/>
  <c r="BN90" i="2"/>
  <c r="Y117" i="2"/>
  <c r="BP128" i="2"/>
  <c r="Y141" i="2"/>
  <c r="Y156" i="2"/>
  <c r="BN194" i="2"/>
  <c r="BN208" i="2"/>
  <c r="Y211" i="2"/>
  <c r="BN251" i="2"/>
  <c r="Y272" i="2"/>
  <c r="Y23" i="2"/>
  <c r="BN70" i="2"/>
  <c r="BN96" i="2"/>
  <c r="BN107" i="2"/>
  <c r="BP149" i="2"/>
  <c r="BN183" i="2"/>
  <c r="BP246" i="2"/>
  <c r="BN256" i="2"/>
  <c r="BN266" i="2"/>
  <c r="A10" i="2"/>
  <c r="Y59" i="2"/>
  <c r="BP75" i="2"/>
  <c r="BP173" i="2"/>
  <c r="BP116" i="2"/>
  <c r="Y76" i="2"/>
  <c r="BN149" i="2"/>
  <c r="BN64" i="2"/>
  <c r="BP208" i="2"/>
  <c r="BN244" i="2"/>
  <c r="Y273" i="2" l="1"/>
  <c r="Y275" i="2"/>
  <c r="A286" i="2"/>
  <c r="Y277" i="2"/>
  <c r="Y274" i="2"/>
  <c r="Y276" i="2" s="1"/>
  <c r="B286" i="2" l="1"/>
  <c r="C286" i="2"/>
</calcChain>
</file>

<file path=xl/sharedStrings.xml><?xml version="1.0" encoding="utf-8"?>
<sst xmlns="http://schemas.openxmlformats.org/spreadsheetml/2006/main" count="1656" uniqueCount="394">
  <si>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</si>
  <si>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</si>
  <si>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</si>
  <si>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</si>
  <si>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</si>
  <si>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</si>
  <si>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</si>
  <si>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</si>
  <si>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</si>
  <si>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</si>
  <si>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</si>
  <si>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</si>
  <si>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</si>
  <si>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</si>
  <si>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</si>
  <si>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</si>
  <si>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</si>
  <si>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</si>
  <si>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</si>
  <si>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</si>
  <si>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</si>
  <si>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</si>
  <si>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</si>
  <si>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</si>
  <si>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</si>
  <si>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</si>
  <si>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</si>
  <si>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</si>
  <si>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</si>
  <si>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</si>
  <si>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</si>
  <si>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</si>
  <si>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</si>
  <si>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</si>
  <si>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</si>
  <si>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</si>
  <si>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</si>
  <si>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</si>
  <si>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</si>
  <si>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</si>
  <si>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</si>
  <si>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</si>
  <si>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</si>
  <si>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</si>
  <si>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</si>
  <si>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</si>
  <si>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</si>
  <si>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</si>
  <si>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</si>
  <si>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</si>
  <si>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</si>
  <si>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</si>
  <si>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</si>
  <si>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</si>
  <si>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</si>
  <si>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</si>
  <si>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</si>
  <si>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</si>
  <si>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</si>
  <si>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</si>
  <si>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</si>
  <si>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</si>
  <si>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</si>
  <si>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</si>
  <si>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</si>
  <si>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</si>
  <si>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</si>
  <si>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</si>
  <si>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</si>
  <si>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</si>
  <si>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</si>
  <si>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19.11.2025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</si>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</sst>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4" t="s">
        <v>26</v>
      </c>
      <c r="E1" s="444"/>
      <c r="F1" s="444"/>
      <c r="G1" s="14" t="s">
        <v>70</v>
      </c>
      <c r="H1" s="444" t="s">
        <v>47</v>
      </c>
      <c r="I1" s="444"/>
      <c r="J1" s="444"/>
      <c r="K1" s="444"/>
      <c r="L1" s="444"/>
      <c r="M1" s="444"/>
      <c r="N1" s="444"/>
      <c r="O1" s="444"/>
      <c r="P1" s="444"/>
      <c r="Q1" s="444"/>
      <c r="R1" s="445" t="s">
        <v>71</v>
      </c>
      <c r="S1" s="446"/>
      <c r="T1" s="4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47"/>
      <c r="R2" s="447"/>
      <c r="S2" s="447"/>
      <c r="T2" s="447"/>
      <c r="U2" s="447"/>
      <c r="V2" s="447"/>
      <c r="W2" s="4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47"/>
      <c r="Q3" s="447"/>
      <c r="R3" s="447"/>
      <c r="S3" s="447"/>
      <c r="T3" s="447"/>
      <c r="U3" s="447"/>
      <c r="V3" s="447"/>
      <c r="W3" s="4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6" t="s">
        <v>8</v>
      </c>
      <c r="B5" s="426"/>
      <c r="C5" s="426"/>
      <c r="D5" s="448"/>
      <c r="E5" s="448"/>
      <c r="F5" s="449" t="s">
        <v>14</v>
      </c>
      <c r="G5" s="449"/>
      <c r="H5" s="448"/>
      <c r="I5" s="448"/>
      <c r="J5" s="448"/>
      <c r="K5" s="448"/>
      <c r="L5" s="448"/>
      <c r="M5" s="448"/>
      <c r="N5" s="75"/>
      <c r="P5" s="27" t="s">
        <v>4</v>
      </c>
      <c r="Q5" s="450">
        <v>45985</v>
      </c>
      <c r="R5" s="450"/>
      <c r="T5" s="451" t="s">
        <v>3</v>
      </c>
      <c r="U5" s="452"/>
      <c r="V5" s="453" t="s">
        <v>380</v>
      </c>
      <c r="W5" s="454"/>
      <c r="AB5" s="59"/>
      <c r="AC5" s="59"/>
      <c r="AD5" s="59"/>
      <c r="AE5" s="59"/>
    </row>
    <row r="6" spans="1:32" s="17" customFormat="1" ht="24" customHeight="1" x14ac:dyDescent="0.2">
      <c r="A6" s="426" t="s">
        <v>1</v>
      </c>
      <c r="B6" s="426"/>
      <c r="C6" s="426"/>
      <c r="D6" s="427" t="s">
        <v>78</v>
      </c>
      <c r="E6" s="427"/>
      <c r="F6" s="427"/>
      <c r="G6" s="427"/>
      <c r="H6" s="427"/>
      <c r="I6" s="427"/>
      <c r="J6" s="427"/>
      <c r="K6" s="427"/>
      <c r="L6" s="427"/>
      <c r="M6" s="427"/>
      <c r="N6" s="76"/>
      <c r="P6" s="27" t="s">
        <v>27</v>
      </c>
      <c r="Q6" s="428" t="str">
        <f>IF(Q5=0," ",CHOOSE(WEEKDAY(Q5,2),"Понедельник","Вторник","Среда","Четверг","Пятница","Суббота","Воскресенье"))</f>
        <v>Понедельник</v>
      </c>
      <c r="R6" s="428"/>
      <c r="T6" s="429" t="s">
        <v>5</v>
      </c>
      <c r="U6" s="430"/>
      <c r="V6" s="431" t="s">
        <v>72</v>
      </c>
      <c r="W6" s="43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37" t="str">
        <f>IFERROR(VLOOKUP(DeliveryAddress,Table,3,0),1)</f>
        <v>1</v>
      </c>
      <c r="E7" s="438"/>
      <c r="F7" s="438"/>
      <c r="G7" s="438"/>
      <c r="H7" s="438"/>
      <c r="I7" s="438"/>
      <c r="J7" s="438"/>
      <c r="K7" s="438"/>
      <c r="L7" s="438"/>
      <c r="M7" s="439"/>
      <c r="N7" s="77"/>
      <c r="P7" s="29"/>
      <c r="Q7" s="48"/>
      <c r="R7" s="48"/>
      <c r="T7" s="429"/>
      <c r="U7" s="430"/>
      <c r="V7" s="433"/>
      <c r="W7" s="434"/>
      <c r="AB7" s="59"/>
      <c r="AC7" s="59"/>
      <c r="AD7" s="59"/>
      <c r="AE7" s="59"/>
    </row>
    <row r="8" spans="1:32" s="17" customFormat="1" ht="25.5" customHeight="1" x14ac:dyDescent="0.2">
      <c r="A8" s="440" t="s">
        <v>58</v>
      </c>
      <c r="B8" s="440"/>
      <c r="C8" s="440"/>
      <c r="D8" s="441" t="s">
        <v>79</v>
      </c>
      <c r="E8" s="441"/>
      <c r="F8" s="441"/>
      <c r="G8" s="441"/>
      <c r="H8" s="441"/>
      <c r="I8" s="441"/>
      <c r="J8" s="441"/>
      <c r="K8" s="441"/>
      <c r="L8" s="441"/>
      <c r="M8" s="441"/>
      <c r="N8" s="78"/>
      <c r="P8" s="27" t="s">
        <v>11</v>
      </c>
      <c r="Q8" s="424">
        <v>0.41666666666666669</v>
      </c>
      <c r="R8" s="424"/>
      <c r="T8" s="429"/>
      <c r="U8" s="430"/>
      <c r="V8" s="433"/>
      <c r="W8" s="434"/>
      <c r="AB8" s="59"/>
      <c r="AC8" s="59"/>
      <c r="AD8" s="59"/>
      <c r="AE8" s="59"/>
    </row>
    <row r="9" spans="1:32" s="17" customFormat="1" ht="39.950000000000003" customHeight="1" x14ac:dyDescent="0.2">
      <c r="A9" s="4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6"/>
      <c r="C9" s="416"/>
      <c r="D9" s="417" t="s">
        <v>46</v>
      </c>
      <c r="E9" s="418"/>
      <c r="F9" s="4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6"/>
      <c r="H9" s="442" t="str">
        <f>IF(AND($A$9="Тип доверенности/получателя при получении в адресе перегруза:",$D$9="Разовая доверенность"),"Введите ФИО","")</f>
        <v/>
      </c>
      <c r="I9" s="442"/>
      <c r="J9" s="4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2"/>
      <c r="L9" s="442"/>
      <c r="M9" s="442"/>
      <c r="N9" s="73"/>
      <c r="P9" s="31" t="s">
        <v>15</v>
      </c>
      <c r="Q9" s="443"/>
      <c r="R9" s="443"/>
      <c r="T9" s="429"/>
      <c r="U9" s="430"/>
      <c r="V9" s="435"/>
      <c r="W9" s="43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6"/>
      <c r="C10" s="416"/>
      <c r="D10" s="417"/>
      <c r="E10" s="418"/>
      <c r="F10" s="4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6"/>
      <c r="H10" s="419" t="str">
        <f>IFERROR(VLOOKUP($D$10,Proxy,2,FALSE),"")</f>
        <v/>
      </c>
      <c r="I10" s="419"/>
      <c r="J10" s="419"/>
      <c r="K10" s="419"/>
      <c r="L10" s="419"/>
      <c r="M10" s="419"/>
      <c r="N10" s="74"/>
      <c r="P10" s="31" t="s">
        <v>32</v>
      </c>
      <c r="Q10" s="420"/>
      <c r="R10" s="420"/>
      <c r="U10" s="29" t="s">
        <v>12</v>
      </c>
      <c r="V10" s="421" t="s">
        <v>73</v>
      </c>
      <c r="W10" s="42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3"/>
      <c r="R11" s="423"/>
      <c r="U11" s="29" t="s">
        <v>28</v>
      </c>
      <c r="V11" s="402" t="s">
        <v>55</v>
      </c>
      <c r="W11" s="40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1" t="s">
        <v>74</v>
      </c>
      <c r="B12" s="401"/>
      <c r="C12" s="401"/>
      <c r="D12" s="401"/>
      <c r="E12" s="401"/>
      <c r="F12" s="401"/>
      <c r="G12" s="401"/>
      <c r="H12" s="401"/>
      <c r="I12" s="401"/>
      <c r="J12" s="401"/>
      <c r="K12" s="401"/>
      <c r="L12" s="401"/>
      <c r="M12" s="401"/>
      <c r="N12" s="79"/>
      <c r="P12" s="27" t="s">
        <v>30</v>
      </c>
      <c r="Q12" s="424"/>
      <c r="R12" s="424"/>
      <c r="S12" s="28"/>
      <c r="T12"/>
      <c r="U12" s="29" t="s">
        <v>46</v>
      </c>
      <c r="V12" s="425"/>
      <c r="W12" s="425"/>
      <c r="X12"/>
      <c r="AB12" s="59"/>
      <c r="AC12" s="59"/>
      <c r="AD12" s="59"/>
      <c r="AE12" s="59"/>
    </row>
    <row r="13" spans="1:32" s="17" customFormat="1" ht="23.25" customHeight="1" x14ac:dyDescent="0.2">
      <c r="A13" s="401" t="s">
        <v>75</v>
      </c>
      <c r="B13" s="401"/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79"/>
      <c r="O13" s="31"/>
      <c r="P13" s="31" t="s">
        <v>31</v>
      </c>
      <c r="Q13" s="402"/>
      <c r="R13" s="40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1" t="s">
        <v>76</v>
      </c>
      <c r="B14" s="401"/>
      <c r="C14" s="401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3" t="s">
        <v>77</v>
      </c>
      <c r="B15" s="403"/>
      <c r="C15" s="403"/>
      <c r="D15" s="403"/>
      <c r="E15" s="403"/>
      <c r="F15" s="403"/>
      <c r="G15" s="403"/>
      <c r="H15" s="403"/>
      <c r="I15" s="403"/>
      <c r="J15" s="403"/>
      <c r="K15" s="403"/>
      <c r="L15" s="403"/>
      <c r="M15" s="403"/>
      <c r="N15" s="80"/>
      <c r="O15"/>
      <c r="P15" s="404" t="s">
        <v>61</v>
      </c>
      <c r="Q15" s="404"/>
      <c r="R15" s="404"/>
      <c r="S15" s="404"/>
      <c r="T15" s="4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5"/>
      <c r="Q16" s="405"/>
      <c r="R16" s="405"/>
      <c r="S16" s="405"/>
      <c r="T16" s="4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87" t="s">
        <v>59</v>
      </c>
      <c r="B17" s="387" t="s">
        <v>49</v>
      </c>
      <c r="C17" s="408" t="s">
        <v>48</v>
      </c>
      <c r="D17" s="410" t="s">
        <v>50</v>
      </c>
      <c r="E17" s="411"/>
      <c r="F17" s="387" t="s">
        <v>21</v>
      </c>
      <c r="G17" s="387" t="s">
        <v>24</v>
      </c>
      <c r="H17" s="387" t="s">
        <v>22</v>
      </c>
      <c r="I17" s="387" t="s">
        <v>23</v>
      </c>
      <c r="J17" s="387" t="s">
        <v>16</v>
      </c>
      <c r="K17" s="387" t="s">
        <v>69</v>
      </c>
      <c r="L17" s="387" t="s">
        <v>67</v>
      </c>
      <c r="M17" s="387" t="s">
        <v>2</v>
      </c>
      <c r="N17" s="387" t="s">
        <v>66</v>
      </c>
      <c r="O17" s="387" t="s">
        <v>25</v>
      </c>
      <c r="P17" s="410" t="s">
        <v>17</v>
      </c>
      <c r="Q17" s="414"/>
      <c r="R17" s="414"/>
      <c r="S17" s="414"/>
      <c r="T17" s="411"/>
      <c r="U17" s="406" t="s">
        <v>56</v>
      </c>
      <c r="V17" s="407"/>
      <c r="W17" s="387" t="s">
        <v>6</v>
      </c>
      <c r="X17" s="387" t="s">
        <v>41</v>
      </c>
      <c r="Y17" s="389" t="s">
        <v>54</v>
      </c>
      <c r="Z17" s="391" t="s">
        <v>18</v>
      </c>
      <c r="AA17" s="393" t="s">
        <v>60</v>
      </c>
      <c r="AB17" s="393" t="s">
        <v>19</v>
      </c>
      <c r="AC17" s="393" t="s">
        <v>68</v>
      </c>
      <c r="AD17" s="395" t="s">
        <v>57</v>
      </c>
      <c r="AE17" s="396"/>
      <c r="AF17" s="397"/>
      <c r="AG17" s="85"/>
      <c r="BD17" s="84" t="s">
        <v>64</v>
      </c>
    </row>
    <row r="18" spans="1:68" ht="14.25" customHeight="1" x14ac:dyDescent="0.2">
      <c r="A18" s="388"/>
      <c r="B18" s="388"/>
      <c r="C18" s="409"/>
      <c r="D18" s="412"/>
      <c r="E18" s="413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12"/>
      <c r="Q18" s="415"/>
      <c r="R18" s="415"/>
      <c r="S18" s="415"/>
      <c r="T18" s="413"/>
      <c r="U18" s="86" t="s">
        <v>44</v>
      </c>
      <c r="V18" s="86" t="s">
        <v>43</v>
      </c>
      <c r="W18" s="388"/>
      <c r="X18" s="388"/>
      <c r="Y18" s="390"/>
      <c r="Z18" s="392"/>
      <c r="AA18" s="394"/>
      <c r="AB18" s="394"/>
      <c r="AC18" s="394"/>
      <c r="AD18" s="398"/>
      <c r="AE18" s="399"/>
      <c r="AF18" s="400"/>
      <c r="AG18" s="85"/>
      <c r="BD18" s="84"/>
    </row>
    <row r="19" spans="1:68" ht="27.75" customHeight="1" x14ac:dyDescent="0.2">
      <c r="A19" s="307" t="s">
        <v>80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54"/>
      <c r="AB19" s="54"/>
      <c r="AC19" s="54"/>
    </row>
    <row r="20" spans="1:68" ht="16.5" customHeight="1" x14ac:dyDescent="0.25">
      <c r="A20" s="308" t="s">
        <v>80</v>
      </c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65"/>
      <c r="AB20" s="65"/>
      <c r="AC20" s="82"/>
    </row>
    <row r="21" spans="1:68" ht="14.25" customHeight="1" x14ac:dyDescent="0.25">
      <c r="A21" s="297" t="s">
        <v>81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279">
        <v>4607111035752</v>
      </c>
      <c r="E22" s="279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8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1"/>
      <c r="R22" s="281"/>
      <c r="S22" s="281"/>
      <c r="T22" s="282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7"/>
      <c r="P23" s="283" t="s">
        <v>40</v>
      </c>
      <c r="Q23" s="284"/>
      <c r="R23" s="284"/>
      <c r="S23" s="284"/>
      <c r="T23" s="284"/>
      <c r="U23" s="284"/>
      <c r="V23" s="285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7"/>
      <c r="P24" s="283" t="s">
        <v>40</v>
      </c>
      <c r="Q24" s="284"/>
      <c r="R24" s="284"/>
      <c r="S24" s="284"/>
      <c r="T24" s="284"/>
      <c r="U24" s="284"/>
      <c r="V24" s="285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07" t="s">
        <v>45</v>
      </c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54"/>
      <c r="AB25" s="54"/>
      <c r="AC25" s="54"/>
    </row>
    <row r="26" spans="1:68" ht="16.5" customHeight="1" x14ac:dyDescent="0.25">
      <c r="A26" s="308" t="s">
        <v>89</v>
      </c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65"/>
      <c r="AB26" s="65"/>
      <c r="AC26" s="82"/>
    </row>
    <row r="27" spans="1:68" ht="14.25" customHeight="1" x14ac:dyDescent="0.25">
      <c r="A27" s="297" t="s">
        <v>90</v>
      </c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  <c r="Z27" s="297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279">
        <v>4607111036537</v>
      </c>
      <c r="E28" s="279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1"/>
      <c r="R28" s="281"/>
      <c r="S28" s="281"/>
      <c r="T28" s="282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279">
        <v>4607111036605</v>
      </c>
      <c r="E29" s="279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1"/>
      <c r="R29" s="281"/>
      <c r="S29" s="281"/>
      <c r="T29" s="282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7"/>
      <c r="P30" s="283" t="s">
        <v>40</v>
      </c>
      <c r="Q30" s="284"/>
      <c r="R30" s="284"/>
      <c r="S30" s="284"/>
      <c r="T30" s="284"/>
      <c r="U30" s="284"/>
      <c r="V30" s="285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7"/>
      <c r="P31" s="283" t="s">
        <v>40</v>
      </c>
      <c r="Q31" s="284"/>
      <c r="R31" s="284"/>
      <c r="S31" s="284"/>
      <c r="T31" s="284"/>
      <c r="U31" s="284"/>
      <c r="V31" s="285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08" t="s">
        <v>100</v>
      </c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65"/>
      <c r="AB32" s="65"/>
      <c r="AC32" s="82"/>
    </row>
    <row r="33" spans="1:68" ht="14.25" customHeight="1" x14ac:dyDescent="0.25">
      <c r="A33" s="297" t="s">
        <v>81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279">
        <v>4620207490075</v>
      </c>
      <c r="E34" s="279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1"/>
      <c r="R34" s="281"/>
      <c r="S34" s="281"/>
      <c r="T34" s="28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279">
        <v>4620207490174</v>
      </c>
      <c r="E35" s="279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1"/>
      <c r="R35" s="281"/>
      <c r="S35" s="281"/>
      <c r="T35" s="28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279">
        <v>4620207490044</v>
      </c>
      <c r="E36" s="279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1"/>
      <c r="R36" s="281"/>
      <c r="S36" s="281"/>
      <c r="T36" s="282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7"/>
      <c r="P37" s="283" t="s">
        <v>40</v>
      </c>
      <c r="Q37" s="284"/>
      <c r="R37" s="284"/>
      <c r="S37" s="284"/>
      <c r="T37" s="284"/>
      <c r="U37" s="284"/>
      <c r="V37" s="285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7"/>
      <c r="P38" s="283" t="s">
        <v>40</v>
      </c>
      <c r="Q38" s="284"/>
      <c r="R38" s="284"/>
      <c r="S38" s="284"/>
      <c r="T38" s="284"/>
      <c r="U38" s="284"/>
      <c r="V38" s="285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08" t="s">
        <v>110</v>
      </c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  <c r="AA39" s="65"/>
      <c r="AB39" s="65"/>
      <c r="AC39" s="82"/>
    </row>
    <row r="40" spans="1:68" ht="14.25" customHeight="1" x14ac:dyDescent="0.25">
      <c r="A40" s="297" t="s">
        <v>81</v>
      </c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279">
        <v>4607111039385</v>
      </c>
      <c r="E41" s="279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1"/>
      <c r="R41" s="281"/>
      <c r="S41" s="281"/>
      <c r="T41" s="28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279">
        <v>4607111038982</v>
      </c>
      <c r="E42" s="279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1"/>
      <c r="R42" s="281"/>
      <c r="S42" s="281"/>
      <c r="T42" s="282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279">
        <v>4607111039354</v>
      </c>
      <c r="E43" s="279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96</v>
      </c>
      <c r="M43" s="38" t="s">
        <v>85</v>
      </c>
      <c r="N43" s="38"/>
      <c r="O43" s="37">
        <v>180</v>
      </c>
      <c r="P43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1"/>
      <c r="R43" s="281"/>
      <c r="S43" s="281"/>
      <c r="T43" s="282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97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279">
        <v>4607111039330</v>
      </c>
      <c r="E44" s="279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1"/>
      <c r="R44" s="281"/>
      <c r="S44" s="281"/>
      <c r="T44" s="282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7"/>
      <c r="P45" s="283" t="s">
        <v>40</v>
      </c>
      <c r="Q45" s="284"/>
      <c r="R45" s="284"/>
      <c r="S45" s="284"/>
      <c r="T45" s="284"/>
      <c r="U45" s="284"/>
      <c r="V45" s="285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7"/>
      <c r="P46" s="283" t="s">
        <v>40</v>
      </c>
      <c r="Q46" s="284"/>
      <c r="R46" s="284"/>
      <c r="S46" s="284"/>
      <c r="T46" s="284"/>
      <c r="U46" s="284"/>
      <c r="V46" s="285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08" t="s">
        <v>121</v>
      </c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65"/>
      <c r="AB47" s="65"/>
      <c r="AC47" s="82"/>
    </row>
    <row r="48" spans="1:68" ht="14.25" customHeight="1" x14ac:dyDescent="0.25">
      <c r="A48" s="297" t="s">
        <v>81</v>
      </c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279">
        <v>4620207490822</v>
      </c>
      <c r="E49" s="279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1"/>
      <c r="R49" s="281"/>
      <c r="S49" s="281"/>
      <c r="T49" s="282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7"/>
      <c r="P50" s="283" t="s">
        <v>40</v>
      </c>
      <c r="Q50" s="284"/>
      <c r="R50" s="284"/>
      <c r="S50" s="284"/>
      <c r="T50" s="284"/>
      <c r="U50" s="284"/>
      <c r="V50" s="285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286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7"/>
      <c r="P51" s="283" t="s">
        <v>40</v>
      </c>
      <c r="Q51" s="284"/>
      <c r="R51" s="284"/>
      <c r="S51" s="284"/>
      <c r="T51" s="284"/>
      <c r="U51" s="284"/>
      <c r="V51" s="285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297" t="s">
        <v>90</v>
      </c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279">
        <v>4607111039712</v>
      </c>
      <c r="E53" s="279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87</v>
      </c>
      <c r="M53" s="38" t="s">
        <v>85</v>
      </c>
      <c r="N53" s="38"/>
      <c r="O53" s="37">
        <v>365</v>
      </c>
      <c r="P53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1"/>
      <c r="R53" s="281"/>
      <c r="S53" s="281"/>
      <c r="T53" s="28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88</v>
      </c>
      <c r="AK53" s="87">
        <v>1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7"/>
      <c r="P54" s="283" t="s">
        <v>40</v>
      </c>
      <c r="Q54" s="284"/>
      <c r="R54" s="284"/>
      <c r="S54" s="284"/>
      <c r="T54" s="284"/>
      <c r="U54" s="284"/>
      <c r="V54" s="285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7"/>
      <c r="P55" s="283" t="s">
        <v>40</v>
      </c>
      <c r="Q55" s="284"/>
      <c r="R55" s="284"/>
      <c r="S55" s="284"/>
      <c r="T55" s="284"/>
      <c r="U55" s="284"/>
      <c r="V55" s="285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297" t="s">
        <v>128</v>
      </c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279">
        <v>4607111037008</v>
      </c>
      <c r="E57" s="279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1"/>
      <c r="R57" s="281"/>
      <c r="S57" s="281"/>
      <c r="T57" s="282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279">
        <v>4607111037398</v>
      </c>
      <c r="E58" s="279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1"/>
      <c r="R58" s="281"/>
      <c r="S58" s="281"/>
      <c r="T58" s="282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7"/>
      <c r="P59" s="283" t="s">
        <v>40</v>
      </c>
      <c r="Q59" s="284"/>
      <c r="R59" s="284"/>
      <c r="S59" s="284"/>
      <c r="T59" s="284"/>
      <c r="U59" s="284"/>
      <c r="V59" s="285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7"/>
      <c r="P60" s="283" t="s">
        <v>40</v>
      </c>
      <c r="Q60" s="284"/>
      <c r="R60" s="284"/>
      <c r="S60" s="284"/>
      <c r="T60" s="284"/>
      <c r="U60" s="284"/>
      <c r="V60" s="285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297" t="s">
        <v>134</v>
      </c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279">
        <v>4607111039705</v>
      </c>
      <c r="E62" s="279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87</v>
      </c>
      <c r="M62" s="38" t="s">
        <v>85</v>
      </c>
      <c r="N62" s="38"/>
      <c r="O62" s="37">
        <v>365</v>
      </c>
      <c r="P62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1"/>
      <c r="R62" s="281"/>
      <c r="S62" s="281"/>
      <c r="T62" s="282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88</v>
      </c>
      <c r="AK62" s="87">
        <v>1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137</v>
      </c>
      <c r="B63" s="63" t="s">
        <v>138</v>
      </c>
      <c r="C63" s="36">
        <v>4301135665</v>
      </c>
      <c r="D63" s="279">
        <v>4607111039729</v>
      </c>
      <c r="E63" s="279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87</v>
      </c>
      <c r="M63" s="38" t="s">
        <v>85</v>
      </c>
      <c r="N63" s="38"/>
      <c r="O63" s="37">
        <v>365</v>
      </c>
      <c r="P63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1"/>
      <c r="R63" s="281"/>
      <c r="S63" s="281"/>
      <c r="T63" s="282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139</v>
      </c>
      <c r="AG63" s="81"/>
      <c r="AJ63" s="87" t="s">
        <v>88</v>
      </c>
      <c r="AK63" s="87">
        <v>1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140</v>
      </c>
      <c r="B64" s="63" t="s">
        <v>141</v>
      </c>
      <c r="C64" s="36">
        <v>4301135702</v>
      </c>
      <c r="D64" s="279">
        <v>4620207490228</v>
      </c>
      <c r="E64" s="279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87</v>
      </c>
      <c r="M64" s="38" t="s">
        <v>85</v>
      </c>
      <c r="N64" s="38"/>
      <c r="O64" s="37">
        <v>365</v>
      </c>
      <c r="P64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1"/>
      <c r="R64" s="281"/>
      <c r="S64" s="281"/>
      <c r="T64" s="282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139</v>
      </c>
      <c r="AG64" s="81"/>
      <c r="AJ64" s="87" t="s">
        <v>88</v>
      </c>
      <c r="AK64" s="87">
        <v>1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283" t="s">
        <v>40</v>
      </c>
      <c r="Q65" s="284"/>
      <c r="R65" s="284"/>
      <c r="S65" s="284"/>
      <c r="T65" s="284"/>
      <c r="U65" s="284"/>
      <c r="V65" s="285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7"/>
      <c r="P66" s="283" t="s">
        <v>40</v>
      </c>
      <c r="Q66" s="284"/>
      <c r="R66" s="284"/>
      <c r="S66" s="284"/>
      <c r="T66" s="284"/>
      <c r="U66" s="284"/>
      <c r="V66" s="285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08" t="s">
        <v>142</v>
      </c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65"/>
      <c r="AB67" s="65"/>
      <c r="AC67" s="82"/>
    </row>
    <row r="68" spans="1:68" ht="14.25" customHeight="1" x14ac:dyDescent="0.25">
      <c r="A68" s="297" t="s">
        <v>81</v>
      </c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66"/>
      <c r="AB68" s="66"/>
      <c r="AC68" s="83"/>
    </row>
    <row r="69" spans="1:68" ht="27" customHeight="1" x14ac:dyDescent="0.25">
      <c r="A69" s="63" t="s">
        <v>143</v>
      </c>
      <c r="B69" s="63" t="s">
        <v>144</v>
      </c>
      <c r="C69" s="36">
        <v>4301070977</v>
      </c>
      <c r="D69" s="279">
        <v>4607111037411</v>
      </c>
      <c r="E69" s="279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146</v>
      </c>
      <c r="L69" s="37" t="s">
        <v>96</v>
      </c>
      <c r="M69" s="38" t="s">
        <v>85</v>
      </c>
      <c r="N69" s="38"/>
      <c r="O69" s="37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1"/>
      <c r="R69" s="281"/>
      <c r="S69" s="281"/>
      <c r="T69" s="28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145</v>
      </c>
      <c r="AG69" s="81"/>
      <c r="AJ69" s="87" t="s">
        <v>97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147</v>
      </c>
      <c r="B70" s="63" t="s">
        <v>148</v>
      </c>
      <c r="C70" s="36">
        <v>4301070981</v>
      </c>
      <c r="D70" s="279">
        <v>4607111036728</v>
      </c>
      <c r="E70" s="279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1"/>
      <c r="R70" s="281"/>
      <c r="S70" s="281"/>
      <c r="T70" s="28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145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7"/>
      <c r="P71" s="283" t="s">
        <v>40</v>
      </c>
      <c r="Q71" s="284"/>
      <c r="R71" s="284"/>
      <c r="S71" s="284"/>
      <c r="T71" s="284"/>
      <c r="U71" s="284"/>
      <c r="V71" s="285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7"/>
      <c r="P72" s="283" t="s">
        <v>40</v>
      </c>
      <c r="Q72" s="284"/>
      <c r="R72" s="284"/>
      <c r="S72" s="284"/>
      <c r="T72" s="284"/>
      <c r="U72" s="284"/>
      <c r="V72" s="285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08" t="s">
        <v>149</v>
      </c>
      <c r="B73" s="308"/>
      <c r="C73" s="308"/>
      <c r="D73" s="308"/>
      <c r="E73" s="308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  <c r="AA73" s="65"/>
      <c r="AB73" s="65"/>
      <c r="AC73" s="82"/>
    </row>
    <row r="74" spans="1:68" ht="14.25" customHeight="1" x14ac:dyDescent="0.25">
      <c r="A74" s="297" t="s">
        <v>134</v>
      </c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66"/>
      <c r="AB74" s="66"/>
      <c r="AC74" s="83"/>
    </row>
    <row r="75" spans="1:68" ht="27" customHeight="1" x14ac:dyDescent="0.25">
      <c r="A75" s="63" t="s">
        <v>150</v>
      </c>
      <c r="B75" s="63" t="s">
        <v>151</v>
      </c>
      <c r="C75" s="36">
        <v>4301135574</v>
      </c>
      <c r="D75" s="279">
        <v>4607111033659</v>
      </c>
      <c r="E75" s="279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1"/>
      <c r="R75" s="281"/>
      <c r="S75" s="281"/>
      <c r="T75" s="28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152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7"/>
      <c r="P76" s="283" t="s">
        <v>40</v>
      </c>
      <c r="Q76" s="284"/>
      <c r="R76" s="284"/>
      <c r="S76" s="284"/>
      <c r="T76" s="284"/>
      <c r="U76" s="284"/>
      <c r="V76" s="285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7"/>
      <c r="P77" s="283" t="s">
        <v>40</v>
      </c>
      <c r="Q77" s="284"/>
      <c r="R77" s="284"/>
      <c r="S77" s="284"/>
      <c r="T77" s="284"/>
      <c r="U77" s="284"/>
      <c r="V77" s="285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08" t="s">
        <v>153</v>
      </c>
      <c r="B78" s="308"/>
      <c r="C78" s="308"/>
      <c r="D78" s="308"/>
      <c r="E78" s="308"/>
      <c r="F78" s="308"/>
      <c r="G78" s="308"/>
      <c r="H78" s="308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  <c r="AA78" s="65"/>
      <c r="AB78" s="65"/>
      <c r="AC78" s="82"/>
    </row>
    <row r="79" spans="1:68" ht="14.25" customHeight="1" x14ac:dyDescent="0.25">
      <c r="A79" s="297" t="s">
        <v>154</v>
      </c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66"/>
      <c r="AB79" s="66"/>
      <c r="AC79" s="83"/>
    </row>
    <row r="80" spans="1:68" ht="27" customHeight="1" x14ac:dyDescent="0.25">
      <c r="A80" s="63" t="s">
        <v>155</v>
      </c>
      <c r="B80" s="63" t="s">
        <v>156</v>
      </c>
      <c r="C80" s="36">
        <v>4301131047</v>
      </c>
      <c r="D80" s="279">
        <v>4607111034120</v>
      </c>
      <c r="E80" s="279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1"/>
      <c r="R80" s="281"/>
      <c r="S80" s="281"/>
      <c r="T80" s="28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157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158</v>
      </c>
      <c r="B81" s="63" t="s">
        <v>159</v>
      </c>
      <c r="C81" s="36">
        <v>4301131046</v>
      </c>
      <c r="D81" s="279">
        <v>4607111034137</v>
      </c>
      <c r="E81" s="279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1"/>
      <c r="R81" s="281"/>
      <c r="S81" s="281"/>
      <c r="T81" s="282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160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7"/>
      <c r="P82" s="283" t="s">
        <v>40</v>
      </c>
      <c r="Q82" s="284"/>
      <c r="R82" s="284"/>
      <c r="S82" s="284"/>
      <c r="T82" s="284"/>
      <c r="U82" s="284"/>
      <c r="V82" s="28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7"/>
      <c r="P83" s="283" t="s">
        <v>40</v>
      </c>
      <c r="Q83" s="284"/>
      <c r="R83" s="284"/>
      <c r="S83" s="284"/>
      <c r="T83" s="284"/>
      <c r="U83" s="284"/>
      <c r="V83" s="28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08" t="s">
        <v>161</v>
      </c>
      <c r="B84" s="308"/>
      <c r="C84" s="308"/>
      <c r="D84" s="308"/>
      <c r="E84" s="308"/>
      <c r="F84" s="308"/>
      <c r="G84" s="308"/>
      <c r="H84" s="308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  <c r="AA84" s="65"/>
      <c r="AB84" s="65"/>
      <c r="AC84" s="82"/>
    </row>
    <row r="85" spans="1:68" ht="14.25" customHeight="1" x14ac:dyDescent="0.25">
      <c r="A85" s="297" t="s">
        <v>134</v>
      </c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66"/>
      <c r="AB85" s="66"/>
      <c r="AC85" s="83"/>
    </row>
    <row r="86" spans="1:68" ht="27" customHeight="1" x14ac:dyDescent="0.25">
      <c r="A86" s="63" t="s">
        <v>162</v>
      </c>
      <c r="B86" s="63" t="s">
        <v>163</v>
      </c>
      <c r="C86" s="36">
        <v>4301135763</v>
      </c>
      <c r="D86" s="279">
        <v>4620207491027</v>
      </c>
      <c r="E86" s="279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1"/>
      <c r="R86" s="281"/>
      <c r="S86" s="281"/>
      <c r="T86" s="282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152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164</v>
      </c>
      <c r="B87" s="63" t="s">
        <v>165</v>
      </c>
      <c r="C87" s="36">
        <v>4301135793</v>
      </c>
      <c r="D87" s="279">
        <v>4620207491003</v>
      </c>
      <c r="E87" s="279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1"/>
      <c r="R87" s="281"/>
      <c r="S87" s="281"/>
      <c r="T87" s="282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152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166</v>
      </c>
      <c r="B88" s="63" t="s">
        <v>167</v>
      </c>
      <c r="C88" s="36">
        <v>4301135768</v>
      </c>
      <c r="D88" s="279">
        <v>4620207491034</v>
      </c>
      <c r="E88" s="279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5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1"/>
      <c r="R88" s="281"/>
      <c r="S88" s="281"/>
      <c r="T88" s="282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168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169</v>
      </c>
      <c r="B89" s="63" t="s">
        <v>170</v>
      </c>
      <c r="C89" s="36">
        <v>4301135760</v>
      </c>
      <c r="D89" s="279">
        <v>4620207491010</v>
      </c>
      <c r="E89" s="279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6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1"/>
      <c r="R89" s="281"/>
      <c r="S89" s="281"/>
      <c r="T89" s="282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152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171</v>
      </c>
      <c r="B90" s="63" t="s">
        <v>172</v>
      </c>
      <c r="C90" s="36">
        <v>4301135571</v>
      </c>
      <c r="D90" s="279">
        <v>4607111035028</v>
      </c>
      <c r="E90" s="279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6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1"/>
      <c r="R90" s="281"/>
      <c r="S90" s="281"/>
      <c r="T90" s="282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152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173</v>
      </c>
      <c r="B91" s="63" t="s">
        <v>174</v>
      </c>
      <c r="C91" s="36">
        <v>4301135285</v>
      </c>
      <c r="D91" s="279">
        <v>4607111036407</v>
      </c>
      <c r="E91" s="279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96</v>
      </c>
      <c r="M91" s="38" t="s">
        <v>85</v>
      </c>
      <c r="N91" s="38"/>
      <c r="O91" s="37">
        <v>180</v>
      </c>
      <c r="P91" s="36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1"/>
      <c r="R91" s="281"/>
      <c r="S91" s="281"/>
      <c r="T91" s="282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97</v>
      </c>
      <c r="AK91" s="87">
        <v>14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286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7"/>
      <c r="P92" s="283" t="s">
        <v>40</v>
      </c>
      <c r="Q92" s="284"/>
      <c r="R92" s="284"/>
      <c r="S92" s="284"/>
      <c r="T92" s="284"/>
      <c r="U92" s="284"/>
      <c r="V92" s="285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7"/>
      <c r="P93" s="283" t="s">
        <v>40</v>
      </c>
      <c r="Q93" s="284"/>
      <c r="R93" s="284"/>
      <c r="S93" s="284"/>
      <c r="T93" s="284"/>
      <c r="U93" s="284"/>
      <c r="V93" s="285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08" t="s">
        <v>176</v>
      </c>
      <c r="B94" s="308"/>
      <c r="C94" s="308"/>
      <c r="D94" s="308"/>
      <c r="E94" s="308"/>
      <c r="F94" s="308"/>
      <c r="G94" s="308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  <c r="AA94" s="65"/>
      <c r="AB94" s="65"/>
      <c r="AC94" s="82"/>
    </row>
    <row r="95" spans="1:68" ht="14.25" customHeight="1" x14ac:dyDescent="0.25">
      <c r="A95" s="297" t="s">
        <v>128</v>
      </c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66"/>
      <c r="AB95" s="66"/>
      <c r="AC95" s="83"/>
    </row>
    <row r="96" spans="1:68" ht="27" customHeight="1" x14ac:dyDescent="0.25">
      <c r="A96" s="63" t="s">
        <v>177</v>
      </c>
      <c r="B96" s="63" t="s">
        <v>178</v>
      </c>
      <c r="C96" s="36">
        <v>4301136070</v>
      </c>
      <c r="D96" s="279">
        <v>4607025784012</v>
      </c>
      <c r="E96" s="279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1"/>
      <c r="R96" s="281"/>
      <c r="S96" s="281"/>
      <c r="T96" s="282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179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180</v>
      </c>
      <c r="B97" s="63" t="s">
        <v>181</v>
      </c>
      <c r="C97" s="36">
        <v>4301136079</v>
      </c>
      <c r="D97" s="279">
        <v>4607025784319</v>
      </c>
      <c r="E97" s="279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5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1"/>
      <c r="R97" s="281"/>
      <c r="S97" s="281"/>
      <c r="T97" s="282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152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7"/>
      <c r="P98" s="283" t="s">
        <v>40</v>
      </c>
      <c r="Q98" s="284"/>
      <c r="R98" s="284"/>
      <c r="S98" s="284"/>
      <c r="T98" s="284"/>
      <c r="U98" s="284"/>
      <c r="V98" s="285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7"/>
      <c r="P99" s="283" t="s">
        <v>40</v>
      </c>
      <c r="Q99" s="284"/>
      <c r="R99" s="284"/>
      <c r="S99" s="284"/>
      <c r="T99" s="284"/>
      <c r="U99" s="284"/>
      <c r="V99" s="285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08" t="s">
        <v>182</v>
      </c>
      <c r="B100" s="308"/>
      <c r="C100" s="308"/>
      <c r="D100" s="308"/>
      <c r="E100" s="308"/>
      <c r="F100" s="308"/>
      <c r="G100" s="308"/>
      <c r="H100" s="308"/>
      <c r="I100" s="308"/>
      <c r="J100" s="308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  <c r="AA100" s="65"/>
      <c r="AB100" s="65"/>
      <c r="AC100" s="82"/>
    </row>
    <row r="101" spans="1:68" ht="14.25" customHeight="1" x14ac:dyDescent="0.25">
      <c r="A101" s="297" t="s">
        <v>81</v>
      </c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66"/>
      <c r="AB101" s="66"/>
      <c r="AC101" s="83"/>
    </row>
    <row r="102" spans="1:68" ht="27" customHeight="1" x14ac:dyDescent="0.25">
      <c r="A102" s="63" t="s">
        <v>183</v>
      </c>
      <c r="B102" s="63" t="s">
        <v>184</v>
      </c>
      <c r="C102" s="36">
        <v>4301071074</v>
      </c>
      <c r="D102" s="279">
        <v>4620207491157</v>
      </c>
      <c r="E102" s="279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5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1"/>
      <c r="R102" s="281"/>
      <c r="S102" s="281"/>
      <c r="T102" s="28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185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186</v>
      </c>
      <c r="B103" s="63" t="s">
        <v>187</v>
      </c>
      <c r="C103" s="36">
        <v>4301071051</v>
      </c>
      <c r="D103" s="279">
        <v>4607111039262</v>
      </c>
      <c r="E103" s="279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5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1"/>
      <c r="R103" s="281"/>
      <c r="S103" s="281"/>
      <c r="T103" s="282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145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188</v>
      </c>
      <c r="B104" s="63" t="s">
        <v>189</v>
      </c>
      <c r="C104" s="36">
        <v>4301071038</v>
      </c>
      <c r="D104" s="279">
        <v>4607111039248</v>
      </c>
      <c r="E104" s="279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1"/>
      <c r="R104" s="281"/>
      <c r="S104" s="281"/>
      <c r="T104" s="282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145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190</v>
      </c>
      <c r="B105" s="63" t="s">
        <v>191</v>
      </c>
      <c r="C105" s="36">
        <v>4301070979</v>
      </c>
      <c r="D105" s="279">
        <v>4607111037145</v>
      </c>
      <c r="E105" s="279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1"/>
      <c r="R105" s="281"/>
      <c r="S105" s="281"/>
      <c r="T105" s="282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192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193</v>
      </c>
      <c r="B106" s="63" t="s">
        <v>194</v>
      </c>
      <c r="C106" s="36">
        <v>4301071049</v>
      </c>
      <c r="D106" s="279">
        <v>4607111039293</v>
      </c>
      <c r="E106" s="279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1"/>
      <c r="R106" s="281"/>
      <c r="S106" s="281"/>
      <c r="T106" s="282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145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195</v>
      </c>
      <c r="B107" s="63" t="s">
        <v>196</v>
      </c>
      <c r="C107" s="36">
        <v>4301071039</v>
      </c>
      <c r="D107" s="279">
        <v>4607111039279</v>
      </c>
      <c r="E107" s="279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1"/>
      <c r="R107" s="281"/>
      <c r="S107" s="281"/>
      <c r="T107" s="282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145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4301070978</v>
      </c>
      <c r="D108" s="279">
        <v>4607111037435</v>
      </c>
      <c r="E108" s="279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5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1"/>
      <c r="R108" s="281"/>
      <c r="S108" s="281"/>
      <c r="T108" s="282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7"/>
      <c r="P109" s="283" t="s">
        <v>40</v>
      </c>
      <c r="Q109" s="284"/>
      <c r="R109" s="284"/>
      <c r="S109" s="284"/>
      <c r="T109" s="284"/>
      <c r="U109" s="284"/>
      <c r="V109" s="285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7"/>
      <c r="P110" s="283" t="s">
        <v>40</v>
      </c>
      <c r="Q110" s="284"/>
      <c r="R110" s="284"/>
      <c r="S110" s="284"/>
      <c r="T110" s="284"/>
      <c r="U110" s="284"/>
      <c r="V110" s="285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297" t="s">
        <v>134</v>
      </c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66"/>
      <c r="AB111" s="66"/>
      <c r="AC111" s="83"/>
    </row>
    <row r="112" spans="1:68" ht="27" customHeight="1" x14ac:dyDescent="0.25">
      <c r="A112" s="63" t="s">
        <v>200</v>
      </c>
      <c r="B112" s="63" t="s">
        <v>201</v>
      </c>
      <c r="C112" s="36">
        <v>4301135826</v>
      </c>
      <c r="D112" s="279">
        <v>4620207490983</v>
      </c>
      <c r="E112" s="279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87</v>
      </c>
      <c r="M112" s="38" t="s">
        <v>85</v>
      </c>
      <c r="N112" s="38"/>
      <c r="O112" s="37">
        <v>180</v>
      </c>
      <c r="P112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1"/>
      <c r="R112" s="281"/>
      <c r="S112" s="281"/>
      <c r="T112" s="282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202</v>
      </c>
      <c r="AG112" s="81"/>
      <c r="AJ112" s="87" t="s">
        <v>88</v>
      </c>
      <c r="AK112" s="87">
        <v>1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x14ac:dyDescent="0.2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7"/>
      <c r="P113" s="283" t="s">
        <v>40</v>
      </c>
      <c r="Q113" s="284"/>
      <c r="R113" s="284"/>
      <c r="S113" s="284"/>
      <c r="T113" s="284"/>
      <c r="U113" s="284"/>
      <c r="V113" s="285"/>
      <c r="W113" s="42" t="s">
        <v>39</v>
      </c>
      <c r="X113" s="43">
        <f>IFERROR(SUM(X112:X112),"0")</f>
        <v>0</v>
      </c>
      <c r="Y113" s="43">
        <f>IFERROR(SUM(Y112:Y112),"0")</f>
        <v>0</v>
      </c>
      <c r="Z113" s="43">
        <f>IFERROR(IF(Z112="",0,Z112),"0")</f>
        <v>0</v>
      </c>
      <c r="AA113" s="67"/>
      <c r="AB113" s="67"/>
      <c r="AC113" s="67"/>
    </row>
    <row r="114" spans="1:68" x14ac:dyDescent="0.2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7"/>
      <c r="P114" s="283" t="s">
        <v>40</v>
      </c>
      <c r="Q114" s="284"/>
      <c r="R114" s="284"/>
      <c r="S114" s="284"/>
      <c r="T114" s="284"/>
      <c r="U114" s="284"/>
      <c r="V114" s="285"/>
      <c r="W114" s="42" t="s">
        <v>0</v>
      </c>
      <c r="X114" s="43">
        <f>IFERROR(SUMPRODUCT(X112:X112*H112:H112),"0")</f>
        <v>0</v>
      </c>
      <c r="Y114" s="43">
        <f>IFERROR(SUMPRODUCT(Y112:Y112*H112:H112),"0")</f>
        <v>0</v>
      </c>
      <c r="Z114" s="42"/>
      <c r="AA114" s="67"/>
      <c r="AB114" s="67"/>
      <c r="AC114" s="67"/>
    </row>
    <row r="115" spans="1:68" ht="14.25" customHeight="1" x14ac:dyDescent="0.25">
      <c r="A115" s="297" t="s">
        <v>203</v>
      </c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66"/>
      <c r="AB115" s="66"/>
      <c r="AC115" s="83"/>
    </row>
    <row r="116" spans="1:68" ht="27" customHeight="1" x14ac:dyDescent="0.25">
      <c r="A116" s="63" t="s">
        <v>204</v>
      </c>
      <c r="B116" s="63" t="s">
        <v>205</v>
      </c>
      <c r="C116" s="36">
        <v>4301071094</v>
      </c>
      <c r="D116" s="279">
        <v>4620207491140</v>
      </c>
      <c r="E116" s="279"/>
      <c r="F116" s="62">
        <v>0.6</v>
      </c>
      <c r="G116" s="37">
        <v>10</v>
      </c>
      <c r="H116" s="62">
        <v>6</v>
      </c>
      <c r="I116" s="62">
        <v>6.28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1"/>
      <c r="R116" s="281"/>
      <c r="S116" s="281"/>
      <c r="T116" s="282"/>
      <c r="U116" s="39" t="s">
        <v>46</v>
      </c>
      <c r="V116" s="39" t="s">
        <v>46</v>
      </c>
      <c r="W116" s="40" t="s">
        <v>39</v>
      </c>
      <c r="X116" s="58">
        <v>0</v>
      </c>
      <c r="Y116" s="55">
        <f>IFERROR(IF(X116="","",X116),"")</f>
        <v>0</v>
      </c>
      <c r="Z116" s="41">
        <f>IFERROR(IF(X116="","",X116*0.0155),"")</f>
        <v>0</v>
      </c>
      <c r="AA116" s="68" t="s">
        <v>46</v>
      </c>
      <c r="AB116" s="69" t="s">
        <v>46</v>
      </c>
      <c r="AC116" s="165" t="s">
        <v>206</v>
      </c>
      <c r="AG116" s="81"/>
      <c r="AJ116" s="87" t="s">
        <v>88</v>
      </c>
      <c r="AK116" s="87">
        <v>1</v>
      </c>
      <c r="BB116" s="166" t="s">
        <v>94</v>
      </c>
      <c r="BM116" s="81">
        <f>IFERROR(X116*I116,"0")</f>
        <v>0</v>
      </c>
      <c r="BN116" s="81">
        <f>IFERROR(Y116*I116,"0")</f>
        <v>0</v>
      </c>
      <c r="BO116" s="81">
        <f>IFERROR(X116/J116,"0")</f>
        <v>0</v>
      </c>
      <c r="BP116" s="81">
        <f>IFERROR(Y116/J116,"0")</f>
        <v>0</v>
      </c>
    </row>
    <row r="117" spans="1:68" x14ac:dyDescent="0.2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7"/>
      <c r="P117" s="283" t="s">
        <v>40</v>
      </c>
      <c r="Q117" s="284"/>
      <c r="R117" s="284"/>
      <c r="S117" s="284"/>
      <c r="T117" s="284"/>
      <c r="U117" s="284"/>
      <c r="V117" s="285"/>
      <c r="W117" s="42" t="s">
        <v>39</v>
      </c>
      <c r="X117" s="43">
        <f>IFERROR(SUM(X116:X116),"0")</f>
        <v>0</v>
      </c>
      <c r="Y117" s="43">
        <f>IFERROR(SUM(Y116:Y116),"0")</f>
        <v>0</v>
      </c>
      <c r="Z117" s="43">
        <f>IFERROR(IF(Z116="",0,Z116),"0")</f>
        <v>0</v>
      </c>
      <c r="AA117" s="67"/>
      <c r="AB117" s="67"/>
      <c r="AC117" s="67"/>
    </row>
    <row r="118" spans="1:68" x14ac:dyDescent="0.2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7"/>
      <c r="P118" s="283" t="s">
        <v>40</v>
      </c>
      <c r="Q118" s="284"/>
      <c r="R118" s="284"/>
      <c r="S118" s="284"/>
      <c r="T118" s="284"/>
      <c r="U118" s="284"/>
      <c r="V118" s="285"/>
      <c r="W118" s="42" t="s">
        <v>0</v>
      </c>
      <c r="X118" s="43">
        <f>IFERROR(SUMPRODUCT(X116:X116*H116:H116),"0")</f>
        <v>0</v>
      </c>
      <c r="Y118" s="43">
        <f>IFERROR(SUMPRODUCT(Y116:Y116*H116:H116),"0")</f>
        <v>0</v>
      </c>
      <c r="Z118" s="42"/>
      <c r="AA118" s="67"/>
      <c r="AB118" s="67"/>
      <c r="AC118" s="67"/>
    </row>
    <row r="119" spans="1:68" ht="16.5" customHeight="1" x14ac:dyDescent="0.25">
      <c r="A119" s="308" t="s">
        <v>207</v>
      </c>
      <c r="B119" s="308"/>
      <c r="C119" s="308"/>
      <c r="D119" s="308"/>
      <c r="E119" s="308"/>
      <c r="F119" s="308"/>
      <c r="G119" s="308"/>
      <c r="H119" s="308"/>
      <c r="I119" s="308"/>
      <c r="J119" s="308"/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  <c r="AA119" s="65"/>
      <c r="AB119" s="65"/>
      <c r="AC119" s="82"/>
    </row>
    <row r="120" spans="1:68" ht="14.25" customHeight="1" x14ac:dyDescent="0.25">
      <c r="A120" s="297" t="s">
        <v>134</v>
      </c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66"/>
      <c r="AB120" s="66"/>
      <c r="AC120" s="83"/>
    </row>
    <row r="121" spans="1:68" ht="27" customHeight="1" x14ac:dyDescent="0.25">
      <c r="A121" s="63" t="s">
        <v>208</v>
      </c>
      <c r="B121" s="63" t="s">
        <v>209</v>
      </c>
      <c r="C121" s="36">
        <v>4301135555</v>
      </c>
      <c r="D121" s="279">
        <v>4607111034014</v>
      </c>
      <c r="E121" s="279"/>
      <c r="F121" s="62">
        <v>0.25</v>
      </c>
      <c r="G121" s="37">
        <v>12</v>
      </c>
      <c r="H121" s="62">
        <v>3</v>
      </c>
      <c r="I121" s="62">
        <v>3.7035999999999998</v>
      </c>
      <c r="J121" s="37">
        <v>70</v>
      </c>
      <c r="K121" s="37" t="s">
        <v>95</v>
      </c>
      <c r="L121" s="37" t="s">
        <v>96</v>
      </c>
      <c r="M121" s="38" t="s">
        <v>85</v>
      </c>
      <c r="N121" s="38"/>
      <c r="O121" s="37">
        <v>180</v>
      </c>
      <c r="P121" s="3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1"/>
      <c r="R121" s="281"/>
      <c r="S121" s="281"/>
      <c r="T121" s="282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67" t="s">
        <v>210</v>
      </c>
      <c r="AG121" s="81"/>
      <c r="AJ121" s="87" t="s">
        <v>97</v>
      </c>
      <c r="AK121" s="87">
        <v>14</v>
      </c>
      <c r="BB121" s="168" t="s">
        <v>94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t="27" customHeight="1" x14ac:dyDescent="0.25">
      <c r="A122" s="63" t="s">
        <v>211</v>
      </c>
      <c r="B122" s="63" t="s">
        <v>212</v>
      </c>
      <c r="C122" s="36">
        <v>4301135532</v>
      </c>
      <c r="D122" s="279">
        <v>4607111033994</v>
      </c>
      <c r="E122" s="279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213</v>
      </c>
      <c r="M122" s="38" t="s">
        <v>85</v>
      </c>
      <c r="N122" s="38"/>
      <c r="O122" s="37">
        <v>180</v>
      </c>
      <c r="P122" s="3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1"/>
      <c r="R122" s="281"/>
      <c r="S122" s="281"/>
      <c r="T122" s="282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152</v>
      </c>
      <c r="AG122" s="81"/>
      <c r="AJ122" s="87" t="s">
        <v>214</v>
      </c>
      <c r="AK122" s="87">
        <v>70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7"/>
      <c r="P123" s="283" t="s">
        <v>40</v>
      </c>
      <c r="Q123" s="284"/>
      <c r="R123" s="284"/>
      <c r="S123" s="284"/>
      <c r="T123" s="284"/>
      <c r="U123" s="284"/>
      <c r="V123" s="285"/>
      <c r="W123" s="42" t="s">
        <v>39</v>
      </c>
      <c r="X123" s="43">
        <f>IFERROR(SUM(X121:X122),"0")</f>
        <v>0</v>
      </c>
      <c r="Y123" s="43">
        <f>IFERROR(SUM(Y121:Y122),"0")</f>
        <v>0</v>
      </c>
      <c r="Z123" s="43">
        <f>IFERROR(IF(Z121="",0,Z121),"0")+IFERROR(IF(Z122="",0,Z122),"0")</f>
        <v>0</v>
      </c>
      <c r="AA123" s="67"/>
      <c r="AB123" s="67"/>
      <c r="AC123" s="67"/>
    </row>
    <row r="124" spans="1:68" x14ac:dyDescent="0.2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7"/>
      <c r="P124" s="283" t="s">
        <v>40</v>
      </c>
      <c r="Q124" s="284"/>
      <c r="R124" s="284"/>
      <c r="S124" s="284"/>
      <c r="T124" s="284"/>
      <c r="U124" s="284"/>
      <c r="V124" s="285"/>
      <c r="W124" s="42" t="s">
        <v>0</v>
      </c>
      <c r="X124" s="43">
        <f>IFERROR(SUMPRODUCT(X121:X122*H121:H122),"0")</f>
        <v>0</v>
      </c>
      <c r="Y124" s="43">
        <f>IFERROR(SUMPRODUCT(Y121:Y122*H121:H122),"0")</f>
        <v>0</v>
      </c>
      <c r="Z124" s="42"/>
      <c r="AA124" s="67"/>
      <c r="AB124" s="67"/>
      <c r="AC124" s="67"/>
    </row>
    <row r="125" spans="1:68" ht="16.5" customHeight="1" x14ac:dyDescent="0.25">
      <c r="A125" s="308" t="s">
        <v>215</v>
      </c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65"/>
      <c r="AB125" s="65"/>
      <c r="AC125" s="82"/>
    </row>
    <row r="126" spans="1:68" ht="14.25" customHeight="1" x14ac:dyDescent="0.25">
      <c r="A126" s="297" t="s">
        <v>134</v>
      </c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66"/>
      <c r="AB126" s="66"/>
      <c r="AC126" s="83"/>
    </row>
    <row r="127" spans="1:68" ht="27" customHeight="1" x14ac:dyDescent="0.25">
      <c r="A127" s="63" t="s">
        <v>216</v>
      </c>
      <c r="B127" s="63" t="s">
        <v>217</v>
      </c>
      <c r="C127" s="36">
        <v>4301135824</v>
      </c>
      <c r="D127" s="279">
        <v>4607111039095</v>
      </c>
      <c r="E127" s="279"/>
      <c r="F127" s="62">
        <v>0.25</v>
      </c>
      <c r="G127" s="37">
        <v>12</v>
      </c>
      <c r="H127" s="62">
        <v>3</v>
      </c>
      <c r="I127" s="62">
        <v>3.7480000000000002</v>
      </c>
      <c r="J127" s="37">
        <v>70</v>
      </c>
      <c r="K127" s="37" t="s">
        <v>95</v>
      </c>
      <c r="L127" s="37" t="s">
        <v>87</v>
      </c>
      <c r="M127" s="38" t="s">
        <v>85</v>
      </c>
      <c r="N127" s="38"/>
      <c r="O127" s="37">
        <v>180</v>
      </c>
      <c r="P127" s="34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1"/>
      <c r="R127" s="281"/>
      <c r="S127" s="281"/>
      <c r="T127" s="282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IFERROR(IF(X127="","",X127*0.01788),"")</f>
        <v>0</v>
      </c>
      <c r="AA127" s="68" t="s">
        <v>46</v>
      </c>
      <c r="AB127" s="69" t="s">
        <v>46</v>
      </c>
      <c r="AC127" s="171" t="s">
        <v>218</v>
      </c>
      <c r="AG127" s="81"/>
      <c r="AJ127" s="87" t="s">
        <v>88</v>
      </c>
      <c r="AK127" s="87">
        <v>1</v>
      </c>
      <c r="BB127" s="172" t="s">
        <v>94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16.5" customHeight="1" x14ac:dyDescent="0.25">
      <c r="A128" s="63" t="s">
        <v>219</v>
      </c>
      <c r="B128" s="63" t="s">
        <v>220</v>
      </c>
      <c r="C128" s="36">
        <v>4301135550</v>
      </c>
      <c r="D128" s="279">
        <v>4607111034199</v>
      </c>
      <c r="E128" s="279"/>
      <c r="F128" s="62">
        <v>0.25</v>
      </c>
      <c r="G128" s="37">
        <v>12</v>
      </c>
      <c r="H128" s="62">
        <v>3</v>
      </c>
      <c r="I128" s="62">
        <v>3.7035999999999998</v>
      </c>
      <c r="J128" s="37">
        <v>70</v>
      </c>
      <c r="K128" s="37" t="s">
        <v>95</v>
      </c>
      <c r="L128" s="37" t="s">
        <v>96</v>
      </c>
      <c r="M128" s="38" t="s">
        <v>85</v>
      </c>
      <c r="N128" s="38"/>
      <c r="O128" s="37">
        <v>180</v>
      </c>
      <c r="P128" s="34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1"/>
      <c r="R128" s="281"/>
      <c r="S128" s="281"/>
      <c r="T128" s="28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97</v>
      </c>
      <c r="AK128" s="87">
        <v>14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7"/>
      <c r="P129" s="283" t="s">
        <v>40</v>
      </c>
      <c r="Q129" s="284"/>
      <c r="R129" s="284"/>
      <c r="S129" s="284"/>
      <c r="T129" s="284"/>
      <c r="U129" s="284"/>
      <c r="V129" s="285"/>
      <c r="W129" s="42" t="s">
        <v>39</v>
      </c>
      <c r="X129" s="43">
        <f>IFERROR(SUM(X127:X128),"0")</f>
        <v>0</v>
      </c>
      <c r="Y129" s="43">
        <f>IFERROR(SUM(Y127:Y128),"0")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7"/>
      <c r="P130" s="283" t="s">
        <v>40</v>
      </c>
      <c r="Q130" s="284"/>
      <c r="R130" s="284"/>
      <c r="S130" s="284"/>
      <c r="T130" s="284"/>
      <c r="U130" s="284"/>
      <c r="V130" s="285"/>
      <c r="W130" s="42" t="s">
        <v>0</v>
      </c>
      <c r="X130" s="43">
        <f>IFERROR(SUMPRODUCT(X127:X128*H127:H128),"0")</f>
        <v>0</v>
      </c>
      <c r="Y130" s="43">
        <f>IFERROR(SUMPRODUCT(Y127:Y128*H127:H128),"0")</f>
        <v>0</v>
      </c>
      <c r="Z130" s="42"/>
      <c r="AA130" s="67"/>
      <c r="AB130" s="67"/>
      <c r="AC130" s="67"/>
    </row>
    <row r="131" spans="1:68" ht="16.5" customHeight="1" x14ac:dyDescent="0.25">
      <c r="A131" s="308" t="s">
        <v>222</v>
      </c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  <c r="AA131" s="65"/>
      <c r="AB131" s="65"/>
      <c r="AC131" s="82"/>
    </row>
    <row r="132" spans="1:68" ht="14.25" customHeight="1" x14ac:dyDescent="0.25">
      <c r="A132" s="297" t="s">
        <v>134</v>
      </c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66"/>
      <c r="AB132" s="66"/>
      <c r="AC132" s="83"/>
    </row>
    <row r="133" spans="1:68" ht="27" customHeight="1" x14ac:dyDescent="0.25">
      <c r="A133" s="63" t="s">
        <v>223</v>
      </c>
      <c r="B133" s="63" t="s">
        <v>224</v>
      </c>
      <c r="C133" s="36">
        <v>4301135753</v>
      </c>
      <c r="D133" s="279">
        <v>4620207490914</v>
      </c>
      <c r="E133" s="279"/>
      <c r="F133" s="62">
        <v>0.2</v>
      </c>
      <c r="G133" s="37">
        <v>12</v>
      </c>
      <c r="H133" s="62">
        <v>2.4</v>
      </c>
      <c r="I133" s="62">
        <v>2.68</v>
      </c>
      <c r="J133" s="37">
        <v>70</v>
      </c>
      <c r="K133" s="37" t="s">
        <v>95</v>
      </c>
      <c r="L133" s="37" t="s">
        <v>87</v>
      </c>
      <c r="M133" s="38" t="s">
        <v>85</v>
      </c>
      <c r="N133" s="38"/>
      <c r="O133" s="37">
        <v>180</v>
      </c>
      <c r="P133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1"/>
      <c r="R133" s="281"/>
      <c r="S133" s="281"/>
      <c r="T133" s="28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75" t="s">
        <v>210</v>
      </c>
      <c r="AG133" s="81"/>
      <c r="AJ133" s="87" t="s">
        <v>88</v>
      </c>
      <c r="AK133" s="87">
        <v>1</v>
      </c>
      <c r="BB133" s="176" t="s">
        <v>94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225</v>
      </c>
      <c r="B134" s="63" t="s">
        <v>226</v>
      </c>
      <c r="C134" s="36">
        <v>4301135778</v>
      </c>
      <c r="D134" s="279">
        <v>4620207490853</v>
      </c>
      <c r="E134" s="279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96</v>
      </c>
      <c r="M134" s="38" t="s">
        <v>85</v>
      </c>
      <c r="N134" s="38"/>
      <c r="O134" s="37">
        <v>180</v>
      </c>
      <c r="P134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1"/>
      <c r="R134" s="281"/>
      <c r="S134" s="281"/>
      <c r="T134" s="28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210</v>
      </c>
      <c r="AG134" s="81"/>
      <c r="AJ134" s="87" t="s">
        <v>97</v>
      </c>
      <c r="AK134" s="87">
        <v>14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7"/>
      <c r="P135" s="283" t="s">
        <v>40</v>
      </c>
      <c r="Q135" s="284"/>
      <c r="R135" s="284"/>
      <c r="S135" s="284"/>
      <c r="T135" s="284"/>
      <c r="U135" s="284"/>
      <c r="V135" s="285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7"/>
      <c r="P136" s="283" t="s">
        <v>40</v>
      </c>
      <c r="Q136" s="284"/>
      <c r="R136" s="284"/>
      <c r="S136" s="284"/>
      <c r="T136" s="284"/>
      <c r="U136" s="284"/>
      <c r="V136" s="285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08" t="s">
        <v>227</v>
      </c>
      <c r="B137" s="308"/>
      <c r="C137" s="308"/>
      <c r="D137" s="308"/>
      <c r="E137" s="308"/>
      <c r="F137" s="308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65"/>
      <c r="AB137" s="65"/>
      <c r="AC137" s="82"/>
    </row>
    <row r="138" spans="1:68" ht="14.25" customHeight="1" x14ac:dyDescent="0.25">
      <c r="A138" s="297" t="s">
        <v>134</v>
      </c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66"/>
      <c r="AB138" s="66"/>
      <c r="AC138" s="83"/>
    </row>
    <row r="139" spans="1:68" ht="27" customHeight="1" x14ac:dyDescent="0.25">
      <c r="A139" s="63" t="s">
        <v>228</v>
      </c>
      <c r="B139" s="63" t="s">
        <v>229</v>
      </c>
      <c r="C139" s="36">
        <v>4301135570</v>
      </c>
      <c r="D139" s="279">
        <v>4607111035806</v>
      </c>
      <c r="E139" s="279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95</v>
      </c>
      <c r="L139" s="37" t="s">
        <v>96</v>
      </c>
      <c r="M139" s="38" t="s">
        <v>85</v>
      </c>
      <c r="N139" s="38"/>
      <c r="O139" s="37">
        <v>180</v>
      </c>
      <c r="P139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1"/>
      <c r="R139" s="281"/>
      <c r="S139" s="281"/>
      <c r="T139" s="28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79" t="s">
        <v>230</v>
      </c>
      <c r="AG139" s="81"/>
      <c r="AJ139" s="87" t="s">
        <v>97</v>
      </c>
      <c r="AK139" s="87">
        <v>14</v>
      </c>
      <c r="BB139" s="180" t="s">
        <v>94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7"/>
      <c r="P140" s="283" t="s">
        <v>40</v>
      </c>
      <c r="Q140" s="284"/>
      <c r="R140" s="284"/>
      <c r="S140" s="284"/>
      <c r="T140" s="284"/>
      <c r="U140" s="284"/>
      <c r="V140" s="285"/>
      <c r="W140" s="42" t="s">
        <v>39</v>
      </c>
      <c r="X140" s="43">
        <f>IFERROR(SUM(X139:X139),"0")</f>
        <v>0</v>
      </c>
      <c r="Y140" s="43">
        <f>IFERROR(SUM(Y139:Y139),"0")</f>
        <v>0</v>
      </c>
      <c r="Z140" s="43">
        <f>IFERROR(IF(Z139="",0,Z139),"0")</f>
        <v>0</v>
      </c>
      <c r="AA140" s="67"/>
      <c r="AB140" s="67"/>
      <c r="AC140" s="67"/>
    </row>
    <row r="141" spans="1:68" x14ac:dyDescent="0.2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7"/>
      <c r="P141" s="283" t="s">
        <v>40</v>
      </c>
      <c r="Q141" s="284"/>
      <c r="R141" s="284"/>
      <c r="S141" s="284"/>
      <c r="T141" s="284"/>
      <c r="U141" s="284"/>
      <c r="V141" s="285"/>
      <c r="W141" s="42" t="s">
        <v>0</v>
      </c>
      <c r="X141" s="43">
        <f>IFERROR(SUMPRODUCT(X139:X139*H139:H139),"0")</f>
        <v>0</v>
      </c>
      <c r="Y141" s="43">
        <f>IFERROR(SUMPRODUCT(Y139:Y139*H139:H139),"0")</f>
        <v>0</v>
      </c>
      <c r="Z141" s="42"/>
      <c r="AA141" s="67"/>
      <c r="AB141" s="67"/>
      <c r="AC141" s="67"/>
    </row>
    <row r="142" spans="1:68" ht="16.5" customHeight="1" x14ac:dyDescent="0.25">
      <c r="A142" s="308" t="s">
        <v>231</v>
      </c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  <c r="Z142" s="308"/>
      <c r="AA142" s="65"/>
      <c r="AB142" s="65"/>
      <c r="AC142" s="82"/>
    </row>
    <row r="143" spans="1:68" ht="14.25" customHeight="1" x14ac:dyDescent="0.25">
      <c r="A143" s="297" t="s">
        <v>134</v>
      </c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66"/>
      <c r="AB143" s="66"/>
      <c r="AC143" s="83"/>
    </row>
    <row r="144" spans="1:68" ht="16.5" customHeight="1" x14ac:dyDescent="0.25">
      <c r="A144" s="63" t="s">
        <v>232</v>
      </c>
      <c r="B144" s="63" t="s">
        <v>233</v>
      </c>
      <c r="C144" s="36">
        <v>4301135607</v>
      </c>
      <c r="D144" s="279">
        <v>4607111039613</v>
      </c>
      <c r="E144" s="279"/>
      <c r="F144" s="62">
        <v>0.09</v>
      </c>
      <c r="G144" s="37">
        <v>30</v>
      </c>
      <c r="H144" s="62">
        <v>2.7</v>
      </c>
      <c r="I144" s="62">
        <v>3.09</v>
      </c>
      <c r="J144" s="37">
        <v>126</v>
      </c>
      <c r="K144" s="37" t="s">
        <v>95</v>
      </c>
      <c r="L144" s="37" t="s">
        <v>96</v>
      </c>
      <c r="M144" s="38" t="s">
        <v>85</v>
      </c>
      <c r="N144" s="38"/>
      <c r="O144" s="37">
        <v>180</v>
      </c>
      <c r="P144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1"/>
      <c r="R144" s="281"/>
      <c r="S144" s="281"/>
      <c r="T144" s="282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IFERROR(IF(X144="","",X144*0.00936),"")</f>
        <v>0</v>
      </c>
      <c r="AA144" s="68" t="s">
        <v>46</v>
      </c>
      <c r="AB144" s="69" t="s">
        <v>46</v>
      </c>
      <c r="AC144" s="181" t="s">
        <v>218</v>
      </c>
      <c r="AG144" s="81"/>
      <c r="AJ144" s="87" t="s">
        <v>97</v>
      </c>
      <c r="AK144" s="87">
        <v>14</v>
      </c>
      <c r="BB144" s="182" t="s">
        <v>94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7"/>
      <c r="P145" s="283" t="s">
        <v>40</v>
      </c>
      <c r="Q145" s="284"/>
      <c r="R145" s="284"/>
      <c r="S145" s="284"/>
      <c r="T145" s="284"/>
      <c r="U145" s="284"/>
      <c r="V145" s="285"/>
      <c r="W145" s="42" t="s">
        <v>39</v>
      </c>
      <c r="X145" s="43">
        <f>IFERROR(SUM(X144:X144),"0")</f>
        <v>0</v>
      </c>
      <c r="Y145" s="43">
        <f>IFERROR(SUM(Y144:Y144),"0")</f>
        <v>0</v>
      </c>
      <c r="Z145" s="43">
        <f>IFERROR(IF(Z144="",0,Z144),"0")</f>
        <v>0</v>
      </c>
      <c r="AA145" s="67"/>
      <c r="AB145" s="67"/>
      <c r="AC145" s="67"/>
    </row>
    <row r="146" spans="1:68" x14ac:dyDescent="0.2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7"/>
      <c r="P146" s="283" t="s">
        <v>40</v>
      </c>
      <c r="Q146" s="284"/>
      <c r="R146" s="284"/>
      <c r="S146" s="284"/>
      <c r="T146" s="284"/>
      <c r="U146" s="284"/>
      <c r="V146" s="285"/>
      <c r="W146" s="42" t="s">
        <v>0</v>
      </c>
      <c r="X146" s="43">
        <f>IFERROR(SUMPRODUCT(X144:X144*H144:H144),"0")</f>
        <v>0</v>
      </c>
      <c r="Y146" s="43">
        <f>IFERROR(SUMPRODUCT(Y144:Y144*H144:H144),"0")</f>
        <v>0</v>
      </c>
      <c r="Z146" s="42"/>
      <c r="AA146" s="67"/>
      <c r="AB146" s="67"/>
      <c r="AC146" s="67"/>
    </row>
    <row r="147" spans="1:68" ht="16.5" customHeight="1" x14ac:dyDescent="0.25">
      <c r="A147" s="308" t="s">
        <v>234</v>
      </c>
      <c r="B147" s="308"/>
      <c r="C147" s="308"/>
      <c r="D147" s="308"/>
      <c r="E147" s="308"/>
      <c r="F147" s="308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  <c r="AA147" s="65"/>
      <c r="AB147" s="65"/>
      <c r="AC147" s="82"/>
    </row>
    <row r="148" spans="1:68" ht="14.25" customHeight="1" x14ac:dyDescent="0.25">
      <c r="A148" s="297" t="s">
        <v>203</v>
      </c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66"/>
      <c r="AB148" s="66"/>
      <c r="AC148" s="83"/>
    </row>
    <row r="149" spans="1:68" ht="27" customHeight="1" x14ac:dyDescent="0.25">
      <c r="A149" s="63" t="s">
        <v>235</v>
      </c>
      <c r="B149" s="63" t="s">
        <v>236</v>
      </c>
      <c r="C149" s="36">
        <v>4301135540</v>
      </c>
      <c r="D149" s="279">
        <v>4607111035646</v>
      </c>
      <c r="E149" s="279"/>
      <c r="F149" s="62">
        <v>0.2</v>
      </c>
      <c r="G149" s="37">
        <v>8</v>
      </c>
      <c r="H149" s="62">
        <v>1.6</v>
      </c>
      <c r="I149" s="62">
        <v>2.12</v>
      </c>
      <c r="J149" s="37">
        <v>72</v>
      </c>
      <c r="K149" s="37" t="s">
        <v>238</v>
      </c>
      <c r="L149" s="37" t="s">
        <v>87</v>
      </c>
      <c r="M149" s="38" t="s">
        <v>85</v>
      </c>
      <c r="N149" s="38"/>
      <c r="O149" s="37">
        <v>180</v>
      </c>
      <c r="P149" s="33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1"/>
      <c r="R149" s="281"/>
      <c r="S149" s="281"/>
      <c r="T149" s="282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IFERROR(IF(X149="","",X149*0.01157),"")</f>
        <v>0</v>
      </c>
      <c r="AA149" s="68" t="s">
        <v>46</v>
      </c>
      <c r="AB149" s="69" t="s">
        <v>46</v>
      </c>
      <c r="AC149" s="183" t="s">
        <v>237</v>
      </c>
      <c r="AG149" s="81"/>
      <c r="AJ149" s="87" t="s">
        <v>88</v>
      </c>
      <c r="AK149" s="87">
        <v>1</v>
      </c>
      <c r="BB149" s="184" t="s">
        <v>94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7"/>
      <c r="P150" s="283" t="s">
        <v>40</v>
      </c>
      <c r="Q150" s="284"/>
      <c r="R150" s="284"/>
      <c r="S150" s="284"/>
      <c r="T150" s="284"/>
      <c r="U150" s="284"/>
      <c r="V150" s="285"/>
      <c r="W150" s="42" t="s">
        <v>39</v>
      </c>
      <c r="X150" s="43">
        <f>IFERROR(SUM(X149:X149),"0")</f>
        <v>0</v>
      </c>
      <c r="Y150" s="43">
        <f>IFERROR(SUM(Y149:Y149),"0")</f>
        <v>0</v>
      </c>
      <c r="Z150" s="43">
        <f>IFERROR(IF(Z149="",0,Z149),"0")</f>
        <v>0</v>
      </c>
      <c r="AA150" s="67"/>
      <c r="AB150" s="67"/>
      <c r="AC150" s="67"/>
    </row>
    <row r="151" spans="1:68" x14ac:dyDescent="0.2">
      <c r="A151" s="286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7"/>
      <c r="P151" s="283" t="s">
        <v>40</v>
      </c>
      <c r="Q151" s="284"/>
      <c r="R151" s="284"/>
      <c r="S151" s="284"/>
      <c r="T151" s="284"/>
      <c r="U151" s="284"/>
      <c r="V151" s="285"/>
      <c r="W151" s="42" t="s">
        <v>0</v>
      </c>
      <c r="X151" s="43">
        <f>IFERROR(SUMPRODUCT(X149:X149*H149:H149),"0")</f>
        <v>0</v>
      </c>
      <c r="Y151" s="43">
        <f>IFERROR(SUMPRODUCT(Y149:Y149*H149:H149),"0")</f>
        <v>0</v>
      </c>
      <c r="Z151" s="42"/>
      <c r="AA151" s="67"/>
      <c r="AB151" s="67"/>
      <c r="AC151" s="67"/>
    </row>
    <row r="152" spans="1:68" ht="16.5" customHeight="1" x14ac:dyDescent="0.25">
      <c r="A152" s="308" t="s">
        <v>239</v>
      </c>
      <c r="B152" s="308"/>
      <c r="C152" s="308"/>
      <c r="D152" s="308"/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  <c r="AA152" s="65"/>
      <c r="AB152" s="65"/>
      <c r="AC152" s="82"/>
    </row>
    <row r="153" spans="1:68" ht="14.25" customHeight="1" x14ac:dyDescent="0.25">
      <c r="A153" s="297" t="s">
        <v>134</v>
      </c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66"/>
      <c r="AB153" s="66"/>
      <c r="AC153" s="83"/>
    </row>
    <row r="154" spans="1:68" ht="27" customHeight="1" x14ac:dyDescent="0.25">
      <c r="A154" s="63" t="s">
        <v>240</v>
      </c>
      <c r="B154" s="63" t="s">
        <v>241</v>
      </c>
      <c r="C154" s="36">
        <v>4301135591</v>
      </c>
      <c r="D154" s="279">
        <v>4607111036568</v>
      </c>
      <c r="E154" s="279"/>
      <c r="F154" s="62">
        <v>0.28000000000000003</v>
      </c>
      <c r="G154" s="37">
        <v>6</v>
      </c>
      <c r="H154" s="62">
        <v>1.68</v>
      </c>
      <c r="I154" s="62">
        <v>2.1017999999999999</v>
      </c>
      <c r="J154" s="37">
        <v>140</v>
      </c>
      <c r="K154" s="37" t="s">
        <v>95</v>
      </c>
      <c r="L154" s="37" t="s">
        <v>96</v>
      </c>
      <c r="M154" s="38" t="s">
        <v>85</v>
      </c>
      <c r="N154" s="38"/>
      <c r="O154" s="37">
        <v>180</v>
      </c>
      <c r="P154" s="33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1"/>
      <c r="R154" s="281"/>
      <c r="S154" s="281"/>
      <c r="T154" s="282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IFERROR(IF(X154="","",X154*0.00941),"")</f>
        <v>0</v>
      </c>
      <c r="AA154" s="68" t="s">
        <v>46</v>
      </c>
      <c r="AB154" s="69" t="s">
        <v>46</v>
      </c>
      <c r="AC154" s="185" t="s">
        <v>242</v>
      </c>
      <c r="AG154" s="81"/>
      <c r="AJ154" s="87" t="s">
        <v>97</v>
      </c>
      <c r="AK154" s="87">
        <v>14</v>
      </c>
      <c r="BB154" s="186" t="s">
        <v>94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7"/>
      <c r="P155" s="283" t="s">
        <v>40</v>
      </c>
      <c r="Q155" s="284"/>
      <c r="R155" s="284"/>
      <c r="S155" s="284"/>
      <c r="T155" s="284"/>
      <c r="U155" s="284"/>
      <c r="V155" s="285"/>
      <c r="W155" s="42" t="s">
        <v>39</v>
      </c>
      <c r="X155" s="43">
        <f>IFERROR(SUM(X154:X154),"0")</f>
        <v>0</v>
      </c>
      <c r="Y155" s="43">
        <f>IFERROR(SUM(Y154:Y154),"0")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286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7"/>
      <c r="P156" s="283" t="s">
        <v>40</v>
      </c>
      <c r="Q156" s="284"/>
      <c r="R156" s="284"/>
      <c r="S156" s="284"/>
      <c r="T156" s="284"/>
      <c r="U156" s="284"/>
      <c r="V156" s="285"/>
      <c r="W156" s="42" t="s">
        <v>0</v>
      </c>
      <c r="X156" s="43">
        <f>IFERROR(SUMPRODUCT(X154:X154*H154:H154),"0")</f>
        <v>0</v>
      </c>
      <c r="Y156" s="43">
        <f>IFERROR(SUMPRODUCT(Y154:Y154*H154:H154),"0")</f>
        <v>0</v>
      </c>
      <c r="Z156" s="42"/>
      <c r="AA156" s="67"/>
      <c r="AB156" s="67"/>
      <c r="AC156" s="67"/>
    </row>
    <row r="157" spans="1:68" ht="27.75" customHeight="1" x14ac:dyDescent="0.2">
      <c r="A157" s="307" t="s">
        <v>243</v>
      </c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54"/>
      <c r="AB157" s="54"/>
      <c r="AC157" s="54"/>
    </row>
    <row r="158" spans="1:68" ht="16.5" customHeight="1" x14ac:dyDescent="0.25">
      <c r="A158" s="308" t="s">
        <v>244</v>
      </c>
      <c r="B158" s="308"/>
      <c r="C158" s="308"/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  <c r="AA158" s="65"/>
      <c r="AB158" s="65"/>
      <c r="AC158" s="82"/>
    </row>
    <row r="159" spans="1:68" ht="14.25" customHeight="1" x14ac:dyDescent="0.25">
      <c r="A159" s="297" t="s">
        <v>81</v>
      </c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66"/>
      <c r="AB159" s="66"/>
      <c r="AC159" s="83"/>
    </row>
    <row r="160" spans="1:68" ht="16.5" customHeight="1" x14ac:dyDescent="0.25">
      <c r="A160" s="63" t="s">
        <v>245</v>
      </c>
      <c r="B160" s="63" t="s">
        <v>246</v>
      </c>
      <c r="C160" s="36">
        <v>4301071062</v>
      </c>
      <c r="D160" s="279">
        <v>4607111036384</v>
      </c>
      <c r="E160" s="279"/>
      <c r="F160" s="62">
        <v>5</v>
      </c>
      <c r="G160" s="37">
        <v>1</v>
      </c>
      <c r="H160" s="62">
        <v>5</v>
      </c>
      <c r="I160" s="62">
        <v>5.2106000000000003</v>
      </c>
      <c r="J160" s="37">
        <v>144</v>
      </c>
      <c r="K160" s="37" t="s">
        <v>86</v>
      </c>
      <c r="L160" s="37" t="s">
        <v>87</v>
      </c>
      <c r="M160" s="38" t="s">
        <v>85</v>
      </c>
      <c r="N160" s="38"/>
      <c r="O160" s="37">
        <v>180</v>
      </c>
      <c r="P160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1"/>
      <c r="R160" s="281"/>
      <c r="S160" s="281"/>
      <c r="T160" s="282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IFERROR(IF(X160="","",X160*0.00866),"")</f>
        <v>0</v>
      </c>
      <c r="AA160" s="68" t="s">
        <v>46</v>
      </c>
      <c r="AB160" s="69" t="s">
        <v>46</v>
      </c>
      <c r="AC160" s="187" t="s">
        <v>247</v>
      </c>
      <c r="AG160" s="81"/>
      <c r="AJ160" s="87" t="s">
        <v>88</v>
      </c>
      <c r="AK160" s="87">
        <v>1</v>
      </c>
      <c r="BB160" s="188" t="s">
        <v>70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248</v>
      </c>
      <c r="B161" s="63" t="s">
        <v>249</v>
      </c>
      <c r="C161" s="36">
        <v>4301071050</v>
      </c>
      <c r="D161" s="279">
        <v>4607111036216</v>
      </c>
      <c r="E161" s="279"/>
      <c r="F161" s="62">
        <v>5</v>
      </c>
      <c r="G161" s="37">
        <v>1</v>
      </c>
      <c r="H161" s="62">
        <v>5</v>
      </c>
      <c r="I161" s="62">
        <v>5.2131999999999996</v>
      </c>
      <c r="J161" s="37">
        <v>144</v>
      </c>
      <c r="K161" s="37" t="s">
        <v>86</v>
      </c>
      <c r="L161" s="37" t="s">
        <v>96</v>
      </c>
      <c r="M161" s="38" t="s">
        <v>85</v>
      </c>
      <c r="N161" s="38"/>
      <c r="O161" s="37">
        <v>180</v>
      </c>
      <c r="P161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1"/>
      <c r="R161" s="281"/>
      <c r="S161" s="281"/>
      <c r="T161" s="28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97</v>
      </c>
      <c r="AK161" s="87">
        <v>12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7"/>
      <c r="P162" s="283" t="s">
        <v>40</v>
      </c>
      <c r="Q162" s="284"/>
      <c r="R162" s="284"/>
      <c r="S162" s="284"/>
      <c r="T162" s="284"/>
      <c r="U162" s="284"/>
      <c r="V162" s="285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7"/>
      <c r="P163" s="283" t="s">
        <v>40</v>
      </c>
      <c r="Q163" s="284"/>
      <c r="R163" s="284"/>
      <c r="S163" s="284"/>
      <c r="T163" s="284"/>
      <c r="U163" s="284"/>
      <c r="V163" s="285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27.75" customHeight="1" x14ac:dyDescent="0.2">
      <c r="A164" s="307" t="s">
        <v>251</v>
      </c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  <c r="AA164" s="54"/>
      <c r="AB164" s="54"/>
      <c r="AC164" s="54"/>
    </row>
    <row r="165" spans="1:68" ht="16.5" customHeight="1" x14ac:dyDescent="0.25">
      <c r="A165" s="308" t="s">
        <v>252</v>
      </c>
      <c r="B165" s="308"/>
      <c r="C165" s="308"/>
      <c r="D165" s="308"/>
      <c r="E165" s="308"/>
      <c r="F165" s="308"/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  <c r="AA165" s="65"/>
      <c r="AB165" s="65"/>
      <c r="AC165" s="82"/>
    </row>
    <row r="166" spans="1:68" ht="14.25" customHeight="1" x14ac:dyDescent="0.25">
      <c r="A166" s="297" t="s">
        <v>90</v>
      </c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66"/>
      <c r="AB166" s="66"/>
      <c r="AC166" s="83"/>
    </row>
    <row r="167" spans="1:68" ht="16.5" customHeight="1" x14ac:dyDescent="0.25">
      <c r="A167" s="63" t="s">
        <v>253</v>
      </c>
      <c r="B167" s="63" t="s">
        <v>254</v>
      </c>
      <c r="C167" s="36">
        <v>4301132179</v>
      </c>
      <c r="D167" s="279">
        <v>4607111035691</v>
      </c>
      <c r="E167" s="279"/>
      <c r="F167" s="62">
        <v>0.25</v>
      </c>
      <c r="G167" s="37">
        <v>12</v>
      </c>
      <c r="H167" s="62">
        <v>3</v>
      </c>
      <c r="I167" s="62">
        <v>3.3879999999999999</v>
      </c>
      <c r="J167" s="37">
        <v>70</v>
      </c>
      <c r="K167" s="37" t="s">
        <v>95</v>
      </c>
      <c r="L167" s="37" t="s">
        <v>96</v>
      </c>
      <c r="M167" s="38" t="s">
        <v>85</v>
      </c>
      <c r="N167" s="38"/>
      <c r="O167" s="37">
        <v>365</v>
      </c>
      <c r="P167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1"/>
      <c r="R167" s="281"/>
      <c r="S167" s="281"/>
      <c r="T167" s="28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191" t="s">
        <v>255</v>
      </c>
      <c r="AG167" s="81"/>
      <c r="AJ167" s="87" t="s">
        <v>97</v>
      </c>
      <c r="AK167" s="87">
        <v>14</v>
      </c>
      <c r="BB167" s="192" t="s">
        <v>94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256</v>
      </c>
      <c r="B168" s="63" t="s">
        <v>257</v>
      </c>
      <c r="C168" s="36">
        <v>4301132182</v>
      </c>
      <c r="D168" s="279">
        <v>4607111035721</v>
      </c>
      <c r="E168" s="279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1"/>
      <c r="R168" s="281"/>
      <c r="S168" s="281"/>
      <c r="T168" s="282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4301132170</v>
      </c>
      <c r="D169" s="279">
        <v>4607111038487</v>
      </c>
      <c r="E169" s="279"/>
      <c r="F169" s="62">
        <v>0.25</v>
      </c>
      <c r="G169" s="37">
        <v>12</v>
      </c>
      <c r="H169" s="62">
        <v>3</v>
      </c>
      <c r="I169" s="62">
        <v>3.7360000000000002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180</v>
      </c>
      <c r="P169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1"/>
      <c r="R169" s="281"/>
      <c r="S169" s="281"/>
      <c r="T169" s="282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x14ac:dyDescent="0.2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7"/>
      <c r="P170" s="283" t="s">
        <v>40</v>
      </c>
      <c r="Q170" s="284"/>
      <c r="R170" s="284"/>
      <c r="S170" s="284"/>
      <c r="T170" s="284"/>
      <c r="U170" s="284"/>
      <c r="V170" s="285"/>
      <c r="W170" s="42" t="s">
        <v>39</v>
      </c>
      <c r="X170" s="43">
        <f>IFERROR(SUM(X167:X169),"0")</f>
        <v>0</v>
      </c>
      <c r="Y170" s="43">
        <f>IFERROR(SUM(Y167:Y169),"0")</f>
        <v>0</v>
      </c>
      <c r="Z170" s="43">
        <f>IFERROR(IF(Z167="",0,Z167),"0")+IFERROR(IF(Z168="",0,Z168),"0")+IFERROR(IF(Z169="",0,Z169),"0")</f>
        <v>0</v>
      </c>
      <c r="AA170" s="67"/>
      <c r="AB170" s="67"/>
      <c r="AC170" s="67"/>
    </row>
    <row r="171" spans="1:68" x14ac:dyDescent="0.2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7"/>
      <c r="P171" s="283" t="s">
        <v>40</v>
      </c>
      <c r="Q171" s="284"/>
      <c r="R171" s="284"/>
      <c r="S171" s="284"/>
      <c r="T171" s="284"/>
      <c r="U171" s="284"/>
      <c r="V171" s="285"/>
      <c r="W171" s="42" t="s">
        <v>0</v>
      </c>
      <c r="X171" s="43">
        <f>IFERROR(SUMPRODUCT(X167:X169*H167:H169),"0")</f>
        <v>0</v>
      </c>
      <c r="Y171" s="43">
        <f>IFERROR(SUMPRODUCT(Y167:Y169*H167:H169),"0")</f>
        <v>0</v>
      </c>
      <c r="Z171" s="42"/>
      <c r="AA171" s="67"/>
      <c r="AB171" s="67"/>
      <c r="AC171" s="67"/>
    </row>
    <row r="172" spans="1:68" ht="14.25" customHeight="1" x14ac:dyDescent="0.25">
      <c r="A172" s="297" t="s">
        <v>262</v>
      </c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66"/>
      <c r="AB172" s="66"/>
      <c r="AC172" s="83"/>
    </row>
    <row r="173" spans="1:68" ht="27" customHeight="1" x14ac:dyDescent="0.25">
      <c r="A173" s="63" t="s">
        <v>263</v>
      </c>
      <c r="B173" s="63" t="s">
        <v>264</v>
      </c>
      <c r="C173" s="36">
        <v>4301051855</v>
      </c>
      <c r="D173" s="279">
        <v>4680115885875</v>
      </c>
      <c r="E173" s="279"/>
      <c r="F173" s="62">
        <v>1</v>
      </c>
      <c r="G173" s="37">
        <v>9</v>
      </c>
      <c r="H173" s="62">
        <v>9</v>
      </c>
      <c r="I173" s="62">
        <v>9.41</v>
      </c>
      <c r="J173" s="37">
        <v>64</v>
      </c>
      <c r="K173" s="37" t="s">
        <v>269</v>
      </c>
      <c r="L173" s="37" t="s">
        <v>87</v>
      </c>
      <c r="M173" s="38" t="s">
        <v>268</v>
      </c>
      <c r="N173" s="38"/>
      <c r="O173" s="37">
        <v>365</v>
      </c>
      <c r="P173" s="333" t="s">
        <v>265</v>
      </c>
      <c r="Q173" s="281"/>
      <c r="R173" s="281"/>
      <c r="S173" s="281"/>
      <c r="T173" s="282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IFERROR(IF(X173="","",X173*0.01898),"")</f>
        <v>0</v>
      </c>
      <c r="AA173" s="68" t="s">
        <v>46</v>
      </c>
      <c r="AB173" s="69" t="s">
        <v>46</v>
      </c>
      <c r="AC173" s="197" t="s">
        <v>266</v>
      </c>
      <c r="AG173" s="81"/>
      <c r="AJ173" s="87" t="s">
        <v>88</v>
      </c>
      <c r="AK173" s="87">
        <v>1</v>
      </c>
      <c r="BB173" s="198" t="s">
        <v>267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7"/>
      <c r="P174" s="283" t="s">
        <v>40</v>
      </c>
      <c r="Q174" s="284"/>
      <c r="R174" s="284"/>
      <c r="S174" s="284"/>
      <c r="T174" s="284"/>
      <c r="U174" s="284"/>
      <c r="V174" s="28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7"/>
      <c r="P175" s="283" t="s">
        <v>40</v>
      </c>
      <c r="Q175" s="284"/>
      <c r="R175" s="284"/>
      <c r="S175" s="284"/>
      <c r="T175" s="284"/>
      <c r="U175" s="284"/>
      <c r="V175" s="28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07" t="s">
        <v>270</v>
      </c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54"/>
      <c r="AB176" s="54"/>
      <c r="AC176" s="54"/>
    </row>
    <row r="177" spans="1:68" ht="16.5" customHeight="1" x14ac:dyDescent="0.25">
      <c r="A177" s="308" t="s">
        <v>271</v>
      </c>
      <c r="B177" s="308"/>
      <c r="C177" s="308"/>
      <c r="D177" s="308"/>
      <c r="E177" s="308"/>
      <c r="F177" s="308"/>
      <c r="G177" s="308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  <c r="AA177" s="65"/>
      <c r="AB177" s="65"/>
      <c r="AC177" s="82"/>
    </row>
    <row r="178" spans="1:68" ht="14.25" customHeight="1" x14ac:dyDescent="0.25">
      <c r="A178" s="297" t="s">
        <v>90</v>
      </c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66"/>
      <c r="AB178" s="66"/>
      <c r="AC178" s="83"/>
    </row>
    <row r="179" spans="1:68" ht="27" customHeight="1" x14ac:dyDescent="0.25">
      <c r="A179" s="63" t="s">
        <v>272</v>
      </c>
      <c r="B179" s="63" t="s">
        <v>273</v>
      </c>
      <c r="C179" s="36">
        <v>4301132227</v>
      </c>
      <c r="D179" s="279">
        <v>4620207491133</v>
      </c>
      <c r="E179" s="279"/>
      <c r="F179" s="62">
        <v>0.23</v>
      </c>
      <c r="G179" s="37">
        <v>12</v>
      </c>
      <c r="H179" s="62">
        <v>2.76</v>
      </c>
      <c r="I179" s="62">
        <v>2.98</v>
      </c>
      <c r="J179" s="37">
        <v>70</v>
      </c>
      <c r="K179" s="37" t="s">
        <v>95</v>
      </c>
      <c r="L179" s="37" t="s">
        <v>96</v>
      </c>
      <c r="M179" s="38" t="s">
        <v>85</v>
      </c>
      <c r="N179" s="38"/>
      <c r="O179" s="37">
        <v>180</v>
      </c>
      <c r="P179" s="3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1"/>
      <c r="R179" s="281"/>
      <c r="S179" s="281"/>
      <c r="T179" s="28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199" t="s">
        <v>274</v>
      </c>
      <c r="AG179" s="81"/>
      <c r="AJ179" s="87" t="s">
        <v>97</v>
      </c>
      <c r="AK179" s="87">
        <v>14</v>
      </c>
      <c r="BB179" s="200" t="s">
        <v>94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7"/>
      <c r="P180" s="283" t="s">
        <v>40</v>
      </c>
      <c r="Q180" s="284"/>
      <c r="R180" s="284"/>
      <c r="S180" s="284"/>
      <c r="T180" s="284"/>
      <c r="U180" s="284"/>
      <c r="V180" s="285"/>
      <c r="W180" s="42" t="s">
        <v>39</v>
      </c>
      <c r="X180" s="43">
        <f>IFERROR(SUM(X179:X179),"0")</f>
        <v>0</v>
      </c>
      <c r="Y180" s="43">
        <f>IFERROR(SUM(Y179:Y179),"0")</f>
        <v>0</v>
      </c>
      <c r="Z180" s="43">
        <f>IFERROR(IF(Z179="",0,Z179),"0")</f>
        <v>0</v>
      </c>
      <c r="AA180" s="67"/>
      <c r="AB180" s="67"/>
      <c r="AC180" s="67"/>
    </row>
    <row r="181" spans="1:68" x14ac:dyDescent="0.2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7"/>
      <c r="P181" s="283" t="s">
        <v>40</v>
      </c>
      <c r="Q181" s="284"/>
      <c r="R181" s="284"/>
      <c r="S181" s="284"/>
      <c r="T181" s="284"/>
      <c r="U181" s="284"/>
      <c r="V181" s="285"/>
      <c r="W181" s="42" t="s">
        <v>0</v>
      </c>
      <c r="X181" s="43">
        <f>IFERROR(SUMPRODUCT(X179:X179*H179:H179),"0")</f>
        <v>0</v>
      </c>
      <c r="Y181" s="43">
        <f>IFERROR(SUMPRODUCT(Y179:Y179*H179:H179),"0")</f>
        <v>0</v>
      </c>
      <c r="Z181" s="42"/>
      <c r="AA181" s="67"/>
      <c r="AB181" s="67"/>
      <c r="AC181" s="67"/>
    </row>
    <row r="182" spans="1:68" ht="14.25" customHeight="1" x14ac:dyDescent="0.25">
      <c r="A182" s="297" t="s">
        <v>134</v>
      </c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66"/>
      <c r="AB182" s="66"/>
      <c r="AC182" s="83"/>
    </row>
    <row r="183" spans="1:68" ht="27" customHeight="1" x14ac:dyDescent="0.25">
      <c r="A183" s="63" t="s">
        <v>275</v>
      </c>
      <c r="B183" s="63" t="s">
        <v>276</v>
      </c>
      <c r="C183" s="36">
        <v>4301135707</v>
      </c>
      <c r="D183" s="279">
        <v>4620207490198</v>
      </c>
      <c r="E183" s="279"/>
      <c r="F183" s="62">
        <v>0.2</v>
      </c>
      <c r="G183" s="37">
        <v>12</v>
      </c>
      <c r="H183" s="62">
        <v>2.4</v>
      </c>
      <c r="I183" s="62">
        <v>3.1036000000000001</v>
      </c>
      <c r="J183" s="37">
        <v>70</v>
      </c>
      <c r="K183" s="37" t="s">
        <v>95</v>
      </c>
      <c r="L183" s="37" t="s">
        <v>96</v>
      </c>
      <c r="M183" s="38" t="s">
        <v>85</v>
      </c>
      <c r="N183" s="38"/>
      <c r="O183" s="37">
        <v>180</v>
      </c>
      <c r="P183" s="32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1"/>
      <c r="R183" s="281"/>
      <c r="S183" s="281"/>
      <c r="T183" s="28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1" t="s">
        <v>277</v>
      </c>
      <c r="AG183" s="81"/>
      <c r="AJ183" s="87" t="s">
        <v>97</v>
      </c>
      <c r="AK183" s="87">
        <v>14</v>
      </c>
      <c r="BB183" s="202" t="s">
        <v>94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278</v>
      </c>
      <c r="B184" s="63" t="s">
        <v>279</v>
      </c>
      <c r="C184" s="36">
        <v>4301135829</v>
      </c>
      <c r="D184" s="279">
        <v>4620207490235</v>
      </c>
      <c r="E184" s="279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87</v>
      </c>
      <c r="M184" s="38" t="s">
        <v>85</v>
      </c>
      <c r="N184" s="38"/>
      <c r="O184" s="37">
        <v>180</v>
      </c>
      <c r="P184" s="328" t="s">
        <v>280</v>
      </c>
      <c r="Q184" s="281"/>
      <c r="R184" s="281"/>
      <c r="S184" s="281"/>
      <c r="T184" s="28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88</v>
      </c>
      <c r="AK184" s="87">
        <v>1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4301135697</v>
      </c>
      <c r="D185" s="279">
        <v>4620207490259</v>
      </c>
      <c r="E185" s="279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96</v>
      </c>
      <c r="M185" s="38" t="s">
        <v>85</v>
      </c>
      <c r="N185" s="38"/>
      <c r="O185" s="37">
        <v>180</v>
      </c>
      <c r="P185" s="32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1"/>
      <c r="R185" s="281"/>
      <c r="S185" s="281"/>
      <c r="T185" s="282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277</v>
      </c>
      <c r="AG185" s="81"/>
      <c r="AJ185" s="87" t="s">
        <v>97</v>
      </c>
      <c r="AK185" s="87">
        <v>14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284</v>
      </c>
      <c r="B186" s="63" t="s">
        <v>285</v>
      </c>
      <c r="C186" s="36">
        <v>4301135681</v>
      </c>
      <c r="D186" s="279">
        <v>4620207490143</v>
      </c>
      <c r="E186" s="279"/>
      <c r="F186" s="62">
        <v>0.22</v>
      </c>
      <c r="G186" s="37">
        <v>12</v>
      </c>
      <c r="H186" s="62">
        <v>2.64</v>
      </c>
      <c r="I186" s="62">
        <v>3.3435999999999999</v>
      </c>
      <c r="J186" s="37">
        <v>70</v>
      </c>
      <c r="K186" s="37" t="s">
        <v>95</v>
      </c>
      <c r="L186" s="37" t="s">
        <v>87</v>
      </c>
      <c r="M186" s="38" t="s">
        <v>85</v>
      </c>
      <c r="N186" s="38"/>
      <c r="O186" s="37">
        <v>180</v>
      </c>
      <c r="P186" s="3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1"/>
      <c r="R186" s="281"/>
      <c r="S186" s="281"/>
      <c r="T186" s="282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286</v>
      </c>
      <c r="AG186" s="81"/>
      <c r="AJ186" s="87" t="s">
        <v>88</v>
      </c>
      <c r="AK186" s="87">
        <v>1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7"/>
      <c r="P187" s="283" t="s">
        <v>40</v>
      </c>
      <c r="Q187" s="284"/>
      <c r="R187" s="284"/>
      <c r="S187" s="284"/>
      <c r="T187" s="284"/>
      <c r="U187" s="284"/>
      <c r="V187" s="285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7"/>
      <c r="P188" s="283" t="s">
        <v>40</v>
      </c>
      <c r="Q188" s="284"/>
      <c r="R188" s="284"/>
      <c r="S188" s="284"/>
      <c r="T188" s="284"/>
      <c r="U188" s="284"/>
      <c r="V188" s="285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6.5" customHeight="1" x14ac:dyDescent="0.25">
      <c r="A189" s="308" t="s">
        <v>287</v>
      </c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  <c r="AA189" s="65"/>
      <c r="AB189" s="65"/>
      <c r="AC189" s="82"/>
    </row>
    <row r="190" spans="1:68" ht="14.25" customHeight="1" x14ac:dyDescent="0.25">
      <c r="A190" s="297" t="s">
        <v>81</v>
      </c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66"/>
      <c r="AB190" s="66"/>
      <c r="AC190" s="83"/>
    </row>
    <row r="191" spans="1:68" ht="27" customHeight="1" x14ac:dyDescent="0.25">
      <c r="A191" s="63" t="s">
        <v>288</v>
      </c>
      <c r="B191" s="63" t="s">
        <v>289</v>
      </c>
      <c r="C191" s="36">
        <v>4301071110</v>
      </c>
      <c r="D191" s="279">
        <v>4607111035103</v>
      </c>
      <c r="E191" s="279"/>
      <c r="F191" s="62">
        <v>0.43</v>
      </c>
      <c r="G191" s="37">
        <v>16</v>
      </c>
      <c r="H191" s="62">
        <v>6.88</v>
      </c>
      <c r="I191" s="62">
        <v>7.19</v>
      </c>
      <c r="J191" s="37">
        <v>84</v>
      </c>
      <c r="K191" s="37" t="s">
        <v>86</v>
      </c>
      <c r="L191" s="37" t="s">
        <v>87</v>
      </c>
      <c r="M191" s="38" t="s">
        <v>85</v>
      </c>
      <c r="N191" s="38"/>
      <c r="O191" s="37">
        <v>180</v>
      </c>
      <c r="P191" s="32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81"/>
      <c r="R191" s="281"/>
      <c r="S191" s="281"/>
      <c r="T191" s="28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09" t="s">
        <v>290</v>
      </c>
      <c r="AG191" s="81"/>
      <c r="AJ191" s="87" t="s">
        <v>88</v>
      </c>
      <c r="AK191" s="87">
        <v>1</v>
      </c>
      <c r="BB191" s="210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291</v>
      </c>
      <c r="B192" s="63" t="s">
        <v>292</v>
      </c>
      <c r="C192" s="36">
        <v>4301071109</v>
      </c>
      <c r="D192" s="279">
        <v>4607111035929</v>
      </c>
      <c r="E192" s="279"/>
      <c r="F192" s="62">
        <v>0.9</v>
      </c>
      <c r="G192" s="37">
        <v>8</v>
      </c>
      <c r="H192" s="62">
        <v>7.2</v>
      </c>
      <c r="I192" s="62">
        <v>7.47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324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81"/>
      <c r="R192" s="281"/>
      <c r="S192" s="281"/>
      <c r="T192" s="28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290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4301071106</v>
      </c>
      <c r="D193" s="279">
        <v>4607111035882</v>
      </c>
      <c r="E193" s="279"/>
      <c r="F193" s="62">
        <v>0.43</v>
      </c>
      <c r="G193" s="37">
        <v>16</v>
      </c>
      <c r="H193" s="62">
        <v>6.88</v>
      </c>
      <c r="I193" s="62">
        <v>7.19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325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81"/>
      <c r="R193" s="281"/>
      <c r="S193" s="281"/>
      <c r="T193" s="28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290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295</v>
      </c>
      <c r="B194" s="63" t="s">
        <v>296</v>
      </c>
      <c r="C194" s="36">
        <v>4301071105</v>
      </c>
      <c r="D194" s="279">
        <v>4607111035110</v>
      </c>
      <c r="E194" s="279"/>
      <c r="F194" s="62">
        <v>0.9</v>
      </c>
      <c r="G194" s="37">
        <v>8</v>
      </c>
      <c r="H194" s="62">
        <v>7.2</v>
      </c>
      <c r="I194" s="62">
        <v>7.47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32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81"/>
      <c r="R194" s="281"/>
      <c r="S194" s="281"/>
      <c r="T194" s="282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290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7"/>
      <c r="P195" s="283" t="s">
        <v>40</v>
      </c>
      <c r="Q195" s="284"/>
      <c r="R195" s="284"/>
      <c r="S195" s="284"/>
      <c r="T195" s="284"/>
      <c r="U195" s="284"/>
      <c r="V195" s="285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7"/>
      <c r="P196" s="283" t="s">
        <v>40</v>
      </c>
      <c r="Q196" s="284"/>
      <c r="R196" s="284"/>
      <c r="S196" s="284"/>
      <c r="T196" s="284"/>
      <c r="U196" s="284"/>
      <c r="V196" s="285"/>
      <c r="W196" s="42" t="s">
        <v>0</v>
      </c>
      <c r="X196" s="43">
        <f>IFERROR(SUMPRODUCT(X191:X194*H191:H194),"0")</f>
        <v>0</v>
      </c>
      <c r="Y196" s="43">
        <f>IFERROR(SUMPRODUCT(Y191:Y194*H191:H194),"0")</f>
        <v>0</v>
      </c>
      <c r="Z196" s="42"/>
      <c r="AA196" s="67"/>
      <c r="AB196" s="67"/>
      <c r="AC196" s="67"/>
    </row>
    <row r="197" spans="1:68" ht="16.5" customHeight="1" x14ac:dyDescent="0.25">
      <c r="A197" s="308" t="s">
        <v>297</v>
      </c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  <c r="AA197" s="65"/>
      <c r="AB197" s="65"/>
      <c r="AC197" s="82"/>
    </row>
    <row r="198" spans="1:68" ht="14.25" customHeight="1" x14ac:dyDescent="0.25">
      <c r="A198" s="297" t="s">
        <v>81</v>
      </c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66"/>
      <c r="AB198" s="66"/>
      <c r="AC198" s="83"/>
    </row>
    <row r="199" spans="1:68" ht="27" customHeight="1" x14ac:dyDescent="0.25">
      <c r="A199" s="63" t="s">
        <v>298</v>
      </c>
      <c r="B199" s="63" t="s">
        <v>299</v>
      </c>
      <c r="C199" s="36">
        <v>4301071097</v>
      </c>
      <c r="D199" s="279">
        <v>4620207491096</v>
      </c>
      <c r="E199" s="279"/>
      <c r="F199" s="62">
        <v>1</v>
      </c>
      <c r="G199" s="37">
        <v>5</v>
      </c>
      <c r="H199" s="62">
        <v>5</v>
      </c>
      <c r="I199" s="62">
        <v>5.23</v>
      </c>
      <c r="J199" s="37">
        <v>84</v>
      </c>
      <c r="K199" s="37" t="s">
        <v>86</v>
      </c>
      <c r="L199" s="37" t="s">
        <v>96</v>
      </c>
      <c r="M199" s="38" t="s">
        <v>85</v>
      </c>
      <c r="N199" s="38"/>
      <c r="O199" s="37">
        <v>180</v>
      </c>
      <c r="P199" s="3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81"/>
      <c r="R199" s="281"/>
      <c r="S199" s="281"/>
      <c r="T199" s="28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IFERROR(IF(X199="","",X199*0.0155),"")</f>
        <v>0</v>
      </c>
      <c r="AA199" s="68" t="s">
        <v>46</v>
      </c>
      <c r="AB199" s="69" t="s">
        <v>46</v>
      </c>
      <c r="AC199" s="217" t="s">
        <v>300</v>
      </c>
      <c r="AG199" s="81"/>
      <c r="AJ199" s="87" t="s">
        <v>97</v>
      </c>
      <c r="AK199" s="87">
        <v>12</v>
      </c>
      <c r="BB199" s="218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7"/>
      <c r="P200" s="283" t="s">
        <v>40</v>
      </c>
      <c r="Q200" s="284"/>
      <c r="R200" s="284"/>
      <c r="S200" s="284"/>
      <c r="T200" s="284"/>
      <c r="U200" s="284"/>
      <c r="V200" s="28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7"/>
      <c r="P201" s="283" t="s">
        <v>40</v>
      </c>
      <c r="Q201" s="284"/>
      <c r="R201" s="284"/>
      <c r="S201" s="284"/>
      <c r="T201" s="284"/>
      <c r="U201" s="284"/>
      <c r="V201" s="28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6.5" customHeight="1" x14ac:dyDescent="0.25">
      <c r="A202" s="308" t="s">
        <v>301</v>
      </c>
      <c r="B202" s="308"/>
      <c r="C202" s="308"/>
      <c r="D202" s="308"/>
      <c r="E202" s="308"/>
      <c r="F202" s="308"/>
      <c r="G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  <c r="AA202" s="65"/>
      <c r="AB202" s="65"/>
      <c r="AC202" s="82"/>
    </row>
    <row r="203" spans="1:68" ht="14.25" customHeight="1" x14ac:dyDescent="0.25">
      <c r="A203" s="297" t="s">
        <v>81</v>
      </c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66"/>
      <c r="AB203" s="66"/>
      <c r="AC203" s="83"/>
    </row>
    <row r="204" spans="1:68" ht="27" customHeight="1" x14ac:dyDescent="0.25">
      <c r="A204" s="63" t="s">
        <v>302</v>
      </c>
      <c r="B204" s="63" t="s">
        <v>303</v>
      </c>
      <c r="C204" s="36">
        <v>4301071093</v>
      </c>
      <c r="D204" s="279">
        <v>4620207490709</v>
      </c>
      <c r="E204" s="279"/>
      <c r="F204" s="62">
        <v>0.65</v>
      </c>
      <c r="G204" s="37">
        <v>8</v>
      </c>
      <c r="H204" s="62">
        <v>5.2</v>
      </c>
      <c r="I204" s="62">
        <v>5.47</v>
      </c>
      <c r="J204" s="37">
        <v>84</v>
      </c>
      <c r="K204" s="37" t="s">
        <v>86</v>
      </c>
      <c r="L204" s="37" t="s">
        <v>87</v>
      </c>
      <c r="M204" s="38" t="s">
        <v>85</v>
      </c>
      <c r="N204" s="38"/>
      <c r="O204" s="37">
        <v>180</v>
      </c>
      <c r="P204" s="32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81"/>
      <c r="R204" s="281"/>
      <c r="S204" s="281"/>
      <c r="T204" s="28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19" t="s">
        <v>304</v>
      </c>
      <c r="AG204" s="81"/>
      <c r="AJ204" s="87" t="s">
        <v>88</v>
      </c>
      <c r="AK204" s="87">
        <v>1</v>
      </c>
      <c r="BB204" s="220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7"/>
      <c r="P205" s="283" t="s">
        <v>40</v>
      </c>
      <c r="Q205" s="284"/>
      <c r="R205" s="284"/>
      <c r="S205" s="284"/>
      <c r="T205" s="284"/>
      <c r="U205" s="284"/>
      <c r="V205" s="285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7"/>
      <c r="P206" s="283" t="s">
        <v>40</v>
      </c>
      <c r="Q206" s="284"/>
      <c r="R206" s="284"/>
      <c r="S206" s="284"/>
      <c r="T206" s="284"/>
      <c r="U206" s="284"/>
      <c r="V206" s="285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4.25" customHeight="1" x14ac:dyDescent="0.25">
      <c r="A207" s="297" t="s">
        <v>134</v>
      </c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66"/>
      <c r="AB207" s="66"/>
      <c r="AC207" s="83"/>
    </row>
    <row r="208" spans="1:68" ht="27" customHeight="1" x14ac:dyDescent="0.25">
      <c r="A208" s="63" t="s">
        <v>305</v>
      </c>
      <c r="B208" s="63" t="s">
        <v>306</v>
      </c>
      <c r="C208" s="36">
        <v>4301135692</v>
      </c>
      <c r="D208" s="279">
        <v>4620207490570</v>
      </c>
      <c r="E208" s="279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95</v>
      </c>
      <c r="L208" s="37" t="s">
        <v>87</v>
      </c>
      <c r="M208" s="38" t="s">
        <v>85</v>
      </c>
      <c r="N208" s="38"/>
      <c r="O208" s="37">
        <v>180</v>
      </c>
      <c r="P208" s="321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81"/>
      <c r="R208" s="281"/>
      <c r="S208" s="281"/>
      <c r="T208" s="282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21" t="s">
        <v>307</v>
      </c>
      <c r="AG208" s="81"/>
      <c r="AJ208" s="87" t="s">
        <v>88</v>
      </c>
      <c r="AK208" s="87">
        <v>1</v>
      </c>
      <c r="BB208" s="222" t="s">
        <v>94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308</v>
      </c>
      <c r="B209" s="63" t="s">
        <v>309</v>
      </c>
      <c r="C209" s="36">
        <v>4301135691</v>
      </c>
      <c r="D209" s="279">
        <v>4620207490549</v>
      </c>
      <c r="E209" s="27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87</v>
      </c>
      <c r="M209" s="38" t="s">
        <v>85</v>
      </c>
      <c r="N209" s="38"/>
      <c r="O209" s="37">
        <v>180</v>
      </c>
      <c r="P209" s="31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1"/>
      <c r="R209" s="281"/>
      <c r="S209" s="281"/>
      <c r="T209" s="28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307</v>
      </c>
      <c r="AG209" s="81"/>
      <c r="AJ209" s="87" t="s">
        <v>88</v>
      </c>
      <c r="AK209" s="87">
        <v>1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310</v>
      </c>
      <c r="B210" s="63" t="s">
        <v>311</v>
      </c>
      <c r="C210" s="36">
        <v>4301135694</v>
      </c>
      <c r="D210" s="279">
        <v>4620207490501</v>
      </c>
      <c r="E210" s="27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87</v>
      </c>
      <c r="M210" s="38" t="s">
        <v>85</v>
      </c>
      <c r="N210" s="38"/>
      <c r="O210" s="37">
        <v>180</v>
      </c>
      <c r="P210" s="31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1"/>
      <c r="R210" s="281"/>
      <c r="S210" s="281"/>
      <c r="T210" s="28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307</v>
      </c>
      <c r="AG210" s="81"/>
      <c r="AJ210" s="87" t="s">
        <v>88</v>
      </c>
      <c r="AK210" s="87">
        <v>1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7"/>
      <c r="P211" s="283" t="s">
        <v>40</v>
      </c>
      <c r="Q211" s="284"/>
      <c r="R211" s="284"/>
      <c r="S211" s="284"/>
      <c r="T211" s="284"/>
      <c r="U211" s="284"/>
      <c r="V211" s="285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7"/>
      <c r="P212" s="283" t="s">
        <v>40</v>
      </c>
      <c r="Q212" s="284"/>
      <c r="R212" s="284"/>
      <c r="S212" s="284"/>
      <c r="T212" s="284"/>
      <c r="U212" s="284"/>
      <c r="V212" s="285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customHeight="1" x14ac:dyDescent="0.25">
      <c r="A213" s="308" t="s">
        <v>312</v>
      </c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  <c r="AA213" s="65"/>
      <c r="AB213" s="65"/>
      <c r="AC213" s="82"/>
    </row>
    <row r="214" spans="1:68" ht="14.25" customHeight="1" x14ac:dyDescent="0.25">
      <c r="A214" s="297" t="s">
        <v>81</v>
      </c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66"/>
      <c r="AB214" s="66"/>
      <c r="AC214" s="83"/>
    </row>
    <row r="215" spans="1:68" ht="16.5" customHeight="1" x14ac:dyDescent="0.25">
      <c r="A215" s="63" t="s">
        <v>313</v>
      </c>
      <c r="B215" s="63" t="s">
        <v>314</v>
      </c>
      <c r="C215" s="36">
        <v>4301071099</v>
      </c>
      <c r="D215" s="279">
        <v>4607111039019</v>
      </c>
      <c r="E215" s="279"/>
      <c r="F215" s="62">
        <v>0.43</v>
      </c>
      <c r="G215" s="37">
        <v>16</v>
      </c>
      <c r="H215" s="62">
        <v>6.88</v>
      </c>
      <c r="I215" s="62">
        <v>7.2060000000000004</v>
      </c>
      <c r="J215" s="37">
        <v>84</v>
      </c>
      <c r="K215" s="37" t="s">
        <v>86</v>
      </c>
      <c r="L215" s="37" t="s">
        <v>87</v>
      </c>
      <c r="M215" s="38" t="s">
        <v>85</v>
      </c>
      <c r="N215" s="38"/>
      <c r="O215" s="37">
        <v>180</v>
      </c>
      <c r="P215" s="31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81"/>
      <c r="R215" s="281"/>
      <c r="S215" s="281"/>
      <c r="T215" s="28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27" t="s">
        <v>315</v>
      </c>
      <c r="AG215" s="81"/>
      <c r="AJ215" s="87" t="s">
        <v>88</v>
      </c>
      <c r="AK215" s="87">
        <v>1</v>
      </c>
      <c r="BB215" s="228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16.5" customHeight="1" x14ac:dyDescent="0.25">
      <c r="A216" s="63" t="s">
        <v>316</v>
      </c>
      <c r="B216" s="63" t="s">
        <v>317</v>
      </c>
      <c r="C216" s="36">
        <v>4301071100</v>
      </c>
      <c r="D216" s="279">
        <v>4607111038708</v>
      </c>
      <c r="E216" s="279"/>
      <c r="F216" s="62">
        <v>0.8</v>
      </c>
      <c r="G216" s="37">
        <v>8</v>
      </c>
      <c r="H216" s="62">
        <v>6.4</v>
      </c>
      <c r="I216" s="62">
        <v>6.67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31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81"/>
      <c r="R216" s="281"/>
      <c r="S216" s="281"/>
      <c r="T216" s="28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315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7"/>
      <c r="P217" s="283" t="s">
        <v>40</v>
      </c>
      <c r="Q217" s="284"/>
      <c r="R217" s="284"/>
      <c r="S217" s="284"/>
      <c r="T217" s="284"/>
      <c r="U217" s="284"/>
      <c r="V217" s="285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7"/>
      <c r="P218" s="283" t="s">
        <v>40</v>
      </c>
      <c r="Q218" s="284"/>
      <c r="R218" s="284"/>
      <c r="S218" s="284"/>
      <c r="T218" s="284"/>
      <c r="U218" s="284"/>
      <c r="V218" s="285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07" t="s">
        <v>318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54"/>
      <c r="AB219" s="54"/>
      <c r="AC219" s="54"/>
    </row>
    <row r="220" spans="1:68" ht="16.5" customHeight="1" x14ac:dyDescent="0.25">
      <c r="A220" s="308" t="s">
        <v>319</v>
      </c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  <c r="AA220" s="65"/>
      <c r="AB220" s="65"/>
      <c r="AC220" s="82"/>
    </row>
    <row r="221" spans="1:68" ht="14.25" customHeight="1" x14ac:dyDescent="0.25">
      <c r="A221" s="297" t="s">
        <v>81</v>
      </c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66"/>
      <c r="AB221" s="66"/>
      <c r="AC221" s="83"/>
    </row>
    <row r="222" spans="1:68" ht="27" customHeight="1" x14ac:dyDescent="0.25">
      <c r="A222" s="63" t="s">
        <v>320</v>
      </c>
      <c r="B222" s="63" t="s">
        <v>321</v>
      </c>
      <c r="C222" s="36">
        <v>4301071036</v>
      </c>
      <c r="D222" s="279">
        <v>4607111036162</v>
      </c>
      <c r="E222" s="279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86</v>
      </c>
      <c r="L222" s="37" t="s">
        <v>87</v>
      </c>
      <c r="M222" s="38" t="s">
        <v>85</v>
      </c>
      <c r="N222" s="38"/>
      <c r="O222" s="37">
        <v>90</v>
      </c>
      <c r="P222" s="31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1"/>
      <c r="R222" s="281"/>
      <c r="S222" s="281"/>
      <c r="T222" s="282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1" t="s">
        <v>322</v>
      </c>
      <c r="AG222" s="81"/>
      <c r="AJ222" s="87" t="s">
        <v>88</v>
      </c>
      <c r="AK222" s="87">
        <v>1</v>
      </c>
      <c r="BB222" s="232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7"/>
      <c r="P223" s="283" t="s">
        <v>40</v>
      </c>
      <c r="Q223" s="284"/>
      <c r="R223" s="284"/>
      <c r="S223" s="284"/>
      <c r="T223" s="284"/>
      <c r="U223" s="284"/>
      <c r="V223" s="28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7"/>
      <c r="P224" s="283" t="s">
        <v>40</v>
      </c>
      <c r="Q224" s="284"/>
      <c r="R224" s="284"/>
      <c r="S224" s="284"/>
      <c r="T224" s="284"/>
      <c r="U224" s="284"/>
      <c r="V224" s="28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07" t="s">
        <v>323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54"/>
      <c r="AB225" s="54"/>
      <c r="AC225" s="54"/>
    </row>
    <row r="226" spans="1:68" ht="16.5" customHeight="1" x14ac:dyDescent="0.25">
      <c r="A226" s="308" t="s">
        <v>324</v>
      </c>
      <c r="B226" s="308"/>
      <c r="C226" s="308"/>
      <c r="D226" s="308"/>
      <c r="E226" s="308"/>
      <c r="F226" s="308"/>
      <c r="G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  <c r="AA226" s="65"/>
      <c r="AB226" s="65"/>
      <c r="AC226" s="82"/>
    </row>
    <row r="227" spans="1:68" ht="14.25" customHeight="1" x14ac:dyDescent="0.25">
      <c r="A227" s="297" t="s">
        <v>81</v>
      </c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66"/>
      <c r="AB227" s="66"/>
      <c r="AC227" s="83"/>
    </row>
    <row r="228" spans="1:68" ht="27" customHeight="1" x14ac:dyDescent="0.25">
      <c r="A228" s="63" t="s">
        <v>325</v>
      </c>
      <c r="B228" s="63" t="s">
        <v>326</v>
      </c>
      <c r="C228" s="36">
        <v>4301071029</v>
      </c>
      <c r="D228" s="279">
        <v>4607111035899</v>
      </c>
      <c r="E228" s="279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86</v>
      </c>
      <c r="L228" s="37" t="s">
        <v>87</v>
      </c>
      <c r="M228" s="38" t="s">
        <v>85</v>
      </c>
      <c r="N228" s="38"/>
      <c r="O228" s="37">
        <v>180</v>
      </c>
      <c r="P228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1"/>
      <c r="R228" s="281"/>
      <c r="S228" s="281"/>
      <c r="T228" s="282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33" t="s">
        <v>250</v>
      </c>
      <c r="AG228" s="81"/>
      <c r="AJ228" s="87" t="s">
        <v>88</v>
      </c>
      <c r="AK228" s="87">
        <v>1</v>
      </c>
      <c r="BB228" s="234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7"/>
      <c r="P229" s="283" t="s">
        <v>40</v>
      </c>
      <c r="Q229" s="284"/>
      <c r="R229" s="284"/>
      <c r="S229" s="284"/>
      <c r="T229" s="284"/>
      <c r="U229" s="284"/>
      <c r="V229" s="28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7"/>
      <c r="P230" s="283" t="s">
        <v>40</v>
      </c>
      <c r="Q230" s="284"/>
      <c r="R230" s="284"/>
      <c r="S230" s="284"/>
      <c r="T230" s="284"/>
      <c r="U230" s="284"/>
      <c r="V230" s="28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07" t="s">
        <v>327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54"/>
      <c r="AB231" s="54"/>
      <c r="AC231" s="54"/>
    </row>
    <row r="232" spans="1:68" ht="16.5" customHeight="1" x14ac:dyDescent="0.25">
      <c r="A232" s="308" t="s">
        <v>328</v>
      </c>
      <c r="B232" s="308"/>
      <c r="C232" s="308"/>
      <c r="D232" s="308"/>
      <c r="E232" s="308"/>
      <c r="F232" s="308"/>
      <c r="G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  <c r="AA232" s="65"/>
      <c r="AB232" s="65"/>
      <c r="AC232" s="82"/>
    </row>
    <row r="233" spans="1:68" ht="14.25" customHeight="1" x14ac:dyDescent="0.25">
      <c r="A233" s="297" t="s">
        <v>329</v>
      </c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66"/>
      <c r="AB233" s="66"/>
      <c r="AC233" s="83"/>
    </row>
    <row r="234" spans="1:68" ht="27" customHeight="1" x14ac:dyDescent="0.25">
      <c r="A234" s="63" t="s">
        <v>330</v>
      </c>
      <c r="B234" s="63" t="s">
        <v>331</v>
      </c>
      <c r="C234" s="36">
        <v>4301133004</v>
      </c>
      <c r="D234" s="279">
        <v>4607111039774</v>
      </c>
      <c r="E234" s="279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95</v>
      </c>
      <c r="L234" s="37" t="s">
        <v>87</v>
      </c>
      <c r="M234" s="38" t="s">
        <v>85</v>
      </c>
      <c r="N234" s="38"/>
      <c r="O234" s="37">
        <v>180</v>
      </c>
      <c r="P234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1"/>
      <c r="R234" s="281"/>
      <c r="S234" s="281"/>
      <c r="T234" s="282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35" t="s">
        <v>332</v>
      </c>
      <c r="AG234" s="81"/>
      <c r="AJ234" s="87" t="s">
        <v>88</v>
      </c>
      <c r="AK234" s="87">
        <v>1</v>
      </c>
      <c r="BB234" s="236" t="s">
        <v>94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7"/>
      <c r="P235" s="283" t="s">
        <v>40</v>
      </c>
      <c r="Q235" s="284"/>
      <c r="R235" s="284"/>
      <c r="S235" s="284"/>
      <c r="T235" s="284"/>
      <c r="U235" s="284"/>
      <c r="V235" s="28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7"/>
      <c r="P236" s="283" t="s">
        <v>40</v>
      </c>
      <c r="Q236" s="284"/>
      <c r="R236" s="284"/>
      <c r="S236" s="284"/>
      <c r="T236" s="284"/>
      <c r="U236" s="284"/>
      <c r="V236" s="28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297" t="s">
        <v>134</v>
      </c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66"/>
      <c r="AB237" s="66"/>
      <c r="AC237" s="83"/>
    </row>
    <row r="238" spans="1:68" ht="37.5" customHeight="1" x14ac:dyDescent="0.25">
      <c r="A238" s="63" t="s">
        <v>333</v>
      </c>
      <c r="B238" s="63" t="s">
        <v>334</v>
      </c>
      <c r="C238" s="36">
        <v>4301135400</v>
      </c>
      <c r="D238" s="279">
        <v>4607111039361</v>
      </c>
      <c r="E238" s="279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95</v>
      </c>
      <c r="L238" s="37" t="s">
        <v>87</v>
      </c>
      <c r="M238" s="38" t="s">
        <v>85</v>
      </c>
      <c r="N238" s="38"/>
      <c r="O238" s="37">
        <v>180</v>
      </c>
      <c r="P238" s="31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1"/>
      <c r="R238" s="281"/>
      <c r="S238" s="281"/>
      <c r="T238" s="282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37" t="s">
        <v>332</v>
      </c>
      <c r="AG238" s="81"/>
      <c r="AJ238" s="87" t="s">
        <v>88</v>
      </c>
      <c r="AK238" s="87">
        <v>1</v>
      </c>
      <c r="BB238" s="238" t="s">
        <v>94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7"/>
      <c r="P239" s="283" t="s">
        <v>40</v>
      </c>
      <c r="Q239" s="284"/>
      <c r="R239" s="284"/>
      <c r="S239" s="284"/>
      <c r="T239" s="284"/>
      <c r="U239" s="284"/>
      <c r="V239" s="28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7"/>
      <c r="P240" s="283" t="s">
        <v>40</v>
      </c>
      <c r="Q240" s="284"/>
      <c r="R240" s="284"/>
      <c r="S240" s="284"/>
      <c r="T240" s="284"/>
      <c r="U240" s="284"/>
      <c r="V240" s="28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07" t="s">
        <v>335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54"/>
      <c r="AB241" s="54"/>
      <c r="AC241" s="54"/>
    </row>
    <row r="242" spans="1:68" ht="16.5" customHeight="1" x14ac:dyDescent="0.25">
      <c r="A242" s="308" t="s">
        <v>335</v>
      </c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  <c r="AA242" s="65"/>
      <c r="AB242" s="65"/>
      <c r="AC242" s="82"/>
    </row>
    <row r="243" spans="1:68" ht="14.25" customHeight="1" x14ac:dyDescent="0.25">
      <c r="A243" s="297" t="s">
        <v>81</v>
      </c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66"/>
      <c r="AB243" s="66"/>
      <c r="AC243" s="83"/>
    </row>
    <row r="244" spans="1:68" ht="27" customHeight="1" x14ac:dyDescent="0.25">
      <c r="A244" s="63" t="s">
        <v>336</v>
      </c>
      <c r="B244" s="63" t="s">
        <v>337</v>
      </c>
      <c r="C244" s="36">
        <v>4301071014</v>
      </c>
      <c r="D244" s="279">
        <v>4640242181264</v>
      </c>
      <c r="E244" s="279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1"/>
      <c r="R244" s="281"/>
      <c r="S244" s="281"/>
      <c r="T244" s="282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39" t="s">
        <v>338</v>
      </c>
      <c r="AG244" s="81"/>
      <c r="AJ244" s="87" t="s">
        <v>88</v>
      </c>
      <c r="AK244" s="87">
        <v>1</v>
      </c>
      <c r="BB244" s="240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339</v>
      </c>
      <c r="B245" s="63" t="s">
        <v>340</v>
      </c>
      <c r="C245" s="36">
        <v>4301071021</v>
      </c>
      <c r="D245" s="279">
        <v>4640242181325</v>
      </c>
      <c r="E245" s="279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31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1"/>
      <c r="R245" s="281"/>
      <c r="S245" s="281"/>
      <c r="T245" s="282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338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341</v>
      </c>
      <c r="B246" s="63" t="s">
        <v>342</v>
      </c>
      <c r="C246" s="36">
        <v>4301070993</v>
      </c>
      <c r="D246" s="279">
        <v>4640242180670</v>
      </c>
      <c r="E246" s="279"/>
      <c r="F246" s="62">
        <v>1</v>
      </c>
      <c r="G246" s="37">
        <v>6</v>
      </c>
      <c r="H246" s="62">
        <v>6</v>
      </c>
      <c r="I246" s="62">
        <v>6.23</v>
      </c>
      <c r="J246" s="37">
        <v>84</v>
      </c>
      <c r="K246" s="37" t="s">
        <v>86</v>
      </c>
      <c r="L246" s="37" t="s">
        <v>87</v>
      </c>
      <c r="M246" s="38" t="s">
        <v>85</v>
      </c>
      <c r="N246" s="38"/>
      <c r="O246" s="37">
        <v>180</v>
      </c>
      <c r="P246" s="311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81"/>
      <c r="R246" s="281"/>
      <c r="S246" s="281"/>
      <c r="T246" s="28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343</v>
      </c>
      <c r="AG246" s="81"/>
      <c r="AJ246" s="87" t="s">
        <v>88</v>
      </c>
      <c r="AK246" s="87">
        <v>1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7"/>
      <c r="P247" s="283" t="s">
        <v>40</v>
      </c>
      <c r="Q247" s="284"/>
      <c r="R247" s="284"/>
      <c r="S247" s="284"/>
      <c r="T247" s="284"/>
      <c r="U247" s="284"/>
      <c r="V247" s="285"/>
      <c r="W247" s="42" t="s">
        <v>39</v>
      </c>
      <c r="X247" s="43">
        <f>IFERROR(SUM(X244:X246),"0")</f>
        <v>0</v>
      </c>
      <c r="Y247" s="43">
        <f>IFERROR(SUM(Y244:Y246),"0")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7"/>
      <c r="P248" s="283" t="s">
        <v>40</v>
      </c>
      <c r="Q248" s="284"/>
      <c r="R248" s="284"/>
      <c r="S248" s="284"/>
      <c r="T248" s="284"/>
      <c r="U248" s="284"/>
      <c r="V248" s="285"/>
      <c r="W248" s="42" t="s">
        <v>0</v>
      </c>
      <c r="X248" s="43">
        <f>IFERROR(SUMPRODUCT(X244:X246*H244:H246),"0")</f>
        <v>0</v>
      </c>
      <c r="Y248" s="43">
        <f>IFERROR(SUMPRODUCT(Y244:Y246*H244:H246),"0")</f>
        <v>0</v>
      </c>
      <c r="Z248" s="42"/>
      <c r="AA248" s="67"/>
      <c r="AB248" s="67"/>
      <c r="AC248" s="67"/>
    </row>
    <row r="249" spans="1:68" ht="14.25" customHeight="1" x14ac:dyDescent="0.25">
      <c r="A249" s="297" t="s">
        <v>90</v>
      </c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  <c r="AA249" s="66"/>
      <c r="AB249" s="66"/>
      <c r="AC249" s="83"/>
    </row>
    <row r="250" spans="1:68" ht="27" customHeight="1" x14ac:dyDescent="0.25">
      <c r="A250" s="63" t="s">
        <v>344</v>
      </c>
      <c r="B250" s="63" t="s">
        <v>345</v>
      </c>
      <c r="C250" s="36">
        <v>4301132080</v>
      </c>
      <c r="D250" s="279">
        <v>4640242180397</v>
      </c>
      <c r="E250" s="279"/>
      <c r="F250" s="62">
        <v>1</v>
      </c>
      <c r="G250" s="37">
        <v>6</v>
      </c>
      <c r="H250" s="62">
        <v>6</v>
      </c>
      <c r="I250" s="62">
        <v>6.26</v>
      </c>
      <c r="J250" s="37">
        <v>84</v>
      </c>
      <c r="K250" s="37" t="s">
        <v>86</v>
      </c>
      <c r="L250" s="37" t="s">
        <v>96</v>
      </c>
      <c r="M250" s="38" t="s">
        <v>85</v>
      </c>
      <c r="N250" s="38"/>
      <c r="O250" s="37">
        <v>180</v>
      </c>
      <c r="P250" s="30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81"/>
      <c r="R250" s="281"/>
      <c r="S250" s="281"/>
      <c r="T250" s="282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45" t="s">
        <v>346</v>
      </c>
      <c r="AG250" s="81"/>
      <c r="AJ250" s="87" t="s">
        <v>97</v>
      </c>
      <c r="AK250" s="87">
        <v>12</v>
      </c>
      <c r="BB250" s="246" t="s">
        <v>94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347</v>
      </c>
      <c r="B251" s="63" t="s">
        <v>348</v>
      </c>
      <c r="C251" s="36">
        <v>4301132104</v>
      </c>
      <c r="D251" s="279">
        <v>4640242181219</v>
      </c>
      <c r="E251" s="279"/>
      <c r="F251" s="62">
        <v>0.3</v>
      </c>
      <c r="G251" s="37">
        <v>9</v>
      </c>
      <c r="H251" s="62">
        <v>2.7</v>
      </c>
      <c r="I251" s="62">
        <v>2.8450000000000002</v>
      </c>
      <c r="J251" s="37">
        <v>234</v>
      </c>
      <c r="K251" s="37" t="s">
        <v>146</v>
      </c>
      <c r="L251" s="37" t="s">
        <v>87</v>
      </c>
      <c r="M251" s="38" t="s">
        <v>85</v>
      </c>
      <c r="N251" s="38"/>
      <c r="O251" s="37">
        <v>180</v>
      </c>
      <c r="P251" s="30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81"/>
      <c r="R251" s="281"/>
      <c r="S251" s="281"/>
      <c r="T251" s="282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IFERROR(IF(X251="","",X251*0.00502),"")</f>
        <v>0</v>
      </c>
      <c r="AA251" s="68" t="s">
        <v>46</v>
      </c>
      <c r="AB251" s="69" t="s">
        <v>46</v>
      </c>
      <c r="AC251" s="247" t="s">
        <v>346</v>
      </c>
      <c r="AG251" s="81"/>
      <c r="AJ251" s="87" t="s">
        <v>88</v>
      </c>
      <c r="AK251" s="87">
        <v>1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7"/>
      <c r="P252" s="283" t="s">
        <v>40</v>
      </c>
      <c r="Q252" s="284"/>
      <c r="R252" s="284"/>
      <c r="S252" s="284"/>
      <c r="T252" s="284"/>
      <c r="U252" s="284"/>
      <c r="V252" s="285"/>
      <c r="W252" s="42" t="s">
        <v>39</v>
      </c>
      <c r="X252" s="43">
        <f>IFERROR(SUM(X250:X251),"0")</f>
        <v>0</v>
      </c>
      <c r="Y252" s="43">
        <f>IFERROR(SUM(Y250:Y251),"0")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7"/>
      <c r="P253" s="283" t="s">
        <v>40</v>
      </c>
      <c r="Q253" s="284"/>
      <c r="R253" s="284"/>
      <c r="S253" s="284"/>
      <c r="T253" s="284"/>
      <c r="U253" s="284"/>
      <c r="V253" s="285"/>
      <c r="W253" s="42" t="s">
        <v>0</v>
      </c>
      <c r="X253" s="43">
        <f>IFERROR(SUMPRODUCT(X250:X251*H250:H251),"0")</f>
        <v>0</v>
      </c>
      <c r="Y253" s="43">
        <f>IFERROR(SUMPRODUCT(Y250:Y251*H250:H251),"0")</f>
        <v>0</v>
      </c>
      <c r="Z253" s="42"/>
      <c r="AA253" s="67"/>
      <c r="AB253" s="67"/>
      <c r="AC253" s="67"/>
    </row>
    <row r="254" spans="1:68" ht="14.25" customHeight="1" x14ac:dyDescent="0.25">
      <c r="A254" s="297" t="s">
        <v>128</v>
      </c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  <c r="AA254" s="66"/>
      <c r="AB254" s="66"/>
      <c r="AC254" s="83"/>
    </row>
    <row r="255" spans="1:68" ht="27" customHeight="1" x14ac:dyDescent="0.25">
      <c r="A255" s="63" t="s">
        <v>349</v>
      </c>
      <c r="B255" s="63" t="s">
        <v>350</v>
      </c>
      <c r="C255" s="36">
        <v>4301136051</v>
      </c>
      <c r="D255" s="279">
        <v>4640242180304</v>
      </c>
      <c r="E255" s="279"/>
      <c r="F255" s="62">
        <v>2.7</v>
      </c>
      <c r="G255" s="37">
        <v>1</v>
      </c>
      <c r="H255" s="62">
        <v>2.7</v>
      </c>
      <c r="I255" s="62">
        <v>2.8906000000000001</v>
      </c>
      <c r="J255" s="37">
        <v>126</v>
      </c>
      <c r="K255" s="37" t="s">
        <v>95</v>
      </c>
      <c r="L255" s="37" t="s">
        <v>96</v>
      </c>
      <c r="M255" s="38" t="s">
        <v>85</v>
      </c>
      <c r="N255" s="38"/>
      <c r="O255" s="37">
        <v>180</v>
      </c>
      <c r="P255" s="30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81"/>
      <c r="R255" s="281"/>
      <c r="S255" s="281"/>
      <c r="T255" s="282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49" t="s">
        <v>351</v>
      </c>
      <c r="AG255" s="81"/>
      <c r="AJ255" s="87" t="s">
        <v>97</v>
      </c>
      <c r="AK255" s="87">
        <v>14</v>
      </c>
      <c r="BB255" s="250" t="s">
        <v>94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352</v>
      </c>
      <c r="B256" s="63" t="s">
        <v>353</v>
      </c>
      <c r="C256" s="36">
        <v>4301136053</v>
      </c>
      <c r="D256" s="279">
        <v>4640242180236</v>
      </c>
      <c r="E256" s="279"/>
      <c r="F256" s="62">
        <v>5</v>
      </c>
      <c r="G256" s="37">
        <v>1</v>
      </c>
      <c r="H256" s="62">
        <v>5</v>
      </c>
      <c r="I256" s="62">
        <v>5.2350000000000003</v>
      </c>
      <c r="J256" s="37">
        <v>84</v>
      </c>
      <c r="K256" s="37" t="s">
        <v>86</v>
      </c>
      <c r="L256" s="37" t="s">
        <v>96</v>
      </c>
      <c r="M256" s="38" t="s">
        <v>85</v>
      </c>
      <c r="N256" s="38"/>
      <c r="O256" s="37">
        <v>180</v>
      </c>
      <c r="P256" s="30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81"/>
      <c r="R256" s="281"/>
      <c r="S256" s="281"/>
      <c r="T256" s="282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1" t="s">
        <v>351</v>
      </c>
      <c r="AG256" s="81"/>
      <c r="AJ256" s="87" t="s">
        <v>97</v>
      </c>
      <c r="AK256" s="87">
        <v>12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354</v>
      </c>
      <c r="B257" s="63" t="s">
        <v>355</v>
      </c>
      <c r="C257" s="36">
        <v>4301136052</v>
      </c>
      <c r="D257" s="279">
        <v>4640242180410</v>
      </c>
      <c r="E257" s="279"/>
      <c r="F257" s="62">
        <v>2.2400000000000002</v>
      </c>
      <c r="G257" s="37">
        <v>1</v>
      </c>
      <c r="H257" s="62">
        <v>2.2400000000000002</v>
      </c>
      <c r="I257" s="62">
        <v>2.4319999999999999</v>
      </c>
      <c r="J257" s="37">
        <v>126</v>
      </c>
      <c r="K257" s="37" t="s">
        <v>95</v>
      </c>
      <c r="L257" s="37" t="s">
        <v>87</v>
      </c>
      <c r="M257" s="38" t="s">
        <v>85</v>
      </c>
      <c r="N257" s="38"/>
      <c r="O257" s="37">
        <v>180</v>
      </c>
      <c r="P257" s="30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81"/>
      <c r="R257" s="281"/>
      <c r="S257" s="281"/>
      <c r="T257" s="28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3" t="s">
        <v>351</v>
      </c>
      <c r="AG257" s="81"/>
      <c r="AJ257" s="87" t="s">
        <v>88</v>
      </c>
      <c r="AK257" s="87">
        <v>1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7"/>
      <c r="P258" s="283" t="s">
        <v>40</v>
      </c>
      <c r="Q258" s="284"/>
      <c r="R258" s="284"/>
      <c r="S258" s="284"/>
      <c r="T258" s="284"/>
      <c r="U258" s="284"/>
      <c r="V258" s="285"/>
      <c r="W258" s="42" t="s">
        <v>39</v>
      </c>
      <c r="X258" s="43">
        <f>IFERROR(SUM(X255:X257),"0")</f>
        <v>0</v>
      </c>
      <c r="Y258" s="43">
        <f>IFERROR(SUM(Y255:Y257),"0")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7"/>
      <c r="P259" s="283" t="s">
        <v>40</v>
      </c>
      <c r="Q259" s="284"/>
      <c r="R259" s="284"/>
      <c r="S259" s="284"/>
      <c r="T259" s="284"/>
      <c r="U259" s="284"/>
      <c r="V259" s="285"/>
      <c r="W259" s="42" t="s">
        <v>0</v>
      </c>
      <c r="X259" s="43">
        <f>IFERROR(SUMPRODUCT(X255:X257*H255:H257),"0")</f>
        <v>0</v>
      </c>
      <c r="Y259" s="43">
        <f>IFERROR(SUMPRODUCT(Y255:Y257*H255:H257),"0")</f>
        <v>0</v>
      </c>
      <c r="Z259" s="42"/>
      <c r="AA259" s="67"/>
      <c r="AB259" s="67"/>
      <c r="AC259" s="67"/>
    </row>
    <row r="260" spans="1:68" ht="14.25" customHeight="1" x14ac:dyDescent="0.25">
      <c r="A260" s="297" t="s">
        <v>134</v>
      </c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66"/>
      <c r="AB260" s="66"/>
      <c r="AC260" s="83"/>
    </row>
    <row r="261" spans="1:68" ht="37.5" customHeight="1" x14ac:dyDescent="0.25">
      <c r="A261" s="63" t="s">
        <v>356</v>
      </c>
      <c r="B261" s="63" t="s">
        <v>357</v>
      </c>
      <c r="C261" s="36">
        <v>4301135504</v>
      </c>
      <c r="D261" s="279">
        <v>4640242181554</v>
      </c>
      <c r="E261" s="279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95</v>
      </c>
      <c r="L261" s="37" t="s">
        <v>87</v>
      </c>
      <c r="M261" s="38" t="s">
        <v>85</v>
      </c>
      <c r="N261" s="38"/>
      <c r="O261" s="37">
        <v>180</v>
      </c>
      <c r="P261" s="29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81"/>
      <c r="R261" s="281"/>
      <c r="S261" s="281"/>
      <c r="T261" s="282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ref="Y261:Y270" si="12"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5" t="s">
        <v>358</v>
      </c>
      <c r="AG261" s="81"/>
      <c r="AJ261" s="87" t="s">
        <v>88</v>
      </c>
      <c r="AK261" s="87">
        <v>1</v>
      </c>
      <c r="BB261" s="256" t="s">
        <v>94</v>
      </c>
      <c r="BM261" s="81">
        <f t="shared" ref="BM261:BM270" si="13">IFERROR(X261*I261,"0")</f>
        <v>0</v>
      </c>
      <c r="BN261" s="81">
        <f t="shared" ref="BN261:BN270" si="14">IFERROR(Y261*I261,"0")</f>
        <v>0</v>
      </c>
      <c r="BO261" s="81">
        <f t="shared" ref="BO261:BO270" si="15">IFERROR(X261/J261,"0")</f>
        <v>0</v>
      </c>
      <c r="BP261" s="81">
        <f t="shared" ref="BP261:BP270" si="16">IFERROR(Y261/J261,"0")</f>
        <v>0</v>
      </c>
    </row>
    <row r="262" spans="1:68" ht="27" customHeight="1" x14ac:dyDescent="0.25">
      <c r="A262" s="63" t="s">
        <v>359</v>
      </c>
      <c r="B262" s="63" t="s">
        <v>360</v>
      </c>
      <c r="C262" s="36">
        <v>4301135518</v>
      </c>
      <c r="D262" s="279">
        <v>4640242181561</v>
      </c>
      <c r="E262" s="279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95</v>
      </c>
      <c r="L262" s="37" t="s">
        <v>96</v>
      </c>
      <c r="M262" s="38" t="s">
        <v>85</v>
      </c>
      <c r="N262" s="38"/>
      <c r="O262" s="37">
        <v>180</v>
      </c>
      <c r="P262" s="29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81"/>
      <c r="R262" s="281"/>
      <c r="S262" s="281"/>
      <c r="T262" s="282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2"/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361</v>
      </c>
      <c r="AG262" s="81"/>
      <c r="AJ262" s="87" t="s">
        <v>97</v>
      </c>
      <c r="AK262" s="87">
        <v>14</v>
      </c>
      <c r="BB262" s="258" t="s">
        <v>94</v>
      </c>
      <c r="BM262" s="81">
        <f t="shared" si="13"/>
        <v>0</v>
      </c>
      <c r="BN262" s="81">
        <f t="shared" si="14"/>
        <v>0</v>
      </c>
      <c r="BO262" s="81">
        <f t="shared" si="15"/>
        <v>0</v>
      </c>
      <c r="BP262" s="81">
        <f t="shared" si="16"/>
        <v>0</v>
      </c>
    </row>
    <row r="263" spans="1:68" ht="27" customHeight="1" x14ac:dyDescent="0.25">
      <c r="A263" s="63" t="s">
        <v>362</v>
      </c>
      <c r="B263" s="63" t="s">
        <v>363</v>
      </c>
      <c r="C263" s="36">
        <v>4301135374</v>
      </c>
      <c r="D263" s="279">
        <v>4640242181424</v>
      </c>
      <c r="E263" s="279"/>
      <c r="F263" s="62">
        <v>5.5</v>
      </c>
      <c r="G263" s="37">
        <v>1</v>
      </c>
      <c r="H263" s="62">
        <v>5.5</v>
      </c>
      <c r="I263" s="62">
        <v>5.7350000000000003</v>
      </c>
      <c r="J263" s="37">
        <v>84</v>
      </c>
      <c r="K263" s="37" t="s">
        <v>86</v>
      </c>
      <c r="L263" s="37" t="s">
        <v>96</v>
      </c>
      <c r="M263" s="38" t="s">
        <v>85</v>
      </c>
      <c r="N263" s="38"/>
      <c r="O263" s="37">
        <v>180</v>
      </c>
      <c r="P263" s="30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81"/>
      <c r="R263" s="281"/>
      <c r="S263" s="281"/>
      <c r="T263" s="282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59" t="s">
        <v>358</v>
      </c>
      <c r="AG263" s="81"/>
      <c r="AJ263" s="87" t="s">
        <v>97</v>
      </c>
      <c r="AK263" s="87">
        <v>12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4301135405</v>
      </c>
      <c r="D264" s="279">
        <v>4640242181523</v>
      </c>
      <c r="E264" s="279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95</v>
      </c>
      <c r="L264" s="37" t="s">
        <v>96</v>
      </c>
      <c r="M264" s="38" t="s">
        <v>85</v>
      </c>
      <c r="N264" s="38"/>
      <c r="O264" s="37">
        <v>180</v>
      </c>
      <c r="P264" s="30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81"/>
      <c r="R264" s="281"/>
      <c r="S264" s="281"/>
      <c r="T264" s="28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 t="shared" ref="Z264:Z269" si="17">IFERROR(IF(X264="","",X264*0.00936),"")</f>
        <v>0</v>
      </c>
      <c r="AA264" s="68" t="s">
        <v>46</v>
      </c>
      <c r="AB264" s="69" t="s">
        <v>46</v>
      </c>
      <c r="AC264" s="261" t="s">
        <v>361</v>
      </c>
      <c r="AG264" s="81"/>
      <c r="AJ264" s="87" t="s">
        <v>97</v>
      </c>
      <c r="AK264" s="87">
        <v>14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4301135375</v>
      </c>
      <c r="D265" s="279">
        <v>4640242181486</v>
      </c>
      <c r="E265" s="279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95</v>
      </c>
      <c r="L265" s="37" t="s">
        <v>213</v>
      </c>
      <c r="M265" s="38" t="s">
        <v>85</v>
      </c>
      <c r="N265" s="38"/>
      <c r="O265" s="37">
        <v>180</v>
      </c>
      <c r="P265" s="29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81"/>
      <c r="R265" s="281"/>
      <c r="S265" s="281"/>
      <c r="T265" s="282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si="17"/>
        <v>0</v>
      </c>
      <c r="AA265" s="68" t="s">
        <v>46</v>
      </c>
      <c r="AB265" s="69" t="s">
        <v>46</v>
      </c>
      <c r="AC265" s="263" t="s">
        <v>358</v>
      </c>
      <c r="AG265" s="81"/>
      <c r="AJ265" s="87" t="s">
        <v>214</v>
      </c>
      <c r="AK265" s="87">
        <v>126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37.5" customHeight="1" x14ac:dyDescent="0.25">
      <c r="A266" s="63" t="s">
        <v>368</v>
      </c>
      <c r="B266" s="63" t="s">
        <v>369</v>
      </c>
      <c r="C266" s="36">
        <v>4301135402</v>
      </c>
      <c r="D266" s="279">
        <v>4640242181493</v>
      </c>
      <c r="E266" s="279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96</v>
      </c>
      <c r="M266" s="38" t="s">
        <v>85</v>
      </c>
      <c r="N266" s="38"/>
      <c r="O266" s="37">
        <v>180</v>
      </c>
      <c r="P266" s="29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81"/>
      <c r="R266" s="281"/>
      <c r="S266" s="281"/>
      <c r="T266" s="282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358</v>
      </c>
      <c r="AG266" s="81"/>
      <c r="AJ266" s="87" t="s">
        <v>97</v>
      </c>
      <c r="AK266" s="87">
        <v>14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370</v>
      </c>
      <c r="B267" s="63" t="s">
        <v>371</v>
      </c>
      <c r="C267" s="36">
        <v>4301135403</v>
      </c>
      <c r="D267" s="279">
        <v>4640242181509</v>
      </c>
      <c r="E267" s="279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87</v>
      </c>
      <c r="M267" s="38" t="s">
        <v>85</v>
      </c>
      <c r="N267" s="38"/>
      <c r="O267" s="37">
        <v>180</v>
      </c>
      <c r="P267" s="29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81"/>
      <c r="R267" s="281"/>
      <c r="S267" s="281"/>
      <c r="T267" s="28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358</v>
      </c>
      <c r="AG267" s="81"/>
      <c r="AJ267" s="87" t="s">
        <v>88</v>
      </c>
      <c r="AK267" s="87">
        <v>1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27" customHeight="1" x14ac:dyDescent="0.25">
      <c r="A268" s="63" t="s">
        <v>372</v>
      </c>
      <c r="B268" s="63" t="s">
        <v>373</v>
      </c>
      <c r="C268" s="36">
        <v>4301135304</v>
      </c>
      <c r="D268" s="279">
        <v>4640242181240</v>
      </c>
      <c r="E268" s="279"/>
      <c r="F268" s="62">
        <v>0.3</v>
      </c>
      <c r="G268" s="37">
        <v>9</v>
      </c>
      <c r="H268" s="62">
        <v>2.7</v>
      </c>
      <c r="I268" s="62">
        <v>2.88</v>
      </c>
      <c r="J268" s="37">
        <v>126</v>
      </c>
      <c r="K268" s="37" t="s">
        <v>95</v>
      </c>
      <c r="L268" s="37" t="s">
        <v>87</v>
      </c>
      <c r="M268" s="38" t="s">
        <v>85</v>
      </c>
      <c r="N268" s="38"/>
      <c r="O268" s="37">
        <v>180</v>
      </c>
      <c r="P268" s="29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81"/>
      <c r="R268" s="281"/>
      <c r="S268" s="281"/>
      <c r="T268" s="28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358</v>
      </c>
      <c r="AG268" s="81"/>
      <c r="AJ268" s="87" t="s">
        <v>88</v>
      </c>
      <c r="AK268" s="87">
        <v>1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374</v>
      </c>
      <c r="B269" s="63" t="s">
        <v>375</v>
      </c>
      <c r="C269" s="36">
        <v>4301135610</v>
      </c>
      <c r="D269" s="279">
        <v>4640242181318</v>
      </c>
      <c r="E269" s="279"/>
      <c r="F269" s="62">
        <v>0.3</v>
      </c>
      <c r="G269" s="37">
        <v>9</v>
      </c>
      <c r="H269" s="62">
        <v>2.7</v>
      </c>
      <c r="I269" s="62">
        <v>2.988</v>
      </c>
      <c r="J269" s="37">
        <v>126</v>
      </c>
      <c r="K269" s="37" t="s">
        <v>95</v>
      </c>
      <c r="L269" s="37" t="s">
        <v>87</v>
      </c>
      <c r="M269" s="38" t="s">
        <v>85</v>
      </c>
      <c r="N269" s="38"/>
      <c r="O269" s="37">
        <v>180</v>
      </c>
      <c r="P269" s="29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81"/>
      <c r="R269" s="281"/>
      <c r="S269" s="281"/>
      <c r="T269" s="28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361</v>
      </c>
      <c r="AG269" s="81"/>
      <c r="AJ269" s="87" t="s">
        <v>88</v>
      </c>
      <c r="AK269" s="87">
        <v>1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376</v>
      </c>
      <c r="B270" s="63" t="s">
        <v>377</v>
      </c>
      <c r="C270" s="36">
        <v>4301135306</v>
      </c>
      <c r="D270" s="279">
        <v>4640242181387</v>
      </c>
      <c r="E270" s="279"/>
      <c r="F270" s="62">
        <v>0.3</v>
      </c>
      <c r="G270" s="37">
        <v>9</v>
      </c>
      <c r="H270" s="62">
        <v>2.7</v>
      </c>
      <c r="I270" s="62">
        <v>2.8450000000000002</v>
      </c>
      <c r="J270" s="37">
        <v>234</v>
      </c>
      <c r="K270" s="37" t="s">
        <v>146</v>
      </c>
      <c r="L270" s="37" t="s">
        <v>87</v>
      </c>
      <c r="M270" s="38" t="s">
        <v>85</v>
      </c>
      <c r="N270" s="38"/>
      <c r="O270" s="37">
        <v>180</v>
      </c>
      <c r="P270" s="2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81"/>
      <c r="R270" s="281"/>
      <c r="S270" s="281"/>
      <c r="T270" s="28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>IFERROR(IF(X270="","",X270*0.00502),"")</f>
        <v>0</v>
      </c>
      <c r="AA270" s="68" t="s">
        <v>46</v>
      </c>
      <c r="AB270" s="69" t="s">
        <v>46</v>
      </c>
      <c r="AC270" s="273" t="s">
        <v>358</v>
      </c>
      <c r="AG270" s="81"/>
      <c r="AJ270" s="87" t="s">
        <v>88</v>
      </c>
      <c r="AK270" s="87">
        <v>1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7"/>
      <c r="P271" s="283" t="s">
        <v>40</v>
      </c>
      <c r="Q271" s="284"/>
      <c r="R271" s="284"/>
      <c r="S271" s="284"/>
      <c r="T271" s="284"/>
      <c r="U271" s="284"/>
      <c r="V271" s="285"/>
      <c r="W271" s="42" t="s">
        <v>39</v>
      </c>
      <c r="X271" s="43">
        <f>IFERROR(SUM(X261:X270),"0")</f>
        <v>0</v>
      </c>
      <c r="Y271" s="43">
        <f>IFERROR(SUM(Y261:Y270),"0")</f>
        <v>0</v>
      </c>
      <c r="Z271" s="43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0</v>
      </c>
      <c r="AA271" s="67"/>
      <c r="AB271" s="67"/>
      <c r="AC271" s="67"/>
    </row>
    <row r="272" spans="1:68" x14ac:dyDescent="0.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7"/>
      <c r="P272" s="283" t="s">
        <v>40</v>
      </c>
      <c r="Q272" s="284"/>
      <c r="R272" s="284"/>
      <c r="S272" s="284"/>
      <c r="T272" s="284"/>
      <c r="U272" s="284"/>
      <c r="V272" s="285"/>
      <c r="W272" s="42" t="s">
        <v>0</v>
      </c>
      <c r="X272" s="43">
        <f>IFERROR(SUMPRODUCT(X261:X270*H261:H270),"0")</f>
        <v>0</v>
      </c>
      <c r="Y272" s="43">
        <f>IFERROR(SUMPRODUCT(Y261:Y270*H261:H270),"0")</f>
        <v>0</v>
      </c>
      <c r="Z272" s="42"/>
      <c r="AA272" s="67"/>
      <c r="AB272" s="67"/>
      <c r="AC272" s="67"/>
    </row>
    <row r="273" spans="1:32" ht="15" customHeight="1" x14ac:dyDescent="0.2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91"/>
      <c r="P273" s="288" t="s">
        <v>33</v>
      </c>
      <c r="Q273" s="289"/>
      <c r="R273" s="289"/>
      <c r="S273" s="289"/>
      <c r="T273" s="289"/>
      <c r="U273" s="289"/>
      <c r="V273" s="290"/>
      <c r="W273" s="42" t="s">
        <v>0</v>
      </c>
      <c r="X273" s="43">
        <f>IFERROR(X24+X31+X38+X46+X51+X55+X60+X66+X72+X77+X83+X93+X99+X110+X114+X118+X124+X130+X136+X141+X146+X151+X156+X163+X171+X175+X181+X188+X196+X201+X206+X212+X218+X224+X230+X236+X240+X248+X253+X259+X272,"0")</f>
        <v>0</v>
      </c>
      <c r="Y273" s="43">
        <f>IFERROR(Y24+Y31+Y38+Y46+Y51+Y55+Y60+Y66+Y72+Y77+Y83+Y93+Y99+Y110+Y114+Y118+Y124+Y130+Y136+Y141+Y146+Y151+Y156+Y163+Y171+Y175+Y181+Y188+Y196+Y201+Y206+Y212+Y218+Y224+Y230+Y236+Y240+Y248+Y253+Y259+Y272,"0")</f>
        <v>0</v>
      </c>
      <c r="Z273" s="42"/>
      <c r="AA273" s="67"/>
      <c r="AB273" s="67"/>
      <c r="AC273" s="67"/>
    </row>
    <row r="274" spans="1:32" x14ac:dyDescent="0.2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91"/>
      <c r="P274" s="288" t="s">
        <v>34</v>
      </c>
      <c r="Q274" s="289"/>
      <c r="R274" s="289"/>
      <c r="S274" s="289"/>
      <c r="T274" s="289"/>
      <c r="U274" s="289"/>
      <c r="V274" s="290"/>
      <c r="W274" s="42" t="s">
        <v>0</v>
      </c>
      <c r="X274" s="43">
        <f>IFERROR(SUM(BM22:BM270),"0")</f>
        <v>0</v>
      </c>
      <c r="Y274" s="43">
        <f>IFERROR(SUM(BN22:BN270),"0")</f>
        <v>0</v>
      </c>
      <c r="Z274" s="42"/>
      <c r="AA274" s="67"/>
      <c r="AB274" s="67"/>
      <c r="AC274" s="67"/>
    </row>
    <row r="275" spans="1:32" x14ac:dyDescent="0.2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91"/>
      <c r="P275" s="288" t="s">
        <v>35</v>
      </c>
      <c r="Q275" s="289"/>
      <c r="R275" s="289"/>
      <c r="S275" s="289"/>
      <c r="T275" s="289"/>
      <c r="U275" s="289"/>
      <c r="V275" s="290"/>
      <c r="W275" s="42" t="s">
        <v>20</v>
      </c>
      <c r="X275" s="44">
        <f>ROUNDUP(SUM(BO22:BO270),0)</f>
        <v>0</v>
      </c>
      <c r="Y275" s="44">
        <f>ROUNDUP(SUM(BP22:BP270),0)</f>
        <v>0</v>
      </c>
      <c r="Z275" s="42"/>
      <c r="AA275" s="67"/>
      <c r="AB275" s="67"/>
      <c r="AC275" s="67"/>
    </row>
    <row r="276" spans="1:32" x14ac:dyDescent="0.2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91"/>
      <c r="P276" s="288" t="s">
        <v>36</v>
      </c>
      <c r="Q276" s="289"/>
      <c r="R276" s="289"/>
      <c r="S276" s="289"/>
      <c r="T276" s="289"/>
      <c r="U276" s="289"/>
      <c r="V276" s="290"/>
      <c r="W276" s="42" t="s">
        <v>0</v>
      </c>
      <c r="X276" s="43">
        <f>GrossWeightTotal+PalletQtyTotal*25</f>
        <v>0</v>
      </c>
      <c r="Y276" s="43">
        <f>GrossWeightTotalR+PalletQtyTotalR*25</f>
        <v>0</v>
      </c>
      <c r="Z276" s="42"/>
      <c r="AA276" s="67"/>
      <c r="AB276" s="67"/>
      <c r="AC276" s="67"/>
    </row>
    <row r="277" spans="1:32" x14ac:dyDescent="0.2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91"/>
      <c r="P277" s="288" t="s">
        <v>37</v>
      </c>
      <c r="Q277" s="289"/>
      <c r="R277" s="289"/>
      <c r="S277" s="289"/>
      <c r="T277" s="289"/>
      <c r="U277" s="289"/>
      <c r="V277" s="290"/>
      <c r="W277" s="42" t="s">
        <v>20</v>
      </c>
      <c r="X277" s="43">
        <f>IFERROR(X23+X30+X37+X45+X50+X54+X59+X65+X71+X76+X82+X92+X98+X109+X113+X117+X123+X129+X135+X140+X145+X150+X155+X162+X170+X174+X180+X187+X195+X200+X205+X211+X217+X223+X229+X235+X239+X247+X252+X258+X271,"0")</f>
        <v>0</v>
      </c>
      <c r="Y277" s="43">
        <f>IFERROR(Y23+Y30+Y37+Y45+Y50+Y54+Y59+Y65+Y71+Y76+Y82+Y92+Y98+Y109+Y113+Y117+Y123+Y129+Y135+Y140+Y145+Y150+Y155+Y162+Y170+Y174+Y180+Y187+Y195+Y200+Y205+Y211+Y217+Y223+Y229+Y235+Y239+Y247+Y252+Y258+Y271,"0")</f>
        <v>0</v>
      </c>
      <c r="Z277" s="42"/>
      <c r="AA277" s="67"/>
      <c r="AB277" s="67"/>
      <c r="AC277" s="67"/>
    </row>
    <row r="278" spans="1:32" ht="14.25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91"/>
      <c r="P278" s="288" t="s">
        <v>38</v>
      </c>
      <c r="Q278" s="289"/>
      <c r="R278" s="289"/>
      <c r="S278" s="289"/>
      <c r="T278" s="289"/>
      <c r="U278" s="289"/>
      <c r="V278" s="290"/>
      <c r="W278" s="45" t="s">
        <v>52</v>
      </c>
      <c r="X278" s="42"/>
      <c r="Y278" s="42"/>
      <c r="Z278" s="42">
        <f>IFERROR(Z23+Z30+Z37+Z45+Z50+Z54+Z59+Z65+Z71+Z76+Z82+Z92+Z98+Z109+Z113+Z117+Z123+Z129+Z135+Z140+Z145+Z150+Z155+Z162+Z170+Z174+Z180+Z187+Z195+Z200+Z205+Z211+Z217+Z223+Z229+Z235+Z239+Z247+Z252+Z258+Z271,"0")</f>
        <v>0</v>
      </c>
      <c r="AA278" s="67"/>
      <c r="AB278" s="67"/>
      <c r="AC278" s="67"/>
    </row>
    <row r="279" spans="1:32" ht="13.5" thickBot="1" x14ac:dyDescent="0.25"/>
    <row r="280" spans="1:32" ht="27" thickTop="1" thickBot="1" x14ac:dyDescent="0.25">
      <c r="A280" s="46" t="s">
        <v>9</v>
      </c>
      <c r="B280" s="88" t="s">
        <v>80</v>
      </c>
      <c r="C280" s="275" t="s">
        <v>45</v>
      </c>
      <c r="D280" s="275" t="s">
        <v>45</v>
      </c>
      <c r="E280" s="275" t="s">
        <v>45</v>
      </c>
      <c r="F280" s="275" t="s">
        <v>45</v>
      </c>
      <c r="G280" s="275" t="s">
        <v>45</v>
      </c>
      <c r="H280" s="275" t="s">
        <v>45</v>
      </c>
      <c r="I280" s="275" t="s">
        <v>45</v>
      </c>
      <c r="J280" s="275" t="s">
        <v>45</v>
      </c>
      <c r="K280" s="275" t="s">
        <v>45</v>
      </c>
      <c r="L280" s="275" t="s">
        <v>45</v>
      </c>
      <c r="M280" s="275" t="s">
        <v>45</v>
      </c>
      <c r="N280" s="276"/>
      <c r="O280" s="275" t="s">
        <v>45</v>
      </c>
      <c r="P280" s="275" t="s">
        <v>45</v>
      </c>
      <c r="Q280" s="275" t="s">
        <v>45</v>
      </c>
      <c r="R280" s="275" t="s">
        <v>45</v>
      </c>
      <c r="S280" s="275" t="s">
        <v>45</v>
      </c>
      <c r="T280" s="275" t="s">
        <v>45</v>
      </c>
      <c r="U280" s="88" t="s">
        <v>243</v>
      </c>
      <c r="V280" s="88" t="s">
        <v>251</v>
      </c>
      <c r="W280" s="275" t="s">
        <v>270</v>
      </c>
      <c r="X280" s="275" t="s">
        <v>270</v>
      </c>
      <c r="Y280" s="275" t="s">
        <v>270</v>
      </c>
      <c r="Z280" s="275" t="s">
        <v>270</v>
      </c>
      <c r="AA280" s="275" t="s">
        <v>270</v>
      </c>
      <c r="AB280" s="88" t="s">
        <v>318</v>
      </c>
      <c r="AC280" s="88" t="s">
        <v>323</v>
      </c>
      <c r="AD280" s="88" t="s">
        <v>327</v>
      </c>
      <c r="AE280" s="88" t="s">
        <v>335</v>
      </c>
      <c r="AF280" s="1"/>
    </row>
    <row r="281" spans="1:32" ht="14.25" customHeight="1" thickTop="1" x14ac:dyDescent="0.2">
      <c r="A281" s="277" t="s">
        <v>10</v>
      </c>
      <c r="B281" s="275" t="s">
        <v>80</v>
      </c>
      <c r="C281" s="275" t="s">
        <v>89</v>
      </c>
      <c r="D281" s="275" t="s">
        <v>100</v>
      </c>
      <c r="E281" s="275" t="s">
        <v>110</v>
      </c>
      <c r="F281" s="275" t="s">
        <v>121</v>
      </c>
      <c r="G281" s="275" t="s">
        <v>142</v>
      </c>
      <c r="H281" s="275" t="s">
        <v>149</v>
      </c>
      <c r="I281" s="275" t="s">
        <v>153</v>
      </c>
      <c r="J281" s="275" t="s">
        <v>161</v>
      </c>
      <c r="K281" s="275" t="s">
        <v>176</v>
      </c>
      <c r="L281" s="275" t="s">
        <v>182</v>
      </c>
      <c r="M281" s="275" t="s">
        <v>207</v>
      </c>
      <c r="N281" s="1"/>
      <c r="O281" s="275" t="s">
        <v>215</v>
      </c>
      <c r="P281" s="275" t="s">
        <v>222</v>
      </c>
      <c r="Q281" s="275" t="s">
        <v>227</v>
      </c>
      <c r="R281" s="275" t="s">
        <v>231</v>
      </c>
      <c r="S281" s="275" t="s">
        <v>234</v>
      </c>
      <c r="T281" s="275" t="s">
        <v>239</v>
      </c>
      <c r="U281" s="275" t="s">
        <v>244</v>
      </c>
      <c r="V281" s="275" t="s">
        <v>252</v>
      </c>
      <c r="W281" s="275" t="s">
        <v>271</v>
      </c>
      <c r="X281" s="275" t="s">
        <v>287</v>
      </c>
      <c r="Y281" s="275" t="s">
        <v>297</v>
      </c>
      <c r="Z281" s="275" t="s">
        <v>301</v>
      </c>
      <c r="AA281" s="275" t="s">
        <v>312</v>
      </c>
      <c r="AB281" s="275" t="s">
        <v>319</v>
      </c>
      <c r="AC281" s="275" t="s">
        <v>324</v>
      </c>
      <c r="AD281" s="275" t="s">
        <v>328</v>
      </c>
      <c r="AE281" s="275" t="s">
        <v>335</v>
      </c>
      <c r="AF281" s="1"/>
    </row>
    <row r="282" spans="1:32" ht="13.5" thickBot="1" x14ac:dyDescent="0.25">
      <c r="A282" s="278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1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  <c r="AB282" s="275"/>
      <c r="AC282" s="275"/>
      <c r="AD282" s="275"/>
      <c r="AE282" s="275"/>
      <c r="AF282" s="1"/>
    </row>
    <row r="283" spans="1:32" ht="18" thickTop="1" thickBot="1" x14ac:dyDescent="0.25">
      <c r="A283" s="46" t="s">
        <v>13</v>
      </c>
      <c r="B283" s="52">
        <f>IFERROR(X22*H22,"0")</f>
        <v>0</v>
      </c>
      <c r="C283" s="52">
        <f>IFERROR(X28*H28,"0")+IFERROR(X29*H29,"0")</f>
        <v>0</v>
      </c>
      <c r="D283" s="52">
        <f>IFERROR(X34*H34,"0")+IFERROR(X35*H35,"0")+IFERROR(X36*H36,"0")</f>
        <v>0</v>
      </c>
      <c r="E283" s="52">
        <f>IFERROR(X41*H41,"0")+IFERROR(X42*H42,"0")+IFERROR(X43*H43,"0")+IFERROR(X44*H44,"0")</f>
        <v>0</v>
      </c>
      <c r="F283" s="52">
        <f>IFERROR(X49*H49,"0")+IFERROR(X53*H53,"0")+IFERROR(X57*H57,"0")+IFERROR(X58*H58,"0")+IFERROR(X62*H62,"0")+IFERROR(X63*H63,"0")+IFERROR(X64*H64,"0")</f>
        <v>0</v>
      </c>
      <c r="G283" s="52">
        <f>IFERROR(X69*H69,"0")+IFERROR(X70*H70,"0")</f>
        <v>0</v>
      </c>
      <c r="H283" s="52">
        <f>IFERROR(X75*H75,"0")</f>
        <v>0</v>
      </c>
      <c r="I283" s="52">
        <f>IFERROR(X80*H80,"0")+IFERROR(X81*H81,"0")</f>
        <v>0</v>
      </c>
      <c r="J283" s="52">
        <f>IFERROR(X86*H86,"0")+IFERROR(X87*H87,"0")+IFERROR(X88*H88,"0")+IFERROR(X89*H89,"0")+IFERROR(X90*H90,"0")+IFERROR(X91*H91,"0")</f>
        <v>0</v>
      </c>
      <c r="K283" s="52">
        <f>IFERROR(X96*H96,"0")+IFERROR(X97*H97,"0")</f>
        <v>0</v>
      </c>
      <c r="L283" s="52">
        <f>IFERROR(X102*H102,"0")+IFERROR(X103*H103,"0")+IFERROR(X104*H104,"0")+IFERROR(X105*H105,"0")+IFERROR(X106*H106,"0")+IFERROR(X107*H107,"0")+IFERROR(X108*H108,"0")+IFERROR(X112*H112,"0")+IFERROR(X116*H116,"0")</f>
        <v>0</v>
      </c>
      <c r="M283" s="52">
        <f>IFERROR(X121*H121,"0")+IFERROR(X122*H122,"0")</f>
        <v>0</v>
      </c>
      <c r="N283" s="1"/>
      <c r="O283" s="52">
        <f>IFERROR(X127*H127,"0")+IFERROR(X128*H128,"0")</f>
        <v>0</v>
      </c>
      <c r="P283" s="52">
        <f>IFERROR(X133*H133,"0")+IFERROR(X134*H134,"0")</f>
        <v>0</v>
      </c>
      <c r="Q283" s="52">
        <f>IFERROR(X139*H139,"0")</f>
        <v>0</v>
      </c>
      <c r="R283" s="52">
        <f>IFERROR(X144*H144,"0")</f>
        <v>0</v>
      </c>
      <c r="S283" s="52">
        <f>IFERROR(X149*H149,"0")</f>
        <v>0</v>
      </c>
      <c r="T283" s="52">
        <f>IFERROR(X154*H154,"0")</f>
        <v>0</v>
      </c>
      <c r="U283" s="52">
        <f>IFERROR(X160*H160,"0")+IFERROR(X161*H161,"0")</f>
        <v>0</v>
      </c>
      <c r="V283" s="52">
        <f>IFERROR(X167*H167,"0")+IFERROR(X168*H168,"0")+IFERROR(X169*H169,"0")+IFERROR(X173*H173,"0")</f>
        <v>0</v>
      </c>
      <c r="W283" s="52">
        <f>IFERROR(X179*H179,"0")+IFERROR(X183*H183,"0")+IFERROR(X184*H184,"0")+IFERROR(X185*H185,"0")+IFERROR(X186*H186,"0")</f>
        <v>0</v>
      </c>
      <c r="X283" s="52">
        <f>IFERROR(X191*H191,"0")+IFERROR(X192*H192,"0")+IFERROR(X193*H193,"0")+IFERROR(X194*H194,"0")</f>
        <v>0</v>
      </c>
      <c r="Y283" s="52">
        <f>IFERROR(X199*H199,"0")</f>
        <v>0</v>
      </c>
      <c r="Z283" s="52">
        <f>IFERROR(X204*H204,"0")+IFERROR(X208*H208,"0")+IFERROR(X209*H209,"0")+IFERROR(X210*H210,"0")</f>
        <v>0</v>
      </c>
      <c r="AA283" s="52">
        <f>IFERROR(X215*H215,"0")+IFERROR(X216*H216,"0")</f>
        <v>0</v>
      </c>
      <c r="AB283" s="52">
        <f>IFERROR(X222*H222,"0")</f>
        <v>0</v>
      </c>
      <c r="AC283" s="52">
        <f>IFERROR(X228*H228,"0")</f>
        <v>0</v>
      </c>
      <c r="AD283" s="52">
        <f>IFERROR(X234*H234,"0")+IFERROR(X238*H238,"0")</f>
        <v>0</v>
      </c>
      <c r="AE283" s="52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0</v>
      </c>
      <c r="AF283" s="1"/>
    </row>
    <row r="284" spans="1:32" ht="13.5" thickTop="1" x14ac:dyDescent="0.2">
      <c r="C284" s="1"/>
    </row>
    <row r="285" spans="1:32" ht="19.5" customHeight="1" x14ac:dyDescent="0.2">
      <c r="A285" s="70" t="s">
        <v>62</v>
      </c>
      <c r="B285" s="70" t="s">
        <v>63</v>
      </c>
      <c r="C285" s="70" t="s">
        <v>65</v>
      </c>
    </row>
    <row r="286" spans="1:32" x14ac:dyDescent="0.2">
      <c r="A286" s="71">
        <f>SUMPRODUCT(--(BB:BB="ЗПФ"),--(W:W="кор"),H:H,Y:Y)+SUMPRODUCT(--(BB:BB="ЗПФ"),--(W:W="кг"),Y:Y)</f>
        <v>0</v>
      </c>
      <c r="B286" s="72">
        <f>SUMPRODUCT(--(BB:BB="ПГП"),--(W:W="кор"),H:H,Y:Y)+SUMPRODUCT(--(BB:BB="ПГП"),--(W:W="кг"),Y:Y)</f>
        <v>0</v>
      </c>
      <c r="C286" s="72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P117:V117"/>
    <mergeCell ref="A117:O118"/>
    <mergeCell ref="P118:V118"/>
    <mergeCell ref="A119:Z119"/>
    <mergeCell ref="A120:Z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P273:V273"/>
    <mergeCell ref="A273:O278"/>
    <mergeCell ref="P274:V274"/>
    <mergeCell ref="P275:V275"/>
    <mergeCell ref="P276:V276"/>
    <mergeCell ref="P277:V277"/>
    <mergeCell ref="P278:V278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X281:X282"/>
    <mergeCell ref="Y281:Y282"/>
    <mergeCell ref="Z281:Z282"/>
    <mergeCell ref="AA281:AA282"/>
    <mergeCell ref="AB281:AB282"/>
    <mergeCell ref="AC281:AC282"/>
    <mergeCell ref="AD281:AD282"/>
    <mergeCell ref="AE281:AE282"/>
    <mergeCell ref="C280:T280"/>
    <mergeCell ref="W280:AA280"/>
    <mergeCell ref="J281:J282"/>
    <mergeCell ref="K281:K282"/>
    <mergeCell ref="L281:L282"/>
    <mergeCell ref="M281:M282"/>
    <mergeCell ref="O281:O282"/>
    <mergeCell ref="P281:P282"/>
    <mergeCell ref="Q281:Q282"/>
    <mergeCell ref="R281:R282"/>
    <mergeCell ref="S281:S282"/>
    <mergeCell ref="T281:T282"/>
    <mergeCell ref="U281:U282"/>
    <mergeCell ref="V281:V282"/>
    <mergeCell ref="W281:W28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7:X270 X261 X257 X251 X244:X246 X238 X234 X228 X222 X215:X216 X208:X210 X204 X191:X194 X186 X184 X173 X160 X149 X133 X127 X116 X112 X108 X105 X62:X64 X57:X58 X53 X4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 X262:X264 X255:X256 X250 X199 X185 X183 X179 X167:X169 X161 X154 X144 X139 X134 X128 X121 X106:X107 X102:X104 X96:X97 X86:X91 X80:X81 X75 X69:X70 X41:X44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39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9"/>
    </row>
    <row r="3" spans="2:8" x14ac:dyDescent="0.2">
      <c r="B3" s="53" t="s">
        <v>379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381</v>
      </c>
      <c r="D6" s="53" t="s">
        <v>382</v>
      </c>
      <c r="E6" s="53" t="s">
        <v>46</v>
      </c>
    </row>
    <row r="8" spans="2:8" x14ac:dyDescent="0.2">
      <c r="B8" s="53" t="s">
        <v>79</v>
      </c>
      <c r="C8" s="53" t="s">
        <v>381</v>
      </c>
      <c r="D8" s="53" t="s">
        <v>46</v>
      </c>
      <c r="E8" s="53" t="s">
        <v>46</v>
      </c>
    </row>
    <row r="10" spans="2:8" x14ac:dyDescent="0.2">
      <c r="B10" s="53" t="s">
        <v>383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384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385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393</v>
      </c>
      <c r="C20" s="53" t="s">
        <v>46</v>
      </c>
      <c r="D20" s="53" t="s">
        <v>46</v>
      </c>
      <c r="E20" s="53" t="s">
        <v>46</v>
      </c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