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78501F0-C75E-4F22-B28C-47138F6EF4B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заказа'!$X$272:$X$272</definedName>
    <definedName name="GrossWeightTotalR">'Бланк заказа'!$Y$272:$Y$272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заказа'!$X$273:$X$273</definedName>
    <definedName name="PalletQtyTotalR">'Бланк заказа'!$Y$273:$Y$273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заказа'!$B$214:$B$214</definedName>
    <definedName name="ProductId74">'Бланк заказа'!$B$215:$B$215</definedName>
    <definedName name="ProductId75">'Бланк заказа'!$B$221:$B$221</definedName>
    <definedName name="ProductId76">'Бланк заказа'!$B$227:$B$227</definedName>
    <definedName name="ProductId77">'Бланк заказа'!$B$233:$B$233</definedName>
    <definedName name="ProductId78">'Бланк заказа'!$B$237:$B$237</definedName>
    <definedName name="ProductId79">'Бланк заказа'!$B$243:$B$243</definedName>
    <definedName name="ProductId8">'Бланк заказа'!$B$33:$B$33</definedName>
    <definedName name="ProductId80">'Бланк заказа'!$B$244:$B$244</definedName>
    <definedName name="ProductId81">'Бланк заказа'!$B$248:$B$248</definedName>
    <definedName name="ProductId82">'Бланк заказа'!$B$249:$B$249</definedName>
    <definedName name="ProductId83">'Бланк заказа'!$B$253:$B$253</definedName>
    <definedName name="ProductId84">'Бланк заказа'!$B$254:$B$254</definedName>
    <definedName name="ProductId85">'Бланк заказа'!$B$255:$B$255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заказа'!$X$214:$X$214</definedName>
    <definedName name="SalesQty74">'Бланк заказа'!$X$215:$X$215</definedName>
    <definedName name="SalesQty75">'Бланк заказа'!$X$221:$X$221</definedName>
    <definedName name="SalesQty76">'Бланк заказа'!$X$227:$X$227</definedName>
    <definedName name="SalesQty77">'Бланк заказа'!$X$233:$X$233</definedName>
    <definedName name="SalesQty78">'Бланк заказа'!$X$237:$X$237</definedName>
    <definedName name="SalesQty79">'Бланк заказа'!$X$243:$X$243</definedName>
    <definedName name="SalesQty8">'Бланк заказа'!$X$33:$X$33</definedName>
    <definedName name="SalesQty80">'Бланк заказа'!$X$244:$X$244</definedName>
    <definedName name="SalesQty81">'Бланк заказа'!$X$248:$X$248</definedName>
    <definedName name="SalesQty82">'Бланк заказа'!$X$249:$X$249</definedName>
    <definedName name="SalesQty83">'Бланк заказа'!$X$253:$X$253</definedName>
    <definedName name="SalesQty84">'Бланк заказа'!$X$254:$X$254</definedName>
    <definedName name="SalesQty85">'Бланк заказа'!$X$255:$X$255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заказа'!$Y$214:$Y$214</definedName>
    <definedName name="SalesRoundBox74">'Бланк заказа'!$Y$215:$Y$215</definedName>
    <definedName name="SalesRoundBox75">'Бланк заказа'!$Y$221:$Y$221</definedName>
    <definedName name="SalesRoundBox76">'Бланк заказа'!$Y$227:$Y$227</definedName>
    <definedName name="SalesRoundBox77">'Бланк заказа'!$Y$233:$Y$233</definedName>
    <definedName name="SalesRoundBox78">'Бланк заказа'!$Y$237:$Y$237</definedName>
    <definedName name="SalesRoundBox79">'Бланк заказа'!$Y$243:$Y$243</definedName>
    <definedName name="SalesRoundBox8">'Бланк заказа'!$Y$33:$Y$33</definedName>
    <definedName name="SalesRoundBox80">'Бланк заказа'!$Y$244:$Y$244</definedName>
    <definedName name="SalesRoundBox81">'Бланк заказа'!$Y$248:$Y$248</definedName>
    <definedName name="SalesRoundBox82">'Бланк заказа'!$Y$249:$Y$249</definedName>
    <definedName name="SalesRoundBox83">'Бланк заказа'!$Y$253:$Y$253</definedName>
    <definedName name="SalesRoundBox84">'Бланк заказа'!$Y$254:$Y$254</definedName>
    <definedName name="SalesRoundBox85">'Бланк заказа'!$Y$255:$Y$255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заказа'!$W$214:$W$214</definedName>
    <definedName name="UnitOfMeasure74">'Бланк заказа'!$W$215:$W$215</definedName>
    <definedName name="UnitOfMeasure75">'Бланк заказа'!$W$221:$W$221</definedName>
    <definedName name="UnitOfMeasure76">'Бланк заказа'!$W$227:$W$227</definedName>
    <definedName name="UnitOfMeasure77">'Бланк заказа'!$W$233:$W$233</definedName>
    <definedName name="UnitOfMeasure78">'Бланк заказа'!$W$237:$W$237</definedName>
    <definedName name="UnitOfMeasure79">'Бланк заказа'!$W$243:$W$243</definedName>
    <definedName name="UnitOfMeasure8">'Бланк заказа'!$W$33:$W$33</definedName>
    <definedName name="UnitOfMeasure80">'Бланк заказа'!$W$244:$W$244</definedName>
    <definedName name="UnitOfMeasure81">'Бланк заказа'!$W$248:$W$248</definedName>
    <definedName name="UnitOfMeasure82">'Бланк заказа'!$W$249:$W$249</definedName>
    <definedName name="UnitOfMeasure83">'Бланк заказа'!$W$253:$W$253</definedName>
    <definedName name="UnitOfMeasure84">'Бланк заказа'!$W$254:$W$254</definedName>
    <definedName name="UnitOfMeasure85">'Бланк заказа'!$W$255:$W$255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1" i="2" l="1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70" i="2"/>
  <c r="X269" i="2"/>
  <c r="BO268" i="2"/>
  <c r="BM268" i="2"/>
  <c r="Z268" i="2"/>
  <c r="Y268" i="2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P262" i="2"/>
  <c r="BP261" i="2"/>
  <c r="BO261" i="2"/>
  <c r="BN261" i="2"/>
  <c r="BM261" i="2"/>
  <c r="Z261" i="2"/>
  <c r="Y261" i="2"/>
  <c r="P261" i="2"/>
  <c r="BO260" i="2"/>
  <c r="BM260" i="2"/>
  <c r="Z260" i="2"/>
  <c r="Y260" i="2"/>
  <c r="BP260" i="2" s="1"/>
  <c r="P260" i="2"/>
  <c r="BO259" i="2"/>
  <c r="BM259" i="2"/>
  <c r="Z259" i="2"/>
  <c r="Z269" i="2" s="1"/>
  <c r="Y259" i="2"/>
  <c r="BP259" i="2" s="1"/>
  <c r="P259" i="2"/>
  <c r="X257" i="2"/>
  <c r="X256" i="2"/>
  <c r="BO255" i="2"/>
  <c r="BM255" i="2"/>
  <c r="Z255" i="2"/>
  <c r="Y255" i="2"/>
  <c r="BN255" i="2" s="1"/>
  <c r="P255" i="2"/>
  <c r="BO254" i="2"/>
  <c r="BM254" i="2"/>
  <c r="Z254" i="2"/>
  <c r="Y254" i="2"/>
  <c r="P254" i="2"/>
  <c r="BP253" i="2"/>
  <c r="BO253" i="2"/>
  <c r="BN253" i="2"/>
  <c r="BM253" i="2"/>
  <c r="Z253" i="2"/>
  <c r="Z256" i="2" s="1"/>
  <c r="Y253" i="2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Z250" i="2" s="1"/>
  <c r="Y248" i="2"/>
  <c r="BP248" i="2" s="1"/>
  <c r="P248" i="2"/>
  <c r="X246" i="2"/>
  <c r="X245" i="2"/>
  <c r="BO244" i="2"/>
  <c r="BM244" i="2"/>
  <c r="Z244" i="2"/>
  <c r="Y244" i="2"/>
  <c r="P244" i="2"/>
  <c r="BO243" i="2"/>
  <c r="BM243" i="2"/>
  <c r="Z243" i="2"/>
  <c r="Z245" i="2" s="1"/>
  <c r="Y243" i="2"/>
  <c r="BN243" i="2" s="1"/>
  <c r="P243" i="2"/>
  <c r="X239" i="2"/>
  <c r="Y238" i="2"/>
  <c r="X238" i="2"/>
  <c r="BP237" i="2"/>
  <c r="BO237" i="2"/>
  <c r="BN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Z228" i="2"/>
  <c r="X228" i="2"/>
  <c r="BO227" i="2"/>
  <c r="BM227" i="2"/>
  <c r="Z227" i="2"/>
  <c r="Y227" i="2"/>
  <c r="P227" i="2"/>
  <c r="X223" i="2"/>
  <c r="X222" i="2"/>
  <c r="BO221" i="2"/>
  <c r="BM221" i="2"/>
  <c r="Z221" i="2"/>
  <c r="Z222" i="2" s="1"/>
  <c r="Y221" i="2"/>
  <c r="Y222" i="2" s="1"/>
  <c r="P221" i="2"/>
  <c r="X217" i="2"/>
  <c r="Y216" i="2"/>
  <c r="X216" i="2"/>
  <c r="BP215" i="2"/>
  <c r="BO215" i="2"/>
  <c r="BN215" i="2"/>
  <c r="BM215" i="2"/>
  <c r="Z215" i="2"/>
  <c r="Y215" i="2"/>
  <c r="P215" i="2"/>
  <c r="BO214" i="2"/>
  <c r="BM214" i="2"/>
  <c r="Z214" i="2"/>
  <c r="Y214" i="2"/>
  <c r="BN214" i="2" s="1"/>
  <c r="P214" i="2"/>
  <c r="X212" i="2"/>
  <c r="Z211" i="2"/>
  <c r="X211" i="2"/>
  <c r="BO210" i="2"/>
  <c r="BM210" i="2"/>
  <c r="Z210" i="2"/>
  <c r="Y210" i="2"/>
  <c r="P210" i="2"/>
  <c r="X207" i="2"/>
  <c r="X206" i="2"/>
  <c r="BO205" i="2"/>
  <c r="BM205" i="2"/>
  <c r="Z205" i="2"/>
  <c r="Z206" i="2" s="1"/>
  <c r="Y205" i="2"/>
  <c r="BN205" i="2" s="1"/>
  <c r="P205" i="2"/>
  <c r="X202" i="2"/>
  <c r="X201" i="2"/>
  <c r="BO200" i="2"/>
  <c r="BM200" i="2"/>
  <c r="Z200" i="2"/>
  <c r="Y200" i="2"/>
  <c r="P200" i="2"/>
  <c r="BO199" i="2"/>
  <c r="BM199" i="2"/>
  <c r="Z199" i="2"/>
  <c r="Y199" i="2"/>
  <c r="BP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N197" i="2" s="1"/>
  <c r="P197" i="2"/>
  <c r="BO196" i="2"/>
  <c r="BM196" i="2"/>
  <c r="Z196" i="2"/>
  <c r="Z201" i="2" s="1"/>
  <c r="Y196" i="2"/>
  <c r="P196" i="2"/>
  <c r="X194" i="2"/>
  <c r="X193" i="2"/>
  <c r="BO192" i="2"/>
  <c r="BM192" i="2"/>
  <c r="Z192" i="2"/>
  <c r="Z193" i="2" s="1"/>
  <c r="Y192" i="2"/>
  <c r="Y193" i="2" s="1"/>
  <c r="P192" i="2"/>
  <c r="Y188" i="2"/>
  <c r="X188" i="2"/>
  <c r="Z187" i="2"/>
  <c r="X187" i="2"/>
  <c r="BO186" i="2"/>
  <c r="BM186" i="2"/>
  <c r="Z186" i="2"/>
  <c r="Y186" i="2"/>
  <c r="X184" i="2"/>
  <c r="X183" i="2"/>
  <c r="BO182" i="2"/>
  <c r="BM182" i="2"/>
  <c r="Z182" i="2"/>
  <c r="Y182" i="2"/>
  <c r="BP182" i="2" s="1"/>
  <c r="P182" i="2"/>
  <c r="BO181" i="2"/>
  <c r="BM181" i="2"/>
  <c r="Z181" i="2"/>
  <c r="Z183" i="2" s="1"/>
  <c r="Y181" i="2"/>
  <c r="BP181" i="2" s="1"/>
  <c r="P181" i="2"/>
  <c r="BO180" i="2"/>
  <c r="BM180" i="2"/>
  <c r="Z180" i="2"/>
  <c r="Y180" i="2"/>
  <c r="P180" i="2"/>
  <c r="X176" i="2"/>
  <c r="X175" i="2"/>
  <c r="BO174" i="2"/>
  <c r="BM174" i="2"/>
  <c r="Z174" i="2"/>
  <c r="Y174" i="2"/>
  <c r="BN174" i="2" s="1"/>
  <c r="P174" i="2"/>
  <c r="BO173" i="2"/>
  <c r="BM173" i="2"/>
  <c r="Z173" i="2"/>
  <c r="Y173" i="2"/>
  <c r="P173" i="2"/>
  <c r="X169" i="2"/>
  <c r="X168" i="2"/>
  <c r="BO167" i="2"/>
  <c r="BM167" i="2"/>
  <c r="Z167" i="2"/>
  <c r="Z168" i="2" s="1"/>
  <c r="Y167" i="2"/>
  <c r="BN167" i="2" s="1"/>
  <c r="P167" i="2"/>
  <c r="X164" i="2"/>
  <c r="X163" i="2"/>
  <c r="BO162" i="2"/>
  <c r="BM162" i="2"/>
  <c r="Z162" i="2"/>
  <c r="Z163" i="2" s="1"/>
  <c r="Y162" i="2"/>
  <c r="P162" i="2"/>
  <c r="X159" i="2"/>
  <c r="X158" i="2"/>
  <c r="BO157" i="2"/>
  <c r="BM157" i="2"/>
  <c r="Z157" i="2"/>
  <c r="Z158" i="2" s="1"/>
  <c r="Y157" i="2"/>
  <c r="BN157" i="2" s="1"/>
  <c r="P157" i="2"/>
  <c r="X154" i="2"/>
  <c r="X153" i="2"/>
  <c r="BO152" i="2"/>
  <c r="BM152" i="2"/>
  <c r="Z152" i="2"/>
  <c r="Z153" i="2" s="1"/>
  <c r="Y152" i="2"/>
  <c r="P152" i="2"/>
  <c r="X149" i="2"/>
  <c r="X148" i="2"/>
  <c r="BO147" i="2"/>
  <c r="BM147" i="2"/>
  <c r="Z147" i="2"/>
  <c r="Y147" i="2"/>
  <c r="BN147" i="2" s="1"/>
  <c r="P147" i="2"/>
  <c r="BO146" i="2"/>
  <c r="BM146" i="2"/>
  <c r="Z146" i="2"/>
  <c r="Z148" i="2" s="1"/>
  <c r="Y146" i="2"/>
  <c r="BN146" i="2" s="1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Z142" i="2" s="1"/>
  <c r="Y140" i="2"/>
  <c r="P140" i="2"/>
  <c r="X137" i="2"/>
  <c r="X136" i="2"/>
  <c r="BP135" i="2"/>
  <c r="BO135" i="2"/>
  <c r="BN135" i="2"/>
  <c r="BM135" i="2"/>
  <c r="Z135" i="2"/>
  <c r="Z136" i="2" s="1"/>
  <c r="Y135" i="2"/>
  <c r="P135" i="2"/>
  <c r="BO134" i="2"/>
  <c r="BM134" i="2"/>
  <c r="Z134" i="2"/>
  <c r="Y134" i="2"/>
  <c r="P134" i="2"/>
  <c r="X131" i="2"/>
  <c r="X130" i="2"/>
  <c r="BO129" i="2"/>
  <c r="BM129" i="2"/>
  <c r="Z129" i="2"/>
  <c r="Z130" i="2" s="1"/>
  <c r="Y129" i="2"/>
  <c r="Y131" i="2" s="1"/>
  <c r="P129" i="2"/>
  <c r="Y127" i="2"/>
  <c r="X127" i="2"/>
  <c r="Z126" i="2"/>
  <c r="X126" i="2"/>
  <c r="BO125" i="2"/>
  <c r="BM125" i="2"/>
  <c r="Z125" i="2"/>
  <c r="Y125" i="2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N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Y123" i="2" s="1"/>
  <c r="P114" i="2"/>
  <c r="BP113" i="2"/>
  <c r="BO113" i="2"/>
  <c r="BN113" i="2"/>
  <c r="BM113" i="2"/>
  <c r="Z113" i="2"/>
  <c r="Y113" i="2"/>
  <c r="P113" i="2"/>
  <c r="X110" i="2"/>
  <c r="X109" i="2"/>
  <c r="BO108" i="2"/>
  <c r="BM108" i="2"/>
  <c r="Z108" i="2"/>
  <c r="Y108" i="2"/>
  <c r="BN108" i="2" s="1"/>
  <c r="P108" i="2"/>
  <c r="BP107" i="2"/>
  <c r="BO107" i="2"/>
  <c r="BN107" i="2"/>
  <c r="BM107" i="2"/>
  <c r="Z107" i="2"/>
  <c r="Z109" i="2" s="1"/>
  <c r="Y107" i="2"/>
  <c r="P107" i="2"/>
  <c r="X104" i="2"/>
  <c r="X103" i="2"/>
  <c r="BO102" i="2"/>
  <c r="BM102" i="2"/>
  <c r="Z102" i="2"/>
  <c r="Y102" i="2"/>
  <c r="BN102" i="2" s="1"/>
  <c r="P102" i="2"/>
  <c r="BO101" i="2"/>
  <c r="BM101" i="2"/>
  <c r="Z101" i="2"/>
  <c r="Y101" i="2"/>
  <c r="BP101" i="2" s="1"/>
  <c r="P101" i="2"/>
  <c r="BP100" i="2"/>
  <c r="BO100" i="2"/>
  <c r="BN100" i="2"/>
  <c r="BM100" i="2"/>
  <c r="Z100" i="2"/>
  <c r="Y100" i="2"/>
  <c r="P100" i="2"/>
  <c r="BO99" i="2"/>
  <c r="BM99" i="2"/>
  <c r="Z99" i="2"/>
  <c r="Y99" i="2"/>
  <c r="P99" i="2"/>
  <c r="BO98" i="2"/>
  <c r="BM98" i="2"/>
  <c r="Z98" i="2"/>
  <c r="Y98" i="2"/>
  <c r="BN98" i="2" s="1"/>
  <c r="P98" i="2"/>
  <c r="BO97" i="2"/>
  <c r="BM97" i="2"/>
  <c r="Z97" i="2"/>
  <c r="Y97" i="2"/>
  <c r="BN97" i="2" s="1"/>
  <c r="P97" i="2"/>
  <c r="X94" i="2"/>
  <c r="X93" i="2"/>
  <c r="BP92" i="2"/>
  <c r="BO92" i="2"/>
  <c r="BN92" i="2"/>
  <c r="BM92" i="2"/>
  <c r="Z92" i="2"/>
  <c r="Y92" i="2"/>
  <c r="P92" i="2"/>
  <c r="BO91" i="2"/>
  <c r="BM91" i="2"/>
  <c r="Z91" i="2"/>
  <c r="Y91" i="2"/>
  <c r="P91" i="2"/>
  <c r="X88" i="2"/>
  <c r="X87" i="2"/>
  <c r="BO86" i="2"/>
  <c r="BM86" i="2"/>
  <c r="Z86" i="2"/>
  <c r="Z87" i="2" s="1"/>
  <c r="Y86" i="2"/>
  <c r="Y88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Y82" i="2" s="1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P74" i="2"/>
  <c r="BP73" i="2"/>
  <c r="BO73" i="2"/>
  <c r="BN73" i="2"/>
  <c r="BM73" i="2"/>
  <c r="Z73" i="2"/>
  <c r="Z76" i="2" s="1"/>
  <c r="Y73" i="2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P68" i="2" s="1"/>
  <c r="P68" i="2"/>
  <c r="X66" i="2"/>
  <c r="X65" i="2"/>
  <c r="BO64" i="2"/>
  <c r="BM64" i="2"/>
  <c r="Z64" i="2"/>
  <c r="Z65" i="2" s="1"/>
  <c r="Y64" i="2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P55" i="2"/>
  <c r="BO54" i="2"/>
  <c r="BM54" i="2"/>
  <c r="Z54" i="2"/>
  <c r="Y54" i="2"/>
  <c r="BN54" i="2" s="1"/>
  <c r="P54" i="2"/>
  <c r="BO53" i="2"/>
  <c r="BM53" i="2"/>
  <c r="Z53" i="2"/>
  <c r="Y53" i="2"/>
  <c r="P53" i="2"/>
  <c r="BO52" i="2"/>
  <c r="BM52" i="2"/>
  <c r="Z52" i="2"/>
  <c r="Y52" i="2"/>
  <c r="BP52" i="2" s="1"/>
  <c r="P52" i="2"/>
  <c r="X49" i="2"/>
  <c r="X48" i="2"/>
  <c r="BO47" i="2"/>
  <c r="BM47" i="2"/>
  <c r="Z47" i="2"/>
  <c r="Y47" i="2"/>
  <c r="BP47" i="2" s="1"/>
  <c r="P47" i="2"/>
  <c r="BP46" i="2"/>
  <c r="BO46" i="2"/>
  <c r="BN46" i="2"/>
  <c r="BM46" i="2"/>
  <c r="Z46" i="2"/>
  <c r="Y46" i="2"/>
  <c r="P46" i="2"/>
  <c r="BO45" i="2"/>
  <c r="BM45" i="2"/>
  <c r="Z45" i="2"/>
  <c r="Y45" i="2"/>
  <c r="P45" i="2"/>
  <c r="X42" i="2"/>
  <c r="X41" i="2"/>
  <c r="BO40" i="2"/>
  <c r="BM40" i="2"/>
  <c r="Z40" i="2"/>
  <c r="Y40" i="2"/>
  <c r="Y42" i="2" s="1"/>
  <c r="P40" i="2"/>
  <c r="BP39" i="2"/>
  <c r="BO39" i="2"/>
  <c r="BN39" i="2"/>
  <c r="BM39" i="2"/>
  <c r="Z39" i="2"/>
  <c r="Z41" i="2" s="1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Z34" i="2" s="1"/>
  <c r="Y32" i="2"/>
  <c r="Y34" i="2" s="1"/>
  <c r="P32" i="2"/>
  <c r="X29" i="2"/>
  <c r="X28" i="2"/>
  <c r="BO27" i="2"/>
  <c r="BM27" i="2"/>
  <c r="Z27" i="2"/>
  <c r="Y27" i="2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J9" i="2" s="1"/>
  <c r="D7" i="2"/>
  <c r="Q6" i="2"/>
  <c r="P2" i="2"/>
  <c r="F10" i="2" l="1"/>
  <c r="Z28" i="2"/>
  <c r="X272" i="2"/>
  <c r="BP27" i="2"/>
  <c r="BN27" i="2"/>
  <c r="Y29" i="2"/>
  <c r="BP32" i="2"/>
  <c r="X275" i="2"/>
  <c r="BN91" i="2"/>
  <c r="Y94" i="2"/>
  <c r="BP99" i="2"/>
  <c r="BN99" i="2"/>
  <c r="BP157" i="2"/>
  <c r="Y158" i="2"/>
  <c r="Y159" i="2"/>
  <c r="Y164" i="2"/>
  <c r="BP162" i="2"/>
  <c r="BN162" i="2"/>
  <c r="BP205" i="2"/>
  <c r="Y206" i="2"/>
  <c r="Y207" i="2"/>
  <c r="Y212" i="2"/>
  <c r="Y211" i="2"/>
  <c r="BP210" i="2"/>
  <c r="BN210" i="2"/>
  <c r="Y228" i="2"/>
  <c r="BP227" i="2"/>
  <c r="BN227" i="2"/>
  <c r="BP262" i="2"/>
  <c r="BN262" i="2"/>
  <c r="BP268" i="2"/>
  <c r="BN268" i="2"/>
  <c r="A10" i="2"/>
  <c r="X273" i="2"/>
  <c r="Y49" i="2"/>
  <c r="BP45" i="2"/>
  <c r="BN45" i="2"/>
  <c r="Y57" i="2"/>
  <c r="BP53" i="2"/>
  <c r="BN53" i="2"/>
  <c r="BP55" i="2"/>
  <c r="BN55" i="2"/>
  <c r="Y65" i="2"/>
  <c r="Y66" i="2"/>
  <c r="BP64" i="2"/>
  <c r="BN64" i="2"/>
  <c r="BP74" i="2"/>
  <c r="BN74" i="2"/>
  <c r="BP86" i="2"/>
  <c r="Y87" i="2"/>
  <c r="Z103" i="2"/>
  <c r="BP120" i="2"/>
  <c r="BN120" i="2"/>
  <c r="Y126" i="2"/>
  <c r="BP125" i="2"/>
  <c r="BN125" i="2"/>
  <c r="BP134" i="2"/>
  <c r="BN134" i="2"/>
  <c r="Y136" i="2"/>
  <c r="Y137" i="2"/>
  <c r="BP140" i="2"/>
  <c r="Y143" i="2"/>
  <c r="Y142" i="2"/>
  <c r="BP147" i="2"/>
  <c r="Y154" i="2"/>
  <c r="BP152" i="2"/>
  <c r="BN152" i="2"/>
  <c r="BP167" i="2"/>
  <c r="Y168" i="2"/>
  <c r="Y169" i="2"/>
  <c r="Y175" i="2"/>
  <c r="BP173" i="2"/>
  <c r="BN173" i="2"/>
  <c r="Y184" i="2"/>
  <c r="BP180" i="2"/>
  <c r="BN180" i="2"/>
  <c r="Y187" i="2"/>
  <c r="BP186" i="2"/>
  <c r="BN186" i="2"/>
  <c r="BP196" i="2"/>
  <c r="BN196" i="2"/>
  <c r="BP200" i="2"/>
  <c r="BN200" i="2"/>
  <c r="Z216" i="2"/>
  <c r="Y229" i="2"/>
  <c r="BP244" i="2"/>
  <c r="BN244" i="2"/>
  <c r="BP254" i="2"/>
  <c r="BN254" i="2"/>
  <c r="BP263" i="2"/>
  <c r="BN263" i="2"/>
  <c r="X271" i="2"/>
  <c r="Z48" i="2"/>
  <c r="Y48" i="2"/>
  <c r="Z56" i="2"/>
  <c r="Y77" i="2"/>
  <c r="BP75" i="2"/>
  <c r="Y76" i="2"/>
  <c r="Z82" i="2"/>
  <c r="Z93" i="2"/>
  <c r="BP97" i="2"/>
  <c r="BP102" i="2"/>
  <c r="Y109" i="2"/>
  <c r="Z122" i="2"/>
  <c r="Z175" i="2"/>
  <c r="BP214" i="2"/>
  <c r="Y217" i="2"/>
  <c r="Y257" i="2"/>
  <c r="BP255" i="2"/>
  <c r="BP266" i="2"/>
  <c r="Z276" i="2"/>
  <c r="X274" i="2"/>
  <c r="BN22" i="2"/>
  <c r="BN68" i="2"/>
  <c r="BN181" i="2"/>
  <c r="BN40" i="2"/>
  <c r="Y183" i="2"/>
  <c r="Y250" i="2"/>
  <c r="Y110" i="2"/>
  <c r="Y176" i="2"/>
  <c r="Y223" i="2"/>
  <c r="Y235" i="2"/>
  <c r="Y35" i="2"/>
  <c r="Y271" i="2" s="1"/>
  <c r="Y194" i="2"/>
  <c r="Y256" i="2"/>
  <c r="F9" i="2"/>
  <c r="BN24" i="2"/>
  <c r="Y71" i="2"/>
  <c r="Y103" i="2"/>
  <c r="BN116" i="2"/>
  <c r="Y148" i="2"/>
  <c r="Y251" i="2"/>
  <c r="H9" i="2"/>
  <c r="Y28" i="2"/>
  <c r="BN52" i="2"/>
  <c r="Y93" i="2"/>
  <c r="BN141" i="2"/>
  <c r="BN199" i="2"/>
  <c r="BN265" i="2"/>
  <c r="Y56" i="2"/>
  <c r="BN86" i="2"/>
  <c r="Y245" i="2"/>
  <c r="Y269" i="2"/>
  <c r="BN80" i="2"/>
  <c r="BN259" i="2"/>
  <c r="BN60" i="2"/>
  <c r="Y70" i="2"/>
  <c r="Y83" i="2"/>
  <c r="Y104" i="2"/>
  <c r="Y149" i="2"/>
  <c r="Y246" i="2"/>
  <c r="Y270" i="2"/>
  <c r="BP25" i="2"/>
  <c r="BN32" i="2"/>
  <c r="BP80" i="2"/>
  <c r="BP117" i="2"/>
  <c r="Y163" i="2"/>
  <c r="BN47" i="2"/>
  <c r="BP197" i="2"/>
  <c r="BN260" i="2"/>
  <c r="BP146" i="2"/>
  <c r="BN248" i="2"/>
  <c r="BN101" i="2"/>
  <c r="BN26" i="2"/>
  <c r="Y202" i="2"/>
  <c r="BN233" i="2"/>
  <c r="BN267" i="2"/>
  <c r="BP91" i="2"/>
  <c r="BN192" i="2"/>
  <c r="BN23" i="2"/>
  <c r="BP54" i="2"/>
  <c r="Y62" i="2"/>
  <c r="BN69" i="2"/>
  <c r="BP108" i="2"/>
  <c r="BN115" i="2"/>
  <c r="BP174" i="2"/>
  <c r="BN182" i="2"/>
  <c r="BP221" i="2"/>
  <c r="BP233" i="2"/>
  <c r="BP243" i="2"/>
  <c r="BN249" i="2"/>
  <c r="BP60" i="2"/>
  <c r="Y153" i="2"/>
  <c r="Y201" i="2"/>
  <c r="BP121" i="2"/>
  <c r="BP129" i="2"/>
  <c r="BN81" i="2"/>
  <c r="Y130" i="2"/>
  <c r="BP118" i="2"/>
  <c r="BP33" i="2"/>
  <c r="BP98" i="2"/>
  <c r="BN198" i="2"/>
  <c r="BN114" i="2"/>
  <c r="BN129" i="2"/>
  <c r="BP114" i="2"/>
  <c r="BP40" i="2"/>
  <c r="Y41" i="2"/>
  <c r="Y122" i="2"/>
  <c r="BN221" i="2"/>
  <c r="BN140" i="2"/>
  <c r="BP192" i="2"/>
  <c r="BN264" i="2"/>
  <c r="Y273" i="2" l="1"/>
  <c r="A284" i="2"/>
  <c r="Y272" i="2"/>
  <c r="Y274" i="2" s="1"/>
  <c r="Y275" i="2"/>
  <c r="C284" i="2" l="1"/>
  <c r="B284" i="2"/>
</calcChain>
</file>

<file path=xl/sharedStrings.xml><?xml version="1.0" encoding="utf-8"?>
<sst xmlns="http://schemas.openxmlformats.org/spreadsheetml/2006/main" count="1673" uniqueCount="398">
  <si>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</si>
  <si>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</si>
  <si>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</si>
  <si>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</si>
  <si>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</si>
  <si>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</si>
  <si>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</si>
  <si>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</si>
  <si>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</si>
  <si>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</si>
  <si>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</si>
  <si>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</si>
  <si>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</si>
  <si>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</si>
  <si>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</si>
  <si>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</si>
  <si>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</si>
  <si>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</si>
  <si>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</si>
  <si>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</si>
  <si>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</si>
  <si>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</si>
  <si>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</si>
  <si>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</si>
  <si>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</si>
  <si>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</si>
  <si>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</si>
  <si>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</si>
  <si>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</si>
  <si>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</si>
  <si>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</si>
  <si>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</si>
  <si>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</si>
  <si>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</si>
  <si>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</si>
  <si>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</si>
  <si>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</si>
  <si>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</si>
  <si>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</si>
  <si>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</si>
  <si>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</si>
  <si>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</si>
  <si>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</si>
  <si>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</si>
  <si>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</si>
  <si>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</si>
  <si>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</si>
  <si>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</si>
  <si>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</si>
  <si>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</si>
  <si>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</si>
  <si>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</si>
  <si>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</si>
  <si>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</si>
  <si>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</si>
  <si>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</si>
  <si>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</si>
  <si>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</si>
  <si>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</si>
  <si>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</si>
  <si>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</si>
  <si>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</si>
  <si>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</si>
  <si>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</si>
  <si>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</si>
  <si>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</si>
  <si>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</si>
  <si>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</si>
  <si>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</si>
  <si>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</si>
  <si>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</si>
  <si>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</si>
  <si>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</si>
  <si>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</si>
  <si>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</si>
  <si>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</si>
  <si>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</si>
  <si>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</si>
  <si>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Крым Респ, Симферополь г, Данилова ул, д. 43В, лит В, офис 4</t>
  </si>
  <si>
    <t>295021Российская Федерация, Крым Респ, Симферополь г, Данилова ул, д. 43В, лит В, офис 4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</si>
  <si>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</si>
  <si>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</si>
  <si>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</si>
  <si>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</si>
  <si>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</si>
  <si>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</si>
  <si>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</si>
  <si>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</si>
  <si>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</si>
  <si>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</si>
  <si>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</si>
  <si>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</si>
  <si>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</si>
  <si>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</si>
  <si>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</si>
  <si>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</si>
  <si>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</si>
  <si>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</si>
  <si>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</si>
  <si>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</si>
  <si>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</si>
  <si>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</si>
  <si>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</si>
  <si>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</si>
  <si>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</si>
  <si>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</si>
  <si>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</si>
  <si>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</si>
  <si>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</si>
  <si>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</si>
  <si>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</si>
  <si>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</si>
  <si>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</si>
  <si>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</si>
  <si>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</si>
  <si>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</si>
  <si>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</si>
  <si>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</si>
  <si>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</si>
  <si>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</si>
  <si>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</si>
  <si>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</si>
  <si>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</si>
  <si>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</si>
  <si>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</si>
  <si>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</si>
  <si>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</si>
  <si>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</si>
  <si>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</si>
  <si>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</si>
  <si>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</si>
  <si>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</si>
  <si>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</si>
  <si>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</si>
  <si>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</si>
  <si>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</si>
  <si>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</si>
  <si>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</si>
  <si>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</si>
  <si>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</si>
  <si>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</si>
  <si>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</si>
  <si>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</si>
  <si>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</si>
  <si>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</si>
  <si>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</si>
  <si>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</si>
  <si>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</si>
  <si>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</si>
  <si>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</si>
  <si>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</si>
  <si>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</si>
  <si>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</si>
  <si>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</si>
  <si>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</si>
  <si>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</si>
  <si>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</si>
  <si>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</si>
  <si>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</si>
  <si>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</si>
  <si>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</si>
  <si>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</si>
  <si>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</si>
  <si>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</si>
  <si>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</si>
  <si>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Палетта, мин. 1</t>
  </si>
  <si>
    <t>Палетта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</si>
  <si>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</si>
  <si>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</si>
  <si>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</si>
  <si>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</si>
  <si>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</si>
  <si>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</si>
  <si>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</si>
  <si>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</si>
  <si>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</si>
  <si>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</si>
  <si>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</si>
  <si>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</si>
  <si>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</si>
  <si>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</si>
  <si>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</si>
  <si>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</si>
  <si>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</si>
  <si>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</si>
  <si>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</si>
  <si>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</si>
  <si>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</si>
  <si>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</si>
  <si>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</si>
  <si>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</si>
  <si>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</si>
  <si>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</si>
  <si>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</si>
  <si>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</si>
  <si>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</si>
  <si>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</si>
  <si>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</si>
  <si>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</si>
  <si>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</si>
  <si>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</si>
  <si>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</si>
  <si>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</si>
  <si>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</si>
  <si>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</si>
  <si>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</si>
  <si>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</si>
  <si>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</si>
  <si>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</si>
  <si>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</si>
  <si>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</si>
  <si>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</si>
  <si>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</si>
  <si>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</si>
  <si>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</si>
  <si>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</si>
  <si>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</si>
  <si>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</si>
  <si>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</si>
  <si>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</si>
  <si>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</si>
  <si>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</si>
  <si>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</si>
  <si>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</si>
  <si>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</si>
  <si>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</si>
  <si>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</si>
  <si>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</si>
  <si>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</si>
  <si>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</si>
  <si>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</si>
  <si>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</si>
  <si>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</si>
  <si>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</si>
  <si>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</si>
  <si>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</si>
  <si>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</si>
  <si>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</si>
  <si>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</si>
  <si>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</si>
  <si>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</si>
  <si>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</si>
  <si>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</si>
  <si>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</si>
  <si>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</si>
  <si>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</si>
  <si>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</si>
  <si>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</si>
  <si>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</si>
  <si>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</si>
  <si>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</si>
  <si>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</si>
  <si>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</si>
  <si>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</si>
  <si>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</si>
  <si>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</si>
  <si>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</si>
  <si>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</si>
  <si>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</si>
  <si>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</si>
  <si>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</si>
  <si>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</si>
  <si>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</si>
  <si>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</si>
  <si>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</si>
  <si>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</si>
  <si>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</si>
  <si>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</si>
  <si>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</si>
  <si>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</si>
  <si>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</si>
  <si>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</si>
  <si>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</si>
  <si>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</si>
  <si>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</si>
  <si>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</si>
  <si>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</si>
  <si>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</si>
  <si>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</si>
  <si>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</si>
  <si>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</si>
  <si>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</si>
  <si>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</si>
  <si>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</si>
  <si>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</si>
  <si>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</si>
  <si>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</si>
  <si>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</si>
  <si>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</si>
  <si>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</si>
  <si>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</si>
  <si>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</si>
  <si>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</si>
  <si>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</si>
  <si>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</si>
  <si>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</si>
  <si>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</si>
  <si>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</si>
  <si>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</si>
  <si>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</si>
  <si>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</si>
  <si>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</si>
  <si>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</si>
  <si>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</si>
  <si>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</si>
  <si>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</si>
  <si>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</si>
  <si>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</si>
  <si>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</si>
  <si>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</si>
  <si>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</si>
  <si>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</si>
  <si>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</si>
  <si>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</si>
  <si>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</si>
  <si>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</si>
  <si>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</si>
  <si>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</si>
  <si>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</si>
  <si>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</si>
  <si>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</si>
  <si>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</si>
  <si>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</si>
  <si>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</si>
  <si>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</si>
  <si>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</si>
  <si>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</si>
  <si>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</si>
  <si>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</si>
  <si>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</si>
  <si>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</si>
  <si>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</si>
  <si>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</si>
  <si>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</si>
  <si>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</si>
  <si>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</si>
  <si>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</si>
  <si>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</si>
  <si>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</si>
  <si>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</si>
  <si>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</si>
  <si>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</si>
  <si>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</si>
  <si>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</si>
  <si>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</si>
  <si>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</si>
  <si>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</si>
  <si>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</si>
  <si>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</si>
  <si>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</si>
  <si>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</si>
  <si>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</si>
  <si>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</si>
  <si>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</si>
  <si>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</si>
  <si>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</si>
  <si>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</si>
  <si>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</si>
  <si>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</si>
  <si>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</si>
  <si>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</si>
  <si>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</si>
  <si>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</si>
  <si>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</si>
  <si>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</si>
  <si>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</si>
  <si>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</si>
  <si>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</si>
  <si>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</si>
  <si>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</si>
  <si>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</si>
  <si>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</si>
  <si>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</si>
  <si>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</si>
  <si>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</si>
  <si>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</si>
  <si>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</si>
  <si>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</si>
  <si>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</si>
  <si>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</si>
  <si>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</si>
  <si>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</si>
  <si>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</si>
  <si>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</si>
  <si>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</si>
  <si>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590704_5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</si>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</sst>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4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9" t="s">
        <v>26</v>
      </c>
      <c r="E1" s="279"/>
      <c r="F1" s="279"/>
      <c r="G1" s="14" t="s">
        <v>70</v>
      </c>
      <c r="H1" s="279" t="s">
        <v>47</v>
      </c>
      <c r="I1" s="279"/>
      <c r="J1" s="279"/>
      <c r="K1" s="279"/>
      <c r="L1" s="279"/>
      <c r="M1" s="279"/>
      <c r="N1" s="279"/>
      <c r="O1" s="279"/>
      <c r="P1" s="279"/>
      <c r="Q1" s="279"/>
      <c r="R1" s="280" t="s">
        <v>71</v>
      </c>
      <c r="S1" s="281"/>
      <c r="T1" s="28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2"/>
      <c r="Q3" s="282"/>
      <c r="R3" s="282"/>
      <c r="S3" s="282"/>
      <c r="T3" s="282"/>
      <c r="U3" s="282"/>
      <c r="V3" s="282"/>
      <c r="W3" s="28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3" t="s">
        <v>8</v>
      </c>
      <c r="B5" s="283"/>
      <c r="C5" s="283"/>
      <c r="D5" s="284"/>
      <c r="E5" s="284"/>
      <c r="F5" s="285" t="s">
        <v>14</v>
      </c>
      <c r="G5" s="285"/>
      <c r="H5" s="284"/>
      <c r="I5" s="284"/>
      <c r="J5" s="284"/>
      <c r="K5" s="284"/>
      <c r="L5" s="284"/>
      <c r="M5" s="284"/>
      <c r="N5" s="75"/>
      <c r="P5" s="27" t="s">
        <v>4</v>
      </c>
      <c r="Q5" s="286">
        <v>45999</v>
      </c>
      <c r="R5" s="286"/>
      <c r="T5" s="287" t="s">
        <v>3</v>
      </c>
      <c r="U5" s="288"/>
      <c r="V5" s="289" t="s">
        <v>384</v>
      </c>
      <c r="W5" s="290"/>
      <c r="AB5" s="59"/>
      <c r="AC5" s="59"/>
      <c r="AD5" s="59"/>
      <c r="AE5" s="59"/>
    </row>
    <row r="6" spans="1:32" s="17" customFormat="1" ht="24" customHeight="1" x14ac:dyDescent="0.2">
      <c r="A6" s="283" t="s">
        <v>1</v>
      </c>
      <c r="B6" s="283"/>
      <c r="C6" s="283"/>
      <c r="D6" s="291" t="s">
        <v>78</v>
      </c>
      <c r="E6" s="291"/>
      <c r="F6" s="291"/>
      <c r="G6" s="291"/>
      <c r="H6" s="291"/>
      <c r="I6" s="291"/>
      <c r="J6" s="291"/>
      <c r="K6" s="291"/>
      <c r="L6" s="291"/>
      <c r="M6" s="291"/>
      <c r="N6" s="76"/>
      <c r="P6" s="27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72</v>
      </c>
      <c r="W6" s="29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7"/>
      <c r="P7" s="29"/>
      <c r="Q7" s="48"/>
      <c r="R7" s="48"/>
      <c r="T7" s="293"/>
      <c r="U7" s="294"/>
      <c r="V7" s="297"/>
      <c r="W7" s="298"/>
      <c r="AB7" s="59"/>
      <c r="AC7" s="59"/>
      <c r="AD7" s="59"/>
      <c r="AE7" s="59"/>
    </row>
    <row r="8" spans="1:32" s="17" customFormat="1" ht="25.5" customHeight="1" x14ac:dyDescent="0.2">
      <c r="A8" s="304" t="s">
        <v>58</v>
      </c>
      <c r="B8" s="304"/>
      <c r="C8" s="304"/>
      <c r="D8" s="305" t="s">
        <v>79</v>
      </c>
      <c r="E8" s="305"/>
      <c r="F8" s="305"/>
      <c r="G8" s="305"/>
      <c r="H8" s="305"/>
      <c r="I8" s="305"/>
      <c r="J8" s="305"/>
      <c r="K8" s="305"/>
      <c r="L8" s="305"/>
      <c r="M8" s="305"/>
      <c r="N8" s="78"/>
      <c r="P8" s="27" t="s">
        <v>11</v>
      </c>
      <c r="Q8" s="306">
        <v>0.41666666666666669</v>
      </c>
      <c r="R8" s="306"/>
      <c r="T8" s="293"/>
      <c r="U8" s="294"/>
      <c r="V8" s="297"/>
      <c r="W8" s="298"/>
      <c r="AB8" s="59"/>
      <c r="AC8" s="59"/>
      <c r="AD8" s="59"/>
      <c r="AE8" s="59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3"/>
      <c r="P9" s="31" t="s">
        <v>15</v>
      </c>
      <c r="Q9" s="311"/>
      <c r="R9" s="311"/>
      <c r="T9" s="293"/>
      <c r="U9" s="294"/>
      <c r="V9" s="299"/>
      <c r="W9" s="30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4"/>
      <c r="P10" s="31" t="s">
        <v>32</v>
      </c>
      <c r="Q10" s="313"/>
      <c r="R10" s="313"/>
      <c r="U10" s="29" t="s">
        <v>12</v>
      </c>
      <c r="V10" s="314" t="s">
        <v>73</v>
      </c>
      <c r="W10" s="31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6"/>
      <c r="R11" s="316"/>
      <c r="U11" s="29" t="s">
        <v>28</v>
      </c>
      <c r="V11" s="317" t="s">
        <v>55</v>
      </c>
      <c r="W11" s="31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8" t="s">
        <v>74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9"/>
      <c r="P12" s="27" t="s">
        <v>30</v>
      </c>
      <c r="Q12" s="306"/>
      <c r="R12" s="306"/>
      <c r="S12" s="28"/>
      <c r="T12"/>
      <c r="U12" s="29" t="s">
        <v>46</v>
      </c>
      <c r="V12" s="319"/>
      <c r="W12" s="319"/>
      <c r="X12"/>
      <c r="AB12" s="59"/>
      <c r="AC12" s="59"/>
      <c r="AD12" s="59"/>
      <c r="AE12" s="59"/>
    </row>
    <row r="13" spans="1:32" s="17" customFormat="1" ht="23.25" customHeight="1" x14ac:dyDescent="0.2">
      <c r="A13" s="318" t="s">
        <v>75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9"/>
      <c r="O13" s="31"/>
      <c r="P13" s="31" t="s">
        <v>31</v>
      </c>
      <c r="Q13" s="317"/>
      <c r="R13" s="31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8" t="s">
        <v>76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0" t="s">
        <v>77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80"/>
      <c r="O15"/>
      <c r="P15" s="321" t="s">
        <v>61</v>
      </c>
      <c r="Q15" s="321"/>
      <c r="R15" s="321"/>
      <c r="S15" s="321"/>
      <c r="T15" s="32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5"/>
      <c r="BD17" s="84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6" t="s">
        <v>44</v>
      </c>
      <c r="V18" s="86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5"/>
      <c r="BD18" s="84"/>
    </row>
    <row r="19" spans="1:68" ht="27.75" customHeight="1" x14ac:dyDescent="0.2">
      <c r="A19" s="347" t="s">
        <v>80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4"/>
      <c r="AB19" s="54"/>
      <c r="AC19" s="54"/>
    </row>
    <row r="20" spans="1:68" ht="16.5" customHeight="1" x14ac:dyDescent="0.25">
      <c r="A20" s="348" t="s">
        <v>80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5"/>
      <c r="AB20" s="65"/>
      <c r="AC20" s="82"/>
    </row>
    <row r="21" spans="1:68" ht="14.25" customHeight="1" x14ac:dyDescent="0.25">
      <c r="A21" s="349" t="s">
        <v>81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50">
        <v>4607111035912</v>
      </c>
      <c r="E22" s="350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51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2"/>
      <c r="R22" s="352"/>
      <c r="S22" s="352"/>
      <c r="T22" s="35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50">
        <v>4607111035103</v>
      </c>
      <c r="E23" s="350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4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2"/>
      <c r="R23" s="352"/>
      <c r="S23" s="352"/>
      <c r="T23" s="35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50">
        <v>4607111035929</v>
      </c>
      <c r="E24" s="350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2"/>
      <c r="R24" s="352"/>
      <c r="S24" s="352"/>
      <c r="T24" s="35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50">
        <v>4607111035882</v>
      </c>
      <c r="E25" s="350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2"/>
      <c r="R25" s="352"/>
      <c r="S25" s="352"/>
      <c r="T25" s="35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50">
        <v>4607111035110</v>
      </c>
      <c r="E26" s="350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7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2"/>
      <c r="R26" s="352"/>
      <c r="S26" s="352"/>
      <c r="T26" s="35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50">
        <v>4607111035905</v>
      </c>
      <c r="E27" s="35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2"/>
      <c r="R27" s="352"/>
      <c r="S27" s="352"/>
      <c r="T27" s="35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2"/>
      <c r="B28" s="362"/>
      <c r="C28" s="362"/>
      <c r="D28" s="362"/>
      <c r="E28" s="362"/>
      <c r="F28" s="362"/>
      <c r="G28" s="362"/>
      <c r="H28" s="362"/>
      <c r="I28" s="362"/>
      <c r="J28" s="362"/>
      <c r="K28" s="362"/>
      <c r="L28" s="362"/>
      <c r="M28" s="362"/>
      <c r="N28" s="362"/>
      <c r="O28" s="363"/>
      <c r="P28" s="359" t="s">
        <v>40</v>
      </c>
      <c r="Q28" s="360"/>
      <c r="R28" s="360"/>
      <c r="S28" s="360"/>
      <c r="T28" s="360"/>
      <c r="U28" s="360"/>
      <c r="V28" s="361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2"/>
      <c r="B29" s="362"/>
      <c r="C29" s="362"/>
      <c r="D29" s="362"/>
      <c r="E29" s="362"/>
      <c r="F29" s="362"/>
      <c r="G29" s="362"/>
      <c r="H29" s="362"/>
      <c r="I29" s="362"/>
      <c r="J29" s="362"/>
      <c r="K29" s="362"/>
      <c r="L29" s="362"/>
      <c r="M29" s="362"/>
      <c r="N29" s="362"/>
      <c r="O29" s="363"/>
      <c r="P29" s="359" t="s">
        <v>40</v>
      </c>
      <c r="Q29" s="360"/>
      <c r="R29" s="360"/>
      <c r="S29" s="360"/>
      <c r="T29" s="360"/>
      <c r="U29" s="360"/>
      <c r="V29" s="361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8" t="s">
        <v>99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65"/>
      <c r="AB30" s="65"/>
      <c r="AC30" s="82"/>
    </row>
    <row r="31" spans="1:68" ht="14.25" customHeight="1" x14ac:dyDescent="0.25">
      <c r="A31" s="349" t="s">
        <v>81</v>
      </c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50">
        <v>4607111039019</v>
      </c>
      <c r="E32" s="350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2"/>
      <c r="R32" s="352"/>
      <c r="S32" s="352"/>
      <c r="T32" s="353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50">
        <v>4607111038708</v>
      </c>
      <c r="E33" s="350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2"/>
      <c r="R33" s="352"/>
      <c r="S33" s="352"/>
      <c r="T33" s="353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2"/>
      <c r="B34" s="362"/>
      <c r="C34" s="362"/>
      <c r="D34" s="362"/>
      <c r="E34" s="362"/>
      <c r="F34" s="362"/>
      <c r="G34" s="362"/>
      <c r="H34" s="362"/>
      <c r="I34" s="362"/>
      <c r="J34" s="362"/>
      <c r="K34" s="362"/>
      <c r="L34" s="362"/>
      <c r="M34" s="362"/>
      <c r="N34" s="362"/>
      <c r="O34" s="363"/>
      <c r="P34" s="359" t="s">
        <v>40</v>
      </c>
      <c r="Q34" s="360"/>
      <c r="R34" s="360"/>
      <c r="S34" s="360"/>
      <c r="T34" s="360"/>
      <c r="U34" s="360"/>
      <c r="V34" s="361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2"/>
      <c r="B35" s="362"/>
      <c r="C35" s="362"/>
      <c r="D35" s="362"/>
      <c r="E35" s="362"/>
      <c r="F35" s="362"/>
      <c r="G35" s="362"/>
      <c r="H35" s="362"/>
      <c r="I35" s="362"/>
      <c r="J35" s="362"/>
      <c r="K35" s="362"/>
      <c r="L35" s="362"/>
      <c r="M35" s="362"/>
      <c r="N35" s="362"/>
      <c r="O35" s="363"/>
      <c r="P35" s="359" t="s">
        <v>40</v>
      </c>
      <c r="Q35" s="360"/>
      <c r="R35" s="360"/>
      <c r="S35" s="360"/>
      <c r="T35" s="360"/>
      <c r="U35" s="360"/>
      <c r="V35" s="361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7" t="s">
        <v>45</v>
      </c>
      <c r="B36" s="347"/>
      <c r="C36" s="347"/>
      <c r="D36" s="347"/>
      <c r="E36" s="347"/>
      <c r="F36" s="347"/>
      <c r="G36" s="347"/>
      <c r="H36" s="347"/>
      <c r="I36" s="347"/>
      <c r="J36" s="347"/>
      <c r="K36" s="347"/>
      <c r="L36" s="347"/>
      <c r="M36" s="347"/>
      <c r="N36" s="347"/>
      <c r="O36" s="347"/>
      <c r="P36" s="347"/>
      <c r="Q36" s="347"/>
      <c r="R36" s="347"/>
      <c r="S36" s="347"/>
      <c r="T36" s="347"/>
      <c r="U36" s="347"/>
      <c r="V36" s="347"/>
      <c r="W36" s="347"/>
      <c r="X36" s="347"/>
      <c r="Y36" s="347"/>
      <c r="Z36" s="347"/>
      <c r="AA36" s="54"/>
      <c r="AB36" s="54"/>
      <c r="AC36" s="54"/>
    </row>
    <row r="37" spans="1:68" ht="16.5" customHeight="1" x14ac:dyDescent="0.25">
      <c r="A37" s="348" t="s">
        <v>105</v>
      </c>
      <c r="B37" s="348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65"/>
      <c r="AB37" s="65"/>
      <c r="AC37" s="82"/>
    </row>
    <row r="38" spans="1:68" ht="14.25" customHeight="1" x14ac:dyDescent="0.25">
      <c r="A38" s="349" t="s">
        <v>106</v>
      </c>
      <c r="B38" s="349"/>
      <c r="C38" s="34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50">
        <v>4607111036537</v>
      </c>
      <c r="E39" s="350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2"/>
      <c r="R39" s="352"/>
      <c r="S39" s="352"/>
      <c r="T39" s="353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50">
        <v>4607111036605</v>
      </c>
      <c r="E40" s="350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6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2"/>
      <c r="R40" s="352"/>
      <c r="S40" s="352"/>
      <c r="T40" s="353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2"/>
      <c r="B41" s="362"/>
      <c r="C41" s="362"/>
      <c r="D41" s="362"/>
      <c r="E41" s="362"/>
      <c r="F41" s="362"/>
      <c r="G41" s="362"/>
      <c r="H41" s="362"/>
      <c r="I41" s="362"/>
      <c r="J41" s="362"/>
      <c r="K41" s="362"/>
      <c r="L41" s="362"/>
      <c r="M41" s="362"/>
      <c r="N41" s="362"/>
      <c r="O41" s="363"/>
      <c r="P41" s="359" t="s">
        <v>40</v>
      </c>
      <c r="Q41" s="360"/>
      <c r="R41" s="360"/>
      <c r="S41" s="360"/>
      <c r="T41" s="360"/>
      <c r="U41" s="360"/>
      <c r="V41" s="361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2"/>
      <c r="B42" s="362"/>
      <c r="C42" s="362"/>
      <c r="D42" s="362"/>
      <c r="E42" s="362"/>
      <c r="F42" s="362"/>
      <c r="G42" s="362"/>
      <c r="H42" s="362"/>
      <c r="I42" s="362"/>
      <c r="J42" s="362"/>
      <c r="K42" s="362"/>
      <c r="L42" s="362"/>
      <c r="M42" s="362"/>
      <c r="N42" s="362"/>
      <c r="O42" s="363"/>
      <c r="P42" s="359" t="s">
        <v>40</v>
      </c>
      <c r="Q42" s="360"/>
      <c r="R42" s="360"/>
      <c r="S42" s="360"/>
      <c r="T42" s="360"/>
      <c r="U42" s="360"/>
      <c r="V42" s="361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8" t="s">
        <v>116</v>
      </c>
      <c r="B43" s="348"/>
      <c r="C43" s="348"/>
      <c r="D43" s="348"/>
      <c r="E43" s="348"/>
      <c r="F43" s="348"/>
      <c r="G43" s="348"/>
      <c r="H43" s="348"/>
      <c r="I43" s="348"/>
      <c r="J43" s="348"/>
      <c r="K43" s="348"/>
      <c r="L43" s="348"/>
      <c r="M43" s="348"/>
      <c r="N43" s="348"/>
      <c r="O43" s="348"/>
      <c r="P43" s="348"/>
      <c r="Q43" s="348"/>
      <c r="R43" s="348"/>
      <c r="S43" s="348"/>
      <c r="T43" s="348"/>
      <c r="U43" s="348"/>
      <c r="V43" s="348"/>
      <c r="W43" s="348"/>
      <c r="X43" s="348"/>
      <c r="Y43" s="348"/>
      <c r="Z43" s="348"/>
      <c r="AA43" s="65"/>
      <c r="AB43" s="65"/>
      <c r="AC43" s="82"/>
    </row>
    <row r="44" spans="1:68" ht="14.25" customHeight="1" x14ac:dyDescent="0.25">
      <c r="A44" s="349" t="s">
        <v>81</v>
      </c>
      <c r="B44" s="349"/>
      <c r="C44" s="349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50">
        <v>4620207490075</v>
      </c>
      <c r="E45" s="350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6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2"/>
      <c r="R45" s="352"/>
      <c r="S45" s="352"/>
      <c r="T45" s="353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50">
        <v>4620207490174</v>
      </c>
      <c r="E46" s="350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87</v>
      </c>
      <c r="M46" s="38" t="s">
        <v>85</v>
      </c>
      <c r="N46" s="38"/>
      <c r="O46" s="37">
        <v>180</v>
      </c>
      <c r="P46" s="36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2"/>
      <c r="R46" s="352"/>
      <c r="S46" s="352"/>
      <c r="T46" s="353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88</v>
      </c>
      <c r="AK46" s="87">
        <v>1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50">
        <v>4620207490044</v>
      </c>
      <c r="E47" s="35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70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2"/>
      <c r="R47" s="352"/>
      <c r="S47" s="352"/>
      <c r="T47" s="35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2"/>
      <c r="B48" s="362"/>
      <c r="C48" s="362"/>
      <c r="D48" s="362"/>
      <c r="E48" s="362"/>
      <c r="F48" s="362"/>
      <c r="G48" s="362"/>
      <c r="H48" s="362"/>
      <c r="I48" s="362"/>
      <c r="J48" s="362"/>
      <c r="K48" s="362"/>
      <c r="L48" s="362"/>
      <c r="M48" s="362"/>
      <c r="N48" s="362"/>
      <c r="O48" s="363"/>
      <c r="P48" s="359" t="s">
        <v>40</v>
      </c>
      <c r="Q48" s="360"/>
      <c r="R48" s="360"/>
      <c r="S48" s="360"/>
      <c r="T48" s="360"/>
      <c r="U48" s="360"/>
      <c r="V48" s="361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2"/>
      <c r="B49" s="362"/>
      <c r="C49" s="362"/>
      <c r="D49" s="362"/>
      <c r="E49" s="362"/>
      <c r="F49" s="362"/>
      <c r="G49" s="362"/>
      <c r="H49" s="362"/>
      <c r="I49" s="362"/>
      <c r="J49" s="362"/>
      <c r="K49" s="362"/>
      <c r="L49" s="362"/>
      <c r="M49" s="362"/>
      <c r="N49" s="362"/>
      <c r="O49" s="363"/>
      <c r="P49" s="359" t="s">
        <v>40</v>
      </c>
      <c r="Q49" s="360"/>
      <c r="R49" s="360"/>
      <c r="S49" s="360"/>
      <c r="T49" s="360"/>
      <c r="U49" s="360"/>
      <c r="V49" s="361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8" t="s">
        <v>126</v>
      </c>
      <c r="B50" s="348"/>
      <c r="C50" s="348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65"/>
      <c r="AB50" s="65"/>
      <c r="AC50" s="82"/>
    </row>
    <row r="51" spans="1:68" ht="14.25" customHeight="1" x14ac:dyDescent="0.25">
      <c r="A51" s="349" t="s">
        <v>81</v>
      </c>
      <c r="B51" s="349"/>
      <c r="C51" s="349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50">
        <v>4607111039385</v>
      </c>
      <c r="E52" s="350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87</v>
      </c>
      <c r="M52" s="38" t="s">
        <v>85</v>
      </c>
      <c r="N52" s="38"/>
      <c r="O52" s="37">
        <v>180</v>
      </c>
      <c r="P52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2"/>
      <c r="R52" s="352"/>
      <c r="S52" s="352"/>
      <c r="T52" s="353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88</v>
      </c>
      <c r="AK52" s="87">
        <v>1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50">
        <v>4607111038982</v>
      </c>
      <c r="E53" s="350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2"/>
      <c r="R53" s="352"/>
      <c r="S53" s="352"/>
      <c r="T53" s="353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50">
        <v>4607111039354</v>
      </c>
      <c r="E54" s="350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87</v>
      </c>
      <c r="M54" s="38" t="s">
        <v>85</v>
      </c>
      <c r="N54" s="38"/>
      <c r="O54" s="37">
        <v>180</v>
      </c>
      <c r="P54" s="373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2"/>
      <c r="R54" s="352"/>
      <c r="S54" s="352"/>
      <c r="T54" s="35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88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50">
        <v>4607111039330</v>
      </c>
      <c r="E55" s="350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87</v>
      </c>
      <c r="M55" s="38" t="s">
        <v>85</v>
      </c>
      <c r="N55" s="38"/>
      <c r="O55" s="37">
        <v>180</v>
      </c>
      <c r="P55" s="37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2"/>
      <c r="R55" s="352"/>
      <c r="S55" s="352"/>
      <c r="T55" s="35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88</v>
      </c>
      <c r="AK55" s="87">
        <v>1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2"/>
      <c r="B56" s="362"/>
      <c r="C56" s="362"/>
      <c r="D56" s="362"/>
      <c r="E56" s="362"/>
      <c r="F56" s="362"/>
      <c r="G56" s="362"/>
      <c r="H56" s="362"/>
      <c r="I56" s="362"/>
      <c r="J56" s="362"/>
      <c r="K56" s="362"/>
      <c r="L56" s="362"/>
      <c r="M56" s="362"/>
      <c r="N56" s="362"/>
      <c r="O56" s="363"/>
      <c r="P56" s="359" t="s">
        <v>40</v>
      </c>
      <c r="Q56" s="360"/>
      <c r="R56" s="360"/>
      <c r="S56" s="360"/>
      <c r="T56" s="360"/>
      <c r="U56" s="360"/>
      <c r="V56" s="361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2"/>
      <c r="B57" s="362"/>
      <c r="C57" s="362"/>
      <c r="D57" s="362"/>
      <c r="E57" s="362"/>
      <c r="F57" s="362"/>
      <c r="G57" s="362"/>
      <c r="H57" s="362"/>
      <c r="I57" s="362"/>
      <c r="J57" s="362"/>
      <c r="K57" s="362"/>
      <c r="L57" s="362"/>
      <c r="M57" s="362"/>
      <c r="N57" s="362"/>
      <c r="O57" s="363"/>
      <c r="P57" s="359" t="s">
        <v>40</v>
      </c>
      <c r="Q57" s="360"/>
      <c r="R57" s="360"/>
      <c r="S57" s="360"/>
      <c r="T57" s="360"/>
      <c r="U57" s="360"/>
      <c r="V57" s="361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8" t="s">
        <v>137</v>
      </c>
      <c r="B58" s="348"/>
      <c r="C58" s="348"/>
      <c r="D58" s="348"/>
      <c r="E58" s="348"/>
      <c r="F58" s="348"/>
      <c r="G58" s="348"/>
      <c r="H58" s="348"/>
      <c r="I58" s="348"/>
      <c r="J58" s="348"/>
      <c r="K58" s="348"/>
      <c r="L58" s="348"/>
      <c r="M58" s="348"/>
      <c r="N58" s="348"/>
      <c r="O58" s="348"/>
      <c r="P58" s="348"/>
      <c r="Q58" s="348"/>
      <c r="R58" s="348"/>
      <c r="S58" s="348"/>
      <c r="T58" s="348"/>
      <c r="U58" s="348"/>
      <c r="V58" s="348"/>
      <c r="W58" s="348"/>
      <c r="X58" s="348"/>
      <c r="Y58" s="348"/>
      <c r="Z58" s="348"/>
      <c r="AA58" s="65"/>
      <c r="AB58" s="65"/>
      <c r="AC58" s="82"/>
    </row>
    <row r="59" spans="1:68" ht="14.25" customHeight="1" x14ac:dyDescent="0.25">
      <c r="A59" s="349" t="s">
        <v>81</v>
      </c>
      <c r="B59" s="349"/>
      <c r="C59" s="349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50">
        <v>4620207490822</v>
      </c>
      <c r="E60" s="350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2"/>
      <c r="R60" s="352"/>
      <c r="S60" s="352"/>
      <c r="T60" s="353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2"/>
      <c r="B61" s="362"/>
      <c r="C61" s="362"/>
      <c r="D61" s="362"/>
      <c r="E61" s="362"/>
      <c r="F61" s="362"/>
      <c r="G61" s="362"/>
      <c r="H61" s="362"/>
      <c r="I61" s="362"/>
      <c r="J61" s="362"/>
      <c r="K61" s="362"/>
      <c r="L61" s="362"/>
      <c r="M61" s="362"/>
      <c r="N61" s="362"/>
      <c r="O61" s="363"/>
      <c r="P61" s="359" t="s">
        <v>40</v>
      </c>
      <c r="Q61" s="360"/>
      <c r="R61" s="360"/>
      <c r="S61" s="360"/>
      <c r="T61" s="360"/>
      <c r="U61" s="360"/>
      <c r="V61" s="361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2"/>
      <c r="B62" s="362"/>
      <c r="C62" s="362"/>
      <c r="D62" s="362"/>
      <c r="E62" s="362"/>
      <c r="F62" s="362"/>
      <c r="G62" s="362"/>
      <c r="H62" s="362"/>
      <c r="I62" s="362"/>
      <c r="J62" s="362"/>
      <c r="K62" s="362"/>
      <c r="L62" s="362"/>
      <c r="M62" s="362"/>
      <c r="N62" s="362"/>
      <c r="O62" s="363"/>
      <c r="P62" s="359" t="s">
        <v>40</v>
      </c>
      <c r="Q62" s="360"/>
      <c r="R62" s="360"/>
      <c r="S62" s="360"/>
      <c r="T62" s="360"/>
      <c r="U62" s="360"/>
      <c r="V62" s="361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9" t="s">
        <v>106</v>
      </c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50">
        <v>4607111039712</v>
      </c>
      <c r="E64" s="350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2"/>
      <c r="R64" s="352"/>
      <c r="S64" s="352"/>
      <c r="T64" s="353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2"/>
      <c r="B65" s="362"/>
      <c r="C65" s="362"/>
      <c r="D65" s="362"/>
      <c r="E65" s="362"/>
      <c r="F65" s="362"/>
      <c r="G65" s="362"/>
      <c r="H65" s="362"/>
      <c r="I65" s="362"/>
      <c r="J65" s="362"/>
      <c r="K65" s="362"/>
      <c r="L65" s="362"/>
      <c r="M65" s="362"/>
      <c r="N65" s="362"/>
      <c r="O65" s="363"/>
      <c r="P65" s="359" t="s">
        <v>40</v>
      </c>
      <c r="Q65" s="360"/>
      <c r="R65" s="360"/>
      <c r="S65" s="360"/>
      <c r="T65" s="360"/>
      <c r="U65" s="360"/>
      <c r="V65" s="361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2"/>
      <c r="B66" s="362"/>
      <c r="C66" s="362"/>
      <c r="D66" s="362"/>
      <c r="E66" s="362"/>
      <c r="F66" s="362"/>
      <c r="G66" s="362"/>
      <c r="H66" s="362"/>
      <c r="I66" s="362"/>
      <c r="J66" s="362"/>
      <c r="K66" s="362"/>
      <c r="L66" s="362"/>
      <c r="M66" s="362"/>
      <c r="N66" s="362"/>
      <c r="O66" s="363"/>
      <c r="P66" s="359" t="s">
        <v>40</v>
      </c>
      <c r="Q66" s="360"/>
      <c r="R66" s="360"/>
      <c r="S66" s="360"/>
      <c r="T66" s="360"/>
      <c r="U66" s="360"/>
      <c r="V66" s="361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9" t="s">
        <v>144</v>
      </c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50">
        <v>4607111037008</v>
      </c>
      <c r="E68" s="350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2"/>
      <c r="R68" s="352"/>
      <c r="S68" s="352"/>
      <c r="T68" s="353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50">
        <v>4607111037398</v>
      </c>
      <c r="E69" s="350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8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2"/>
      <c r="R69" s="352"/>
      <c r="S69" s="352"/>
      <c r="T69" s="353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3"/>
      <c r="P70" s="359" t="s">
        <v>40</v>
      </c>
      <c r="Q70" s="360"/>
      <c r="R70" s="360"/>
      <c r="S70" s="360"/>
      <c r="T70" s="360"/>
      <c r="U70" s="360"/>
      <c r="V70" s="361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3"/>
      <c r="P71" s="359" t="s">
        <v>40</v>
      </c>
      <c r="Q71" s="360"/>
      <c r="R71" s="360"/>
      <c r="S71" s="360"/>
      <c r="T71" s="360"/>
      <c r="U71" s="360"/>
      <c r="V71" s="361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9" t="s">
        <v>150</v>
      </c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50">
        <v>4607111039705</v>
      </c>
      <c r="E73" s="350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2"/>
      <c r="R73" s="352"/>
      <c r="S73" s="352"/>
      <c r="T73" s="353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50">
        <v>4607111039729</v>
      </c>
      <c r="E74" s="350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2"/>
      <c r="R74" s="352"/>
      <c r="S74" s="352"/>
      <c r="T74" s="353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50">
        <v>4620207490228</v>
      </c>
      <c r="E75" s="35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8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2"/>
      <c r="R75" s="352"/>
      <c r="S75" s="352"/>
      <c r="T75" s="35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3"/>
      <c r="P76" s="359" t="s">
        <v>40</v>
      </c>
      <c r="Q76" s="360"/>
      <c r="R76" s="360"/>
      <c r="S76" s="360"/>
      <c r="T76" s="360"/>
      <c r="U76" s="360"/>
      <c r="V76" s="361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3"/>
      <c r="P77" s="359" t="s">
        <v>40</v>
      </c>
      <c r="Q77" s="360"/>
      <c r="R77" s="360"/>
      <c r="S77" s="360"/>
      <c r="T77" s="360"/>
      <c r="U77" s="360"/>
      <c r="V77" s="361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8" t="s">
        <v>158</v>
      </c>
      <c r="B78" s="348"/>
      <c r="C78" s="348"/>
      <c r="D78" s="348"/>
      <c r="E78" s="348"/>
      <c r="F78" s="348"/>
      <c r="G78" s="348"/>
      <c r="H78" s="348"/>
      <c r="I78" s="348"/>
      <c r="J78" s="348"/>
      <c r="K78" s="348"/>
      <c r="L78" s="348"/>
      <c r="M78" s="348"/>
      <c r="N78" s="348"/>
      <c r="O78" s="348"/>
      <c r="P78" s="348"/>
      <c r="Q78" s="348"/>
      <c r="R78" s="348"/>
      <c r="S78" s="348"/>
      <c r="T78" s="348"/>
      <c r="U78" s="348"/>
      <c r="V78" s="348"/>
      <c r="W78" s="348"/>
      <c r="X78" s="348"/>
      <c r="Y78" s="348"/>
      <c r="Z78" s="348"/>
      <c r="AA78" s="65"/>
      <c r="AB78" s="65"/>
      <c r="AC78" s="82"/>
    </row>
    <row r="79" spans="1:68" ht="14.25" customHeight="1" x14ac:dyDescent="0.25">
      <c r="A79" s="349" t="s">
        <v>81</v>
      </c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50">
        <v>4607111037411</v>
      </c>
      <c r="E80" s="350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87</v>
      </c>
      <c r="M80" s="38" t="s">
        <v>85</v>
      </c>
      <c r="N80" s="38"/>
      <c r="O80" s="37">
        <v>180</v>
      </c>
      <c r="P80" s="38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2"/>
      <c r="R80" s="352"/>
      <c r="S80" s="352"/>
      <c r="T80" s="353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88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50">
        <v>4607111036728</v>
      </c>
      <c r="E81" s="350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165</v>
      </c>
      <c r="M81" s="38" t="s">
        <v>85</v>
      </c>
      <c r="N81" s="38"/>
      <c r="O81" s="37">
        <v>180</v>
      </c>
      <c r="P81" s="38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2"/>
      <c r="R81" s="352"/>
      <c r="S81" s="352"/>
      <c r="T81" s="353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166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3"/>
      <c r="P82" s="359" t="s">
        <v>40</v>
      </c>
      <c r="Q82" s="360"/>
      <c r="R82" s="360"/>
      <c r="S82" s="360"/>
      <c r="T82" s="360"/>
      <c r="U82" s="360"/>
      <c r="V82" s="361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3"/>
      <c r="P83" s="359" t="s">
        <v>40</v>
      </c>
      <c r="Q83" s="360"/>
      <c r="R83" s="360"/>
      <c r="S83" s="360"/>
      <c r="T83" s="360"/>
      <c r="U83" s="360"/>
      <c r="V83" s="361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8" t="s">
        <v>167</v>
      </c>
      <c r="B84" s="348"/>
      <c r="C84" s="348"/>
      <c r="D84" s="348"/>
      <c r="E84" s="348"/>
      <c r="F84" s="348"/>
      <c r="G84" s="348"/>
      <c r="H84" s="348"/>
      <c r="I84" s="348"/>
      <c r="J84" s="348"/>
      <c r="K84" s="348"/>
      <c r="L84" s="348"/>
      <c r="M84" s="348"/>
      <c r="N84" s="348"/>
      <c r="O84" s="348"/>
      <c r="P84" s="348"/>
      <c r="Q84" s="348"/>
      <c r="R84" s="348"/>
      <c r="S84" s="348"/>
      <c r="T84" s="348"/>
      <c r="U84" s="348"/>
      <c r="V84" s="348"/>
      <c r="W84" s="348"/>
      <c r="X84" s="348"/>
      <c r="Y84" s="348"/>
      <c r="Z84" s="348"/>
      <c r="AA84" s="65"/>
      <c r="AB84" s="65"/>
      <c r="AC84" s="82"/>
    </row>
    <row r="85" spans="1:68" ht="14.25" customHeight="1" x14ac:dyDescent="0.25">
      <c r="A85" s="349" t="s">
        <v>150</v>
      </c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350">
        <v>4607111033659</v>
      </c>
      <c r="E86" s="350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2"/>
      <c r="R86" s="352"/>
      <c r="S86" s="352"/>
      <c r="T86" s="353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3"/>
      <c r="P87" s="359" t="s">
        <v>40</v>
      </c>
      <c r="Q87" s="360"/>
      <c r="R87" s="360"/>
      <c r="S87" s="360"/>
      <c r="T87" s="360"/>
      <c r="U87" s="360"/>
      <c r="V87" s="361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3"/>
      <c r="P88" s="359" t="s">
        <v>40</v>
      </c>
      <c r="Q88" s="360"/>
      <c r="R88" s="360"/>
      <c r="S88" s="360"/>
      <c r="T88" s="360"/>
      <c r="U88" s="360"/>
      <c r="V88" s="361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8" t="s">
        <v>171</v>
      </c>
      <c r="B89" s="348"/>
      <c r="C89" s="348"/>
      <c r="D89" s="348"/>
      <c r="E89" s="348"/>
      <c r="F89" s="348"/>
      <c r="G89" s="348"/>
      <c r="H89" s="348"/>
      <c r="I89" s="348"/>
      <c r="J89" s="348"/>
      <c r="K89" s="348"/>
      <c r="L89" s="348"/>
      <c r="M89" s="348"/>
      <c r="N89" s="348"/>
      <c r="O89" s="348"/>
      <c r="P89" s="348"/>
      <c r="Q89" s="348"/>
      <c r="R89" s="348"/>
      <c r="S89" s="348"/>
      <c r="T89" s="348"/>
      <c r="U89" s="348"/>
      <c r="V89" s="348"/>
      <c r="W89" s="348"/>
      <c r="X89" s="348"/>
      <c r="Y89" s="348"/>
      <c r="Z89" s="348"/>
      <c r="AA89" s="65"/>
      <c r="AB89" s="65"/>
      <c r="AC89" s="82"/>
    </row>
    <row r="90" spans="1:68" ht="14.25" customHeight="1" x14ac:dyDescent="0.25">
      <c r="A90" s="349" t="s">
        <v>172</v>
      </c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350">
        <v>4607111034120</v>
      </c>
      <c r="E91" s="350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87</v>
      </c>
      <c r="M91" s="38" t="s">
        <v>85</v>
      </c>
      <c r="N91" s="38"/>
      <c r="O91" s="37">
        <v>180</v>
      </c>
      <c r="P91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2"/>
      <c r="R91" s="352"/>
      <c r="S91" s="352"/>
      <c r="T91" s="353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88</v>
      </c>
      <c r="AK91" s="87">
        <v>1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350">
        <v>4607111034137</v>
      </c>
      <c r="E92" s="350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87</v>
      </c>
      <c r="M92" s="38" t="s">
        <v>85</v>
      </c>
      <c r="N92" s="38"/>
      <c r="O92" s="37">
        <v>180</v>
      </c>
      <c r="P92" s="38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2"/>
      <c r="R92" s="352"/>
      <c r="S92" s="352"/>
      <c r="T92" s="353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88</v>
      </c>
      <c r="AK92" s="87">
        <v>1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3"/>
      <c r="P93" s="359" t="s">
        <v>40</v>
      </c>
      <c r="Q93" s="360"/>
      <c r="R93" s="360"/>
      <c r="S93" s="360"/>
      <c r="T93" s="360"/>
      <c r="U93" s="360"/>
      <c r="V93" s="361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3"/>
      <c r="P94" s="359" t="s">
        <v>40</v>
      </c>
      <c r="Q94" s="360"/>
      <c r="R94" s="360"/>
      <c r="S94" s="360"/>
      <c r="T94" s="360"/>
      <c r="U94" s="360"/>
      <c r="V94" s="361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8" t="s">
        <v>179</v>
      </c>
      <c r="B95" s="348"/>
      <c r="C95" s="348"/>
      <c r="D95" s="348"/>
      <c r="E95" s="348"/>
      <c r="F95" s="348"/>
      <c r="G95" s="348"/>
      <c r="H95" s="348"/>
      <c r="I95" s="348"/>
      <c r="J95" s="348"/>
      <c r="K95" s="348"/>
      <c r="L95" s="348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65"/>
      <c r="AB95" s="65"/>
      <c r="AC95" s="82"/>
    </row>
    <row r="96" spans="1:68" ht="14.25" customHeight="1" x14ac:dyDescent="0.25">
      <c r="A96" s="349" t="s">
        <v>150</v>
      </c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350">
        <v>4620207491027</v>
      </c>
      <c r="E97" s="350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87</v>
      </c>
      <c r="M97" s="38" t="s">
        <v>85</v>
      </c>
      <c r="N97" s="38"/>
      <c r="O97" s="37">
        <v>180</v>
      </c>
      <c r="P97" s="38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2"/>
      <c r="R97" s="352"/>
      <c r="S97" s="352"/>
      <c r="T97" s="353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88</v>
      </c>
      <c r="AK97" s="87">
        <v>1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350">
        <v>4620207491003</v>
      </c>
      <c r="E98" s="350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87</v>
      </c>
      <c r="M98" s="38" t="s">
        <v>85</v>
      </c>
      <c r="N98" s="38"/>
      <c r="O98" s="37">
        <v>180</v>
      </c>
      <c r="P98" s="38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2"/>
      <c r="R98" s="352"/>
      <c r="S98" s="352"/>
      <c r="T98" s="353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88</v>
      </c>
      <c r="AK98" s="87">
        <v>1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350">
        <v>4620207491034</v>
      </c>
      <c r="E99" s="35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8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2"/>
      <c r="R99" s="352"/>
      <c r="S99" s="352"/>
      <c r="T99" s="353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350">
        <v>4620207491010</v>
      </c>
      <c r="E100" s="35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87</v>
      </c>
      <c r="M100" s="38" t="s">
        <v>85</v>
      </c>
      <c r="N100" s="38"/>
      <c r="O100" s="37">
        <v>180</v>
      </c>
      <c r="P100" s="39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2"/>
      <c r="R100" s="352"/>
      <c r="S100" s="352"/>
      <c r="T100" s="353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88</v>
      </c>
      <c r="AK100" s="87">
        <v>1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350">
        <v>4607111035028</v>
      </c>
      <c r="E101" s="350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9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2"/>
      <c r="R101" s="352"/>
      <c r="S101" s="352"/>
      <c r="T101" s="35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350">
        <v>4607111036407</v>
      </c>
      <c r="E102" s="350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87</v>
      </c>
      <c r="M102" s="38" t="s">
        <v>85</v>
      </c>
      <c r="N102" s="38"/>
      <c r="O102" s="37">
        <v>180</v>
      </c>
      <c r="P102" s="39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2"/>
      <c r="R102" s="352"/>
      <c r="S102" s="352"/>
      <c r="T102" s="353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88</v>
      </c>
      <c r="AK102" s="87">
        <v>1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2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3"/>
      <c r="P103" s="359" t="s">
        <v>40</v>
      </c>
      <c r="Q103" s="360"/>
      <c r="R103" s="360"/>
      <c r="S103" s="360"/>
      <c r="T103" s="360"/>
      <c r="U103" s="360"/>
      <c r="V103" s="361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3"/>
      <c r="P104" s="359" t="s">
        <v>40</v>
      </c>
      <c r="Q104" s="360"/>
      <c r="R104" s="360"/>
      <c r="S104" s="360"/>
      <c r="T104" s="360"/>
      <c r="U104" s="360"/>
      <c r="V104" s="361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8" t="s">
        <v>194</v>
      </c>
      <c r="B105" s="348"/>
      <c r="C105" s="348"/>
      <c r="D105" s="348"/>
      <c r="E105" s="348"/>
      <c r="F105" s="348"/>
      <c r="G105" s="348"/>
      <c r="H105" s="348"/>
      <c r="I105" s="348"/>
      <c r="J105" s="348"/>
      <c r="K105" s="348"/>
      <c r="L105" s="348"/>
      <c r="M105" s="348"/>
      <c r="N105" s="348"/>
      <c r="O105" s="348"/>
      <c r="P105" s="348"/>
      <c r="Q105" s="348"/>
      <c r="R105" s="348"/>
      <c r="S105" s="348"/>
      <c r="T105" s="348"/>
      <c r="U105" s="348"/>
      <c r="V105" s="348"/>
      <c r="W105" s="348"/>
      <c r="X105" s="348"/>
      <c r="Y105" s="348"/>
      <c r="Z105" s="348"/>
      <c r="AA105" s="65"/>
      <c r="AB105" s="65"/>
      <c r="AC105" s="82"/>
    </row>
    <row r="106" spans="1:68" ht="14.25" customHeight="1" x14ac:dyDescent="0.25">
      <c r="A106" s="349" t="s">
        <v>144</v>
      </c>
      <c r="B106" s="349"/>
      <c r="C106" s="349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350">
        <v>4607025784012</v>
      </c>
      <c r="E107" s="350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2"/>
      <c r="R107" s="352"/>
      <c r="S107" s="352"/>
      <c r="T107" s="353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350">
        <v>4607025784319</v>
      </c>
      <c r="E108" s="350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2"/>
      <c r="R108" s="352"/>
      <c r="S108" s="352"/>
      <c r="T108" s="353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2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3"/>
      <c r="P109" s="359" t="s">
        <v>40</v>
      </c>
      <c r="Q109" s="360"/>
      <c r="R109" s="360"/>
      <c r="S109" s="360"/>
      <c r="T109" s="360"/>
      <c r="U109" s="360"/>
      <c r="V109" s="361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3"/>
      <c r="P110" s="359" t="s">
        <v>40</v>
      </c>
      <c r="Q110" s="360"/>
      <c r="R110" s="360"/>
      <c r="S110" s="360"/>
      <c r="T110" s="360"/>
      <c r="U110" s="360"/>
      <c r="V110" s="361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8" t="s">
        <v>200</v>
      </c>
      <c r="B111" s="348"/>
      <c r="C111" s="348"/>
      <c r="D111" s="348"/>
      <c r="E111" s="348"/>
      <c r="F111" s="348"/>
      <c r="G111" s="348"/>
      <c r="H111" s="348"/>
      <c r="I111" s="348"/>
      <c r="J111" s="348"/>
      <c r="K111" s="348"/>
      <c r="L111" s="348"/>
      <c r="M111" s="348"/>
      <c r="N111" s="348"/>
      <c r="O111" s="348"/>
      <c r="P111" s="348"/>
      <c r="Q111" s="348"/>
      <c r="R111" s="348"/>
      <c r="S111" s="348"/>
      <c r="T111" s="348"/>
      <c r="U111" s="348"/>
      <c r="V111" s="348"/>
      <c r="W111" s="348"/>
      <c r="X111" s="348"/>
      <c r="Y111" s="348"/>
      <c r="Z111" s="348"/>
      <c r="AA111" s="65"/>
      <c r="AB111" s="65"/>
      <c r="AC111" s="82"/>
    </row>
    <row r="112" spans="1:68" ht="14.25" customHeight="1" x14ac:dyDescent="0.25">
      <c r="A112" s="349" t="s">
        <v>81</v>
      </c>
      <c r="B112" s="349"/>
      <c r="C112" s="349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4301071121</v>
      </c>
      <c r="D113" s="350">
        <v>4620207491393</v>
      </c>
      <c r="E113" s="350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2"/>
      <c r="R113" s="352"/>
      <c r="S113" s="352"/>
      <c r="T113" s="353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1" si="12">IFERROR(IF(X113="","",X113),"")</f>
        <v>0</v>
      </c>
      <c r="Z113" s="41">
        <f t="shared" ref="Z113:Z121" si="13">IFERROR(IF(X113="","",X113*0.0155),"")</f>
        <v>0</v>
      </c>
      <c r="AA113" s="68" t="s">
        <v>46</v>
      </c>
      <c r="AB113" s="69" t="s">
        <v>204</v>
      </c>
      <c r="AC113" s="163" t="s">
        <v>203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1" si="14">IFERROR(X113*I113,"0")</f>
        <v>0</v>
      </c>
      <c r="BN113" s="81">
        <f t="shared" ref="BN113:BN121" si="15">IFERROR(Y113*I113,"0")</f>
        <v>0</v>
      </c>
      <c r="BO113" s="81">
        <f t="shared" ref="BO113:BO121" si="16">IFERROR(X113/J113,"0")</f>
        <v>0</v>
      </c>
      <c r="BP113" s="81">
        <f t="shared" ref="BP113:BP121" si="17">IFERROR(Y113/J113,"0")</f>
        <v>0</v>
      </c>
    </row>
    <row r="114" spans="1:68" ht="27" customHeight="1" x14ac:dyDescent="0.25">
      <c r="A114" s="63" t="s">
        <v>205</v>
      </c>
      <c r="B114" s="63" t="s">
        <v>206</v>
      </c>
      <c r="C114" s="36">
        <v>4301071074</v>
      </c>
      <c r="D114" s="350">
        <v>4620207491157</v>
      </c>
      <c r="E114" s="350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2"/>
      <c r="R114" s="352"/>
      <c r="S114" s="352"/>
      <c r="T114" s="353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207</v>
      </c>
      <c r="AG114" s="81"/>
      <c r="AJ114" s="87" t="s">
        <v>88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208</v>
      </c>
      <c r="B115" s="63" t="s">
        <v>209</v>
      </c>
      <c r="C115" s="36">
        <v>4301071051</v>
      </c>
      <c r="D115" s="350">
        <v>4607111039262</v>
      </c>
      <c r="E115" s="350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2"/>
      <c r="R115" s="352"/>
      <c r="S115" s="352"/>
      <c r="T115" s="35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161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210</v>
      </c>
      <c r="B116" s="63" t="s">
        <v>211</v>
      </c>
      <c r="C116" s="36">
        <v>4301071038</v>
      </c>
      <c r="D116" s="350">
        <v>4607111039248</v>
      </c>
      <c r="E116" s="350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165</v>
      </c>
      <c r="M116" s="38" t="s">
        <v>85</v>
      </c>
      <c r="N116" s="38"/>
      <c r="O116" s="37">
        <v>180</v>
      </c>
      <c r="P116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2"/>
      <c r="R116" s="352"/>
      <c r="S116" s="352"/>
      <c r="T116" s="35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166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212</v>
      </c>
      <c r="B117" s="63" t="s">
        <v>213</v>
      </c>
      <c r="C117" s="36">
        <v>4301070979</v>
      </c>
      <c r="D117" s="350">
        <v>4607111037145</v>
      </c>
      <c r="E117" s="350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2"/>
      <c r="R117" s="352"/>
      <c r="S117" s="352"/>
      <c r="T117" s="35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214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215</v>
      </c>
      <c r="B118" s="63" t="s">
        <v>216</v>
      </c>
      <c r="C118" s="36">
        <v>4301071049</v>
      </c>
      <c r="D118" s="350">
        <v>4607111039293</v>
      </c>
      <c r="E118" s="350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2"/>
      <c r="R118" s="352"/>
      <c r="S118" s="352"/>
      <c r="T118" s="353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161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217</v>
      </c>
      <c r="B119" s="63" t="s">
        <v>218</v>
      </c>
      <c r="C119" s="36">
        <v>4301071039</v>
      </c>
      <c r="D119" s="350">
        <v>4607111039279</v>
      </c>
      <c r="E119" s="350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2"/>
      <c r="R119" s="352"/>
      <c r="S119" s="352"/>
      <c r="T119" s="35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219</v>
      </c>
      <c r="B120" s="63" t="s">
        <v>220</v>
      </c>
      <c r="C120" s="36">
        <v>4301070978</v>
      </c>
      <c r="D120" s="350">
        <v>4607111037435</v>
      </c>
      <c r="E120" s="350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2"/>
      <c r="R120" s="352"/>
      <c r="S120" s="352"/>
      <c r="T120" s="35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221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222</v>
      </c>
      <c r="B121" s="63" t="s">
        <v>223</v>
      </c>
      <c r="C121" s="36">
        <v>4301071075</v>
      </c>
      <c r="D121" s="350">
        <v>4620207491102</v>
      </c>
      <c r="E121" s="350"/>
      <c r="F121" s="62">
        <v>0.7</v>
      </c>
      <c r="G121" s="37">
        <v>10</v>
      </c>
      <c r="H121" s="62">
        <v>7</v>
      </c>
      <c r="I121" s="62">
        <v>7.23</v>
      </c>
      <c r="J121" s="37">
        <v>84</v>
      </c>
      <c r="K121" s="37" t="s">
        <v>86</v>
      </c>
      <c r="L121" s="37" t="s">
        <v>87</v>
      </c>
      <c r="M121" s="38" t="s">
        <v>85</v>
      </c>
      <c r="N121" s="38"/>
      <c r="O121" s="37">
        <v>180</v>
      </c>
      <c r="P121" s="40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1" s="352"/>
      <c r="R121" s="352"/>
      <c r="S121" s="352"/>
      <c r="T121" s="353"/>
      <c r="U121" s="39" t="s">
        <v>46</v>
      </c>
      <c r="V121" s="39" t="s">
        <v>46</v>
      </c>
      <c r="W121" s="40" t="s">
        <v>39</v>
      </c>
      <c r="X121" s="58">
        <v>0</v>
      </c>
      <c r="Y121" s="55">
        <f t="shared" si="12"/>
        <v>0</v>
      </c>
      <c r="Z121" s="41">
        <f t="shared" si="13"/>
        <v>0</v>
      </c>
      <c r="AA121" s="68" t="s">
        <v>46</v>
      </c>
      <c r="AB121" s="69" t="s">
        <v>46</v>
      </c>
      <c r="AC121" s="179" t="s">
        <v>224</v>
      </c>
      <c r="AG121" s="81"/>
      <c r="AJ121" s="87" t="s">
        <v>88</v>
      </c>
      <c r="AK121" s="87">
        <v>1</v>
      </c>
      <c r="BB121" s="180" t="s">
        <v>70</v>
      </c>
      <c r="BM121" s="81">
        <f t="shared" si="14"/>
        <v>0</v>
      </c>
      <c r="BN121" s="81">
        <f t="shared" si="15"/>
        <v>0</v>
      </c>
      <c r="BO121" s="81">
        <f t="shared" si="16"/>
        <v>0</v>
      </c>
      <c r="BP121" s="81">
        <f t="shared" si="17"/>
        <v>0</v>
      </c>
    </row>
    <row r="122" spans="1:68" x14ac:dyDescent="0.2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3"/>
      <c r="P122" s="359" t="s">
        <v>40</v>
      </c>
      <c r="Q122" s="360"/>
      <c r="R122" s="360"/>
      <c r="S122" s="360"/>
      <c r="T122" s="360"/>
      <c r="U122" s="360"/>
      <c r="V122" s="361"/>
      <c r="W122" s="42" t="s">
        <v>39</v>
      </c>
      <c r="X122" s="43">
        <f>IFERROR(SUM(X113:X121),"0")</f>
        <v>0</v>
      </c>
      <c r="Y122" s="43">
        <f>IFERROR(SUM(Y113:Y121),"0")</f>
        <v>0</v>
      </c>
      <c r="Z122" s="43">
        <f>IFERROR(IF(Z113="",0,Z113),"0")+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x14ac:dyDescent="0.2">
      <c r="A123" s="362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3"/>
      <c r="P123" s="359" t="s">
        <v>40</v>
      </c>
      <c r="Q123" s="360"/>
      <c r="R123" s="360"/>
      <c r="S123" s="360"/>
      <c r="T123" s="360"/>
      <c r="U123" s="360"/>
      <c r="V123" s="361"/>
      <c r="W123" s="42" t="s">
        <v>0</v>
      </c>
      <c r="X123" s="43">
        <f>IFERROR(SUMPRODUCT(X113:X121*H113:H121),"0")</f>
        <v>0</v>
      </c>
      <c r="Y123" s="43">
        <f>IFERROR(SUMPRODUCT(Y113:Y121*H113:H121),"0")</f>
        <v>0</v>
      </c>
      <c r="Z123" s="42"/>
      <c r="AA123" s="67"/>
      <c r="AB123" s="67"/>
      <c r="AC123" s="67"/>
    </row>
    <row r="124" spans="1:68" ht="14.25" customHeight="1" x14ac:dyDescent="0.25">
      <c r="A124" s="349" t="s">
        <v>150</v>
      </c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66"/>
      <c r="AB124" s="66"/>
      <c r="AC124" s="83"/>
    </row>
    <row r="125" spans="1:68" ht="27" customHeight="1" x14ac:dyDescent="0.25">
      <c r="A125" s="63" t="s">
        <v>225</v>
      </c>
      <c r="B125" s="63" t="s">
        <v>226</v>
      </c>
      <c r="C125" s="36">
        <v>4301135826</v>
      </c>
      <c r="D125" s="350">
        <v>4620207490983</v>
      </c>
      <c r="E125" s="35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2"/>
      <c r="R125" s="352"/>
      <c r="S125" s="352"/>
      <c r="T125" s="35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227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3"/>
      <c r="P126" s="359" t="s">
        <v>40</v>
      </c>
      <c r="Q126" s="360"/>
      <c r="R126" s="360"/>
      <c r="S126" s="360"/>
      <c r="T126" s="360"/>
      <c r="U126" s="360"/>
      <c r="V126" s="361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62"/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3"/>
      <c r="P127" s="359" t="s">
        <v>40</v>
      </c>
      <c r="Q127" s="360"/>
      <c r="R127" s="360"/>
      <c r="S127" s="360"/>
      <c r="T127" s="360"/>
      <c r="U127" s="360"/>
      <c r="V127" s="361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49" t="s">
        <v>228</v>
      </c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66"/>
      <c r="AB128" s="66"/>
      <c r="AC128" s="83"/>
    </row>
    <row r="129" spans="1:68" ht="27" customHeight="1" x14ac:dyDescent="0.25">
      <c r="A129" s="63" t="s">
        <v>229</v>
      </c>
      <c r="B129" s="63" t="s">
        <v>230</v>
      </c>
      <c r="C129" s="36">
        <v>4301071094</v>
      </c>
      <c r="D129" s="350">
        <v>4620207491140</v>
      </c>
      <c r="E129" s="35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2"/>
      <c r="R129" s="352"/>
      <c r="S129" s="352"/>
      <c r="T129" s="35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231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3"/>
      <c r="P130" s="359" t="s">
        <v>40</v>
      </c>
      <c r="Q130" s="360"/>
      <c r="R130" s="360"/>
      <c r="S130" s="360"/>
      <c r="T130" s="360"/>
      <c r="U130" s="360"/>
      <c r="V130" s="361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62"/>
      <c r="B131" s="362"/>
      <c r="C131" s="362"/>
      <c r="D131" s="362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3"/>
      <c r="P131" s="359" t="s">
        <v>40</v>
      </c>
      <c r="Q131" s="360"/>
      <c r="R131" s="360"/>
      <c r="S131" s="360"/>
      <c r="T131" s="360"/>
      <c r="U131" s="360"/>
      <c r="V131" s="361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48" t="s">
        <v>232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5"/>
      <c r="AB132" s="65"/>
      <c r="AC132" s="82"/>
    </row>
    <row r="133" spans="1:68" ht="14.25" customHeight="1" x14ac:dyDescent="0.25">
      <c r="A133" s="349" t="s">
        <v>150</v>
      </c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66"/>
      <c r="AB133" s="66"/>
      <c r="AC133" s="83"/>
    </row>
    <row r="134" spans="1:68" ht="27" customHeight="1" x14ac:dyDescent="0.25">
      <c r="A134" s="63" t="s">
        <v>233</v>
      </c>
      <c r="B134" s="63" t="s">
        <v>234</v>
      </c>
      <c r="C134" s="36">
        <v>4301135555</v>
      </c>
      <c r="D134" s="350">
        <v>4607111034014</v>
      </c>
      <c r="E134" s="350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40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352"/>
      <c r="R134" s="352"/>
      <c r="S134" s="352"/>
      <c r="T134" s="353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235</v>
      </c>
      <c r="AG134" s="81"/>
      <c r="AJ134" s="87" t="s">
        <v>113</v>
      </c>
      <c r="AK134" s="87">
        <v>14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236</v>
      </c>
      <c r="B135" s="63" t="s">
        <v>237</v>
      </c>
      <c r="C135" s="36">
        <v>4301135532</v>
      </c>
      <c r="D135" s="350">
        <v>4607111033994</v>
      </c>
      <c r="E135" s="350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40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352"/>
      <c r="R135" s="352"/>
      <c r="S135" s="352"/>
      <c r="T135" s="35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14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3"/>
      <c r="P136" s="359" t="s">
        <v>40</v>
      </c>
      <c r="Q136" s="360"/>
      <c r="R136" s="360"/>
      <c r="S136" s="360"/>
      <c r="T136" s="360"/>
      <c r="U136" s="360"/>
      <c r="V136" s="361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6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3"/>
      <c r="P137" s="359" t="s">
        <v>40</v>
      </c>
      <c r="Q137" s="360"/>
      <c r="R137" s="360"/>
      <c r="S137" s="360"/>
      <c r="T137" s="360"/>
      <c r="U137" s="360"/>
      <c r="V137" s="361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8" t="s">
        <v>238</v>
      </c>
      <c r="B138" s="348"/>
      <c r="C138" s="348"/>
      <c r="D138" s="348"/>
      <c r="E138" s="348"/>
      <c r="F138" s="348"/>
      <c r="G138" s="348"/>
      <c r="H138" s="348"/>
      <c r="I138" s="348"/>
      <c r="J138" s="348"/>
      <c r="K138" s="348"/>
      <c r="L138" s="348"/>
      <c r="M138" s="348"/>
      <c r="N138" s="348"/>
      <c r="O138" s="348"/>
      <c r="P138" s="348"/>
      <c r="Q138" s="348"/>
      <c r="R138" s="348"/>
      <c r="S138" s="348"/>
      <c r="T138" s="348"/>
      <c r="U138" s="348"/>
      <c r="V138" s="348"/>
      <c r="W138" s="348"/>
      <c r="X138" s="348"/>
      <c r="Y138" s="348"/>
      <c r="Z138" s="348"/>
      <c r="AA138" s="65"/>
      <c r="AB138" s="65"/>
      <c r="AC138" s="82"/>
    </row>
    <row r="139" spans="1:68" ht="14.25" customHeight="1" x14ac:dyDescent="0.25">
      <c r="A139" s="349" t="s">
        <v>150</v>
      </c>
      <c r="B139" s="349"/>
      <c r="C139" s="349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66"/>
      <c r="AB139" s="66"/>
      <c r="AC139" s="83"/>
    </row>
    <row r="140" spans="1:68" ht="27" customHeight="1" x14ac:dyDescent="0.25">
      <c r="A140" s="63" t="s">
        <v>239</v>
      </c>
      <c r="B140" s="63" t="s">
        <v>240</v>
      </c>
      <c r="C140" s="36">
        <v>4301135824</v>
      </c>
      <c r="D140" s="350">
        <v>4607111039095</v>
      </c>
      <c r="E140" s="350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40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352"/>
      <c r="R140" s="352"/>
      <c r="S140" s="352"/>
      <c r="T140" s="353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242</v>
      </c>
      <c r="B141" s="63" t="s">
        <v>243</v>
      </c>
      <c r="C141" s="36">
        <v>4301135550</v>
      </c>
      <c r="D141" s="350">
        <v>4607111034199</v>
      </c>
      <c r="E141" s="350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165</v>
      </c>
      <c r="M141" s="38" t="s">
        <v>85</v>
      </c>
      <c r="N141" s="38"/>
      <c r="O141" s="37">
        <v>180</v>
      </c>
      <c r="P141" s="40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352"/>
      <c r="R141" s="352"/>
      <c r="S141" s="352"/>
      <c r="T141" s="35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244</v>
      </c>
      <c r="AG141" s="81"/>
      <c r="AJ141" s="87" t="s">
        <v>166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3"/>
      <c r="P142" s="359" t="s">
        <v>40</v>
      </c>
      <c r="Q142" s="360"/>
      <c r="R142" s="360"/>
      <c r="S142" s="360"/>
      <c r="T142" s="360"/>
      <c r="U142" s="360"/>
      <c r="V142" s="361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362"/>
      <c r="B143" s="362"/>
      <c r="C143" s="362"/>
      <c r="D143" s="362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3"/>
      <c r="P143" s="359" t="s">
        <v>40</v>
      </c>
      <c r="Q143" s="360"/>
      <c r="R143" s="360"/>
      <c r="S143" s="360"/>
      <c r="T143" s="360"/>
      <c r="U143" s="360"/>
      <c r="V143" s="361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48" t="s">
        <v>245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5"/>
      <c r="AB144" s="65"/>
      <c r="AC144" s="82"/>
    </row>
    <row r="145" spans="1:68" ht="14.25" customHeight="1" x14ac:dyDescent="0.25">
      <c r="A145" s="349" t="s">
        <v>150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6"/>
      <c r="AB145" s="66"/>
      <c r="AC145" s="83"/>
    </row>
    <row r="146" spans="1:68" ht="27" customHeight="1" x14ac:dyDescent="0.25">
      <c r="A146" s="63" t="s">
        <v>246</v>
      </c>
      <c r="B146" s="63" t="s">
        <v>247</v>
      </c>
      <c r="C146" s="36">
        <v>4301135753</v>
      </c>
      <c r="D146" s="350">
        <v>4620207490914</v>
      </c>
      <c r="E146" s="350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41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352"/>
      <c r="R146" s="352"/>
      <c r="S146" s="352"/>
      <c r="T146" s="353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235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248</v>
      </c>
      <c r="B147" s="63" t="s">
        <v>249</v>
      </c>
      <c r="C147" s="36">
        <v>4301135778</v>
      </c>
      <c r="D147" s="350">
        <v>4620207490853</v>
      </c>
      <c r="E147" s="350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87</v>
      </c>
      <c r="M147" s="38" t="s">
        <v>85</v>
      </c>
      <c r="N147" s="38"/>
      <c r="O147" s="37">
        <v>180</v>
      </c>
      <c r="P147" s="41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352"/>
      <c r="R147" s="352"/>
      <c r="S147" s="352"/>
      <c r="T147" s="353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235</v>
      </c>
      <c r="AG147" s="81"/>
      <c r="AJ147" s="87" t="s">
        <v>88</v>
      </c>
      <c r="AK147" s="87">
        <v>1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3"/>
      <c r="P148" s="359" t="s">
        <v>40</v>
      </c>
      <c r="Q148" s="360"/>
      <c r="R148" s="360"/>
      <c r="S148" s="360"/>
      <c r="T148" s="360"/>
      <c r="U148" s="360"/>
      <c r="V148" s="361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362"/>
      <c r="B149" s="362"/>
      <c r="C149" s="362"/>
      <c r="D149" s="362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3"/>
      <c r="P149" s="359" t="s">
        <v>40</v>
      </c>
      <c r="Q149" s="360"/>
      <c r="R149" s="360"/>
      <c r="S149" s="360"/>
      <c r="T149" s="360"/>
      <c r="U149" s="360"/>
      <c r="V149" s="361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48" t="s">
        <v>250</v>
      </c>
      <c r="B150" s="348"/>
      <c r="C150" s="348"/>
      <c r="D150" s="348"/>
      <c r="E150" s="348"/>
      <c r="F150" s="348"/>
      <c r="G150" s="348"/>
      <c r="H150" s="348"/>
      <c r="I150" s="348"/>
      <c r="J150" s="348"/>
      <c r="K150" s="348"/>
      <c r="L150" s="348"/>
      <c r="M150" s="348"/>
      <c r="N150" s="348"/>
      <c r="O150" s="348"/>
      <c r="P150" s="348"/>
      <c r="Q150" s="348"/>
      <c r="R150" s="348"/>
      <c r="S150" s="348"/>
      <c r="T150" s="348"/>
      <c r="U150" s="348"/>
      <c r="V150" s="348"/>
      <c r="W150" s="348"/>
      <c r="X150" s="348"/>
      <c r="Y150" s="348"/>
      <c r="Z150" s="348"/>
      <c r="AA150" s="65"/>
      <c r="AB150" s="65"/>
      <c r="AC150" s="82"/>
    </row>
    <row r="151" spans="1:68" ht="14.25" customHeight="1" x14ac:dyDescent="0.25">
      <c r="A151" s="349" t="s">
        <v>150</v>
      </c>
      <c r="B151" s="349"/>
      <c r="C151" s="349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66"/>
      <c r="AB151" s="66"/>
      <c r="AC151" s="83"/>
    </row>
    <row r="152" spans="1:68" ht="27" customHeight="1" x14ac:dyDescent="0.25">
      <c r="A152" s="63" t="s">
        <v>251</v>
      </c>
      <c r="B152" s="63" t="s">
        <v>252</v>
      </c>
      <c r="C152" s="36">
        <v>4301135570</v>
      </c>
      <c r="D152" s="350">
        <v>4607111035806</v>
      </c>
      <c r="E152" s="350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112</v>
      </c>
      <c r="M152" s="38" t="s">
        <v>85</v>
      </c>
      <c r="N152" s="38"/>
      <c r="O152" s="37">
        <v>180</v>
      </c>
      <c r="P152" s="41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352"/>
      <c r="R152" s="352"/>
      <c r="S152" s="352"/>
      <c r="T152" s="353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253</v>
      </c>
      <c r="AG152" s="81"/>
      <c r="AJ152" s="87" t="s">
        <v>113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3"/>
      <c r="P153" s="359" t="s">
        <v>40</v>
      </c>
      <c r="Q153" s="360"/>
      <c r="R153" s="360"/>
      <c r="S153" s="360"/>
      <c r="T153" s="360"/>
      <c r="U153" s="360"/>
      <c r="V153" s="361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362"/>
      <c r="B154" s="362"/>
      <c r="C154" s="362"/>
      <c r="D154" s="362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3"/>
      <c r="P154" s="359" t="s">
        <v>40</v>
      </c>
      <c r="Q154" s="360"/>
      <c r="R154" s="360"/>
      <c r="S154" s="360"/>
      <c r="T154" s="360"/>
      <c r="U154" s="360"/>
      <c r="V154" s="361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48" t="s">
        <v>254</v>
      </c>
      <c r="B155" s="348"/>
      <c r="C155" s="348"/>
      <c r="D155" s="348"/>
      <c r="E155" s="348"/>
      <c r="F155" s="348"/>
      <c r="G155" s="348"/>
      <c r="H155" s="348"/>
      <c r="I155" s="348"/>
      <c r="J155" s="348"/>
      <c r="K155" s="348"/>
      <c r="L155" s="348"/>
      <c r="M155" s="348"/>
      <c r="N155" s="348"/>
      <c r="O155" s="348"/>
      <c r="P155" s="348"/>
      <c r="Q155" s="348"/>
      <c r="R155" s="348"/>
      <c r="S155" s="348"/>
      <c r="T155" s="348"/>
      <c r="U155" s="348"/>
      <c r="V155" s="348"/>
      <c r="W155" s="348"/>
      <c r="X155" s="348"/>
      <c r="Y155" s="348"/>
      <c r="Z155" s="348"/>
      <c r="AA155" s="65"/>
      <c r="AB155" s="65"/>
      <c r="AC155" s="82"/>
    </row>
    <row r="156" spans="1:68" ht="14.25" customHeight="1" x14ac:dyDescent="0.25">
      <c r="A156" s="349" t="s">
        <v>150</v>
      </c>
      <c r="B156" s="349"/>
      <c r="C156" s="349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66"/>
      <c r="AB156" s="66"/>
      <c r="AC156" s="83"/>
    </row>
    <row r="157" spans="1:68" ht="16.5" customHeight="1" x14ac:dyDescent="0.25">
      <c r="A157" s="63" t="s">
        <v>255</v>
      </c>
      <c r="B157" s="63" t="s">
        <v>256</v>
      </c>
      <c r="C157" s="36">
        <v>4301135607</v>
      </c>
      <c r="D157" s="350">
        <v>4607111039613</v>
      </c>
      <c r="E157" s="350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112</v>
      </c>
      <c r="M157" s="38" t="s">
        <v>85</v>
      </c>
      <c r="N157" s="38"/>
      <c r="O157" s="37">
        <v>180</v>
      </c>
      <c r="P157" s="4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352"/>
      <c r="R157" s="352"/>
      <c r="S157" s="352"/>
      <c r="T157" s="353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241</v>
      </c>
      <c r="AG157" s="81"/>
      <c r="AJ157" s="87" t="s">
        <v>113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3"/>
      <c r="P158" s="359" t="s">
        <v>40</v>
      </c>
      <c r="Q158" s="360"/>
      <c r="R158" s="360"/>
      <c r="S158" s="360"/>
      <c r="T158" s="360"/>
      <c r="U158" s="360"/>
      <c r="V158" s="361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362"/>
      <c r="B159" s="362"/>
      <c r="C159" s="362"/>
      <c r="D159" s="362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3"/>
      <c r="P159" s="359" t="s">
        <v>40</v>
      </c>
      <c r="Q159" s="360"/>
      <c r="R159" s="360"/>
      <c r="S159" s="360"/>
      <c r="T159" s="360"/>
      <c r="U159" s="360"/>
      <c r="V159" s="361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48" t="s">
        <v>257</v>
      </c>
      <c r="B160" s="348"/>
      <c r="C160" s="348"/>
      <c r="D160" s="348"/>
      <c r="E160" s="348"/>
      <c r="F160" s="348"/>
      <c r="G160" s="348"/>
      <c r="H160" s="348"/>
      <c r="I160" s="348"/>
      <c r="J160" s="348"/>
      <c r="K160" s="348"/>
      <c r="L160" s="348"/>
      <c r="M160" s="348"/>
      <c r="N160" s="348"/>
      <c r="O160" s="348"/>
      <c r="P160" s="348"/>
      <c r="Q160" s="348"/>
      <c r="R160" s="348"/>
      <c r="S160" s="348"/>
      <c r="T160" s="348"/>
      <c r="U160" s="348"/>
      <c r="V160" s="348"/>
      <c r="W160" s="348"/>
      <c r="X160" s="348"/>
      <c r="Y160" s="348"/>
      <c r="Z160" s="348"/>
      <c r="AA160" s="65"/>
      <c r="AB160" s="65"/>
      <c r="AC160" s="82"/>
    </row>
    <row r="161" spans="1:68" ht="14.25" customHeight="1" x14ac:dyDescent="0.25">
      <c r="A161" s="349" t="s">
        <v>228</v>
      </c>
      <c r="B161" s="349"/>
      <c r="C161" s="349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66"/>
      <c r="AB161" s="66"/>
      <c r="AC161" s="83"/>
    </row>
    <row r="162" spans="1:68" ht="27" customHeight="1" x14ac:dyDescent="0.25">
      <c r="A162" s="63" t="s">
        <v>258</v>
      </c>
      <c r="B162" s="63" t="s">
        <v>259</v>
      </c>
      <c r="C162" s="36">
        <v>4301135540</v>
      </c>
      <c r="D162" s="350">
        <v>4607111035646</v>
      </c>
      <c r="E162" s="350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261</v>
      </c>
      <c r="L162" s="37" t="s">
        <v>87</v>
      </c>
      <c r="M162" s="38" t="s">
        <v>85</v>
      </c>
      <c r="N162" s="38"/>
      <c r="O162" s="37">
        <v>180</v>
      </c>
      <c r="P162" s="41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352"/>
      <c r="R162" s="352"/>
      <c r="S162" s="352"/>
      <c r="T162" s="353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260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3"/>
      <c r="P163" s="359" t="s">
        <v>40</v>
      </c>
      <c r="Q163" s="360"/>
      <c r="R163" s="360"/>
      <c r="S163" s="360"/>
      <c r="T163" s="360"/>
      <c r="U163" s="360"/>
      <c r="V163" s="361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362"/>
      <c r="B164" s="362"/>
      <c r="C164" s="362"/>
      <c r="D164" s="362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3"/>
      <c r="P164" s="359" t="s">
        <v>40</v>
      </c>
      <c r="Q164" s="360"/>
      <c r="R164" s="360"/>
      <c r="S164" s="360"/>
      <c r="T164" s="360"/>
      <c r="U164" s="360"/>
      <c r="V164" s="361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48" t="s">
        <v>262</v>
      </c>
      <c r="B165" s="348"/>
      <c r="C165" s="348"/>
      <c r="D165" s="348"/>
      <c r="E165" s="348"/>
      <c r="F165" s="348"/>
      <c r="G165" s="348"/>
      <c r="H165" s="348"/>
      <c r="I165" s="348"/>
      <c r="J165" s="348"/>
      <c r="K165" s="348"/>
      <c r="L165" s="348"/>
      <c r="M165" s="348"/>
      <c r="N165" s="348"/>
      <c r="O165" s="348"/>
      <c r="P165" s="348"/>
      <c r="Q165" s="348"/>
      <c r="R165" s="348"/>
      <c r="S165" s="348"/>
      <c r="T165" s="348"/>
      <c r="U165" s="348"/>
      <c r="V165" s="348"/>
      <c r="W165" s="348"/>
      <c r="X165" s="348"/>
      <c r="Y165" s="348"/>
      <c r="Z165" s="348"/>
      <c r="AA165" s="65"/>
      <c r="AB165" s="65"/>
      <c r="AC165" s="82"/>
    </row>
    <row r="166" spans="1:68" ht="14.25" customHeight="1" x14ac:dyDescent="0.25">
      <c r="A166" s="349" t="s">
        <v>150</v>
      </c>
      <c r="B166" s="349"/>
      <c r="C166" s="349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66"/>
      <c r="AB166" s="66"/>
      <c r="AC166" s="83"/>
    </row>
    <row r="167" spans="1:68" ht="27" customHeight="1" x14ac:dyDescent="0.25">
      <c r="A167" s="63" t="s">
        <v>263</v>
      </c>
      <c r="B167" s="63" t="s">
        <v>264</v>
      </c>
      <c r="C167" s="36">
        <v>4301135591</v>
      </c>
      <c r="D167" s="350">
        <v>4607111036568</v>
      </c>
      <c r="E167" s="350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41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352"/>
      <c r="R167" s="352"/>
      <c r="S167" s="352"/>
      <c r="T167" s="353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265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3"/>
      <c r="P168" s="359" t="s">
        <v>40</v>
      </c>
      <c r="Q168" s="360"/>
      <c r="R168" s="360"/>
      <c r="S168" s="360"/>
      <c r="T168" s="360"/>
      <c r="U168" s="360"/>
      <c r="V168" s="361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362"/>
      <c r="B169" s="362"/>
      <c r="C169" s="362"/>
      <c r="D169" s="362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3"/>
      <c r="P169" s="359" t="s">
        <v>40</v>
      </c>
      <c r="Q169" s="360"/>
      <c r="R169" s="360"/>
      <c r="S169" s="360"/>
      <c r="T169" s="360"/>
      <c r="U169" s="360"/>
      <c r="V169" s="361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47" t="s">
        <v>266</v>
      </c>
      <c r="B170" s="347"/>
      <c r="C170" s="347"/>
      <c r="D170" s="347"/>
      <c r="E170" s="347"/>
      <c r="F170" s="347"/>
      <c r="G170" s="347"/>
      <c r="H170" s="347"/>
      <c r="I170" s="347"/>
      <c r="J170" s="347"/>
      <c r="K170" s="347"/>
      <c r="L170" s="347"/>
      <c r="M170" s="347"/>
      <c r="N170" s="347"/>
      <c r="O170" s="347"/>
      <c r="P170" s="347"/>
      <c r="Q170" s="347"/>
      <c r="R170" s="347"/>
      <c r="S170" s="347"/>
      <c r="T170" s="347"/>
      <c r="U170" s="347"/>
      <c r="V170" s="347"/>
      <c r="W170" s="347"/>
      <c r="X170" s="347"/>
      <c r="Y170" s="347"/>
      <c r="Z170" s="347"/>
      <c r="AA170" s="54"/>
      <c r="AB170" s="54"/>
      <c r="AC170" s="54"/>
    </row>
    <row r="171" spans="1:68" ht="16.5" customHeight="1" x14ac:dyDescent="0.25">
      <c r="A171" s="348" t="s">
        <v>267</v>
      </c>
      <c r="B171" s="348"/>
      <c r="C171" s="348"/>
      <c r="D171" s="348"/>
      <c r="E171" s="348"/>
      <c r="F171" s="348"/>
      <c r="G171" s="348"/>
      <c r="H171" s="348"/>
      <c r="I171" s="348"/>
      <c r="J171" s="348"/>
      <c r="K171" s="348"/>
      <c r="L171" s="348"/>
      <c r="M171" s="348"/>
      <c r="N171" s="348"/>
      <c r="O171" s="348"/>
      <c r="P171" s="348"/>
      <c r="Q171" s="348"/>
      <c r="R171" s="348"/>
      <c r="S171" s="348"/>
      <c r="T171" s="348"/>
      <c r="U171" s="348"/>
      <c r="V171" s="348"/>
      <c r="W171" s="348"/>
      <c r="X171" s="348"/>
      <c r="Y171" s="348"/>
      <c r="Z171" s="348"/>
      <c r="AA171" s="65"/>
      <c r="AB171" s="65"/>
      <c r="AC171" s="82"/>
    </row>
    <row r="172" spans="1:68" ht="14.25" customHeight="1" x14ac:dyDescent="0.25">
      <c r="A172" s="349" t="s">
        <v>81</v>
      </c>
      <c r="B172" s="349"/>
      <c r="C172" s="349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66"/>
      <c r="AB172" s="66"/>
      <c r="AC172" s="83"/>
    </row>
    <row r="173" spans="1:68" ht="16.5" customHeight="1" x14ac:dyDescent="0.25">
      <c r="A173" s="63" t="s">
        <v>268</v>
      </c>
      <c r="B173" s="63" t="s">
        <v>269</v>
      </c>
      <c r="C173" s="36">
        <v>4301071062</v>
      </c>
      <c r="D173" s="350">
        <v>4607111036384</v>
      </c>
      <c r="E173" s="350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87</v>
      </c>
      <c r="M173" s="38" t="s">
        <v>85</v>
      </c>
      <c r="N173" s="38"/>
      <c r="O173" s="37">
        <v>180</v>
      </c>
      <c r="P173" s="41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352"/>
      <c r="R173" s="352"/>
      <c r="S173" s="352"/>
      <c r="T173" s="353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88</v>
      </c>
      <c r="AK173" s="87">
        <v>1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271</v>
      </c>
      <c r="B174" s="63" t="s">
        <v>272</v>
      </c>
      <c r="C174" s="36">
        <v>4301071050</v>
      </c>
      <c r="D174" s="350">
        <v>4607111036216</v>
      </c>
      <c r="E174" s="350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112</v>
      </c>
      <c r="M174" s="38" t="s">
        <v>85</v>
      </c>
      <c r="N174" s="38"/>
      <c r="O174" s="37">
        <v>180</v>
      </c>
      <c r="P174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352"/>
      <c r="R174" s="352"/>
      <c r="S174" s="352"/>
      <c r="T174" s="353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273</v>
      </c>
      <c r="AG174" s="81"/>
      <c r="AJ174" s="87" t="s">
        <v>113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3"/>
      <c r="P175" s="359" t="s">
        <v>40</v>
      </c>
      <c r="Q175" s="360"/>
      <c r="R175" s="360"/>
      <c r="S175" s="360"/>
      <c r="T175" s="360"/>
      <c r="U175" s="360"/>
      <c r="V175" s="361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362"/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3"/>
      <c r="P176" s="359" t="s">
        <v>40</v>
      </c>
      <c r="Q176" s="360"/>
      <c r="R176" s="360"/>
      <c r="S176" s="360"/>
      <c r="T176" s="360"/>
      <c r="U176" s="360"/>
      <c r="V176" s="361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47" t="s">
        <v>274</v>
      </c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54"/>
      <c r="AB177" s="54"/>
      <c r="AC177" s="54"/>
    </row>
    <row r="178" spans="1:68" ht="16.5" customHeight="1" x14ac:dyDescent="0.25">
      <c r="A178" s="348" t="s">
        <v>275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65"/>
      <c r="AB178" s="65"/>
      <c r="AC178" s="82"/>
    </row>
    <row r="179" spans="1:68" ht="14.25" customHeight="1" x14ac:dyDescent="0.25">
      <c r="A179" s="349" t="s">
        <v>106</v>
      </c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66"/>
      <c r="AB179" s="66"/>
      <c r="AC179" s="83"/>
    </row>
    <row r="180" spans="1:68" ht="16.5" customHeight="1" x14ac:dyDescent="0.25">
      <c r="A180" s="63" t="s">
        <v>276</v>
      </c>
      <c r="B180" s="63" t="s">
        <v>277</v>
      </c>
      <c r="C180" s="36">
        <v>4301132179</v>
      </c>
      <c r="D180" s="350">
        <v>4607111035691</v>
      </c>
      <c r="E180" s="350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87</v>
      </c>
      <c r="M180" s="38" t="s">
        <v>85</v>
      </c>
      <c r="N180" s="38"/>
      <c r="O180" s="37">
        <v>365</v>
      </c>
      <c r="P180" s="41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352"/>
      <c r="R180" s="352"/>
      <c r="S180" s="352"/>
      <c r="T180" s="353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88</v>
      </c>
      <c r="AK180" s="87">
        <v>1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4301132182</v>
      </c>
      <c r="D181" s="350">
        <v>4607111035721</v>
      </c>
      <c r="E181" s="350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87</v>
      </c>
      <c r="M181" s="38" t="s">
        <v>85</v>
      </c>
      <c r="N181" s="38"/>
      <c r="O181" s="37">
        <v>365</v>
      </c>
      <c r="P181" s="41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352"/>
      <c r="R181" s="352"/>
      <c r="S181" s="352"/>
      <c r="T181" s="353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88</v>
      </c>
      <c r="AK181" s="87">
        <v>1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282</v>
      </c>
      <c r="B182" s="63" t="s">
        <v>283</v>
      </c>
      <c r="C182" s="36">
        <v>4301132170</v>
      </c>
      <c r="D182" s="350">
        <v>4607111038487</v>
      </c>
      <c r="E182" s="350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87</v>
      </c>
      <c r="M182" s="38" t="s">
        <v>85</v>
      </c>
      <c r="N182" s="38"/>
      <c r="O182" s="37">
        <v>180</v>
      </c>
      <c r="P182" s="42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352"/>
      <c r="R182" s="352"/>
      <c r="S182" s="352"/>
      <c r="T182" s="35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284</v>
      </c>
      <c r="AG182" s="81"/>
      <c r="AJ182" s="87" t="s">
        <v>88</v>
      </c>
      <c r="AK182" s="87">
        <v>1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362"/>
      <c r="B183" s="362"/>
      <c r="C183" s="362"/>
      <c r="D183" s="362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3"/>
      <c r="P183" s="359" t="s">
        <v>40</v>
      </c>
      <c r="Q183" s="360"/>
      <c r="R183" s="360"/>
      <c r="S183" s="360"/>
      <c r="T183" s="360"/>
      <c r="U183" s="360"/>
      <c r="V183" s="361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362"/>
      <c r="B184" s="362"/>
      <c r="C184" s="362"/>
      <c r="D184" s="362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3"/>
      <c r="P184" s="359" t="s">
        <v>40</v>
      </c>
      <c r="Q184" s="360"/>
      <c r="R184" s="360"/>
      <c r="S184" s="360"/>
      <c r="T184" s="360"/>
      <c r="U184" s="360"/>
      <c r="V184" s="361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49" t="s">
        <v>285</v>
      </c>
      <c r="B185" s="349"/>
      <c r="C185" s="349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66"/>
      <c r="AB185" s="66"/>
      <c r="AC185" s="83"/>
    </row>
    <row r="186" spans="1:68" ht="27" customHeight="1" x14ac:dyDescent="0.25">
      <c r="A186" s="63" t="s">
        <v>286</v>
      </c>
      <c r="B186" s="63" t="s">
        <v>287</v>
      </c>
      <c r="C186" s="36">
        <v>4301051855</v>
      </c>
      <c r="D186" s="350">
        <v>4680115885875</v>
      </c>
      <c r="E186" s="350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292</v>
      </c>
      <c r="L186" s="37" t="s">
        <v>87</v>
      </c>
      <c r="M186" s="38" t="s">
        <v>291</v>
      </c>
      <c r="N186" s="38"/>
      <c r="O186" s="37">
        <v>365</v>
      </c>
      <c r="P186" s="421" t="s">
        <v>288</v>
      </c>
      <c r="Q186" s="352"/>
      <c r="R186" s="352"/>
      <c r="S186" s="352"/>
      <c r="T186" s="353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289</v>
      </c>
      <c r="AG186" s="81"/>
      <c r="AJ186" s="87" t="s">
        <v>88</v>
      </c>
      <c r="AK186" s="87">
        <v>1</v>
      </c>
      <c r="BB186" s="216" t="s">
        <v>290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362"/>
      <c r="B187" s="362"/>
      <c r="C187" s="362"/>
      <c r="D187" s="362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3"/>
      <c r="P187" s="359" t="s">
        <v>40</v>
      </c>
      <c r="Q187" s="360"/>
      <c r="R187" s="360"/>
      <c r="S187" s="360"/>
      <c r="T187" s="360"/>
      <c r="U187" s="360"/>
      <c r="V187" s="361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3"/>
      <c r="P188" s="359" t="s">
        <v>40</v>
      </c>
      <c r="Q188" s="360"/>
      <c r="R188" s="360"/>
      <c r="S188" s="360"/>
      <c r="T188" s="360"/>
      <c r="U188" s="360"/>
      <c r="V188" s="361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47" t="s">
        <v>293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54"/>
      <c r="AB189" s="54"/>
      <c r="AC189" s="54"/>
    </row>
    <row r="190" spans="1:68" ht="16.5" customHeight="1" x14ac:dyDescent="0.25">
      <c r="A190" s="348" t="s">
        <v>294</v>
      </c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65"/>
      <c r="AB190" s="65"/>
      <c r="AC190" s="82"/>
    </row>
    <row r="191" spans="1:68" ht="14.25" customHeight="1" x14ac:dyDescent="0.25">
      <c r="A191" s="349" t="s">
        <v>106</v>
      </c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66"/>
      <c r="AB191" s="66"/>
      <c r="AC191" s="83"/>
    </row>
    <row r="192" spans="1:68" ht="27" customHeight="1" x14ac:dyDescent="0.25">
      <c r="A192" s="63" t="s">
        <v>295</v>
      </c>
      <c r="B192" s="63" t="s">
        <v>296</v>
      </c>
      <c r="C192" s="36">
        <v>4301132227</v>
      </c>
      <c r="D192" s="350">
        <v>4620207491133</v>
      </c>
      <c r="E192" s="350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87</v>
      </c>
      <c r="M192" s="38" t="s">
        <v>85</v>
      </c>
      <c r="N192" s="38"/>
      <c r="O192" s="37">
        <v>180</v>
      </c>
      <c r="P192" s="42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352"/>
      <c r="R192" s="352"/>
      <c r="S192" s="352"/>
      <c r="T192" s="353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297</v>
      </c>
      <c r="AG192" s="81"/>
      <c r="AJ192" s="87" t="s">
        <v>88</v>
      </c>
      <c r="AK192" s="87">
        <v>1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3"/>
      <c r="P193" s="359" t="s">
        <v>40</v>
      </c>
      <c r="Q193" s="360"/>
      <c r="R193" s="360"/>
      <c r="S193" s="360"/>
      <c r="T193" s="360"/>
      <c r="U193" s="360"/>
      <c r="V193" s="361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362"/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3"/>
      <c r="P194" s="359" t="s">
        <v>40</v>
      </c>
      <c r="Q194" s="360"/>
      <c r="R194" s="360"/>
      <c r="S194" s="360"/>
      <c r="T194" s="360"/>
      <c r="U194" s="360"/>
      <c r="V194" s="361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49" t="s">
        <v>150</v>
      </c>
      <c r="B195" s="349"/>
      <c r="C195" s="349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66"/>
      <c r="AB195" s="66"/>
      <c r="AC195" s="83"/>
    </row>
    <row r="196" spans="1:68" ht="27" customHeight="1" x14ac:dyDescent="0.25">
      <c r="A196" s="63" t="s">
        <v>298</v>
      </c>
      <c r="B196" s="63" t="s">
        <v>299</v>
      </c>
      <c r="C196" s="36">
        <v>4301135834</v>
      </c>
      <c r="D196" s="350">
        <v>4620207491188</v>
      </c>
      <c r="E196" s="350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3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352"/>
      <c r="R196" s="352"/>
      <c r="S196" s="352"/>
      <c r="T196" s="35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4301135707</v>
      </c>
      <c r="D197" s="350">
        <v>4620207490198</v>
      </c>
      <c r="E197" s="350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112</v>
      </c>
      <c r="M197" s="38" t="s">
        <v>85</v>
      </c>
      <c r="N197" s="38"/>
      <c r="O197" s="37">
        <v>180</v>
      </c>
      <c r="P197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352"/>
      <c r="R197" s="352"/>
      <c r="S197" s="352"/>
      <c r="T197" s="35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113</v>
      </c>
      <c r="AK197" s="87">
        <v>14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4301135829</v>
      </c>
      <c r="D198" s="350">
        <v>4620207490235</v>
      </c>
      <c r="E198" s="350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352"/>
      <c r="R198" s="352"/>
      <c r="S198" s="352"/>
      <c r="T198" s="353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306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307</v>
      </c>
      <c r="B199" s="63" t="s">
        <v>308</v>
      </c>
      <c r="C199" s="36">
        <v>4301135697</v>
      </c>
      <c r="D199" s="350">
        <v>4620207490259</v>
      </c>
      <c r="E199" s="350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165</v>
      </c>
      <c r="M199" s="38" t="s">
        <v>85</v>
      </c>
      <c r="N199" s="38"/>
      <c r="O199" s="37">
        <v>180</v>
      </c>
      <c r="P199" s="426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352"/>
      <c r="R199" s="352"/>
      <c r="S199" s="352"/>
      <c r="T199" s="353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303</v>
      </c>
      <c r="AG199" s="81"/>
      <c r="AJ199" s="87" t="s">
        <v>166</v>
      </c>
      <c r="AK199" s="87">
        <v>70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309</v>
      </c>
      <c r="B200" s="63" t="s">
        <v>310</v>
      </c>
      <c r="C200" s="36">
        <v>4301135681</v>
      </c>
      <c r="D200" s="350">
        <v>4620207490143</v>
      </c>
      <c r="E200" s="350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427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352"/>
      <c r="R200" s="352"/>
      <c r="S200" s="352"/>
      <c r="T200" s="353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311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62"/>
      <c r="B201" s="362"/>
      <c r="C201" s="362"/>
      <c r="D201" s="362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3"/>
      <c r="P201" s="359" t="s">
        <v>40</v>
      </c>
      <c r="Q201" s="360"/>
      <c r="R201" s="360"/>
      <c r="S201" s="360"/>
      <c r="T201" s="360"/>
      <c r="U201" s="360"/>
      <c r="V201" s="361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362"/>
      <c r="B202" s="362"/>
      <c r="C202" s="362"/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3"/>
      <c r="P202" s="359" t="s">
        <v>40</v>
      </c>
      <c r="Q202" s="360"/>
      <c r="R202" s="360"/>
      <c r="S202" s="360"/>
      <c r="T202" s="360"/>
      <c r="U202" s="360"/>
      <c r="V202" s="361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48" t="s">
        <v>312</v>
      </c>
      <c r="B203" s="348"/>
      <c r="C203" s="348"/>
      <c r="D203" s="348"/>
      <c r="E203" s="348"/>
      <c r="F203" s="348"/>
      <c r="G203" s="348"/>
      <c r="H203" s="348"/>
      <c r="I203" s="348"/>
      <c r="J203" s="348"/>
      <c r="K203" s="348"/>
      <c r="L203" s="348"/>
      <c r="M203" s="348"/>
      <c r="N203" s="348"/>
      <c r="O203" s="348"/>
      <c r="P203" s="348"/>
      <c r="Q203" s="348"/>
      <c r="R203" s="348"/>
      <c r="S203" s="348"/>
      <c r="T203" s="348"/>
      <c r="U203" s="348"/>
      <c r="V203" s="348"/>
      <c r="W203" s="348"/>
      <c r="X203" s="348"/>
      <c r="Y203" s="348"/>
      <c r="Z203" s="348"/>
      <c r="AA203" s="65"/>
      <c r="AB203" s="65"/>
      <c r="AC203" s="82"/>
    </row>
    <row r="204" spans="1:68" ht="14.25" customHeight="1" x14ac:dyDescent="0.25">
      <c r="A204" s="349" t="s">
        <v>81</v>
      </c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66"/>
      <c r="AB204" s="66"/>
      <c r="AC204" s="83"/>
    </row>
    <row r="205" spans="1:68" ht="27" customHeight="1" x14ac:dyDescent="0.25">
      <c r="A205" s="63" t="s">
        <v>313</v>
      </c>
      <c r="B205" s="63" t="s">
        <v>314</v>
      </c>
      <c r="C205" s="36">
        <v>4301071097</v>
      </c>
      <c r="D205" s="350">
        <v>4620207491096</v>
      </c>
      <c r="E205" s="350"/>
      <c r="F205" s="62">
        <v>1</v>
      </c>
      <c r="G205" s="37">
        <v>5</v>
      </c>
      <c r="H205" s="62">
        <v>5</v>
      </c>
      <c r="I205" s="62">
        <v>5.23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4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5" s="352"/>
      <c r="R205" s="352"/>
      <c r="S205" s="352"/>
      <c r="T205" s="353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315</v>
      </c>
      <c r="AG205" s="81"/>
      <c r="AJ205" s="87" t="s">
        <v>88</v>
      </c>
      <c r="AK205" s="87">
        <v>1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3"/>
      <c r="P206" s="359" t="s">
        <v>40</v>
      </c>
      <c r="Q206" s="360"/>
      <c r="R206" s="360"/>
      <c r="S206" s="360"/>
      <c r="T206" s="360"/>
      <c r="U206" s="360"/>
      <c r="V206" s="361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3"/>
      <c r="P207" s="359" t="s">
        <v>40</v>
      </c>
      <c r="Q207" s="360"/>
      <c r="R207" s="360"/>
      <c r="S207" s="360"/>
      <c r="T207" s="360"/>
      <c r="U207" s="360"/>
      <c r="V207" s="361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48" t="s">
        <v>316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5"/>
      <c r="AB208" s="65"/>
      <c r="AC208" s="82"/>
    </row>
    <row r="209" spans="1:68" ht="14.25" customHeight="1" x14ac:dyDescent="0.25">
      <c r="A209" s="349" t="s">
        <v>81</v>
      </c>
      <c r="B209" s="349"/>
      <c r="C209" s="349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66"/>
      <c r="AB209" s="66"/>
      <c r="AC209" s="83"/>
    </row>
    <row r="210" spans="1:68" ht="27" customHeight="1" x14ac:dyDescent="0.25">
      <c r="A210" s="63" t="s">
        <v>317</v>
      </c>
      <c r="B210" s="63" t="s">
        <v>318</v>
      </c>
      <c r="C210" s="36">
        <v>4301071093</v>
      </c>
      <c r="D210" s="350">
        <v>4620207490709</v>
      </c>
      <c r="E210" s="350"/>
      <c r="F210" s="62">
        <v>0.65</v>
      </c>
      <c r="G210" s="37">
        <v>8</v>
      </c>
      <c r="H210" s="62">
        <v>5.2</v>
      </c>
      <c r="I210" s="62">
        <v>5.47</v>
      </c>
      <c r="J210" s="37">
        <v>84</v>
      </c>
      <c r="K210" s="37" t="s">
        <v>86</v>
      </c>
      <c r="L210" s="37" t="s">
        <v>87</v>
      </c>
      <c r="M210" s="38" t="s">
        <v>85</v>
      </c>
      <c r="N210" s="38"/>
      <c r="O210" s="37">
        <v>180</v>
      </c>
      <c r="P210" s="42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0" s="352"/>
      <c r="R210" s="352"/>
      <c r="S210" s="352"/>
      <c r="T210" s="353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319</v>
      </c>
      <c r="AG210" s="81"/>
      <c r="AJ210" s="87" t="s">
        <v>88</v>
      </c>
      <c r="AK210" s="87">
        <v>1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3"/>
      <c r="P211" s="359" t="s">
        <v>40</v>
      </c>
      <c r="Q211" s="360"/>
      <c r="R211" s="360"/>
      <c r="S211" s="360"/>
      <c r="T211" s="360"/>
      <c r="U211" s="360"/>
      <c r="V211" s="361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3"/>
      <c r="P212" s="359" t="s">
        <v>40</v>
      </c>
      <c r="Q212" s="360"/>
      <c r="R212" s="360"/>
      <c r="S212" s="360"/>
      <c r="T212" s="360"/>
      <c r="U212" s="360"/>
      <c r="V212" s="361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4.25" customHeight="1" x14ac:dyDescent="0.25">
      <c r="A213" s="349" t="s">
        <v>150</v>
      </c>
      <c r="B213" s="349"/>
      <c r="C213" s="349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66"/>
      <c r="AB213" s="66"/>
      <c r="AC213" s="83"/>
    </row>
    <row r="214" spans="1:68" ht="27" customHeight="1" x14ac:dyDescent="0.25">
      <c r="A214" s="63" t="s">
        <v>320</v>
      </c>
      <c r="B214" s="63" t="s">
        <v>321</v>
      </c>
      <c r="C214" s="36">
        <v>4301135691</v>
      </c>
      <c r="D214" s="350">
        <v>4620207490549</v>
      </c>
      <c r="E214" s="35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3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2"/>
      <c r="R214" s="352"/>
      <c r="S214" s="352"/>
      <c r="T214" s="35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322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323</v>
      </c>
      <c r="B215" s="63" t="s">
        <v>324</v>
      </c>
      <c r="C215" s="36">
        <v>4301135694</v>
      </c>
      <c r="D215" s="350">
        <v>4620207490501</v>
      </c>
      <c r="E215" s="350"/>
      <c r="F215" s="62">
        <v>0.2</v>
      </c>
      <c r="G215" s="37">
        <v>12</v>
      </c>
      <c r="H215" s="62">
        <v>2.4</v>
      </c>
      <c r="I215" s="62">
        <v>3.1036000000000001</v>
      </c>
      <c r="J215" s="37">
        <v>70</v>
      </c>
      <c r="K215" s="37" t="s">
        <v>111</v>
      </c>
      <c r="L215" s="37" t="s">
        <v>87</v>
      </c>
      <c r="M215" s="38" t="s">
        <v>85</v>
      </c>
      <c r="N215" s="38"/>
      <c r="O215" s="37">
        <v>180</v>
      </c>
      <c r="P215" s="43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2"/>
      <c r="R215" s="352"/>
      <c r="S215" s="352"/>
      <c r="T215" s="35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35" t="s">
        <v>322</v>
      </c>
      <c r="AG215" s="81"/>
      <c r="AJ215" s="87" t="s">
        <v>88</v>
      </c>
      <c r="AK215" s="87">
        <v>1</v>
      </c>
      <c r="BB215" s="236" t="s">
        <v>110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62"/>
      <c r="B216" s="362"/>
      <c r="C216" s="362"/>
      <c r="D216" s="362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3"/>
      <c r="P216" s="359" t="s">
        <v>40</v>
      </c>
      <c r="Q216" s="360"/>
      <c r="R216" s="360"/>
      <c r="S216" s="360"/>
      <c r="T216" s="360"/>
      <c r="U216" s="360"/>
      <c r="V216" s="361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3"/>
      <c r="P217" s="359" t="s">
        <v>40</v>
      </c>
      <c r="Q217" s="360"/>
      <c r="R217" s="360"/>
      <c r="S217" s="360"/>
      <c r="T217" s="360"/>
      <c r="U217" s="360"/>
      <c r="V217" s="361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27.75" customHeight="1" x14ac:dyDescent="0.2">
      <c r="A218" s="347" t="s">
        <v>325</v>
      </c>
      <c r="B218" s="347"/>
      <c r="C218" s="347"/>
      <c r="D218" s="347"/>
      <c r="E218" s="347"/>
      <c r="F218" s="347"/>
      <c r="G218" s="347"/>
      <c r="H218" s="347"/>
      <c r="I218" s="347"/>
      <c r="J218" s="347"/>
      <c r="K218" s="347"/>
      <c r="L218" s="347"/>
      <c r="M218" s="347"/>
      <c r="N218" s="347"/>
      <c r="O218" s="347"/>
      <c r="P218" s="347"/>
      <c r="Q218" s="347"/>
      <c r="R218" s="347"/>
      <c r="S218" s="347"/>
      <c r="T218" s="347"/>
      <c r="U218" s="347"/>
      <c r="V218" s="347"/>
      <c r="W218" s="347"/>
      <c r="X218" s="347"/>
      <c r="Y218" s="347"/>
      <c r="Z218" s="347"/>
      <c r="AA218" s="54"/>
      <c r="AB218" s="54"/>
      <c r="AC218" s="54"/>
    </row>
    <row r="219" spans="1:68" ht="16.5" customHeight="1" x14ac:dyDescent="0.25">
      <c r="A219" s="348" t="s">
        <v>326</v>
      </c>
      <c r="B219" s="348"/>
      <c r="C219" s="348"/>
      <c r="D219" s="348"/>
      <c r="E219" s="348"/>
      <c r="F219" s="348"/>
      <c r="G219" s="348"/>
      <c r="H219" s="348"/>
      <c r="I219" s="348"/>
      <c r="J219" s="348"/>
      <c r="K219" s="348"/>
      <c r="L219" s="348"/>
      <c r="M219" s="348"/>
      <c r="N219" s="348"/>
      <c r="O219" s="348"/>
      <c r="P219" s="348"/>
      <c r="Q219" s="348"/>
      <c r="R219" s="348"/>
      <c r="S219" s="348"/>
      <c r="T219" s="348"/>
      <c r="U219" s="348"/>
      <c r="V219" s="348"/>
      <c r="W219" s="348"/>
      <c r="X219" s="348"/>
      <c r="Y219" s="348"/>
      <c r="Z219" s="348"/>
      <c r="AA219" s="65"/>
      <c r="AB219" s="65"/>
      <c r="AC219" s="82"/>
    </row>
    <row r="220" spans="1:68" ht="14.25" customHeight="1" x14ac:dyDescent="0.25">
      <c r="A220" s="349" t="s">
        <v>81</v>
      </c>
      <c r="B220" s="349"/>
      <c r="C220" s="349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66"/>
      <c r="AB220" s="66"/>
      <c r="AC220" s="83"/>
    </row>
    <row r="221" spans="1:68" ht="27" customHeight="1" x14ac:dyDescent="0.25">
      <c r="A221" s="63" t="s">
        <v>327</v>
      </c>
      <c r="B221" s="63" t="s">
        <v>328</v>
      </c>
      <c r="C221" s="36">
        <v>4301071036</v>
      </c>
      <c r="D221" s="350">
        <v>4607111036162</v>
      </c>
      <c r="E221" s="350"/>
      <c r="F221" s="62">
        <v>0.8</v>
      </c>
      <c r="G221" s="37">
        <v>8</v>
      </c>
      <c r="H221" s="62">
        <v>6.4</v>
      </c>
      <c r="I221" s="62">
        <v>6.6811999999999996</v>
      </c>
      <c r="J221" s="37">
        <v>84</v>
      </c>
      <c r="K221" s="37" t="s">
        <v>86</v>
      </c>
      <c r="L221" s="37" t="s">
        <v>87</v>
      </c>
      <c r="M221" s="38" t="s">
        <v>85</v>
      </c>
      <c r="N221" s="38"/>
      <c r="O221" s="37">
        <v>90</v>
      </c>
      <c r="P221" s="43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2"/>
      <c r="R221" s="352"/>
      <c r="S221" s="352"/>
      <c r="T221" s="353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IFERROR(IF(X221="","",X221*0.0155),"")</f>
        <v>0</v>
      </c>
      <c r="AA221" s="68" t="s">
        <v>46</v>
      </c>
      <c r="AB221" s="69" t="s">
        <v>46</v>
      </c>
      <c r="AC221" s="237" t="s">
        <v>329</v>
      </c>
      <c r="AG221" s="81"/>
      <c r="AJ221" s="87" t="s">
        <v>88</v>
      </c>
      <c r="AK221" s="87">
        <v>1</v>
      </c>
      <c r="BB221" s="238" t="s">
        <v>70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362"/>
      <c r="B222" s="362"/>
      <c r="C222" s="362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3"/>
      <c r="P222" s="359" t="s">
        <v>40</v>
      </c>
      <c r="Q222" s="360"/>
      <c r="R222" s="360"/>
      <c r="S222" s="360"/>
      <c r="T222" s="360"/>
      <c r="U222" s="360"/>
      <c r="V222" s="361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3"/>
      <c r="P223" s="359" t="s">
        <v>40</v>
      </c>
      <c r="Q223" s="360"/>
      <c r="R223" s="360"/>
      <c r="S223" s="360"/>
      <c r="T223" s="360"/>
      <c r="U223" s="360"/>
      <c r="V223" s="361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47" t="s">
        <v>330</v>
      </c>
      <c r="B224" s="347"/>
      <c r="C224" s="347"/>
      <c r="D224" s="347"/>
      <c r="E224" s="347"/>
      <c r="F224" s="347"/>
      <c r="G224" s="347"/>
      <c r="H224" s="347"/>
      <c r="I224" s="347"/>
      <c r="J224" s="347"/>
      <c r="K224" s="347"/>
      <c r="L224" s="347"/>
      <c r="M224" s="347"/>
      <c r="N224" s="347"/>
      <c r="O224" s="347"/>
      <c r="P224" s="347"/>
      <c r="Q224" s="347"/>
      <c r="R224" s="347"/>
      <c r="S224" s="347"/>
      <c r="T224" s="347"/>
      <c r="U224" s="347"/>
      <c r="V224" s="347"/>
      <c r="W224" s="347"/>
      <c r="X224" s="347"/>
      <c r="Y224" s="347"/>
      <c r="Z224" s="347"/>
      <c r="AA224" s="54"/>
      <c r="AB224" s="54"/>
      <c r="AC224" s="54"/>
    </row>
    <row r="225" spans="1:68" ht="16.5" customHeight="1" x14ac:dyDescent="0.25">
      <c r="A225" s="348" t="s">
        <v>331</v>
      </c>
      <c r="B225" s="348"/>
      <c r="C225" s="348"/>
      <c r="D225" s="348"/>
      <c r="E225" s="348"/>
      <c r="F225" s="348"/>
      <c r="G225" s="348"/>
      <c r="H225" s="348"/>
      <c r="I225" s="348"/>
      <c r="J225" s="348"/>
      <c r="K225" s="348"/>
      <c r="L225" s="348"/>
      <c r="M225" s="348"/>
      <c r="N225" s="348"/>
      <c r="O225" s="348"/>
      <c r="P225" s="348"/>
      <c r="Q225" s="348"/>
      <c r="R225" s="348"/>
      <c r="S225" s="348"/>
      <c r="T225" s="348"/>
      <c r="U225" s="348"/>
      <c r="V225" s="348"/>
      <c r="W225" s="348"/>
      <c r="X225" s="348"/>
      <c r="Y225" s="348"/>
      <c r="Z225" s="348"/>
      <c r="AA225" s="65"/>
      <c r="AB225" s="65"/>
      <c r="AC225" s="82"/>
    </row>
    <row r="226" spans="1:68" ht="14.25" customHeight="1" x14ac:dyDescent="0.25">
      <c r="A226" s="349" t="s">
        <v>81</v>
      </c>
      <c r="B226" s="349"/>
      <c r="C226" s="349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66"/>
      <c r="AB226" s="66"/>
      <c r="AC226" s="83"/>
    </row>
    <row r="227" spans="1:68" ht="27" customHeight="1" x14ac:dyDescent="0.25">
      <c r="A227" s="63" t="s">
        <v>332</v>
      </c>
      <c r="B227" s="63" t="s">
        <v>333</v>
      </c>
      <c r="C227" s="36">
        <v>4301071029</v>
      </c>
      <c r="D227" s="350">
        <v>4607111035899</v>
      </c>
      <c r="E227" s="350"/>
      <c r="F227" s="62">
        <v>1</v>
      </c>
      <c r="G227" s="37">
        <v>5</v>
      </c>
      <c r="H227" s="62">
        <v>5</v>
      </c>
      <c r="I227" s="62">
        <v>5.2619999999999996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180</v>
      </c>
      <c r="P227" s="433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2"/>
      <c r="R227" s="352"/>
      <c r="S227" s="352"/>
      <c r="T227" s="353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39" t="s">
        <v>273</v>
      </c>
      <c r="AG227" s="81"/>
      <c r="AJ227" s="87" t="s">
        <v>88</v>
      </c>
      <c r="AK227" s="87">
        <v>1</v>
      </c>
      <c r="BB227" s="240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362"/>
      <c r="B228" s="36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3"/>
      <c r="P228" s="359" t="s">
        <v>40</v>
      </c>
      <c r="Q228" s="360"/>
      <c r="R228" s="360"/>
      <c r="S228" s="360"/>
      <c r="T228" s="360"/>
      <c r="U228" s="360"/>
      <c r="V228" s="361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3"/>
      <c r="P229" s="359" t="s">
        <v>40</v>
      </c>
      <c r="Q229" s="360"/>
      <c r="R229" s="360"/>
      <c r="S229" s="360"/>
      <c r="T229" s="360"/>
      <c r="U229" s="360"/>
      <c r="V229" s="361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47" t="s">
        <v>334</v>
      </c>
      <c r="B230" s="347"/>
      <c r="C230" s="347"/>
      <c r="D230" s="347"/>
      <c r="E230" s="347"/>
      <c r="F230" s="347"/>
      <c r="G230" s="347"/>
      <c r="H230" s="347"/>
      <c r="I230" s="347"/>
      <c r="J230" s="347"/>
      <c r="K230" s="347"/>
      <c r="L230" s="347"/>
      <c r="M230" s="347"/>
      <c r="N230" s="347"/>
      <c r="O230" s="347"/>
      <c r="P230" s="347"/>
      <c r="Q230" s="347"/>
      <c r="R230" s="347"/>
      <c r="S230" s="347"/>
      <c r="T230" s="347"/>
      <c r="U230" s="347"/>
      <c r="V230" s="347"/>
      <c r="W230" s="347"/>
      <c r="X230" s="347"/>
      <c r="Y230" s="347"/>
      <c r="Z230" s="347"/>
      <c r="AA230" s="54"/>
      <c r="AB230" s="54"/>
      <c r="AC230" s="54"/>
    </row>
    <row r="231" spans="1:68" ht="16.5" customHeight="1" x14ac:dyDescent="0.25">
      <c r="A231" s="348" t="s">
        <v>335</v>
      </c>
      <c r="B231" s="348"/>
      <c r="C231" s="348"/>
      <c r="D231" s="348"/>
      <c r="E231" s="348"/>
      <c r="F231" s="348"/>
      <c r="G231" s="348"/>
      <c r="H231" s="348"/>
      <c r="I231" s="348"/>
      <c r="J231" s="348"/>
      <c r="K231" s="348"/>
      <c r="L231" s="348"/>
      <c r="M231" s="348"/>
      <c r="N231" s="348"/>
      <c r="O231" s="348"/>
      <c r="P231" s="348"/>
      <c r="Q231" s="348"/>
      <c r="R231" s="348"/>
      <c r="S231" s="348"/>
      <c r="T231" s="348"/>
      <c r="U231" s="348"/>
      <c r="V231" s="348"/>
      <c r="W231" s="348"/>
      <c r="X231" s="348"/>
      <c r="Y231" s="348"/>
      <c r="Z231" s="348"/>
      <c r="AA231" s="65"/>
      <c r="AB231" s="65"/>
      <c r="AC231" s="82"/>
    </row>
    <row r="232" spans="1:68" ht="14.25" customHeight="1" x14ac:dyDescent="0.25">
      <c r="A232" s="349" t="s">
        <v>336</v>
      </c>
      <c r="B232" s="349"/>
      <c r="C232" s="349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66"/>
      <c r="AB232" s="66"/>
      <c r="AC232" s="83"/>
    </row>
    <row r="233" spans="1:68" ht="27" customHeight="1" x14ac:dyDescent="0.25">
      <c r="A233" s="63" t="s">
        <v>337</v>
      </c>
      <c r="B233" s="63" t="s">
        <v>338</v>
      </c>
      <c r="C233" s="36">
        <v>4301133004</v>
      </c>
      <c r="D233" s="350">
        <v>4607111039774</v>
      </c>
      <c r="E233" s="350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111</v>
      </c>
      <c r="L233" s="37" t="s">
        <v>87</v>
      </c>
      <c r="M233" s="38" t="s">
        <v>85</v>
      </c>
      <c r="N233" s="38"/>
      <c r="O233" s="37">
        <v>180</v>
      </c>
      <c r="P233" s="43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2"/>
      <c r="R233" s="352"/>
      <c r="S233" s="352"/>
      <c r="T233" s="353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1" t="s">
        <v>339</v>
      </c>
      <c r="AG233" s="81"/>
      <c r="AJ233" s="87" t="s">
        <v>88</v>
      </c>
      <c r="AK233" s="87">
        <v>1</v>
      </c>
      <c r="BB233" s="242" t="s">
        <v>110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362"/>
      <c r="B234" s="362"/>
      <c r="C234" s="362"/>
      <c r="D234" s="362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3"/>
      <c r="P234" s="359" t="s">
        <v>40</v>
      </c>
      <c r="Q234" s="360"/>
      <c r="R234" s="360"/>
      <c r="S234" s="360"/>
      <c r="T234" s="360"/>
      <c r="U234" s="360"/>
      <c r="V234" s="361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3"/>
      <c r="P235" s="359" t="s">
        <v>40</v>
      </c>
      <c r="Q235" s="360"/>
      <c r="R235" s="360"/>
      <c r="S235" s="360"/>
      <c r="T235" s="360"/>
      <c r="U235" s="360"/>
      <c r="V235" s="361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49" t="s">
        <v>150</v>
      </c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66"/>
      <c r="AB236" s="66"/>
      <c r="AC236" s="83"/>
    </row>
    <row r="237" spans="1:68" ht="37.5" customHeight="1" x14ac:dyDescent="0.25">
      <c r="A237" s="63" t="s">
        <v>340</v>
      </c>
      <c r="B237" s="63" t="s">
        <v>341</v>
      </c>
      <c r="C237" s="36">
        <v>4301135400</v>
      </c>
      <c r="D237" s="350">
        <v>4607111039361</v>
      </c>
      <c r="E237" s="350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111</v>
      </c>
      <c r="L237" s="37" t="s">
        <v>87</v>
      </c>
      <c r="M237" s="38" t="s">
        <v>85</v>
      </c>
      <c r="N237" s="38"/>
      <c r="O237" s="37">
        <v>180</v>
      </c>
      <c r="P237" s="43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2"/>
      <c r="R237" s="352"/>
      <c r="S237" s="352"/>
      <c r="T237" s="35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3" t="s">
        <v>339</v>
      </c>
      <c r="AG237" s="81"/>
      <c r="AJ237" s="87" t="s">
        <v>88</v>
      </c>
      <c r="AK237" s="87">
        <v>1</v>
      </c>
      <c r="BB237" s="244" t="s">
        <v>110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62"/>
      <c r="B238" s="362"/>
      <c r="C238" s="362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3"/>
      <c r="P238" s="359" t="s">
        <v>40</v>
      </c>
      <c r="Q238" s="360"/>
      <c r="R238" s="360"/>
      <c r="S238" s="360"/>
      <c r="T238" s="360"/>
      <c r="U238" s="360"/>
      <c r="V238" s="361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3"/>
      <c r="P239" s="359" t="s">
        <v>40</v>
      </c>
      <c r="Q239" s="360"/>
      <c r="R239" s="360"/>
      <c r="S239" s="360"/>
      <c r="T239" s="360"/>
      <c r="U239" s="360"/>
      <c r="V239" s="361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47" t="s">
        <v>342</v>
      </c>
      <c r="B240" s="347"/>
      <c r="C240" s="347"/>
      <c r="D240" s="347"/>
      <c r="E240" s="347"/>
      <c r="F240" s="347"/>
      <c r="G240" s="347"/>
      <c r="H240" s="347"/>
      <c r="I240" s="347"/>
      <c r="J240" s="347"/>
      <c r="K240" s="347"/>
      <c r="L240" s="347"/>
      <c r="M240" s="347"/>
      <c r="N240" s="347"/>
      <c r="O240" s="347"/>
      <c r="P240" s="347"/>
      <c r="Q240" s="347"/>
      <c r="R240" s="347"/>
      <c r="S240" s="347"/>
      <c r="T240" s="347"/>
      <c r="U240" s="347"/>
      <c r="V240" s="347"/>
      <c r="W240" s="347"/>
      <c r="X240" s="347"/>
      <c r="Y240" s="347"/>
      <c r="Z240" s="347"/>
      <c r="AA240" s="54"/>
      <c r="AB240" s="54"/>
      <c r="AC240" s="54"/>
    </row>
    <row r="241" spans="1:68" ht="16.5" customHeight="1" x14ac:dyDescent="0.25">
      <c r="A241" s="348" t="s">
        <v>342</v>
      </c>
      <c r="B241" s="348"/>
      <c r="C241" s="348"/>
      <c r="D241" s="348"/>
      <c r="E241" s="348"/>
      <c r="F241" s="348"/>
      <c r="G241" s="348"/>
      <c r="H241" s="348"/>
      <c r="I241" s="348"/>
      <c r="J241" s="348"/>
      <c r="K241" s="348"/>
      <c r="L241" s="348"/>
      <c r="M241" s="348"/>
      <c r="N241" s="348"/>
      <c r="O241" s="348"/>
      <c r="P241" s="348"/>
      <c r="Q241" s="348"/>
      <c r="R241" s="348"/>
      <c r="S241" s="348"/>
      <c r="T241" s="348"/>
      <c r="U241" s="348"/>
      <c r="V241" s="348"/>
      <c r="W241" s="348"/>
      <c r="X241" s="348"/>
      <c r="Y241" s="348"/>
      <c r="Z241" s="348"/>
      <c r="AA241" s="65"/>
      <c r="AB241" s="65"/>
      <c r="AC241" s="82"/>
    </row>
    <row r="242" spans="1:68" ht="14.25" customHeight="1" x14ac:dyDescent="0.25">
      <c r="A242" s="349" t="s">
        <v>81</v>
      </c>
      <c r="B242" s="349"/>
      <c r="C242" s="349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66"/>
      <c r="AB242" s="66"/>
      <c r="AC242" s="83"/>
    </row>
    <row r="243" spans="1:68" ht="27" customHeight="1" x14ac:dyDescent="0.25">
      <c r="A243" s="63" t="s">
        <v>343</v>
      </c>
      <c r="B243" s="63" t="s">
        <v>344</v>
      </c>
      <c r="C243" s="36">
        <v>4301071014</v>
      </c>
      <c r="D243" s="350">
        <v>4640242181264</v>
      </c>
      <c r="E243" s="350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87</v>
      </c>
      <c r="M243" s="38" t="s">
        <v>85</v>
      </c>
      <c r="N243" s="38"/>
      <c r="O243" s="37">
        <v>180</v>
      </c>
      <c r="P243" s="43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2"/>
      <c r="R243" s="352"/>
      <c r="S243" s="352"/>
      <c r="T243" s="353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345</v>
      </c>
      <c r="AG243" s="81"/>
      <c r="AJ243" s="87" t="s">
        <v>88</v>
      </c>
      <c r="AK243" s="87">
        <v>1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t="27" customHeight="1" x14ac:dyDescent="0.25">
      <c r="A244" s="63" t="s">
        <v>346</v>
      </c>
      <c r="B244" s="63" t="s">
        <v>347</v>
      </c>
      <c r="C244" s="36">
        <v>4301071021</v>
      </c>
      <c r="D244" s="350">
        <v>4640242181325</v>
      </c>
      <c r="E244" s="350"/>
      <c r="F244" s="62">
        <v>0.7</v>
      </c>
      <c r="G244" s="37">
        <v>10</v>
      </c>
      <c r="H244" s="62">
        <v>7</v>
      </c>
      <c r="I244" s="62">
        <v>7.28</v>
      </c>
      <c r="J244" s="37">
        <v>84</v>
      </c>
      <c r="K244" s="37" t="s">
        <v>86</v>
      </c>
      <c r="L244" s="37" t="s">
        <v>112</v>
      </c>
      <c r="M244" s="38" t="s">
        <v>85</v>
      </c>
      <c r="N244" s="38"/>
      <c r="O244" s="37">
        <v>180</v>
      </c>
      <c r="P244" s="43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2"/>
      <c r="R244" s="352"/>
      <c r="S244" s="352"/>
      <c r="T244" s="353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IFERROR(IF(X244="","",X244*0.0155),"")</f>
        <v>0</v>
      </c>
      <c r="AA244" s="68" t="s">
        <v>46</v>
      </c>
      <c r="AB244" s="69" t="s">
        <v>46</v>
      </c>
      <c r="AC244" s="247" t="s">
        <v>345</v>
      </c>
      <c r="AG244" s="81"/>
      <c r="AJ244" s="87" t="s">
        <v>113</v>
      </c>
      <c r="AK244" s="87">
        <v>12</v>
      </c>
      <c r="BB244" s="248" t="s">
        <v>70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62"/>
      <c r="B245" s="362"/>
      <c r="C245" s="362"/>
      <c r="D245" s="362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3"/>
      <c r="P245" s="359" t="s">
        <v>40</v>
      </c>
      <c r="Q245" s="360"/>
      <c r="R245" s="360"/>
      <c r="S245" s="360"/>
      <c r="T245" s="360"/>
      <c r="U245" s="360"/>
      <c r="V245" s="361"/>
      <c r="W245" s="42" t="s">
        <v>39</v>
      </c>
      <c r="X245" s="43">
        <f>IFERROR(SUM(X243:X244),"0")</f>
        <v>0</v>
      </c>
      <c r="Y245" s="43">
        <f>IFERROR(SUM(Y243:Y244),"0")</f>
        <v>0</v>
      </c>
      <c r="Z245" s="43">
        <f>IFERROR(IF(Z243="",0,Z243),"0")+IFERROR(IF(Z244="",0,Z244),"0")</f>
        <v>0</v>
      </c>
      <c r="AA245" s="67"/>
      <c r="AB245" s="67"/>
      <c r="AC245" s="67"/>
    </row>
    <row r="246" spans="1:68" x14ac:dyDescent="0.2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3"/>
      <c r="P246" s="359" t="s">
        <v>40</v>
      </c>
      <c r="Q246" s="360"/>
      <c r="R246" s="360"/>
      <c r="S246" s="360"/>
      <c r="T246" s="360"/>
      <c r="U246" s="360"/>
      <c r="V246" s="361"/>
      <c r="W246" s="42" t="s">
        <v>0</v>
      </c>
      <c r="X246" s="43">
        <f>IFERROR(SUMPRODUCT(X243:X244*H243:H244),"0")</f>
        <v>0</v>
      </c>
      <c r="Y246" s="43">
        <f>IFERROR(SUMPRODUCT(Y243:Y244*H243:H244),"0")</f>
        <v>0</v>
      </c>
      <c r="Z246" s="42"/>
      <c r="AA246" s="67"/>
      <c r="AB246" s="67"/>
      <c r="AC246" s="67"/>
    </row>
    <row r="247" spans="1:68" ht="14.25" customHeight="1" x14ac:dyDescent="0.25">
      <c r="A247" s="349" t="s">
        <v>106</v>
      </c>
      <c r="B247" s="349"/>
      <c r="C247" s="349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4301132080</v>
      </c>
      <c r="D248" s="350">
        <v>4640242180397</v>
      </c>
      <c r="E248" s="350"/>
      <c r="F248" s="62">
        <v>1</v>
      </c>
      <c r="G248" s="37">
        <v>6</v>
      </c>
      <c r="H248" s="62">
        <v>6</v>
      </c>
      <c r="I248" s="62">
        <v>6.26</v>
      </c>
      <c r="J248" s="37">
        <v>84</v>
      </c>
      <c r="K248" s="37" t="s">
        <v>86</v>
      </c>
      <c r="L248" s="37" t="s">
        <v>112</v>
      </c>
      <c r="M248" s="38" t="s">
        <v>85</v>
      </c>
      <c r="N248" s="38"/>
      <c r="O248" s="37">
        <v>180</v>
      </c>
      <c r="P248" s="43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2"/>
      <c r="R248" s="352"/>
      <c r="S248" s="352"/>
      <c r="T248" s="353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9" t="s">
        <v>350</v>
      </c>
      <c r="AG248" s="81"/>
      <c r="AJ248" s="87" t="s">
        <v>113</v>
      </c>
      <c r="AK248" s="87">
        <v>12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351</v>
      </c>
      <c r="B249" s="63" t="s">
        <v>352</v>
      </c>
      <c r="C249" s="36">
        <v>4301132104</v>
      </c>
      <c r="D249" s="350">
        <v>4640242181219</v>
      </c>
      <c r="E249" s="350"/>
      <c r="F249" s="62">
        <v>0.3</v>
      </c>
      <c r="G249" s="37">
        <v>9</v>
      </c>
      <c r="H249" s="62">
        <v>2.7</v>
      </c>
      <c r="I249" s="62">
        <v>2.8450000000000002</v>
      </c>
      <c r="J249" s="37">
        <v>234</v>
      </c>
      <c r="K249" s="37" t="s">
        <v>162</v>
      </c>
      <c r="L249" s="37" t="s">
        <v>87</v>
      </c>
      <c r="M249" s="38" t="s">
        <v>85</v>
      </c>
      <c r="N249" s="38"/>
      <c r="O249" s="37">
        <v>180</v>
      </c>
      <c r="P249" s="43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9" s="352"/>
      <c r="R249" s="352"/>
      <c r="S249" s="352"/>
      <c r="T249" s="353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IFERROR(IF(X249="","",X249*0.00502),"")</f>
        <v>0</v>
      </c>
      <c r="AA249" s="68" t="s">
        <v>46</v>
      </c>
      <c r="AB249" s="69" t="s">
        <v>46</v>
      </c>
      <c r="AC249" s="251" t="s">
        <v>350</v>
      </c>
      <c r="AG249" s="81"/>
      <c r="AJ249" s="87" t="s">
        <v>88</v>
      </c>
      <c r="AK249" s="87">
        <v>1</v>
      </c>
      <c r="BB249" s="252" t="s">
        <v>110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3"/>
      <c r="P250" s="359" t="s">
        <v>40</v>
      </c>
      <c r="Q250" s="360"/>
      <c r="R250" s="360"/>
      <c r="S250" s="360"/>
      <c r="T250" s="360"/>
      <c r="U250" s="360"/>
      <c r="V250" s="361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3"/>
      <c r="P251" s="359" t="s">
        <v>40</v>
      </c>
      <c r="Q251" s="360"/>
      <c r="R251" s="360"/>
      <c r="S251" s="360"/>
      <c r="T251" s="360"/>
      <c r="U251" s="360"/>
      <c r="V251" s="361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49" t="s">
        <v>144</v>
      </c>
      <c r="B252" s="349"/>
      <c r="C252" s="349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66"/>
      <c r="AB252" s="66"/>
      <c r="AC252" s="83"/>
    </row>
    <row r="253" spans="1:68" ht="27" customHeight="1" x14ac:dyDescent="0.25">
      <c r="A253" s="63" t="s">
        <v>353</v>
      </c>
      <c r="B253" s="63" t="s">
        <v>354</v>
      </c>
      <c r="C253" s="36">
        <v>4301136051</v>
      </c>
      <c r="D253" s="350">
        <v>4640242180304</v>
      </c>
      <c r="E253" s="350"/>
      <c r="F253" s="62">
        <v>2.7</v>
      </c>
      <c r="G253" s="37">
        <v>1</v>
      </c>
      <c r="H253" s="62">
        <v>2.7</v>
      </c>
      <c r="I253" s="62">
        <v>2.8906000000000001</v>
      </c>
      <c r="J253" s="37">
        <v>126</v>
      </c>
      <c r="K253" s="37" t="s">
        <v>111</v>
      </c>
      <c r="L253" s="37" t="s">
        <v>112</v>
      </c>
      <c r="M253" s="38" t="s">
        <v>85</v>
      </c>
      <c r="N253" s="38"/>
      <c r="O253" s="37">
        <v>180</v>
      </c>
      <c r="P253" s="44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3" s="352"/>
      <c r="R253" s="352"/>
      <c r="S253" s="352"/>
      <c r="T253" s="35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IFERROR(IF(X253="","",X253*0.00936),"")</f>
        <v>0</v>
      </c>
      <c r="AA253" s="68" t="s">
        <v>46</v>
      </c>
      <c r="AB253" s="69" t="s">
        <v>46</v>
      </c>
      <c r="AC253" s="253" t="s">
        <v>355</v>
      </c>
      <c r="AG253" s="81"/>
      <c r="AJ253" s="87" t="s">
        <v>113</v>
      </c>
      <c r="AK253" s="87">
        <v>14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356</v>
      </c>
      <c r="B254" s="63" t="s">
        <v>357</v>
      </c>
      <c r="C254" s="36">
        <v>4301136053</v>
      </c>
      <c r="D254" s="350">
        <v>4640242180236</v>
      </c>
      <c r="E254" s="350"/>
      <c r="F254" s="62">
        <v>5</v>
      </c>
      <c r="G254" s="37">
        <v>1</v>
      </c>
      <c r="H254" s="62">
        <v>5</v>
      </c>
      <c r="I254" s="62">
        <v>5.2350000000000003</v>
      </c>
      <c r="J254" s="37">
        <v>84</v>
      </c>
      <c r="K254" s="37" t="s">
        <v>86</v>
      </c>
      <c r="L254" s="37" t="s">
        <v>112</v>
      </c>
      <c r="M254" s="38" t="s">
        <v>85</v>
      </c>
      <c r="N254" s="38"/>
      <c r="O254" s="37">
        <v>180</v>
      </c>
      <c r="P254" s="44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4" s="352"/>
      <c r="R254" s="352"/>
      <c r="S254" s="352"/>
      <c r="T254" s="35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5" t="s">
        <v>355</v>
      </c>
      <c r="AG254" s="81"/>
      <c r="AJ254" s="87" t="s">
        <v>113</v>
      </c>
      <c r="AK254" s="87">
        <v>12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358</v>
      </c>
      <c r="B255" s="63" t="s">
        <v>359</v>
      </c>
      <c r="C255" s="36">
        <v>4301136052</v>
      </c>
      <c r="D255" s="350">
        <v>4640242180410</v>
      </c>
      <c r="E255" s="350"/>
      <c r="F255" s="62">
        <v>2.2400000000000002</v>
      </c>
      <c r="G255" s="37">
        <v>1</v>
      </c>
      <c r="H255" s="62">
        <v>2.2400000000000002</v>
      </c>
      <c r="I255" s="62">
        <v>2.4319999999999999</v>
      </c>
      <c r="J255" s="37">
        <v>126</v>
      </c>
      <c r="K255" s="37" t="s">
        <v>111</v>
      </c>
      <c r="L255" s="37" t="s">
        <v>87</v>
      </c>
      <c r="M255" s="38" t="s">
        <v>85</v>
      </c>
      <c r="N255" s="38"/>
      <c r="O255" s="37">
        <v>180</v>
      </c>
      <c r="P255" s="4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5" s="352"/>
      <c r="R255" s="352"/>
      <c r="S255" s="352"/>
      <c r="T255" s="353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IFERROR(IF(X255="","",X255*0.00936),"")</f>
        <v>0</v>
      </c>
      <c r="AA255" s="68" t="s">
        <v>46</v>
      </c>
      <c r="AB255" s="69" t="s">
        <v>46</v>
      </c>
      <c r="AC255" s="257" t="s">
        <v>355</v>
      </c>
      <c r="AG255" s="81"/>
      <c r="AJ255" s="87" t="s">
        <v>88</v>
      </c>
      <c r="AK255" s="87">
        <v>1</v>
      </c>
      <c r="BB255" s="258" t="s">
        <v>110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x14ac:dyDescent="0.2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3"/>
      <c r="P256" s="359" t="s">
        <v>40</v>
      </c>
      <c r="Q256" s="360"/>
      <c r="R256" s="360"/>
      <c r="S256" s="360"/>
      <c r="T256" s="360"/>
      <c r="U256" s="360"/>
      <c r="V256" s="361"/>
      <c r="W256" s="42" t="s">
        <v>39</v>
      </c>
      <c r="X256" s="43">
        <f>IFERROR(SUM(X253:X255),"0")</f>
        <v>0</v>
      </c>
      <c r="Y256" s="43">
        <f>IFERROR(SUM(Y253:Y255),"0")</f>
        <v>0</v>
      </c>
      <c r="Z256" s="43">
        <f>IFERROR(IF(Z253="",0,Z253),"0")+IFERROR(IF(Z254="",0,Z254),"0")+IFERROR(IF(Z255="",0,Z255),"0")</f>
        <v>0</v>
      </c>
      <c r="AA256" s="67"/>
      <c r="AB256" s="67"/>
      <c r="AC256" s="67"/>
    </row>
    <row r="257" spans="1:68" x14ac:dyDescent="0.2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3"/>
      <c r="P257" s="359" t="s">
        <v>40</v>
      </c>
      <c r="Q257" s="360"/>
      <c r="R257" s="360"/>
      <c r="S257" s="360"/>
      <c r="T257" s="360"/>
      <c r="U257" s="360"/>
      <c r="V257" s="361"/>
      <c r="W257" s="42" t="s">
        <v>0</v>
      </c>
      <c r="X257" s="43">
        <f>IFERROR(SUMPRODUCT(X253:X255*H253:H255),"0")</f>
        <v>0</v>
      </c>
      <c r="Y257" s="43">
        <f>IFERROR(SUMPRODUCT(Y253:Y255*H253:H255),"0")</f>
        <v>0</v>
      </c>
      <c r="Z257" s="42"/>
      <c r="AA257" s="67"/>
      <c r="AB257" s="67"/>
      <c r="AC257" s="67"/>
    </row>
    <row r="258" spans="1:68" ht="14.25" customHeight="1" x14ac:dyDescent="0.25">
      <c r="A258" s="349" t="s">
        <v>150</v>
      </c>
      <c r="B258" s="349"/>
      <c r="C258" s="349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66"/>
      <c r="AB258" s="66"/>
      <c r="AC258" s="83"/>
    </row>
    <row r="259" spans="1:68" ht="37.5" customHeight="1" x14ac:dyDescent="0.25">
      <c r="A259" s="63" t="s">
        <v>360</v>
      </c>
      <c r="B259" s="63" t="s">
        <v>361</v>
      </c>
      <c r="C259" s="36">
        <v>4301135504</v>
      </c>
      <c r="D259" s="350">
        <v>4640242181554</v>
      </c>
      <c r="E259" s="350"/>
      <c r="F259" s="62">
        <v>3</v>
      </c>
      <c r="G259" s="37">
        <v>1</v>
      </c>
      <c r="H259" s="62">
        <v>3</v>
      </c>
      <c r="I259" s="62">
        <v>3.1920000000000002</v>
      </c>
      <c r="J259" s="37">
        <v>126</v>
      </c>
      <c r="K259" s="37" t="s">
        <v>111</v>
      </c>
      <c r="L259" s="37" t="s">
        <v>87</v>
      </c>
      <c r="M259" s="38" t="s">
        <v>85</v>
      </c>
      <c r="N259" s="38"/>
      <c r="O259" s="37">
        <v>180</v>
      </c>
      <c r="P259" s="44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9" s="352"/>
      <c r="R259" s="352"/>
      <c r="S259" s="352"/>
      <c r="T259" s="353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ref="Y259:Y268" si="18">IFERROR(IF(X259="","",X259),"")</f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88</v>
      </c>
      <c r="AK259" s="87">
        <v>1</v>
      </c>
      <c r="BB259" s="260" t="s">
        <v>110</v>
      </c>
      <c r="BM259" s="81">
        <f t="shared" ref="BM259:BM268" si="19">IFERROR(X259*I259,"0")</f>
        <v>0</v>
      </c>
      <c r="BN259" s="81">
        <f t="shared" ref="BN259:BN268" si="20">IFERROR(Y259*I259,"0")</f>
        <v>0</v>
      </c>
      <c r="BO259" s="81">
        <f t="shared" ref="BO259:BO268" si="21">IFERROR(X259/J259,"0")</f>
        <v>0</v>
      </c>
      <c r="BP259" s="81">
        <f t="shared" ref="BP259:BP268" si="22">IFERROR(Y259/J259,"0")</f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4301135518</v>
      </c>
      <c r="D260" s="350">
        <v>4640242181561</v>
      </c>
      <c r="E260" s="350"/>
      <c r="F260" s="62">
        <v>3.7</v>
      </c>
      <c r="G260" s="37">
        <v>1</v>
      </c>
      <c r="H260" s="62">
        <v>3.7</v>
      </c>
      <c r="I260" s="62">
        <v>3.8919999999999999</v>
      </c>
      <c r="J260" s="37">
        <v>126</v>
      </c>
      <c r="K260" s="37" t="s">
        <v>111</v>
      </c>
      <c r="L260" s="37" t="s">
        <v>112</v>
      </c>
      <c r="M260" s="38" t="s">
        <v>85</v>
      </c>
      <c r="N260" s="38"/>
      <c r="O260" s="37">
        <v>180</v>
      </c>
      <c r="P260" s="44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0" s="352"/>
      <c r="R260" s="352"/>
      <c r="S260" s="352"/>
      <c r="T260" s="353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1" t="s">
        <v>365</v>
      </c>
      <c r="AG260" s="81"/>
      <c r="AJ260" s="87" t="s">
        <v>113</v>
      </c>
      <c r="AK260" s="87">
        <v>14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366</v>
      </c>
      <c r="B261" s="63" t="s">
        <v>367</v>
      </c>
      <c r="C261" s="36">
        <v>4301135374</v>
      </c>
      <c r="D261" s="350">
        <v>4640242181424</v>
      </c>
      <c r="E261" s="350"/>
      <c r="F261" s="62">
        <v>5.5</v>
      </c>
      <c r="G261" s="37">
        <v>1</v>
      </c>
      <c r="H261" s="62">
        <v>5.5</v>
      </c>
      <c r="I261" s="62">
        <v>5.7350000000000003</v>
      </c>
      <c r="J261" s="37">
        <v>84</v>
      </c>
      <c r="K261" s="37" t="s">
        <v>86</v>
      </c>
      <c r="L261" s="37" t="s">
        <v>112</v>
      </c>
      <c r="M261" s="38" t="s">
        <v>85</v>
      </c>
      <c r="N261" s="38"/>
      <c r="O261" s="37">
        <v>180</v>
      </c>
      <c r="P261" s="44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1" s="352"/>
      <c r="R261" s="352"/>
      <c r="S261" s="352"/>
      <c r="T261" s="353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>IFERROR(IF(X261="","",X261*0.0155),"")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113</v>
      </c>
      <c r="AK261" s="87">
        <v>12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368</v>
      </c>
      <c r="B262" s="63" t="s">
        <v>369</v>
      </c>
      <c r="C262" s="36">
        <v>4301135405</v>
      </c>
      <c r="D262" s="350">
        <v>4640242181523</v>
      </c>
      <c r="E262" s="350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111</v>
      </c>
      <c r="L262" s="37" t="s">
        <v>112</v>
      </c>
      <c r="M262" s="38" t="s">
        <v>85</v>
      </c>
      <c r="N262" s="38"/>
      <c r="O262" s="37">
        <v>180</v>
      </c>
      <c r="P262" s="44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2" s="352"/>
      <c r="R262" s="352"/>
      <c r="S262" s="352"/>
      <c r="T262" s="353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ref="Z262:Z267" si="23">IFERROR(IF(X262="","",X262*0.00936),"")</f>
        <v>0</v>
      </c>
      <c r="AA262" s="68" t="s">
        <v>46</v>
      </c>
      <c r="AB262" s="69" t="s">
        <v>46</v>
      </c>
      <c r="AC262" s="265" t="s">
        <v>365</v>
      </c>
      <c r="AG262" s="81"/>
      <c r="AJ262" s="87" t="s">
        <v>113</v>
      </c>
      <c r="AK262" s="87">
        <v>14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27" customHeight="1" x14ac:dyDescent="0.25">
      <c r="A263" s="63" t="s">
        <v>370</v>
      </c>
      <c r="B263" s="63" t="s">
        <v>371</v>
      </c>
      <c r="C263" s="36">
        <v>4301135375</v>
      </c>
      <c r="D263" s="350">
        <v>4640242181486</v>
      </c>
      <c r="E263" s="350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112</v>
      </c>
      <c r="M263" s="38" t="s">
        <v>85</v>
      </c>
      <c r="N263" s="38"/>
      <c r="O263" s="37">
        <v>180</v>
      </c>
      <c r="P263" s="44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3" s="352"/>
      <c r="R263" s="352"/>
      <c r="S263" s="352"/>
      <c r="T263" s="353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362</v>
      </c>
      <c r="AG263" s="81"/>
      <c r="AJ263" s="87" t="s">
        <v>113</v>
      </c>
      <c r="AK263" s="87">
        <v>14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372</v>
      </c>
      <c r="B264" s="63" t="s">
        <v>373</v>
      </c>
      <c r="C264" s="36">
        <v>4301135402</v>
      </c>
      <c r="D264" s="350">
        <v>4640242181493</v>
      </c>
      <c r="E264" s="350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4" s="352"/>
      <c r="R264" s="352"/>
      <c r="S264" s="352"/>
      <c r="T264" s="353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362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37.5" customHeight="1" x14ac:dyDescent="0.25">
      <c r="A265" s="63" t="s">
        <v>374</v>
      </c>
      <c r="B265" s="63" t="s">
        <v>375</v>
      </c>
      <c r="C265" s="36">
        <v>4301135403</v>
      </c>
      <c r="D265" s="350">
        <v>4640242181509</v>
      </c>
      <c r="E265" s="350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5" s="352"/>
      <c r="R265" s="352"/>
      <c r="S265" s="352"/>
      <c r="T265" s="353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362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376</v>
      </c>
      <c r="B266" s="63" t="s">
        <v>377</v>
      </c>
      <c r="C266" s="36">
        <v>4301135304</v>
      </c>
      <c r="D266" s="350">
        <v>4640242181240</v>
      </c>
      <c r="E266" s="350"/>
      <c r="F266" s="62">
        <v>0.3</v>
      </c>
      <c r="G266" s="37">
        <v>9</v>
      </c>
      <c r="H266" s="62">
        <v>2.7</v>
      </c>
      <c r="I266" s="62">
        <v>2.88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5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6" s="352"/>
      <c r="R266" s="352"/>
      <c r="S266" s="352"/>
      <c r="T266" s="353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378</v>
      </c>
      <c r="B267" s="63" t="s">
        <v>379</v>
      </c>
      <c r="C267" s="36">
        <v>4301135610</v>
      </c>
      <c r="D267" s="350">
        <v>4640242181318</v>
      </c>
      <c r="E267" s="350"/>
      <c r="F267" s="62">
        <v>0.3</v>
      </c>
      <c r="G267" s="37">
        <v>9</v>
      </c>
      <c r="H267" s="62">
        <v>2.7</v>
      </c>
      <c r="I267" s="62">
        <v>2.988</v>
      </c>
      <c r="J267" s="37">
        <v>126</v>
      </c>
      <c r="K267" s="37" t="s">
        <v>111</v>
      </c>
      <c r="L267" s="37" t="s">
        <v>87</v>
      </c>
      <c r="M267" s="38" t="s">
        <v>85</v>
      </c>
      <c r="N267" s="38"/>
      <c r="O267" s="37">
        <v>180</v>
      </c>
      <c r="P267" s="45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7" s="352"/>
      <c r="R267" s="352"/>
      <c r="S267" s="352"/>
      <c r="T267" s="353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si="23"/>
        <v>0</v>
      </c>
      <c r="AA267" s="68" t="s">
        <v>46</v>
      </c>
      <c r="AB267" s="69" t="s">
        <v>46</v>
      </c>
      <c r="AC267" s="275" t="s">
        <v>365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380</v>
      </c>
      <c r="B268" s="63" t="s">
        <v>381</v>
      </c>
      <c r="C268" s="36">
        <v>4301135306</v>
      </c>
      <c r="D268" s="350">
        <v>4640242181387</v>
      </c>
      <c r="E268" s="350"/>
      <c r="F268" s="62">
        <v>0.3</v>
      </c>
      <c r="G268" s="37">
        <v>9</v>
      </c>
      <c r="H268" s="62">
        <v>2.7</v>
      </c>
      <c r="I268" s="62">
        <v>2.8450000000000002</v>
      </c>
      <c r="J268" s="37">
        <v>234</v>
      </c>
      <c r="K268" s="37" t="s">
        <v>162</v>
      </c>
      <c r="L268" s="37" t="s">
        <v>87</v>
      </c>
      <c r="M268" s="38" t="s">
        <v>85</v>
      </c>
      <c r="N268" s="38"/>
      <c r="O268" s="37">
        <v>180</v>
      </c>
      <c r="P268" s="45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8" s="352"/>
      <c r="R268" s="352"/>
      <c r="S268" s="352"/>
      <c r="T268" s="35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>IFERROR(IF(X268="","",X268*0.00502),"")</f>
        <v>0</v>
      </c>
      <c r="AA268" s="68" t="s">
        <v>46</v>
      </c>
      <c r="AB268" s="69" t="s">
        <v>46</v>
      </c>
      <c r="AC268" s="277" t="s">
        <v>362</v>
      </c>
      <c r="AG268" s="81"/>
      <c r="AJ268" s="87" t="s">
        <v>88</v>
      </c>
      <c r="AK268" s="87">
        <v>1</v>
      </c>
      <c r="BB268" s="278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x14ac:dyDescent="0.2">
      <c r="A269" s="362"/>
      <c r="B269" s="362"/>
      <c r="C269" s="362"/>
      <c r="D269" s="362"/>
      <c r="E269" s="362"/>
      <c r="F269" s="362"/>
      <c r="G269" s="362"/>
      <c r="H269" s="362"/>
      <c r="I269" s="362"/>
      <c r="J269" s="362"/>
      <c r="K269" s="362"/>
      <c r="L269" s="362"/>
      <c r="M269" s="362"/>
      <c r="N269" s="362"/>
      <c r="O269" s="363"/>
      <c r="P269" s="359" t="s">
        <v>40</v>
      </c>
      <c r="Q269" s="360"/>
      <c r="R269" s="360"/>
      <c r="S269" s="360"/>
      <c r="T269" s="360"/>
      <c r="U269" s="360"/>
      <c r="V269" s="361"/>
      <c r="W269" s="42" t="s">
        <v>39</v>
      </c>
      <c r="X269" s="43">
        <f>IFERROR(SUM(X259:X268),"0")</f>
        <v>0</v>
      </c>
      <c r="Y269" s="43">
        <f>IFERROR(SUM(Y259:Y268),"0")</f>
        <v>0</v>
      </c>
      <c r="Z269" s="43">
        <f>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</f>
        <v>0</v>
      </c>
      <c r="AA269" s="67"/>
      <c r="AB269" s="67"/>
      <c r="AC269" s="67"/>
    </row>
    <row r="270" spans="1:68" x14ac:dyDescent="0.2">
      <c r="A270" s="362"/>
      <c r="B270" s="362"/>
      <c r="C270" s="362"/>
      <c r="D270" s="362"/>
      <c r="E270" s="362"/>
      <c r="F270" s="362"/>
      <c r="G270" s="362"/>
      <c r="H270" s="362"/>
      <c r="I270" s="362"/>
      <c r="J270" s="362"/>
      <c r="K270" s="362"/>
      <c r="L270" s="362"/>
      <c r="M270" s="362"/>
      <c r="N270" s="362"/>
      <c r="O270" s="363"/>
      <c r="P270" s="359" t="s">
        <v>40</v>
      </c>
      <c r="Q270" s="360"/>
      <c r="R270" s="360"/>
      <c r="S270" s="360"/>
      <c r="T270" s="360"/>
      <c r="U270" s="360"/>
      <c r="V270" s="361"/>
      <c r="W270" s="42" t="s">
        <v>0</v>
      </c>
      <c r="X270" s="43">
        <f>IFERROR(SUMPRODUCT(X259:X268*H259:H268),"0")</f>
        <v>0</v>
      </c>
      <c r="Y270" s="43">
        <f>IFERROR(SUMPRODUCT(Y259:Y268*H259:H268),"0")</f>
        <v>0</v>
      </c>
      <c r="Z270" s="42"/>
      <c r="AA270" s="67"/>
      <c r="AB270" s="67"/>
      <c r="AC270" s="67"/>
    </row>
    <row r="271" spans="1:68" ht="15" customHeight="1" x14ac:dyDescent="0.2">
      <c r="A271" s="362"/>
      <c r="B271" s="362"/>
      <c r="C271" s="362"/>
      <c r="D271" s="362"/>
      <c r="E271" s="362"/>
      <c r="F271" s="362"/>
      <c r="G271" s="362"/>
      <c r="H271" s="362"/>
      <c r="I271" s="362"/>
      <c r="J271" s="362"/>
      <c r="K271" s="362"/>
      <c r="L271" s="362"/>
      <c r="M271" s="362"/>
      <c r="N271" s="362"/>
      <c r="O271" s="456"/>
      <c r="P271" s="453" t="s">
        <v>33</v>
      </c>
      <c r="Q271" s="454"/>
      <c r="R271" s="454"/>
      <c r="S271" s="454"/>
      <c r="T271" s="454"/>
      <c r="U271" s="454"/>
      <c r="V271" s="455"/>
      <c r="W271" s="42" t="s">
        <v>0</v>
      </c>
      <c r="X271" s="43">
        <f>IFERROR(X29+X35+X42+X49+X57+X62+X66+X71+X77+X83+X88+X94+X104+X110+X123+X127+X131+X137+X143+X149+X154+X159+X164+X169+X176+X184+X188+X194+X202+X207+X212+X217+X223+X229+X235+X239+X246+X251+X257+X270,"0")</f>
        <v>0</v>
      </c>
      <c r="Y271" s="43">
        <f>IFERROR(Y29+Y35+Y42+Y49+Y57+Y62+Y66+Y71+Y77+Y83+Y88+Y94+Y104+Y110+Y123+Y127+Y131+Y137+Y143+Y149+Y154+Y159+Y164+Y169+Y176+Y184+Y188+Y194+Y202+Y207+Y212+Y217+Y223+Y229+Y235+Y239+Y246+Y251+Y257+Y270,"0")</f>
        <v>0</v>
      </c>
      <c r="Z271" s="42"/>
      <c r="AA271" s="67"/>
      <c r="AB271" s="67"/>
      <c r="AC271" s="67"/>
    </row>
    <row r="272" spans="1:68" x14ac:dyDescent="0.2">
      <c r="A272" s="362"/>
      <c r="B272" s="362"/>
      <c r="C272" s="362"/>
      <c r="D272" s="362"/>
      <c r="E272" s="362"/>
      <c r="F272" s="362"/>
      <c r="G272" s="362"/>
      <c r="H272" s="362"/>
      <c r="I272" s="362"/>
      <c r="J272" s="362"/>
      <c r="K272" s="362"/>
      <c r="L272" s="362"/>
      <c r="M272" s="362"/>
      <c r="N272" s="362"/>
      <c r="O272" s="456"/>
      <c r="P272" s="453" t="s">
        <v>34</v>
      </c>
      <c r="Q272" s="454"/>
      <c r="R272" s="454"/>
      <c r="S272" s="454"/>
      <c r="T272" s="454"/>
      <c r="U272" s="454"/>
      <c r="V272" s="455"/>
      <c r="W272" s="42" t="s">
        <v>0</v>
      </c>
      <c r="X272" s="43">
        <f>IFERROR(SUM(BM22:BM268),"0")</f>
        <v>0</v>
      </c>
      <c r="Y272" s="43">
        <f>IFERROR(SUM(BN22:BN268),"0")</f>
        <v>0</v>
      </c>
      <c r="Z272" s="42"/>
      <c r="AA272" s="67"/>
      <c r="AB272" s="67"/>
      <c r="AC272" s="67"/>
    </row>
    <row r="273" spans="1:32" x14ac:dyDescent="0.2">
      <c r="A273" s="362"/>
      <c r="B273" s="362"/>
      <c r="C273" s="362"/>
      <c r="D273" s="362"/>
      <c r="E273" s="362"/>
      <c r="F273" s="362"/>
      <c r="G273" s="362"/>
      <c r="H273" s="362"/>
      <c r="I273" s="362"/>
      <c r="J273" s="362"/>
      <c r="K273" s="362"/>
      <c r="L273" s="362"/>
      <c r="M273" s="362"/>
      <c r="N273" s="362"/>
      <c r="O273" s="456"/>
      <c r="P273" s="453" t="s">
        <v>35</v>
      </c>
      <c r="Q273" s="454"/>
      <c r="R273" s="454"/>
      <c r="S273" s="454"/>
      <c r="T273" s="454"/>
      <c r="U273" s="454"/>
      <c r="V273" s="455"/>
      <c r="W273" s="42" t="s">
        <v>20</v>
      </c>
      <c r="X273" s="44">
        <f>ROUNDUP(SUM(BO22:BO268),0)</f>
        <v>0</v>
      </c>
      <c r="Y273" s="44">
        <f>ROUNDUP(SUM(BP22:BP268),0)</f>
        <v>0</v>
      </c>
      <c r="Z273" s="42"/>
      <c r="AA273" s="67"/>
      <c r="AB273" s="67"/>
      <c r="AC273" s="67"/>
    </row>
    <row r="274" spans="1:32" x14ac:dyDescent="0.2">
      <c r="A274" s="362"/>
      <c r="B274" s="362"/>
      <c r="C274" s="362"/>
      <c r="D274" s="362"/>
      <c r="E274" s="362"/>
      <c r="F274" s="362"/>
      <c r="G274" s="362"/>
      <c r="H274" s="362"/>
      <c r="I274" s="362"/>
      <c r="J274" s="362"/>
      <c r="K274" s="362"/>
      <c r="L274" s="362"/>
      <c r="M274" s="362"/>
      <c r="N274" s="362"/>
      <c r="O274" s="456"/>
      <c r="P274" s="453" t="s">
        <v>36</v>
      </c>
      <c r="Q274" s="454"/>
      <c r="R274" s="454"/>
      <c r="S274" s="454"/>
      <c r="T274" s="454"/>
      <c r="U274" s="454"/>
      <c r="V274" s="455"/>
      <c r="W274" s="42" t="s">
        <v>0</v>
      </c>
      <c r="X274" s="43">
        <f>GrossWeightTotal+PalletQtyTotal*25</f>
        <v>0</v>
      </c>
      <c r="Y274" s="43">
        <f>GrossWeightTotalR+PalletQtyTotalR*25</f>
        <v>0</v>
      </c>
      <c r="Z274" s="42"/>
      <c r="AA274" s="67"/>
      <c r="AB274" s="67"/>
      <c r="AC274" s="67"/>
    </row>
    <row r="275" spans="1:32" x14ac:dyDescent="0.2">
      <c r="A275" s="362"/>
      <c r="B275" s="362"/>
      <c r="C275" s="362"/>
      <c r="D275" s="362"/>
      <c r="E275" s="362"/>
      <c r="F275" s="362"/>
      <c r="G275" s="362"/>
      <c r="H275" s="362"/>
      <c r="I275" s="362"/>
      <c r="J275" s="362"/>
      <c r="K275" s="362"/>
      <c r="L275" s="362"/>
      <c r="M275" s="362"/>
      <c r="N275" s="362"/>
      <c r="O275" s="456"/>
      <c r="P275" s="453" t="s">
        <v>37</v>
      </c>
      <c r="Q275" s="454"/>
      <c r="R275" s="454"/>
      <c r="S275" s="454"/>
      <c r="T275" s="454"/>
      <c r="U275" s="454"/>
      <c r="V275" s="455"/>
      <c r="W275" s="42" t="s">
        <v>20</v>
      </c>
      <c r="X275" s="43">
        <f>IFERROR(X28+X34+X41+X48+X56+X61+X65+X70+X76+X82+X87+X93+X103+X109+X122+X126+X130+X136+X142+X148+X153+X158+X163+X168+X175+X183+X187+X193+X201+X206+X211+X216+X222+X228+X234+X238+X245+X250+X256+X269,"0")</f>
        <v>0</v>
      </c>
      <c r="Y275" s="43">
        <f>IFERROR(Y28+Y34+Y41+Y48+Y56+Y61+Y65+Y70+Y76+Y82+Y87+Y93+Y103+Y109+Y122+Y126+Y130+Y136+Y142+Y148+Y153+Y158+Y163+Y168+Y175+Y183+Y187+Y193+Y201+Y206+Y211+Y216+Y222+Y228+Y234+Y238+Y245+Y250+Y256+Y269,"0")</f>
        <v>0</v>
      </c>
      <c r="Z275" s="42"/>
      <c r="AA275" s="67"/>
      <c r="AB275" s="67"/>
      <c r="AC275" s="67"/>
    </row>
    <row r="276" spans="1:32" ht="14.25" x14ac:dyDescent="0.2">
      <c r="A276" s="362"/>
      <c r="B276" s="362"/>
      <c r="C276" s="362"/>
      <c r="D276" s="362"/>
      <c r="E276" s="362"/>
      <c r="F276" s="362"/>
      <c r="G276" s="362"/>
      <c r="H276" s="362"/>
      <c r="I276" s="362"/>
      <c r="J276" s="362"/>
      <c r="K276" s="362"/>
      <c r="L276" s="362"/>
      <c r="M276" s="362"/>
      <c r="N276" s="362"/>
      <c r="O276" s="456"/>
      <c r="P276" s="453" t="s">
        <v>38</v>
      </c>
      <c r="Q276" s="454"/>
      <c r="R276" s="454"/>
      <c r="S276" s="454"/>
      <c r="T276" s="454"/>
      <c r="U276" s="454"/>
      <c r="V276" s="455"/>
      <c r="W276" s="45" t="s">
        <v>52</v>
      </c>
      <c r="X276" s="42"/>
      <c r="Y276" s="42"/>
      <c r="Z276" s="42">
        <f>IFERROR(Z28+Z34+Z41+Z48+Z56+Z61+Z65+Z70+Z76+Z82+Z87+Z93+Z103+Z109+Z122+Z126+Z130+Z136+Z142+Z148+Z153+Z158+Z163+Z168+Z175+Z183+Z187+Z193+Z201+Z206+Z211+Z216+Z222+Z228+Z234+Z238+Z245+Z250+Z256+Z269,"0")</f>
        <v>0</v>
      </c>
      <c r="AA276" s="67"/>
      <c r="AB276" s="67"/>
      <c r="AC276" s="67"/>
    </row>
    <row r="277" spans="1:32" ht="13.5" thickBot="1" x14ac:dyDescent="0.25"/>
    <row r="278" spans="1:32" ht="27" thickTop="1" thickBot="1" x14ac:dyDescent="0.25">
      <c r="A278" s="46" t="s">
        <v>9</v>
      </c>
      <c r="B278" s="459" t="s">
        <v>80</v>
      </c>
      <c r="C278" s="459" t="s">
        <v>80</v>
      </c>
      <c r="D278" s="459" t="s">
        <v>45</v>
      </c>
      <c r="E278" s="459" t="s">
        <v>45</v>
      </c>
      <c r="F278" s="459" t="s">
        <v>45</v>
      </c>
      <c r="G278" s="459" t="s">
        <v>45</v>
      </c>
      <c r="H278" s="459" t="s">
        <v>45</v>
      </c>
      <c r="I278" s="459" t="s">
        <v>45</v>
      </c>
      <c r="J278" s="459" t="s">
        <v>45</v>
      </c>
      <c r="K278" s="459" t="s">
        <v>45</v>
      </c>
      <c r="L278" s="459" t="s">
        <v>45</v>
      </c>
      <c r="M278" s="459" t="s">
        <v>45</v>
      </c>
      <c r="N278" s="460"/>
      <c r="O278" s="459" t="s">
        <v>45</v>
      </c>
      <c r="P278" s="459" t="s">
        <v>45</v>
      </c>
      <c r="Q278" s="459" t="s">
        <v>45</v>
      </c>
      <c r="R278" s="459" t="s">
        <v>45</v>
      </c>
      <c r="S278" s="459" t="s">
        <v>45</v>
      </c>
      <c r="T278" s="459" t="s">
        <v>45</v>
      </c>
      <c r="U278" s="459" t="s">
        <v>45</v>
      </c>
      <c r="V278" s="88" t="s">
        <v>266</v>
      </c>
      <c r="W278" s="88" t="s">
        <v>274</v>
      </c>
      <c r="X278" s="459" t="s">
        <v>293</v>
      </c>
      <c r="Y278" s="459" t="s">
        <v>293</v>
      </c>
      <c r="Z278" s="459" t="s">
        <v>293</v>
      </c>
      <c r="AA278" s="88" t="s">
        <v>325</v>
      </c>
      <c r="AB278" s="88" t="s">
        <v>330</v>
      </c>
      <c r="AC278" s="88" t="s">
        <v>334</v>
      </c>
      <c r="AD278" s="88" t="s">
        <v>342</v>
      </c>
      <c r="AF278" s="1"/>
    </row>
    <row r="279" spans="1:32" ht="14.25" customHeight="1" thickTop="1" x14ac:dyDescent="0.2">
      <c r="A279" s="457" t="s">
        <v>10</v>
      </c>
      <c r="B279" s="459" t="s">
        <v>80</v>
      </c>
      <c r="C279" s="459" t="s">
        <v>99</v>
      </c>
      <c r="D279" s="459" t="s">
        <v>105</v>
      </c>
      <c r="E279" s="459" t="s">
        <v>116</v>
      </c>
      <c r="F279" s="459" t="s">
        <v>126</v>
      </c>
      <c r="G279" s="459" t="s">
        <v>137</v>
      </c>
      <c r="H279" s="459" t="s">
        <v>158</v>
      </c>
      <c r="I279" s="459" t="s">
        <v>167</v>
      </c>
      <c r="J279" s="459" t="s">
        <v>171</v>
      </c>
      <c r="K279" s="459" t="s">
        <v>179</v>
      </c>
      <c r="L279" s="459" t="s">
        <v>194</v>
      </c>
      <c r="M279" s="459" t="s">
        <v>200</v>
      </c>
      <c r="N279" s="1"/>
      <c r="O279" s="459" t="s">
        <v>232</v>
      </c>
      <c r="P279" s="459" t="s">
        <v>238</v>
      </c>
      <c r="Q279" s="459" t="s">
        <v>245</v>
      </c>
      <c r="R279" s="459" t="s">
        <v>250</v>
      </c>
      <c r="S279" s="459" t="s">
        <v>254</v>
      </c>
      <c r="T279" s="459" t="s">
        <v>257</v>
      </c>
      <c r="U279" s="459" t="s">
        <v>262</v>
      </c>
      <c r="V279" s="459" t="s">
        <v>267</v>
      </c>
      <c r="W279" s="459" t="s">
        <v>275</v>
      </c>
      <c r="X279" s="459" t="s">
        <v>294</v>
      </c>
      <c r="Y279" s="459" t="s">
        <v>312</v>
      </c>
      <c r="Z279" s="459" t="s">
        <v>316</v>
      </c>
      <c r="AA279" s="459" t="s">
        <v>326</v>
      </c>
      <c r="AB279" s="459" t="s">
        <v>331</v>
      </c>
      <c r="AC279" s="459" t="s">
        <v>335</v>
      </c>
      <c r="AD279" s="459" t="s">
        <v>342</v>
      </c>
      <c r="AF279" s="1"/>
    </row>
    <row r="280" spans="1:32" ht="13.5" thickBot="1" x14ac:dyDescent="0.25">
      <c r="A280" s="458"/>
      <c r="B280" s="459"/>
      <c r="C280" s="459"/>
      <c r="D280" s="459"/>
      <c r="E280" s="459"/>
      <c r="F280" s="459"/>
      <c r="G280" s="459"/>
      <c r="H280" s="459"/>
      <c r="I280" s="459"/>
      <c r="J280" s="459"/>
      <c r="K280" s="459"/>
      <c r="L280" s="459"/>
      <c r="M280" s="459"/>
      <c r="N280" s="1"/>
      <c r="O280" s="459"/>
      <c r="P280" s="459"/>
      <c r="Q280" s="459"/>
      <c r="R280" s="459"/>
      <c r="S280" s="459"/>
      <c r="T280" s="459"/>
      <c r="U280" s="459"/>
      <c r="V280" s="459"/>
      <c r="W280" s="459"/>
      <c r="X280" s="459"/>
      <c r="Y280" s="459"/>
      <c r="Z280" s="459"/>
      <c r="AA280" s="459"/>
      <c r="AB280" s="459"/>
      <c r="AC280" s="459"/>
      <c r="AD280" s="459"/>
      <c r="AF280" s="1"/>
    </row>
    <row r="281" spans="1:32" ht="18" thickTop="1" thickBot="1" x14ac:dyDescent="0.25">
      <c r="A281" s="46" t="s">
        <v>13</v>
      </c>
      <c r="B281" s="52">
        <f>IFERROR(X22*H22,"0")+IFERROR(X23*H23,"0")+IFERROR(X24*H24,"0")+IFERROR(X25*H25,"0")+IFERROR(X26*H26,"0")+IFERROR(X27*H27,"0")</f>
        <v>0</v>
      </c>
      <c r="C281" s="52">
        <f>IFERROR(X32*H32,"0")+IFERROR(X33*H33,"0")</f>
        <v>0</v>
      </c>
      <c r="D281" s="52">
        <f>IFERROR(X39*H39,"0")+IFERROR(X40*H40,"0")</f>
        <v>0</v>
      </c>
      <c r="E281" s="52">
        <f>IFERROR(X45*H45,"0")+IFERROR(X46*H46,"0")+IFERROR(X47*H47,"0")</f>
        <v>0</v>
      </c>
      <c r="F281" s="52">
        <f>IFERROR(X52*H52,"0")+IFERROR(X53*H53,"0")+IFERROR(X54*H54,"0")+IFERROR(X55*H55,"0")</f>
        <v>0</v>
      </c>
      <c r="G281" s="52">
        <f>IFERROR(X60*H60,"0")+IFERROR(X64*H64,"0")+IFERROR(X68*H68,"0")+IFERROR(X69*H69,"0")+IFERROR(X73*H73,"0")+IFERROR(X74*H74,"0")+IFERROR(X75*H75,"0")</f>
        <v>0</v>
      </c>
      <c r="H281" s="52">
        <f>IFERROR(X80*H80,"0")+IFERROR(X81*H81,"0")</f>
        <v>0</v>
      </c>
      <c r="I281" s="52">
        <f>IFERROR(X86*H86,"0")</f>
        <v>0</v>
      </c>
      <c r="J281" s="52">
        <f>IFERROR(X91*H91,"0")+IFERROR(X92*H92,"0")</f>
        <v>0</v>
      </c>
      <c r="K281" s="52">
        <f>IFERROR(X97*H97,"0")+IFERROR(X98*H98,"0")+IFERROR(X99*H99,"0")+IFERROR(X100*H100,"0")+IFERROR(X101*H101,"0")+IFERROR(X102*H102,"0")</f>
        <v>0</v>
      </c>
      <c r="L281" s="52">
        <f>IFERROR(X107*H107,"0")+IFERROR(X108*H108,"0")</f>
        <v>0</v>
      </c>
      <c r="M281" s="52">
        <f>IFERROR(X113*H113,"0")+IFERROR(X114*H114,"0")+IFERROR(X115*H115,"0")+IFERROR(X116*H116,"0")+IFERROR(X117*H117,"0")+IFERROR(X118*H118,"0")+IFERROR(X119*H119,"0")+IFERROR(X120*H120,"0")+IFERROR(X121*H121,"0")+IFERROR(X125*H125,"0")+IFERROR(X129*H129,"0")</f>
        <v>0</v>
      </c>
      <c r="N281" s="1"/>
      <c r="O281" s="52">
        <f>IFERROR(X134*H134,"0")+IFERROR(X135*H135,"0")</f>
        <v>0</v>
      </c>
      <c r="P281" s="52">
        <f>IFERROR(X140*H140,"0")+IFERROR(X141*H141,"0")</f>
        <v>0</v>
      </c>
      <c r="Q281" s="52">
        <f>IFERROR(X146*H146,"0")+IFERROR(X147*H147,"0")</f>
        <v>0</v>
      </c>
      <c r="R281" s="52">
        <f>IFERROR(X152*H152,"0")</f>
        <v>0</v>
      </c>
      <c r="S281" s="52">
        <f>IFERROR(X157*H157,"0")</f>
        <v>0</v>
      </c>
      <c r="T281" s="52">
        <f>IFERROR(X162*H162,"0")</f>
        <v>0</v>
      </c>
      <c r="U281" s="52">
        <f>IFERROR(X167*H167,"0")</f>
        <v>0</v>
      </c>
      <c r="V281" s="52">
        <f>IFERROR(X173*H173,"0")+IFERROR(X174*H174,"0")</f>
        <v>0</v>
      </c>
      <c r="W281" s="52">
        <f>IFERROR(X180*H180,"0")+IFERROR(X181*H181,"0")+IFERROR(X182*H182,"0")+IFERROR(X186*H186,"0")</f>
        <v>0</v>
      </c>
      <c r="X281" s="52">
        <f>IFERROR(X192*H192,"0")+IFERROR(X196*H196,"0")+IFERROR(X197*H197,"0")+IFERROR(X198*H198,"0")+IFERROR(X199*H199,"0")+IFERROR(X200*H200,"0")</f>
        <v>0</v>
      </c>
      <c r="Y281" s="52">
        <f>IFERROR(X205*H205,"0")</f>
        <v>0</v>
      </c>
      <c r="Z281" s="52">
        <f>IFERROR(X210*H210,"0")+IFERROR(X214*H214,"0")+IFERROR(X215*H215,"0")</f>
        <v>0</v>
      </c>
      <c r="AA281" s="52">
        <f>IFERROR(X221*H221,"0")</f>
        <v>0</v>
      </c>
      <c r="AB281" s="52">
        <f>IFERROR(X227*H227,"0")</f>
        <v>0</v>
      </c>
      <c r="AC281" s="52">
        <f>IFERROR(X233*H233,"0")+IFERROR(X237*H237,"0")</f>
        <v>0</v>
      </c>
      <c r="AD281" s="52">
        <f>IFERROR(X243*H243,"0")+IFERROR(X244*H244,"0")+IFERROR(X248*H248,"0")+IFERROR(X249*H249,"0")+IFERROR(X253*H253,"0")+IFERROR(X254*H254,"0")+IFERROR(X255*H255,"0")+IFERROR(X259*H259,"0")+IFERROR(X260*H260,"0")+IFERROR(X261*H261,"0")+IFERROR(X262*H262,"0")+IFERROR(X263*H263,"0")+IFERROR(X264*H264,"0")+IFERROR(X265*H265,"0")+IFERROR(X266*H266,"0")+IFERROR(X267*H267,"0")+IFERROR(X268*H268,"0")</f>
        <v>0</v>
      </c>
      <c r="AF281" s="1"/>
    </row>
    <row r="282" spans="1:32" ht="13.5" thickTop="1" x14ac:dyDescent="0.2">
      <c r="C282" s="1"/>
    </row>
    <row r="283" spans="1:32" ht="19.5" customHeight="1" x14ac:dyDescent="0.2">
      <c r="A283" s="70" t="s">
        <v>62</v>
      </c>
      <c r="B283" s="70" t="s">
        <v>63</v>
      </c>
      <c r="C283" s="70" t="s">
        <v>65</v>
      </c>
    </row>
    <row r="284" spans="1:32" x14ac:dyDescent="0.2">
      <c r="A284" s="71">
        <f>SUMPRODUCT(--(BB:BB="ЗПФ"),--(W:W="кор"),H:H,Y:Y)+SUMPRODUCT(--(BB:BB="ЗПФ"),--(W:W="кг"),Y:Y)</f>
        <v>0</v>
      </c>
      <c r="B284" s="72">
        <f>SUMPRODUCT(--(BB:BB="ПГП"),--(W:W="кор"),H:H,Y:Y)+SUMPRODUCT(--(BB:BB="ПГП"),--(W:W="кг"),Y:Y)</f>
        <v>0</v>
      </c>
      <c r="C284" s="72">
        <f>SUMPRODUCT(--(BB:BB="КИЗ"),--(W:W="кор"),H:H,Y:Y)+SUMPRODUCT(--(BB:BB="КИЗ"),--(W:W="кг"),Y:Y)</f>
        <v>0</v>
      </c>
    </row>
  </sheetData>
  <sheetProtection algorithmName="SHA-512" hashValue="jZXZaK3n+xIc4fE8ZyMC0jXRty5Nf8k3JyjzhLfT+hTqQlBnh8SBF5j/LzIqVhriZWRLVyMV4OGVqQmCp8HFgg==" saltValue="ZmZzm08LnX14R3cSKAGWy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9:W280"/>
    <mergeCell ref="X279:X280"/>
    <mergeCell ref="Y279:Y280"/>
    <mergeCell ref="Z279:Z280"/>
    <mergeCell ref="AA279:AA280"/>
    <mergeCell ref="AB279:AB280"/>
    <mergeCell ref="AC279:AC280"/>
    <mergeCell ref="AD279:AD280"/>
    <mergeCell ref="B278:C278"/>
    <mergeCell ref="D278:U278"/>
    <mergeCell ref="X278:Z278"/>
    <mergeCell ref="J279:J280"/>
    <mergeCell ref="K279:K280"/>
    <mergeCell ref="L279:L280"/>
    <mergeCell ref="M279:M280"/>
    <mergeCell ref="O279:O280"/>
    <mergeCell ref="P279:P280"/>
    <mergeCell ref="Q279:Q280"/>
    <mergeCell ref="R279:R280"/>
    <mergeCell ref="S279:S280"/>
    <mergeCell ref="T279:T280"/>
    <mergeCell ref="U279:U280"/>
    <mergeCell ref="V279:V280"/>
    <mergeCell ref="A279:A280"/>
    <mergeCell ref="B279:B280"/>
    <mergeCell ref="C279:C280"/>
    <mergeCell ref="D279:D280"/>
    <mergeCell ref="E279:E280"/>
    <mergeCell ref="F279:F280"/>
    <mergeCell ref="G279:G280"/>
    <mergeCell ref="H279:H280"/>
    <mergeCell ref="I279:I280"/>
    <mergeCell ref="D268:E268"/>
    <mergeCell ref="P268:T268"/>
    <mergeCell ref="P269:V269"/>
    <mergeCell ref="A269:O270"/>
    <mergeCell ref="P270:V270"/>
    <mergeCell ref="P271:V271"/>
    <mergeCell ref="A271:O276"/>
    <mergeCell ref="P272:V272"/>
    <mergeCell ref="P273:V273"/>
    <mergeCell ref="P274:V274"/>
    <mergeCell ref="P275:V275"/>
    <mergeCell ref="P276:V276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53:E253"/>
    <mergeCell ref="P253:T253"/>
    <mergeCell ref="D254:E254"/>
    <mergeCell ref="P254:T254"/>
    <mergeCell ref="D255:E255"/>
    <mergeCell ref="P255:T255"/>
    <mergeCell ref="P256:V256"/>
    <mergeCell ref="A256:O257"/>
    <mergeCell ref="P257:V257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A240:Z240"/>
    <mergeCell ref="A241:Z241"/>
    <mergeCell ref="A242:Z242"/>
    <mergeCell ref="D243:E243"/>
    <mergeCell ref="P243:T243"/>
    <mergeCell ref="D244:E244"/>
    <mergeCell ref="P244:T244"/>
    <mergeCell ref="P245:V245"/>
    <mergeCell ref="A245:O246"/>
    <mergeCell ref="P246:V246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:X268 X259 X255 X249 X243 X237 X233 X227 X221 X214:X215 X210 X205 X200 X198 X196 X192 X186 X180:X182 X173 X167 X162 X146:X147 X140 X129 X125 X120:X121 X117 X113:X114 X108 X97:X102 X91:X92 X80 X73:X75 X68:X69 X64 X60 X54:X55 X52 X45:X47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60:X263 X253:X254 X248 X244 X197 X174 X157 X152 X134:X135 X118:X119 X115 X107 X86 X53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81 X199 X141 X116" xr:uid="{00000000-0002-0000-0000-00002A000000}">
      <formula1>IF(AK81&gt;0,OR(X81=0,AND(IF(X81-AK81&gt;=0,TRUE,FALSE),X81&gt;0,IF(X81/J81=ROUND(X81/J81,0),TRUE,FALSE))),FALSE)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79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C7X2WZlWjwVEQDaEQ+VLTdUFFxQfrf2dFCS/ZXq9vi3ZVaYwGLu2KJAeblfvScBANQ9932NKHDc6GJsp2OR3Cw==" saltValue="enSJ9d4RcatFbPxK/Fnd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422</vt:i4>
      </vt:variant>
    </vt:vector>
  </HeadingPairs>
  <TitlesOfParts>
    <vt:vector size="42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