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E50D5EAE-9A11-4BBD-B415-18E38465C75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P274" i="2"/>
  <c r="BO274" i="2"/>
  <c r="BN274" i="2"/>
  <c r="BM274" i="2"/>
  <c r="Z274" i="2"/>
  <c r="Y274" i="2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Y260" i="2"/>
  <c r="X260" i="2"/>
  <c r="X259" i="2"/>
  <c r="BO258" i="2"/>
  <c r="BM258" i="2"/>
  <c r="Z258" i="2"/>
  <c r="Z259" i="2" s="1"/>
  <c r="Y258" i="2"/>
  <c r="Y259" i="2" s="1"/>
  <c r="P258" i="2"/>
  <c r="Y256" i="2"/>
  <c r="X256" i="2"/>
  <c r="X255" i="2"/>
  <c r="BP254" i="2"/>
  <c r="BO254" i="2"/>
  <c r="BM254" i="2"/>
  <c r="Z254" i="2"/>
  <c r="Y254" i="2"/>
  <c r="BN254" i="2" s="1"/>
  <c r="P254" i="2"/>
  <c r="BO253" i="2"/>
  <c r="BM253" i="2"/>
  <c r="Z253" i="2"/>
  <c r="Z255" i="2" s="1"/>
  <c r="Y253" i="2"/>
  <c r="BP253" i="2" s="1"/>
  <c r="P253" i="2"/>
  <c r="Y249" i="2"/>
  <c r="X249" i="2"/>
  <c r="Y248" i="2"/>
  <c r="X248" i="2"/>
  <c r="BP247" i="2"/>
  <c r="BO247" i="2"/>
  <c r="BN247" i="2"/>
  <c r="BM247" i="2"/>
  <c r="Z247" i="2"/>
  <c r="Z248" i="2" s="1"/>
  <c r="Y247" i="2"/>
  <c r="P247" i="2"/>
  <c r="X245" i="2"/>
  <c r="X244" i="2"/>
  <c r="BO243" i="2"/>
  <c r="BM243" i="2"/>
  <c r="Z243" i="2"/>
  <c r="Z244" i="2" s="1"/>
  <c r="Y243" i="2"/>
  <c r="BP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Z234" i="2"/>
  <c r="X234" i="2"/>
  <c r="BO233" i="2"/>
  <c r="BM233" i="2"/>
  <c r="Z233" i="2"/>
  <c r="Y233" i="2"/>
  <c r="Y234" i="2" s="1"/>
  <c r="P233" i="2"/>
  <c r="X229" i="2"/>
  <c r="X228" i="2"/>
  <c r="BO227" i="2"/>
  <c r="BM227" i="2"/>
  <c r="Z227" i="2"/>
  <c r="Z228" i="2" s="1"/>
  <c r="Y227" i="2"/>
  <c r="BN227" i="2" s="1"/>
  <c r="P227" i="2"/>
  <c r="X223" i="2"/>
  <c r="X222" i="2"/>
  <c r="BO221" i="2"/>
  <c r="BM221" i="2"/>
  <c r="Z221" i="2"/>
  <c r="Z222" i="2" s="1"/>
  <c r="Y221" i="2"/>
  <c r="Y222" i="2" s="1"/>
  <c r="P221" i="2"/>
  <c r="X218" i="2"/>
  <c r="Y217" i="2"/>
  <c r="X217" i="2"/>
  <c r="BP216" i="2"/>
  <c r="BO216" i="2"/>
  <c r="BN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BN211" i="2" s="1"/>
  <c r="P211" i="2"/>
  <c r="BP210" i="2"/>
  <c r="BO210" i="2"/>
  <c r="BN210" i="2"/>
  <c r="BM210" i="2"/>
  <c r="Z210" i="2"/>
  <c r="Y210" i="2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N204" i="2" s="1"/>
  <c r="P204" i="2"/>
  <c r="BO203" i="2"/>
  <c r="BM203" i="2"/>
  <c r="Z203" i="2"/>
  <c r="Z206" i="2" s="1"/>
  <c r="Y203" i="2"/>
  <c r="BP203" i="2" s="1"/>
  <c r="P203" i="2"/>
  <c r="X201" i="2"/>
  <c r="Y200" i="2"/>
  <c r="X200" i="2"/>
  <c r="BO199" i="2"/>
  <c r="BM199" i="2"/>
  <c r="Z199" i="2"/>
  <c r="Z200" i="2" s="1"/>
  <c r="Y199" i="2"/>
  <c r="BP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P190" i="2"/>
  <c r="BO190" i="2"/>
  <c r="BN190" i="2"/>
  <c r="BM190" i="2"/>
  <c r="Z190" i="2"/>
  <c r="Y190" i="2"/>
  <c r="P190" i="2"/>
  <c r="X186" i="2"/>
  <c r="X185" i="2"/>
  <c r="BO184" i="2"/>
  <c r="BM184" i="2"/>
  <c r="Z184" i="2"/>
  <c r="Z185" i="2" s="1"/>
  <c r="Y184" i="2"/>
  <c r="BP184" i="2" s="1"/>
  <c r="P184" i="2"/>
  <c r="Y181" i="2"/>
  <c r="X181" i="2"/>
  <c r="X180" i="2"/>
  <c r="BO179" i="2"/>
  <c r="BM179" i="2"/>
  <c r="Z179" i="2"/>
  <c r="Y179" i="2"/>
  <c r="BP179" i="2" s="1"/>
  <c r="P179" i="2"/>
  <c r="BO178" i="2"/>
  <c r="BM178" i="2"/>
  <c r="Z178" i="2"/>
  <c r="Z180" i="2" s="1"/>
  <c r="Y178" i="2"/>
  <c r="P178" i="2"/>
  <c r="X174" i="2"/>
  <c r="X173" i="2"/>
  <c r="BO172" i="2"/>
  <c r="BM172" i="2"/>
  <c r="Z172" i="2"/>
  <c r="Z173" i="2" s="1"/>
  <c r="Y172" i="2"/>
  <c r="Y174" i="2" s="1"/>
  <c r="P172" i="2"/>
  <c r="Y169" i="2"/>
  <c r="X169" i="2"/>
  <c r="Z168" i="2"/>
  <c r="X168" i="2"/>
  <c r="BO167" i="2"/>
  <c r="BM167" i="2"/>
  <c r="Z167" i="2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Z158" i="2" s="1"/>
  <c r="Y156" i="2"/>
  <c r="P156" i="2"/>
  <c r="X153" i="2"/>
  <c r="X152" i="2"/>
  <c r="BO151" i="2"/>
  <c r="BM151" i="2"/>
  <c r="Z151" i="2"/>
  <c r="Y151" i="2"/>
  <c r="BP151" i="2" s="1"/>
  <c r="P151" i="2"/>
  <c r="BO150" i="2"/>
  <c r="BN150" i="2"/>
  <c r="BM150" i="2"/>
  <c r="Z150" i="2"/>
  <c r="Y150" i="2"/>
  <c r="BP150" i="2" s="1"/>
  <c r="P150" i="2"/>
  <c r="BO149" i="2"/>
  <c r="BM149" i="2"/>
  <c r="Z149" i="2"/>
  <c r="Z152" i="2" s="1"/>
  <c r="Y149" i="2"/>
  <c r="Y153" i="2" s="1"/>
  <c r="P149" i="2"/>
  <c r="X146" i="2"/>
  <c r="X145" i="2"/>
  <c r="BO144" i="2"/>
  <c r="BM144" i="2"/>
  <c r="Z144" i="2"/>
  <c r="Y144" i="2"/>
  <c r="BN144" i="2" s="1"/>
  <c r="P144" i="2"/>
  <c r="BO143" i="2"/>
  <c r="BM143" i="2"/>
  <c r="Z143" i="2"/>
  <c r="Z145" i="2" s="1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BO136" i="2"/>
  <c r="BM136" i="2"/>
  <c r="Z136" i="2"/>
  <c r="Z139" i="2" s="1"/>
  <c r="Y136" i="2"/>
  <c r="Y139" i="2" s="1"/>
  <c r="P136" i="2"/>
  <c r="X134" i="2"/>
  <c r="X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P129" i="2"/>
  <c r="Y126" i="2"/>
  <c r="X126" i="2"/>
  <c r="X125" i="2"/>
  <c r="BO124" i="2"/>
  <c r="BM124" i="2"/>
  <c r="Z124" i="2"/>
  <c r="Z125" i="2" s="1"/>
  <c r="Y124" i="2"/>
  <c r="Y125" i="2" s="1"/>
  <c r="P124" i="2"/>
  <c r="X122" i="2"/>
  <c r="Y121" i="2"/>
  <c r="X121" i="2"/>
  <c r="BO120" i="2"/>
  <c r="BN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N116" i="2" s="1"/>
  <c r="P116" i="2"/>
  <c r="BP115" i="2"/>
  <c r="BO115" i="2"/>
  <c r="BN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Z109" i="2"/>
  <c r="Y109" i="2"/>
  <c r="Y118" i="2" s="1"/>
  <c r="P109" i="2"/>
  <c r="Y106" i="2"/>
  <c r="X106" i="2"/>
  <c r="X105" i="2"/>
  <c r="BO104" i="2"/>
  <c r="BM104" i="2"/>
  <c r="Z104" i="2"/>
  <c r="Y104" i="2"/>
  <c r="BP104" i="2" s="1"/>
  <c r="P104" i="2"/>
  <c r="BO103" i="2"/>
  <c r="BM103" i="2"/>
  <c r="Z103" i="2"/>
  <c r="Z105" i="2" s="1"/>
  <c r="Y103" i="2"/>
  <c r="BP103" i="2" s="1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N93" i="2"/>
  <c r="BM93" i="2"/>
  <c r="Z93" i="2"/>
  <c r="Y93" i="2"/>
  <c r="BP93" i="2" s="1"/>
  <c r="P93" i="2"/>
  <c r="X90" i="2"/>
  <c r="X89" i="2"/>
  <c r="BO88" i="2"/>
  <c r="BM88" i="2"/>
  <c r="Z88" i="2"/>
  <c r="Y88" i="2"/>
  <c r="Y89" i="2" s="1"/>
  <c r="P88" i="2"/>
  <c r="BP87" i="2"/>
  <c r="BO87" i="2"/>
  <c r="BN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Z78" i="2" s="1"/>
  <c r="Y76" i="2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Y67" i="2" s="1"/>
  <c r="P65" i="2"/>
  <c r="X63" i="2"/>
  <c r="X62" i="2"/>
  <c r="BO61" i="2"/>
  <c r="BM61" i="2"/>
  <c r="Z61" i="2"/>
  <c r="Z62" i="2" s="1"/>
  <c r="Y61" i="2"/>
  <c r="BN61" i="2" s="1"/>
  <c r="P61" i="2"/>
  <c r="X58" i="2"/>
  <c r="Y57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P54" i="2"/>
  <c r="BO54" i="2"/>
  <c r="BN54" i="2"/>
  <c r="BM54" i="2"/>
  <c r="Z54" i="2"/>
  <c r="Z57" i="2" s="1"/>
  <c r="Y54" i="2"/>
  <c r="P54" i="2"/>
  <c r="BO53" i="2"/>
  <c r="BM53" i="2"/>
  <c r="Z53" i="2"/>
  <c r="Y53" i="2"/>
  <c r="BP53" i="2" s="1"/>
  <c r="P53" i="2"/>
  <c r="Y50" i="2"/>
  <c r="X50" i="2"/>
  <c r="X49" i="2"/>
  <c r="BO48" i="2"/>
  <c r="BM48" i="2"/>
  <c r="Z48" i="2"/>
  <c r="Y48" i="2"/>
  <c r="BP48" i="2" s="1"/>
  <c r="P48" i="2"/>
  <c r="BO47" i="2"/>
  <c r="BM47" i="2"/>
  <c r="Z47" i="2"/>
  <c r="Z49" i="2" s="1"/>
  <c r="Y47" i="2"/>
  <c r="BP47" i="2" s="1"/>
  <c r="P47" i="2"/>
  <c r="X44" i="2"/>
  <c r="X43" i="2"/>
  <c r="BP42" i="2"/>
  <c r="BO42" i="2"/>
  <c r="BN42" i="2"/>
  <c r="BM42" i="2"/>
  <c r="Z42" i="2"/>
  <c r="Y42" i="2"/>
  <c r="P42" i="2"/>
  <c r="BO41" i="2"/>
  <c r="BM41" i="2"/>
  <c r="Z41" i="2"/>
  <c r="Z43" i="2" s="1"/>
  <c r="Y41" i="2"/>
  <c r="BP41" i="2" s="1"/>
  <c r="P41" i="2"/>
  <c r="X37" i="2"/>
  <c r="Z36" i="2"/>
  <c r="X36" i="2"/>
  <c r="BO35" i="2"/>
  <c r="BM35" i="2"/>
  <c r="Z35" i="2"/>
  <c r="Y35" i="2"/>
  <c r="BN35" i="2" s="1"/>
  <c r="P35" i="2"/>
  <c r="BO34" i="2"/>
  <c r="BM34" i="2"/>
  <c r="Z34" i="2"/>
  <c r="Y34" i="2"/>
  <c r="BN34" i="2" s="1"/>
  <c r="P34" i="2"/>
  <c r="X31" i="2"/>
  <c r="Y30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P27" i="2"/>
  <c r="BO27" i="2"/>
  <c r="BN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P22" i="2"/>
  <c r="BO22" i="2"/>
  <c r="BN22" i="2"/>
  <c r="BM22" i="2"/>
  <c r="Z22" i="2"/>
  <c r="Z30" i="2" s="1"/>
  <c r="Y22" i="2"/>
  <c r="P22" i="2"/>
  <c r="H10" i="2"/>
  <c r="A9" i="2"/>
  <c r="J9" i="2" s="1"/>
  <c r="D7" i="2"/>
  <c r="Q6" i="2"/>
  <c r="P2" i="2"/>
  <c r="X281" i="2" l="1"/>
  <c r="BP35" i="2"/>
  <c r="BN48" i="2"/>
  <c r="Y49" i="2"/>
  <c r="BP65" i="2"/>
  <c r="BP98" i="2"/>
  <c r="BN104" i="2"/>
  <c r="Y105" i="2"/>
  <c r="BN138" i="2"/>
  <c r="BP144" i="2"/>
  <c r="BN167" i="2"/>
  <c r="Y168" i="2"/>
  <c r="Y180" i="2"/>
  <c r="Z194" i="2"/>
  <c r="BN193" i="2"/>
  <c r="BP233" i="2"/>
  <c r="Z265" i="2"/>
  <c r="BN264" i="2"/>
  <c r="Z278" i="2"/>
  <c r="BN271" i="2"/>
  <c r="X280" i="2"/>
  <c r="X284" i="2"/>
  <c r="Y37" i="2"/>
  <c r="Y79" i="2"/>
  <c r="BP120" i="2"/>
  <c r="Y134" i="2"/>
  <c r="Y146" i="2"/>
  <c r="BP204" i="2"/>
  <c r="Y235" i="2"/>
  <c r="Y239" i="2"/>
  <c r="Y43" i="2"/>
  <c r="Y284" i="2" s="1"/>
  <c r="X282" i="2"/>
  <c r="X283" i="2" s="1"/>
  <c r="BP24" i="2"/>
  <c r="Y36" i="2"/>
  <c r="Y44" i="2"/>
  <c r="Y58" i="2"/>
  <c r="BN65" i="2"/>
  <c r="Y66" i="2"/>
  <c r="Z72" i="2"/>
  <c r="Y73" i="2"/>
  <c r="Y78" i="2"/>
  <c r="Z89" i="2"/>
  <c r="Z99" i="2"/>
  <c r="Z117" i="2"/>
  <c r="BP112" i="2"/>
  <c r="Z133" i="2"/>
  <c r="Y145" i="2"/>
  <c r="Y159" i="2"/>
  <c r="Y201" i="2"/>
  <c r="Y213" i="2"/>
  <c r="Z212" i="2"/>
  <c r="Y223" i="2"/>
  <c r="BN233" i="2"/>
  <c r="Y255" i="2"/>
  <c r="BP276" i="2"/>
  <c r="Z285" i="2"/>
  <c r="BN162" i="2"/>
  <c r="BP25" i="2"/>
  <c r="BP76" i="2"/>
  <c r="BP178" i="2"/>
  <c r="BP205" i="2"/>
  <c r="Y265" i="2"/>
  <c r="Y163" i="2"/>
  <c r="BN203" i="2"/>
  <c r="Y206" i="2"/>
  <c r="BP262" i="2"/>
  <c r="BP272" i="2"/>
  <c r="F9" i="2"/>
  <c r="BP28" i="2"/>
  <c r="BN41" i="2"/>
  <c r="BP55" i="2"/>
  <c r="Y83" i="2"/>
  <c r="BP94" i="2"/>
  <c r="BP116" i="2"/>
  <c r="BP129" i="2"/>
  <c r="BN151" i="2"/>
  <c r="Y185" i="2"/>
  <c r="Y195" i="2"/>
  <c r="Y212" i="2"/>
  <c r="Y228" i="2"/>
  <c r="Y244" i="2"/>
  <c r="Y266" i="2"/>
  <c r="BN275" i="2"/>
  <c r="Y278" i="2"/>
  <c r="Y31" i="2"/>
  <c r="BN269" i="2"/>
  <c r="BP156" i="2"/>
  <c r="BN184" i="2"/>
  <c r="BN88" i="2"/>
  <c r="BP136" i="2"/>
  <c r="BP162" i="2"/>
  <c r="BN191" i="2"/>
  <c r="Y140" i="2"/>
  <c r="BP211" i="2"/>
  <c r="BP227" i="2"/>
  <c r="BP277" i="2"/>
  <c r="BN23" i="2"/>
  <c r="BP88" i="2"/>
  <c r="BN111" i="2"/>
  <c r="BP34" i="2"/>
  <c r="BN47" i="2"/>
  <c r="BN71" i="2"/>
  <c r="BN157" i="2"/>
  <c r="BN172" i="2"/>
  <c r="BN103" i="2"/>
  <c r="BN114" i="2"/>
  <c r="Y117" i="2"/>
  <c r="BN137" i="2"/>
  <c r="BN179" i="2"/>
  <c r="Y207" i="2"/>
  <c r="BN221" i="2"/>
  <c r="BN237" i="2"/>
  <c r="BN253" i="2"/>
  <c r="Y99" i="2"/>
  <c r="BP96" i="2"/>
  <c r="Y100" i="2"/>
  <c r="Y194" i="2"/>
  <c r="BN53" i="2"/>
  <c r="A10" i="2"/>
  <c r="Y62" i="2"/>
  <c r="Y84" i="2"/>
  <c r="BP97" i="2"/>
  <c r="BN109" i="2"/>
  <c r="BP132" i="2"/>
  <c r="BN143" i="2"/>
  <c r="BP172" i="2"/>
  <c r="Y186" i="2"/>
  <c r="Y229" i="2"/>
  <c r="Y245" i="2"/>
  <c r="BN258" i="2"/>
  <c r="BP270" i="2"/>
  <c r="Y279" i="2"/>
  <c r="BN76" i="2"/>
  <c r="BN113" i="2"/>
  <c r="BN136" i="2"/>
  <c r="BN178" i="2"/>
  <c r="BN243" i="2"/>
  <c r="BN77" i="2"/>
  <c r="F10" i="2"/>
  <c r="BP26" i="2"/>
  <c r="Y90" i="2"/>
  <c r="BN124" i="2"/>
  <c r="BN149" i="2"/>
  <c r="Y152" i="2"/>
  <c r="BN192" i="2"/>
  <c r="BP221" i="2"/>
  <c r="BP237" i="2"/>
  <c r="BN263" i="2"/>
  <c r="BN273" i="2"/>
  <c r="BN56" i="2"/>
  <c r="BN69" i="2"/>
  <c r="Y72" i="2"/>
  <c r="BN95" i="2"/>
  <c r="BP109" i="2"/>
  <c r="BN130" i="2"/>
  <c r="Y133" i="2"/>
  <c r="Y158" i="2"/>
  <c r="Y173" i="2"/>
  <c r="BN199" i="2"/>
  <c r="BP258" i="2"/>
  <c r="BN268" i="2"/>
  <c r="BN29" i="2"/>
  <c r="Y63" i="2"/>
  <c r="BP124" i="2"/>
  <c r="BP149" i="2"/>
  <c r="BN70" i="2"/>
  <c r="BP70" i="2"/>
  <c r="BN82" i="2"/>
  <c r="BP131" i="2"/>
  <c r="BN129" i="2"/>
  <c r="H9" i="2"/>
  <c r="BP61" i="2"/>
  <c r="BN156" i="2"/>
  <c r="Y281" i="2" l="1"/>
  <c r="Y280" i="2"/>
  <c r="Y282" i="2"/>
  <c r="Y283" i="2"/>
  <c r="C293" i="2"/>
  <c r="B293" i="2"/>
  <c r="A293" i="2"/>
</calcChain>
</file>

<file path=xl/sharedStrings.xml><?xml version="1.0" encoding="utf-8"?>
<sst xmlns="http://schemas.openxmlformats.org/spreadsheetml/2006/main" count="1735" uniqueCount="406">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</sst>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46284</v>
      </c>
      <c r="R5" s="294"/>
      <c r="T5" s="295" t="s">
        <v>3</v>
      </c>
      <c r="U5" s="296"/>
      <c r="V5" s="297" t="s">
        <v>392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79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Суббота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80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0.375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74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75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76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77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78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customHeight="1" x14ac:dyDescent="0.2">
      <c r="A19" s="356" t="s">
        <v>81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customHeight="1" x14ac:dyDescent="0.25">
      <c r="A20" s="357" t="s">
        <v>81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customHeight="1" x14ac:dyDescent="0.25">
      <c r="A21" s="358" t="s">
        <v>82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7" t="s">
        <v>106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customHeight="1" x14ac:dyDescent="0.25">
      <c r="A33" s="358" t="s">
        <v>82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customHeight="1" x14ac:dyDescent="0.25">
      <c r="A39" s="357" t="s">
        <v>112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customHeight="1" x14ac:dyDescent="0.25">
      <c r="A40" s="358" t="s">
        <v>113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7" t="s">
        <v>123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customHeight="1" x14ac:dyDescent="0.25">
      <c r="A46" s="358" t="s">
        <v>82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7" t="s">
        <v>130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customHeight="1" x14ac:dyDescent="0.25">
      <c r="A52" s="358" t="s">
        <v>82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7" t="s">
        <v>141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customHeight="1" x14ac:dyDescent="0.25">
      <c r="A60" s="358" t="s">
        <v>113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8" t="s">
        <v>145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4301136015</v>
      </c>
      <c r="D65" s="359">
        <v>4607111037398</v>
      </c>
      <c r="E65" s="359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4"/>
      <c r="P66" s="370" t="s">
        <v>40</v>
      </c>
      <c r="Q66" s="371"/>
      <c r="R66" s="371"/>
      <c r="S66" s="371"/>
      <c r="T66" s="371"/>
      <c r="U66" s="371"/>
      <c r="V66" s="372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58" t="s">
        <v>149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66"/>
      <c r="AB68" s="66"/>
      <c r="AC68" s="83"/>
    </row>
    <row r="69" spans="1:68" ht="27" customHeight="1" x14ac:dyDescent="0.25">
      <c r="A69" s="63" t="s">
        <v>150</v>
      </c>
      <c r="B69" s="63" t="s">
        <v>151</v>
      </c>
      <c r="C69" s="36">
        <v>4301135664</v>
      </c>
      <c r="D69" s="359">
        <v>4607111039705</v>
      </c>
      <c r="E69" s="359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1"/>
      <c r="R69" s="361"/>
      <c r="S69" s="361"/>
      <c r="T69" s="36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59">
        <v>4607111039729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59">
        <v>4620207490228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4"/>
      <c r="P72" s="370" t="s">
        <v>40</v>
      </c>
      <c r="Q72" s="371"/>
      <c r="R72" s="371"/>
      <c r="S72" s="371"/>
      <c r="T72" s="371"/>
      <c r="U72" s="371"/>
      <c r="V72" s="372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57" t="s">
        <v>157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65"/>
      <c r="AB74" s="65"/>
      <c r="AC74" s="82"/>
    </row>
    <row r="75" spans="1:68" ht="14.25" customHeight="1" x14ac:dyDescent="0.25">
      <c r="A75" s="358" t="s">
        <v>82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66"/>
      <c r="AB75" s="66"/>
      <c r="AC75" s="83"/>
    </row>
    <row r="76" spans="1:68" ht="27" customHeight="1" x14ac:dyDescent="0.25">
      <c r="A76" s="63" t="s">
        <v>158</v>
      </c>
      <c r="B76" s="63" t="s">
        <v>159</v>
      </c>
      <c r="C76" s="36">
        <v>4301070977</v>
      </c>
      <c r="D76" s="359">
        <v>4607111037411</v>
      </c>
      <c r="E76" s="359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1"/>
      <c r="R76" s="361"/>
      <c r="S76" s="361"/>
      <c r="T76" s="362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59">
        <v>4607111036728</v>
      </c>
      <c r="E77" s="359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3"/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4"/>
      <c r="P78" s="370" t="s">
        <v>40</v>
      </c>
      <c r="Q78" s="371"/>
      <c r="R78" s="371"/>
      <c r="S78" s="371"/>
      <c r="T78" s="371"/>
      <c r="U78" s="371"/>
      <c r="V78" s="372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57" t="s">
        <v>164</v>
      </c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  <c r="AA80" s="65"/>
      <c r="AB80" s="65"/>
      <c r="AC80" s="82"/>
    </row>
    <row r="81" spans="1:68" ht="14.25" customHeight="1" x14ac:dyDescent="0.25">
      <c r="A81" s="358" t="s">
        <v>149</v>
      </c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4301135574</v>
      </c>
      <c r="D82" s="359">
        <v>4607111033659</v>
      </c>
      <c r="E82" s="359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119</v>
      </c>
      <c r="M82" s="38" t="s">
        <v>86</v>
      </c>
      <c r="N82" s="38"/>
      <c r="O82" s="37">
        <v>180</v>
      </c>
      <c r="P82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61"/>
      <c r="R82" s="361"/>
      <c r="S82" s="361"/>
      <c r="T82" s="362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120</v>
      </c>
      <c r="AK82" s="87">
        <v>14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4"/>
      <c r="P83" s="370" t="s">
        <v>40</v>
      </c>
      <c r="Q83" s="371"/>
      <c r="R83" s="371"/>
      <c r="S83" s="371"/>
      <c r="T83" s="371"/>
      <c r="U83" s="371"/>
      <c r="V83" s="372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57" t="s">
        <v>168</v>
      </c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65"/>
      <c r="AB85" s="65"/>
      <c r="AC85" s="82"/>
    </row>
    <row r="86" spans="1:68" ht="14.25" customHeight="1" x14ac:dyDescent="0.25">
      <c r="A86" s="358" t="s">
        <v>169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59">
        <v>4607111034120</v>
      </c>
      <c r="E87" s="35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1"/>
      <c r="R87" s="361"/>
      <c r="S87" s="361"/>
      <c r="T87" s="362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59">
        <v>4607111034137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3"/>
      <c r="B89" s="373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4"/>
      <c r="P89" s="370" t="s">
        <v>40</v>
      </c>
      <c r="Q89" s="371"/>
      <c r="R89" s="371"/>
      <c r="S89" s="371"/>
      <c r="T89" s="371"/>
      <c r="U89" s="371"/>
      <c r="V89" s="372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57" t="s">
        <v>176</v>
      </c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65"/>
      <c r="AB91" s="65"/>
      <c r="AC91" s="82"/>
    </row>
    <row r="92" spans="1:68" ht="14.25" customHeight="1" x14ac:dyDescent="0.25">
      <c r="A92" s="358" t="s">
        <v>149</v>
      </c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59">
        <v>4620207491027</v>
      </c>
      <c r="E93" s="35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1"/>
      <c r="R93" s="361"/>
      <c r="S93" s="361"/>
      <c r="T93" s="362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167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4301135914</v>
      </c>
      <c r="D94" s="359">
        <v>4620207491621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181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182</v>
      </c>
      <c r="B95" s="63" t="s">
        <v>183</v>
      </c>
      <c r="C95" s="36">
        <v>4301135990</v>
      </c>
      <c r="D95" s="359">
        <v>4620207491881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181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184</v>
      </c>
      <c r="B96" s="63" t="s">
        <v>185</v>
      </c>
      <c r="C96" s="36">
        <v>4301135920</v>
      </c>
      <c r="D96" s="359">
        <v>4620207491577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181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4301135984</v>
      </c>
      <c r="D97" s="359">
        <v>4620207491874</v>
      </c>
      <c r="E97" s="359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9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181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4301135285</v>
      </c>
      <c r="D98" s="359">
        <v>4607111036407</v>
      </c>
      <c r="E98" s="359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190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4"/>
      <c r="P99" s="370" t="s">
        <v>40</v>
      </c>
      <c r="Q99" s="371"/>
      <c r="R99" s="371"/>
      <c r="S99" s="371"/>
      <c r="T99" s="371"/>
      <c r="U99" s="371"/>
      <c r="V99" s="372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57" t="s">
        <v>191</v>
      </c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65"/>
      <c r="AB101" s="65"/>
      <c r="AC101" s="82"/>
    </row>
    <row r="102" spans="1:68" ht="14.25" customHeight="1" x14ac:dyDescent="0.25">
      <c r="A102" s="358" t="s">
        <v>145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66"/>
      <c r="AB102" s="66"/>
      <c r="AC102" s="83"/>
    </row>
    <row r="103" spans="1:68" ht="27" customHeight="1" x14ac:dyDescent="0.25">
      <c r="A103" s="63" t="s">
        <v>192</v>
      </c>
      <c r="B103" s="63" t="s">
        <v>193</v>
      </c>
      <c r="C103" s="36">
        <v>4301136101</v>
      </c>
      <c r="D103" s="359">
        <v>4620207491652</v>
      </c>
      <c r="E103" s="359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1"/>
      <c r="R103" s="361"/>
      <c r="S103" s="361"/>
      <c r="T103" s="362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194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4301136103</v>
      </c>
      <c r="D104" s="359">
        <v>4620207491645</v>
      </c>
      <c r="E104" s="359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0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73"/>
      <c r="B105" s="373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4"/>
      <c r="P105" s="370" t="s">
        <v>40</v>
      </c>
      <c r="Q105" s="371"/>
      <c r="R105" s="371"/>
      <c r="S105" s="371"/>
      <c r="T105" s="371"/>
      <c r="U105" s="371"/>
      <c r="V105" s="372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57" t="s">
        <v>197</v>
      </c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65"/>
      <c r="AB107" s="65"/>
      <c r="AC107" s="82"/>
    </row>
    <row r="108" spans="1:68" ht="14.25" customHeight="1" x14ac:dyDescent="0.25">
      <c r="A108" s="358" t="s">
        <v>82</v>
      </c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4301071074</v>
      </c>
      <c r="D109" s="359">
        <v>4620207491157</v>
      </c>
      <c r="E109" s="359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1"/>
      <c r="R109" s="361"/>
      <c r="S109" s="361"/>
      <c r="T109" s="36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6" si="12">IFERROR(IF(X109="","",X109),"")</f>
        <v>0</v>
      </c>
      <c r="Z109" s="41">
        <f t="shared" ref="Z109:Z116" si="13">IFERROR(IF(X109="","",X109*0.0155),"")</f>
        <v>0</v>
      </c>
      <c r="AA109" s="68" t="s">
        <v>46</v>
      </c>
      <c r="AB109" s="69" t="s">
        <v>46</v>
      </c>
      <c r="AC109" s="161" t="s">
        <v>200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0</v>
      </c>
      <c r="BN109" s="81">
        <f t="shared" ref="BN109:BN116" si="15">IFERROR(Y109*I109,"0")</f>
        <v>0</v>
      </c>
      <c r="BO109" s="81">
        <f t="shared" ref="BO109:BO116" si="16">IFERROR(X109/J109,"0")</f>
        <v>0</v>
      </c>
      <c r="BP109" s="81">
        <f t="shared" ref="BP109:BP116" si="17"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4301071121</v>
      </c>
      <c r="D110" s="359">
        <v>4620207491393</v>
      </c>
      <c r="E110" s="359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4301071051</v>
      </c>
      <c r="D111" s="359">
        <v>4607111039262</v>
      </c>
      <c r="E111" s="359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206</v>
      </c>
      <c r="B112" s="63" t="s">
        <v>207</v>
      </c>
      <c r="C112" s="36">
        <v>4301071038</v>
      </c>
      <c r="D112" s="359">
        <v>4607111039248</v>
      </c>
      <c r="E112" s="359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208</v>
      </c>
      <c r="B113" s="63" t="s">
        <v>209</v>
      </c>
      <c r="C113" s="36">
        <v>4301070979</v>
      </c>
      <c r="D113" s="359">
        <v>4607111037145</v>
      </c>
      <c r="E113" s="359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210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4301071075</v>
      </c>
      <c r="D114" s="359">
        <v>4620207491102</v>
      </c>
      <c r="E114" s="359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4301071049</v>
      </c>
      <c r="D115" s="359">
        <v>4607111039293</v>
      </c>
      <c r="E115" s="35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4301071039</v>
      </c>
      <c r="D116" s="359">
        <v>4607111039279</v>
      </c>
      <c r="E116" s="35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61"/>
      <c r="R116" s="361"/>
      <c r="S116" s="361"/>
      <c r="T116" s="36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4"/>
      <c r="P117" s="370" t="s">
        <v>40</v>
      </c>
      <c r="Q117" s="371"/>
      <c r="R117" s="371"/>
      <c r="S117" s="371"/>
      <c r="T117" s="371"/>
      <c r="U117" s="371"/>
      <c r="V117" s="372"/>
      <c r="W117" s="42" t="s">
        <v>39</v>
      </c>
      <c r="X117" s="43">
        <f>IFERROR(SUM(X109:X116),"0")</f>
        <v>0</v>
      </c>
      <c r="Y117" s="43">
        <f>IFERROR(SUM(Y109:Y116),"0")</f>
        <v>0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0</v>
      </c>
      <c r="X118" s="43">
        <f>IFERROR(SUMPRODUCT(X109:X116*H109:H116),"0")</f>
        <v>0</v>
      </c>
      <c r="Y118" s="43">
        <f>IFERROR(SUMPRODUCT(Y109:Y116*H109:H116),"0")</f>
        <v>0</v>
      </c>
      <c r="Z118" s="42"/>
      <c r="AA118" s="67"/>
      <c r="AB118" s="67"/>
      <c r="AC118" s="67"/>
    </row>
    <row r="119" spans="1:68" ht="14.25" customHeight="1" x14ac:dyDescent="0.25">
      <c r="A119" s="358" t="s">
        <v>149</v>
      </c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66"/>
      <c r="AB119" s="66"/>
      <c r="AC119" s="83"/>
    </row>
    <row r="120" spans="1:68" ht="27" customHeight="1" x14ac:dyDescent="0.25">
      <c r="A120" s="63" t="s">
        <v>218</v>
      </c>
      <c r="B120" s="63" t="s">
        <v>219</v>
      </c>
      <c r="C120" s="36">
        <v>4301135826</v>
      </c>
      <c r="D120" s="359">
        <v>4620207490983</v>
      </c>
      <c r="E120" s="359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61"/>
      <c r="R120" s="361"/>
      <c r="S120" s="361"/>
      <c r="T120" s="362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220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x14ac:dyDescent="0.2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4"/>
      <c r="P121" s="370" t="s">
        <v>40</v>
      </c>
      <c r="Q121" s="371"/>
      <c r="R121" s="371"/>
      <c r="S121" s="371"/>
      <c r="T121" s="371"/>
      <c r="U121" s="371"/>
      <c r="V121" s="372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customHeight="1" x14ac:dyDescent="0.25">
      <c r="A123" s="358" t="s">
        <v>221</v>
      </c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4301071094</v>
      </c>
      <c r="D124" s="359">
        <v>4620207491140</v>
      </c>
      <c r="E124" s="359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61"/>
      <c r="R124" s="361"/>
      <c r="S124" s="361"/>
      <c r="T124" s="36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4"/>
      <c r="P125" s="370" t="s">
        <v>40</v>
      </c>
      <c r="Q125" s="371"/>
      <c r="R125" s="371"/>
      <c r="S125" s="371"/>
      <c r="T125" s="371"/>
      <c r="U125" s="371"/>
      <c r="V125" s="372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4"/>
      <c r="P126" s="370" t="s">
        <v>40</v>
      </c>
      <c r="Q126" s="371"/>
      <c r="R126" s="371"/>
      <c r="S126" s="371"/>
      <c r="T126" s="371"/>
      <c r="U126" s="371"/>
      <c r="V126" s="372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customHeight="1" x14ac:dyDescent="0.25">
      <c r="A127" s="357" t="s">
        <v>225</v>
      </c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65"/>
      <c r="AB127" s="65"/>
      <c r="AC127" s="82"/>
    </row>
    <row r="128" spans="1:68" ht="14.25" customHeight="1" x14ac:dyDescent="0.25">
      <c r="A128" s="358" t="s">
        <v>149</v>
      </c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4301135848</v>
      </c>
      <c r="D129" s="359">
        <v>4620207491799</v>
      </c>
      <c r="E129" s="35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61"/>
      <c r="R129" s="361"/>
      <c r="S129" s="361"/>
      <c r="T129" s="36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228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229</v>
      </c>
      <c r="B130" s="63" t="s">
        <v>230</v>
      </c>
      <c r="C130" s="36">
        <v>4301135850</v>
      </c>
      <c r="D130" s="359">
        <v>4620207491492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228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231</v>
      </c>
      <c r="B131" s="63" t="s">
        <v>232</v>
      </c>
      <c r="C131" s="36">
        <v>4301190118</v>
      </c>
      <c r="D131" s="359">
        <v>4620207491461</v>
      </c>
      <c r="E131" s="35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228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233</v>
      </c>
      <c r="B132" s="63" t="s">
        <v>234</v>
      </c>
      <c r="C132" s="36">
        <v>4301135865</v>
      </c>
      <c r="D132" s="359">
        <v>4620207491485</v>
      </c>
      <c r="E132" s="35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228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4"/>
      <c r="P133" s="370" t="s">
        <v>40</v>
      </c>
      <c r="Q133" s="371"/>
      <c r="R133" s="371"/>
      <c r="S133" s="371"/>
      <c r="T133" s="371"/>
      <c r="U133" s="371"/>
      <c r="V133" s="372"/>
      <c r="W133" s="42" t="s">
        <v>39</v>
      </c>
      <c r="X133" s="43">
        <f>IFERROR(SUM(X129:X132),"0")</f>
        <v>0</v>
      </c>
      <c r="Y133" s="43">
        <f>IFERROR(SUM(Y129:Y132),"0")</f>
        <v>0</v>
      </c>
      <c r="Z133" s="43">
        <f>IFERROR(IF(Z129="",0,Z129),"0")+IFERROR(IF(Z130="",0,Z130),"0")+IFERROR(IF(Z131="",0,Z131),"0")+IFERROR(IF(Z132="",0,Z132),"0")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0</v>
      </c>
      <c r="X134" s="43">
        <f>IFERROR(SUMPRODUCT(X129:X132*H129:H132),"0")</f>
        <v>0</v>
      </c>
      <c r="Y134" s="43">
        <f>IFERROR(SUMPRODUCT(Y129:Y132*H129:H132),"0")</f>
        <v>0</v>
      </c>
      <c r="Z134" s="42"/>
      <c r="AA134" s="67"/>
      <c r="AB134" s="67"/>
      <c r="AC134" s="67"/>
    </row>
    <row r="135" spans="1:68" ht="14.25" customHeight="1" x14ac:dyDescent="0.25">
      <c r="A135" s="358" t="s">
        <v>235</v>
      </c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66"/>
      <c r="AB135" s="66"/>
      <c r="AC135" s="83"/>
    </row>
    <row r="136" spans="1:68" ht="27" customHeight="1" x14ac:dyDescent="0.25">
      <c r="A136" s="63" t="s">
        <v>236</v>
      </c>
      <c r="B136" s="63" t="s">
        <v>237</v>
      </c>
      <c r="C136" s="36">
        <v>4301190117</v>
      </c>
      <c r="D136" s="359">
        <v>4620207491386</v>
      </c>
      <c r="E136" s="35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61"/>
      <c r="R136" s="361"/>
      <c r="S136" s="361"/>
      <c r="T136" s="36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238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239</v>
      </c>
      <c r="B137" s="63" t="s">
        <v>240</v>
      </c>
      <c r="C137" s="36">
        <v>4301190115</v>
      </c>
      <c r="D137" s="359">
        <v>4620207491362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241</v>
      </c>
      <c r="B138" s="63" t="s">
        <v>242</v>
      </c>
      <c r="C138" s="36">
        <v>4301190116</v>
      </c>
      <c r="D138" s="359">
        <v>4620207491379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238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4"/>
      <c r="P139" s="370" t="s">
        <v>40</v>
      </c>
      <c r="Q139" s="371"/>
      <c r="R139" s="371"/>
      <c r="S139" s="371"/>
      <c r="T139" s="371"/>
      <c r="U139" s="371"/>
      <c r="V139" s="372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customHeight="1" x14ac:dyDescent="0.25">
      <c r="A141" s="357" t="s">
        <v>243</v>
      </c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65"/>
      <c r="AB141" s="65"/>
      <c r="AC141" s="82"/>
    </row>
    <row r="142" spans="1:68" ht="14.25" customHeight="1" x14ac:dyDescent="0.25">
      <c r="A142" s="358" t="s">
        <v>149</v>
      </c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66"/>
      <c r="AB142" s="66"/>
      <c r="AC142" s="83"/>
    </row>
    <row r="143" spans="1:68" ht="27" customHeight="1" x14ac:dyDescent="0.25">
      <c r="A143" s="63" t="s">
        <v>244</v>
      </c>
      <c r="B143" s="63" t="s">
        <v>245</v>
      </c>
      <c r="C143" s="36">
        <v>4301135555</v>
      </c>
      <c r="D143" s="359">
        <v>4607111034014</v>
      </c>
      <c r="E143" s="35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61"/>
      <c r="R143" s="361"/>
      <c r="S143" s="361"/>
      <c r="T143" s="362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246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247</v>
      </c>
      <c r="B144" s="63" t="s">
        <v>248</v>
      </c>
      <c r="C144" s="36">
        <v>4301135962</v>
      </c>
      <c r="D144" s="359">
        <v>4620207491584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249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4"/>
      <c r="P145" s="370" t="s">
        <v>40</v>
      </c>
      <c r="Q145" s="371"/>
      <c r="R145" s="371"/>
      <c r="S145" s="371"/>
      <c r="T145" s="371"/>
      <c r="U145" s="371"/>
      <c r="V145" s="372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57" t="s">
        <v>250</v>
      </c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65"/>
      <c r="AB147" s="65"/>
      <c r="AC147" s="82"/>
    </row>
    <row r="148" spans="1:68" ht="14.25" customHeight="1" x14ac:dyDescent="0.25">
      <c r="A148" s="358" t="s">
        <v>149</v>
      </c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66"/>
      <c r="AB148" s="66"/>
      <c r="AC148" s="83"/>
    </row>
    <row r="149" spans="1:68" ht="27" customHeight="1" x14ac:dyDescent="0.25">
      <c r="A149" s="63" t="s">
        <v>251</v>
      </c>
      <c r="B149" s="63" t="s">
        <v>252</v>
      </c>
      <c r="C149" s="36">
        <v>4301135824</v>
      </c>
      <c r="D149" s="359">
        <v>4607111039095</v>
      </c>
      <c r="E149" s="35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61"/>
      <c r="R149" s="361"/>
      <c r="S149" s="361"/>
      <c r="T149" s="362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253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27" customHeight="1" x14ac:dyDescent="0.25">
      <c r="A150" s="63" t="s">
        <v>254</v>
      </c>
      <c r="B150" s="63" t="s">
        <v>255</v>
      </c>
      <c r="C150" s="36">
        <v>4301135954</v>
      </c>
      <c r="D150" s="359">
        <v>4620207491768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42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256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257</v>
      </c>
      <c r="B151" s="63" t="s">
        <v>258</v>
      </c>
      <c r="C151" s="36">
        <v>4301135946</v>
      </c>
      <c r="D151" s="359">
        <v>4620207491553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256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IFERROR(SUM(X149:X151),"0")</f>
        <v>0</v>
      </c>
      <c r="Y152" s="43">
        <f>IFERROR(SUM(Y149:Y151),"0")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IFERROR(SUMPRODUCT(X149:X151*H149:H151),"0")</f>
        <v>0</v>
      </c>
      <c r="Y153" s="43">
        <f>IFERROR(SUMPRODUCT(Y149:Y151*H149:H151),"0")</f>
        <v>0</v>
      </c>
      <c r="Z153" s="42"/>
      <c r="AA153" s="67"/>
      <c r="AB153" s="67"/>
      <c r="AC153" s="67"/>
    </row>
    <row r="154" spans="1:68" ht="16.5" customHeight="1" x14ac:dyDescent="0.25">
      <c r="A154" s="357" t="s">
        <v>259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customHeight="1" x14ac:dyDescent="0.25">
      <c r="A155" s="358" t="s">
        <v>149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59">
        <v>4620207490914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246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262</v>
      </c>
      <c r="B157" s="63" t="s">
        <v>263</v>
      </c>
      <c r="C157" s="36">
        <v>4301135932</v>
      </c>
      <c r="D157" s="359">
        <v>4620207491676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57" t="s">
        <v>265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customHeight="1" x14ac:dyDescent="0.25">
      <c r="A161" s="358" t="s">
        <v>149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59">
        <v>4620207491614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2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268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7" t="s">
        <v>269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customHeight="1" x14ac:dyDescent="0.25">
      <c r="A166" s="358" t="s">
        <v>149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customHeight="1" x14ac:dyDescent="0.25">
      <c r="A167" s="63" t="s">
        <v>270</v>
      </c>
      <c r="B167" s="63" t="s">
        <v>271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57" t="s">
        <v>272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customHeight="1" x14ac:dyDescent="0.25">
      <c r="A171" s="358" t="s">
        <v>149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4301135591</v>
      </c>
      <c r="D172" s="359">
        <v>4607111036568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275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56" t="s">
        <v>276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customHeight="1" x14ac:dyDescent="0.25">
      <c r="A176" s="357" t="s">
        <v>277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customHeight="1" x14ac:dyDescent="0.25">
      <c r="A177" s="358" t="s">
        <v>82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16.5" customHeight="1" x14ac:dyDescent="0.25">
      <c r="A178" s="63" t="s">
        <v>278</v>
      </c>
      <c r="B178" s="63" t="s">
        <v>279</v>
      </c>
      <c r="C178" s="36">
        <v>4301071062</v>
      </c>
      <c r="D178" s="359">
        <v>4607111036384</v>
      </c>
      <c r="E178" s="35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87</v>
      </c>
      <c r="L178" s="37" t="s">
        <v>119</v>
      </c>
      <c r="M178" s="38" t="s">
        <v>86</v>
      </c>
      <c r="N178" s="38"/>
      <c r="O178" s="37">
        <v>180</v>
      </c>
      <c r="P178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120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281</v>
      </c>
      <c r="B179" s="63" t="s">
        <v>282</v>
      </c>
      <c r="C179" s="36">
        <v>4301071050</v>
      </c>
      <c r="D179" s="359">
        <v>4607111036216</v>
      </c>
      <c r="E179" s="35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1"/>
      <c r="R179" s="361"/>
      <c r="S179" s="361"/>
      <c r="T179" s="36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283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57" t="s">
        <v>284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5"/>
      <c r="AB182" s="65"/>
      <c r="AC182" s="82"/>
    </row>
    <row r="183" spans="1:68" ht="14.25" customHeight="1" x14ac:dyDescent="0.25">
      <c r="A183" s="358" t="s">
        <v>82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customHeight="1" x14ac:dyDescent="0.25">
      <c r="A184" s="63" t="s">
        <v>285</v>
      </c>
      <c r="B184" s="63" t="s">
        <v>286</v>
      </c>
      <c r="C184" s="36">
        <v>4301071117</v>
      </c>
      <c r="D184" s="359">
        <v>4620207491737</v>
      </c>
      <c r="E184" s="35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283</v>
      </c>
      <c r="AG184" s="81"/>
      <c r="AJ184" s="87" t="s">
        <v>89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56" t="s">
        <v>287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54"/>
      <c r="AB187" s="54"/>
      <c r="AC187" s="54"/>
    </row>
    <row r="188" spans="1:68" ht="16.5" customHeight="1" x14ac:dyDescent="0.25">
      <c r="A188" s="357" t="s">
        <v>288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5"/>
      <c r="AB188" s="65"/>
      <c r="AC188" s="82"/>
    </row>
    <row r="189" spans="1:68" ht="14.25" customHeight="1" x14ac:dyDescent="0.25">
      <c r="A189" s="358" t="s">
        <v>113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66"/>
      <c r="AB189" s="66"/>
      <c r="AC189" s="83"/>
    </row>
    <row r="190" spans="1:68" ht="16.5" customHeight="1" x14ac:dyDescent="0.25">
      <c r="A190" s="63" t="s">
        <v>289</v>
      </c>
      <c r="B190" s="63" t="s">
        <v>290</v>
      </c>
      <c r="C190" s="36">
        <v>4301132179</v>
      </c>
      <c r="D190" s="359">
        <v>4607111035691</v>
      </c>
      <c r="E190" s="35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118</v>
      </c>
      <c r="L190" s="37" t="s">
        <v>119</v>
      </c>
      <c r="M190" s="38" t="s">
        <v>86</v>
      </c>
      <c r="N190" s="38"/>
      <c r="O190" s="37">
        <v>365</v>
      </c>
      <c r="P190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291</v>
      </c>
      <c r="AG190" s="81"/>
      <c r="AJ190" s="87" t="s">
        <v>120</v>
      </c>
      <c r="AK190" s="87">
        <v>14</v>
      </c>
      <c r="BB190" s="222" t="s">
        <v>117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292</v>
      </c>
      <c r="B191" s="63" t="s">
        <v>293</v>
      </c>
      <c r="C191" s="36">
        <v>4301132182</v>
      </c>
      <c r="D191" s="359">
        <v>4607111035721</v>
      </c>
      <c r="E191" s="35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1"/>
      <c r="R191" s="361"/>
      <c r="S191" s="361"/>
      <c r="T191" s="36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294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295</v>
      </c>
      <c r="B192" s="63" t="s">
        <v>296</v>
      </c>
      <c r="C192" s="36">
        <v>4301132170</v>
      </c>
      <c r="D192" s="359">
        <v>4607111038487</v>
      </c>
      <c r="E192" s="35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180</v>
      </c>
      <c r="P192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1"/>
      <c r="R192" s="361"/>
      <c r="S192" s="361"/>
      <c r="T192" s="36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297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298</v>
      </c>
      <c r="B193" s="63" t="s">
        <v>299</v>
      </c>
      <c r="C193" s="36">
        <v>4301132243</v>
      </c>
      <c r="D193" s="359">
        <v>4620207491195</v>
      </c>
      <c r="E193" s="35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300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56" t="s">
        <v>301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customHeight="1" x14ac:dyDescent="0.25">
      <c r="A197" s="357" t="s">
        <v>302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customHeight="1" x14ac:dyDescent="0.25">
      <c r="A198" s="358" t="s">
        <v>113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27" customHeight="1" x14ac:dyDescent="0.25">
      <c r="A199" s="63" t="s">
        <v>303</v>
      </c>
      <c r="B199" s="63" t="s">
        <v>304</v>
      </c>
      <c r="C199" s="36">
        <v>4301132227</v>
      </c>
      <c r="D199" s="359">
        <v>4620207491133</v>
      </c>
      <c r="E199" s="35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118</v>
      </c>
      <c r="L199" s="37" t="s">
        <v>119</v>
      </c>
      <c r="M199" s="38" t="s">
        <v>86</v>
      </c>
      <c r="N199" s="38"/>
      <c r="O199" s="37">
        <v>180</v>
      </c>
      <c r="P199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305</v>
      </c>
      <c r="AG199" s="81"/>
      <c r="AJ199" s="87" t="s">
        <v>120</v>
      </c>
      <c r="AK199" s="87">
        <v>14</v>
      </c>
      <c r="BB199" s="230" t="s">
        <v>117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4"/>
      <c r="P200" s="370" t="s">
        <v>40</v>
      </c>
      <c r="Q200" s="371"/>
      <c r="R200" s="371"/>
      <c r="S200" s="371"/>
      <c r="T200" s="371"/>
      <c r="U200" s="371"/>
      <c r="V200" s="372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4"/>
      <c r="P201" s="370" t="s">
        <v>40</v>
      </c>
      <c r="Q201" s="371"/>
      <c r="R201" s="371"/>
      <c r="S201" s="371"/>
      <c r="T201" s="371"/>
      <c r="U201" s="371"/>
      <c r="V201" s="372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58" t="s">
        <v>149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6"/>
      <c r="AB202" s="66"/>
      <c r="AC202" s="83"/>
    </row>
    <row r="203" spans="1:68" ht="27" customHeight="1" x14ac:dyDescent="0.25">
      <c r="A203" s="63" t="s">
        <v>306</v>
      </c>
      <c r="B203" s="63" t="s">
        <v>307</v>
      </c>
      <c r="C203" s="36">
        <v>4301135834</v>
      </c>
      <c r="D203" s="359">
        <v>4620207491188</v>
      </c>
      <c r="E203" s="35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118</v>
      </c>
      <c r="L203" s="37" t="s">
        <v>88</v>
      </c>
      <c r="M203" s="38" t="s">
        <v>86</v>
      </c>
      <c r="N203" s="38"/>
      <c r="O203" s="37">
        <v>180</v>
      </c>
      <c r="P203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308</v>
      </c>
      <c r="AG203" s="81"/>
      <c r="AJ203" s="87" t="s">
        <v>89</v>
      </c>
      <c r="AK203" s="87">
        <v>1</v>
      </c>
      <c r="BB203" s="232" t="s">
        <v>117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309</v>
      </c>
      <c r="B204" s="63" t="s">
        <v>310</v>
      </c>
      <c r="C204" s="36">
        <v>4301135696</v>
      </c>
      <c r="D204" s="359">
        <v>4620207490235</v>
      </c>
      <c r="E204" s="35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311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312</v>
      </c>
      <c r="B205" s="63" t="s">
        <v>313</v>
      </c>
      <c r="C205" s="36">
        <v>4301135697</v>
      </c>
      <c r="D205" s="359">
        <v>4620207490259</v>
      </c>
      <c r="E205" s="35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1"/>
      <c r="R205" s="361"/>
      <c r="S205" s="361"/>
      <c r="T205" s="36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314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4"/>
      <c r="P207" s="370" t="s">
        <v>40</v>
      </c>
      <c r="Q207" s="371"/>
      <c r="R207" s="371"/>
      <c r="S207" s="371"/>
      <c r="T207" s="371"/>
      <c r="U207" s="371"/>
      <c r="V207" s="372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57" t="s">
        <v>315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customHeight="1" x14ac:dyDescent="0.25">
      <c r="A209" s="358" t="s">
        <v>149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customHeight="1" x14ac:dyDescent="0.25">
      <c r="A210" s="63" t="s">
        <v>316</v>
      </c>
      <c r="B210" s="63" t="s">
        <v>317</v>
      </c>
      <c r="C210" s="36">
        <v>4301135854</v>
      </c>
      <c r="D210" s="359">
        <v>4620207491706</v>
      </c>
      <c r="E210" s="35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88</v>
      </c>
      <c r="M210" s="38" t="s">
        <v>86</v>
      </c>
      <c r="N210" s="38"/>
      <c r="O210" s="37">
        <v>180</v>
      </c>
      <c r="P210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318</v>
      </c>
      <c r="AG210" s="81"/>
      <c r="AJ210" s="87" t="s">
        <v>89</v>
      </c>
      <c r="AK210" s="87">
        <v>1</v>
      </c>
      <c r="BB210" s="238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319</v>
      </c>
      <c r="B211" s="63" t="s">
        <v>320</v>
      </c>
      <c r="C211" s="36">
        <v>4301135895</v>
      </c>
      <c r="D211" s="359">
        <v>4620207491522</v>
      </c>
      <c r="E211" s="35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1"/>
      <c r="R211" s="361"/>
      <c r="S211" s="361"/>
      <c r="T211" s="36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321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4"/>
      <c r="P213" s="370" t="s">
        <v>40</v>
      </c>
      <c r="Q213" s="371"/>
      <c r="R213" s="371"/>
      <c r="S213" s="371"/>
      <c r="T213" s="371"/>
      <c r="U213" s="371"/>
      <c r="V213" s="372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57" t="s">
        <v>322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5"/>
      <c r="AB214" s="65"/>
      <c r="AC214" s="82"/>
    </row>
    <row r="215" spans="1:68" ht="14.25" customHeight="1" x14ac:dyDescent="0.25">
      <c r="A215" s="358" t="s">
        <v>82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66"/>
      <c r="AB215" s="66"/>
      <c r="AC215" s="83"/>
    </row>
    <row r="216" spans="1:68" ht="27" customHeight="1" x14ac:dyDescent="0.25">
      <c r="A216" s="63" t="s">
        <v>323</v>
      </c>
      <c r="B216" s="63" t="s">
        <v>324</v>
      </c>
      <c r="C216" s="36">
        <v>4301071097</v>
      </c>
      <c r="D216" s="359">
        <v>4620207491096</v>
      </c>
      <c r="E216" s="35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87</v>
      </c>
      <c r="L216" s="37" t="s">
        <v>119</v>
      </c>
      <c r="M216" s="38" t="s">
        <v>86</v>
      </c>
      <c r="N216" s="38"/>
      <c r="O216" s="37">
        <v>180</v>
      </c>
      <c r="P216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325</v>
      </c>
      <c r="AG216" s="81"/>
      <c r="AJ216" s="87" t="s">
        <v>120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57" t="s">
        <v>326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customHeight="1" x14ac:dyDescent="0.25">
      <c r="A220" s="358" t="s">
        <v>149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4301135694</v>
      </c>
      <c r="D221" s="359">
        <v>4620207490501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118</v>
      </c>
      <c r="L221" s="37" t="s">
        <v>88</v>
      </c>
      <c r="M221" s="38" t="s">
        <v>86</v>
      </c>
      <c r="N221" s="38"/>
      <c r="O221" s="37">
        <v>180</v>
      </c>
      <c r="P221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329</v>
      </c>
      <c r="AG221" s="81"/>
      <c r="AJ221" s="87" t="s">
        <v>89</v>
      </c>
      <c r="AK221" s="87">
        <v>1</v>
      </c>
      <c r="BB221" s="244" t="s">
        <v>117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56" t="s">
        <v>330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54"/>
      <c r="AB224" s="54"/>
      <c r="AC224" s="54"/>
    </row>
    <row r="225" spans="1:68" ht="16.5" customHeight="1" x14ac:dyDescent="0.25">
      <c r="A225" s="357" t="s">
        <v>331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customHeight="1" x14ac:dyDescent="0.25">
      <c r="A226" s="358" t="s">
        <v>82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4301071036</v>
      </c>
      <c r="D227" s="359">
        <v>4607111036162</v>
      </c>
      <c r="E227" s="35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87</v>
      </c>
      <c r="L227" s="37" t="s">
        <v>88</v>
      </c>
      <c r="M227" s="38" t="s">
        <v>86</v>
      </c>
      <c r="N227" s="38"/>
      <c r="O227" s="37">
        <v>90</v>
      </c>
      <c r="P227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334</v>
      </c>
      <c r="AG227" s="81"/>
      <c r="AJ227" s="87" t="s">
        <v>89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56" t="s">
        <v>335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customHeight="1" x14ac:dyDescent="0.25">
      <c r="A231" s="357" t="s">
        <v>336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customHeight="1" x14ac:dyDescent="0.25">
      <c r="A232" s="358" t="s">
        <v>337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customHeight="1" x14ac:dyDescent="0.25">
      <c r="A233" s="63" t="s">
        <v>338</v>
      </c>
      <c r="B233" s="63" t="s">
        <v>339</v>
      </c>
      <c r="C233" s="36">
        <v>4301133004</v>
      </c>
      <c r="D233" s="359">
        <v>4607111039774</v>
      </c>
      <c r="E233" s="35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118</v>
      </c>
      <c r="L233" s="37" t="s">
        <v>88</v>
      </c>
      <c r="M233" s="38" t="s">
        <v>86</v>
      </c>
      <c r="N233" s="38"/>
      <c r="O233" s="37">
        <v>180</v>
      </c>
      <c r="P233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340</v>
      </c>
      <c r="AG233" s="81"/>
      <c r="AJ233" s="87" t="s">
        <v>89</v>
      </c>
      <c r="AK233" s="87">
        <v>1</v>
      </c>
      <c r="BB233" s="248" t="s">
        <v>117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58" t="s">
        <v>149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37.5" customHeight="1" x14ac:dyDescent="0.25">
      <c r="A237" s="63" t="s">
        <v>341</v>
      </c>
      <c r="B237" s="63" t="s">
        <v>342</v>
      </c>
      <c r="C237" s="36">
        <v>4301135400</v>
      </c>
      <c r="D237" s="359">
        <v>4607111039361</v>
      </c>
      <c r="E237" s="35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118</v>
      </c>
      <c r="L237" s="37" t="s">
        <v>88</v>
      </c>
      <c r="M237" s="38" t="s">
        <v>86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340</v>
      </c>
      <c r="AG237" s="81"/>
      <c r="AJ237" s="87" t="s">
        <v>89</v>
      </c>
      <c r="AK237" s="87">
        <v>1</v>
      </c>
      <c r="BB237" s="250" t="s">
        <v>117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6" t="s">
        <v>343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54"/>
      <c r="AB240" s="54"/>
      <c r="AC240" s="54"/>
    </row>
    <row r="241" spans="1:68" ht="16.5" customHeight="1" x14ac:dyDescent="0.25">
      <c r="A241" s="357" t="s">
        <v>343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5"/>
      <c r="AB241" s="65"/>
      <c r="AC241" s="82"/>
    </row>
    <row r="242" spans="1:68" ht="14.25" customHeight="1" x14ac:dyDescent="0.25">
      <c r="A242" s="358" t="s">
        <v>113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27" customHeight="1" x14ac:dyDescent="0.25">
      <c r="A243" s="63" t="s">
        <v>344</v>
      </c>
      <c r="B243" s="63" t="s">
        <v>345</v>
      </c>
      <c r="C243" s="36">
        <v>4301132228</v>
      </c>
      <c r="D243" s="359">
        <v>4640242181950</v>
      </c>
      <c r="E243" s="35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365</v>
      </c>
      <c r="P243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346</v>
      </c>
      <c r="AG243" s="81"/>
      <c r="AJ243" s="87" t="s">
        <v>89</v>
      </c>
      <c r="AK243" s="87">
        <v>1</v>
      </c>
      <c r="BB243" s="252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58" t="s">
        <v>145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customHeight="1" x14ac:dyDescent="0.25">
      <c r="A247" s="63" t="s">
        <v>347</v>
      </c>
      <c r="B247" s="63" t="s">
        <v>348</v>
      </c>
      <c r="C247" s="36">
        <v>4301136098</v>
      </c>
      <c r="D247" s="359">
        <v>4640242181943</v>
      </c>
      <c r="E247" s="359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349</v>
      </c>
      <c r="AG247" s="81"/>
      <c r="AJ247" s="87" t="s">
        <v>89</v>
      </c>
      <c r="AK247" s="87">
        <v>1</v>
      </c>
      <c r="BB247" s="254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6" t="s">
        <v>350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54"/>
      <c r="AB250" s="54"/>
      <c r="AC250" s="54"/>
    </row>
    <row r="251" spans="1:68" ht="16.5" customHeight="1" x14ac:dyDescent="0.25">
      <c r="A251" s="357" t="s">
        <v>350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5"/>
      <c r="AB251" s="65"/>
      <c r="AC251" s="82"/>
    </row>
    <row r="252" spans="1:68" ht="14.25" customHeight="1" x14ac:dyDescent="0.25">
      <c r="A252" s="358" t="s">
        <v>82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customHeight="1" x14ac:dyDescent="0.25">
      <c r="A253" s="63" t="s">
        <v>351</v>
      </c>
      <c r="B253" s="63" t="s">
        <v>352</v>
      </c>
      <c r="C253" s="36">
        <v>4301071014</v>
      </c>
      <c r="D253" s="359">
        <v>4640242181264</v>
      </c>
      <c r="E253" s="35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87</v>
      </c>
      <c r="L253" s="37" t="s">
        <v>88</v>
      </c>
      <c r="M253" s="38" t="s">
        <v>86</v>
      </c>
      <c r="N253" s="38"/>
      <c r="O253" s="37">
        <v>180</v>
      </c>
      <c r="P253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353</v>
      </c>
      <c r="AG253" s="81"/>
      <c r="AJ253" s="87" t="s">
        <v>89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354</v>
      </c>
      <c r="B254" s="63" t="s">
        <v>355</v>
      </c>
      <c r="C254" s="36">
        <v>4301071141</v>
      </c>
      <c r="D254" s="359">
        <v>4620207491980</v>
      </c>
      <c r="E254" s="359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61"/>
      <c r="R254" s="361"/>
      <c r="S254" s="361"/>
      <c r="T254" s="36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356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4"/>
      <c r="P256" s="370" t="s">
        <v>40</v>
      </c>
      <c r="Q256" s="371"/>
      <c r="R256" s="371"/>
      <c r="S256" s="371"/>
      <c r="T256" s="371"/>
      <c r="U256" s="371"/>
      <c r="V256" s="37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58" t="s">
        <v>113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6"/>
      <c r="AB257" s="66"/>
      <c r="AC257" s="83"/>
    </row>
    <row r="258" spans="1:68" ht="27" customHeight="1" x14ac:dyDescent="0.25">
      <c r="A258" s="63" t="s">
        <v>357</v>
      </c>
      <c r="B258" s="63" t="s">
        <v>358</v>
      </c>
      <c r="C258" s="36">
        <v>4301132080</v>
      </c>
      <c r="D258" s="359">
        <v>4640242180397</v>
      </c>
      <c r="E258" s="359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87</v>
      </c>
      <c r="L258" s="37" t="s">
        <v>119</v>
      </c>
      <c r="M258" s="38" t="s">
        <v>86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359</v>
      </c>
      <c r="AG258" s="81"/>
      <c r="AJ258" s="87" t="s">
        <v>120</v>
      </c>
      <c r="AK258" s="87">
        <v>12</v>
      </c>
      <c r="BB258" s="260" t="s">
        <v>117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58" t="s">
        <v>145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customHeight="1" x14ac:dyDescent="0.25">
      <c r="A262" s="63" t="s">
        <v>360</v>
      </c>
      <c r="B262" s="63" t="s">
        <v>361</v>
      </c>
      <c r="C262" s="36">
        <v>4301136051</v>
      </c>
      <c r="D262" s="359">
        <v>4640242180304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118</v>
      </c>
      <c r="L262" s="37" t="s">
        <v>119</v>
      </c>
      <c r="M262" s="38" t="s">
        <v>86</v>
      </c>
      <c r="N262" s="38"/>
      <c r="O262" s="37">
        <v>180</v>
      </c>
      <c r="P262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362</v>
      </c>
      <c r="AG262" s="81"/>
      <c r="AJ262" s="87" t="s">
        <v>120</v>
      </c>
      <c r="AK262" s="87">
        <v>14</v>
      </c>
      <c r="BB262" s="262" t="s">
        <v>117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4301136053</v>
      </c>
      <c r="D263" s="359">
        <v>4640242180236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87</v>
      </c>
      <c r="L263" s="37" t="s">
        <v>119</v>
      </c>
      <c r="M263" s="38" t="s">
        <v>86</v>
      </c>
      <c r="N263" s="38"/>
      <c r="O263" s="37">
        <v>180</v>
      </c>
      <c r="P26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12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365</v>
      </c>
      <c r="B264" s="63" t="s">
        <v>366</v>
      </c>
      <c r="C264" s="36">
        <v>4301136052</v>
      </c>
      <c r="D264" s="359">
        <v>4640242180410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58" t="s">
        <v>149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37.5" customHeight="1" x14ac:dyDescent="0.25">
      <c r="A268" s="63" t="s">
        <v>367</v>
      </c>
      <c r="B268" s="63" t="s">
        <v>368</v>
      </c>
      <c r="C268" s="36">
        <v>4301135504</v>
      </c>
      <c r="D268" s="359">
        <v>4640242181554</v>
      </c>
      <c r="E268" s="359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369</v>
      </c>
      <c r="AG268" s="81"/>
      <c r="AJ268" s="87" t="s">
        <v>89</v>
      </c>
      <c r="AK268" s="87">
        <v>1</v>
      </c>
      <c r="BB268" s="268" t="s">
        <v>117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4301135518</v>
      </c>
      <c r="D269" s="359">
        <v>4640242181561</v>
      </c>
      <c r="E269" s="35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118</v>
      </c>
      <c r="L269" s="37" t="s">
        <v>119</v>
      </c>
      <c r="M269" s="38" t="s">
        <v>86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372</v>
      </c>
      <c r="AG269" s="81"/>
      <c r="AJ269" s="87" t="s">
        <v>120</v>
      </c>
      <c r="AK269" s="87">
        <v>14</v>
      </c>
      <c r="BB269" s="270" t="s">
        <v>117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373</v>
      </c>
      <c r="B270" s="63" t="s">
        <v>374</v>
      </c>
      <c r="C270" s="36">
        <v>4301135374</v>
      </c>
      <c r="D270" s="359">
        <v>4640242181424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87</v>
      </c>
      <c r="L270" s="37" t="s">
        <v>119</v>
      </c>
      <c r="M270" s="38" t="s">
        <v>86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369</v>
      </c>
      <c r="AG270" s="81"/>
      <c r="AJ270" s="87" t="s">
        <v>120</v>
      </c>
      <c r="AK270" s="87">
        <v>12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375</v>
      </c>
      <c r="B271" s="63" t="s">
        <v>376</v>
      </c>
      <c r="C271" s="36">
        <v>4301135405</v>
      </c>
      <c r="D271" s="359">
        <v>4640242181523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7" si="23">IFERROR(IF(X271="","",X271*0.00936),"")</f>
        <v>0</v>
      </c>
      <c r="AA271" s="68" t="s">
        <v>46</v>
      </c>
      <c r="AB271" s="69" t="s">
        <v>46</v>
      </c>
      <c r="AC271" s="273" t="s">
        <v>372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377</v>
      </c>
      <c r="B272" s="63" t="s">
        <v>378</v>
      </c>
      <c r="C272" s="36">
        <v>4301135375</v>
      </c>
      <c r="D272" s="359">
        <v>4640242181486</v>
      </c>
      <c r="E272" s="35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369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379</v>
      </c>
      <c r="B273" s="63" t="s">
        <v>380</v>
      </c>
      <c r="C273" s="36">
        <v>4301135402</v>
      </c>
      <c r="D273" s="359">
        <v>4640242181493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88</v>
      </c>
      <c r="M273" s="38" t="s">
        <v>86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89</v>
      </c>
      <c r="AK273" s="87">
        <v>1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381</v>
      </c>
      <c r="B274" s="63" t="s">
        <v>382</v>
      </c>
      <c r="C274" s="36">
        <v>4301135403</v>
      </c>
      <c r="D274" s="359">
        <v>4640242181509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383</v>
      </c>
      <c r="B275" s="63" t="s">
        <v>384</v>
      </c>
      <c r="C275" s="36">
        <v>4301135304</v>
      </c>
      <c r="D275" s="359">
        <v>4640242181240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385</v>
      </c>
      <c r="B276" s="63" t="s">
        <v>386</v>
      </c>
      <c r="C276" s="36">
        <v>4301135610</v>
      </c>
      <c r="D276" s="359">
        <v>4640242181318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387</v>
      </c>
      <c r="B277" s="63" t="s">
        <v>388</v>
      </c>
      <c r="C277" s="36">
        <v>4301137012</v>
      </c>
      <c r="D277" s="359">
        <v>4620207491935</v>
      </c>
      <c r="E277" s="359"/>
      <c r="F277" s="62">
        <v>0.3</v>
      </c>
      <c r="G277" s="37">
        <v>9</v>
      </c>
      <c r="H277" s="62">
        <v>2.7</v>
      </c>
      <c r="I277" s="62">
        <v>2.9249999999999998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389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69"/>
      <c r="P280" s="466" t="s">
        <v>33</v>
      </c>
      <c r="Q280" s="467"/>
      <c r="R280" s="467"/>
      <c r="S280" s="467"/>
      <c r="T280" s="467"/>
      <c r="U280" s="467"/>
      <c r="V280" s="468"/>
      <c r="W280" s="42" t="s">
        <v>0</v>
      </c>
      <c r="X280" s="43">
        <f>IFERROR(X31+X37+X44+X50+X58+X63+X67+X73+X79+X84+X90+X100+X106+X118+X122+X126+X134+X140+X146+X153+X159+X164+X169+X174+X181+X186+X195+X201+X207+X213+X218+X223+X229+X235+X239+X245+X249+X256+X260+X266+X279,"0")</f>
        <v>0</v>
      </c>
      <c r="Y280" s="43">
        <f>IFERROR(Y31+Y37+Y44+Y50+Y58+Y63+Y67+Y73+Y79+Y84+Y90+Y100+Y106+Y118+Y122+Y126+Y134+Y140+Y146+Y153+Y159+Y164+Y169+Y174+Y181+Y186+Y195+Y201+Y207+Y213+Y218+Y223+Y229+Y235+Y239+Y245+Y249+Y256+Y260+Y266+Y279,"0")</f>
        <v>0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69"/>
      <c r="P281" s="466" t="s">
        <v>34</v>
      </c>
      <c r="Q281" s="467"/>
      <c r="R281" s="467"/>
      <c r="S281" s="467"/>
      <c r="T281" s="467"/>
      <c r="U281" s="467"/>
      <c r="V281" s="468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69"/>
      <c r="P282" s="466" t="s">
        <v>35</v>
      </c>
      <c r="Q282" s="467"/>
      <c r="R282" s="467"/>
      <c r="S282" s="467"/>
      <c r="T282" s="467"/>
      <c r="U282" s="467"/>
      <c r="V282" s="468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69"/>
      <c r="P283" s="466" t="s">
        <v>36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69"/>
      <c r="P284" s="466" t="s">
        <v>37</v>
      </c>
      <c r="Q284" s="467"/>
      <c r="R284" s="467"/>
      <c r="S284" s="467"/>
      <c r="T284" s="467"/>
      <c r="U284" s="467"/>
      <c r="V284" s="468"/>
      <c r="W284" s="42" t="s">
        <v>20</v>
      </c>
      <c r="X284" s="43">
        <f>IFERROR(X30+X36+X43+X49+X57+X62+X66+X72+X78+X83+X89+X99+X105+X117+X121+X125+X133+X139+X145+X152+X158+X163+X168+X173+X180+X185+X194+X200+X206+X212+X217+X222+X228+X234+X238+X244+X248+X255+X259+X265+X278,"0")</f>
        <v>0</v>
      </c>
      <c r="Y284" s="43">
        <f>IFERROR(Y30+Y36+Y43+Y49+Y57+Y62+Y66+Y72+Y78+Y83+Y89+Y99+Y105+Y117+Y121+Y125+Y133+Y139+Y145+Y152+Y158+Y163+Y168+Y173+Y180+Y185+Y194+Y200+Y206+Y212+Y217+Y222+Y228+Y234+Y238+Y244+Y248+Y255+Y259+Y265+Y278,"0")</f>
        <v>0</v>
      </c>
      <c r="Z284" s="42"/>
      <c r="AA284" s="67"/>
      <c r="AB284" s="67"/>
      <c r="AC284" s="67"/>
    </row>
    <row r="285" spans="1:68" ht="14.25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69"/>
      <c r="P285" s="466" t="s">
        <v>38</v>
      </c>
      <c r="Q285" s="467"/>
      <c r="R285" s="467"/>
      <c r="S285" s="467"/>
      <c r="T285" s="467"/>
      <c r="U285" s="467"/>
      <c r="V285" s="468"/>
      <c r="W285" s="45" t="s">
        <v>52</v>
      </c>
      <c r="X285" s="42"/>
      <c r="Y285" s="42"/>
      <c r="Z285" s="42">
        <f>IFERROR(Z30+Z36+Z43+Z49+Z57+Z62+Z66+Z72+Z78+Z83+Z89+Z99+Z105+Z117+Z121+Z125+Z133+Z139+Z145+Z152+Z158+Z163+Z168+Z173+Z180+Z185+Z194+Z200+Z206+Z212+Z217+Z222+Z228+Z234+Z238+Z244+Z248+Z255+Z259+Z265+Z278,"0")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0" t="s">
        <v>81</v>
      </c>
      <c r="C287" s="470" t="s">
        <v>81</v>
      </c>
      <c r="D287" s="470" t="s">
        <v>45</v>
      </c>
      <c r="E287" s="470" t="s">
        <v>45</v>
      </c>
      <c r="F287" s="470" t="s">
        <v>45</v>
      </c>
      <c r="G287" s="470" t="s">
        <v>45</v>
      </c>
      <c r="H287" s="470" t="s">
        <v>45</v>
      </c>
      <c r="I287" s="470" t="s">
        <v>45</v>
      </c>
      <c r="J287" s="470" t="s">
        <v>45</v>
      </c>
      <c r="K287" s="470" t="s">
        <v>45</v>
      </c>
      <c r="L287" s="470" t="s">
        <v>45</v>
      </c>
      <c r="M287" s="470" t="s">
        <v>45</v>
      </c>
      <c r="N287" s="471"/>
      <c r="O287" s="470" t="s">
        <v>45</v>
      </c>
      <c r="P287" s="470" t="s">
        <v>45</v>
      </c>
      <c r="Q287" s="470" t="s">
        <v>45</v>
      </c>
      <c r="R287" s="470" t="s">
        <v>45</v>
      </c>
      <c r="S287" s="470" t="s">
        <v>45</v>
      </c>
      <c r="T287" s="470" t="s">
        <v>45</v>
      </c>
      <c r="U287" s="470" t="s">
        <v>45</v>
      </c>
      <c r="V287" s="470" t="s">
        <v>276</v>
      </c>
      <c r="W287" s="470" t="s">
        <v>276</v>
      </c>
      <c r="X287" s="88" t="s">
        <v>287</v>
      </c>
      <c r="Y287" s="470" t="s">
        <v>301</v>
      </c>
      <c r="Z287" s="470" t="s">
        <v>301</v>
      </c>
      <c r="AA287" s="470" t="s">
        <v>301</v>
      </c>
      <c r="AB287" s="470" t="s">
        <v>301</v>
      </c>
      <c r="AC287" s="88" t="s">
        <v>330</v>
      </c>
      <c r="AD287" s="88" t="s">
        <v>335</v>
      </c>
      <c r="AE287" s="88" t="s">
        <v>343</v>
      </c>
      <c r="AF287" s="88" t="s">
        <v>350</v>
      </c>
    </row>
    <row r="288" spans="1:68" ht="14.25" customHeight="1" thickTop="1" x14ac:dyDescent="0.2">
      <c r="A288" s="472" t="s">
        <v>10</v>
      </c>
      <c r="B288" s="470" t="s">
        <v>81</v>
      </c>
      <c r="C288" s="470" t="s">
        <v>106</v>
      </c>
      <c r="D288" s="470" t="s">
        <v>112</v>
      </c>
      <c r="E288" s="470" t="s">
        <v>123</v>
      </c>
      <c r="F288" s="470" t="s">
        <v>130</v>
      </c>
      <c r="G288" s="470" t="s">
        <v>141</v>
      </c>
      <c r="H288" s="470" t="s">
        <v>157</v>
      </c>
      <c r="I288" s="470" t="s">
        <v>164</v>
      </c>
      <c r="J288" s="470" t="s">
        <v>168</v>
      </c>
      <c r="K288" s="470" t="s">
        <v>176</v>
      </c>
      <c r="L288" s="470" t="s">
        <v>191</v>
      </c>
      <c r="M288" s="470" t="s">
        <v>197</v>
      </c>
      <c r="N288" s="1"/>
      <c r="O288" s="470" t="s">
        <v>225</v>
      </c>
      <c r="P288" s="470" t="s">
        <v>243</v>
      </c>
      <c r="Q288" s="470" t="s">
        <v>250</v>
      </c>
      <c r="R288" s="470" t="s">
        <v>259</v>
      </c>
      <c r="S288" s="470" t="s">
        <v>265</v>
      </c>
      <c r="T288" s="470" t="s">
        <v>269</v>
      </c>
      <c r="U288" s="470" t="s">
        <v>272</v>
      </c>
      <c r="V288" s="470" t="s">
        <v>277</v>
      </c>
      <c r="W288" s="470" t="s">
        <v>284</v>
      </c>
      <c r="X288" s="470" t="s">
        <v>288</v>
      </c>
      <c r="Y288" s="470" t="s">
        <v>302</v>
      </c>
      <c r="Z288" s="470" t="s">
        <v>315</v>
      </c>
      <c r="AA288" s="470" t="s">
        <v>322</v>
      </c>
      <c r="AB288" s="470" t="s">
        <v>326</v>
      </c>
      <c r="AC288" s="470" t="s">
        <v>331</v>
      </c>
      <c r="AD288" s="470" t="s">
        <v>336</v>
      </c>
      <c r="AE288" s="470" t="s">
        <v>343</v>
      </c>
      <c r="AF288" s="470" t="s">
        <v>350</v>
      </c>
    </row>
    <row r="289" spans="1:32" ht="13.5" thickBot="1" x14ac:dyDescent="0.25">
      <c r="A289" s="473"/>
      <c r="B289" s="470"/>
      <c r="C289" s="470"/>
      <c r="D289" s="470"/>
      <c r="E289" s="470"/>
      <c r="F289" s="470"/>
      <c r="G289" s="470"/>
      <c r="H289" s="470"/>
      <c r="I289" s="470"/>
      <c r="J289" s="470"/>
      <c r="K289" s="470"/>
      <c r="L289" s="470"/>
      <c r="M289" s="470"/>
      <c r="N289" s="1"/>
      <c r="O289" s="470"/>
      <c r="P289" s="470"/>
      <c r="Q289" s="470"/>
      <c r="R289" s="470"/>
      <c r="S289" s="470"/>
      <c r="T289" s="470"/>
      <c r="U289" s="470"/>
      <c r="V289" s="470"/>
      <c r="W289" s="470"/>
      <c r="X289" s="470"/>
      <c r="Y289" s="470"/>
      <c r="Z289" s="470"/>
      <c r="AA289" s="470"/>
      <c r="AB289" s="470"/>
      <c r="AC289" s="470"/>
      <c r="AD289" s="470"/>
      <c r="AE289" s="470"/>
      <c r="AF289" s="470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</f>
        <v>0</v>
      </c>
      <c r="F290" s="52">
        <f>IFERROR(X53*H53,"0")+IFERROR(X54*H54,"0")+IFERROR(X55*H55,"0")+IFERROR(X56*H56,"0")</f>
        <v>0</v>
      </c>
      <c r="G290" s="52">
        <f>IFERROR(X61*H61,"0")+IFERROR(X65*H65,"0")+IFERROR(X69*H69,"0")+IFERROR(X70*H70,"0")+IFERROR(X71*H71,"0")</f>
        <v>0</v>
      </c>
      <c r="H290" s="52">
        <f>IFERROR(X76*H76,"0")+IFERROR(X77*H77,"0")</f>
        <v>0</v>
      </c>
      <c r="I290" s="52">
        <f>IFERROR(X82*H82,"0")</f>
        <v>0</v>
      </c>
      <c r="J290" s="52">
        <f>IFERROR(X87*H87,"0")+IFERROR(X88*H88,"0")</f>
        <v>0</v>
      </c>
      <c r="K290" s="52">
        <f>IFERROR(X93*H93,"0")+IFERROR(X94*H94,"0")+IFERROR(X95*H95,"0")+IFERROR(X96*H96,"0")+IFERROR(X97*H97,"0")+IFERROR(X98*H98,"0")</f>
        <v>0</v>
      </c>
      <c r="L290" s="52">
        <f>IFERROR(X103*H103,"0")+IFERROR(X104*H104,"0")</f>
        <v>0</v>
      </c>
      <c r="M290" s="52">
        <f>IFERROR(X109*H109,"0")+IFERROR(X110*H110,"0")+IFERROR(X111*H111,"0")+IFERROR(X112*H112,"0")+IFERROR(X113*H113,"0")+IFERROR(X114*H114,"0")+IFERROR(X115*H115,"0")+IFERROR(X116*H116,"0")+IFERROR(X120*H120,"0")+IFERROR(X124*H124,"0")</f>
        <v>0</v>
      </c>
      <c r="N290" s="1"/>
      <c r="O290" s="52">
        <f>IFERROR(X129*H129,"0")+IFERROR(X130*H130,"0")+IFERROR(X131*H131,"0")+IFERROR(X132*H132,"0")+IFERROR(X136*H136,"0")+IFERROR(X137*H137,"0")+IFERROR(X138*H138,"0")</f>
        <v>0</v>
      </c>
      <c r="P290" s="52">
        <f>IFERROR(X143*H143,"0")+IFERROR(X144*H144,"0")</f>
        <v>0</v>
      </c>
      <c r="Q290" s="52">
        <f>IFERROR(X149*H149,"0")+IFERROR(X150*H150,"0")+IFERROR(X151*H151,"0")</f>
        <v>0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wI1Y9sYX5LR6MkuSiJmvkdWq/BoUf1VnQ9iEVoG74EOvu4DzIaSMZcbqhtcG6ZY6xn1j0BQJFzrwKJyCzOwFZQ==" saltValue="O4ypv8kK39Wyj8R/l6TE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62 X156:X157 X149:X151 X144 X136:X138 X129:X132 X124 X120 X113:X114 X110 X103:X104 X94:X97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43 X115:X116 X111:X112 X109 X98 X93 X87:X88 X82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9n1rn8wuthQznQ+vh9Mf6RhG8k/TH7eMa/VpYkXtQhXd5mhJO3Y/FRdYczdTlW04gYSIB87jYJIfdKlL84fxDA==" saltValue="R5vfRJMKSeN1O7eeB7rQd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