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NV\moduls\"/>
    </mc:Choice>
  </mc:AlternateContent>
  <xr:revisionPtr revIDLastSave="0" documentId="13_ncr:1_{E2C37E16-DCBE-4FD0-8A9D-6D554627B10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Лист1!$A$1:$K$1900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575" i="1" l="1"/>
  <c r="I1575" i="1"/>
  <c r="H1575" i="1"/>
  <c r="K1575" i="1" l="1"/>
  <c r="J1393" i="1"/>
  <c r="I1393" i="1"/>
  <c r="H1393" i="1"/>
  <c r="K1393" i="1" l="1"/>
  <c r="H1398" i="1"/>
  <c r="I1398" i="1"/>
  <c r="J1398" i="1"/>
  <c r="H1394" i="1"/>
  <c r="I1394" i="1"/>
  <c r="J1394" i="1"/>
  <c r="H331" i="1"/>
  <c r="I331" i="1"/>
  <c r="J331" i="1"/>
  <c r="K1398" i="1" l="1"/>
  <c r="K331" i="1"/>
  <c r="K1394" i="1"/>
  <c r="J1651" i="1" l="1"/>
  <c r="I1651" i="1"/>
  <c r="H1651" i="1"/>
  <c r="H476" i="1"/>
  <c r="I476" i="1"/>
  <c r="J476" i="1"/>
  <c r="K1651" i="1" l="1"/>
  <c r="K476" i="1"/>
  <c r="I1820" i="1"/>
  <c r="J1820" i="1"/>
  <c r="K1820" i="1" l="1"/>
  <c r="I313" i="1" l="1"/>
  <c r="J313" i="1"/>
  <c r="K313" i="1" l="1"/>
  <c r="I681" i="1"/>
  <c r="J681" i="1"/>
  <c r="K681" i="1" l="1"/>
  <c r="J1745" i="1"/>
  <c r="I1745" i="1"/>
  <c r="K1745" i="1" l="1"/>
  <c r="H1481" i="1"/>
  <c r="I1481" i="1"/>
  <c r="J1481" i="1"/>
  <c r="J1525" i="1"/>
  <c r="I1525" i="1"/>
  <c r="H1525" i="1"/>
  <c r="K1481" i="1" l="1"/>
  <c r="K1525" i="1"/>
  <c r="H1449" i="1"/>
  <c r="I1449" i="1"/>
  <c r="J1449" i="1"/>
  <c r="J1158" i="1"/>
  <c r="I1158" i="1"/>
  <c r="H1158" i="1"/>
  <c r="H1458" i="1"/>
  <c r="I1458" i="1"/>
  <c r="J1458" i="1"/>
  <c r="J378" i="1"/>
  <c r="I378" i="1"/>
  <c r="J1098" i="1"/>
  <c r="I1098" i="1"/>
  <c r="H1098" i="1"/>
  <c r="I1810" i="1"/>
  <c r="J1810" i="1"/>
  <c r="J1169" i="1"/>
  <c r="I1169" i="1"/>
  <c r="H1169" i="1"/>
  <c r="I1787" i="1"/>
  <c r="J1787" i="1"/>
  <c r="J749" i="1"/>
  <c r="I749" i="1"/>
  <c r="H749" i="1"/>
  <c r="K1449" i="1" l="1"/>
  <c r="K1158" i="1"/>
  <c r="K1458" i="1"/>
  <c r="K378" i="1"/>
  <c r="K1810" i="1"/>
  <c r="K1098" i="1"/>
  <c r="K1787" i="1"/>
  <c r="K1169" i="1"/>
  <c r="K749" i="1"/>
  <c r="H755" i="1"/>
  <c r="I755" i="1"/>
  <c r="J755" i="1"/>
  <c r="H1392" i="1"/>
  <c r="I1392" i="1"/>
  <c r="J1392" i="1"/>
  <c r="K755" i="1" l="1"/>
  <c r="K1392" i="1"/>
  <c r="H1284" i="1"/>
  <c r="I1284" i="1"/>
  <c r="J1284" i="1"/>
  <c r="K1284" i="1" l="1"/>
  <c r="H619" i="1"/>
  <c r="I619" i="1"/>
  <c r="J619" i="1"/>
  <c r="K619" i="1" l="1"/>
  <c r="H620" i="1"/>
  <c r="I620" i="1"/>
  <c r="J620" i="1"/>
  <c r="K620" i="1" l="1"/>
  <c r="H188" i="1"/>
  <c r="I188" i="1"/>
  <c r="J188" i="1"/>
  <c r="K188" i="1" l="1"/>
  <c r="H1597" i="1"/>
  <c r="I1597" i="1"/>
  <c r="J1597" i="1"/>
  <c r="I1796" i="1"/>
  <c r="J1796" i="1"/>
  <c r="K1597" i="1" l="1"/>
  <c r="K1796" i="1"/>
  <c r="H1361" i="1"/>
  <c r="I1361" i="1"/>
  <c r="J1361" i="1"/>
  <c r="K1361" i="1" l="1"/>
  <c r="H1119" i="1"/>
  <c r="I1119" i="1"/>
  <c r="J1119" i="1"/>
  <c r="K1119" i="1" l="1"/>
  <c r="H1118" i="1"/>
  <c r="I1118" i="1"/>
  <c r="J1118" i="1"/>
  <c r="K1118" i="1" l="1"/>
  <c r="H1509" i="1"/>
  <c r="I1509" i="1"/>
  <c r="J1509" i="1"/>
  <c r="H1453" i="1"/>
  <c r="I1453" i="1"/>
  <c r="J1453" i="1"/>
  <c r="K1509" i="1" l="1"/>
  <c r="K1453" i="1"/>
  <c r="H1443" i="1"/>
  <c r="I1443" i="1"/>
  <c r="J1443" i="1"/>
  <c r="K1443" i="1" l="1"/>
  <c r="J278" i="1"/>
  <c r="I278" i="1"/>
  <c r="K278" i="1" l="1"/>
  <c r="J1784" i="1"/>
  <c r="I1784" i="1"/>
  <c r="K1784" i="1" l="1"/>
  <c r="J1800" i="1" l="1"/>
  <c r="I1800" i="1"/>
  <c r="K1800" i="1" l="1"/>
  <c r="H1461" i="1"/>
  <c r="I1461" i="1"/>
  <c r="J1461" i="1"/>
  <c r="K1461" i="1" l="1"/>
  <c r="J1815" i="1"/>
  <c r="I1815" i="1"/>
  <c r="J634" i="1"/>
  <c r="I634" i="1"/>
  <c r="H634" i="1"/>
  <c r="H1343" i="1"/>
  <c r="I1343" i="1"/>
  <c r="J1343" i="1"/>
  <c r="K1343" i="1" l="1"/>
  <c r="K1815" i="1"/>
  <c r="K634" i="1"/>
  <c r="J694" i="1"/>
  <c r="I694" i="1"/>
  <c r="H694" i="1"/>
  <c r="J693" i="1"/>
  <c r="I693" i="1"/>
  <c r="H693" i="1"/>
  <c r="J692" i="1"/>
  <c r="I692" i="1"/>
  <c r="H692" i="1"/>
  <c r="J691" i="1"/>
  <c r="I691" i="1"/>
  <c r="H691" i="1"/>
  <c r="H554" i="1"/>
  <c r="H553" i="1"/>
  <c r="H552" i="1"/>
  <c r="K691" i="1" l="1"/>
  <c r="K693" i="1"/>
  <c r="K692" i="1"/>
  <c r="K694" i="1"/>
  <c r="H1408" i="1"/>
  <c r="I1408" i="1"/>
  <c r="J1408" i="1"/>
  <c r="H1460" i="1"/>
  <c r="I1460" i="1"/>
  <c r="J1460" i="1"/>
  <c r="K1460" i="1" l="1"/>
  <c r="K1408" i="1"/>
  <c r="J1302" i="1"/>
  <c r="I1302" i="1"/>
  <c r="H1302" i="1"/>
  <c r="K1302" i="1" l="1"/>
  <c r="H1283" i="1"/>
  <c r="I1283" i="1"/>
  <c r="J1283" i="1"/>
  <c r="K1283" i="1" l="1"/>
  <c r="H1611" i="1"/>
  <c r="I1611" i="1"/>
  <c r="J1611" i="1"/>
  <c r="K1611" i="1" l="1"/>
  <c r="H475" i="1"/>
  <c r="I475" i="1"/>
  <c r="J475" i="1"/>
  <c r="H477" i="1"/>
  <c r="I477" i="1"/>
  <c r="J477" i="1"/>
  <c r="K477" i="1" l="1"/>
  <c r="K475" i="1"/>
  <c r="H803" i="1"/>
  <c r="I803" i="1"/>
  <c r="J803" i="1"/>
  <c r="K803" i="1" l="1"/>
  <c r="J1621" i="1"/>
  <c r="I1621" i="1"/>
  <c r="H1621" i="1"/>
  <c r="K1621" i="1" l="1"/>
  <c r="J987" i="1"/>
  <c r="I987" i="1"/>
  <c r="J377" i="1"/>
  <c r="I377" i="1"/>
  <c r="H377" i="1"/>
  <c r="H922" i="1"/>
  <c r="I922" i="1"/>
  <c r="J922" i="1"/>
  <c r="J350" i="1"/>
  <c r="I350" i="1"/>
  <c r="I1808" i="1"/>
  <c r="J1808" i="1"/>
  <c r="H1599" i="1"/>
  <c r="I1599" i="1"/>
  <c r="J1599" i="1"/>
  <c r="I1791" i="1"/>
  <c r="J1791" i="1"/>
  <c r="J1273" i="1"/>
  <c r="I1273" i="1"/>
  <c r="H1273" i="1"/>
  <c r="I1786" i="1"/>
  <c r="J1786" i="1"/>
  <c r="H467" i="1"/>
  <c r="I467" i="1"/>
  <c r="J467" i="1"/>
  <c r="H535" i="1"/>
  <c r="I535" i="1"/>
  <c r="J535" i="1"/>
  <c r="K922" i="1" l="1"/>
  <c r="K1808" i="1"/>
  <c r="K535" i="1"/>
  <c r="K987" i="1"/>
  <c r="K377" i="1"/>
  <c r="K350" i="1"/>
  <c r="K467" i="1"/>
  <c r="K1791" i="1"/>
  <c r="K1599" i="1"/>
  <c r="K1786" i="1"/>
  <c r="K1273" i="1"/>
  <c r="H1442" i="1"/>
  <c r="I1442" i="1"/>
  <c r="J1442" i="1"/>
  <c r="K1442" i="1" l="1"/>
  <c r="I1811" i="1"/>
  <c r="J1811" i="1"/>
  <c r="K1811" i="1" l="1"/>
  <c r="H474" i="1"/>
  <c r="H1496" i="1" l="1"/>
  <c r="I1496" i="1"/>
  <c r="J1496" i="1"/>
  <c r="K1496" i="1" l="1"/>
  <c r="H1189" i="1"/>
  <c r="I1189" i="1"/>
  <c r="J1189" i="1"/>
  <c r="K1189" i="1" l="1"/>
  <c r="H703" i="1"/>
  <c r="I703" i="1"/>
  <c r="J703" i="1"/>
  <c r="K703" i="1" l="1"/>
  <c r="H586" i="1"/>
  <c r="I586" i="1"/>
  <c r="J586" i="1"/>
  <c r="H1545" i="1"/>
  <c r="I1545" i="1"/>
  <c r="J1545" i="1"/>
  <c r="J1785" i="1"/>
  <c r="I1785" i="1"/>
  <c r="K586" i="1" l="1"/>
  <c r="K1545" i="1"/>
  <c r="K1785" i="1"/>
  <c r="H1311" i="1"/>
  <c r="H1312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I1326" i="1"/>
  <c r="J1326" i="1"/>
  <c r="K1326" i="1" l="1"/>
  <c r="J636" i="1"/>
  <c r="I636" i="1"/>
  <c r="H636" i="1"/>
  <c r="H702" i="1"/>
  <c r="I702" i="1"/>
  <c r="J702" i="1"/>
  <c r="K702" i="1" l="1"/>
  <c r="K636" i="1"/>
  <c r="H701" i="1"/>
  <c r="I701" i="1"/>
  <c r="J701" i="1"/>
  <c r="H547" i="1"/>
  <c r="I547" i="1"/>
  <c r="J547" i="1"/>
  <c r="H546" i="1"/>
  <c r="I546" i="1"/>
  <c r="J546" i="1"/>
  <c r="K546" i="1" l="1"/>
  <c r="K701" i="1"/>
  <c r="K547" i="1"/>
  <c r="J718" i="1"/>
  <c r="I718" i="1"/>
  <c r="H718" i="1"/>
  <c r="H483" i="1"/>
  <c r="I483" i="1"/>
  <c r="J483" i="1"/>
  <c r="H1618" i="1"/>
  <c r="I1618" i="1"/>
  <c r="J1618" i="1"/>
  <c r="J739" i="1"/>
  <c r="I739" i="1"/>
  <c r="H739" i="1"/>
  <c r="J884" i="1"/>
  <c r="I884" i="1"/>
  <c r="H884" i="1"/>
  <c r="K483" i="1" l="1"/>
  <c r="K1618" i="1"/>
  <c r="K718" i="1"/>
  <c r="K739" i="1"/>
  <c r="K884" i="1"/>
  <c r="J1396" i="1"/>
  <c r="I1396" i="1"/>
  <c r="H1396" i="1"/>
  <c r="K1396" i="1" l="1"/>
  <c r="H469" i="1"/>
  <c r="I469" i="1"/>
  <c r="J469" i="1"/>
  <c r="K469" i="1" l="1"/>
  <c r="H1357" i="1"/>
  <c r="I1357" i="1"/>
  <c r="J1357" i="1"/>
  <c r="I210" i="1"/>
  <c r="J210" i="1"/>
  <c r="H1269" i="1"/>
  <c r="I1269" i="1"/>
  <c r="J1269" i="1"/>
  <c r="K1269" i="1" l="1"/>
  <c r="K210" i="1"/>
  <c r="K1357" i="1"/>
  <c r="J464" i="1"/>
  <c r="I464" i="1"/>
  <c r="H464" i="1"/>
  <c r="K464" i="1" l="1"/>
  <c r="I1769" i="1"/>
  <c r="J1769" i="1"/>
  <c r="K1769" i="1" l="1"/>
  <c r="H1053" i="1"/>
  <c r="I1053" i="1"/>
  <c r="J1053" i="1"/>
  <c r="J246" i="1"/>
  <c r="I246" i="1"/>
  <c r="I212" i="1"/>
  <c r="J212" i="1"/>
  <c r="K1053" i="1" l="1"/>
  <c r="K212" i="1"/>
  <c r="K246" i="1"/>
  <c r="J1614" i="1"/>
  <c r="I1614" i="1"/>
  <c r="H1614" i="1"/>
  <c r="H1041" i="1"/>
  <c r="I1041" i="1"/>
  <c r="J1041" i="1"/>
  <c r="J1803" i="1"/>
  <c r="I1803" i="1"/>
  <c r="J1795" i="1"/>
  <c r="I1795" i="1"/>
  <c r="J1513" i="1"/>
  <c r="I1513" i="1"/>
  <c r="H1513" i="1"/>
  <c r="H1598" i="1"/>
  <c r="I1598" i="1"/>
  <c r="J1598" i="1"/>
  <c r="I268" i="1"/>
  <c r="J268" i="1"/>
  <c r="K268" i="1" l="1"/>
  <c r="K1041" i="1"/>
  <c r="K1598" i="1"/>
  <c r="K1614" i="1"/>
  <c r="K1803" i="1"/>
  <c r="K1795" i="1"/>
  <c r="K1513" i="1"/>
  <c r="I1766" i="1"/>
  <c r="J1766" i="1"/>
  <c r="I1768" i="1"/>
  <c r="J1768" i="1"/>
  <c r="K1768" i="1" l="1"/>
  <c r="K1766" i="1"/>
  <c r="H402" i="1"/>
  <c r="I402" i="1"/>
  <c r="J402" i="1"/>
  <c r="H1642" i="1"/>
  <c r="I1642" i="1"/>
  <c r="J1642" i="1"/>
  <c r="K402" i="1" l="1"/>
  <c r="K1642" i="1"/>
  <c r="I240" i="1" l="1"/>
  <c r="J240" i="1"/>
  <c r="K240" i="1" l="1"/>
  <c r="H1601" i="1"/>
  <c r="I1601" i="1"/>
  <c r="J1601" i="1"/>
  <c r="H1617" i="1"/>
  <c r="I1617" i="1"/>
  <c r="J1617" i="1"/>
  <c r="J1818" i="1"/>
  <c r="I1818" i="1"/>
  <c r="J466" i="1"/>
  <c r="I466" i="1"/>
  <c r="H466" i="1"/>
  <c r="I989" i="1"/>
  <c r="J989" i="1"/>
  <c r="I1794" i="1"/>
  <c r="J1794" i="1"/>
  <c r="H59" i="1"/>
  <c r="I59" i="1"/>
  <c r="J59" i="1"/>
  <c r="K1601" i="1" l="1"/>
  <c r="K989" i="1"/>
  <c r="K1617" i="1"/>
  <c r="K1818" i="1"/>
  <c r="K59" i="1"/>
  <c r="K1794" i="1"/>
  <c r="K466" i="1"/>
  <c r="H75" i="1"/>
  <c r="I75" i="1"/>
  <c r="J75" i="1"/>
  <c r="K75" i="1" l="1"/>
  <c r="I1760" i="1"/>
  <c r="J1760" i="1"/>
  <c r="K1760" i="1" l="1"/>
  <c r="J1805" i="1"/>
  <c r="I1805" i="1"/>
  <c r="J119" i="1"/>
  <c r="I119" i="1"/>
  <c r="J1272" i="1"/>
  <c r="I1272" i="1"/>
  <c r="H1272" i="1"/>
  <c r="J1793" i="1"/>
  <c r="I1793" i="1"/>
  <c r="J1476" i="1"/>
  <c r="I1476" i="1"/>
  <c r="H1476" i="1"/>
  <c r="H738" i="1"/>
  <c r="I738" i="1"/>
  <c r="J738" i="1"/>
  <c r="K738" i="1" l="1"/>
  <c r="K1805" i="1"/>
  <c r="K119" i="1"/>
  <c r="K1272" i="1"/>
  <c r="K1793" i="1"/>
  <c r="K1476" i="1"/>
  <c r="I1801" i="1"/>
  <c r="J1801" i="1"/>
  <c r="K1801" i="1" l="1"/>
  <c r="I1814" i="1"/>
  <c r="J1814" i="1"/>
  <c r="H548" i="1"/>
  <c r="I548" i="1"/>
  <c r="J548" i="1"/>
  <c r="H637" i="1"/>
  <c r="I637" i="1"/>
  <c r="J637" i="1"/>
  <c r="H543" i="1"/>
  <c r="I543" i="1"/>
  <c r="J543" i="1"/>
  <c r="K548" i="1" l="1"/>
  <c r="K1814" i="1"/>
  <c r="K637" i="1"/>
  <c r="K543" i="1"/>
  <c r="H1644" i="1"/>
  <c r="I1644" i="1"/>
  <c r="J1644" i="1"/>
  <c r="K1644" i="1" l="1"/>
  <c r="I1813" i="1"/>
  <c r="J1813" i="1"/>
  <c r="J1812" i="1"/>
  <c r="I1812" i="1"/>
  <c r="J545" i="1"/>
  <c r="I545" i="1"/>
  <c r="H545" i="1"/>
  <c r="J544" i="1"/>
  <c r="I544" i="1"/>
  <c r="H544" i="1"/>
  <c r="K1813" i="1" l="1"/>
  <c r="K1812" i="1"/>
  <c r="K544" i="1"/>
  <c r="K545" i="1"/>
  <c r="H1305" i="1"/>
  <c r="I1305" i="1"/>
  <c r="J1305" i="1"/>
  <c r="K1305" i="1" l="1"/>
  <c r="H1268" i="1"/>
  <c r="I1268" i="1"/>
  <c r="J1268" i="1"/>
  <c r="H1356" i="1"/>
  <c r="I1356" i="1"/>
  <c r="J1356" i="1"/>
  <c r="I275" i="1"/>
  <c r="J275" i="1"/>
  <c r="H486" i="1"/>
  <c r="I486" i="1"/>
  <c r="J486" i="1"/>
  <c r="H1668" i="1"/>
  <c r="I1668" i="1"/>
  <c r="J1668" i="1"/>
  <c r="H301" i="1"/>
  <c r="I301" i="1"/>
  <c r="J301" i="1"/>
  <c r="I289" i="1"/>
  <c r="J289" i="1"/>
  <c r="H1104" i="1"/>
  <c r="H1308" i="1"/>
  <c r="I1308" i="1"/>
  <c r="J1308" i="1"/>
  <c r="H83" i="1"/>
  <c r="I83" i="1"/>
  <c r="J83" i="1"/>
  <c r="K1356" i="1" l="1"/>
  <c r="K486" i="1"/>
  <c r="K301" i="1"/>
  <c r="K275" i="1"/>
  <c r="K1268" i="1"/>
  <c r="K1308" i="1"/>
  <c r="K289" i="1"/>
  <c r="K1668" i="1"/>
  <c r="K83" i="1"/>
  <c r="J1551" i="1"/>
  <c r="I1551" i="1"/>
  <c r="K1551" i="1" l="1"/>
  <c r="I1819" i="1"/>
  <c r="J1819" i="1"/>
  <c r="J1595" i="1"/>
  <c r="I1595" i="1"/>
  <c r="H1595" i="1"/>
  <c r="J1806" i="1"/>
  <c r="I1806" i="1"/>
  <c r="H1037" i="1"/>
  <c r="I1037" i="1"/>
  <c r="J1037" i="1"/>
  <c r="K1037" i="1" l="1"/>
  <c r="K1819" i="1"/>
  <c r="K1595" i="1"/>
  <c r="K1806" i="1"/>
  <c r="J540" i="1"/>
  <c r="I540" i="1"/>
  <c r="H540" i="1"/>
  <c r="I1799" i="1"/>
  <c r="J1799" i="1"/>
  <c r="H638" i="1"/>
  <c r="I638" i="1"/>
  <c r="J638" i="1"/>
  <c r="K1799" i="1" l="1"/>
  <c r="K638" i="1"/>
  <c r="K540" i="1"/>
  <c r="I209" i="1"/>
  <c r="J209" i="1"/>
  <c r="I228" i="1"/>
  <c r="J228" i="1"/>
  <c r="I241" i="1"/>
  <c r="J241" i="1"/>
  <c r="K241" i="1" l="1"/>
  <c r="K228" i="1"/>
  <c r="K209" i="1"/>
  <c r="H539" i="1"/>
  <c r="I539" i="1"/>
  <c r="J539" i="1"/>
  <c r="H1370" i="1"/>
  <c r="I1370" i="1"/>
  <c r="J1370" i="1"/>
  <c r="K1370" i="1" l="1"/>
  <c r="K539" i="1"/>
  <c r="H6" i="1"/>
  <c r="I6" i="1"/>
  <c r="J6" i="1"/>
  <c r="H721" i="1"/>
  <c r="I721" i="1"/>
  <c r="J721" i="1"/>
  <c r="K721" i="1" l="1"/>
  <c r="K6" i="1"/>
  <c r="H1470" i="1"/>
  <c r="I1470" i="1"/>
  <c r="J1470" i="1"/>
  <c r="H1483" i="1"/>
  <c r="I1483" i="1"/>
  <c r="J1483" i="1"/>
  <c r="H1508" i="1"/>
  <c r="I1508" i="1"/>
  <c r="J1508" i="1"/>
  <c r="H1495" i="1"/>
  <c r="I1495" i="1"/>
  <c r="J1495" i="1"/>
  <c r="H1407" i="1"/>
  <c r="I1407" i="1"/>
  <c r="J1407" i="1"/>
  <c r="H1452" i="1"/>
  <c r="I1452" i="1"/>
  <c r="J1452" i="1"/>
  <c r="K1470" i="1" l="1"/>
  <c r="K1483" i="1"/>
  <c r="K1407" i="1"/>
  <c r="K1508" i="1"/>
  <c r="K1452" i="1"/>
  <c r="K1495" i="1"/>
  <c r="I242" i="1"/>
  <c r="J242" i="1"/>
  <c r="K242" i="1" l="1"/>
  <c r="J1780" i="1"/>
  <c r="I1780" i="1"/>
  <c r="K1780" i="1" l="1"/>
  <c r="I1746" i="1"/>
  <c r="J1746" i="1"/>
  <c r="K1746" i="1" l="1"/>
  <c r="J325" i="1"/>
  <c r="I325" i="1"/>
  <c r="H325" i="1"/>
  <c r="K325" i="1" l="1"/>
  <c r="H594" i="1" l="1"/>
  <c r="I594" i="1"/>
  <c r="J594" i="1"/>
  <c r="H1529" i="1"/>
  <c r="I1529" i="1"/>
  <c r="J1529" i="1"/>
  <c r="H1518" i="1"/>
  <c r="I1518" i="1"/>
  <c r="J1518" i="1"/>
  <c r="H472" i="1"/>
  <c r="I472" i="1"/>
  <c r="J472" i="1"/>
  <c r="K594" i="1" l="1"/>
  <c r="K1529" i="1"/>
  <c r="K472" i="1"/>
  <c r="K1518" i="1"/>
  <c r="I1807" i="1"/>
  <c r="J1807" i="1"/>
  <c r="H1622" i="1"/>
  <c r="I1622" i="1"/>
  <c r="J1622" i="1"/>
  <c r="I1750" i="1"/>
  <c r="J1750" i="1"/>
  <c r="I1798" i="1"/>
  <c r="J1798" i="1"/>
  <c r="H1638" i="1"/>
  <c r="I1638" i="1"/>
  <c r="J1638" i="1"/>
  <c r="H585" i="1"/>
  <c r="I585" i="1"/>
  <c r="J585" i="1"/>
  <c r="J719" i="1"/>
  <c r="I719" i="1"/>
  <c r="H719" i="1"/>
  <c r="I1790" i="1"/>
  <c r="J1790" i="1"/>
  <c r="H1300" i="1"/>
  <c r="I1300" i="1"/>
  <c r="J1300" i="1"/>
  <c r="K1790" i="1" l="1"/>
  <c r="K1807" i="1"/>
  <c r="K1622" i="1"/>
  <c r="K585" i="1"/>
  <c r="K1798" i="1"/>
  <c r="K1750" i="1"/>
  <c r="K1638" i="1"/>
  <c r="K719" i="1"/>
  <c r="K1300" i="1"/>
  <c r="I1830" i="1"/>
  <c r="J1830" i="1"/>
  <c r="I1831" i="1"/>
  <c r="J1831" i="1"/>
  <c r="K1830" i="1" l="1"/>
  <c r="K1831" i="1"/>
  <c r="H401" i="1"/>
  <c r="I401" i="1"/>
  <c r="J401" i="1"/>
  <c r="K401" i="1" l="1"/>
  <c r="H1028" i="1"/>
  <c r="I1028" i="1"/>
  <c r="J1028" i="1"/>
  <c r="K1028" i="1" l="1"/>
  <c r="I1828" i="1"/>
  <c r="J1828" i="1"/>
  <c r="I1829" i="1"/>
  <c r="J1829" i="1"/>
  <c r="I1827" i="1"/>
  <c r="J1827" i="1"/>
  <c r="I1825" i="1"/>
  <c r="J1825" i="1"/>
  <c r="I1826" i="1"/>
  <c r="J1826" i="1"/>
  <c r="K1829" i="1" l="1"/>
  <c r="K1828" i="1"/>
  <c r="K1826" i="1"/>
  <c r="K1825" i="1"/>
  <c r="K1827" i="1"/>
  <c r="H1180" i="1" l="1"/>
  <c r="I1180" i="1"/>
  <c r="J1180" i="1"/>
  <c r="I131" i="1"/>
  <c r="J131" i="1"/>
  <c r="I227" i="1"/>
  <c r="J227" i="1"/>
  <c r="K227" i="1" l="1"/>
  <c r="K131" i="1"/>
  <c r="K1180" i="1"/>
  <c r="I130" i="1"/>
  <c r="J130" i="1"/>
  <c r="K130" i="1" l="1"/>
  <c r="I1822" i="1"/>
  <c r="J1822" i="1"/>
  <c r="I1824" i="1"/>
  <c r="J1824" i="1"/>
  <c r="J1782" i="1"/>
  <c r="I1782" i="1"/>
  <c r="K1824" i="1" l="1"/>
  <c r="K1822" i="1"/>
  <c r="K1782" i="1"/>
  <c r="I243" i="1"/>
  <c r="J243" i="1"/>
  <c r="K243" i="1" l="1"/>
  <c r="H1670" i="1"/>
  <c r="I1670" i="1"/>
  <c r="J1670" i="1"/>
  <c r="H1307" i="1"/>
  <c r="I1307" i="1"/>
  <c r="J1307" i="1"/>
  <c r="I274" i="1"/>
  <c r="J274" i="1"/>
  <c r="H1108" i="1"/>
  <c r="H300" i="1"/>
  <c r="I300" i="1"/>
  <c r="J300" i="1"/>
  <c r="K1307" i="1" l="1"/>
  <c r="K1670" i="1"/>
  <c r="K300" i="1"/>
  <c r="K274" i="1"/>
  <c r="J132" i="1"/>
  <c r="I132" i="1"/>
  <c r="K132" i="1" l="1"/>
  <c r="J1804" i="1" l="1"/>
  <c r="I1804" i="1"/>
  <c r="H1593" i="1"/>
  <c r="I1593" i="1"/>
  <c r="J1593" i="1"/>
  <c r="H883" i="1"/>
  <c r="I883" i="1"/>
  <c r="J883" i="1"/>
  <c r="J1797" i="1"/>
  <c r="I1797" i="1"/>
  <c r="H1065" i="1"/>
  <c r="I1065" i="1"/>
  <c r="J1065" i="1"/>
  <c r="H1229" i="1"/>
  <c r="I1229" i="1"/>
  <c r="J1229" i="1"/>
  <c r="J600" i="1"/>
  <c r="I600" i="1"/>
  <c r="H600" i="1"/>
  <c r="J256" i="1"/>
  <c r="I256" i="1"/>
  <c r="J534" i="1"/>
  <c r="I534" i="1"/>
  <c r="H534" i="1"/>
  <c r="I1322" i="1"/>
  <c r="J1322" i="1"/>
  <c r="J1298" i="1"/>
  <c r="I1298" i="1"/>
  <c r="H1298" i="1"/>
  <c r="J482" i="1"/>
  <c r="I482" i="1"/>
  <c r="H482" i="1"/>
  <c r="K1065" i="1" l="1"/>
  <c r="K883" i="1"/>
  <c r="K1593" i="1"/>
  <c r="K1804" i="1"/>
  <c r="K1322" i="1"/>
  <c r="K1229" i="1"/>
  <c r="K1797" i="1"/>
  <c r="K600" i="1"/>
  <c r="K256" i="1"/>
  <c r="K534" i="1"/>
  <c r="K1298" i="1"/>
  <c r="K482" i="1"/>
  <c r="I1821" i="1"/>
  <c r="J1821" i="1"/>
  <c r="K1821" i="1" l="1"/>
  <c r="I238" i="1"/>
  <c r="J238" i="1"/>
  <c r="I208" i="1"/>
  <c r="J208" i="1"/>
  <c r="K208" i="1" l="1"/>
  <c r="K238" i="1"/>
  <c r="J1789" i="1"/>
  <c r="I1789" i="1"/>
  <c r="K1789" i="1" l="1"/>
  <c r="J403" i="1"/>
  <c r="I403" i="1"/>
  <c r="H403" i="1"/>
  <c r="J1377" i="1"/>
  <c r="I1377" i="1"/>
  <c r="H1377" i="1"/>
  <c r="J1451" i="1"/>
  <c r="I1451" i="1"/>
  <c r="H1451" i="1"/>
  <c r="K403" i="1" l="1"/>
  <c r="K1377" i="1"/>
  <c r="K1451" i="1"/>
  <c r="J1817" i="1"/>
  <c r="I1817" i="1"/>
  <c r="I312" i="1"/>
  <c r="J312" i="1"/>
  <c r="J1777" i="1"/>
  <c r="I1777" i="1"/>
  <c r="K312" i="1" l="1"/>
  <c r="K1817" i="1"/>
  <c r="K1777" i="1"/>
  <c r="H618" i="1"/>
  <c r="I618" i="1"/>
  <c r="J618" i="1"/>
  <c r="K618" i="1" l="1"/>
  <c r="I1753" i="1"/>
  <c r="J1753" i="1"/>
  <c r="K1753" i="1" l="1"/>
  <c r="H1504" i="1"/>
  <c r="I1504" i="1"/>
  <c r="J1504" i="1"/>
  <c r="H1491" i="1"/>
  <c r="I1491" i="1"/>
  <c r="J1491" i="1"/>
  <c r="I225" i="1"/>
  <c r="J225" i="1"/>
  <c r="I213" i="1"/>
  <c r="J213" i="1"/>
  <c r="H888" i="1"/>
  <c r="I888" i="1"/>
  <c r="J888" i="1"/>
  <c r="K1491" i="1" l="1"/>
  <c r="K213" i="1"/>
  <c r="K225" i="1"/>
  <c r="K1504" i="1"/>
  <c r="K888" i="1"/>
  <c r="I230" i="1"/>
  <c r="J230" i="1"/>
  <c r="K230" i="1" l="1"/>
  <c r="J1823" i="1"/>
  <c r="I1823" i="1"/>
  <c r="K1823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52" i="1"/>
  <c r="I1752" i="1"/>
  <c r="J1748" i="1"/>
  <c r="I1748" i="1"/>
  <c r="J1726" i="1"/>
  <c r="I1726" i="1"/>
  <c r="J1730" i="1"/>
  <c r="I1730" i="1"/>
  <c r="J1721" i="1"/>
  <c r="I1721" i="1"/>
  <c r="J1687" i="1"/>
  <c r="I1687" i="1"/>
  <c r="I1716" i="1"/>
  <c r="J1716" i="1"/>
  <c r="J1675" i="1"/>
  <c r="I1675" i="1"/>
  <c r="H1675" i="1"/>
  <c r="J167" i="1"/>
  <c r="I167" i="1"/>
  <c r="J187" i="1"/>
  <c r="I187" i="1"/>
  <c r="H187" i="1"/>
  <c r="J1610" i="1"/>
  <c r="I1610" i="1"/>
  <c r="H1610" i="1"/>
  <c r="J1608" i="1"/>
  <c r="I1608" i="1"/>
  <c r="H1608" i="1"/>
  <c r="J1582" i="1"/>
  <c r="I1582" i="1"/>
  <c r="H1582" i="1"/>
  <c r="J105" i="1"/>
  <c r="I105" i="1"/>
  <c r="H105" i="1"/>
  <c r="J1432" i="1"/>
  <c r="I1432" i="1"/>
  <c r="H1432" i="1"/>
  <c r="J1579" i="1"/>
  <c r="I1579" i="1"/>
  <c r="J1435" i="1"/>
  <c r="I1435" i="1"/>
  <c r="H1435" i="1"/>
  <c r="J1420" i="1"/>
  <c r="I1420" i="1"/>
  <c r="H1420" i="1"/>
  <c r="J1050" i="1"/>
  <c r="I1050" i="1"/>
  <c r="H1050" i="1"/>
  <c r="J329" i="1"/>
  <c r="I329" i="1"/>
  <c r="H329" i="1"/>
  <c r="J394" i="1"/>
  <c r="I394" i="1"/>
  <c r="J1044" i="1"/>
  <c r="I1044" i="1"/>
  <c r="H1044" i="1"/>
  <c r="H606" i="1"/>
  <c r="I606" i="1"/>
  <c r="J606" i="1"/>
  <c r="H804" i="1"/>
  <c r="I804" i="1"/>
  <c r="J804" i="1"/>
  <c r="H796" i="1"/>
  <c r="I796" i="1"/>
  <c r="J796" i="1"/>
  <c r="K290" i="1" l="1"/>
  <c r="K1716" i="1"/>
  <c r="K276" i="1"/>
  <c r="K1752" i="1"/>
  <c r="K1748" i="1"/>
  <c r="K1726" i="1"/>
  <c r="K1730" i="1"/>
  <c r="K1721" i="1"/>
  <c r="K1687" i="1"/>
  <c r="K1675" i="1"/>
  <c r="K167" i="1"/>
  <c r="K187" i="1"/>
  <c r="K1610" i="1"/>
  <c r="K1608" i="1"/>
  <c r="K1582" i="1"/>
  <c r="K105" i="1"/>
  <c r="K1432" i="1"/>
  <c r="K1579" i="1"/>
  <c r="K1435" i="1"/>
  <c r="K1420" i="1"/>
  <c r="K1050" i="1"/>
  <c r="K796" i="1"/>
  <c r="K606" i="1"/>
  <c r="K329" i="1"/>
  <c r="K394" i="1"/>
  <c r="K804" i="1"/>
  <c r="K1044" i="1"/>
  <c r="H355" i="1"/>
  <c r="I355" i="1"/>
  <c r="J355" i="1"/>
  <c r="J827" i="1"/>
  <c r="I827" i="1"/>
  <c r="H827" i="1"/>
  <c r="H650" i="1"/>
  <c r="I650" i="1"/>
  <c r="J650" i="1"/>
  <c r="J621" i="1"/>
  <c r="I621" i="1"/>
  <c r="H621" i="1"/>
  <c r="J490" i="1"/>
  <c r="I490" i="1"/>
  <c r="H490" i="1"/>
  <c r="K355" i="1" l="1"/>
  <c r="K650" i="1"/>
  <c r="K827" i="1"/>
  <c r="K621" i="1"/>
  <c r="K490" i="1"/>
  <c r="I1816" i="1"/>
  <c r="J1816" i="1"/>
  <c r="I1809" i="1"/>
  <c r="J1809" i="1"/>
  <c r="I1802" i="1"/>
  <c r="J1802" i="1"/>
  <c r="H1636" i="1"/>
  <c r="I1636" i="1"/>
  <c r="J1636" i="1"/>
  <c r="H720" i="1"/>
  <c r="I720" i="1"/>
  <c r="J720" i="1"/>
  <c r="H635" i="1"/>
  <c r="I635" i="1"/>
  <c r="J635" i="1"/>
  <c r="J1792" i="1"/>
  <c r="I1792" i="1"/>
  <c r="I1788" i="1"/>
  <c r="J1788" i="1"/>
  <c r="H1345" i="1"/>
  <c r="I1345" i="1"/>
  <c r="J1345" i="1"/>
  <c r="H200" i="1"/>
  <c r="I200" i="1"/>
  <c r="J200" i="1"/>
  <c r="H177" i="1"/>
  <c r="I177" i="1"/>
  <c r="J177" i="1"/>
  <c r="K635" i="1" l="1"/>
  <c r="K1802" i="1"/>
  <c r="K1809" i="1"/>
  <c r="K1816" i="1"/>
  <c r="K720" i="1"/>
  <c r="K1636" i="1"/>
  <c r="K1792" i="1"/>
  <c r="K200" i="1"/>
  <c r="K1788" i="1"/>
  <c r="K177" i="1"/>
  <c r="K1345" i="1"/>
  <c r="J1678" i="1"/>
  <c r="J1679" i="1"/>
  <c r="J1680" i="1"/>
  <c r="J1681" i="1"/>
  <c r="J1682" i="1"/>
  <c r="J1683" i="1"/>
  <c r="J1684" i="1"/>
  <c r="J1685" i="1"/>
  <c r="J1686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7" i="1"/>
  <c r="J1718" i="1"/>
  <c r="J1719" i="1"/>
  <c r="J1720" i="1"/>
  <c r="J1722" i="1"/>
  <c r="J1723" i="1"/>
  <c r="J1724" i="1"/>
  <c r="J1725" i="1"/>
  <c r="J1727" i="1"/>
  <c r="J1728" i="1"/>
  <c r="J1729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7" i="1"/>
  <c r="J1749" i="1"/>
  <c r="J1751" i="1"/>
  <c r="J1754" i="1"/>
  <c r="J1755" i="1"/>
  <c r="J1756" i="1"/>
  <c r="J1757" i="1"/>
  <c r="J1758" i="1"/>
  <c r="J1759" i="1"/>
  <c r="J1761" i="1"/>
  <c r="J1762" i="1"/>
  <c r="J1763" i="1"/>
  <c r="J1764" i="1"/>
  <c r="J1765" i="1"/>
  <c r="J1767" i="1"/>
  <c r="J1770" i="1"/>
  <c r="J1771" i="1"/>
  <c r="J1772" i="1"/>
  <c r="J1773" i="1"/>
  <c r="J1774" i="1"/>
  <c r="J133" i="1"/>
  <c r="J1775" i="1"/>
  <c r="J1776" i="1"/>
  <c r="J1778" i="1"/>
  <c r="J1779" i="1"/>
  <c r="J1781" i="1"/>
  <c r="J1783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1" i="1"/>
  <c r="J352" i="1"/>
  <c r="J353" i="1"/>
  <c r="J354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5" i="1"/>
  <c r="J396" i="1"/>
  <c r="J397" i="1"/>
  <c r="J398" i="1"/>
  <c r="J399" i="1"/>
  <c r="J400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55" i="1"/>
  <c r="J456" i="1"/>
  <c r="J457" i="1"/>
  <c r="J458" i="1"/>
  <c r="J459" i="1"/>
  <c r="J460" i="1"/>
  <c r="J461" i="1"/>
  <c r="J462" i="1"/>
  <c r="J463" i="1"/>
  <c r="J465" i="1"/>
  <c r="J468" i="1"/>
  <c r="J470" i="1"/>
  <c r="J471" i="1"/>
  <c r="J473" i="1"/>
  <c r="J474" i="1"/>
  <c r="J478" i="1"/>
  <c r="J479" i="1"/>
  <c r="J480" i="1"/>
  <c r="J481" i="1"/>
  <c r="J484" i="1"/>
  <c r="J485" i="1"/>
  <c r="J487" i="1"/>
  <c r="J488" i="1"/>
  <c r="J489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6" i="1"/>
  <c r="J537" i="1"/>
  <c r="J538" i="1"/>
  <c r="J541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7" i="1"/>
  <c r="J588" i="1"/>
  <c r="J589" i="1"/>
  <c r="J590" i="1"/>
  <c r="J591" i="1"/>
  <c r="J592" i="1"/>
  <c r="J593" i="1"/>
  <c r="J595" i="1"/>
  <c r="J596" i="1"/>
  <c r="J597" i="1"/>
  <c r="J598" i="1"/>
  <c r="J599" i="1"/>
  <c r="J601" i="1"/>
  <c r="J602" i="1"/>
  <c r="J603" i="1"/>
  <c r="J604" i="1"/>
  <c r="J605" i="1"/>
  <c r="J607" i="1"/>
  <c r="J608" i="1"/>
  <c r="J609" i="1"/>
  <c r="J610" i="1"/>
  <c r="J611" i="1"/>
  <c r="J612" i="1"/>
  <c r="J613" i="1"/>
  <c r="J614" i="1"/>
  <c r="J615" i="1"/>
  <c r="J616" i="1"/>
  <c r="J617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9" i="1"/>
  <c r="J640" i="1"/>
  <c r="J641" i="1"/>
  <c r="J642" i="1"/>
  <c r="J643" i="1"/>
  <c r="J644" i="1"/>
  <c r="J645" i="1"/>
  <c r="J646" i="1"/>
  <c r="J647" i="1"/>
  <c r="J648" i="1"/>
  <c r="J649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2" i="1"/>
  <c r="J683" i="1"/>
  <c r="J684" i="1"/>
  <c r="J685" i="1"/>
  <c r="J686" i="1"/>
  <c r="J687" i="1"/>
  <c r="J688" i="1"/>
  <c r="J689" i="1"/>
  <c r="J690" i="1"/>
  <c r="J695" i="1"/>
  <c r="J696" i="1"/>
  <c r="J697" i="1"/>
  <c r="J698" i="1"/>
  <c r="J700" i="1"/>
  <c r="J704" i="1"/>
  <c r="J699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40" i="1"/>
  <c r="J741" i="1"/>
  <c r="J742" i="1"/>
  <c r="J743" i="1"/>
  <c r="J744" i="1"/>
  <c r="J745" i="1"/>
  <c r="J746" i="1"/>
  <c r="J747" i="1"/>
  <c r="J748" i="1"/>
  <c r="J750" i="1"/>
  <c r="J751" i="1"/>
  <c r="J752" i="1"/>
  <c r="J753" i="1"/>
  <c r="J754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7" i="1"/>
  <c r="J798" i="1"/>
  <c r="J799" i="1"/>
  <c r="J800" i="1"/>
  <c r="J801" i="1"/>
  <c r="J802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9" i="1"/>
  <c r="J880" i="1"/>
  <c r="J881" i="1"/>
  <c r="J882" i="1"/>
  <c r="J885" i="1"/>
  <c r="J886" i="1"/>
  <c r="J887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82" i="1"/>
  <c r="J983" i="1"/>
  <c r="J984" i="1"/>
  <c r="J985" i="1"/>
  <c r="J986" i="1"/>
  <c r="J988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9" i="1"/>
  <c r="J1030" i="1"/>
  <c r="J1031" i="1"/>
  <c r="J1032" i="1"/>
  <c r="J1033" i="1"/>
  <c r="J1034" i="1"/>
  <c r="J1035" i="1"/>
  <c r="J1036" i="1"/>
  <c r="J1038" i="1"/>
  <c r="J1039" i="1"/>
  <c r="J1040" i="1"/>
  <c r="J1042" i="1"/>
  <c r="J1043" i="1"/>
  <c r="J1045" i="1"/>
  <c r="J1046" i="1"/>
  <c r="J1047" i="1"/>
  <c r="J1048" i="1"/>
  <c r="J1049" i="1"/>
  <c r="J1051" i="1"/>
  <c r="J1052" i="1"/>
  <c r="J1054" i="1"/>
  <c r="J1055" i="1"/>
  <c r="J1056" i="1"/>
  <c r="J1057" i="1"/>
  <c r="J1058" i="1"/>
  <c r="J1059" i="1"/>
  <c r="J1060" i="1"/>
  <c r="J1061" i="1"/>
  <c r="J1062" i="1"/>
  <c r="J1063" i="1"/>
  <c r="J1064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9" i="1"/>
  <c r="J1100" i="1"/>
  <c r="J1101" i="1"/>
  <c r="J1102" i="1"/>
  <c r="J1110" i="1"/>
  <c r="J1111" i="1"/>
  <c r="J1112" i="1"/>
  <c r="J1113" i="1"/>
  <c r="J1114" i="1"/>
  <c r="J1115" i="1"/>
  <c r="J1116" i="1"/>
  <c r="J1117" i="1"/>
  <c r="J1120" i="1"/>
  <c r="J1121" i="1"/>
  <c r="J1122" i="1"/>
  <c r="J1123" i="1"/>
  <c r="J1124" i="1"/>
  <c r="J1125" i="1"/>
  <c r="J1126" i="1"/>
  <c r="J1127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9" i="1"/>
  <c r="J1160" i="1"/>
  <c r="J1161" i="1"/>
  <c r="J1162" i="1"/>
  <c r="J1163" i="1"/>
  <c r="J1164" i="1"/>
  <c r="J1165" i="1"/>
  <c r="J1166" i="1"/>
  <c r="J1167" i="1"/>
  <c r="J1168" i="1"/>
  <c r="J1170" i="1"/>
  <c r="J1171" i="1"/>
  <c r="J1172" i="1"/>
  <c r="J1173" i="1"/>
  <c r="J1174" i="1"/>
  <c r="J1175" i="1"/>
  <c r="J1176" i="1"/>
  <c r="J1177" i="1"/>
  <c r="J1178" i="1"/>
  <c r="J1179" i="1"/>
  <c r="J1181" i="1"/>
  <c r="J1182" i="1"/>
  <c r="J1183" i="1"/>
  <c r="J1184" i="1"/>
  <c r="J1185" i="1"/>
  <c r="J1186" i="1"/>
  <c r="J1187" i="1"/>
  <c r="J1188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63" i="1"/>
  <c r="J1264" i="1"/>
  <c r="J1265" i="1"/>
  <c r="J1266" i="1"/>
  <c r="J1267" i="1"/>
  <c r="J1270" i="1"/>
  <c r="J1271" i="1"/>
  <c r="J1274" i="1"/>
  <c r="J1275" i="1"/>
  <c r="J1276" i="1"/>
  <c r="J1277" i="1"/>
  <c r="J1278" i="1"/>
  <c r="J1279" i="1"/>
  <c r="J1280" i="1"/>
  <c r="J1281" i="1"/>
  <c r="J1282" i="1"/>
  <c r="J1285" i="1"/>
  <c r="J1286" i="1"/>
  <c r="J1287" i="1"/>
  <c r="J1288" i="1"/>
  <c r="J1290" i="1"/>
  <c r="J1291" i="1"/>
  <c r="J1292" i="1"/>
  <c r="J1293" i="1"/>
  <c r="J1294" i="1"/>
  <c r="J1295" i="1"/>
  <c r="J1296" i="1"/>
  <c r="J1297" i="1"/>
  <c r="J1299" i="1"/>
  <c r="J1301" i="1"/>
  <c r="J1303" i="1"/>
  <c r="J1304" i="1"/>
  <c r="J1306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3" i="1"/>
  <c r="J1324" i="1"/>
  <c r="J1325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4" i="1"/>
  <c r="J1346" i="1"/>
  <c r="J1347" i="1"/>
  <c r="J1348" i="1"/>
  <c r="J1349" i="1"/>
  <c r="J1350" i="1"/>
  <c r="J1351" i="1"/>
  <c r="J1352" i="1"/>
  <c r="J1353" i="1"/>
  <c r="J1354" i="1"/>
  <c r="J1355" i="1"/>
  <c r="J1358" i="1"/>
  <c r="J1359" i="1"/>
  <c r="J1360" i="1"/>
  <c r="J1362" i="1"/>
  <c r="J1363" i="1"/>
  <c r="J1364" i="1"/>
  <c r="J1365" i="1"/>
  <c r="J1366" i="1"/>
  <c r="J1367" i="1"/>
  <c r="J1368" i="1"/>
  <c r="J1369" i="1"/>
  <c r="J1371" i="1"/>
  <c r="J1372" i="1"/>
  <c r="J1374" i="1"/>
  <c r="J1375" i="1"/>
  <c r="J1376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5" i="1"/>
  <c r="J1399" i="1"/>
  <c r="J1400" i="1"/>
  <c r="J1401" i="1"/>
  <c r="J1402" i="1"/>
  <c r="J1403" i="1"/>
  <c r="J1404" i="1"/>
  <c r="J1405" i="1"/>
  <c r="J1406" i="1"/>
  <c r="J1409" i="1"/>
  <c r="J1410" i="1"/>
  <c r="J1411" i="1"/>
  <c r="J1412" i="1"/>
  <c r="J1413" i="1"/>
  <c r="J1414" i="1"/>
  <c r="J1415" i="1"/>
  <c r="J1416" i="1"/>
  <c r="J1417" i="1"/>
  <c r="J1418" i="1"/>
  <c r="J1419" i="1"/>
  <c r="J1421" i="1"/>
  <c r="J1422" i="1"/>
  <c r="J1423" i="1"/>
  <c r="J1424" i="1"/>
  <c r="J1425" i="1"/>
  <c r="J1426" i="1"/>
  <c r="J1427" i="1"/>
  <c r="J1428" i="1"/>
  <c r="J1429" i="1"/>
  <c r="J1430" i="1"/>
  <c r="J1431" i="1"/>
  <c r="J1433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4" i="1"/>
  <c r="J1455" i="1"/>
  <c r="J1456" i="1"/>
  <c r="J1457" i="1"/>
  <c r="J1459" i="1"/>
  <c r="J1462" i="1"/>
  <c r="J1463" i="1"/>
  <c r="J1464" i="1"/>
  <c r="J1465" i="1"/>
  <c r="J1466" i="1"/>
  <c r="J1467" i="1"/>
  <c r="J1468" i="1"/>
  <c r="J1469" i="1"/>
  <c r="J1471" i="1"/>
  <c r="J1472" i="1"/>
  <c r="J1473" i="1"/>
  <c r="J1474" i="1"/>
  <c r="J1475" i="1"/>
  <c r="J1477" i="1"/>
  <c r="J1478" i="1"/>
  <c r="J1479" i="1"/>
  <c r="J1480" i="1"/>
  <c r="J1482" i="1"/>
  <c r="J1484" i="1"/>
  <c r="J1485" i="1"/>
  <c r="J1486" i="1"/>
  <c r="J1487" i="1"/>
  <c r="J1488" i="1"/>
  <c r="J1489" i="1"/>
  <c r="J1490" i="1"/>
  <c r="J1492" i="1"/>
  <c r="J1493" i="1"/>
  <c r="J1494" i="1"/>
  <c r="J1497" i="1"/>
  <c r="J1498" i="1"/>
  <c r="J1499" i="1"/>
  <c r="J1500" i="1"/>
  <c r="J1501" i="1"/>
  <c r="J1502" i="1"/>
  <c r="J1503" i="1"/>
  <c r="J1505" i="1"/>
  <c r="J1506" i="1"/>
  <c r="J1507" i="1"/>
  <c r="J1510" i="1"/>
  <c r="J1511" i="1"/>
  <c r="J1512" i="1"/>
  <c r="J1514" i="1"/>
  <c r="J1515" i="1"/>
  <c r="J1516" i="1"/>
  <c r="J1517" i="1"/>
  <c r="J1519" i="1"/>
  <c r="J1520" i="1"/>
  <c r="J1521" i="1"/>
  <c r="J1522" i="1"/>
  <c r="J1523" i="1"/>
  <c r="J1524" i="1"/>
  <c r="J1526" i="1"/>
  <c r="J1527" i="1"/>
  <c r="J1528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6" i="1"/>
  <c r="J1547" i="1"/>
  <c r="J1548" i="1"/>
  <c r="J1549" i="1"/>
  <c r="J1550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7" i="1"/>
  <c r="J1578" i="1"/>
  <c r="J1580" i="1"/>
  <c r="J1581" i="1"/>
  <c r="J1583" i="1"/>
  <c r="J1584" i="1"/>
  <c r="J1585" i="1"/>
  <c r="J1586" i="1"/>
  <c r="J1587" i="1"/>
  <c r="J1588" i="1"/>
  <c r="J1589" i="1"/>
  <c r="J1590" i="1"/>
  <c r="J1591" i="1"/>
  <c r="J1592" i="1"/>
  <c r="J1594" i="1"/>
  <c r="J1596" i="1"/>
  <c r="J1600" i="1"/>
  <c r="J1602" i="1"/>
  <c r="J1603" i="1"/>
  <c r="J1604" i="1"/>
  <c r="J1605" i="1"/>
  <c r="J1606" i="1"/>
  <c r="J1607" i="1"/>
  <c r="J1609" i="1"/>
  <c r="J1612" i="1"/>
  <c r="J1613" i="1"/>
  <c r="J1615" i="1"/>
  <c r="J1616" i="1"/>
  <c r="J1619" i="1"/>
  <c r="J1620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7" i="1"/>
  <c r="J1639" i="1"/>
  <c r="J1640" i="1"/>
  <c r="J1641" i="1"/>
  <c r="J1643" i="1"/>
  <c r="J1645" i="1"/>
  <c r="J1646" i="1"/>
  <c r="J1647" i="1"/>
  <c r="J1648" i="1"/>
  <c r="J1649" i="1"/>
  <c r="J1650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9" i="1"/>
  <c r="J1671" i="1"/>
  <c r="J1672" i="1"/>
  <c r="J1673" i="1"/>
  <c r="J1674" i="1"/>
  <c r="J1676" i="1"/>
  <c r="J1677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1" i="1"/>
  <c r="K351" i="1" s="1"/>
  <c r="I352" i="1"/>
  <c r="K352" i="1" s="1"/>
  <c r="I353" i="1"/>
  <c r="K353" i="1" s="1"/>
  <c r="I354" i="1"/>
  <c r="K354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5" i="1"/>
  <c r="K395" i="1" s="1"/>
  <c r="I396" i="1"/>
  <c r="K396" i="1" s="1"/>
  <c r="I397" i="1"/>
  <c r="K397" i="1" s="1"/>
  <c r="I398" i="1"/>
  <c r="K398" i="1" s="1"/>
  <c r="I399" i="1"/>
  <c r="K399" i="1" s="1"/>
  <c r="I400" i="1"/>
  <c r="K400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5" i="1"/>
  <c r="K465" i="1" s="1"/>
  <c r="I468" i="1"/>
  <c r="K468" i="1" s="1"/>
  <c r="I470" i="1"/>
  <c r="K470" i="1" s="1"/>
  <c r="I471" i="1"/>
  <c r="K471" i="1" s="1"/>
  <c r="I473" i="1"/>
  <c r="K473" i="1" s="1"/>
  <c r="I474" i="1"/>
  <c r="K474" i="1" s="1"/>
  <c r="I478" i="1"/>
  <c r="K478" i="1" s="1"/>
  <c r="I479" i="1"/>
  <c r="K479" i="1" s="1"/>
  <c r="I480" i="1"/>
  <c r="K480" i="1" s="1"/>
  <c r="I481" i="1"/>
  <c r="K481" i="1" s="1"/>
  <c r="I484" i="1"/>
  <c r="K484" i="1" s="1"/>
  <c r="I485" i="1"/>
  <c r="K485" i="1" s="1"/>
  <c r="I487" i="1"/>
  <c r="K487" i="1" s="1"/>
  <c r="I488" i="1"/>
  <c r="K488" i="1" s="1"/>
  <c r="I489" i="1"/>
  <c r="K489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6" i="1"/>
  <c r="K536" i="1" s="1"/>
  <c r="I537" i="1"/>
  <c r="K537" i="1" s="1"/>
  <c r="I538" i="1"/>
  <c r="K538" i="1" s="1"/>
  <c r="I541" i="1"/>
  <c r="K541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5" i="1"/>
  <c r="K595" i="1" s="1"/>
  <c r="I596" i="1"/>
  <c r="K596" i="1" s="1"/>
  <c r="I597" i="1"/>
  <c r="K597" i="1" s="1"/>
  <c r="I598" i="1"/>
  <c r="K598" i="1" s="1"/>
  <c r="I599" i="1"/>
  <c r="K599" i="1" s="1"/>
  <c r="I601" i="1"/>
  <c r="K601" i="1" s="1"/>
  <c r="I602" i="1"/>
  <c r="K602" i="1" s="1"/>
  <c r="I603" i="1"/>
  <c r="K603" i="1" s="1"/>
  <c r="I604" i="1"/>
  <c r="K604" i="1" s="1"/>
  <c r="I605" i="1"/>
  <c r="K605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5" i="1"/>
  <c r="K695" i="1" s="1"/>
  <c r="I696" i="1"/>
  <c r="K696" i="1" s="1"/>
  <c r="I697" i="1"/>
  <c r="K697" i="1" s="1"/>
  <c r="I698" i="1"/>
  <c r="K698" i="1" s="1"/>
  <c r="I700" i="1"/>
  <c r="K700" i="1" s="1"/>
  <c r="I704" i="1"/>
  <c r="K704" i="1" s="1"/>
  <c r="I699" i="1"/>
  <c r="K699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50" i="1"/>
  <c r="K750" i="1" s="1"/>
  <c r="I751" i="1"/>
  <c r="K751" i="1" s="1"/>
  <c r="I752" i="1"/>
  <c r="K752" i="1" s="1"/>
  <c r="I753" i="1"/>
  <c r="K753" i="1" s="1"/>
  <c r="I754" i="1"/>
  <c r="K754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7" i="1"/>
  <c r="K797" i="1" s="1"/>
  <c r="I798" i="1"/>
  <c r="K798" i="1" s="1"/>
  <c r="I799" i="1"/>
  <c r="K799" i="1" s="1"/>
  <c r="I800" i="1"/>
  <c r="K800" i="1" s="1"/>
  <c r="I801" i="1"/>
  <c r="K801" i="1" s="1"/>
  <c r="I802" i="1"/>
  <c r="K802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9" i="1"/>
  <c r="K879" i="1" s="1"/>
  <c r="I880" i="1"/>
  <c r="K880" i="1" s="1"/>
  <c r="I881" i="1"/>
  <c r="K881" i="1" s="1"/>
  <c r="I882" i="1"/>
  <c r="K882" i="1" s="1"/>
  <c r="I885" i="1"/>
  <c r="K885" i="1" s="1"/>
  <c r="I886" i="1"/>
  <c r="K886" i="1" s="1"/>
  <c r="I887" i="1"/>
  <c r="K887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82" i="1"/>
  <c r="K982" i="1" s="1"/>
  <c r="I983" i="1"/>
  <c r="K983" i="1" s="1"/>
  <c r="I984" i="1"/>
  <c r="K984" i="1" s="1"/>
  <c r="I985" i="1"/>
  <c r="K985" i="1" s="1"/>
  <c r="I986" i="1"/>
  <c r="K986" i="1" s="1"/>
  <c r="I988" i="1"/>
  <c r="K988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8" i="1"/>
  <c r="K1038" i="1" s="1"/>
  <c r="I1039" i="1"/>
  <c r="K1039" i="1" s="1"/>
  <c r="I1040" i="1"/>
  <c r="K1040" i="1" s="1"/>
  <c r="I1042" i="1"/>
  <c r="K1042" i="1" s="1"/>
  <c r="I1043" i="1"/>
  <c r="K1043" i="1" s="1"/>
  <c r="I1045" i="1"/>
  <c r="K1045" i="1" s="1"/>
  <c r="I1046" i="1"/>
  <c r="K1046" i="1" s="1"/>
  <c r="I1047" i="1"/>
  <c r="K1047" i="1" s="1"/>
  <c r="I1048" i="1"/>
  <c r="K1048" i="1" s="1"/>
  <c r="I1049" i="1"/>
  <c r="K1049" i="1" s="1"/>
  <c r="I1051" i="1"/>
  <c r="K1051" i="1" s="1"/>
  <c r="I1052" i="1"/>
  <c r="K1052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9" i="1"/>
  <c r="K1099" i="1" s="1"/>
  <c r="I1100" i="1"/>
  <c r="K1100" i="1" s="1"/>
  <c r="I1101" i="1"/>
  <c r="K1101" i="1" s="1"/>
  <c r="I1102" i="1"/>
  <c r="K1102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63" i="1"/>
  <c r="K1263" i="1" s="1"/>
  <c r="I1264" i="1"/>
  <c r="K1264" i="1" s="1"/>
  <c r="I1265" i="1"/>
  <c r="K1265" i="1" s="1"/>
  <c r="I1266" i="1"/>
  <c r="K1266" i="1" s="1"/>
  <c r="I1267" i="1"/>
  <c r="K1267" i="1" s="1"/>
  <c r="I1270" i="1"/>
  <c r="K1270" i="1" s="1"/>
  <c r="I1271" i="1"/>
  <c r="K1271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5" i="1"/>
  <c r="K1285" i="1" s="1"/>
  <c r="I1286" i="1"/>
  <c r="K1286" i="1" s="1"/>
  <c r="I1287" i="1"/>
  <c r="K1287" i="1" s="1"/>
  <c r="I1288" i="1"/>
  <c r="K1288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9" i="1"/>
  <c r="K1299" i="1" s="1"/>
  <c r="I1301" i="1"/>
  <c r="K1301" i="1" s="1"/>
  <c r="I1303" i="1"/>
  <c r="K1303" i="1" s="1"/>
  <c r="I1304" i="1"/>
  <c r="K1304" i="1" s="1"/>
  <c r="I1306" i="1"/>
  <c r="K1306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3" i="1"/>
  <c r="K1323" i="1" s="1"/>
  <c r="I1324" i="1"/>
  <c r="K1324" i="1" s="1"/>
  <c r="I1325" i="1"/>
  <c r="K1325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4" i="1"/>
  <c r="K1344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8" i="1"/>
  <c r="K1358" i="1" s="1"/>
  <c r="I1359" i="1"/>
  <c r="K1359" i="1" s="1"/>
  <c r="I1360" i="1"/>
  <c r="K1360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1" i="1"/>
  <c r="K1371" i="1" s="1"/>
  <c r="I1372" i="1"/>
  <c r="K1372" i="1" s="1"/>
  <c r="I1374" i="1"/>
  <c r="K1374" i="1" s="1"/>
  <c r="I1375" i="1"/>
  <c r="K1375" i="1" s="1"/>
  <c r="I1376" i="1"/>
  <c r="K1376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5" i="1"/>
  <c r="K1395" i="1" s="1"/>
  <c r="I1399" i="1"/>
  <c r="K1399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3" i="1"/>
  <c r="K1433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4" i="1"/>
  <c r="K1454" i="1" s="1"/>
  <c r="I1455" i="1"/>
  <c r="K1455" i="1" s="1"/>
  <c r="I1456" i="1"/>
  <c r="K1456" i="1" s="1"/>
  <c r="I1457" i="1"/>
  <c r="K1457" i="1" s="1"/>
  <c r="I1459" i="1"/>
  <c r="K1459" i="1" s="1"/>
  <c r="I1462" i="1"/>
  <c r="K1462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1" i="1"/>
  <c r="K1471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8" i="1"/>
  <c r="K1478" i="1" s="1"/>
  <c r="I1479" i="1"/>
  <c r="K1479" i="1" s="1"/>
  <c r="I1480" i="1"/>
  <c r="K1480" i="1" s="1"/>
  <c r="I1482" i="1"/>
  <c r="K1482" i="1" s="1"/>
  <c r="I1484" i="1"/>
  <c r="K1484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2" i="1"/>
  <c r="K1492" i="1" s="1"/>
  <c r="I1493" i="1"/>
  <c r="K1493" i="1" s="1"/>
  <c r="I1494" i="1"/>
  <c r="K1494" i="1" s="1"/>
  <c r="I1497" i="1"/>
  <c r="K1497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5" i="1"/>
  <c r="K1505" i="1" s="1"/>
  <c r="I1506" i="1"/>
  <c r="K1506" i="1" s="1"/>
  <c r="I1507" i="1"/>
  <c r="K1507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9" i="1"/>
  <c r="K1519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6" i="1"/>
  <c r="K1526" i="1" s="1"/>
  <c r="I1527" i="1"/>
  <c r="K1527" i="1" s="1"/>
  <c r="I1528" i="1"/>
  <c r="K1528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6" i="1"/>
  <c r="K1546" i="1" s="1"/>
  <c r="I1547" i="1"/>
  <c r="K1547" i="1" s="1"/>
  <c r="I1548" i="1"/>
  <c r="K1548" i="1" s="1"/>
  <c r="I1549" i="1"/>
  <c r="K1549" i="1" s="1"/>
  <c r="I1550" i="1"/>
  <c r="K1550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7" i="1"/>
  <c r="K1577" i="1" s="1"/>
  <c r="I1578" i="1"/>
  <c r="K1578" i="1" s="1"/>
  <c r="I1580" i="1"/>
  <c r="K1580" i="1" s="1"/>
  <c r="I1581" i="1"/>
  <c r="K1581" i="1" s="1"/>
  <c r="I1583" i="1"/>
  <c r="K1583" i="1" s="1"/>
  <c r="I1584" i="1"/>
  <c r="K1584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4" i="1"/>
  <c r="K1594" i="1" s="1"/>
  <c r="I1596" i="1"/>
  <c r="K1596" i="1" s="1"/>
  <c r="I1600" i="1"/>
  <c r="K1600" i="1" s="1"/>
  <c r="I1602" i="1"/>
  <c r="K1602" i="1" s="1"/>
  <c r="I1603" i="1"/>
  <c r="K1603" i="1" s="1"/>
  <c r="I1604" i="1"/>
  <c r="K1604" i="1" s="1"/>
  <c r="I1605" i="1"/>
  <c r="K1605" i="1" s="1"/>
  <c r="I1606" i="1"/>
  <c r="K1606" i="1" s="1"/>
  <c r="I1607" i="1"/>
  <c r="K1607" i="1" s="1"/>
  <c r="I1609" i="1"/>
  <c r="K1609" i="1" s="1"/>
  <c r="I1612" i="1"/>
  <c r="K1612" i="1" s="1"/>
  <c r="I1613" i="1"/>
  <c r="K1613" i="1" s="1"/>
  <c r="I1615" i="1"/>
  <c r="K1615" i="1" s="1"/>
  <c r="I1616" i="1"/>
  <c r="K1616" i="1" s="1"/>
  <c r="I1619" i="1"/>
  <c r="K1619" i="1" s="1"/>
  <c r="I1620" i="1"/>
  <c r="K1620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7" i="1"/>
  <c r="K1637" i="1" s="1"/>
  <c r="I1639" i="1"/>
  <c r="K1639" i="1" s="1"/>
  <c r="I1640" i="1"/>
  <c r="K1640" i="1" s="1"/>
  <c r="I1641" i="1"/>
  <c r="K1641" i="1" s="1"/>
  <c r="I1643" i="1"/>
  <c r="K1643" i="1" s="1"/>
  <c r="I1645" i="1"/>
  <c r="K1645" i="1" s="1"/>
  <c r="I1646" i="1"/>
  <c r="K1646" i="1" s="1"/>
  <c r="I1647" i="1"/>
  <c r="K1647" i="1" s="1"/>
  <c r="I1648" i="1"/>
  <c r="K1648" i="1" s="1"/>
  <c r="I1649" i="1"/>
  <c r="K1649" i="1" s="1"/>
  <c r="I1650" i="1"/>
  <c r="K1650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9" i="1"/>
  <c r="K1669" i="1" s="1"/>
  <c r="I1671" i="1"/>
  <c r="K1671" i="1" s="1"/>
  <c r="I1672" i="1"/>
  <c r="K1672" i="1" s="1"/>
  <c r="I1673" i="1"/>
  <c r="K1673" i="1" s="1"/>
  <c r="I1674" i="1"/>
  <c r="K1674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7" i="1"/>
  <c r="K1717" i="1" s="1"/>
  <c r="I1718" i="1"/>
  <c r="K1718" i="1" s="1"/>
  <c r="I1719" i="1"/>
  <c r="K1719" i="1" s="1"/>
  <c r="I1720" i="1"/>
  <c r="K1720" i="1" s="1"/>
  <c r="I1722" i="1"/>
  <c r="K1722" i="1" s="1"/>
  <c r="I1723" i="1"/>
  <c r="K1723" i="1" s="1"/>
  <c r="I1724" i="1"/>
  <c r="K1724" i="1" s="1"/>
  <c r="I1725" i="1"/>
  <c r="K1725" i="1" s="1"/>
  <c r="I1727" i="1"/>
  <c r="K1727" i="1" s="1"/>
  <c r="I1728" i="1"/>
  <c r="K1728" i="1" s="1"/>
  <c r="I1729" i="1"/>
  <c r="K1729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7" i="1"/>
  <c r="K1747" i="1" s="1"/>
  <c r="I1749" i="1"/>
  <c r="K1749" i="1" s="1"/>
  <c r="I1751" i="1"/>
  <c r="K1751" i="1" s="1"/>
  <c r="I1754" i="1"/>
  <c r="K1754" i="1" s="1"/>
  <c r="I1755" i="1"/>
  <c r="K1755" i="1" s="1"/>
  <c r="I1756" i="1"/>
  <c r="K1756" i="1" s="1"/>
  <c r="I1757" i="1"/>
  <c r="K1757" i="1" s="1"/>
  <c r="I1758" i="1"/>
  <c r="K1758" i="1" s="1"/>
  <c r="I1759" i="1"/>
  <c r="K1759" i="1" s="1"/>
  <c r="I1761" i="1"/>
  <c r="K1761" i="1" s="1"/>
  <c r="I1762" i="1"/>
  <c r="K1762" i="1" s="1"/>
  <c r="I1763" i="1"/>
  <c r="K1763" i="1" s="1"/>
  <c r="I1764" i="1"/>
  <c r="K1764" i="1" s="1"/>
  <c r="I1765" i="1"/>
  <c r="K1765" i="1" s="1"/>
  <c r="I1767" i="1"/>
  <c r="K1767" i="1" s="1"/>
  <c r="I1770" i="1"/>
  <c r="K1770" i="1" s="1"/>
  <c r="I1771" i="1"/>
  <c r="K1771" i="1" s="1"/>
  <c r="I1772" i="1"/>
  <c r="K1772" i="1" s="1"/>
  <c r="I1773" i="1"/>
  <c r="K1773" i="1" s="1"/>
  <c r="I1774" i="1"/>
  <c r="K1774" i="1" s="1"/>
  <c r="I133" i="1"/>
  <c r="K133" i="1" s="1"/>
  <c r="I1775" i="1"/>
  <c r="K1775" i="1" s="1"/>
  <c r="I1776" i="1"/>
  <c r="K1776" i="1" s="1"/>
  <c r="I1778" i="1"/>
  <c r="K1778" i="1" s="1"/>
  <c r="I1779" i="1"/>
  <c r="K1779" i="1" s="1"/>
  <c r="I1781" i="1"/>
  <c r="K1781" i="1" s="1"/>
  <c r="I1783" i="1"/>
  <c r="K1783" i="1" s="1"/>
  <c r="I2" i="1"/>
  <c r="K2" i="1" s="1"/>
  <c r="H536" i="1" l="1"/>
  <c r="H1006" i="1"/>
  <c r="H391" i="1" l="1"/>
  <c r="H704" i="1" l="1"/>
  <c r="H1669" i="1" l="1"/>
  <c r="H1306" i="1"/>
  <c r="H1107" i="1" l="1"/>
  <c r="H487" i="1"/>
  <c r="H299" i="1"/>
  <c r="H367" i="1" l="1"/>
  <c r="H1589" i="1"/>
  <c r="H942" i="1"/>
  <c r="H512" i="1"/>
  <c r="H1616" i="1"/>
  <c r="H1677" i="1"/>
  <c r="H1069" i="1"/>
  <c r="H1068" i="1"/>
  <c r="H1067" i="1"/>
  <c r="H1066" i="1"/>
  <c r="H1064" i="1"/>
  <c r="H1063" i="1"/>
  <c r="H1062" i="1"/>
  <c r="H1061" i="1"/>
  <c r="H1060" i="1"/>
  <c r="H1059" i="1"/>
  <c r="H1058" i="1"/>
  <c r="H1057" i="1"/>
  <c r="H1056" i="1"/>
  <c r="H1055" i="1"/>
  <c r="H1054" i="1"/>
  <c r="H458" i="1"/>
  <c r="H1121" i="1" l="1"/>
  <c r="H1260" i="1" l="1"/>
  <c r="H651" i="1" l="1"/>
  <c r="H381" i="1" l="1"/>
  <c r="H1106" i="1" l="1"/>
  <c r="H1259" i="1"/>
  <c r="H1304" i="1"/>
  <c r="H298" i="1"/>
  <c r="H1667" i="1"/>
  <c r="H84" i="1" l="1"/>
  <c r="H485" i="1"/>
  <c r="H1665" i="1" l="1"/>
  <c r="H1654" i="1" l="1"/>
  <c r="H867" i="1" l="1"/>
  <c r="H813" i="1" l="1"/>
  <c r="H659" i="1"/>
  <c r="H380" i="1"/>
  <c r="H31" i="1"/>
  <c r="H1024" i="1"/>
  <c r="H1620" i="1" l="1"/>
  <c r="H1600" i="1"/>
  <c r="H1663" i="1" l="1"/>
  <c r="H820" i="1" l="1"/>
  <c r="H1271" i="1" l="1"/>
  <c r="H710" i="1" l="1"/>
  <c r="H203" i="1" l="1"/>
  <c r="H1391" i="1" l="1"/>
  <c r="H1286" i="1" l="1"/>
  <c r="H713" i="1" l="1"/>
  <c r="H1594" i="1"/>
  <c r="H175" i="1"/>
  <c r="H1270" i="1" l="1"/>
  <c r="H831" i="1" l="1"/>
  <c r="H1592" i="1" l="1"/>
  <c r="H658" i="1"/>
  <c r="H940" i="1"/>
  <c r="H924" i="1"/>
  <c r="H712" i="1"/>
  <c r="H1275" i="1"/>
  <c r="H1256" i="1"/>
  <c r="H641" i="1"/>
  <c r="H1342" i="1"/>
  <c r="H737" i="1"/>
  <c r="H1537" i="1" l="1"/>
  <c r="H1039" i="1" l="1"/>
  <c r="H1591" i="1"/>
  <c r="H525" i="1"/>
  <c r="H736" i="1"/>
  <c r="H1547" i="1" l="1"/>
  <c r="H1009" i="1"/>
  <c r="H848" i="1" l="1"/>
  <c r="H608" i="1" l="1"/>
  <c r="H654" i="1" l="1"/>
  <c r="H695" i="1"/>
  <c r="H1038" i="1"/>
  <c r="H1602" i="1"/>
  <c r="H25" i="1"/>
  <c r="H1023" i="1"/>
  <c r="H1489" i="1"/>
  <c r="H927" i="1"/>
  <c r="H1637" i="1"/>
  <c r="H74" i="1" l="1"/>
  <c r="H185" i="1"/>
  <c r="H1590" i="1" l="1"/>
  <c r="H1588" i="1"/>
  <c r="H911" i="1"/>
  <c r="H322" i="1"/>
  <c r="H926" i="1"/>
  <c r="H1008" i="1"/>
  <c r="H1619" i="1"/>
  <c r="H602" i="1" l="1"/>
  <c r="H588" i="1"/>
  <c r="H1444" i="1" l="1"/>
  <c r="H765" i="1" l="1"/>
  <c r="H849" i="1" l="1"/>
  <c r="H910" i="1" l="1"/>
  <c r="H1117" i="1"/>
  <c r="H1085" i="1"/>
  <c r="H1040" i="1"/>
  <c r="H1175" i="1"/>
  <c r="H1615" i="1"/>
  <c r="H1596" i="1" l="1"/>
  <c r="H316" i="1" l="1"/>
  <c r="H65" i="1" l="1"/>
  <c r="H657" i="1"/>
  <c r="H12" i="1"/>
  <c r="H1544" i="1"/>
  <c r="H882" i="1"/>
  <c r="H296" i="1"/>
  <c r="H912" i="1"/>
  <c r="H1475" i="1"/>
  <c r="H1116" i="1"/>
  <c r="H943" i="1"/>
  <c r="H1217" i="1"/>
  <c r="H614" i="1"/>
  <c r="H1290" i="1" l="1"/>
  <c r="H88" i="1" l="1"/>
  <c r="H1613" i="1" l="1"/>
  <c r="H1587" i="1"/>
  <c r="H1477" i="1" l="1"/>
  <c r="H1468" i="1"/>
  <c r="H494" i="1"/>
  <c r="H923" i="1"/>
  <c r="H72" i="1"/>
  <c r="H1296" i="1"/>
  <c r="H698" i="1"/>
  <c r="H1497" i="1" l="1"/>
  <c r="H628" i="1" l="1"/>
  <c r="H686" i="1"/>
  <c r="H342" i="1"/>
  <c r="H556" i="1"/>
  <c r="H851" i="1"/>
  <c r="H1658" i="1" l="1"/>
  <c r="H1309" i="1"/>
  <c r="H668" i="1" l="1"/>
  <c r="H683" i="1"/>
  <c r="H47" i="1" l="1"/>
  <c r="H1640" i="1" l="1"/>
  <c r="H39" i="1" l="1"/>
  <c r="H339" i="1" l="1"/>
  <c r="H321" i="1"/>
  <c r="H15" i="1"/>
  <c r="H814" i="1"/>
  <c r="H428" i="1"/>
  <c r="H1516" i="1"/>
  <c r="H196" i="1"/>
  <c r="H1210" i="1"/>
  <c r="H1027" i="1" l="1"/>
  <c r="H1159" i="1" l="1"/>
  <c r="H297" i="1"/>
  <c r="H909" i="1"/>
  <c r="H1341" i="1"/>
  <c r="H881" i="1"/>
  <c r="H697" i="1"/>
  <c r="H656" i="1"/>
  <c r="H511" i="1"/>
  <c r="H639" i="1"/>
  <c r="H1036" i="1"/>
  <c r="H1168" i="1"/>
  <c r="H1512" i="1"/>
  <c r="H1349" i="1" l="1"/>
  <c r="H1657" i="1"/>
  <c r="H4" i="1" l="1"/>
  <c r="H204" i="1" l="1"/>
  <c r="H518" i="1"/>
  <c r="H1015" i="1" l="1"/>
  <c r="H1365" i="1" l="1"/>
  <c r="H885" i="1"/>
  <c r="H914" i="1"/>
  <c r="H1097" i="1"/>
  <c r="H939" i="1"/>
  <c r="H366" i="1"/>
  <c r="H61" i="1"/>
  <c r="H1533" i="1"/>
  <c r="H864" i="1"/>
  <c r="H1346" i="1"/>
  <c r="H63" i="1" l="1"/>
  <c r="H729" i="1" l="1"/>
  <c r="H1448" i="1" l="1"/>
  <c r="H1457" i="1"/>
  <c r="H1031" i="1" l="1"/>
  <c r="H1607" i="1" l="1"/>
  <c r="H1585" i="1"/>
  <c r="H373" i="1" l="1"/>
  <c r="H1350" i="1"/>
  <c r="H1013" i="1" l="1"/>
  <c r="H295" i="1" l="1"/>
  <c r="H1000" i="1" l="1"/>
  <c r="H900" i="1" l="1"/>
  <c r="H865" i="1" l="1"/>
  <c r="H762" i="1"/>
  <c r="H13" i="1"/>
  <c r="H1299" i="1"/>
  <c r="H1167" i="1"/>
  <c r="H643" i="1"/>
  <c r="H1347" i="1"/>
  <c r="H734" i="1"/>
  <c r="H173" i="1"/>
  <c r="H1573" i="1" l="1"/>
  <c r="H1139" i="1" l="1"/>
  <c r="H661" i="1"/>
  <c r="H411" i="1"/>
  <c r="H1012" i="1" l="1"/>
  <c r="H537" i="1" l="1"/>
  <c r="H186" i="1" l="1"/>
  <c r="H1676" i="1" l="1"/>
  <c r="H794" i="1" l="1"/>
  <c r="H1234" i="1" l="1"/>
  <c r="H941" i="1" l="1"/>
  <c r="H365" i="1"/>
  <c r="H925" i="1"/>
  <c r="H1277" i="1"/>
  <c r="H184" i="1" l="1"/>
  <c r="H189" i="1" l="1"/>
  <c r="H104" i="1" l="1"/>
  <c r="H1487" i="1" l="1"/>
  <c r="H51" i="1"/>
  <c r="H1288" i="1"/>
  <c r="H1390" i="1"/>
  <c r="H183" i="1"/>
  <c r="H1123" i="1" l="1"/>
  <c r="H1570" i="1"/>
  <c r="H398" i="1" l="1"/>
  <c r="H1375" i="1"/>
  <c r="H1124" i="1"/>
  <c r="H21" i="1"/>
  <c r="H11" i="1"/>
  <c r="H1247" i="1"/>
  <c r="H1222" i="1"/>
  <c r="H308" i="1"/>
  <c r="H69" i="1" l="1"/>
  <c r="H1549" i="1"/>
  <c r="H824" i="1"/>
  <c r="H1521" i="1"/>
  <c r="H1473" i="1"/>
  <c r="H1464" i="1"/>
  <c r="H1501" i="1"/>
  <c r="H1382" i="1"/>
  <c r="H1412" i="1"/>
  <c r="H1659" i="1"/>
  <c r="H899" i="1"/>
  <c r="H938" i="1" l="1"/>
  <c r="H937" i="1"/>
  <c r="H921" i="1"/>
  <c r="H920" i="1"/>
  <c r="H30" i="1"/>
  <c r="H660" i="1"/>
  <c r="H665" i="1"/>
  <c r="H364" i="1"/>
  <c r="H1230" i="1"/>
  <c r="H587" i="1"/>
  <c r="H1515" i="1"/>
  <c r="H201" i="1"/>
  <c r="H999" i="1" l="1"/>
  <c r="H847" i="1"/>
  <c r="H1526" i="1"/>
  <c r="H1647" i="1"/>
  <c r="H1566" i="1"/>
  <c r="H1224" i="1"/>
  <c r="H957" i="1"/>
  <c r="H742" i="1"/>
  <c r="H497" i="1"/>
  <c r="H338" i="1"/>
  <c r="H320" i="1"/>
  <c r="H16" i="1"/>
  <c r="H53" i="1" l="1"/>
  <c r="H1456" i="1"/>
  <c r="H1447" i="1"/>
  <c r="H1467" i="1"/>
  <c r="H1478" i="1"/>
  <c r="H1639" i="1" l="1"/>
  <c r="H1522" i="1"/>
  <c r="H1503" i="1"/>
  <c r="H1490" i="1"/>
  <c r="H1405" i="1"/>
  <c r="H1369" i="1"/>
  <c r="H1282" i="1"/>
  <c r="H1258" i="1"/>
  <c r="H1231" i="1"/>
  <c r="H1170" i="1"/>
  <c r="H1101" i="1"/>
  <c r="H1099" i="1"/>
  <c r="H1084" i="1"/>
  <c r="H1010" i="1"/>
  <c r="H919" i="1"/>
  <c r="H889" i="1"/>
  <c r="H846" i="1"/>
  <c r="H598" i="1"/>
  <c r="H589" i="1"/>
  <c r="H538" i="1"/>
  <c r="H533" i="1"/>
  <c r="H510" i="1"/>
  <c r="H504" i="1"/>
  <c r="H457" i="1"/>
  <c r="H440" i="1"/>
  <c r="H427" i="1"/>
  <c r="H390" i="1"/>
  <c r="H363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2" i="1"/>
  <c r="H333" i="1"/>
  <c r="H334" i="1"/>
  <c r="H335" i="1"/>
  <c r="H336" i="1"/>
  <c r="H337" i="1"/>
  <c r="H340" i="1"/>
  <c r="H341" i="1"/>
  <c r="H343" i="1"/>
  <c r="H344" i="1"/>
  <c r="H345" i="1"/>
  <c r="H346" i="1"/>
  <c r="H347" i="1"/>
  <c r="H348" i="1"/>
  <c r="H353" i="1"/>
  <c r="H354" i="1"/>
  <c r="H356" i="1"/>
  <c r="H357" i="1"/>
  <c r="H358" i="1"/>
  <c r="H359" i="1"/>
  <c r="H360" i="1"/>
  <c r="H361" i="1"/>
  <c r="H362" i="1"/>
  <c r="H368" i="1"/>
  <c r="H369" i="1"/>
  <c r="H370" i="1"/>
  <c r="H371" i="1"/>
  <c r="H372" i="1"/>
  <c r="H374" i="1"/>
  <c r="H375" i="1"/>
  <c r="H376" i="1"/>
  <c r="H382" i="1"/>
  <c r="H383" i="1"/>
  <c r="H384" i="1"/>
  <c r="H385" i="1"/>
  <c r="H386" i="1"/>
  <c r="H387" i="1"/>
  <c r="H388" i="1"/>
  <c r="H389" i="1"/>
  <c r="H392" i="1"/>
  <c r="H393" i="1"/>
  <c r="H397" i="1"/>
  <c r="H399" i="1"/>
  <c r="H400" i="1"/>
  <c r="H404" i="1"/>
  <c r="H405" i="1"/>
  <c r="H406" i="1"/>
  <c r="H407" i="1"/>
  <c r="H408" i="1"/>
  <c r="H409" i="1"/>
  <c r="H410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9" i="1"/>
  <c r="H430" i="1"/>
  <c r="H431" i="1"/>
  <c r="H432" i="1"/>
  <c r="H433" i="1"/>
  <c r="H434" i="1"/>
  <c r="H435" i="1"/>
  <c r="H436" i="1"/>
  <c r="H437" i="1"/>
  <c r="H438" i="1"/>
  <c r="H439" i="1"/>
  <c r="H441" i="1"/>
  <c r="H442" i="1"/>
  <c r="H443" i="1"/>
  <c r="H455" i="1"/>
  <c r="H456" i="1"/>
  <c r="H459" i="1"/>
  <c r="H460" i="1"/>
  <c r="H461" i="1"/>
  <c r="H463" i="1"/>
  <c r="H465" i="1"/>
  <c r="H468" i="1"/>
  <c r="H470" i="1"/>
  <c r="H471" i="1"/>
  <c r="H473" i="1"/>
  <c r="H478" i="1"/>
  <c r="H479" i="1"/>
  <c r="H480" i="1"/>
  <c r="H481" i="1"/>
  <c r="H484" i="1"/>
  <c r="H488" i="1"/>
  <c r="H489" i="1"/>
  <c r="H491" i="1"/>
  <c r="H492" i="1"/>
  <c r="H493" i="1"/>
  <c r="H495" i="1"/>
  <c r="H496" i="1"/>
  <c r="H498" i="1"/>
  <c r="H499" i="1"/>
  <c r="H500" i="1"/>
  <c r="H501" i="1"/>
  <c r="H502" i="1"/>
  <c r="H503" i="1"/>
  <c r="H505" i="1"/>
  <c r="H506" i="1"/>
  <c r="H507" i="1"/>
  <c r="H508" i="1"/>
  <c r="H509" i="1"/>
  <c r="H513" i="1"/>
  <c r="H514" i="1"/>
  <c r="H515" i="1"/>
  <c r="H516" i="1"/>
  <c r="H517" i="1"/>
  <c r="H519" i="1"/>
  <c r="H520" i="1"/>
  <c r="H521" i="1"/>
  <c r="H522" i="1"/>
  <c r="H523" i="1"/>
  <c r="H524" i="1"/>
  <c r="H526" i="1"/>
  <c r="H527" i="1"/>
  <c r="H528" i="1"/>
  <c r="H529" i="1"/>
  <c r="H530" i="1"/>
  <c r="H531" i="1"/>
  <c r="H532" i="1"/>
  <c r="H541" i="1"/>
  <c r="H550" i="1"/>
  <c r="H555" i="1"/>
  <c r="H551" i="1"/>
  <c r="H549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90" i="1"/>
  <c r="H591" i="1"/>
  <c r="H592" i="1"/>
  <c r="H593" i="1"/>
  <c r="H595" i="1"/>
  <c r="H596" i="1"/>
  <c r="H597" i="1"/>
  <c r="H599" i="1"/>
  <c r="H601" i="1"/>
  <c r="H603" i="1"/>
  <c r="H604" i="1"/>
  <c r="H605" i="1"/>
  <c r="H607" i="1"/>
  <c r="H609" i="1"/>
  <c r="H610" i="1"/>
  <c r="H611" i="1"/>
  <c r="H612" i="1"/>
  <c r="H613" i="1"/>
  <c r="H615" i="1"/>
  <c r="H616" i="1"/>
  <c r="H617" i="1"/>
  <c r="H622" i="1"/>
  <c r="H623" i="1"/>
  <c r="H624" i="1"/>
  <c r="H625" i="1"/>
  <c r="H626" i="1"/>
  <c r="H627" i="1"/>
  <c r="H629" i="1"/>
  <c r="H630" i="1"/>
  <c r="H631" i="1"/>
  <c r="H632" i="1"/>
  <c r="H633" i="1"/>
  <c r="H640" i="1"/>
  <c r="H642" i="1"/>
  <c r="H644" i="1"/>
  <c r="H645" i="1"/>
  <c r="H646" i="1"/>
  <c r="H647" i="1"/>
  <c r="H648" i="1"/>
  <c r="H649" i="1"/>
  <c r="H652" i="1"/>
  <c r="H653" i="1"/>
  <c r="H655" i="1"/>
  <c r="H662" i="1"/>
  <c r="H663" i="1"/>
  <c r="H664" i="1"/>
  <c r="H666" i="1"/>
  <c r="H667" i="1"/>
  <c r="H669" i="1"/>
  <c r="H670" i="1"/>
  <c r="H671" i="1"/>
  <c r="H672" i="1"/>
  <c r="H673" i="1"/>
  <c r="H674" i="1"/>
  <c r="H675" i="1"/>
  <c r="H676" i="1"/>
  <c r="H677" i="1"/>
  <c r="H678" i="1"/>
  <c r="H679" i="1"/>
  <c r="H682" i="1"/>
  <c r="H684" i="1"/>
  <c r="H685" i="1"/>
  <c r="H687" i="1"/>
  <c r="H688" i="1"/>
  <c r="H689" i="1"/>
  <c r="H690" i="1"/>
  <c r="H696" i="1"/>
  <c r="H700" i="1"/>
  <c r="H699" i="1"/>
  <c r="H706" i="1"/>
  <c r="H707" i="1"/>
  <c r="H708" i="1"/>
  <c r="H709" i="1"/>
  <c r="H711" i="1"/>
  <c r="H714" i="1"/>
  <c r="H715" i="1"/>
  <c r="H716" i="1"/>
  <c r="H717" i="1"/>
  <c r="H722" i="1"/>
  <c r="H723" i="1"/>
  <c r="H724" i="1"/>
  <c r="H725" i="1"/>
  <c r="H726" i="1"/>
  <c r="H727" i="1"/>
  <c r="H728" i="1"/>
  <c r="H730" i="1"/>
  <c r="H731" i="1"/>
  <c r="H732" i="1"/>
  <c r="H733" i="1"/>
  <c r="H735" i="1"/>
  <c r="H740" i="1"/>
  <c r="H741" i="1"/>
  <c r="H743" i="1"/>
  <c r="H744" i="1"/>
  <c r="H745" i="1"/>
  <c r="H746" i="1"/>
  <c r="H747" i="1"/>
  <c r="H748" i="1"/>
  <c r="H750" i="1"/>
  <c r="H751" i="1"/>
  <c r="H752" i="1"/>
  <c r="H753" i="1"/>
  <c r="H754" i="1"/>
  <c r="H756" i="1"/>
  <c r="H757" i="1"/>
  <c r="H758" i="1"/>
  <c r="H759" i="1"/>
  <c r="H760" i="1"/>
  <c r="H761" i="1"/>
  <c r="H763" i="1"/>
  <c r="H764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5" i="1"/>
  <c r="H797" i="1"/>
  <c r="H798" i="1"/>
  <c r="H799" i="1"/>
  <c r="H800" i="1"/>
  <c r="H801" i="1"/>
  <c r="H802" i="1"/>
  <c r="H805" i="1"/>
  <c r="H806" i="1"/>
  <c r="H807" i="1"/>
  <c r="H808" i="1"/>
  <c r="H809" i="1"/>
  <c r="H810" i="1"/>
  <c r="H812" i="1"/>
  <c r="H815" i="1"/>
  <c r="H816" i="1"/>
  <c r="H817" i="1"/>
  <c r="H818" i="1"/>
  <c r="H819" i="1"/>
  <c r="H821" i="1"/>
  <c r="H822" i="1"/>
  <c r="H823" i="1"/>
  <c r="H825" i="1"/>
  <c r="H826" i="1"/>
  <c r="H828" i="1"/>
  <c r="H829" i="1"/>
  <c r="H830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50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6" i="1"/>
  <c r="H868" i="1"/>
  <c r="H869" i="1"/>
  <c r="H870" i="1"/>
  <c r="H879" i="1"/>
  <c r="H880" i="1"/>
  <c r="H886" i="1"/>
  <c r="H887" i="1"/>
  <c r="H890" i="1"/>
  <c r="H891" i="1"/>
  <c r="H896" i="1"/>
  <c r="H897" i="1"/>
  <c r="H898" i="1"/>
  <c r="H901" i="1"/>
  <c r="H902" i="1"/>
  <c r="H903" i="1"/>
  <c r="H904" i="1"/>
  <c r="H905" i="1"/>
  <c r="H906" i="1"/>
  <c r="H907" i="1"/>
  <c r="H908" i="1"/>
  <c r="H913" i="1"/>
  <c r="H915" i="1"/>
  <c r="H916" i="1"/>
  <c r="H917" i="1"/>
  <c r="H918" i="1"/>
  <c r="H928" i="1"/>
  <c r="H929" i="1"/>
  <c r="H930" i="1"/>
  <c r="H931" i="1"/>
  <c r="H932" i="1"/>
  <c r="H933" i="1"/>
  <c r="H934" i="1"/>
  <c r="H935" i="1"/>
  <c r="H936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8" i="1"/>
  <c r="H959" i="1"/>
  <c r="H960" i="1"/>
  <c r="H961" i="1"/>
  <c r="H962" i="1"/>
  <c r="H963" i="1"/>
  <c r="H964" i="1"/>
  <c r="H965" i="1"/>
  <c r="H997" i="1"/>
  <c r="H998" i="1"/>
  <c r="H1001" i="1"/>
  <c r="H1002" i="1"/>
  <c r="H1003" i="1"/>
  <c r="H1004" i="1"/>
  <c r="H1005" i="1"/>
  <c r="H1007" i="1"/>
  <c r="H1011" i="1"/>
  <c r="H1014" i="1"/>
  <c r="H1016" i="1"/>
  <c r="H1017" i="1"/>
  <c r="H1018" i="1"/>
  <c r="H1019" i="1"/>
  <c r="H1020" i="1"/>
  <c r="H1021" i="1"/>
  <c r="H1022" i="1"/>
  <c r="H1025" i="1"/>
  <c r="H1026" i="1"/>
  <c r="H1029" i="1"/>
  <c r="H1030" i="1"/>
  <c r="H1032" i="1"/>
  <c r="H1033" i="1"/>
  <c r="H1034" i="1"/>
  <c r="H1042" i="1"/>
  <c r="H1043" i="1"/>
  <c r="H1045" i="1"/>
  <c r="H1046" i="1"/>
  <c r="H1047" i="1"/>
  <c r="H1048" i="1"/>
  <c r="H1049" i="1"/>
  <c r="H1051" i="1"/>
  <c r="H1052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6" i="1"/>
  <c r="H1087" i="1"/>
  <c r="H1088" i="1"/>
  <c r="H1089" i="1"/>
  <c r="H1090" i="1"/>
  <c r="H1091" i="1"/>
  <c r="H1092" i="1"/>
  <c r="H1094" i="1"/>
  <c r="H1095" i="1"/>
  <c r="H1096" i="1"/>
  <c r="H1100" i="1"/>
  <c r="H1102" i="1"/>
  <c r="H1103" i="1"/>
  <c r="H1105" i="1"/>
  <c r="H1109" i="1"/>
  <c r="H1110" i="1"/>
  <c r="H1111" i="1"/>
  <c r="H1112" i="1"/>
  <c r="H1113" i="1"/>
  <c r="H1114" i="1"/>
  <c r="H1115" i="1"/>
  <c r="H1120" i="1"/>
  <c r="H1122" i="1"/>
  <c r="H1125" i="1"/>
  <c r="H1126" i="1"/>
  <c r="H1127" i="1"/>
  <c r="H1137" i="1"/>
  <c r="H1138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60" i="1"/>
  <c r="H1161" i="1"/>
  <c r="H1162" i="1"/>
  <c r="H1163" i="1"/>
  <c r="H1164" i="1"/>
  <c r="H1165" i="1"/>
  <c r="H1166" i="1"/>
  <c r="H1171" i="1"/>
  <c r="H1172" i="1"/>
  <c r="H1173" i="1"/>
  <c r="H1174" i="1"/>
  <c r="H1176" i="1"/>
  <c r="H1177" i="1"/>
  <c r="H1178" i="1"/>
  <c r="H1179" i="1"/>
  <c r="H1181" i="1"/>
  <c r="H1182" i="1"/>
  <c r="H1183" i="1"/>
  <c r="H1184" i="1"/>
  <c r="H1185" i="1"/>
  <c r="H1186" i="1"/>
  <c r="H1187" i="1"/>
  <c r="H1188" i="1"/>
  <c r="H1190" i="1"/>
  <c r="H1191" i="1"/>
  <c r="H1192" i="1"/>
  <c r="H1193" i="1"/>
  <c r="H1207" i="1"/>
  <c r="H1208" i="1"/>
  <c r="H1209" i="1"/>
  <c r="H1211" i="1"/>
  <c r="H1212" i="1"/>
  <c r="H1213" i="1"/>
  <c r="H1214" i="1"/>
  <c r="H1215" i="1"/>
  <c r="H1216" i="1"/>
  <c r="H1218" i="1"/>
  <c r="H1219" i="1"/>
  <c r="H1220" i="1"/>
  <c r="H1221" i="1"/>
  <c r="H1225" i="1"/>
  <c r="H1226" i="1"/>
  <c r="H1227" i="1"/>
  <c r="H1228" i="1"/>
  <c r="H1232" i="1"/>
  <c r="H1233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8" i="1"/>
  <c r="H1249" i="1"/>
  <c r="H1250" i="1"/>
  <c r="H1251" i="1"/>
  <c r="H1252" i="1"/>
  <c r="H1253" i="1"/>
  <c r="H1254" i="1"/>
  <c r="H1255" i="1"/>
  <c r="H1257" i="1"/>
  <c r="H1261" i="1"/>
  <c r="H1262" i="1"/>
  <c r="H1263" i="1"/>
  <c r="H1264" i="1"/>
  <c r="H1265" i="1"/>
  <c r="H1266" i="1"/>
  <c r="H1267" i="1"/>
  <c r="H1274" i="1"/>
  <c r="H1276" i="1"/>
  <c r="H1278" i="1"/>
  <c r="H1279" i="1"/>
  <c r="H1280" i="1"/>
  <c r="H1281" i="1"/>
  <c r="H1285" i="1"/>
  <c r="H1287" i="1"/>
  <c r="H1291" i="1"/>
  <c r="H1292" i="1"/>
  <c r="H1293" i="1"/>
  <c r="H1294" i="1"/>
  <c r="H1295" i="1"/>
  <c r="H1297" i="1"/>
  <c r="H1301" i="1"/>
  <c r="H1303" i="1"/>
  <c r="H1310" i="1"/>
  <c r="H1336" i="1"/>
  <c r="H1337" i="1"/>
  <c r="H1338" i="1"/>
  <c r="H1339" i="1"/>
  <c r="H1340" i="1"/>
  <c r="H1344" i="1"/>
  <c r="H1348" i="1"/>
  <c r="H1351" i="1"/>
  <c r="H1352" i="1"/>
  <c r="H1353" i="1"/>
  <c r="H1354" i="1"/>
  <c r="H1355" i="1"/>
  <c r="H1358" i="1"/>
  <c r="H1359" i="1"/>
  <c r="H1360" i="1"/>
  <c r="H1362" i="1"/>
  <c r="H1363" i="1"/>
  <c r="H1364" i="1"/>
  <c r="H1366" i="1"/>
  <c r="H1367" i="1"/>
  <c r="H1368" i="1"/>
  <c r="H1371" i="1"/>
  <c r="H1372" i="1"/>
  <c r="H1374" i="1"/>
  <c r="H1376" i="1"/>
  <c r="H1378" i="1"/>
  <c r="H1379" i="1"/>
  <c r="H1380" i="1"/>
  <c r="H1381" i="1"/>
  <c r="H1384" i="1"/>
  <c r="H1385" i="1"/>
  <c r="H1386" i="1"/>
  <c r="H1387" i="1"/>
  <c r="H1388" i="1"/>
  <c r="H1389" i="1"/>
  <c r="H1395" i="1"/>
  <c r="H1399" i="1"/>
  <c r="H1400" i="1"/>
  <c r="H1401" i="1"/>
  <c r="H1402" i="1"/>
  <c r="H1403" i="1"/>
  <c r="H1404" i="1"/>
  <c r="H1406" i="1"/>
  <c r="H1409" i="1"/>
  <c r="H1410" i="1"/>
  <c r="H1411" i="1"/>
  <c r="H1414" i="1"/>
  <c r="H1415" i="1"/>
  <c r="H1416" i="1"/>
  <c r="H1417" i="1"/>
  <c r="H1418" i="1"/>
  <c r="H1419" i="1"/>
  <c r="H1421" i="1"/>
  <c r="H1422" i="1"/>
  <c r="H1423" i="1"/>
  <c r="H1424" i="1"/>
  <c r="H1425" i="1"/>
  <c r="H1426" i="1"/>
  <c r="H1427" i="1"/>
  <c r="H1428" i="1"/>
  <c r="H1429" i="1"/>
  <c r="H1430" i="1"/>
  <c r="H1431" i="1"/>
  <c r="H1433" i="1"/>
  <c r="H1434" i="1"/>
  <c r="H1436" i="1"/>
  <c r="H1437" i="1"/>
  <c r="H1438" i="1"/>
  <c r="H1439" i="1"/>
  <c r="H1440" i="1"/>
  <c r="H1441" i="1"/>
  <c r="H1445" i="1"/>
  <c r="H1446" i="1"/>
  <c r="H1450" i="1"/>
  <c r="H1454" i="1"/>
  <c r="H1455" i="1"/>
  <c r="H1459" i="1"/>
  <c r="H1462" i="1"/>
  <c r="H1463" i="1"/>
  <c r="H1465" i="1"/>
  <c r="H1466" i="1"/>
  <c r="H1469" i="1"/>
  <c r="H1471" i="1"/>
  <c r="H1472" i="1"/>
  <c r="H1474" i="1"/>
  <c r="H1479" i="1"/>
  <c r="H1480" i="1"/>
  <c r="H1482" i="1"/>
  <c r="H1484" i="1"/>
  <c r="H1485" i="1"/>
  <c r="H1486" i="1"/>
  <c r="H1488" i="1"/>
  <c r="H1492" i="1"/>
  <c r="H1493" i="1"/>
  <c r="H1494" i="1"/>
  <c r="H1498" i="1"/>
  <c r="H1499" i="1"/>
  <c r="H1500" i="1"/>
  <c r="H1502" i="1"/>
  <c r="H1505" i="1"/>
  <c r="H1506" i="1"/>
  <c r="H1507" i="1"/>
  <c r="H1510" i="1"/>
  <c r="H1511" i="1"/>
  <c r="H1514" i="1"/>
  <c r="H1517" i="1"/>
  <c r="H1519" i="1"/>
  <c r="H1520" i="1"/>
  <c r="H1523" i="1"/>
  <c r="H1524" i="1"/>
  <c r="H1527" i="1"/>
  <c r="H1528" i="1"/>
  <c r="H1530" i="1"/>
  <c r="H1531" i="1"/>
  <c r="H1532" i="1"/>
  <c r="H1534" i="1"/>
  <c r="H1535" i="1"/>
  <c r="H1536" i="1"/>
  <c r="H1538" i="1"/>
  <c r="H1539" i="1"/>
  <c r="H1540" i="1"/>
  <c r="H1541" i="1"/>
  <c r="H1542" i="1"/>
  <c r="H1543" i="1"/>
  <c r="H1546" i="1"/>
  <c r="H1548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7" i="1"/>
  <c r="H1568" i="1"/>
  <c r="H1569" i="1"/>
  <c r="H1571" i="1"/>
  <c r="H1572" i="1"/>
  <c r="H1574" i="1"/>
  <c r="H1576" i="1"/>
  <c r="H1577" i="1"/>
  <c r="H1578" i="1"/>
  <c r="H1583" i="1"/>
  <c r="H1584" i="1"/>
  <c r="H1586" i="1"/>
  <c r="H1603" i="1"/>
  <c r="H1604" i="1"/>
  <c r="H1605" i="1"/>
  <c r="H1606" i="1"/>
  <c r="H1609" i="1"/>
  <c r="H161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41" i="1"/>
  <c r="H1643" i="1"/>
  <c r="H1645" i="1"/>
  <c r="H1646" i="1"/>
  <c r="H1648" i="1"/>
  <c r="H1649" i="1"/>
  <c r="H1650" i="1"/>
  <c r="H1652" i="1"/>
  <c r="H1653" i="1"/>
  <c r="H1655" i="1"/>
  <c r="H1656" i="1"/>
  <c r="H1661" i="1"/>
  <c r="H1662" i="1"/>
  <c r="H1664" i="1"/>
  <c r="H1666" i="1"/>
  <c r="H1671" i="1"/>
  <c r="H1672" i="1"/>
  <c r="H1673" i="1"/>
  <c r="H1674" i="1"/>
</calcChain>
</file>

<file path=xl/sharedStrings.xml><?xml version="1.0" encoding="utf-8"?>
<sst xmlns="http://schemas.openxmlformats.org/spreadsheetml/2006/main" count="7730" uniqueCount="2727">
  <si>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</si>
  <si>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</si>
  <si>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</si>
  <si>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</si>
  <si>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</si>
  <si>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</si>
  <si>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</si>
  <si>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</si>
  <si>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</si>
  <si>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</si>
  <si>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</si>
  <si>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</si>
  <si>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</si>
  <si>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</si>
  <si>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</si>
  <si>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</si>
  <si>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</si>
  <si>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</si>
  <si>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</si>
  <si>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</si>
  <si>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</si>
  <si>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</si>
  <si>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</si>
  <si>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</si>
  <si>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</si>
  <si>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</si>
  <si>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</si>
  <si>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</si>
  <si>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</si>
  <si>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</si>
  <si>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</si>
  <si>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</si>
  <si>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</si>
  <si>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</si>
  <si>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</si>
  <si>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</si>
  <si>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</si>
  <si>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</si>
  <si>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</si>
  <si>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</si>
  <si>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</si>
  <si>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</si>
  <si>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</si>
  <si>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</si>
  <si>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</si>
  <si>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</si>
  <si>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</si>
  <si>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</si>
  <si>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</si>
  <si>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</si>
  <si>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</si>
  <si>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</si>
  <si>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</si>
  <si>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</si>
  <si>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</si>
  <si>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</si>
  <si>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</si>
  <si>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</si>
  <si>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</si>
  <si>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</si>
  <si>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</si>
  <si>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</si>
  <si>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</si>
  <si>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</si>
  <si>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</si>
  <si>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</si>
  <si>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</si>
  <si>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</si>
  <si>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</si>
  <si>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</si>
  <si>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</si>
  <si>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</si>
  <si>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</si>
  <si>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</si>
  <si>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</si>
  <si>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</si>
  <si>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</si>
  <si>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</si>
  <si>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</si>
  <si>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</si>
  <si>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</si>
  <si>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</si>
  <si>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</si>
  <si>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</si>
  <si>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</si>
  <si>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</si>
  <si>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</si>
  <si>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</si>
  <si>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</si>
  <si>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</si>
  <si>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</si>
  <si>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</si>
  <si>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</si>
  <si>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</si>
  <si>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</si>
  <si>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</si>
  <si>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</si>
  <si>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</si>
  <si>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</si>
  <si>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</si>
  <si>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</si>
  <si>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</si>
  <si>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</si>
  <si>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</si>
  <si>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</si>
  <si>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</si>
  <si>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</si>
  <si>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</si>
  <si>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</si>
  <si>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</si>
  <si>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</si>
  <si>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</si>
  <si>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</si>
  <si>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</si>
  <si>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</si>
  <si>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</si>
  <si>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</si>
  <si>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</si>
  <si>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</si>
  <si>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</si>
  <si>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</si>
  <si>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</si>
  <si>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</si>
  <si>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</si>
  <si>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</si>
  <si>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</si>
  <si>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</si>
  <si>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</si>
  <si>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</si>
  <si>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</si>
  <si>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</si>
  <si>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</si>
  <si>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</si>
  <si>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</si>
  <si>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</si>
  <si>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</si>
  <si>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</si>
  <si>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</si>
  <si>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</si>
  <si>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</si>
  <si>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</si>
  <si>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</si>
  <si>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</si>
  <si>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</si>
  <si>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</si>
  <si>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</si>
  <si>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</si>
  <si>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</si>
  <si>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</si>
  <si>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</si>
  <si>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</si>
  <si>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</si>
  <si>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</si>
  <si>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</si>
  <si>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</si>
  <si>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</si>
  <si>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</si>
  <si>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</si>
  <si>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</si>
  <si>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</si>
  <si>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</si>
  <si>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</si>
  <si>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</si>
  <si>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</si>
  <si>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</si>
  <si>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</si>
  <si>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</si>
  <si>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</si>
  <si>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</si>
  <si>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</si>
  <si>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</si>
  <si>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</si>
  <si>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</si>
  <si>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</si>
  <si>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</si>
  <si>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</si>
  <si>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</si>
  <si>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</si>
  <si>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</si>
  <si>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</si>
  <si>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</si>
  <si>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</si>
  <si>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</si>
  <si>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</si>
  <si>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</si>
  <si>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</si>
  <si>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</si>
  <si>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</si>
  <si>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</si>
  <si>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</si>
  <si>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</si>
  <si>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</si>
  <si>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</si>
  <si>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</si>
  <si>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</si>
  <si>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</si>
  <si>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</si>
  <si>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</si>
  <si>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</si>
  <si>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</si>
  <si>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</si>
  <si>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</si>
  <si>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</si>
  <si>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</si>
  <si>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</si>
  <si>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</si>
  <si>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</si>
  <si>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</si>
  <si>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</si>
  <si>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</si>
  <si>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</si>
  <si>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</si>
  <si>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</si>
  <si>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</si>
  <si>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</si>
  <si>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</si>
  <si>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</si>
  <si>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</si>
  <si>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</si>
  <si>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</si>
  <si>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</si>
  <si>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</si>
  <si>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</si>
  <si>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</si>
  <si>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</si>
  <si>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</si>
  <si>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</si>
  <si>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</si>
  <si>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</si>
  <si>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</si>
  <si>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</si>
  <si>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</si>
  <si>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</si>
  <si>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</si>
  <si>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</si>
  <si>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</si>
  <si>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</si>
  <si>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</si>
  <si>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</si>
  <si>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</si>
  <si>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</si>
  <si>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</si>
  <si>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</si>
  <si>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</si>
  <si>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</si>
  <si>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</si>
  <si>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</si>
  <si>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</si>
  <si>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</si>
  <si>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</si>
  <si>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</si>
  <si>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</si>
  <si>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</si>
  <si>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</si>
  <si>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</si>
  <si>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</si>
  <si>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</si>
  <si>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</si>
  <si>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</si>
  <si>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</si>
  <si>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</si>
  <si>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</si>
  <si>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</si>
  <si>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</si>
  <si>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</si>
  <si>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</si>
  <si>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</si>
  <si>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</si>
  <si>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</si>
  <si>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</si>
  <si>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</si>
  <si>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</si>
  <si>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</si>
  <si>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</si>
  <si>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</si>
  <si>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</si>
  <si>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</si>
  <si>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</si>
  <si>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</si>
  <si>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</si>
  <si>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</si>
  <si>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</si>
  <si>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</si>
  <si>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</si>
  <si>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</si>
  <si>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</si>
  <si>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</si>
  <si>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</si>
  <si>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</si>
  <si>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</si>
  <si>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</si>
  <si>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</si>
  <si>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</si>
  <si>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</si>
  <si>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</si>
  <si>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</si>
  <si>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</si>
  <si>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</si>
  <si>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</si>
  <si>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</si>
  <si>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</si>
  <si>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</si>
  <si>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</si>
  <si>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</si>
  <si>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</si>
  <si>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</si>
  <si>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</si>
  <si>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</si>
  <si>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</si>
  <si>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</si>
  <si>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</si>
  <si>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</si>
  <si>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</si>
  <si>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</si>
  <si>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</si>
  <si>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</si>
  <si>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</si>
  <si>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</si>
  <si>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</si>
  <si>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</si>
  <si>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</si>
  <si>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</si>
  <si>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</si>
  <si>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</si>
  <si>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</si>
  <si>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</si>
  <si>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</si>
  <si>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</si>
  <si>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</si>
  <si>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</si>
  <si>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</si>
  <si>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</si>
  <si>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</si>
  <si>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</si>
  <si>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</si>
  <si>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</si>
  <si>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</si>
  <si>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</si>
  <si>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</si>
  <si>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</si>
  <si>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</si>
  <si>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</si>
  <si>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</si>
  <si>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</si>
  <si>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</si>
  <si>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</si>
  <si>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</si>
  <si>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</si>
  <si>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</si>
  <si>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</si>
  <si>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</si>
  <si>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</si>
  <si>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</si>
  <si>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</si>
  <si>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</si>
  <si>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</si>
  <si>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</si>
  <si>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</si>
  <si>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</si>
  <si>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</si>
  <si>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</si>
  <si>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</si>
  <si>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</si>
  <si>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</si>
  <si>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</si>
  <si>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</si>
  <si>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</si>
  <si>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</si>
  <si>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</si>
  <si>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</si>
  <si>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</si>
  <si>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</si>
  <si>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</si>
  <si>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</si>
  <si>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</si>
  <si>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</si>
  <si>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</si>
  <si>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</si>
  <si>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</si>
  <si>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</si>
  <si>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</si>
  <si>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</si>
  <si>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</si>
  <si>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</si>
  <si>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</si>
  <si>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</si>
  <si>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</si>
  <si>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</si>
  <si>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</si>
  <si>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</si>
  <si>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</si>
  <si>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</si>
  <si>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</si>
  <si>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</si>
  <si>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</si>
  <si>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</si>
  <si>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</si>
  <si>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</si>
  <si>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</si>
  <si>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</si>
  <si>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</si>
  <si>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</si>
  <si>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</si>
  <si>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</si>
  <si>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</si>
  <si>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</si>
  <si>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</si>
  <si>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</si>
  <si>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</si>
  <si>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</si>
  <si>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</si>
  <si>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</si>
  <si>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</si>
  <si>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</si>
  <si>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</si>
  <si>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</si>
  <si>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</si>
  <si>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</si>
  <si>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</si>
  <si>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</si>
  <si>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</si>
  <si>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</si>
  <si>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</si>
  <si>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</si>
  <si>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</si>
  <si>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</si>
  <si>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</si>
  <si>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</si>
  <si>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</si>
  <si>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</si>
  <si>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</si>
  <si>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</si>
  <si>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</si>
  <si>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</si>
  <si>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</si>
  <si>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</si>
  <si>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</si>
  <si>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</si>
  <si>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</si>
  <si>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</si>
  <si>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</si>
  <si>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</si>
  <si>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</si>
  <si>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</si>
  <si>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</si>
  <si>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</si>
  <si>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</si>
  <si>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</si>
  <si>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</si>
  <si>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</si>
  <si>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</si>
  <si>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</si>
  <si>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</si>
  <si>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</si>
  <si>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</si>
  <si>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</si>
  <si>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</si>
  <si>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</si>
  <si>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</si>
  <si>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</si>
  <si>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</si>
  <si>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</si>
  <si>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</si>
  <si>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</si>
  <si>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</si>
  <si>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</si>
  <si>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</si>
  <si>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</si>
  <si>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</si>
  <si>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</si>
  <si>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</si>
  <si>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</si>
  <si>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</si>
  <si>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</si>
  <si>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</si>
  <si>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</si>
  <si>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</si>
  <si>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</si>
  <si>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</si>
  <si>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</si>
  <si>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</si>
  <si>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</si>
  <si>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</si>
  <si>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</si>
  <si>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</si>
  <si>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</si>
  <si>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</si>
  <si>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</si>
  <si>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</si>
  <si>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</si>
  <si>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</si>
  <si>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</si>
  <si>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</si>
  <si>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</si>
  <si>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</si>
  <si>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</si>
  <si>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</si>
  <si>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</si>
  <si>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</si>
  <si>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</si>
  <si>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</si>
  <si>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</si>
  <si>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</si>
  <si>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</si>
  <si>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</si>
  <si>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</si>
  <si>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</si>
  <si>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</si>
  <si>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</si>
  <si>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</si>
  <si>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</si>
  <si>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</si>
  <si>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</si>
  <si>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</si>
  <si>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</si>
  <si>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</si>
  <si>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</si>
  <si>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</si>
  <si>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</si>
  <si>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</si>
  <si>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</si>
  <si>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</si>
  <si>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</si>
  <si>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</si>
  <si>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</si>
  <si>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</si>
  <si>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</si>
  <si>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</si>
  <si>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</si>
  <si>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</si>
  <si>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</si>
  <si>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</si>
  <si>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</si>
  <si>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</si>
  <si>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</si>
  <si>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</si>
  <si>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</si>
  <si>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</si>
  <si>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</si>
  <si>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</si>
  <si>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</si>
  <si>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</si>
  <si>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</si>
  <si>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</si>
  <si>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</si>
  <si>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</si>
  <si>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</si>
  <si>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</si>
  <si>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</si>
  <si>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</si>
  <si>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</si>
  <si>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</si>
  <si>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</si>
  <si>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</si>
  <si>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</si>
  <si>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</si>
  <si>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</si>
  <si>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</si>
  <si>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</si>
  <si>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</si>
  <si>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</si>
  <si>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</si>
  <si>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</si>
  <si>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</si>
  <si>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</si>
  <si>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</si>
  <si>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</si>
  <si>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</si>
  <si>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</si>
  <si>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</si>
  <si>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</si>
  <si>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</si>
  <si>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</si>
  <si>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</si>
  <si>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</si>
  <si>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</si>
  <si>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</si>
  <si>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</si>
  <si>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</si>
  <si>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</si>
  <si>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</si>
  <si>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</si>
  <si>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</si>
  <si>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</si>
  <si>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</si>
  <si>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</si>
  <si>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</si>
  <si>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</si>
  <si>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</si>
  <si>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</si>
  <si>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</si>
  <si>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</si>
  <si>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</si>
  <si>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</si>
  <si>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</si>
  <si>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</si>
  <si>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</si>
  <si>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</si>
  <si>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</si>
  <si>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</si>
  <si>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</si>
  <si>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</si>
  <si>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</si>
  <si>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</si>
  <si>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</si>
  <si>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</si>
  <si>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</si>
  <si>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</si>
  <si>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</si>
  <si>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</si>
  <si>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</si>
  <si>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</si>
  <si>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</si>
  <si>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</si>
  <si>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</si>
  <si>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</si>
  <si>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</si>
  <si>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</si>
  <si>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</si>
  <si>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</si>
  <si>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</si>
  <si>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</si>
  <si>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</si>
  <si>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</si>
  <si>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</si>
  <si>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</si>
  <si>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</si>
  <si>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</si>
  <si>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</si>
  <si>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</si>
  <si>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</si>
  <si>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</si>
  <si>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</si>
  <si>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</si>
  <si>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</si>
  <si>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</si>
  <si>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</si>
  <si>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</si>
  <si>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</si>
  <si>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</si>
  <si>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</si>
  <si>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</si>
  <si>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</si>
  <si>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</si>
  <si>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</si>
  <si>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</si>
  <si>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</si>
  <si>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</si>
  <si>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</si>
  <si>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</si>
  <si>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</si>
  <si>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</si>
  <si>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</si>
  <si>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</si>
  <si>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</si>
  <si>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</si>
  <si>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</si>
  <si>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</si>
  <si>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</si>
  <si>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</si>
  <si>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</si>
  <si>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</si>
  <si>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</si>
  <si>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</si>
  <si>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</si>
  <si>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</si>
  <si>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</si>
  <si>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</si>
  <si>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</si>
  <si>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</si>
  <si>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</si>
  <si>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</si>
  <si>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</si>
  <si>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</si>
  <si>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</si>
  <si>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</si>
  <si>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</si>
  <si>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</si>
  <si>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</si>
  <si>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</si>
  <si>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</si>
  <si>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</si>
  <si>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</si>
  <si>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</si>
  <si>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</si>
  <si>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</si>
  <si>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</si>
  <si>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</si>
  <si>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</si>
  <si>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</si>
  <si>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</si>
  <si>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</si>
  <si>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</si>
  <si>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</si>
  <si>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</si>
  <si>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</si>
  <si>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</si>
  <si>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</si>
  <si>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</si>
  <si>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</si>
  <si>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</si>
  <si>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</si>
  <si>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</si>
  <si>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</si>
  <si>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</si>
  <si>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</si>
  <si>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</si>
  <si>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</si>
  <si>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</si>
  <si>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</si>
  <si>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</si>
  <si>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</si>
  <si>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</si>
  <si>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</si>
  <si>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</si>
  <si>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</si>
  <si>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</si>
  <si>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</si>
  <si>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</si>
  <si>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</si>
  <si>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</si>
  <si>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</si>
  <si>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</si>
  <si>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</si>
  <si>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</si>
  <si>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</si>
  <si>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</si>
  <si>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</si>
  <si>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</si>
  <si>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</si>
  <si>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</si>
  <si>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</si>
  <si>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</si>
  <si>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</si>
  <si>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</si>
  <si>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</si>
  <si>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</si>
  <si>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</si>
  <si>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</si>
  <si>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</si>
  <si>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</si>
  <si>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</si>
  <si>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</si>
  <si>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</si>
  <si>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</si>
  <si>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</si>
  <si>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</si>
  <si>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</si>
  <si>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</si>
  <si>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</si>
  <si>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</si>
  <si>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</si>
  <si>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</si>
  <si>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</si>
  <si>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</si>
  <si>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</si>
  <si>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</si>
  <si>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</si>
  <si>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</si>
  <si>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</si>
  <si>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</si>
  <si>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</si>
  <si>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</si>
  <si>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</si>
  <si>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</si>
  <si>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</si>
  <si>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</si>
  <si>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</si>
  <si>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</si>
  <si>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</si>
  <si>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</si>
  <si>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</si>
  <si>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</si>
  <si>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</si>
  <si>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</si>
  <si>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</si>
  <si>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</si>
  <si>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</si>
  <si>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</si>
  <si>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</si>
  <si>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</si>
  <si>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</si>
  <si>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</si>
  <si>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</si>
  <si>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</si>
  <si>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</si>
  <si>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</si>
  <si>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</si>
  <si>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</si>
  <si>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</si>
  <si>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</si>
  <si>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</si>
  <si>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</si>
  <si>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</si>
  <si>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</si>
  <si>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</si>
  <si>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</si>
  <si>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</si>
  <si>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</si>
  <si>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</si>
  <si>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</si>
  <si>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</si>
  <si>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</si>
  <si>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</si>
  <si>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</si>
  <si>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</si>
  <si>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</si>
  <si>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</si>
  <si>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</si>
  <si>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</si>
  <si>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</si>
  <si>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</si>
  <si>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</si>
  <si>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</si>
  <si>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</si>
  <si>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</si>
  <si>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</si>
  <si>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</si>
  <si>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</si>
  <si>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</si>
  <si>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</si>
  <si>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</si>
  <si>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</si>
  <si>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</si>
  <si>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</si>
  <si>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</si>
  <si>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</si>
  <si>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</si>
  <si>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</si>
  <si>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</si>
  <si>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</si>
  <si>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</si>
  <si>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</si>
  <si>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</si>
  <si>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</si>
  <si>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</si>
  <si>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</si>
  <si>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</si>
  <si>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</si>
  <si>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</si>
  <si>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</si>
  <si>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</si>
  <si>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</si>
  <si>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</si>
  <si>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</si>
  <si>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</si>
  <si>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</si>
  <si>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</si>
  <si>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</si>
  <si>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</si>
  <si>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</si>
  <si>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</si>
  <si>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</si>
  <si>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</si>
  <si>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</si>
  <si>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</si>
  <si>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</si>
  <si>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</si>
  <si>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</si>
  <si>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</si>
  <si>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</si>
  <si>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</si>
  <si>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</si>
  <si>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</si>
  <si>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</si>
  <si>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</si>
  <si>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</si>
  <si>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</si>
  <si>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</si>
  <si>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</si>
  <si>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</si>
  <si>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</si>
  <si>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</si>
  <si>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</si>
  <si>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</si>
  <si>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</si>
  <si>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</si>
  <si>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</si>
  <si>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</si>
  <si>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</si>
  <si>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</si>
  <si>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</si>
  <si>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</si>
  <si>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</si>
  <si>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</si>
  <si>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</si>
  <si>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</si>
  <si>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</si>
  <si>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</si>
  <si>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</si>
  <si>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</si>
  <si>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</si>
  <si>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</si>
  <si>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</si>
  <si>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</si>
  <si>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</si>
  <si>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</si>
  <si>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</si>
  <si>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</si>
  <si>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</si>
  <si>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</si>
  <si>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</si>
  <si>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</si>
  <si>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</si>
  <si>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</si>
  <si>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</si>
  <si>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</si>
  <si>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</si>
  <si>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</si>
  <si>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</si>
  <si>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</si>
  <si>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</si>
  <si>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</si>
  <si>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</si>
  <si>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</si>
  <si>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</si>
  <si>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</si>
  <si>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</si>
  <si>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</si>
  <si>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</si>
  <si>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</si>
  <si>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</si>
  <si>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</si>
  <si>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</si>
  <si>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</si>
  <si>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</si>
  <si>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</si>
  <si>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</si>
  <si>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</si>
  <si>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</si>
  <si>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</si>
  <si>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</si>
  <si>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</si>
  <si>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</si>
  <si>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</si>
  <si>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</si>
  <si>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</si>
  <si>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</si>
  <si>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</si>
  <si>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</si>
  <si>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</si>
  <si>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</si>
  <si>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</si>
  <si>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</si>
  <si>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</si>
  <si>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</si>
  <si>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</si>
  <si>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</si>
  <si>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</si>
  <si>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</si>
  <si>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</si>
  <si>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</si>
  <si>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</si>
  <si>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</si>
  <si>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</si>
  <si>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</si>
  <si>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</si>
  <si>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</si>
  <si>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</si>
  <si>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</si>
  <si>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</si>
  <si>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</si>
  <si>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</si>
  <si>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</si>
  <si>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</si>
  <si>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</si>
  <si>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</si>
  <si>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</si>
  <si>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</si>
  <si>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</si>
  <si>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</si>
  <si>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</si>
  <si>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</si>
  <si>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</si>
  <si>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</si>
  <si>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</si>
  <si>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</si>
  <si>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</si>
  <si>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</si>
  <si>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</si>
  <si>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</si>
  <si>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</si>
  <si>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</si>
  <si>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</si>
  <si>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</si>
  <si>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</si>
  <si>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</si>
  <si>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</si>
  <si>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</si>
  <si>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</si>
  <si>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</si>
  <si>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</si>
  <si>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</si>
  <si>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</si>
  <si>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</si>
  <si>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</si>
  <si>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</si>
  <si>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</si>
  <si>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</si>
  <si>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</si>
  <si>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</si>
  <si>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</si>
  <si>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</si>
  <si>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</si>
  <si>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</si>
  <si>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</si>
  <si>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</si>
  <si>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</si>
  <si>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</si>
  <si>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</si>
  <si>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</si>
  <si>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</si>
  <si>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</si>
  <si>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</si>
  <si>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</si>
  <si>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</si>
  <si>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</si>
  <si>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</si>
  <si>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</si>
  <si>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</si>
  <si>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</si>
  <si>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</si>
  <si>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</si>
  <si>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</si>
  <si>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</si>
  <si>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</si>
  <si>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</si>
  <si>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</si>
  <si>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</si>
  <si>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</si>
  <si>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</si>
  <si>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</si>
  <si>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</si>
  <si>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</si>
  <si>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</si>
  <si>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</si>
  <si>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</si>
  <si>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</si>
  <si>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</si>
  <si>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</si>
  <si>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</si>
  <si>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</si>
  <si>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</si>
  <si>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</si>
  <si>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</si>
  <si>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</si>
  <si>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</si>
  <si>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</si>
  <si>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</si>
  <si>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</si>
  <si>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</si>
  <si>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</si>
  <si>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</si>
  <si>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</si>
  <si>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</si>
  <si>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</si>
  <si>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</si>
  <si>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</si>
  <si>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</si>
  <si>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</si>
  <si>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</si>
  <si>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</si>
  <si>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</si>
  <si>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</si>
  <si>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</si>
  <si>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</si>
  <si>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</si>
  <si>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</si>
  <si>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</si>
  <si>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</si>
  <si>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</si>
  <si>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</si>
  <si>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</si>
  <si>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</si>
  <si>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</si>
  <si>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</si>
  <si>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</si>
  <si>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</si>
  <si>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</si>
  <si>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</si>
  <si>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</si>
  <si>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</si>
  <si>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</si>
  <si>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</si>
  <si>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</si>
  <si>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</si>
  <si>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</si>
  <si>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</si>
  <si>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</si>
  <si>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</si>
  <si>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</si>
  <si>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</si>
  <si>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</si>
  <si>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</si>
  <si>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</si>
  <si>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</si>
  <si>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</si>
  <si>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</si>
  <si>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</si>
  <si>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</si>
  <si>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</si>
  <si>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</si>
  <si>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</si>
  <si>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</si>
  <si>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</si>
  <si>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</si>
  <si>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</si>
  <si>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</si>
  <si>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</si>
  <si>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</si>
  <si>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</si>
  <si>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</si>
  <si>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</si>
  <si>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</si>
  <si>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</si>
  <si>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</si>
  <si>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</si>
  <si>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</si>
  <si>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</si>
  <si>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</si>
  <si>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</si>
  <si>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</si>
  <si>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</si>
  <si>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В/к колбасы «Сервелат Запеченный» Фикс.вес 0,6 Вектор ТМ «Дугушка»</t>
  </si>
  <si>
    <t>P003637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</si>
  <si>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</si>
  <si>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</si>
  <si>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</si>
  <si>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</si>
  <si>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</si>
  <si>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</si>
  <si>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</si>
  <si>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</si>
  <si>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</si>
  <si>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</si>
  <si>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</si>
  <si>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</si>
  <si>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</si>
  <si>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</si>
  <si>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</si>
  <si>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</si>
  <si>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</si>
  <si>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</si>
  <si>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</si>
  <si>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</si>
  <si>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</si>
  <si>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</si>
  <si>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</si>
  <si>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</si>
  <si>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</si>
  <si>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</si>
  <si>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</si>
  <si>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</si>
  <si>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</si>
  <si>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</si>
  <si>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</si>
  <si>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</si>
  <si>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</si>
  <si>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</si>
  <si>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</si>
  <si>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</si>
  <si>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</si>
  <si>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</si>
  <si>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</si>
  <si>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</si>
  <si>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</si>
  <si>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</si>
  <si>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</si>
  <si>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</si>
  <si>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</si>
  <si>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</si>
  <si>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</si>
  <si>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</si>
  <si>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</si>
  <si>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</si>
  <si>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</si>
  <si>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</si>
  <si>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</si>
  <si>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</si>
  <si>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</si>
  <si>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</si>
  <si>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</si>
  <si>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</si>
  <si>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</si>
  <si>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</si>
  <si>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</si>
  <si>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</si>
  <si>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</si>
  <si>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</si>
  <si>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</si>
  <si>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</si>
  <si>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</si>
  <si>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</si>
  <si>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</si>
  <si>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</si>
  <si>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</si>
  <si>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</si>
  <si>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</si>
  <si>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</si>
  <si>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</si>
  <si>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</si>
  <si>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</si>
  <si>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</si>
  <si>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</si>
  <si>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</si>
  <si>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</si>
  <si>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</si>
  <si>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</si>
  <si>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</si>
  <si>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</si>
  <si>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</si>
  <si>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</si>
  <si>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</si>
  <si>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</si>
  <si>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</si>
  <si>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</si>
  <si>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</si>
  <si>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</si>
  <si>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</si>
  <si>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</si>
  <si>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</si>
  <si>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</si>
  <si>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</si>
  <si>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</si>
  <si>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</si>
  <si>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</si>
  <si>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</si>
  <si>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</si>
  <si>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</si>
  <si>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</si>
  <si>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</si>
  <si>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</si>
  <si>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</si>
  <si>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</si>
  <si>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</si>
  <si>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</si>
  <si>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</si>
  <si>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</si>
  <si>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</si>
  <si>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</si>
  <si>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</si>
  <si>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</si>
  <si>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</si>
  <si>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</si>
  <si>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</si>
  <si>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</si>
  <si>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</si>
  <si>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</si>
  <si>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</si>
  <si>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</si>
  <si>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</si>
  <si>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</si>
  <si>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</si>
  <si>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</si>
  <si>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</si>
  <si>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</si>
  <si>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</si>
  <si>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</si>
  <si>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</si>
  <si>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</si>
  <si>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</si>
  <si>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</si>
  <si>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</si>
  <si>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</si>
  <si>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</si>
  <si>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</si>
  <si>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</si>
  <si>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</si>
  <si>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</si>
  <si>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</si>
  <si>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</si>
  <si>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</si>
  <si>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</si>
  <si>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</si>
  <si>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</si>
  <si>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</si>
  <si>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</si>
  <si>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</si>
  <si>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</si>
  <si>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</si>
  <si>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</si>
  <si>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</si>
  <si>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</si>
  <si>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</si>
  <si>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</si>
  <si>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</si>
  <si>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</si>
  <si>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</si>
  <si>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</si>
  <si>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</si>
  <si>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</si>
  <si>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</si>
  <si>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</si>
  <si>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</si>
  <si>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</si>
  <si>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</si>
  <si>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</si>
  <si>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</si>
  <si>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</si>
  <si>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</si>
  <si>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</si>
  <si>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</si>
  <si>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</si>
  <si>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</si>
  <si>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</si>
  <si>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</si>
  <si>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</si>
  <si>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</si>
  <si>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</si>
  <si>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</si>
  <si>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</si>
  <si>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</si>
  <si>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</si>
  <si>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</si>
  <si>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</si>
  <si>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</si>
  <si>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</si>
  <si>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</si>
  <si>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</si>
  <si>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</si>
  <si>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</si>
  <si>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</si>
  <si>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</si>
  <si>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</si>
  <si>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</si>
  <si>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</si>
  <si>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</si>
  <si>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</si>
  <si>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</si>
  <si>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</si>
  <si>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</si>
  <si>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</si>
  <si>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</si>
  <si>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</si>
  <si>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</si>
  <si>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</si>
  <si>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</si>
  <si>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</si>
  <si>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</si>
  <si>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</si>
  <si>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</si>
  <si>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</si>
  <si>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</si>
  <si>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</si>
  <si>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</si>
  <si>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</si>
  <si>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</si>
  <si>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</si>
  <si>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</si>
  <si>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</si>
  <si>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</si>
  <si>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</si>
  <si>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</si>
  <si>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</si>
  <si>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</si>
  <si>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</si>
  <si>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</si>
  <si>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</si>
  <si>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</si>
  <si>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</si>
  <si>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</si>
  <si>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</si>
  <si>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</si>
  <si>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</si>
  <si>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</si>
  <si>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</si>
  <si>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</si>
  <si>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</si>
  <si>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</si>
  <si>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</si>
  <si>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</si>
  <si>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</si>
  <si>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</si>
  <si>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</si>
  <si>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</si>
  <si>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</si>
  <si>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</si>
  <si>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</si>
  <si>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</si>
  <si>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</si>
  <si>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</si>
  <si>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</si>
  <si>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</si>
  <si>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</si>
  <si>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</si>
  <si>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</si>
  <si>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</si>
  <si>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</si>
  <si>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</si>
  <si>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</si>
  <si>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</si>
  <si>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</si>
  <si>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</si>
  <si>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</si>
  <si>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</si>
  <si>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</si>
  <si>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</si>
  <si>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</si>
  <si>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</si>
  <si>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</si>
  <si>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</si>
  <si>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</si>
  <si>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</si>
  <si>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</si>
  <si>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</si>
  <si>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</si>
  <si>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</si>
  <si>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</si>
  <si>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</si>
  <si>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</si>
  <si>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</si>
  <si>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</si>
  <si>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</si>
  <si>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</si>
  <si>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</si>
  <si>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</si>
  <si>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</si>
  <si>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</si>
  <si>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</si>
  <si>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</si>
  <si>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</si>
  <si>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</si>
  <si>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</si>
  <si>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</si>
  <si>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</si>
  <si>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</si>
  <si>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</si>
  <si>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</si>
  <si>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</si>
  <si>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</si>
  <si>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</si>
  <si>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</si>
  <si>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</si>
  <si>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</si>
  <si>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</si>
  <si>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</si>
  <si>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</si>
  <si>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</si>
  <si>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</si>
  <si>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</si>
  <si>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</si>
  <si>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</si>
  <si>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</si>
  <si>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</si>
  <si>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</si>
  <si>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</si>
  <si>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</si>
  <si>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</si>
  <si>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</si>
  <si>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</si>
  <si>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</si>
  <si>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</si>
  <si>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</si>
  <si>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</si>
  <si>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</si>
  <si>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</si>
  <si>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</si>
  <si>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</si>
  <si>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</si>
  <si>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</si>
  <si>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</si>
  <si>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</si>
  <si>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</si>
  <si>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</si>
  <si>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</si>
  <si>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</si>
  <si>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</si>
  <si>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</si>
  <si>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</si>
  <si>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</si>
  <si>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</si>
  <si>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</si>
  <si>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</si>
  <si>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</si>
  <si>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</si>
  <si>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</si>
  <si>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</si>
  <si>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</si>
  <si>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</si>
  <si>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</si>
  <si>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</si>
  <si>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</si>
  <si>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</si>
  <si>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</si>
  <si>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</si>
  <si>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</si>
  <si>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</si>
  <si>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</si>
  <si>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</si>
  <si>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</si>
  <si>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</si>
  <si>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</si>
  <si>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</si>
  <si>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</si>
  <si>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</si>
  <si>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</si>
  <si>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</si>
  <si>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</si>
  <si>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</si>
  <si>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</si>
  <si>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</si>
  <si>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</si>
  <si>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</si>
  <si>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</si>
  <si>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</si>
  <si>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</si>
  <si>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</si>
  <si>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</si>
  <si>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</si>
  <si>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</si>
  <si>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</si>
  <si>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</si>
  <si>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</si>
  <si>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</si>
  <si>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</si>
  <si>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</si>
  <si>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</si>
  <si>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</si>
  <si>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</si>
  <si>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</si>
  <si>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</si>
  <si>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</si>
  <si>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</si>
  <si>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</si>
  <si>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</si>
  <si>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</si>
  <si>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</si>
  <si>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</si>
  <si>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</si>
  <si>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</si>
  <si>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</si>
  <si>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</si>
  <si>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</si>
  <si>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</si>
  <si>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</si>
  <si>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</si>
  <si>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</si>
  <si>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</si>
  <si>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</si>
  <si>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</si>
  <si>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</si>
  <si>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</si>
  <si>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</si>
  <si>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</si>
  <si>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</si>
  <si>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</si>
  <si>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</si>
  <si>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</si>
  <si>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</si>
  <si>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</si>
  <si>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</si>
  <si>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</si>
  <si>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</si>
  <si>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</si>
  <si>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</si>
  <si>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</si>
  <si>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</si>
  <si>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</si>
  <si>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</si>
  <si>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</si>
  <si>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</si>
  <si>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</si>
  <si>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</si>
  <si>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</si>
  <si>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</si>
  <si>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</si>
  <si>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</si>
  <si>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</si>
  <si>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</si>
  <si>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</si>
  <si>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</si>
  <si>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</si>
  <si>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</si>
  <si>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</si>
  <si>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</si>
  <si>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</si>
  <si>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</si>
  <si>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</si>
  <si>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</si>
  <si>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</si>
  <si>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</si>
  <si>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</si>
  <si>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</si>
  <si>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</si>
  <si>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</si>
  <si>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</si>
  <si>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</si>
  <si>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</si>
  <si>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</si>
  <si>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</si>
  <si>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</si>
  <si>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</si>
  <si>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</si>
  <si>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</si>
  <si>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</si>
  <si>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</si>
  <si>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</si>
  <si>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</si>
  <si>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</si>
  <si>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</si>
  <si>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</si>
  <si>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</si>
  <si>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</si>
  <si>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</si>
  <si>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</si>
  <si>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</si>
  <si>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</si>
  <si>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</si>
  <si>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</si>
  <si>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</si>
  <si>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</si>
  <si>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</si>
  <si>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</si>
  <si>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</si>
  <si>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</si>
  <si>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</si>
  <si>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</si>
  <si>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</si>
  <si>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</si>
  <si>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</si>
  <si>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</si>
  <si>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</si>
  <si>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</si>
  <si>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</si>
  <si>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</si>
  <si>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</si>
  <si>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</si>
  <si>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</si>
  <si>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</si>
  <si>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</si>
  <si>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</si>
  <si>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</si>
  <si>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</si>
  <si>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</si>
  <si>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</si>
  <si>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</si>
  <si>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</si>
  <si>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</si>
  <si>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</si>
  <si>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</si>
  <si>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</si>
  <si>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</si>
  <si>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</si>
  <si>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</si>
  <si>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</si>
  <si>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</si>
  <si>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</si>
  <si>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</si>
  <si>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</si>
  <si>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</si>
  <si>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</si>
  <si>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</si>
  <si>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</si>
  <si>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</si>
  <si>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</si>
  <si>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</si>
  <si>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</si>
  <si>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</si>
  <si>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</si>
  <si>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</si>
  <si>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</si>
  <si>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</si>
  <si>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</si>
  <si>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</si>
  <si>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</si>
  <si>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</si>
  <si>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</si>
  <si>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</si>
  <si>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</si>
  <si>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</si>
  <si>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</si>
  <si>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</si>
  <si>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</si>
  <si>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</si>
  <si>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</si>
  <si>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</si>
  <si>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</si>
  <si>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</si>
  <si>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</si>
  <si>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</si>
  <si>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</si>
  <si>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</si>
  <si>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</si>
  <si>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</si>
  <si>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</si>
  <si>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</si>
  <si>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</si>
  <si>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</si>
  <si>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</si>
  <si>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</si>
  <si>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</si>
  <si>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</si>
  <si>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</si>
  <si>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</si>
  <si>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</si>
  <si>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</si>
  <si>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</si>
  <si>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</si>
  <si>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</si>
  <si>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</si>
  <si>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</si>
  <si>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</si>
  <si>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</si>
  <si>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</si>
  <si>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</si>
  <si>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</si>
  <si>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</si>
  <si>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</si>
  <si>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</si>
  <si>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</si>
  <si>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</si>
  <si>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</si>
  <si>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</si>
  <si>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</si>
  <si>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</si>
  <si>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</si>
  <si>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</si>
  <si>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</si>
  <si>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</si>
  <si>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</si>
  <si>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</si>
  <si>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</si>
  <si>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</si>
  <si>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</si>
  <si>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</si>
  <si>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</si>
  <si>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</si>
  <si>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</si>
  <si>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</si>
  <si>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</si>
  <si>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</si>
  <si>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</si>
  <si>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</si>
  <si>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</si>
  <si>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</si>
  <si>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</si>
  <si>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</si>
  <si>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</si>
  <si>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</si>
  <si>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</si>
  <si>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</si>
  <si>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</si>
  <si>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</si>
  <si>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</si>
  <si>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</si>
  <si>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</si>
  <si>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</si>
  <si>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</si>
  <si>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</si>
  <si>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</si>
  <si>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</si>
  <si>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</si>
  <si>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</si>
  <si>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</si>
  <si>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</si>
  <si>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</si>
  <si>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</si>
  <si>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</si>
  <si>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</si>
  <si>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</si>
  <si>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</si>
  <si>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</si>
  <si>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</si>
  <si>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</si>
  <si>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</si>
  <si>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</si>
  <si>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</si>
  <si>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</si>
  <si>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</si>
  <si>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</si>
  <si>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</si>
  <si>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</si>
  <si>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</si>
  <si>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</si>
  <si>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</si>
  <si>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</si>
  <si>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</si>
  <si>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</si>
  <si>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</si>
  <si>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</si>
  <si>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</si>
  <si>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</si>
  <si>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</si>
  <si>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</si>
  <si>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</si>
  <si>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</si>
  <si>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</si>
  <si>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</si>
  <si>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</si>
  <si>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</si>
  <si>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</si>
  <si>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</si>
  <si>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</si>
  <si>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</si>
  <si>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</si>
  <si>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</si>
  <si>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</si>
  <si>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</si>
  <si>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</si>
  <si>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</si>
  <si>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</si>
  <si>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</si>
  <si>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</si>
  <si>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</si>
  <si>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</si>
  <si>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</si>
  <si>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</si>
  <si>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</si>
  <si>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</si>
  <si>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</si>
  <si>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</si>
  <si>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</si>
  <si>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</si>
  <si>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</si>
  <si>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</si>
  <si>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</si>
  <si>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</si>
  <si>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</si>
  <si>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</si>
  <si>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</si>
  <si>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</si>
  <si>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</si>
  <si>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</si>
  <si>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</si>
  <si>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</si>
  <si>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</si>
  <si>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</si>
  <si>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</si>
  <si>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</si>
  <si>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</si>
  <si>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</si>
  <si>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</si>
  <si>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</si>
  <si>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</si>
  <si>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</si>
  <si>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</si>
  <si>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</si>
  <si>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</si>
  <si>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</si>
  <si>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</si>
  <si>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</si>
  <si>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</si>
  <si>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</si>
  <si>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</si>
  <si>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</si>
  <si>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</si>
  <si>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</si>
  <si>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</si>
  <si>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</si>
  <si>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</si>
  <si>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</si>
  <si>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</si>
  <si>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</si>
  <si>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</si>
  <si>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</si>
  <si>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</si>
  <si>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</si>
  <si>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</si>
  <si>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</si>
  <si>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</si>
  <si>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</si>
  <si>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</si>
  <si>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</si>
  <si>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</si>
  <si>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</si>
  <si>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</si>
  <si>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</si>
  <si>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</si>
  <si>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</si>
  <si>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</si>
  <si>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</si>
  <si>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</si>
  <si>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</si>
  <si>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</si>
  <si>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</si>
  <si>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</si>
  <si>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</si>
  <si>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</si>
  <si>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</si>
  <si>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</si>
  <si>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</si>
  <si>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</si>
  <si>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</si>
  <si>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</si>
  <si>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</si>
  <si>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</si>
  <si>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</si>
  <si>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</si>
  <si>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</si>
  <si>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</si>
  <si>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</si>
  <si>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</si>
  <si>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</si>
  <si>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</si>
  <si>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</si>
  <si>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</si>
  <si>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</si>
  <si>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</si>
  <si>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</si>
  <si>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</si>
  <si>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</si>
  <si>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</si>
  <si>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</si>
  <si>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</si>
  <si>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</si>
  <si>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</si>
  <si>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</si>
  <si>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</si>
  <si>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</si>
  <si>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</si>
  <si>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</si>
  <si>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</si>
  <si>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</si>
  <si>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</si>
  <si>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</si>
  <si>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</si>
  <si>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</si>
  <si>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</si>
  <si>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</si>
  <si>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</si>
  <si>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</si>
  <si>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</si>
  <si>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</si>
  <si>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</si>
  <si>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</si>
  <si>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</si>
  <si>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</si>
  <si>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</si>
  <si>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</si>
  <si>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</si>
  <si>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</si>
  <si>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</si>
  <si>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</si>
  <si>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</si>
  <si>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</si>
  <si>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</si>
  <si>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</si>
  <si>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</si>
  <si>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</si>
  <si>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</si>
  <si>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</si>
  <si>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</si>
  <si>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</si>
  <si>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</si>
  <si>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</si>
  <si>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</si>
  <si>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</si>
  <si>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</si>
  <si>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</si>
  <si>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</si>
  <si>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</si>
  <si>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</si>
  <si>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</si>
  <si>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</si>
  <si>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</si>
  <si>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</si>
  <si>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</si>
  <si>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</si>
  <si>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</si>
  <si>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</si>
  <si>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</si>
  <si>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</si>
  <si>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</si>
  <si>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</si>
  <si>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</si>
  <si>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</si>
  <si>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</si>
  <si>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</si>
  <si>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</si>
  <si>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</si>
  <si>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</si>
  <si>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</si>
  <si>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</si>
  <si>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</si>
  <si>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</si>
  <si>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</si>
  <si>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</si>
  <si>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</si>
  <si>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</si>
  <si>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</si>
  <si>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</si>
  <si>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</si>
  <si>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</si>
  <si>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</si>
  <si>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</si>
  <si>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</si>
  <si>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</si>
  <si>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</si>
  <si>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</si>
  <si>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</si>
  <si>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</si>
  <si>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</si>
  <si>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</si>
  <si>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</si>
  <si>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</si>
  <si>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</si>
  <si>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</si>
  <si>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</si>
  <si>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</si>
  <si>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</si>
  <si>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</si>
  <si>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</si>
  <si>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</si>
  <si>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</si>
  <si>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</si>
  <si>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</si>
  <si>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</si>
  <si>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</si>
  <si>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</si>
  <si>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</si>
  <si>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</si>
  <si>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</si>
  <si>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</si>
  <si>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</si>
  <si>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</si>
  <si>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</si>
  <si>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</si>
  <si>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</si>
  <si>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</si>
  <si>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</si>
  <si>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</si>
  <si>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</si>
  <si>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</si>
  <si>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</si>
  <si>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</si>
  <si>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</si>
  <si>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</si>
  <si>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</si>
  <si>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</si>
  <si>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</si>
  <si>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</si>
  <si>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</si>
  <si>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</si>
  <si>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</si>
  <si>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</si>
  <si>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</si>
  <si>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</si>
  <si>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</si>
  <si>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</si>
  <si>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</si>
  <si>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</si>
  <si>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</si>
  <si>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</si>
  <si>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</si>
  <si>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</si>
  <si>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</si>
  <si>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</si>
  <si>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</si>
  <si>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</si>
  <si>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</si>
  <si>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</si>
  <si>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</si>
  <si>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</si>
  <si>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</si>
  <si>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</si>
  <si>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</si>
  <si>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</si>
  <si>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</si>
  <si>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</si>
  <si>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</si>
  <si>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</si>
  <si>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</si>
  <si>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</si>
  <si>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</si>
  <si>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</si>
  <si>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</si>
  <si>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</si>
  <si>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</si>
  <si>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</si>
  <si>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</si>
  <si>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</si>
  <si>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</si>
  <si>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</si>
  <si>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</si>
  <si>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</si>
  <si>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</si>
  <si>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</si>
  <si>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</si>
  <si>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</si>
  <si>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</si>
  <si>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</si>
  <si>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</si>
  <si>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</si>
  <si>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</si>
  <si>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</si>
  <si>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</si>
  <si>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</si>
  <si>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</si>
  <si>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</si>
  <si>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</si>
  <si>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</si>
  <si>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</si>
  <si>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</si>
  <si>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</si>
  <si>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</si>
  <si>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</si>
  <si>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</si>
  <si>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</si>
  <si>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</si>
  <si>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</si>
  <si>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</si>
  <si>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</si>
  <si>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</si>
  <si>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</si>
  <si>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</si>
  <si>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</si>
  <si>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</si>
  <si>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</si>
  <si>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</si>
  <si>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</si>
  <si>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</si>
  <si>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</si>
  <si>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</si>
  <si>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</si>
  <si>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</si>
  <si>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</si>
  <si>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</si>
  <si>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</si>
  <si>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</si>
  <si>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</si>
  <si>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</si>
  <si>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</si>
  <si>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</si>
  <si>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</si>
  <si>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</si>
  <si>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</si>
  <si>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</si>
  <si>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</si>
  <si>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</si>
  <si>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</si>
  <si>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</si>
  <si>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</si>
  <si>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</si>
  <si>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</si>
  <si>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</si>
  <si>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</si>
  <si>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</si>
  <si>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</si>
  <si>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</si>
  <si>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</si>
  <si>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</si>
  <si>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</si>
  <si>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</si>
  <si>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</si>
  <si>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</si>
  <si>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</si>
  <si>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</si>
  <si>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</si>
  <si>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</si>
  <si>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</si>
  <si>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</si>
  <si>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</si>
  <si>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</si>
  <si>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</si>
  <si>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</si>
  <si>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</si>
  <si>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</si>
  <si>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</si>
  <si>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</si>
  <si>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</si>
  <si>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</si>
  <si>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</si>
  <si>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</si>
  <si>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</si>
  <si>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</si>
  <si>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</si>
  <si>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</si>
  <si>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</si>
  <si>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</si>
  <si>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</si>
  <si>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</si>
  <si>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</si>
  <si>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</si>
  <si>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</si>
  <si>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</si>
  <si>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</si>
  <si>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</si>
  <si>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</si>
  <si>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</si>
  <si>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</si>
  <si>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</si>
  <si>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</si>
  <si>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</si>
  <si>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</si>
  <si>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</si>
  <si>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</si>
  <si>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</si>
  <si>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</si>
  <si>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</si>
  <si>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</si>
  <si>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</si>
  <si>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</si>
  <si>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</si>
  <si>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</si>
  <si>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</si>
  <si>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</si>
  <si>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</si>
  <si>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</si>
  <si>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</si>
  <si>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</si>
  <si>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</si>
  <si>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</si>
  <si>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</si>
  <si>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</si>
  <si>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</si>
  <si>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</si>
  <si>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</si>
  <si>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</si>
  <si>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</si>
  <si>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</si>
  <si>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</si>
  <si>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</si>
  <si>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</si>
  <si>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</si>
  <si>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</si>
  <si>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</si>
  <si>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</si>
  <si>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</si>
  <si>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</si>
  <si>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</si>
  <si>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</si>
  <si>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</si>
  <si>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</si>
  <si>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</si>
  <si>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</si>
  <si>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</si>
  <si>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</si>
  <si>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</si>
  <si>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</si>
  <si>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</si>
  <si>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</si>
  <si>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</si>
  <si>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</si>
  <si>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</si>
  <si>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</si>
  <si>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</si>
  <si>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</si>
  <si>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</si>
  <si>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</si>
  <si>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</si>
  <si>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</si>
  <si>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</si>
  <si>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</si>
  <si>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</si>
  <si>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</si>
  <si>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</si>
  <si>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</si>
  <si>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</si>
  <si>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</si>
  <si>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</si>
  <si>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</si>
  <si>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</si>
  <si>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</si>
  <si>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</si>
  <si>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</si>
  <si>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</si>
  <si>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</si>
  <si>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</si>
  <si>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</si>
  <si>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</si>
  <si>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</si>
  <si>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</si>
  <si>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</si>
  <si>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</si>
  <si>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</si>
  <si>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</si>
  <si>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</si>
  <si>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</si>
  <si>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</si>
  <si>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</si>
  <si>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</si>
  <si>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</si>
  <si>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</si>
  <si>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</si>
  <si>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</si>
  <si>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</si>
  <si>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</si>
  <si>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</si>
  <si>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</si>
  <si>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</si>
  <si>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</si>
  <si>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</si>
  <si>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</si>
  <si>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</si>
  <si>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</si>
  <si>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</si>
  <si>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</si>
  <si>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</si>
  <si>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</si>
  <si>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</si>
  <si>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</si>
  <si>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</si>
  <si>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</si>
  <si>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</si>
  <si>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</si>
  <si>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</si>
  <si>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</si>
  <si>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</si>
  <si>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</si>
  <si>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</si>
  <si>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</si>
  <si>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</si>
  <si>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</si>
  <si>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</si>
  <si>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</si>
  <si>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</si>
  <si>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</si>
  <si>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</si>
  <si>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</si>
  <si>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</si>
  <si>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</si>
  <si>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</si>
  <si>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</si>
  <si>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</si>
  <si>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</si>
  <si>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</si>
  <si>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</si>
  <si>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</si>
  <si>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</si>
  <si>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</si>
  <si>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</si>
  <si>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</si>
  <si>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</si>
  <si>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</si>
  <si>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</si>
  <si>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</si>
  <si>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</si>
  <si>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</si>
  <si>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</si>
  <si>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</si>
  <si>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</si>
  <si>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</si>
  <si>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</si>
  <si>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</si>
  <si>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</si>
  <si>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</si>
  <si>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</si>
  <si>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</si>
  <si>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</si>
  <si>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</si>
  <si>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</si>
  <si>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</si>
  <si>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</si>
  <si>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</si>
  <si>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</si>
  <si>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</si>
  <si>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</si>
  <si>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</si>
  <si>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</si>
  <si>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</si>
  <si>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</si>
  <si>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</si>
  <si>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</si>
  <si>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</si>
  <si>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</si>
  <si>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</si>
  <si>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</si>
  <si>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</si>
  <si>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</si>
  <si>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</si>
  <si>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</si>
  <si>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</si>
  <si>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</si>
  <si>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</si>
  <si>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</si>
  <si>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</si>
  <si>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</si>
  <si>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</si>
  <si>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</si>
  <si>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</si>
  <si>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</si>
  <si>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</si>
  <si>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</si>
  <si>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</si>
  <si>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</si>
  <si>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</si>
  <si>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</si>
  <si>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</si>
  <si>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</si>
  <si>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</si>
  <si>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</si>
  <si>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</si>
  <si>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</si>
  <si>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</si>
  <si>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</si>
  <si>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</si>
  <si>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</si>
  <si>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</si>
  <si>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</si>
  <si>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</si>
  <si>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</si>
  <si>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</si>
  <si>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</si>
  <si>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</si>
  <si>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</si>
  <si>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</si>
  <si>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</si>
  <si>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</si>
  <si>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</si>
  <si>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</si>
  <si>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</si>
  <si>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</si>
  <si>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</si>
  <si>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</si>
  <si>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</si>
  <si>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</si>
  <si>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</si>
  <si>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</si>
  <si>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</si>
  <si>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</si>
  <si>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</si>
  <si>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</si>
  <si>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</si>
  <si>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</si>
  <si>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</si>
  <si>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</si>
  <si>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</si>
  <si>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</si>
  <si>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</si>
  <si>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</si>
  <si>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</si>
  <si>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</si>
  <si>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</si>
  <si>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</si>
  <si>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</si>
  <si>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</si>
  <si>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</si>
  <si>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</si>
  <si>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</si>
  <si>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</si>
  <si>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</si>
  <si>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</si>
  <si>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</si>
  <si>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</si>
  <si>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</si>
  <si>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</si>
  <si>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</si>
  <si>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</si>
  <si>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</si>
  <si>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</si>
  <si>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</si>
  <si>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</si>
  <si>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</si>
  <si>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</si>
  <si>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</si>
  <si>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</si>
  <si>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</si>
  <si>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</si>
  <si>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</si>
  <si>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</si>
  <si>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</si>
  <si>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</si>
  <si>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</si>
  <si>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</si>
  <si>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</si>
  <si>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</si>
  <si>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</si>
  <si>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</si>
  <si>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</si>
  <si>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</si>
  <si>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</si>
  <si>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</si>
  <si>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</si>
  <si>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</si>
  <si>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</si>
  <si>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</si>
  <si>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</si>
  <si>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</si>
  <si>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</si>
  <si>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</si>
  <si>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</si>
  <si>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</si>
  <si>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</si>
  <si>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</si>
  <si>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</si>
  <si>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</si>
  <si>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</si>
  <si>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</si>
  <si>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</si>
  <si>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</si>
  <si>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</si>
  <si>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</si>
  <si>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</si>
  <si>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</si>
  <si>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</si>
  <si>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</si>
  <si>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</si>
  <si>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</si>
  <si>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</si>
  <si>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</si>
  <si>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</si>
  <si>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</si>
  <si>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</si>
  <si>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</si>
  <si>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</si>
  <si>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</si>
  <si>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</si>
  <si>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</si>
  <si>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</si>
  <si>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</si>
  <si>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</si>
  <si>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</si>
  <si>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</si>
  <si>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</si>
  <si>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</si>
  <si>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</si>
  <si>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</si>
  <si>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</si>
  <si>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</si>
  <si>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</si>
  <si>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</si>
  <si>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</si>
  <si>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</si>
  <si>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</si>
  <si>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</si>
  <si>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</si>
  <si>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</si>
  <si>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</si>
  <si>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</si>
  <si>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</si>
  <si>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</si>
  <si>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</si>
  <si>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</si>
  <si>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</si>
  <si>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</si>
  <si>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</si>
  <si>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</si>
  <si>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</si>
  <si>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</si>
  <si>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</si>
  <si>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</si>
  <si>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</si>
  <si>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</si>
  <si>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</si>
  <si>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</si>
  <si>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</si>
  <si>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</si>
  <si>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</si>
  <si>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</si>
  <si>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</si>
  <si>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</si>
  <si>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</si>
  <si>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</si>
  <si>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</si>
  <si>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</si>
  <si>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</si>
  <si>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</si>
  <si>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</si>
  <si>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</si>
  <si>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</si>
  <si>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</si>
  <si>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</si>
  <si>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</si>
  <si>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</si>
  <si>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</si>
  <si>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</si>
  <si>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</si>
  <si>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</si>
  <si>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</si>
  <si>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</si>
  <si>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</si>
  <si>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</si>
  <si>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</si>
  <si>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</si>
  <si>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</si>
  <si>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</si>
  <si>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</si>
  <si>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</si>
  <si>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</si>
  <si>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</si>
  <si>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</si>
  <si>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</si>
  <si>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</si>
  <si>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</si>
  <si>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</si>
  <si>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</si>
  <si>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</si>
  <si>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</si>
  <si>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</si>
  <si>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</si>
  <si>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</si>
  <si>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</si>
  <si>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</si>
  <si>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</si>
  <si>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</si>
  <si>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</si>
  <si>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</si>
  <si>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</si>
  <si>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</si>
  <si>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</si>
  <si>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</si>
  <si>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</si>
  <si>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</si>
  <si>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</si>
  <si>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</si>
  <si>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</si>
  <si>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</si>
  <si>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</si>
  <si>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</si>
  <si>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</si>
  <si>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</si>
  <si>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</si>
  <si>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</si>
  <si>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</si>
  <si>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</si>
  <si>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</si>
  <si>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</si>
  <si>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</si>
  <si>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</si>
  <si>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</si>
  <si>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</si>
  <si>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</si>
  <si>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</si>
  <si>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</si>
  <si>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</si>
  <si>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</si>
  <si>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</si>
  <si>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</si>
  <si>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</si>
  <si>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</si>
  <si>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</si>
  <si>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</si>
  <si>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</si>
  <si>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</si>
  <si>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</si>
  <si>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</si>
  <si>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</si>
  <si>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</si>
  <si>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</si>
  <si>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</si>
  <si>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</si>
  <si>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</si>
  <si>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</si>
  <si>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</si>
  <si>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</si>
  <si>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</si>
  <si>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</si>
  <si>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</si>
  <si>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</si>
  <si>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</si>
  <si>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</si>
  <si>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</si>
  <si>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</si>
  <si>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</si>
  <si>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</si>
  <si>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</si>
  <si>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</si>
  <si>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</si>
  <si>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</si>
  <si>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</si>
  <si>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</si>
  <si>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</si>
  <si>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</si>
  <si>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</si>
  <si>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</si>
  <si>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</si>
  <si>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</si>
  <si>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</si>
  <si>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</si>
  <si>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</si>
  <si>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</si>
  <si>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</si>
  <si>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</si>
  <si>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</si>
  <si>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</si>
  <si>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</si>
  <si>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</si>
  <si>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</si>
  <si>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</si>
  <si>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</si>
  <si>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</si>
  <si>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</si>
  <si>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</si>
  <si>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</si>
  <si>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</si>
  <si>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</si>
  <si>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</si>
  <si>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</si>
  <si>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</si>
  <si>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</si>
  <si>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</si>
  <si>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</si>
  <si>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</si>
  <si>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</si>
  <si>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</si>
  <si>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</si>
  <si>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</si>
  <si>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</si>
  <si>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</si>
  <si>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</si>
  <si>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</si>
  <si>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</si>
  <si>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</si>
  <si>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</si>
  <si>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</si>
  <si>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</si>
  <si>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</si>
  <si>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</si>
  <si>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</si>
  <si>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</si>
  <si>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</si>
  <si>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</si>
  <si>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</si>
  <si>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</si>
  <si>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</si>
  <si>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</si>
  <si>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</si>
  <si>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</si>
  <si>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</si>
  <si>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</si>
  <si>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</si>
  <si>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</si>
  <si>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</si>
  <si>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</si>
  <si>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</si>
  <si>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</si>
  <si>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</si>
  <si>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</si>
  <si>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P005077</t>
  </si>
  <si>
    <t>Вареные колбасы «Докторская» Весовой п/а ТМ «Особый рецепт»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</si>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</sst>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02"/>
  <sheetViews>
    <sheetView tabSelected="1" zoomScaleNormal="100" workbookViewId="0">
      <pane ySplit="1" topLeftCell="A2" activePane="bottomLeft" state="frozen"/>
      <selection pane="bottomLeft" activeCell="G10" sqref="G10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438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1434</v>
      </c>
      <c r="I1" s="20" t="s">
        <v>2156</v>
      </c>
      <c r="J1" s="1" t="s">
        <v>2158</v>
      </c>
      <c r="K1" s="20" t="s">
        <v>2157</v>
      </c>
    </row>
    <row r="2" spans="1:11" ht="30" x14ac:dyDescent="0.25">
      <c r="A2" s="6" t="s">
        <v>634</v>
      </c>
      <c r="B2" s="3" t="s">
        <v>911</v>
      </c>
      <c r="C2" s="3" t="s">
        <v>2670</v>
      </c>
      <c r="D2" s="4">
        <v>4301060455</v>
      </c>
      <c r="E2" s="3">
        <v>4680115881532</v>
      </c>
      <c r="F2" s="5" t="s">
        <v>1637</v>
      </c>
      <c r="G2" s="16" t="s">
        <v>852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1369</v>
      </c>
      <c r="B3" s="3" t="s">
        <v>911</v>
      </c>
      <c r="C3" s="3" t="s">
        <v>2670</v>
      </c>
      <c r="D3" s="4">
        <v>4301060455</v>
      </c>
      <c r="E3" s="3">
        <v>4680115881532</v>
      </c>
      <c r="F3" s="5" t="s">
        <v>1637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942</v>
      </c>
      <c r="B4" s="3" t="s">
        <v>911</v>
      </c>
      <c r="C4" s="3" t="s">
        <v>2670</v>
      </c>
      <c r="D4" s="4">
        <v>4301060455</v>
      </c>
      <c r="E4" s="3">
        <v>4680115881532</v>
      </c>
      <c r="F4" s="5" t="s">
        <v>1637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2043</v>
      </c>
      <c r="B5" s="3" t="s">
        <v>911</v>
      </c>
      <c r="C5" s="3" t="s">
        <v>2670</v>
      </c>
      <c r="D5" s="4">
        <v>4301060455</v>
      </c>
      <c r="E5" s="3">
        <v>4680115881532</v>
      </c>
      <c r="F5" s="5" t="s">
        <v>1637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2349</v>
      </c>
      <c r="B6" s="3" t="s">
        <v>911</v>
      </c>
      <c r="C6" s="3" t="s">
        <v>2670</v>
      </c>
      <c r="D6" s="4">
        <v>4301060455</v>
      </c>
      <c r="E6" s="3">
        <v>4680115881532</v>
      </c>
      <c r="F6" s="5" t="s">
        <v>1637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911</v>
      </c>
      <c r="C7" s="3" t="s">
        <v>2670</v>
      </c>
      <c r="D7" s="4">
        <v>4301060455</v>
      </c>
      <c r="E7" s="3">
        <v>4680115881532</v>
      </c>
      <c r="F7" s="5" t="s">
        <v>1637</v>
      </c>
      <c r="G7" s="16" t="s">
        <v>852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635</v>
      </c>
      <c r="B8" s="3" t="s">
        <v>261</v>
      </c>
      <c r="C8" s="3" t="s">
        <v>2120</v>
      </c>
      <c r="D8" s="4">
        <v>4301060387</v>
      </c>
      <c r="E8" s="3">
        <v>4607091380880</v>
      </c>
      <c r="F8" s="5" t="s">
        <v>2641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689</v>
      </c>
      <c r="B9" s="3" t="s">
        <v>261</v>
      </c>
      <c r="C9" s="3" t="s">
        <v>2120</v>
      </c>
      <c r="D9" s="4">
        <v>4301060387</v>
      </c>
      <c r="E9" s="3">
        <v>4607091380880</v>
      </c>
      <c r="F9" s="5" t="s">
        <v>2641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267</v>
      </c>
      <c r="B10" s="3" t="s">
        <v>261</v>
      </c>
      <c r="C10" s="3" t="s">
        <v>2120</v>
      </c>
      <c r="D10" s="4">
        <v>4301060387</v>
      </c>
      <c r="E10" s="3">
        <v>4607091380880</v>
      </c>
      <c r="F10" s="5" t="s">
        <v>2641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1562</v>
      </c>
      <c r="B11" s="3" t="s">
        <v>261</v>
      </c>
      <c r="C11" s="3" t="s">
        <v>2120</v>
      </c>
      <c r="D11" s="4">
        <v>4301060387</v>
      </c>
      <c r="E11" s="3">
        <v>4607091380880</v>
      </c>
      <c r="F11" s="5" t="s">
        <v>2641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1814</v>
      </c>
      <c r="B12" s="3" t="s">
        <v>261</v>
      </c>
      <c r="C12" s="3" t="s">
        <v>2120</v>
      </c>
      <c r="D12" s="4">
        <v>4301060387</v>
      </c>
      <c r="E12" s="3">
        <v>4607091380880</v>
      </c>
      <c r="F12" s="5" t="s">
        <v>2641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1626</v>
      </c>
      <c r="B13" s="3" t="s">
        <v>261</v>
      </c>
      <c r="C13" s="3" t="s">
        <v>2120</v>
      </c>
      <c r="D13" s="4">
        <v>4301060387</v>
      </c>
      <c r="E13" s="3">
        <v>4607091380880</v>
      </c>
      <c r="F13" s="5" t="s">
        <v>2641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951</v>
      </c>
      <c r="B14" s="3" t="s">
        <v>261</v>
      </c>
      <c r="C14" s="3" t="s">
        <v>2120</v>
      </c>
      <c r="D14" s="4">
        <v>4301060387</v>
      </c>
      <c r="E14" s="3">
        <v>4607091380880</v>
      </c>
      <c r="F14" s="5" t="s">
        <v>2641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1741</v>
      </c>
      <c r="B15" s="3" t="s">
        <v>261</v>
      </c>
      <c r="C15" s="3" t="s">
        <v>2120</v>
      </c>
      <c r="D15" s="4">
        <v>4301060387</v>
      </c>
      <c r="E15" s="3">
        <v>4607091380880</v>
      </c>
      <c r="F15" s="5" t="s">
        <v>2641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1509</v>
      </c>
      <c r="B16" s="3" t="s">
        <v>261</v>
      </c>
      <c r="C16" s="3" t="s">
        <v>2120</v>
      </c>
      <c r="D16" s="4">
        <v>4301060387</v>
      </c>
      <c r="E16" s="3">
        <v>4607091380880</v>
      </c>
      <c r="F16" s="5" t="s">
        <v>2641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960</v>
      </c>
      <c r="B17" s="3" t="s">
        <v>261</v>
      </c>
      <c r="C17" s="3" t="s">
        <v>2120</v>
      </c>
      <c r="D17" s="4">
        <v>4301060387</v>
      </c>
      <c r="E17" s="3">
        <v>4607091380880</v>
      </c>
      <c r="F17" s="5" t="s">
        <v>2641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2011</v>
      </c>
      <c r="B18" s="3" t="s">
        <v>261</v>
      </c>
      <c r="C18" s="3" t="s">
        <v>2120</v>
      </c>
      <c r="D18" s="4">
        <v>4301060387</v>
      </c>
      <c r="E18" s="3">
        <v>4607091380880</v>
      </c>
      <c r="F18" s="5" t="s">
        <v>2641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269</v>
      </c>
      <c r="B19" s="3" t="s">
        <v>264</v>
      </c>
      <c r="C19" s="3" t="s">
        <v>2643</v>
      </c>
      <c r="D19" s="4">
        <v>4301060484</v>
      </c>
      <c r="E19" s="3">
        <v>4607091380897</v>
      </c>
      <c r="F19" s="5" t="s">
        <v>2644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637</v>
      </c>
      <c r="B20" s="3" t="s">
        <v>264</v>
      </c>
      <c r="C20" s="3" t="s">
        <v>2643</v>
      </c>
      <c r="D20" s="4">
        <v>4301060484</v>
      </c>
      <c r="E20" s="3">
        <v>4607091380897</v>
      </c>
      <c r="F20" s="5" t="s">
        <v>2644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1563</v>
      </c>
      <c r="B21" s="3" t="s">
        <v>264</v>
      </c>
      <c r="C21" s="3" t="s">
        <v>2643</v>
      </c>
      <c r="D21" s="4">
        <v>4301060484</v>
      </c>
      <c r="E21" s="3">
        <v>4607091380897</v>
      </c>
      <c r="F21" s="5" t="s">
        <v>2644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1367</v>
      </c>
      <c r="B22" s="3" t="s">
        <v>264</v>
      </c>
      <c r="C22" s="3" t="s">
        <v>2643</v>
      </c>
      <c r="D22" s="4">
        <v>4301060484</v>
      </c>
      <c r="E22" s="3">
        <v>4607091380897</v>
      </c>
      <c r="F22" s="5" t="s">
        <v>2644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701</v>
      </c>
      <c r="B23" s="3" t="s">
        <v>264</v>
      </c>
      <c r="C23" s="3" t="s">
        <v>2643</v>
      </c>
      <c r="D23" s="4">
        <v>4301060484</v>
      </c>
      <c r="E23" s="3">
        <v>4607091380897</v>
      </c>
      <c r="F23" s="5" t="s">
        <v>2644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825</v>
      </c>
      <c r="B24" s="3" t="s">
        <v>264</v>
      </c>
      <c r="C24" s="3" t="s">
        <v>2643</v>
      </c>
      <c r="D24" s="4">
        <v>4301060484</v>
      </c>
      <c r="E24" s="3">
        <v>4607091380897</v>
      </c>
      <c r="F24" s="5" t="s">
        <v>2644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1876</v>
      </c>
      <c r="B25" s="3" t="s">
        <v>264</v>
      </c>
      <c r="C25" s="3" t="s">
        <v>2643</v>
      </c>
      <c r="D25" s="4">
        <v>4301060484</v>
      </c>
      <c r="E25" s="3">
        <v>4607091380897</v>
      </c>
      <c r="F25" s="5" t="s">
        <v>2644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926</v>
      </c>
      <c r="B26" s="3" t="s">
        <v>264</v>
      </c>
      <c r="C26" s="3" t="s">
        <v>2643</v>
      </c>
      <c r="D26" s="4">
        <v>4301060484</v>
      </c>
      <c r="E26" s="3">
        <v>4607091380897</v>
      </c>
      <c r="F26" s="5" t="s">
        <v>2644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1224</v>
      </c>
      <c r="B27" s="3" t="s">
        <v>264</v>
      </c>
      <c r="C27" s="3" t="s">
        <v>2643</v>
      </c>
      <c r="D27" s="4">
        <v>4301060484</v>
      </c>
      <c r="E27" s="3">
        <v>4607091380897</v>
      </c>
      <c r="F27" s="5" t="s">
        <v>2644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1455</v>
      </c>
      <c r="B28" s="3" t="s">
        <v>264</v>
      </c>
      <c r="C28" s="3" t="s">
        <v>2643</v>
      </c>
      <c r="D28" s="4">
        <v>4301060484</v>
      </c>
      <c r="E28" s="3">
        <v>4607091380897</v>
      </c>
      <c r="F28" s="5" t="s">
        <v>2644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965</v>
      </c>
      <c r="B29" s="3" t="s">
        <v>264</v>
      </c>
      <c r="C29" s="3" t="s">
        <v>2643</v>
      </c>
      <c r="D29" s="4">
        <v>4301060484</v>
      </c>
      <c r="E29" s="3">
        <v>4607091380897</v>
      </c>
      <c r="F29" s="5" t="s">
        <v>2644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1536</v>
      </c>
      <c r="B30" s="3" t="s">
        <v>264</v>
      </c>
      <c r="C30" s="3" t="s">
        <v>2643</v>
      </c>
      <c r="D30" s="4">
        <v>4301060484</v>
      </c>
      <c r="E30" s="3">
        <v>4607091380897</v>
      </c>
      <c r="F30" s="5" t="s">
        <v>2644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1965</v>
      </c>
      <c r="B31" s="3" t="s">
        <v>264</v>
      </c>
      <c r="C31" s="3" t="s">
        <v>2643</v>
      </c>
      <c r="D31" s="4">
        <v>4301060484</v>
      </c>
      <c r="E31" s="3">
        <v>4607091380897</v>
      </c>
      <c r="F31" s="5" t="s">
        <v>2644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1400</v>
      </c>
      <c r="B32" s="3" t="s">
        <v>264</v>
      </c>
      <c r="C32" s="3" t="s">
        <v>2643</v>
      </c>
      <c r="D32" s="4">
        <v>4301060484</v>
      </c>
      <c r="E32" s="3">
        <v>4607091380897</v>
      </c>
      <c r="F32" s="5" t="s">
        <v>2644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609</v>
      </c>
      <c r="B33" s="3" t="s">
        <v>264</v>
      </c>
      <c r="C33" s="3" t="s">
        <v>2643</v>
      </c>
      <c r="D33" s="4">
        <v>4301060484</v>
      </c>
      <c r="E33" s="3">
        <v>4607091380897</v>
      </c>
      <c r="F33" s="5" t="s">
        <v>2644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2017</v>
      </c>
      <c r="B34" s="3" t="s">
        <v>264</v>
      </c>
      <c r="C34" s="3" t="s">
        <v>2643</v>
      </c>
      <c r="D34" s="4">
        <v>4301060484</v>
      </c>
      <c r="E34" s="3">
        <v>4607091380897</v>
      </c>
      <c r="F34" s="5" t="s">
        <v>2644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1417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1068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254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254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636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254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1745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254</v>
      </c>
      <c r="G39" s="17" t="s">
        <v>1363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1945</v>
      </c>
      <c r="B40" s="3" t="s">
        <v>2197</v>
      </c>
      <c r="C40" s="3" t="s">
        <v>2198</v>
      </c>
      <c r="D40" s="4">
        <v>4301051734</v>
      </c>
      <c r="E40" s="3">
        <v>4680115884588</v>
      </c>
      <c r="F40" s="5" t="s">
        <v>2199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1707</v>
      </c>
      <c r="B41" s="3" t="s">
        <v>2197</v>
      </c>
      <c r="C41" s="3" t="s">
        <v>2198</v>
      </c>
      <c r="D41" s="4">
        <v>4301051734</v>
      </c>
      <c r="E41" s="3">
        <v>4680115884588</v>
      </c>
      <c r="F41" s="5" t="s">
        <v>2199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1773</v>
      </c>
      <c r="B42" s="3" t="s">
        <v>2197</v>
      </c>
      <c r="C42" s="3" t="s">
        <v>2198</v>
      </c>
      <c r="D42" s="4">
        <v>4301051734</v>
      </c>
      <c r="E42" s="3">
        <v>4680115884588</v>
      </c>
      <c r="F42" s="5" t="s">
        <v>2199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2085</v>
      </c>
      <c r="B43" s="3" t="s">
        <v>2197</v>
      </c>
      <c r="C43" s="3" t="s">
        <v>2198</v>
      </c>
      <c r="D43" s="4">
        <v>4301051734</v>
      </c>
      <c r="E43" s="3">
        <v>4680115884588</v>
      </c>
      <c r="F43" s="5" t="s">
        <v>2199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1667</v>
      </c>
      <c r="B44" s="3" t="s">
        <v>2197</v>
      </c>
      <c r="C44" s="3" t="s">
        <v>2198</v>
      </c>
      <c r="D44" s="4">
        <v>4301051734</v>
      </c>
      <c r="E44" s="3">
        <v>4680115884588</v>
      </c>
      <c r="F44" s="5" t="s">
        <v>2199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2227</v>
      </c>
      <c r="B45" s="3" t="s">
        <v>2197</v>
      </c>
      <c r="C45" s="3" t="s">
        <v>2198</v>
      </c>
      <c r="D45" s="4">
        <v>4301051734</v>
      </c>
      <c r="E45" s="3">
        <v>4680115884588</v>
      </c>
      <c r="F45" s="5" t="s">
        <v>2199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2230</v>
      </c>
      <c r="B46" s="3" t="s">
        <v>2197</v>
      </c>
      <c r="C46" s="3" t="s">
        <v>2198</v>
      </c>
      <c r="D46" s="4">
        <v>4301051734</v>
      </c>
      <c r="E46" s="3">
        <v>4680115884588</v>
      </c>
      <c r="F46" s="5" t="s">
        <v>2199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1747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254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492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254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706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1542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528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704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750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1054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833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2400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1226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1658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1161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1652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1653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522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1816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989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1080</v>
      </c>
      <c r="D68" s="4">
        <v>4301011623</v>
      </c>
      <c r="E68" s="3">
        <v>4607091382945</v>
      </c>
      <c r="F68" s="5" t="s">
        <v>1081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1556</v>
      </c>
      <c r="B69" s="3" t="s">
        <v>42</v>
      </c>
      <c r="C69" s="3" t="s">
        <v>1080</v>
      </c>
      <c r="D69" s="4">
        <v>4301011623</v>
      </c>
      <c r="E69" s="3">
        <v>4607091382945</v>
      </c>
      <c r="F69" s="5" t="s">
        <v>1081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673</v>
      </c>
      <c r="B70" s="3" t="s">
        <v>42</v>
      </c>
      <c r="C70" s="3" t="s">
        <v>1080</v>
      </c>
      <c r="D70" s="4">
        <v>4301011623</v>
      </c>
      <c r="E70" s="3">
        <v>4607091382945</v>
      </c>
      <c r="F70" s="5" t="s">
        <v>1081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805</v>
      </c>
      <c r="B71" s="3" t="s">
        <v>42</v>
      </c>
      <c r="C71" s="3" t="s">
        <v>1080</v>
      </c>
      <c r="D71" s="4">
        <v>4301011623</v>
      </c>
      <c r="E71" s="3">
        <v>4607091382945</v>
      </c>
      <c r="F71" s="5" t="s">
        <v>1081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1767</v>
      </c>
      <c r="B72" s="3" t="s">
        <v>42</v>
      </c>
      <c r="C72" s="3" t="s">
        <v>1080</v>
      </c>
      <c r="D72" s="4">
        <v>4301011623</v>
      </c>
      <c r="E72" s="3">
        <v>4607091382945</v>
      </c>
      <c r="F72" s="5" t="s">
        <v>1081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958</v>
      </c>
      <c r="B73" s="3" t="s">
        <v>42</v>
      </c>
      <c r="C73" s="3" t="s">
        <v>1080</v>
      </c>
      <c r="D73" s="4">
        <v>4301011623</v>
      </c>
      <c r="E73" s="3">
        <v>4607091382945</v>
      </c>
      <c r="F73" s="5" t="s">
        <v>1081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1871</v>
      </c>
      <c r="B74" s="3" t="s">
        <v>42</v>
      </c>
      <c r="C74" s="3" t="s">
        <v>1080</v>
      </c>
      <c r="D74" s="4">
        <v>4301011623</v>
      </c>
      <c r="E74" s="3">
        <v>4607091382945</v>
      </c>
      <c r="F74" s="5" t="s">
        <v>1081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1081</v>
      </c>
      <c r="B75" s="3" t="s">
        <v>42</v>
      </c>
      <c r="C75" s="3" t="s">
        <v>1080</v>
      </c>
      <c r="D75" s="4">
        <v>4301011623</v>
      </c>
      <c r="E75" s="3">
        <v>4607091382945</v>
      </c>
      <c r="F75" s="5" t="s">
        <v>1081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743</v>
      </c>
      <c r="B76" s="3" t="s">
        <v>42</v>
      </c>
      <c r="C76" s="3" t="s">
        <v>1080</v>
      </c>
      <c r="D76" s="4">
        <v>4301011623</v>
      </c>
      <c r="E76" s="3">
        <v>4607091382945</v>
      </c>
      <c r="F76" s="5" t="s">
        <v>1081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463</v>
      </c>
      <c r="B77" s="3" t="s">
        <v>42</v>
      </c>
      <c r="C77" s="3" t="s">
        <v>1080</v>
      </c>
      <c r="D77" s="4">
        <v>4301011623</v>
      </c>
      <c r="E77" s="3">
        <v>4607091382945</v>
      </c>
      <c r="F77" s="5" t="s">
        <v>1081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621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804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1447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1111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2366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1986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591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1399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465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1776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1821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1993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717</v>
      </c>
      <c r="B91" s="3" t="s">
        <v>323</v>
      </c>
      <c r="C91" s="3" t="s">
        <v>324</v>
      </c>
      <c r="D91" s="4">
        <v>4301032015</v>
      </c>
      <c r="E91" s="3">
        <v>4607091383102</v>
      </c>
      <c r="F91" s="5" t="s">
        <v>325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861</v>
      </c>
      <c r="B92" s="3" t="s">
        <v>323</v>
      </c>
      <c r="C92" s="3" t="s">
        <v>324</v>
      </c>
      <c r="D92" s="4">
        <v>4301032015</v>
      </c>
      <c r="E92" s="3">
        <v>4607091383102</v>
      </c>
      <c r="F92" s="5" t="s">
        <v>325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1099</v>
      </c>
      <c r="B93" s="3" t="s">
        <v>323</v>
      </c>
      <c r="C93" s="3" t="s">
        <v>324</v>
      </c>
      <c r="D93" s="4">
        <v>4301032015</v>
      </c>
      <c r="E93" s="3">
        <v>4607091383102</v>
      </c>
      <c r="F93" s="5" t="s">
        <v>325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1998</v>
      </c>
      <c r="B94" s="3" t="s">
        <v>323</v>
      </c>
      <c r="C94" s="3" t="s">
        <v>324</v>
      </c>
      <c r="D94" s="4">
        <v>4301032015</v>
      </c>
      <c r="E94" s="3">
        <v>4607091383102</v>
      </c>
      <c r="F94" s="5" t="s">
        <v>325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325</v>
      </c>
      <c r="B95" s="3" t="s">
        <v>323</v>
      </c>
      <c r="C95" s="3" t="s">
        <v>324</v>
      </c>
      <c r="D95" s="4">
        <v>4301032015</v>
      </c>
      <c r="E95" s="3">
        <v>4607091383102</v>
      </c>
      <c r="F95" s="5" t="s">
        <v>325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671</v>
      </c>
      <c r="B96" s="3" t="s">
        <v>323</v>
      </c>
      <c r="C96" s="3" t="s">
        <v>324</v>
      </c>
      <c r="D96" s="4">
        <v>4301032015</v>
      </c>
      <c r="E96" s="3">
        <v>4607091383102</v>
      </c>
      <c r="F96" s="5" t="s">
        <v>325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639</v>
      </c>
      <c r="B97" s="3" t="s">
        <v>1076</v>
      </c>
      <c r="C97" s="3" t="s">
        <v>1077</v>
      </c>
      <c r="D97" s="4">
        <v>4301031236</v>
      </c>
      <c r="E97" s="3">
        <v>4680115882928</v>
      </c>
      <c r="F97" s="5" t="s">
        <v>1078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1385</v>
      </c>
      <c r="B98" s="3" t="s">
        <v>1076</v>
      </c>
      <c r="C98" s="3" t="s">
        <v>1077</v>
      </c>
      <c r="D98" s="4">
        <v>4301031236</v>
      </c>
      <c r="E98" s="3">
        <v>4680115882928</v>
      </c>
      <c r="F98" s="5" t="s">
        <v>1078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1171</v>
      </c>
      <c r="B99" s="3" t="s">
        <v>1076</v>
      </c>
      <c r="C99" s="3" t="s">
        <v>1077</v>
      </c>
      <c r="D99" s="4">
        <v>4301031236</v>
      </c>
      <c r="E99" s="3">
        <v>4680115882928</v>
      </c>
      <c r="F99" s="5" t="s">
        <v>1078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730</v>
      </c>
      <c r="B100" s="3" t="s">
        <v>1076</v>
      </c>
      <c r="C100" s="3" t="s">
        <v>1077</v>
      </c>
      <c r="D100" s="4">
        <v>4301031236</v>
      </c>
      <c r="E100" s="3">
        <v>4680115882928</v>
      </c>
      <c r="F100" s="5" t="s">
        <v>1078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313</v>
      </c>
      <c r="B101" s="3" t="s">
        <v>1076</v>
      </c>
      <c r="C101" s="3" t="s">
        <v>1077</v>
      </c>
      <c r="D101" s="4">
        <v>4301031236</v>
      </c>
      <c r="E101" s="3">
        <v>4680115882928</v>
      </c>
      <c r="F101" s="5" t="s">
        <v>1078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966</v>
      </c>
      <c r="B102" s="3" t="s">
        <v>1076</v>
      </c>
      <c r="C102" s="3" t="s">
        <v>1077</v>
      </c>
      <c r="D102" s="4">
        <v>4301031236</v>
      </c>
      <c r="E102" s="3">
        <v>4680115882928</v>
      </c>
      <c r="F102" s="5" t="s">
        <v>1078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1169</v>
      </c>
      <c r="B103" s="3" t="s">
        <v>1076</v>
      </c>
      <c r="C103" s="3" t="s">
        <v>1077</v>
      </c>
      <c r="D103" s="4">
        <v>4301031236</v>
      </c>
      <c r="E103" s="3">
        <v>4680115882928</v>
      </c>
      <c r="F103" s="5" t="s">
        <v>1078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1572</v>
      </c>
      <c r="B104" s="3" t="s">
        <v>1076</v>
      </c>
      <c r="C104" s="3" t="s">
        <v>1077</v>
      </c>
      <c r="D104" s="4">
        <v>4301031236</v>
      </c>
      <c r="E104" s="3">
        <v>4680115882928</v>
      </c>
      <c r="F104" s="5" t="s">
        <v>1078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2211</v>
      </c>
      <c r="B105" s="3" t="s">
        <v>1076</v>
      </c>
      <c r="C105" s="3" t="s">
        <v>1077</v>
      </c>
      <c r="D105" s="4">
        <v>4301031236</v>
      </c>
      <c r="E105" s="3">
        <v>4680115882928</v>
      </c>
      <c r="F105" s="5" t="s">
        <v>1078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1087</v>
      </c>
      <c r="B106" s="3" t="s">
        <v>1076</v>
      </c>
      <c r="C106" s="3" t="s">
        <v>1077</v>
      </c>
      <c r="D106" s="4">
        <v>4301031236</v>
      </c>
      <c r="E106" s="3">
        <v>4680115882928</v>
      </c>
      <c r="F106" s="5" t="s">
        <v>1078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873</v>
      </c>
      <c r="B107" s="3" t="s">
        <v>1076</v>
      </c>
      <c r="C107" s="3" t="s">
        <v>1077</v>
      </c>
      <c r="D107" s="4">
        <v>4301031236</v>
      </c>
      <c r="E107" s="3">
        <v>4680115882928</v>
      </c>
      <c r="F107" s="5" t="s">
        <v>1078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468</v>
      </c>
      <c r="B108" s="3" t="s">
        <v>1076</v>
      </c>
      <c r="C108" s="3" t="s">
        <v>1077</v>
      </c>
      <c r="D108" s="4">
        <v>4301031236</v>
      </c>
      <c r="E108" s="3">
        <v>4680115882928</v>
      </c>
      <c r="F108" s="5" t="s">
        <v>1078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1055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707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1398</v>
      </c>
      <c r="B112" s="3" t="s">
        <v>421</v>
      </c>
      <c r="C112" s="3" t="s">
        <v>422</v>
      </c>
      <c r="D112" s="4">
        <v>4301051230</v>
      </c>
      <c r="E112" s="3">
        <v>4607091383409</v>
      </c>
      <c r="F112" s="5" t="s">
        <v>425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2016</v>
      </c>
      <c r="B113" s="3" t="s">
        <v>423</v>
      </c>
      <c r="C113" s="3" t="s">
        <v>424</v>
      </c>
      <c r="D113" s="4">
        <v>4301051231</v>
      </c>
      <c r="E113" s="3">
        <v>4607091383416</v>
      </c>
      <c r="F113" s="5" t="s">
        <v>426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784</v>
      </c>
      <c r="B114" s="3" t="s">
        <v>423</v>
      </c>
      <c r="C114" s="3" t="s">
        <v>424</v>
      </c>
      <c r="D114" s="4">
        <v>4301051231</v>
      </c>
      <c r="E114" s="3">
        <v>4607091383416</v>
      </c>
      <c r="F114" s="5" t="s">
        <v>426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654</v>
      </c>
      <c r="B115" s="3" t="s">
        <v>423</v>
      </c>
      <c r="C115" s="3" t="s">
        <v>424</v>
      </c>
      <c r="D115" s="4">
        <v>4301051231</v>
      </c>
      <c r="E115" s="3">
        <v>4607091383416</v>
      </c>
      <c r="F115" s="5" t="s">
        <v>426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1416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512</v>
      </c>
      <c r="B117" s="3" t="s">
        <v>2129</v>
      </c>
      <c r="C117" s="3" t="s">
        <v>2130</v>
      </c>
      <c r="D117" s="4">
        <v>4301011376</v>
      </c>
      <c r="E117" s="3">
        <v>4680115885226</v>
      </c>
      <c r="F117" s="5" t="s">
        <v>2131</v>
      </c>
      <c r="G117" s="16" t="s">
        <v>2143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567</v>
      </c>
      <c r="B118" s="3" t="s">
        <v>2129</v>
      </c>
      <c r="C118" s="3" t="s">
        <v>2130</v>
      </c>
      <c r="D118" s="4">
        <v>4301011376</v>
      </c>
      <c r="E118" s="3">
        <v>4680115885226</v>
      </c>
      <c r="F118" s="5" t="s">
        <v>2131</v>
      </c>
      <c r="G118" s="16" t="s">
        <v>2143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2393</v>
      </c>
      <c r="B119" s="3" t="s">
        <v>2129</v>
      </c>
      <c r="C119" s="3" t="s">
        <v>2130</v>
      </c>
      <c r="D119" s="4">
        <v>4301011376</v>
      </c>
      <c r="E119" s="3">
        <v>4680115885226</v>
      </c>
      <c r="F119" s="5" t="s">
        <v>2131</v>
      </c>
      <c r="G119" s="16" t="s">
        <v>2143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1720</v>
      </c>
      <c r="B120" s="3" t="s">
        <v>2129</v>
      </c>
      <c r="C120" s="3" t="s">
        <v>2130</v>
      </c>
      <c r="D120" s="4">
        <v>4301011376</v>
      </c>
      <c r="E120" s="3">
        <v>4680115885226</v>
      </c>
      <c r="F120" s="5" t="s">
        <v>2131</v>
      </c>
      <c r="G120" s="16" t="s">
        <v>2143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1916</v>
      </c>
      <c r="B121" s="3" t="s">
        <v>2129</v>
      </c>
      <c r="C121" s="3" t="s">
        <v>2130</v>
      </c>
      <c r="D121" s="4">
        <v>4301011376</v>
      </c>
      <c r="E121" s="3">
        <v>4680115885226</v>
      </c>
      <c r="F121" s="5" t="s">
        <v>2131</v>
      </c>
      <c r="G121" s="16" t="s">
        <v>2143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407</v>
      </c>
      <c r="B122" s="3" t="s">
        <v>2129</v>
      </c>
      <c r="C122" s="3" t="s">
        <v>2130</v>
      </c>
      <c r="D122" s="4">
        <v>4301011376</v>
      </c>
      <c r="E122" s="3">
        <v>4680115885226</v>
      </c>
      <c r="F122" s="5" t="s">
        <v>2131</v>
      </c>
      <c r="G122" s="16" t="s">
        <v>2143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1008</v>
      </c>
      <c r="B123" s="3" t="s">
        <v>2129</v>
      </c>
      <c r="C123" s="3" t="s">
        <v>2130</v>
      </c>
      <c r="D123" s="4">
        <v>4301011376</v>
      </c>
      <c r="E123" s="3">
        <v>4680115885226</v>
      </c>
      <c r="F123" s="5" t="s">
        <v>2131</v>
      </c>
      <c r="G123" s="16" t="s">
        <v>2143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1358</v>
      </c>
      <c r="B124" s="3" t="s">
        <v>2129</v>
      </c>
      <c r="C124" s="3" t="s">
        <v>2130</v>
      </c>
      <c r="D124" s="4">
        <v>4301011376</v>
      </c>
      <c r="E124" s="3">
        <v>4680115885226</v>
      </c>
      <c r="F124" s="5" t="s">
        <v>2131</v>
      </c>
      <c r="G124" s="16" t="s">
        <v>2143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1197</v>
      </c>
      <c r="B125" s="3" t="s">
        <v>2129</v>
      </c>
      <c r="C125" s="3" t="s">
        <v>2130</v>
      </c>
      <c r="D125" s="4">
        <v>4301011376</v>
      </c>
      <c r="E125" s="3">
        <v>4680115885226</v>
      </c>
      <c r="F125" s="5" t="s">
        <v>2131</v>
      </c>
      <c r="G125" s="16" t="s">
        <v>2143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1505</v>
      </c>
      <c r="B126" s="3" t="s">
        <v>2129</v>
      </c>
      <c r="C126" s="3" t="s">
        <v>2130</v>
      </c>
      <c r="D126" s="4">
        <v>4301011376</v>
      </c>
      <c r="E126" s="3">
        <v>4680115885226</v>
      </c>
      <c r="F126" s="5" t="s">
        <v>2131</v>
      </c>
      <c r="G126" s="16" t="s">
        <v>2143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595</v>
      </c>
      <c r="B127" s="3" t="s">
        <v>2129</v>
      </c>
      <c r="C127" s="3" t="s">
        <v>2130</v>
      </c>
      <c r="D127" s="4">
        <v>4301011376</v>
      </c>
      <c r="E127" s="3">
        <v>4680115885226</v>
      </c>
      <c r="F127" s="5" t="s">
        <v>2131</v>
      </c>
      <c r="G127" s="16" t="s">
        <v>2143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2002</v>
      </c>
      <c r="B128" s="3" t="s">
        <v>2129</v>
      </c>
      <c r="C128" s="3" t="s">
        <v>2130</v>
      </c>
      <c r="D128" s="4">
        <v>4301011376</v>
      </c>
      <c r="E128" s="3">
        <v>4680115885226</v>
      </c>
      <c r="F128" s="5" t="s">
        <v>2131</v>
      </c>
      <c r="G128" s="16" t="s">
        <v>2143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1300</v>
      </c>
      <c r="B129" s="3" t="s">
        <v>2129</v>
      </c>
      <c r="C129" s="3" t="s">
        <v>2130</v>
      </c>
      <c r="D129" s="4">
        <v>4301011376</v>
      </c>
      <c r="E129" s="3">
        <v>4680115885226</v>
      </c>
      <c r="F129" s="5" t="s">
        <v>2131</v>
      </c>
      <c r="G129" s="16" t="s">
        <v>2143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2293</v>
      </c>
      <c r="B130" s="3" t="s">
        <v>2129</v>
      </c>
      <c r="C130" s="3" t="s">
        <v>2130</v>
      </c>
      <c r="D130" s="4">
        <v>4301011376</v>
      </c>
      <c r="E130" s="3">
        <v>4680115885226</v>
      </c>
      <c r="F130" s="5" t="s">
        <v>2131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2295</v>
      </c>
      <c r="B131" s="3" t="s">
        <v>2129</v>
      </c>
      <c r="C131" s="3" t="s">
        <v>2130</v>
      </c>
      <c r="D131" s="4">
        <v>4301011376</v>
      </c>
      <c r="E131" s="3">
        <v>4680115885226</v>
      </c>
      <c r="F131" s="5" t="s">
        <v>2131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2276</v>
      </c>
      <c r="B132" s="3" t="s">
        <v>2129</v>
      </c>
      <c r="C132" s="3" t="s">
        <v>2130</v>
      </c>
      <c r="D132" s="4">
        <v>4301011376</v>
      </c>
      <c r="E132" s="3">
        <v>4680115885226</v>
      </c>
      <c r="F132" s="5" t="s">
        <v>2131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2128</v>
      </c>
      <c r="B133" s="3" t="s">
        <v>2129</v>
      </c>
      <c r="C133" s="3" t="s">
        <v>2130</v>
      </c>
      <c r="D133" s="4">
        <v>4301011376</v>
      </c>
      <c r="E133" s="3">
        <v>4680115885226</v>
      </c>
      <c r="F133" s="5" t="s">
        <v>2131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718</v>
      </c>
      <c r="B134" s="3" t="s">
        <v>311</v>
      </c>
      <c r="C134" s="3" t="s">
        <v>312</v>
      </c>
      <c r="D134" s="4">
        <v>4301031066</v>
      </c>
      <c r="E134" s="3">
        <v>4607091383836</v>
      </c>
      <c r="F134" s="5" t="s">
        <v>314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314</v>
      </c>
      <c r="B135" s="3" t="s">
        <v>311</v>
      </c>
      <c r="C135" s="3" t="s">
        <v>312</v>
      </c>
      <c r="D135" s="4">
        <v>4301031066</v>
      </c>
      <c r="E135" s="3">
        <v>4607091383836</v>
      </c>
      <c r="F135" s="5" t="s">
        <v>314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1493</v>
      </c>
      <c r="B136" s="3" t="s">
        <v>311</v>
      </c>
      <c r="C136" s="3" t="s">
        <v>312</v>
      </c>
      <c r="D136" s="4">
        <v>4301031066</v>
      </c>
      <c r="E136" s="3">
        <v>4607091383836</v>
      </c>
      <c r="F136" s="5" t="s">
        <v>314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862</v>
      </c>
      <c r="B137" s="3" t="s">
        <v>311</v>
      </c>
      <c r="C137" s="3" t="s">
        <v>312</v>
      </c>
      <c r="D137" s="4">
        <v>4301031066</v>
      </c>
      <c r="E137" s="3">
        <v>4607091383836</v>
      </c>
      <c r="F137" s="5" t="s">
        <v>314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766</v>
      </c>
      <c r="B138" s="3" t="s">
        <v>311</v>
      </c>
      <c r="C138" s="3" t="s">
        <v>312</v>
      </c>
      <c r="D138" s="4">
        <v>4301031066</v>
      </c>
      <c r="E138" s="3">
        <v>4607091383836</v>
      </c>
      <c r="F138" s="5" t="s">
        <v>314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453</v>
      </c>
      <c r="B139" s="3" t="s">
        <v>311</v>
      </c>
      <c r="C139" s="3" t="s">
        <v>312</v>
      </c>
      <c r="D139" s="4">
        <v>4301031066</v>
      </c>
      <c r="E139" s="3">
        <v>4607091383836</v>
      </c>
      <c r="F139" s="5" t="s">
        <v>314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1291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1292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318</v>
      </c>
      <c r="B144" s="3" t="s">
        <v>1525</v>
      </c>
      <c r="C144" s="3" t="s">
        <v>1526</v>
      </c>
      <c r="D144" s="4">
        <v>4301051461</v>
      </c>
      <c r="E144" s="3">
        <v>4680115883604</v>
      </c>
      <c r="F144" s="5" t="s">
        <v>1527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668</v>
      </c>
      <c r="B145" s="3" t="s">
        <v>1525</v>
      </c>
      <c r="C145" s="3" t="s">
        <v>1526</v>
      </c>
      <c r="D145" s="4">
        <v>4301051461</v>
      </c>
      <c r="E145" s="3">
        <v>4680115883604</v>
      </c>
      <c r="F145" s="5" t="s">
        <v>1527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1848</v>
      </c>
      <c r="B146" s="3" t="s">
        <v>1525</v>
      </c>
      <c r="C146" s="3" t="s">
        <v>1526</v>
      </c>
      <c r="D146" s="4">
        <v>4301051461</v>
      </c>
      <c r="E146" s="3">
        <v>4680115883604</v>
      </c>
      <c r="F146" s="5" t="s">
        <v>1527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1475</v>
      </c>
      <c r="B147" s="3" t="s">
        <v>1525</v>
      </c>
      <c r="C147" s="3" t="s">
        <v>1526</v>
      </c>
      <c r="D147" s="4">
        <v>4301051461</v>
      </c>
      <c r="E147" s="3">
        <v>4680115883604</v>
      </c>
      <c r="F147" s="5" t="s">
        <v>1527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737</v>
      </c>
      <c r="B148" s="3" t="s">
        <v>1525</v>
      </c>
      <c r="C148" s="3" t="s">
        <v>1526</v>
      </c>
      <c r="D148" s="4">
        <v>4301051461</v>
      </c>
      <c r="E148" s="3">
        <v>4680115883604</v>
      </c>
      <c r="F148" s="5" t="s">
        <v>1527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1103</v>
      </c>
      <c r="B149" s="3" t="s">
        <v>1525</v>
      </c>
      <c r="C149" s="3" t="s">
        <v>1526</v>
      </c>
      <c r="D149" s="4">
        <v>4301051461</v>
      </c>
      <c r="E149" s="3">
        <v>4680115883604</v>
      </c>
      <c r="F149" s="5" t="s">
        <v>1527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961</v>
      </c>
      <c r="B150" s="3" t="s">
        <v>1525</v>
      </c>
      <c r="C150" s="3" t="s">
        <v>1526</v>
      </c>
      <c r="D150" s="4">
        <v>4301051461</v>
      </c>
      <c r="E150" s="3">
        <v>4680115883604</v>
      </c>
      <c r="F150" s="5" t="s">
        <v>1527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1905</v>
      </c>
      <c r="B151" s="3" t="s">
        <v>1525</v>
      </c>
      <c r="C151" s="3" t="s">
        <v>1526</v>
      </c>
      <c r="D151" s="4">
        <v>4301051461</v>
      </c>
      <c r="E151" s="3">
        <v>4680115883604</v>
      </c>
      <c r="F151" s="5" t="s">
        <v>1527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1541</v>
      </c>
      <c r="B152" s="3" t="s">
        <v>1525</v>
      </c>
      <c r="C152" s="3" t="s">
        <v>1526</v>
      </c>
      <c r="D152" s="4">
        <v>4301051461</v>
      </c>
      <c r="E152" s="3">
        <v>4680115883604</v>
      </c>
      <c r="F152" s="5" t="s">
        <v>1527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931</v>
      </c>
      <c r="B153" s="3" t="s">
        <v>1525</v>
      </c>
      <c r="C153" s="3" t="s">
        <v>1526</v>
      </c>
      <c r="D153" s="4">
        <v>4301051461</v>
      </c>
      <c r="E153" s="3">
        <v>4680115883604</v>
      </c>
      <c r="F153" s="5" t="s">
        <v>1527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1006</v>
      </c>
      <c r="B154" s="3" t="s">
        <v>1525</v>
      </c>
      <c r="C154" s="3" t="s">
        <v>1526</v>
      </c>
      <c r="D154" s="4">
        <v>4301051461</v>
      </c>
      <c r="E154" s="3">
        <v>4680115883604</v>
      </c>
      <c r="F154" s="5" t="s">
        <v>1527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897</v>
      </c>
      <c r="B155" s="3" t="s">
        <v>1525</v>
      </c>
      <c r="C155" s="3" t="s">
        <v>1526</v>
      </c>
      <c r="D155" s="4">
        <v>4301051461</v>
      </c>
      <c r="E155" s="3">
        <v>4680115883604</v>
      </c>
      <c r="F155" s="5" t="s">
        <v>1527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880</v>
      </c>
      <c r="B156" s="3" t="s">
        <v>1525</v>
      </c>
      <c r="C156" s="3" t="s">
        <v>1526</v>
      </c>
      <c r="D156" s="4">
        <v>4301051461</v>
      </c>
      <c r="E156" s="3">
        <v>4680115883604</v>
      </c>
      <c r="F156" s="5" t="s">
        <v>1527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1193</v>
      </c>
      <c r="B157" s="3" t="s">
        <v>1525</v>
      </c>
      <c r="C157" s="3" t="s">
        <v>1526</v>
      </c>
      <c r="D157" s="4">
        <v>4301051461</v>
      </c>
      <c r="E157" s="3">
        <v>4680115883604</v>
      </c>
      <c r="F157" s="5" t="s">
        <v>1527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1021</v>
      </c>
      <c r="B158" s="3" t="s">
        <v>1525</v>
      </c>
      <c r="C158" s="3" t="s">
        <v>1526</v>
      </c>
      <c r="D158" s="4">
        <v>4301051461</v>
      </c>
      <c r="E158" s="3">
        <v>4680115883604</v>
      </c>
      <c r="F158" s="5" t="s">
        <v>1527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1439</v>
      </c>
      <c r="B159" s="3" t="s">
        <v>1525</v>
      </c>
      <c r="C159" s="3" t="s">
        <v>1526</v>
      </c>
      <c r="D159" s="4">
        <v>4301051461</v>
      </c>
      <c r="E159" s="3">
        <v>4680115883604</v>
      </c>
      <c r="F159" s="5" t="s">
        <v>1527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1687</v>
      </c>
      <c r="B160" s="3" t="s">
        <v>1525</v>
      </c>
      <c r="C160" s="3" t="s">
        <v>1526</v>
      </c>
      <c r="D160" s="4">
        <v>4301051461</v>
      </c>
      <c r="E160" s="3">
        <v>4680115883604</v>
      </c>
      <c r="F160" s="5" t="s">
        <v>1527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1574</v>
      </c>
      <c r="B161" s="3" t="s">
        <v>1525</v>
      </c>
      <c r="C161" s="3" t="s">
        <v>1526</v>
      </c>
      <c r="D161" s="4">
        <v>4301051461</v>
      </c>
      <c r="E161" s="3">
        <v>4680115883604</v>
      </c>
      <c r="F161" s="5" t="s">
        <v>1527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1578</v>
      </c>
      <c r="B162" s="3" t="s">
        <v>1525</v>
      </c>
      <c r="C162" s="3" t="s">
        <v>1526</v>
      </c>
      <c r="D162" s="4">
        <v>4301051461</v>
      </c>
      <c r="E162" s="3">
        <v>4680115883604</v>
      </c>
      <c r="F162" s="5" t="s">
        <v>1527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1586</v>
      </c>
      <c r="B163" s="3" t="s">
        <v>1525</v>
      </c>
      <c r="C163" s="3" t="s">
        <v>1526</v>
      </c>
      <c r="D163" s="4">
        <v>4301051461</v>
      </c>
      <c r="E163" s="3">
        <v>4680115883604</v>
      </c>
      <c r="F163" s="5" t="s">
        <v>1527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1579</v>
      </c>
      <c r="B164" s="3" t="s">
        <v>1525</v>
      </c>
      <c r="C164" s="3" t="s">
        <v>1526</v>
      </c>
      <c r="D164" s="4">
        <v>4301051461</v>
      </c>
      <c r="E164" s="3">
        <v>4680115883604</v>
      </c>
      <c r="F164" s="5" t="s">
        <v>1527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1576</v>
      </c>
      <c r="B165" s="3" t="s">
        <v>1525</v>
      </c>
      <c r="C165" s="3" t="s">
        <v>1526</v>
      </c>
      <c r="D165" s="4">
        <v>4301051461</v>
      </c>
      <c r="E165" s="3">
        <v>4680115883604</v>
      </c>
      <c r="F165" s="5" t="s">
        <v>1527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1599</v>
      </c>
      <c r="B166" s="3" t="s">
        <v>1525</v>
      </c>
      <c r="C166" s="3" t="s">
        <v>1526</v>
      </c>
      <c r="D166" s="4">
        <v>4301051461</v>
      </c>
      <c r="E166" s="3">
        <v>4680115883604</v>
      </c>
      <c r="F166" s="5" t="s">
        <v>1527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2216</v>
      </c>
      <c r="B167" s="3" t="s">
        <v>1525</v>
      </c>
      <c r="C167" s="3" t="s">
        <v>1526</v>
      </c>
      <c r="D167" s="4">
        <v>4301051461</v>
      </c>
      <c r="E167" s="3">
        <v>4680115883604</v>
      </c>
      <c r="F167" s="5" t="s">
        <v>1527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1573</v>
      </c>
      <c r="B168" s="3" t="s">
        <v>1525</v>
      </c>
      <c r="C168" s="3" t="s">
        <v>1526</v>
      </c>
      <c r="D168" s="4">
        <v>4301051461</v>
      </c>
      <c r="E168" s="3">
        <v>4680115883604</v>
      </c>
      <c r="F168" s="5" t="s">
        <v>1527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579</v>
      </c>
      <c r="B169" s="3" t="s">
        <v>1485</v>
      </c>
      <c r="C169" s="3" t="s">
        <v>1486</v>
      </c>
      <c r="D169" s="4">
        <v>4301051864</v>
      </c>
      <c r="E169" s="3">
        <v>4680115883567</v>
      </c>
      <c r="F169" s="5" t="s">
        <v>1487</v>
      </c>
      <c r="G169" s="16" t="s">
        <v>1488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319</v>
      </c>
      <c r="B170" s="3" t="s">
        <v>1485</v>
      </c>
      <c r="C170" s="3" t="s">
        <v>1486</v>
      </c>
      <c r="D170" s="4">
        <v>4301051864</v>
      </c>
      <c r="E170" s="3">
        <v>4680115883567</v>
      </c>
      <c r="F170" s="5" t="s">
        <v>1487</v>
      </c>
      <c r="G170" s="16" t="s">
        <v>1488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640</v>
      </c>
      <c r="B171" s="3" t="s">
        <v>1485</v>
      </c>
      <c r="C171" s="3" t="s">
        <v>1486</v>
      </c>
      <c r="D171" s="4">
        <v>4301051864</v>
      </c>
      <c r="E171" s="3">
        <v>4680115883567</v>
      </c>
      <c r="F171" s="5" t="s">
        <v>1487</v>
      </c>
      <c r="G171" s="16" t="s">
        <v>1488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736</v>
      </c>
      <c r="B172" s="3" t="s">
        <v>1485</v>
      </c>
      <c r="C172" s="3" t="s">
        <v>1486</v>
      </c>
      <c r="D172" s="4">
        <v>4301051864</v>
      </c>
      <c r="E172" s="3">
        <v>4680115883567</v>
      </c>
      <c r="F172" s="5" t="s">
        <v>1487</v>
      </c>
      <c r="G172" s="16" t="s">
        <v>1488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1617</v>
      </c>
      <c r="B173" s="3" t="s">
        <v>1485</v>
      </c>
      <c r="C173" s="3" t="s">
        <v>1486</v>
      </c>
      <c r="D173" s="4">
        <v>4301051864</v>
      </c>
      <c r="E173" s="3">
        <v>4680115883567</v>
      </c>
      <c r="F173" s="5" t="s">
        <v>1487</v>
      </c>
      <c r="G173" s="16" t="s">
        <v>1488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792</v>
      </c>
      <c r="B174" s="3" t="s">
        <v>1485</v>
      </c>
      <c r="C174" s="3" t="s">
        <v>1486</v>
      </c>
      <c r="D174" s="4">
        <v>4301051864</v>
      </c>
      <c r="E174" s="3">
        <v>4680115883567</v>
      </c>
      <c r="F174" s="5" t="s">
        <v>1487</v>
      </c>
      <c r="G174" s="16" t="s">
        <v>1488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1942</v>
      </c>
      <c r="B175" s="3" t="s">
        <v>1485</v>
      </c>
      <c r="C175" s="3" t="s">
        <v>1486</v>
      </c>
      <c r="D175" s="4">
        <v>4301051864</v>
      </c>
      <c r="E175" s="3">
        <v>4680115883567</v>
      </c>
      <c r="F175" s="5" t="s">
        <v>1487</v>
      </c>
      <c r="G175" s="16" t="s">
        <v>1488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1135</v>
      </c>
      <c r="B176" s="3" t="s">
        <v>1485</v>
      </c>
      <c r="C176" s="3" t="s">
        <v>1486</v>
      </c>
      <c r="D176" s="4">
        <v>4301051864</v>
      </c>
      <c r="E176" s="3">
        <v>4680115883567</v>
      </c>
      <c r="F176" s="5" t="s">
        <v>1487</v>
      </c>
      <c r="G176" s="16" t="s">
        <v>1488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2159</v>
      </c>
      <c r="B177" s="3" t="s">
        <v>1485</v>
      </c>
      <c r="C177" s="3" t="s">
        <v>1486</v>
      </c>
      <c r="D177" s="4">
        <v>4301051864</v>
      </c>
      <c r="E177" s="3">
        <v>4680115883567</v>
      </c>
      <c r="F177" s="5" t="s">
        <v>1487</v>
      </c>
      <c r="G177" s="16" t="s">
        <v>1488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1849</v>
      </c>
      <c r="B178" s="3" t="s">
        <v>1485</v>
      </c>
      <c r="C178" s="3" t="s">
        <v>1486</v>
      </c>
      <c r="D178" s="4">
        <v>4301051864</v>
      </c>
      <c r="E178" s="3">
        <v>4680115883567</v>
      </c>
      <c r="F178" s="5" t="s">
        <v>1487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1476</v>
      </c>
      <c r="B179" s="3" t="s">
        <v>1485</v>
      </c>
      <c r="C179" s="3" t="s">
        <v>1486</v>
      </c>
      <c r="D179" s="4">
        <v>4301051864</v>
      </c>
      <c r="E179" s="3">
        <v>4680115883567</v>
      </c>
      <c r="F179" s="5" t="s">
        <v>1487</v>
      </c>
      <c r="G179" s="16" t="s">
        <v>1488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930</v>
      </c>
      <c r="B180" s="3" t="s">
        <v>1485</v>
      </c>
      <c r="C180" s="3" t="s">
        <v>1486</v>
      </c>
      <c r="D180" s="4">
        <v>4301051864</v>
      </c>
      <c r="E180" s="3">
        <v>4680115883567</v>
      </c>
      <c r="F180" s="5" t="s">
        <v>1487</v>
      </c>
      <c r="G180" s="16" t="s">
        <v>1488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896</v>
      </c>
      <c r="B181" s="3" t="s">
        <v>1485</v>
      </c>
      <c r="C181" s="3" t="s">
        <v>1486</v>
      </c>
      <c r="D181" s="4">
        <v>4301051864</v>
      </c>
      <c r="E181" s="3">
        <v>4680115883567</v>
      </c>
      <c r="F181" s="5" t="s">
        <v>1487</v>
      </c>
      <c r="G181" s="16" t="s">
        <v>1488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879</v>
      </c>
      <c r="B182" s="3" t="s">
        <v>1485</v>
      </c>
      <c r="C182" s="3" t="s">
        <v>1486</v>
      </c>
      <c r="D182" s="4">
        <v>4301051864</v>
      </c>
      <c r="E182" s="3">
        <v>4680115883567</v>
      </c>
      <c r="F182" s="5" t="s">
        <v>1487</v>
      </c>
      <c r="G182" s="16" t="s">
        <v>1488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456</v>
      </c>
      <c r="B183" s="3" t="s">
        <v>1485</v>
      </c>
      <c r="C183" s="3" t="s">
        <v>1486</v>
      </c>
      <c r="D183" s="4">
        <v>4301051864</v>
      </c>
      <c r="E183" s="3">
        <v>4680115883567</v>
      </c>
      <c r="F183" s="5" t="s">
        <v>1487</v>
      </c>
      <c r="G183" s="16" t="s">
        <v>1488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1577</v>
      </c>
      <c r="B184" s="3" t="s">
        <v>1485</v>
      </c>
      <c r="C184" s="3" t="s">
        <v>1486</v>
      </c>
      <c r="D184" s="4">
        <v>4301051864</v>
      </c>
      <c r="E184" s="3">
        <v>4680115883567</v>
      </c>
      <c r="F184" s="5" t="s">
        <v>1487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1870</v>
      </c>
      <c r="B185" s="3" t="s">
        <v>1485</v>
      </c>
      <c r="C185" s="3" t="s">
        <v>1486</v>
      </c>
      <c r="D185" s="4">
        <v>4301051864</v>
      </c>
      <c r="E185" s="3">
        <v>4680115883567</v>
      </c>
      <c r="F185" s="5" t="s">
        <v>1487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1593</v>
      </c>
      <c r="B186" s="3" t="s">
        <v>1485</v>
      </c>
      <c r="C186" s="3" t="s">
        <v>1486</v>
      </c>
      <c r="D186" s="4">
        <v>4301051864</v>
      </c>
      <c r="E186" s="3">
        <v>4680115883567</v>
      </c>
      <c r="F186" s="5" t="s">
        <v>1487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2215</v>
      </c>
      <c r="B187" s="3" t="s">
        <v>1485</v>
      </c>
      <c r="C187" s="3" t="s">
        <v>1486</v>
      </c>
      <c r="D187" s="4">
        <v>4301051864</v>
      </c>
      <c r="E187" s="3">
        <v>4680115883567</v>
      </c>
      <c r="F187" s="5" t="s">
        <v>1487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2599</v>
      </c>
      <c r="B188" s="3" t="s">
        <v>1485</v>
      </c>
      <c r="C188" s="3" t="s">
        <v>1486</v>
      </c>
      <c r="D188" s="4">
        <v>4301051864</v>
      </c>
      <c r="E188" s="3">
        <v>4680115883567</v>
      </c>
      <c r="F188" s="5" t="s">
        <v>1487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1575</v>
      </c>
      <c r="B189" s="3" t="s">
        <v>1485</v>
      </c>
      <c r="C189" s="3" t="s">
        <v>1486</v>
      </c>
      <c r="D189" s="4">
        <v>4301051864</v>
      </c>
      <c r="E189" s="3">
        <v>4680115883567</v>
      </c>
      <c r="F189" s="5" t="s">
        <v>1487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1569</v>
      </c>
      <c r="B190" s="3" t="s">
        <v>1485</v>
      </c>
      <c r="C190" s="3" t="s">
        <v>1486</v>
      </c>
      <c r="D190" s="4">
        <v>4301051864</v>
      </c>
      <c r="E190" s="3">
        <v>4680115883567</v>
      </c>
      <c r="F190" s="5" t="s">
        <v>1487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1227</v>
      </c>
      <c r="B191" s="3" t="s">
        <v>330</v>
      </c>
      <c r="C191" s="3" t="s">
        <v>331</v>
      </c>
      <c r="D191" s="4">
        <v>4301020178</v>
      </c>
      <c r="E191" s="3">
        <v>4607091383980</v>
      </c>
      <c r="F191" s="5" t="s">
        <v>334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520</v>
      </c>
      <c r="B192" s="3" t="s">
        <v>330</v>
      </c>
      <c r="C192" s="3" t="s">
        <v>331</v>
      </c>
      <c r="D192" s="4">
        <v>4301020178</v>
      </c>
      <c r="E192" s="3">
        <v>4607091383980</v>
      </c>
      <c r="F192" s="5" t="s">
        <v>334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549</v>
      </c>
      <c r="B193" s="3" t="s">
        <v>330</v>
      </c>
      <c r="C193" s="3" t="s">
        <v>331</v>
      </c>
      <c r="D193" s="4">
        <v>4301020178</v>
      </c>
      <c r="E193" s="3">
        <v>4607091383980</v>
      </c>
      <c r="F193" s="5" t="s">
        <v>334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334</v>
      </c>
      <c r="B194" s="3" t="s">
        <v>330</v>
      </c>
      <c r="C194" s="3" t="s">
        <v>331</v>
      </c>
      <c r="D194" s="4">
        <v>4301020178</v>
      </c>
      <c r="E194" s="3">
        <v>4607091383980</v>
      </c>
      <c r="F194" s="5" t="s">
        <v>334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771</v>
      </c>
      <c r="B195" s="3" t="s">
        <v>330</v>
      </c>
      <c r="C195" s="3" t="s">
        <v>331</v>
      </c>
      <c r="D195" s="4">
        <v>4301020178</v>
      </c>
      <c r="E195" s="3">
        <v>4607091383980</v>
      </c>
      <c r="F195" s="5" t="s">
        <v>334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1737</v>
      </c>
      <c r="B196" s="3" t="s">
        <v>330</v>
      </c>
      <c r="C196" s="3" t="s">
        <v>331</v>
      </c>
      <c r="D196" s="4">
        <v>4301020178</v>
      </c>
      <c r="E196" s="3">
        <v>4607091383980</v>
      </c>
      <c r="F196" s="5" t="s">
        <v>334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794</v>
      </c>
      <c r="B197" s="3" t="s">
        <v>330</v>
      </c>
      <c r="C197" s="3" t="s">
        <v>331</v>
      </c>
      <c r="D197" s="4">
        <v>4301020178</v>
      </c>
      <c r="E197" s="3">
        <v>4607091383980</v>
      </c>
      <c r="F197" s="5" t="s">
        <v>334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1209</v>
      </c>
      <c r="B198" s="3" t="s">
        <v>330</v>
      </c>
      <c r="C198" s="3" t="s">
        <v>331</v>
      </c>
      <c r="D198" s="4">
        <v>4301020178</v>
      </c>
      <c r="E198" s="3">
        <v>4607091383980</v>
      </c>
      <c r="F198" s="5" t="s">
        <v>334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1145</v>
      </c>
      <c r="B199" s="3" t="s">
        <v>330</v>
      </c>
      <c r="C199" s="3" t="s">
        <v>331</v>
      </c>
      <c r="D199" s="4">
        <v>4301020178</v>
      </c>
      <c r="E199" s="3">
        <v>4607091383980</v>
      </c>
      <c r="F199" s="5" t="s">
        <v>334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2160</v>
      </c>
      <c r="B200" s="3" t="s">
        <v>330</v>
      </c>
      <c r="C200" s="3" t="s">
        <v>331</v>
      </c>
      <c r="D200" s="4">
        <v>4301020178</v>
      </c>
      <c r="E200" s="3">
        <v>4607091383980</v>
      </c>
      <c r="F200" s="5" t="s">
        <v>334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1528</v>
      </c>
      <c r="B201" s="3" t="s">
        <v>330</v>
      </c>
      <c r="C201" s="3" t="s">
        <v>331</v>
      </c>
      <c r="D201" s="4">
        <v>4301020178</v>
      </c>
      <c r="E201" s="3">
        <v>4607091383980</v>
      </c>
      <c r="F201" s="5" t="s">
        <v>334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1061</v>
      </c>
      <c r="B202" s="3" t="s">
        <v>330</v>
      </c>
      <c r="C202" s="3" t="s">
        <v>331</v>
      </c>
      <c r="D202" s="4">
        <v>4301020178</v>
      </c>
      <c r="E202" s="3">
        <v>4607091383980</v>
      </c>
      <c r="F202" s="5" t="s">
        <v>334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1953</v>
      </c>
      <c r="B203" s="3" t="s">
        <v>330</v>
      </c>
      <c r="C203" s="3" t="s">
        <v>331</v>
      </c>
      <c r="D203" s="4">
        <v>4301020178</v>
      </c>
      <c r="E203" s="3">
        <v>4607091383980</v>
      </c>
      <c r="F203" s="5" t="s">
        <v>334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1691</v>
      </c>
      <c r="B204" s="3" t="s">
        <v>330</v>
      </c>
      <c r="C204" s="3" t="s">
        <v>331</v>
      </c>
      <c r="D204" s="4">
        <v>4301020178</v>
      </c>
      <c r="E204" s="3">
        <v>4607091383980</v>
      </c>
      <c r="F204" s="5" t="s">
        <v>334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587</v>
      </c>
      <c r="B205" s="3" t="s">
        <v>330</v>
      </c>
      <c r="C205" s="3" t="s">
        <v>331</v>
      </c>
      <c r="D205" s="4">
        <v>4301020178</v>
      </c>
      <c r="E205" s="3">
        <v>4607091383980</v>
      </c>
      <c r="F205" s="5" t="s">
        <v>334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954</v>
      </c>
      <c r="B206" s="3" t="s">
        <v>330</v>
      </c>
      <c r="C206" s="3" t="s">
        <v>331</v>
      </c>
      <c r="D206" s="4">
        <v>4301020178</v>
      </c>
      <c r="E206" s="3">
        <v>4607091383980</v>
      </c>
      <c r="F206" s="5" t="s">
        <v>334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2001</v>
      </c>
      <c r="B207" s="3" t="s">
        <v>330</v>
      </c>
      <c r="C207" s="3" t="s">
        <v>331</v>
      </c>
      <c r="D207" s="4">
        <v>4301020178</v>
      </c>
      <c r="E207" s="3">
        <v>4607091383980</v>
      </c>
      <c r="F207" s="5" t="s">
        <v>334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2255</v>
      </c>
      <c r="B208" s="3" t="s">
        <v>2077</v>
      </c>
      <c r="C208" s="3" t="s">
        <v>2078</v>
      </c>
      <c r="D208" s="4">
        <v>4301011867</v>
      </c>
      <c r="E208" s="3">
        <v>4680115884830</v>
      </c>
      <c r="F208" s="5" t="s">
        <v>2079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2354</v>
      </c>
      <c r="B209" s="3" t="s">
        <v>2077</v>
      </c>
      <c r="C209" s="3" t="s">
        <v>2078</v>
      </c>
      <c r="D209" s="4">
        <v>4301011867</v>
      </c>
      <c r="E209" s="3">
        <v>4680115884830</v>
      </c>
      <c r="F209" s="5" t="s">
        <v>2079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2473</v>
      </c>
      <c r="B210" s="3" t="s">
        <v>2077</v>
      </c>
      <c r="C210" s="3" t="s">
        <v>2078</v>
      </c>
      <c r="D210" s="4">
        <v>4301011867</v>
      </c>
      <c r="E210" s="3">
        <v>4680115884830</v>
      </c>
      <c r="F210" s="5" t="s">
        <v>2079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2060</v>
      </c>
      <c r="B211" s="3" t="s">
        <v>2077</v>
      </c>
      <c r="C211" s="3" t="s">
        <v>2078</v>
      </c>
      <c r="D211" s="4">
        <v>4301011867</v>
      </c>
      <c r="E211" s="3">
        <v>4680115884830</v>
      </c>
      <c r="F211" s="5" t="s">
        <v>2079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2456</v>
      </c>
      <c r="B212" s="3" t="s">
        <v>2077</v>
      </c>
      <c r="C212" s="3" t="s">
        <v>2078</v>
      </c>
      <c r="D212" s="4">
        <v>4301011867</v>
      </c>
      <c r="E212" s="3">
        <v>4680115884830</v>
      </c>
      <c r="F212" s="5" t="s">
        <v>2079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2240</v>
      </c>
      <c r="B213" s="3" t="s">
        <v>2077</v>
      </c>
      <c r="C213" s="3" t="s">
        <v>2078</v>
      </c>
      <c r="D213" s="4">
        <v>4301011867</v>
      </c>
      <c r="E213" s="3">
        <v>4680115884830</v>
      </c>
      <c r="F213" s="5" t="s">
        <v>2079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2231</v>
      </c>
      <c r="B214" s="3" t="s">
        <v>2077</v>
      </c>
      <c r="C214" s="3" t="s">
        <v>2078</v>
      </c>
      <c r="D214" s="4">
        <v>4301011867</v>
      </c>
      <c r="E214" s="3">
        <v>4680115884830</v>
      </c>
      <c r="F214" s="5" t="s">
        <v>2079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1557</v>
      </c>
      <c r="B215" s="3" t="s">
        <v>1960</v>
      </c>
      <c r="C215" s="3" t="s">
        <v>1961</v>
      </c>
      <c r="D215" s="4">
        <v>4301011869</v>
      </c>
      <c r="E215" s="3">
        <v>4680115884847</v>
      </c>
      <c r="F215" s="5" t="s">
        <v>1962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1734</v>
      </c>
      <c r="B216" s="3" t="s">
        <v>1960</v>
      </c>
      <c r="C216" s="3" t="s">
        <v>1961</v>
      </c>
      <c r="D216" s="4">
        <v>4301011869</v>
      </c>
      <c r="E216" s="3">
        <v>4680115884847</v>
      </c>
      <c r="F216" s="5" t="s">
        <v>1962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586</v>
      </c>
      <c r="B217" s="3" t="s">
        <v>1960</v>
      </c>
      <c r="C217" s="3" t="s">
        <v>1961</v>
      </c>
      <c r="D217" s="4">
        <v>4301011869</v>
      </c>
      <c r="E217" s="3">
        <v>4680115884847</v>
      </c>
      <c r="F217" s="5" t="s">
        <v>1962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2006</v>
      </c>
      <c r="B218" s="3" t="s">
        <v>1960</v>
      </c>
      <c r="C218" s="3" t="s">
        <v>1961</v>
      </c>
      <c r="D218" s="4">
        <v>4301011869</v>
      </c>
      <c r="E218" s="3">
        <v>4680115884847</v>
      </c>
      <c r="F218" s="5" t="s">
        <v>1962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327</v>
      </c>
      <c r="B219" s="3" t="s">
        <v>1960</v>
      </c>
      <c r="C219" s="3" t="s">
        <v>1961</v>
      </c>
      <c r="D219" s="4">
        <v>4301011869</v>
      </c>
      <c r="E219" s="3">
        <v>4680115884847</v>
      </c>
      <c r="F219" s="5" t="s">
        <v>1962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2147</v>
      </c>
      <c r="B220" s="3" t="s">
        <v>1960</v>
      </c>
      <c r="C220" s="3" t="s">
        <v>1961</v>
      </c>
      <c r="D220" s="4">
        <v>4301011869</v>
      </c>
      <c r="E220" s="3">
        <v>4680115884847</v>
      </c>
      <c r="F220" s="5" t="s">
        <v>1962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641</v>
      </c>
      <c r="B221" s="3" t="s">
        <v>1960</v>
      </c>
      <c r="C221" s="3" t="s">
        <v>1961</v>
      </c>
      <c r="D221" s="4">
        <v>4301011869</v>
      </c>
      <c r="E221" s="3">
        <v>4680115884847</v>
      </c>
      <c r="F221" s="5" t="s">
        <v>1962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1904</v>
      </c>
      <c r="B222" s="3" t="s">
        <v>1960</v>
      </c>
      <c r="C222" s="3" t="s">
        <v>1961</v>
      </c>
      <c r="D222" s="4">
        <v>4301011869</v>
      </c>
      <c r="E222" s="3">
        <v>4680115884847</v>
      </c>
      <c r="F222" s="5" t="s">
        <v>1962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548</v>
      </c>
      <c r="B223" s="3" t="s">
        <v>1960</v>
      </c>
      <c r="C223" s="3" t="s">
        <v>1961</v>
      </c>
      <c r="D223" s="4">
        <v>4301011869</v>
      </c>
      <c r="E223" s="3">
        <v>4680115884847</v>
      </c>
      <c r="F223" s="5" t="s">
        <v>1962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1506</v>
      </c>
      <c r="B224" s="3" t="s">
        <v>1960</v>
      </c>
      <c r="C224" s="3" t="s">
        <v>1961</v>
      </c>
      <c r="D224" s="4">
        <v>4301011869</v>
      </c>
      <c r="E224" s="3">
        <v>4680115884847</v>
      </c>
      <c r="F224" s="5" t="s">
        <v>1962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2241</v>
      </c>
      <c r="B225" s="3" t="s">
        <v>1960</v>
      </c>
      <c r="C225" s="3" t="s">
        <v>1961</v>
      </c>
      <c r="D225" s="4">
        <v>4301011869</v>
      </c>
      <c r="E225" s="3">
        <v>4680115884847</v>
      </c>
      <c r="F225" s="5" t="s">
        <v>1962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789</v>
      </c>
      <c r="B226" s="3" t="s">
        <v>1960</v>
      </c>
      <c r="C226" s="3" t="s">
        <v>1961</v>
      </c>
      <c r="D226" s="4">
        <v>4301011869</v>
      </c>
      <c r="E226" s="3">
        <v>4680115884847</v>
      </c>
      <c r="F226" s="5" t="s">
        <v>1962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2294</v>
      </c>
      <c r="B227" s="3" t="s">
        <v>1960</v>
      </c>
      <c r="C227" s="3" t="s">
        <v>1961</v>
      </c>
      <c r="D227" s="4">
        <v>4301011869</v>
      </c>
      <c r="E227" s="3">
        <v>4680115884847</v>
      </c>
      <c r="F227" s="5" t="s">
        <v>1962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2353</v>
      </c>
      <c r="B228" s="3" t="s">
        <v>1960</v>
      </c>
      <c r="C228" s="3" t="s">
        <v>1961</v>
      </c>
      <c r="D228" s="4">
        <v>4301011869</v>
      </c>
      <c r="E228" s="3">
        <v>4680115884847</v>
      </c>
      <c r="F228" s="5" t="s">
        <v>1962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2061</v>
      </c>
      <c r="B229" s="3" t="s">
        <v>1960</v>
      </c>
      <c r="C229" s="3" t="s">
        <v>1961</v>
      </c>
      <c r="D229" s="4">
        <v>4301011869</v>
      </c>
      <c r="E229" s="3">
        <v>4680115884847</v>
      </c>
      <c r="F229" s="5" t="s">
        <v>1962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2238</v>
      </c>
      <c r="B230" s="3" t="s">
        <v>1960</v>
      </c>
      <c r="C230" s="3" t="s">
        <v>1961</v>
      </c>
      <c r="D230" s="4">
        <v>4301011869</v>
      </c>
      <c r="E230" s="3">
        <v>4680115884847</v>
      </c>
      <c r="F230" s="5" t="s">
        <v>1962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1623</v>
      </c>
      <c r="B231" s="3" t="s">
        <v>1960</v>
      </c>
      <c r="C231" s="3" t="s">
        <v>1961</v>
      </c>
      <c r="D231" s="4">
        <v>4301011869</v>
      </c>
      <c r="E231" s="3">
        <v>4680115884847</v>
      </c>
      <c r="F231" s="5" t="s">
        <v>1962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814</v>
      </c>
      <c r="B232" s="3" t="s">
        <v>1960</v>
      </c>
      <c r="C232" s="3" t="s">
        <v>1961</v>
      </c>
      <c r="D232" s="4">
        <v>4301011869</v>
      </c>
      <c r="E232" s="3">
        <v>4680115884847</v>
      </c>
      <c r="F232" s="5" t="s">
        <v>1962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1299</v>
      </c>
      <c r="B233" s="3" t="s">
        <v>1947</v>
      </c>
      <c r="C233" s="3" t="s">
        <v>1948</v>
      </c>
      <c r="D233" s="4">
        <v>4301011870</v>
      </c>
      <c r="E233" s="3">
        <v>4680115884854</v>
      </c>
      <c r="F233" s="5" t="s">
        <v>1949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588</v>
      </c>
      <c r="B234" s="3" t="s">
        <v>1947</v>
      </c>
      <c r="C234" s="3" t="s">
        <v>1948</v>
      </c>
      <c r="D234" s="4">
        <v>4301011870</v>
      </c>
      <c r="E234" s="3">
        <v>4680115884854</v>
      </c>
      <c r="F234" s="5" t="s">
        <v>1949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1750</v>
      </c>
      <c r="B235" s="3" t="s">
        <v>1947</v>
      </c>
      <c r="C235" s="3" t="s">
        <v>1948</v>
      </c>
      <c r="D235" s="4">
        <v>4301011870</v>
      </c>
      <c r="E235" s="3">
        <v>4680115884854</v>
      </c>
      <c r="F235" s="5" t="s">
        <v>1949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2007</v>
      </c>
      <c r="B236" s="3" t="s">
        <v>1947</v>
      </c>
      <c r="C236" s="3" t="s">
        <v>1948</v>
      </c>
      <c r="D236" s="4">
        <v>4301011870</v>
      </c>
      <c r="E236" s="3">
        <v>4680115884854</v>
      </c>
      <c r="F236" s="5" t="s">
        <v>1949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2089</v>
      </c>
      <c r="B237" s="3" t="s">
        <v>1947</v>
      </c>
      <c r="C237" s="3" t="s">
        <v>1948</v>
      </c>
      <c r="D237" s="4">
        <v>4301011870</v>
      </c>
      <c r="E237" s="3">
        <v>4680115884854</v>
      </c>
      <c r="F237" s="5" t="s">
        <v>1949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2256</v>
      </c>
      <c r="B238" s="3" t="s">
        <v>1947</v>
      </c>
      <c r="C238" s="3" t="s">
        <v>1948</v>
      </c>
      <c r="D238" s="4">
        <v>4301011870</v>
      </c>
      <c r="E238" s="3">
        <v>4680115884854</v>
      </c>
      <c r="F238" s="5" t="s">
        <v>1949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2059</v>
      </c>
      <c r="B239" s="3" t="s">
        <v>1947</v>
      </c>
      <c r="C239" s="3" t="s">
        <v>1948</v>
      </c>
      <c r="D239" s="4">
        <v>4301011870</v>
      </c>
      <c r="E239" s="3">
        <v>4680115884854</v>
      </c>
      <c r="F239" s="5" t="s">
        <v>1949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2407</v>
      </c>
      <c r="B240" s="3" t="s">
        <v>1947</v>
      </c>
      <c r="C240" s="3" t="s">
        <v>1948</v>
      </c>
      <c r="D240" s="4">
        <v>4301011870</v>
      </c>
      <c r="E240" s="3">
        <v>4680115884854</v>
      </c>
      <c r="F240" s="5" t="s">
        <v>1949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2352</v>
      </c>
      <c r="B241" s="3" t="s">
        <v>1947</v>
      </c>
      <c r="C241" s="3" t="s">
        <v>1948</v>
      </c>
      <c r="D241" s="4">
        <v>4301011870</v>
      </c>
      <c r="E241" s="3">
        <v>4680115884854</v>
      </c>
      <c r="F241" s="5" t="s">
        <v>1949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2340</v>
      </c>
      <c r="B242" s="3" t="s">
        <v>1947</v>
      </c>
      <c r="C242" s="3" t="s">
        <v>1948</v>
      </c>
      <c r="D242" s="4">
        <v>4301011870</v>
      </c>
      <c r="E242" s="3">
        <v>4680115884854</v>
      </c>
      <c r="F242" s="5" t="s">
        <v>1949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2282</v>
      </c>
      <c r="B243" s="3" t="s">
        <v>1947</v>
      </c>
      <c r="C243" s="3" t="s">
        <v>1948</v>
      </c>
      <c r="D243" s="4">
        <v>4301011870</v>
      </c>
      <c r="E243" s="3">
        <v>4680115884854</v>
      </c>
      <c r="F243" s="5" t="s">
        <v>1949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1950</v>
      </c>
      <c r="B244" s="3" t="s">
        <v>1947</v>
      </c>
      <c r="C244" s="3" t="s">
        <v>1948</v>
      </c>
      <c r="D244" s="4">
        <v>4301011870</v>
      </c>
      <c r="E244" s="3">
        <v>4680115884854</v>
      </c>
      <c r="F244" s="5" t="s">
        <v>1949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519</v>
      </c>
      <c r="B245" s="3" t="s">
        <v>1947</v>
      </c>
      <c r="C245" s="3" t="s">
        <v>1948</v>
      </c>
      <c r="D245" s="4">
        <v>4301011870</v>
      </c>
      <c r="E245" s="3">
        <v>4680115884854</v>
      </c>
      <c r="F245" s="5" t="s">
        <v>1949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2457</v>
      </c>
      <c r="B246" s="3" t="s">
        <v>1947</v>
      </c>
      <c r="C246" s="3" t="s">
        <v>1948</v>
      </c>
      <c r="D246" s="4">
        <v>4301011870</v>
      </c>
      <c r="E246" s="3">
        <v>4680115884854</v>
      </c>
      <c r="F246" s="5" t="s">
        <v>1949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2148</v>
      </c>
      <c r="B247" s="3" t="s">
        <v>1947</v>
      </c>
      <c r="C247" s="3" t="s">
        <v>1948</v>
      </c>
      <c r="D247" s="4">
        <v>4301011870</v>
      </c>
      <c r="E247" s="3">
        <v>4680115884854</v>
      </c>
      <c r="F247" s="5" t="s">
        <v>1949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575</v>
      </c>
      <c r="B248" s="3" t="s">
        <v>1947</v>
      </c>
      <c r="C248" s="3" t="s">
        <v>1948</v>
      </c>
      <c r="D248" s="4">
        <v>4301011870</v>
      </c>
      <c r="E248" s="3">
        <v>4680115884854</v>
      </c>
      <c r="F248" s="5" t="s">
        <v>1949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1357</v>
      </c>
      <c r="B249" s="3" t="s">
        <v>1947</v>
      </c>
      <c r="C249" s="3" t="s">
        <v>1948</v>
      </c>
      <c r="D249" s="4">
        <v>4301011870</v>
      </c>
      <c r="E249" s="3">
        <v>4680115884854</v>
      </c>
      <c r="F249" s="5" t="s">
        <v>1949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547</v>
      </c>
      <c r="B250" s="3" t="s">
        <v>1947</v>
      </c>
      <c r="C250" s="3" t="s">
        <v>1948</v>
      </c>
      <c r="D250" s="4">
        <v>4301011870</v>
      </c>
      <c r="E250" s="3">
        <v>4680115884854</v>
      </c>
      <c r="F250" s="5" t="s">
        <v>1949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1736</v>
      </c>
      <c r="B251" s="3" t="s">
        <v>1947</v>
      </c>
      <c r="C251" s="3" t="s">
        <v>1948</v>
      </c>
      <c r="D251" s="4">
        <v>4301011870</v>
      </c>
      <c r="E251" s="3">
        <v>4680115884854</v>
      </c>
      <c r="F251" s="5" t="s">
        <v>1949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328</v>
      </c>
      <c r="B252" s="3" t="s">
        <v>1947</v>
      </c>
      <c r="C252" s="3" t="s">
        <v>1948</v>
      </c>
      <c r="D252" s="4">
        <v>4301011870</v>
      </c>
      <c r="E252" s="3">
        <v>4680115884854</v>
      </c>
      <c r="F252" s="5" t="s">
        <v>1949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770</v>
      </c>
      <c r="B253" s="3" t="s">
        <v>1947</v>
      </c>
      <c r="C253" s="3" t="s">
        <v>1948</v>
      </c>
      <c r="D253" s="4">
        <v>4301011870</v>
      </c>
      <c r="E253" s="3">
        <v>4680115884854</v>
      </c>
      <c r="F253" s="5" t="s">
        <v>1949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1140</v>
      </c>
      <c r="B254" s="3" t="s">
        <v>1947</v>
      </c>
      <c r="C254" s="3" t="s">
        <v>1948</v>
      </c>
      <c r="D254" s="4">
        <v>4301011870</v>
      </c>
      <c r="E254" s="3">
        <v>4680115884854</v>
      </c>
      <c r="F254" s="5" t="s">
        <v>1949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1892</v>
      </c>
      <c r="B255" s="3" t="s">
        <v>1947</v>
      </c>
      <c r="C255" s="3" t="s">
        <v>1948</v>
      </c>
      <c r="D255" s="4">
        <v>4301011870</v>
      </c>
      <c r="E255" s="3">
        <v>4680115884854</v>
      </c>
      <c r="F255" s="5" t="s">
        <v>1949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2263</v>
      </c>
      <c r="B256" s="3" t="s">
        <v>1947</v>
      </c>
      <c r="C256" s="3" t="s">
        <v>1948</v>
      </c>
      <c r="D256" s="4">
        <v>4301011870</v>
      </c>
      <c r="E256" s="3">
        <v>4680115884854</v>
      </c>
      <c r="F256" s="5" t="s">
        <v>1949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1912</v>
      </c>
      <c r="B257" s="3" t="s">
        <v>1947</v>
      </c>
      <c r="C257" s="3" t="s">
        <v>1948</v>
      </c>
      <c r="D257" s="4">
        <v>4301011870</v>
      </c>
      <c r="E257" s="3">
        <v>4680115884854</v>
      </c>
      <c r="F257" s="5" t="s">
        <v>1949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1213</v>
      </c>
      <c r="B258" s="3" t="s">
        <v>1947</v>
      </c>
      <c r="C258" s="3" t="s">
        <v>1948</v>
      </c>
      <c r="D258" s="4">
        <v>4301011870</v>
      </c>
      <c r="E258" s="3">
        <v>4680115884854</v>
      </c>
      <c r="F258" s="5" t="s">
        <v>1949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1805</v>
      </c>
      <c r="B259" s="3" t="s">
        <v>1947</v>
      </c>
      <c r="C259" s="3" t="s">
        <v>1948</v>
      </c>
      <c r="D259" s="4">
        <v>4301011870</v>
      </c>
      <c r="E259" s="3">
        <v>4680115884854</v>
      </c>
      <c r="F259" s="5" t="s">
        <v>1949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1657</v>
      </c>
      <c r="B260" s="3" t="s">
        <v>1947</v>
      </c>
      <c r="C260" s="3" t="s">
        <v>1948</v>
      </c>
      <c r="D260" s="4">
        <v>4301011870</v>
      </c>
      <c r="E260" s="3">
        <v>4680115884854</v>
      </c>
      <c r="F260" s="5" t="s">
        <v>1949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812</v>
      </c>
      <c r="B261" s="3" t="s">
        <v>1947</v>
      </c>
      <c r="C261" s="3" t="s">
        <v>1948</v>
      </c>
      <c r="D261" s="4">
        <v>4301011870</v>
      </c>
      <c r="E261" s="3">
        <v>4680115884854</v>
      </c>
      <c r="F261" s="5" t="s">
        <v>1949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1859</v>
      </c>
      <c r="B262" s="3" t="s">
        <v>1947</v>
      </c>
      <c r="C262" s="3" t="s">
        <v>1948</v>
      </c>
      <c r="D262" s="4">
        <v>4301011870</v>
      </c>
      <c r="E262" s="3">
        <v>4680115884854</v>
      </c>
      <c r="F262" s="5" t="s">
        <v>1949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1156</v>
      </c>
      <c r="B263" s="3" t="s">
        <v>1947</v>
      </c>
      <c r="C263" s="3" t="s">
        <v>1948</v>
      </c>
      <c r="D263" s="4">
        <v>4301011870</v>
      </c>
      <c r="E263" s="3">
        <v>4680115884854</v>
      </c>
      <c r="F263" s="5" t="s">
        <v>1949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576</v>
      </c>
      <c r="B264" s="3" t="s">
        <v>2134</v>
      </c>
      <c r="C264" s="3" t="s">
        <v>2135</v>
      </c>
      <c r="D264" s="4">
        <v>4301011868</v>
      </c>
      <c r="E264" s="3">
        <v>4680115884861</v>
      </c>
      <c r="F264" s="5" t="s">
        <v>2136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329</v>
      </c>
      <c r="B265" s="3" t="s">
        <v>2134</v>
      </c>
      <c r="C265" s="3" t="s">
        <v>2135</v>
      </c>
      <c r="D265" s="4">
        <v>4301011868</v>
      </c>
      <c r="E265" s="3">
        <v>4680115884861</v>
      </c>
      <c r="F265" s="5" t="s">
        <v>2136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1460</v>
      </c>
      <c r="B266" s="3" t="s">
        <v>2134</v>
      </c>
      <c r="C266" s="3" t="s">
        <v>2135</v>
      </c>
      <c r="D266" s="4">
        <v>4301011868</v>
      </c>
      <c r="E266" s="3">
        <v>4680115884861</v>
      </c>
      <c r="F266" s="5" t="s">
        <v>2136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969</v>
      </c>
      <c r="B267" s="3" t="s">
        <v>2134</v>
      </c>
      <c r="C267" s="3" t="s">
        <v>2135</v>
      </c>
      <c r="D267" s="4">
        <v>4301011868</v>
      </c>
      <c r="E267" s="3">
        <v>4680115884861</v>
      </c>
      <c r="F267" s="5" t="s">
        <v>2136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2448</v>
      </c>
      <c r="B268" s="3" t="s">
        <v>2134</v>
      </c>
      <c r="C268" s="3" t="s">
        <v>2135</v>
      </c>
      <c r="D268" s="4">
        <v>4301011868</v>
      </c>
      <c r="E268" s="3">
        <v>4680115884861</v>
      </c>
      <c r="F268" s="5" t="s">
        <v>2136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1580</v>
      </c>
      <c r="B269" s="3" t="s">
        <v>2134</v>
      </c>
      <c r="C269" s="3" t="s">
        <v>2135</v>
      </c>
      <c r="D269" s="4">
        <v>4301011868</v>
      </c>
      <c r="E269" s="3">
        <v>4680115884861</v>
      </c>
      <c r="F269" s="5" t="s">
        <v>2136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1982</v>
      </c>
      <c r="B270" s="3" t="s">
        <v>2134</v>
      </c>
      <c r="C270" s="3" t="s">
        <v>2135</v>
      </c>
      <c r="D270" s="4">
        <v>4301011868</v>
      </c>
      <c r="E270" s="3">
        <v>4680115884861</v>
      </c>
      <c r="F270" s="5" t="s">
        <v>2136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2093</v>
      </c>
      <c r="B271" s="3" t="s">
        <v>2134</v>
      </c>
      <c r="C271" s="3" t="s">
        <v>2135</v>
      </c>
      <c r="D271" s="4">
        <v>4301011868</v>
      </c>
      <c r="E271" s="3">
        <v>4680115884861</v>
      </c>
      <c r="F271" s="5" t="s">
        <v>2136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765</v>
      </c>
      <c r="B272" s="3" t="s">
        <v>2134</v>
      </c>
      <c r="C272" s="3" t="s">
        <v>2135</v>
      </c>
      <c r="D272" s="4">
        <v>4301011868</v>
      </c>
      <c r="E272" s="3">
        <v>4680115884861</v>
      </c>
      <c r="F272" s="5" t="s">
        <v>2136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1491</v>
      </c>
      <c r="B273" s="3" t="s">
        <v>2134</v>
      </c>
      <c r="C273" s="3" t="s">
        <v>2135</v>
      </c>
      <c r="D273" s="4">
        <v>4301011868</v>
      </c>
      <c r="E273" s="3">
        <v>4680115884861</v>
      </c>
      <c r="F273" s="5" t="s">
        <v>2136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2279</v>
      </c>
      <c r="B274" s="3" t="s">
        <v>2134</v>
      </c>
      <c r="C274" s="3" t="s">
        <v>2135</v>
      </c>
      <c r="D274" s="4">
        <v>4301011868</v>
      </c>
      <c r="E274" s="3">
        <v>4680115884861</v>
      </c>
      <c r="F274" s="5" t="s">
        <v>2136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2374</v>
      </c>
      <c r="B275" s="3" t="s">
        <v>2134</v>
      </c>
      <c r="C275" s="3" t="s">
        <v>2135</v>
      </c>
      <c r="D275" s="4">
        <v>4301011868</v>
      </c>
      <c r="E275" s="3">
        <v>4680115884861</v>
      </c>
      <c r="F275" s="5" t="s">
        <v>2136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2225</v>
      </c>
      <c r="B276" s="3" t="s">
        <v>2134</v>
      </c>
      <c r="C276" s="3" t="s">
        <v>2135</v>
      </c>
      <c r="D276" s="4">
        <v>4301011868</v>
      </c>
      <c r="E276" s="3">
        <v>4680115884861</v>
      </c>
      <c r="F276" s="5" t="s">
        <v>2136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2101</v>
      </c>
      <c r="B277" s="3" t="s">
        <v>2134</v>
      </c>
      <c r="C277" s="3" t="s">
        <v>2135</v>
      </c>
      <c r="D277" s="4">
        <v>4301011868</v>
      </c>
      <c r="E277" s="3">
        <v>4680115884861</v>
      </c>
      <c r="F277" s="5" t="s">
        <v>2136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2571</v>
      </c>
      <c r="B278" s="3" t="s">
        <v>2134</v>
      </c>
      <c r="C278" s="3" t="s">
        <v>2135</v>
      </c>
      <c r="D278" s="4">
        <v>4301011868</v>
      </c>
      <c r="E278" s="3">
        <v>4680115884861</v>
      </c>
      <c r="F278" s="5" t="s">
        <v>2136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2233</v>
      </c>
      <c r="B279" s="3" t="s">
        <v>2134</v>
      </c>
      <c r="C279" s="3" t="s">
        <v>2135</v>
      </c>
      <c r="D279" s="4">
        <v>4301011868</v>
      </c>
      <c r="E279" s="3">
        <v>4680115884861</v>
      </c>
      <c r="F279" s="5" t="s">
        <v>2136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1436</v>
      </c>
      <c r="B280" s="3" t="s">
        <v>2134</v>
      </c>
      <c r="C280" s="3" t="s">
        <v>2135</v>
      </c>
      <c r="D280" s="4">
        <v>4301011868</v>
      </c>
      <c r="E280" s="3">
        <v>4680115884861</v>
      </c>
      <c r="F280" s="5" t="s">
        <v>2136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3" si="42">J280*I280</f>
        <v>60</v>
      </c>
    </row>
    <row r="281" spans="1:11" ht="22.5" x14ac:dyDescent="0.25">
      <c r="A281" s="6" t="s">
        <v>767</v>
      </c>
      <c r="B281" s="3" t="s">
        <v>1969</v>
      </c>
      <c r="C281" s="3" t="s">
        <v>1970</v>
      </c>
      <c r="D281" s="4">
        <v>4301011952</v>
      </c>
      <c r="E281" s="3">
        <v>4680115884922</v>
      </c>
      <c r="F281" s="5" t="s">
        <v>1971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853</v>
      </c>
      <c r="B282" s="3" t="s">
        <v>1969</v>
      </c>
      <c r="C282" s="3" t="s">
        <v>1970</v>
      </c>
      <c r="D282" s="4">
        <v>4301011952</v>
      </c>
      <c r="E282" s="3">
        <v>4680115884922</v>
      </c>
      <c r="F282" s="5" t="s">
        <v>1971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992</v>
      </c>
      <c r="B283" s="3" t="s">
        <v>1969</v>
      </c>
      <c r="C283" s="3" t="s">
        <v>1970</v>
      </c>
      <c r="D283" s="4">
        <v>4301011952</v>
      </c>
      <c r="E283" s="3">
        <v>4680115884922</v>
      </c>
      <c r="F283" s="5" t="s">
        <v>1971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1337</v>
      </c>
      <c r="B284" s="3" t="s">
        <v>1969</v>
      </c>
      <c r="C284" s="3" t="s">
        <v>1970</v>
      </c>
      <c r="D284" s="4">
        <v>4301011952</v>
      </c>
      <c r="E284" s="3">
        <v>4680115884922</v>
      </c>
      <c r="F284" s="5" t="s">
        <v>1971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1817</v>
      </c>
      <c r="B285" s="3" t="s">
        <v>1969</v>
      </c>
      <c r="C285" s="3" t="s">
        <v>1970</v>
      </c>
      <c r="D285" s="4">
        <v>4301011952</v>
      </c>
      <c r="E285" s="3">
        <v>4680115884922</v>
      </c>
      <c r="F285" s="5" t="s">
        <v>1971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1881</v>
      </c>
      <c r="B286" s="3" t="s">
        <v>1969</v>
      </c>
      <c r="C286" s="3" t="s">
        <v>1970</v>
      </c>
      <c r="D286" s="4">
        <v>4301011952</v>
      </c>
      <c r="E286" s="3">
        <v>4680115884922</v>
      </c>
      <c r="F286" s="5" t="s">
        <v>1971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1147</v>
      </c>
      <c r="B287" s="3" t="s">
        <v>1969</v>
      </c>
      <c r="C287" s="3" t="s">
        <v>1970</v>
      </c>
      <c r="D287" s="4">
        <v>4301011952</v>
      </c>
      <c r="E287" s="3">
        <v>4680115884922</v>
      </c>
      <c r="F287" s="5" t="s">
        <v>1971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1983</v>
      </c>
      <c r="B288" s="3" t="s">
        <v>1969</v>
      </c>
      <c r="C288" s="3" t="s">
        <v>1970</v>
      </c>
      <c r="D288" s="4">
        <v>4301011952</v>
      </c>
      <c r="E288" s="3">
        <v>4680115884922</v>
      </c>
      <c r="F288" s="5" t="s">
        <v>1971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2370</v>
      </c>
      <c r="B289" s="3" t="s">
        <v>1969</v>
      </c>
      <c r="C289" s="3" t="s">
        <v>1970</v>
      </c>
      <c r="D289" s="4">
        <v>4301011952</v>
      </c>
      <c r="E289" s="3">
        <v>4680115884922</v>
      </c>
      <c r="F289" s="5" t="s">
        <v>1971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2226</v>
      </c>
      <c r="B290" s="3" t="s">
        <v>1969</v>
      </c>
      <c r="C290" s="3" t="s">
        <v>1970</v>
      </c>
      <c r="D290" s="4">
        <v>4301011952</v>
      </c>
      <c r="E290" s="3">
        <v>4680115884922</v>
      </c>
      <c r="F290" s="5" t="s">
        <v>1971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2102</v>
      </c>
      <c r="B291" s="3" t="s">
        <v>1969</v>
      </c>
      <c r="C291" s="3" t="s">
        <v>1970</v>
      </c>
      <c r="D291" s="4">
        <v>4301011952</v>
      </c>
      <c r="E291" s="3">
        <v>4680115884922</v>
      </c>
      <c r="F291" s="5" t="s">
        <v>1971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454</v>
      </c>
      <c r="B292" s="3" t="s">
        <v>1969</v>
      </c>
      <c r="C292" s="3" t="s">
        <v>1970</v>
      </c>
      <c r="D292" s="4">
        <v>4301011952</v>
      </c>
      <c r="E292" s="3">
        <v>4680115884922</v>
      </c>
      <c r="F292" s="5" t="s">
        <v>1971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715</v>
      </c>
      <c r="B293" s="3" t="s">
        <v>332</v>
      </c>
      <c r="C293" s="3" t="s">
        <v>333</v>
      </c>
      <c r="D293" s="4">
        <v>4301020179</v>
      </c>
      <c r="E293" s="3">
        <v>4607091384178</v>
      </c>
      <c r="F293" s="5" t="s">
        <v>335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335</v>
      </c>
      <c r="B294" s="3" t="s">
        <v>332</v>
      </c>
      <c r="C294" s="3" t="s">
        <v>333</v>
      </c>
      <c r="D294" s="4">
        <v>4301020179</v>
      </c>
      <c r="E294" s="3">
        <v>4607091384178</v>
      </c>
      <c r="F294" s="5" t="s">
        <v>335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1631</v>
      </c>
      <c r="B295" s="3" t="s">
        <v>332</v>
      </c>
      <c r="C295" s="3" t="s">
        <v>333</v>
      </c>
      <c r="D295" s="4">
        <v>4301020179</v>
      </c>
      <c r="E295" s="3">
        <v>4607091384178</v>
      </c>
      <c r="F295" s="5" t="s">
        <v>335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1811</v>
      </c>
      <c r="B296" s="3" t="s">
        <v>332</v>
      </c>
      <c r="C296" s="3" t="s">
        <v>333</v>
      </c>
      <c r="D296" s="4">
        <v>4301020179</v>
      </c>
      <c r="E296" s="3">
        <v>4607091384178</v>
      </c>
      <c r="F296" s="5" t="s">
        <v>335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1718</v>
      </c>
      <c r="B297" s="3" t="s">
        <v>332</v>
      </c>
      <c r="C297" s="3" t="s">
        <v>333</v>
      </c>
      <c r="D297" s="4">
        <v>4301020179</v>
      </c>
      <c r="E297" s="3">
        <v>4607091384178</v>
      </c>
      <c r="F297" s="5" t="s">
        <v>335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1988</v>
      </c>
      <c r="B298" s="3" t="s">
        <v>332</v>
      </c>
      <c r="C298" s="3" t="s">
        <v>333</v>
      </c>
      <c r="D298" s="4">
        <v>4301020179</v>
      </c>
      <c r="E298" s="3">
        <v>4607091384178</v>
      </c>
      <c r="F298" s="5" t="s">
        <v>335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2091</v>
      </c>
      <c r="B299" s="3" t="s">
        <v>332</v>
      </c>
      <c r="C299" s="3" t="s">
        <v>333</v>
      </c>
      <c r="D299" s="4">
        <v>4301020179</v>
      </c>
      <c r="E299" s="3">
        <v>4607091384178</v>
      </c>
      <c r="F299" s="5" t="s">
        <v>335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2277</v>
      </c>
      <c r="B300" s="3" t="s">
        <v>332</v>
      </c>
      <c r="C300" s="3" t="s">
        <v>333</v>
      </c>
      <c r="D300" s="4">
        <v>4301020179</v>
      </c>
      <c r="E300" s="3">
        <v>4607091384178</v>
      </c>
      <c r="F300" s="5" t="s">
        <v>335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2371</v>
      </c>
      <c r="B301" s="3" t="s">
        <v>332</v>
      </c>
      <c r="C301" s="3" t="s">
        <v>333</v>
      </c>
      <c r="D301" s="4">
        <v>4301020179</v>
      </c>
      <c r="E301" s="3">
        <v>4607091384178</v>
      </c>
      <c r="F301" s="5" t="s">
        <v>335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1320</v>
      </c>
      <c r="B302" s="3" t="s">
        <v>332</v>
      </c>
      <c r="C302" s="3" t="s">
        <v>333</v>
      </c>
      <c r="D302" s="4">
        <v>4301020179</v>
      </c>
      <c r="E302" s="3">
        <v>4607091384178</v>
      </c>
      <c r="F302" s="5" t="s">
        <v>335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764</v>
      </c>
      <c r="B303" s="3" t="s">
        <v>332</v>
      </c>
      <c r="C303" s="3" t="s">
        <v>333</v>
      </c>
      <c r="D303" s="4">
        <v>4301020179</v>
      </c>
      <c r="E303" s="3">
        <v>4607091384178</v>
      </c>
      <c r="F303" s="5" t="s">
        <v>335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859</v>
      </c>
      <c r="B304" s="3" t="s">
        <v>332</v>
      </c>
      <c r="C304" s="3" t="s">
        <v>333</v>
      </c>
      <c r="D304" s="4">
        <v>4301020179</v>
      </c>
      <c r="E304" s="3">
        <v>4607091384178</v>
      </c>
      <c r="F304" s="5" t="s">
        <v>335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452</v>
      </c>
      <c r="B305" s="3" t="s">
        <v>332</v>
      </c>
      <c r="C305" s="3" t="s">
        <v>333</v>
      </c>
      <c r="D305" s="4">
        <v>4301020179</v>
      </c>
      <c r="E305" s="3">
        <v>4607091384178</v>
      </c>
      <c r="F305" s="5" t="s">
        <v>335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345</v>
      </c>
      <c r="B306" s="3" t="s">
        <v>2113</v>
      </c>
      <c r="C306" s="3" t="s">
        <v>2114</v>
      </c>
      <c r="D306" s="4">
        <v>4301011324</v>
      </c>
      <c r="E306" s="3">
        <v>4607091384185</v>
      </c>
      <c r="F306" s="5" t="s">
        <v>345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1262</v>
      </c>
      <c r="B307" s="3" t="s">
        <v>2113</v>
      </c>
      <c r="C307" s="3" t="s">
        <v>2114</v>
      </c>
      <c r="D307" s="4">
        <v>4301011324</v>
      </c>
      <c r="E307" s="3">
        <v>4607091384185</v>
      </c>
      <c r="F307" s="5" t="s">
        <v>345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1558</v>
      </c>
      <c r="B308" s="3" t="s">
        <v>2113</v>
      </c>
      <c r="C308" s="3" t="s">
        <v>2114</v>
      </c>
      <c r="D308" s="4">
        <v>4301011324</v>
      </c>
      <c r="E308" s="3">
        <v>4607091384185</v>
      </c>
      <c r="F308" s="5" t="s">
        <v>345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1499</v>
      </c>
      <c r="B309" s="3" t="s">
        <v>2113</v>
      </c>
      <c r="C309" s="3" t="s">
        <v>2114</v>
      </c>
      <c r="D309" s="4">
        <v>4301011324</v>
      </c>
      <c r="E309" s="3">
        <v>4607091384185</v>
      </c>
      <c r="F309" s="5" t="s">
        <v>345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1882</v>
      </c>
      <c r="B310" s="3" t="s">
        <v>2113</v>
      </c>
      <c r="C310" s="3" t="s">
        <v>2114</v>
      </c>
      <c r="D310" s="4">
        <v>4301011324</v>
      </c>
      <c r="E310" s="3">
        <v>4607091384185</v>
      </c>
      <c r="F310" s="5" t="s">
        <v>345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2229</v>
      </c>
      <c r="B311" s="3" t="s">
        <v>2144</v>
      </c>
      <c r="C311" s="3" t="s">
        <v>2145</v>
      </c>
      <c r="D311" s="4">
        <v>4301011874</v>
      </c>
      <c r="E311" s="3">
        <v>4680115884892</v>
      </c>
      <c r="F311" s="5" t="s">
        <v>2146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2247</v>
      </c>
      <c r="B312" s="3" t="s">
        <v>2144</v>
      </c>
      <c r="C312" s="3" t="s">
        <v>2145</v>
      </c>
      <c r="D312" s="4">
        <v>4301011874</v>
      </c>
      <c r="E312" s="3">
        <v>4680115884892</v>
      </c>
      <c r="F312" s="5" t="s">
        <v>2146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2480</v>
      </c>
      <c r="B313" s="3" t="s">
        <v>2144</v>
      </c>
      <c r="C313" s="3" t="s">
        <v>2145</v>
      </c>
      <c r="D313" s="4">
        <v>4301011874</v>
      </c>
      <c r="E313" s="3">
        <v>4680115884892</v>
      </c>
      <c r="F313" s="5" t="s">
        <v>2146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2232</v>
      </c>
      <c r="B314" s="3" t="s">
        <v>2144</v>
      </c>
      <c r="C314" s="3" t="s">
        <v>2145</v>
      </c>
      <c r="D314" s="4">
        <v>4301011874</v>
      </c>
      <c r="E314" s="3">
        <v>4680115884892</v>
      </c>
      <c r="F314" s="5" t="s">
        <v>2146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346</v>
      </c>
      <c r="B315" s="3" t="s">
        <v>2113</v>
      </c>
      <c r="C315" s="3" t="s">
        <v>2114</v>
      </c>
      <c r="D315" s="4">
        <v>4301011324</v>
      </c>
      <c r="E315" s="3">
        <v>4607091384185</v>
      </c>
      <c r="F315" s="5" t="s">
        <v>345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1826</v>
      </c>
      <c r="B316" s="3" t="s">
        <v>2113</v>
      </c>
      <c r="C316" s="3" t="s">
        <v>2114</v>
      </c>
      <c r="D316" s="4">
        <v>4301011324</v>
      </c>
      <c r="E316" s="3">
        <v>4607091384185</v>
      </c>
      <c r="F316" s="5" t="s">
        <v>345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642</v>
      </c>
      <c r="B317" s="3" t="s">
        <v>2113</v>
      </c>
      <c r="C317" s="3" t="s">
        <v>2114</v>
      </c>
      <c r="D317" s="4">
        <v>4301011324</v>
      </c>
      <c r="E317" s="3">
        <v>4607091384185</v>
      </c>
      <c r="F317" s="5" t="s">
        <v>345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545</v>
      </c>
      <c r="B318" s="3" t="s">
        <v>353</v>
      </c>
      <c r="C318" s="3" t="s">
        <v>2523</v>
      </c>
      <c r="D318" s="4">
        <v>4301051899</v>
      </c>
      <c r="E318" s="3">
        <v>4607091384246</v>
      </c>
      <c r="F318" s="5" t="s">
        <v>2524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582</v>
      </c>
      <c r="B319" s="3" t="s">
        <v>353</v>
      </c>
      <c r="C319" s="3" t="s">
        <v>2523</v>
      </c>
      <c r="D319" s="4">
        <v>4301051899</v>
      </c>
      <c r="E319" s="3">
        <v>4607091384246</v>
      </c>
      <c r="F319" s="5" t="s">
        <v>2524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1511</v>
      </c>
      <c r="B320" s="3" t="s">
        <v>353</v>
      </c>
      <c r="C320" s="3" t="s">
        <v>2523</v>
      </c>
      <c r="D320" s="4">
        <v>4301051899</v>
      </c>
      <c r="E320" s="3">
        <v>4607091384246</v>
      </c>
      <c r="F320" s="5" t="s">
        <v>2524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1743</v>
      </c>
      <c r="B321" s="3" t="s">
        <v>353</v>
      </c>
      <c r="C321" s="3" t="s">
        <v>2523</v>
      </c>
      <c r="D321" s="4">
        <v>4301051899</v>
      </c>
      <c r="E321" s="3">
        <v>4607091384246</v>
      </c>
      <c r="F321" s="5" t="s">
        <v>2524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1858</v>
      </c>
      <c r="B322" s="3" t="s">
        <v>353</v>
      </c>
      <c r="C322" s="3" t="s">
        <v>2523</v>
      </c>
      <c r="D322" s="4">
        <v>4301051899</v>
      </c>
      <c r="E322" s="3">
        <v>4607091384246</v>
      </c>
      <c r="F322" s="5" t="s">
        <v>2524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749</v>
      </c>
      <c r="B323" s="3" t="s">
        <v>353</v>
      </c>
      <c r="C323" s="3" t="s">
        <v>2523</v>
      </c>
      <c r="D323" s="4">
        <v>4301051899</v>
      </c>
      <c r="E323" s="3">
        <v>4607091384246</v>
      </c>
      <c r="F323" s="5" t="s">
        <v>2524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2712</v>
      </c>
      <c r="B324" s="3" t="s">
        <v>353</v>
      </c>
      <c r="C324" s="3" t="s">
        <v>2523</v>
      </c>
      <c r="D324" s="4">
        <v>4301051899</v>
      </c>
      <c r="E324" s="3">
        <v>4607091384246</v>
      </c>
      <c r="F324" s="5" t="s">
        <v>2524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2337</v>
      </c>
      <c r="B325" s="3" t="s">
        <v>353</v>
      </c>
      <c r="C325" s="3" t="s">
        <v>2523</v>
      </c>
      <c r="D325" s="4">
        <v>4301051899</v>
      </c>
      <c r="E325" s="3">
        <v>4607091384246</v>
      </c>
      <c r="F325" s="5" t="s">
        <v>2524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944</v>
      </c>
      <c r="B326" s="3" t="s">
        <v>353</v>
      </c>
      <c r="C326" s="3" t="s">
        <v>2523</v>
      </c>
      <c r="D326" s="4">
        <v>4301051899</v>
      </c>
      <c r="E326" s="3">
        <v>4607091384246</v>
      </c>
      <c r="F326" s="5" t="s">
        <v>2524</v>
      </c>
      <c r="G326" s="18" t="s">
        <v>945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648</v>
      </c>
      <c r="B327" s="3" t="s">
        <v>354</v>
      </c>
      <c r="C327" s="3" t="s">
        <v>2713</v>
      </c>
      <c r="D327" s="4">
        <v>4301051660</v>
      </c>
      <c r="E327" s="3">
        <v>4607091384253</v>
      </c>
      <c r="F327" s="5" t="s">
        <v>2714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355</v>
      </c>
      <c r="B328" s="3" t="s">
        <v>354</v>
      </c>
      <c r="C328" s="3" t="s">
        <v>2713</v>
      </c>
      <c r="D328" s="4">
        <v>4301051660</v>
      </c>
      <c r="E328" s="3">
        <v>4607091384253</v>
      </c>
      <c r="F328" s="5" t="s">
        <v>2714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2205</v>
      </c>
      <c r="B329" s="3" t="s">
        <v>354</v>
      </c>
      <c r="C329" s="3" t="s">
        <v>2713</v>
      </c>
      <c r="D329" s="4">
        <v>4301051660</v>
      </c>
      <c r="E329" s="3">
        <v>4607091384253</v>
      </c>
      <c r="F329" s="5" t="s">
        <v>2714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909</v>
      </c>
      <c r="B330" s="3" t="s">
        <v>354</v>
      </c>
      <c r="C330" s="3" t="s">
        <v>2713</v>
      </c>
      <c r="D330" s="4">
        <v>4301051660</v>
      </c>
      <c r="E330" s="3">
        <v>4607091384253</v>
      </c>
      <c r="F330" s="5" t="s">
        <v>2714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2715</v>
      </c>
      <c r="B331" s="3" t="s">
        <v>354</v>
      </c>
      <c r="C331" s="3" t="s">
        <v>2713</v>
      </c>
      <c r="D331" s="4">
        <v>4301051660</v>
      </c>
      <c r="E331" s="3">
        <v>4607091384253</v>
      </c>
      <c r="F331" s="5" t="s">
        <v>2714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ref="K331" si="52">J331*I331</f>
        <v>28.799999999999997</v>
      </c>
    </row>
    <row r="332" spans="1:11" ht="22.5" x14ac:dyDescent="0.25">
      <c r="A332" s="6" t="s">
        <v>935</v>
      </c>
      <c r="B332" s="3" t="s">
        <v>354</v>
      </c>
      <c r="C332" s="3" t="s">
        <v>2713</v>
      </c>
      <c r="D332" s="4">
        <v>4301051660</v>
      </c>
      <c r="E332" s="3">
        <v>4607091384253</v>
      </c>
      <c r="F332" s="5" t="s">
        <v>2714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581</v>
      </c>
      <c r="B333" s="3" t="s">
        <v>354</v>
      </c>
      <c r="C333" s="3" t="s">
        <v>2713</v>
      </c>
      <c r="D333" s="4">
        <v>4301051660</v>
      </c>
      <c r="E333" s="3">
        <v>4607091384253</v>
      </c>
      <c r="F333" s="5" t="s">
        <v>2714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2"/>
        <v>28.799999999999997</v>
      </c>
    </row>
    <row r="334" spans="1:11" ht="22.5" x14ac:dyDescent="0.25">
      <c r="A334" s="6" t="s">
        <v>628</v>
      </c>
      <c r="B334" s="3" t="s">
        <v>339</v>
      </c>
      <c r="C334" s="3" t="s">
        <v>2526</v>
      </c>
      <c r="D334" s="4">
        <v>4301051897</v>
      </c>
      <c r="E334" s="3">
        <v>4607091384260</v>
      </c>
      <c r="F334" s="5" t="s">
        <v>2527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340</v>
      </c>
      <c r="B335" s="3" t="s">
        <v>339</v>
      </c>
      <c r="C335" s="3" t="s">
        <v>2526</v>
      </c>
      <c r="D335" s="4">
        <v>4301051897</v>
      </c>
      <c r="E335" s="3">
        <v>4607091384260</v>
      </c>
      <c r="F335" s="5" t="s">
        <v>2527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1364</v>
      </c>
      <c r="B336" s="3" t="s">
        <v>339</v>
      </c>
      <c r="C336" s="3" t="s">
        <v>2526</v>
      </c>
      <c r="D336" s="4">
        <v>4301051897</v>
      </c>
      <c r="E336" s="3">
        <v>4607091384260</v>
      </c>
      <c r="F336" s="5" t="s">
        <v>2527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1048</v>
      </c>
      <c r="B337" s="3" t="s">
        <v>339</v>
      </c>
      <c r="C337" s="3" t="s">
        <v>2526</v>
      </c>
      <c r="D337" s="4">
        <v>4301051897</v>
      </c>
      <c r="E337" s="3">
        <v>4607091384260</v>
      </c>
      <c r="F337" s="5" t="s">
        <v>2527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1512</v>
      </c>
      <c r="B338" s="3" t="s">
        <v>339</v>
      </c>
      <c r="C338" s="3" t="s">
        <v>2526</v>
      </c>
      <c r="D338" s="4">
        <v>4301051897</v>
      </c>
      <c r="E338" s="3">
        <v>4607091384260</v>
      </c>
      <c r="F338" s="5" t="s">
        <v>2527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1744</v>
      </c>
      <c r="B339" s="3" t="s">
        <v>339</v>
      </c>
      <c r="C339" s="3" t="s">
        <v>2526</v>
      </c>
      <c r="D339" s="4">
        <v>4301051897</v>
      </c>
      <c r="E339" s="3">
        <v>4607091384260</v>
      </c>
      <c r="F339" s="5" t="s">
        <v>2527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1031</v>
      </c>
      <c r="B340" s="3" t="s">
        <v>339</v>
      </c>
      <c r="C340" s="3" t="s">
        <v>2526</v>
      </c>
      <c r="D340" s="4">
        <v>4301051897</v>
      </c>
      <c r="E340" s="3">
        <v>4607091384260</v>
      </c>
      <c r="F340" s="5" t="s">
        <v>2527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1203</v>
      </c>
      <c r="B341" s="3" t="s">
        <v>339</v>
      </c>
      <c r="C341" s="3" t="s">
        <v>2526</v>
      </c>
      <c r="D341" s="4">
        <v>4301051897</v>
      </c>
      <c r="E341" s="3">
        <v>4607091384260</v>
      </c>
      <c r="F341" s="5" t="s">
        <v>2527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1756</v>
      </c>
      <c r="B342" s="3" t="s">
        <v>339</v>
      </c>
      <c r="C342" s="3" t="s">
        <v>2526</v>
      </c>
      <c r="D342" s="4">
        <v>4301051897</v>
      </c>
      <c r="E342" s="3">
        <v>4607091384260</v>
      </c>
      <c r="F342" s="5" t="s">
        <v>2527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2015</v>
      </c>
      <c r="B343" s="3" t="s">
        <v>339</v>
      </c>
      <c r="C343" s="3" t="s">
        <v>2526</v>
      </c>
      <c r="D343" s="4">
        <v>4301051897</v>
      </c>
      <c r="E343" s="3">
        <v>4607091384260</v>
      </c>
      <c r="F343" s="5" t="s">
        <v>2527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2"/>
        <v>62.4</v>
      </c>
    </row>
    <row r="344" spans="1:11" ht="22.5" x14ac:dyDescent="0.25">
      <c r="A344" s="6" t="s">
        <v>670</v>
      </c>
      <c r="B344" s="3" t="s">
        <v>366</v>
      </c>
      <c r="C344" s="3" t="s">
        <v>2601</v>
      </c>
      <c r="D344" s="4">
        <v>4301031362</v>
      </c>
      <c r="E344" s="3">
        <v>4607091384338</v>
      </c>
      <c r="F344" s="5" t="s">
        <v>373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720</v>
      </c>
      <c r="B345" s="3" t="s">
        <v>366</v>
      </c>
      <c r="C345" s="3" t="s">
        <v>2601</v>
      </c>
      <c r="D345" s="4">
        <v>4301031362</v>
      </c>
      <c r="E345" s="3">
        <v>4607091384338</v>
      </c>
      <c r="F345" s="5" t="s">
        <v>373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373</v>
      </c>
      <c r="B346" s="3" t="s">
        <v>366</v>
      </c>
      <c r="C346" s="3" t="s">
        <v>2601</v>
      </c>
      <c r="D346" s="4">
        <v>4301031362</v>
      </c>
      <c r="E346" s="3">
        <v>4607091384338</v>
      </c>
      <c r="F346" s="5" t="s">
        <v>373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1049</v>
      </c>
      <c r="B347" s="3" t="s">
        <v>366</v>
      </c>
      <c r="C347" s="3" t="s">
        <v>2601</v>
      </c>
      <c r="D347" s="4">
        <v>4301031362</v>
      </c>
      <c r="E347" s="3">
        <v>4607091384338</v>
      </c>
      <c r="F347" s="5" t="s">
        <v>373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1141</v>
      </c>
      <c r="B348" s="3" t="s">
        <v>366</v>
      </c>
      <c r="C348" s="3" t="s">
        <v>2601</v>
      </c>
      <c r="D348" s="4">
        <v>4301031362</v>
      </c>
      <c r="E348" s="3">
        <v>4607091384338</v>
      </c>
      <c r="F348" s="5" t="s">
        <v>373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1457</v>
      </c>
      <c r="B349" s="3" t="s">
        <v>366</v>
      </c>
      <c r="C349" s="3" t="s">
        <v>2601</v>
      </c>
      <c r="D349" s="4">
        <v>4301031362</v>
      </c>
      <c r="E349" s="3">
        <v>4607091384338</v>
      </c>
      <c r="F349" s="5" t="s">
        <v>373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2"/>
        <v>37.800000000000004</v>
      </c>
    </row>
    <row r="350" spans="1:11" ht="22.5" x14ac:dyDescent="0.25">
      <c r="A350" s="6" t="s">
        <v>2538</v>
      </c>
      <c r="B350" s="3" t="s">
        <v>366</v>
      </c>
      <c r="C350" s="3" t="s">
        <v>2601</v>
      </c>
      <c r="D350" s="4">
        <v>4301031362</v>
      </c>
      <c r="E350" s="3">
        <v>4607091384338</v>
      </c>
      <c r="F350" s="5" t="s">
        <v>373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ref="K350" si="53">J350*I350</f>
        <v>37.800000000000004</v>
      </c>
    </row>
    <row r="351" spans="1:11" ht="22.5" x14ac:dyDescent="0.25">
      <c r="A351" s="6" t="s">
        <v>1530</v>
      </c>
      <c r="B351" s="3" t="s">
        <v>366</v>
      </c>
      <c r="C351" s="3" t="s">
        <v>2601</v>
      </c>
      <c r="D351" s="4">
        <v>4301031362</v>
      </c>
      <c r="E351" s="3">
        <v>4607091384338</v>
      </c>
      <c r="F351" s="5" t="s">
        <v>373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1663</v>
      </c>
      <c r="B352" s="3" t="s">
        <v>366</v>
      </c>
      <c r="C352" s="3" t="s">
        <v>2601</v>
      </c>
      <c r="D352" s="4">
        <v>4301031362</v>
      </c>
      <c r="E352" s="3">
        <v>4607091384338</v>
      </c>
      <c r="F352" s="5" t="s">
        <v>373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1214</v>
      </c>
      <c r="B353" s="3" t="s">
        <v>366</v>
      </c>
      <c r="C353" s="3" t="s">
        <v>2601</v>
      </c>
      <c r="D353" s="4">
        <v>4301031362</v>
      </c>
      <c r="E353" s="3">
        <v>4607091384338</v>
      </c>
      <c r="F353" s="5" t="s">
        <v>373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2"/>
        <v>37.800000000000004</v>
      </c>
    </row>
    <row r="354" spans="1:11" ht="22.5" x14ac:dyDescent="0.25">
      <c r="A354" s="6" t="s">
        <v>864</v>
      </c>
      <c r="B354" s="3" t="s">
        <v>366</v>
      </c>
      <c r="C354" s="3" t="s">
        <v>2601</v>
      </c>
      <c r="D354" s="4">
        <v>4301031362</v>
      </c>
      <c r="E354" s="3">
        <v>4607091384338</v>
      </c>
      <c r="F354" s="5" t="s">
        <v>373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:K422" si="54">J354*I354</f>
        <v>37.800000000000004</v>
      </c>
    </row>
    <row r="355" spans="1:11" ht="22.5" x14ac:dyDescent="0.25">
      <c r="A355" s="6" t="s">
        <v>2189</v>
      </c>
      <c r="B355" s="3" t="s">
        <v>366</v>
      </c>
      <c r="C355" s="3" t="s">
        <v>2601</v>
      </c>
      <c r="D355" s="4">
        <v>4301031362</v>
      </c>
      <c r="E355" s="3">
        <v>4607091384338</v>
      </c>
      <c r="F355" s="5" t="s">
        <v>373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" si="55">J355*I355</f>
        <v>37.800000000000004</v>
      </c>
    </row>
    <row r="356" spans="1:11" ht="22.5" x14ac:dyDescent="0.25">
      <c r="A356" s="6" t="s">
        <v>1440</v>
      </c>
      <c r="B356" s="3" t="s">
        <v>366</v>
      </c>
      <c r="C356" s="3" t="s">
        <v>2601</v>
      </c>
      <c r="D356" s="4">
        <v>4301031362</v>
      </c>
      <c r="E356" s="3">
        <v>4607091384338</v>
      </c>
      <c r="F356" s="5" t="s">
        <v>373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4"/>
        <v>37.800000000000004</v>
      </c>
    </row>
    <row r="357" spans="1:11" ht="22.5" x14ac:dyDescent="0.25">
      <c r="A357" s="6" t="s">
        <v>375</v>
      </c>
      <c r="B357" s="3" t="s">
        <v>368</v>
      </c>
      <c r="C357" s="3" t="s">
        <v>2257</v>
      </c>
      <c r="D357" s="4">
        <v>4301031360</v>
      </c>
      <c r="E357" s="3">
        <v>4607091384345</v>
      </c>
      <c r="F357" s="5" t="s">
        <v>375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4"/>
        <v>37.800000000000004</v>
      </c>
    </row>
    <row r="358" spans="1:11" ht="22.5" x14ac:dyDescent="0.25">
      <c r="A358" s="6" t="s">
        <v>889</v>
      </c>
      <c r="B358" s="3" t="s">
        <v>368</v>
      </c>
      <c r="C358" s="3" t="s">
        <v>2257</v>
      </c>
      <c r="D358" s="4">
        <v>4301031360</v>
      </c>
      <c r="E358" s="3">
        <v>4607091384345</v>
      </c>
      <c r="F358" s="5" t="s">
        <v>375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4"/>
        <v>37.800000000000004</v>
      </c>
    </row>
    <row r="359" spans="1:11" ht="22.5" x14ac:dyDescent="0.25">
      <c r="A359" s="6" t="s">
        <v>866</v>
      </c>
      <c r="B359" s="3" t="s">
        <v>368</v>
      </c>
      <c r="C359" s="3" t="s">
        <v>2257</v>
      </c>
      <c r="D359" s="4">
        <v>4301031360</v>
      </c>
      <c r="E359" s="3">
        <v>4607091384345</v>
      </c>
      <c r="F359" s="5" t="s">
        <v>375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4"/>
        <v>37.800000000000004</v>
      </c>
    </row>
    <row r="360" spans="1:11" ht="22.5" x14ac:dyDescent="0.25">
      <c r="A360" s="6" t="s">
        <v>1085</v>
      </c>
      <c r="B360" s="3" t="s">
        <v>368</v>
      </c>
      <c r="C360" s="3" t="s">
        <v>2257</v>
      </c>
      <c r="D360" s="4">
        <v>4301031360</v>
      </c>
      <c r="E360" s="3">
        <v>4607091384345</v>
      </c>
      <c r="F360" s="5" t="s">
        <v>375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4"/>
        <v>37.800000000000004</v>
      </c>
    </row>
    <row r="361" spans="1:11" ht="22.5" x14ac:dyDescent="0.25">
      <c r="A361" s="6" t="s">
        <v>1102</v>
      </c>
      <c r="B361" s="3" t="s">
        <v>368</v>
      </c>
      <c r="C361" s="3" t="s">
        <v>2257</v>
      </c>
      <c r="D361" s="4">
        <v>4301031360</v>
      </c>
      <c r="E361" s="3">
        <v>4607091384345</v>
      </c>
      <c r="F361" s="5" t="s">
        <v>375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4"/>
        <v>37.800000000000004</v>
      </c>
    </row>
    <row r="362" spans="1:11" ht="22.5" x14ac:dyDescent="0.25">
      <c r="A362" s="6" t="s">
        <v>1088</v>
      </c>
      <c r="B362" s="3" t="s">
        <v>368</v>
      </c>
      <c r="C362" s="3" t="s">
        <v>2257</v>
      </c>
      <c r="D362" s="4">
        <v>4301031360</v>
      </c>
      <c r="E362" s="3">
        <v>4607091384345</v>
      </c>
      <c r="F362" s="5" t="s">
        <v>375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4"/>
        <v>37.800000000000004</v>
      </c>
    </row>
    <row r="363" spans="1:11" ht="22.5" x14ac:dyDescent="0.25">
      <c r="A363" s="6" t="s">
        <v>1448</v>
      </c>
      <c r="B363" s="3" t="s">
        <v>368</v>
      </c>
      <c r="C363" s="3" t="s">
        <v>2257</v>
      </c>
      <c r="D363" s="4">
        <v>4301031360</v>
      </c>
      <c r="E363" s="3">
        <v>4607091384345</v>
      </c>
      <c r="F363" s="5" t="s">
        <v>375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4"/>
        <v>37.800000000000004</v>
      </c>
    </row>
    <row r="364" spans="1:11" ht="22.5" x14ac:dyDescent="0.25">
      <c r="A364" s="6" t="s">
        <v>1533</v>
      </c>
      <c r="B364" s="3" t="s">
        <v>368</v>
      </c>
      <c r="C364" s="3" t="s">
        <v>2257</v>
      </c>
      <c r="D364" s="4">
        <v>4301031360</v>
      </c>
      <c r="E364" s="3">
        <v>4607091384345</v>
      </c>
      <c r="F364" s="5" t="s">
        <v>375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4"/>
        <v>37.800000000000004</v>
      </c>
    </row>
    <row r="365" spans="1:11" ht="22.5" x14ac:dyDescent="0.25">
      <c r="A365" s="6" t="s">
        <v>1583</v>
      </c>
      <c r="B365" s="3" t="s">
        <v>368</v>
      </c>
      <c r="C365" s="3" t="s">
        <v>2257</v>
      </c>
      <c r="D365" s="4">
        <v>4301031360</v>
      </c>
      <c r="E365" s="3">
        <v>4607091384345</v>
      </c>
      <c r="F365" s="5" t="s">
        <v>375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4"/>
        <v>37.800000000000004</v>
      </c>
    </row>
    <row r="366" spans="1:11" ht="22.5" x14ac:dyDescent="0.25">
      <c r="A366" s="6" t="s">
        <v>1659</v>
      </c>
      <c r="B366" s="3" t="s">
        <v>368</v>
      </c>
      <c r="C366" s="3" t="s">
        <v>2257</v>
      </c>
      <c r="D366" s="4">
        <v>4301031360</v>
      </c>
      <c r="E366" s="3">
        <v>4607091384345</v>
      </c>
      <c r="F366" s="5" t="s">
        <v>375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4"/>
        <v>37.800000000000004</v>
      </c>
    </row>
    <row r="367" spans="1:11" ht="22.5" x14ac:dyDescent="0.25">
      <c r="A367" s="6" t="s">
        <v>2088</v>
      </c>
      <c r="B367" s="3" t="s">
        <v>368</v>
      </c>
      <c r="C367" s="3" t="s">
        <v>2257</v>
      </c>
      <c r="D367" s="4">
        <v>4301031360</v>
      </c>
      <c r="E367" s="3">
        <v>4607091384345</v>
      </c>
      <c r="F367" s="5" t="s">
        <v>375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4"/>
        <v>37.800000000000004</v>
      </c>
    </row>
    <row r="368" spans="1:11" ht="22.5" x14ac:dyDescent="0.25">
      <c r="A368" s="6" t="s">
        <v>1107</v>
      </c>
      <c r="B368" s="3" t="s">
        <v>368</v>
      </c>
      <c r="C368" s="3" t="s">
        <v>2257</v>
      </c>
      <c r="D368" s="4">
        <v>4301031360</v>
      </c>
      <c r="E368" s="3">
        <v>4607091384345</v>
      </c>
      <c r="F368" s="5" t="s">
        <v>375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4"/>
        <v>37.800000000000004</v>
      </c>
    </row>
    <row r="369" spans="1:11" ht="22.5" x14ac:dyDescent="0.25">
      <c r="A369" s="6" t="s">
        <v>1217</v>
      </c>
      <c r="B369" s="3" t="s">
        <v>368</v>
      </c>
      <c r="C369" s="3" t="s">
        <v>2257</v>
      </c>
      <c r="D369" s="4">
        <v>4301031360</v>
      </c>
      <c r="E369" s="3">
        <v>4607091384345</v>
      </c>
      <c r="F369" s="5" t="s">
        <v>375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4"/>
        <v>37.800000000000004</v>
      </c>
    </row>
    <row r="370" spans="1:11" ht="22.5" x14ac:dyDescent="0.25">
      <c r="A370" s="6" t="s">
        <v>722</v>
      </c>
      <c r="B370" s="3" t="s">
        <v>368</v>
      </c>
      <c r="C370" s="3" t="s">
        <v>2257</v>
      </c>
      <c r="D370" s="4">
        <v>4301031360</v>
      </c>
      <c r="E370" s="3">
        <v>4607091384345</v>
      </c>
      <c r="F370" s="5" t="s">
        <v>375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4"/>
        <v>37.800000000000004</v>
      </c>
    </row>
    <row r="371" spans="1:11" ht="22.5" x14ac:dyDescent="0.25">
      <c r="A371" s="6" t="s">
        <v>900</v>
      </c>
      <c r="B371" s="3" t="s">
        <v>381</v>
      </c>
      <c r="C371" s="3" t="s">
        <v>382</v>
      </c>
      <c r="D371" s="4">
        <v>4301051284</v>
      </c>
      <c r="E371" s="3">
        <v>4607091384352</v>
      </c>
      <c r="F371" s="5" t="s">
        <v>387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4"/>
        <v>28.799999999999997</v>
      </c>
    </row>
    <row r="372" spans="1:11" ht="22.5" x14ac:dyDescent="0.25">
      <c r="A372" s="6" t="s">
        <v>885</v>
      </c>
      <c r="B372" s="3" t="s">
        <v>381</v>
      </c>
      <c r="C372" s="3" t="s">
        <v>382</v>
      </c>
      <c r="D372" s="4">
        <v>4301051284</v>
      </c>
      <c r="E372" s="3">
        <v>4607091384352</v>
      </c>
      <c r="F372" s="5" t="s">
        <v>387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4"/>
        <v>28.799999999999997</v>
      </c>
    </row>
    <row r="373" spans="1:11" ht="22.5" x14ac:dyDescent="0.25">
      <c r="A373" s="6" t="s">
        <v>1645</v>
      </c>
      <c r="B373" s="3" t="s">
        <v>381</v>
      </c>
      <c r="C373" s="3" t="s">
        <v>382</v>
      </c>
      <c r="D373" s="4">
        <v>4301051284</v>
      </c>
      <c r="E373" s="3">
        <v>4607091384352</v>
      </c>
      <c r="F373" s="5" t="s">
        <v>387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4"/>
        <v>28.799999999999997</v>
      </c>
    </row>
    <row r="374" spans="1:11" ht="22.5" x14ac:dyDescent="0.25">
      <c r="A374" s="6" t="s">
        <v>742</v>
      </c>
      <c r="B374" s="3" t="s">
        <v>381</v>
      </c>
      <c r="C374" s="3" t="s">
        <v>382</v>
      </c>
      <c r="D374" s="4">
        <v>4301051284</v>
      </c>
      <c r="E374" s="3">
        <v>4607091384352</v>
      </c>
      <c r="F374" s="5" t="s">
        <v>387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4"/>
        <v>28.799999999999997</v>
      </c>
    </row>
    <row r="375" spans="1:11" ht="22.5" x14ac:dyDescent="0.25">
      <c r="A375" s="6" t="s">
        <v>408</v>
      </c>
      <c r="B375" s="3" t="s">
        <v>402</v>
      </c>
      <c r="C375" s="3" t="s">
        <v>2118</v>
      </c>
      <c r="D375" s="4">
        <v>4301011961</v>
      </c>
      <c r="E375" s="3">
        <v>4680115885271</v>
      </c>
      <c r="F375" s="5" t="s">
        <v>2119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4"/>
        <v>42.24</v>
      </c>
    </row>
    <row r="376" spans="1:11" ht="22.5" x14ac:dyDescent="0.25">
      <c r="A376" s="6" t="s">
        <v>643</v>
      </c>
      <c r="B376" s="3" t="s">
        <v>402</v>
      </c>
      <c r="C376" s="3" t="s">
        <v>2118</v>
      </c>
      <c r="D376" s="4">
        <v>4301011961</v>
      </c>
      <c r="E376" s="3">
        <v>4680115885271</v>
      </c>
      <c r="F376" s="5" t="s">
        <v>2119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4"/>
        <v>42.24</v>
      </c>
    </row>
    <row r="377" spans="1:11" ht="22.5" x14ac:dyDescent="0.25">
      <c r="A377" s="6" t="s">
        <v>2540</v>
      </c>
      <c r="B377" s="3" t="s">
        <v>402</v>
      </c>
      <c r="C377" s="3" t="s">
        <v>2118</v>
      </c>
      <c r="D377" s="4">
        <v>4301011961</v>
      </c>
      <c r="E377" s="3">
        <v>4680115885271</v>
      </c>
      <c r="F377" s="5" t="s">
        <v>2119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ref="K377:K378" si="56">J377*I377</f>
        <v>42.24</v>
      </c>
    </row>
    <row r="378" spans="1:11" ht="22.5" x14ac:dyDescent="0.25">
      <c r="A378" s="6" t="s">
        <v>2625</v>
      </c>
      <c r="B378" s="3" t="s">
        <v>402</v>
      </c>
      <c r="C378" s="3" t="s">
        <v>2118</v>
      </c>
      <c r="D378" s="4">
        <v>4301011961</v>
      </c>
      <c r="E378" s="3">
        <v>4680115885271</v>
      </c>
      <c r="F378" s="5" t="s">
        <v>2119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6"/>
        <v>42.24</v>
      </c>
    </row>
    <row r="379" spans="1:11" ht="22.5" x14ac:dyDescent="0.25">
      <c r="A379" s="6" t="s">
        <v>1719</v>
      </c>
      <c r="B379" s="3" t="s">
        <v>402</v>
      </c>
      <c r="C379" s="3" t="s">
        <v>2118</v>
      </c>
      <c r="D379" s="4">
        <v>4301011961</v>
      </c>
      <c r="E379" s="3">
        <v>4680115885271</v>
      </c>
      <c r="F379" s="5" t="s">
        <v>2119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4"/>
        <v>42.24</v>
      </c>
    </row>
    <row r="380" spans="1:11" ht="22.5" x14ac:dyDescent="0.25">
      <c r="A380" s="6" t="s">
        <v>1966</v>
      </c>
      <c r="B380" s="3" t="s">
        <v>402</v>
      </c>
      <c r="C380" s="3" t="s">
        <v>2118</v>
      </c>
      <c r="D380" s="4">
        <v>4301011961</v>
      </c>
      <c r="E380" s="3">
        <v>4680115885271</v>
      </c>
      <c r="F380" s="5" t="s">
        <v>2119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4"/>
        <v>42.24</v>
      </c>
    </row>
    <row r="381" spans="1:11" ht="22.5" x14ac:dyDescent="0.25">
      <c r="A381" s="6" t="s">
        <v>2066</v>
      </c>
      <c r="B381" s="3" t="s">
        <v>402</v>
      </c>
      <c r="C381" s="3" t="s">
        <v>2118</v>
      </c>
      <c r="D381" s="4">
        <v>4301011961</v>
      </c>
      <c r="E381" s="3">
        <v>4680115885271</v>
      </c>
      <c r="F381" s="5" t="s">
        <v>2119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4"/>
        <v>42.24</v>
      </c>
    </row>
    <row r="382" spans="1:11" ht="22.5" x14ac:dyDescent="0.25">
      <c r="A382" s="6" t="s">
        <v>1304</v>
      </c>
      <c r="B382" s="3" t="s">
        <v>402</v>
      </c>
      <c r="C382" s="3" t="s">
        <v>2118</v>
      </c>
      <c r="D382" s="4">
        <v>4301011961</v>
      </c>
      <c r="E382" s="3">
        <v>4680115885271</v>
      </c>
      <c r="F382" s="5" t="s">
        <v>2119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4"/>
        <v>42.24</v>
      </c>
    </row>
    <row r="383" spans="1:11" ht="22.5" x14ac:dyDescent="0.25">
      <c r="A383" s="6" t="s">
        <v>1022</v>
      </c>
      <c r="B383" s="3" t="s">
        <v>402</v>
      </c>
      <c r="C383" s="3" t="s">
        <v>2118</v>
      </c>
      <c r="D383" s="4">
        <v>4301011961</v>
      </c>
      <c r="E383" s="3">
        <v>4680115885271</v>
      </c>
      <c r="F383" s="5" t="s">
        <v>2119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4"/>
        <v>42.24</v>
      </c>
    </row>
    <row r="384" spans="1:11" ht="22.5" x14ac:dyDescent="0.25">
      <c r="A384" s="6" t="s">
        <v>2004</v>
      </c>
      <c r="B384" s="3" t="s">
        <v>402</v>
      </c>
      <c r="C384" s="3" t="s">
        <v>2118</v>
      </c>
      <c r="D384" s="4">
        <v>4301011961</v>
      </c>
      <c r="E384" s="3">
        <v>4680115885271</v>
      </c>
      <c r="F384" s="5" t="s">
        <v>2119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4"/>
        <v>42.24</v>
      </c>
    </row>
    <row r="385" spans="1:11" ht="22.5" x14ac:dyDescent="0.25">
      <c r="A385" s="6" t="s">
        <v>523</v>
      </c>
      <c r="B385" s="3" t="s">
        <v>262</v>
      </c>
      <c r="C385" s="3" t="s">
        <v>263</v>
      </c>
      <c r="D385" s="4">
        <v>4301060406</v>
      </c>
      <c r="E385" s="3">
        <v>4607091384482</v>
      </c>
      <c r="F385" s="5" t="s">
        <v>2642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4"/>
        <v>62.4</v>
      </c>
    </row>
    <row r="386" spans="1:11" ht="22.5" x14ac:dyDescent="0.25">
      <c r="A386" s="6" t="s">
        <v>691</v>
      </c>
      <c r="B386" s="3" t="s">
        <v>262</v>
      </c>
      <c r="C386" s="3" t="s">
        <v>263</v>
      </c>
      <c r="D386" s="4">
        <v>4301060406</v>
      </c>
      <c r="E386" s="3">
        <v>4607091384482</v>
      </c>
      <c r="F386" s="5" t="s">
        <v>2642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4"/>
        <v>62.4</v>
      </c>
    </row>
    <row r="387" spans="1:11" ht="22.5" x14ac:dyDescent="0.25">
      <c r="A387" s="6" t="s">
        <v>268</v>
      </c>
      <c r="B387" s="3" t="s">
        <v>262</v>
      </c>
      <c r="C387" s="3" t="s">
        <v>263</v>
      </c>
      <c r="D387" s="4">
        <v>4301060406</v>
      </c>
      <c r="E387" s="3">
        <v>4607091384482</v>
      </c>
      <c r="F387" s="5" t="s">
        <v>2642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4"/>
        <v>62.4</v>
      </c>
    </row>
    <row r="388" spans="1:11" ht="22.5" x14ac:dyDescent="0.25">
      <c r="A388" s="6" t="s">
        <v>1065</v>
      </c>
      <c r="B388" s="3" t="s">
        <v>262</v>
      </c>
      <c r="C388" s="3" t="s">
        <v>263</v>
      </c>
      <c r="D388" s="4">
        <v>4301060406</v>
      </c>
      <c r="E388" s="3">
        <v>4607091384482</v>
      </c>
      <c r="F388" s="5" t="s">
        <v>2642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4"/>
        <v>62.4</v>
      </c>
    </row>
    <row r="389" spans="1:11" ht="22.5" x14ac:dyDescent="0.25">
      <c r="A389" s="6" t="s">
        <v>817</v>
      </c>
      <c r="B389" s="3" t="s">
        <v>262</v>
      </c>
      <c r="C389" s="3" t="s">
        <v>263</v>
      </c>
      <c r="D389" s="4">
        <v>4301060406</v>
      </c>
      <c r="E389" s="3">
        <v>4607091384482</v>
      </c>
      <c r="F389" s="5" t="s">
        <v>2642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4"/>
        <v>62.4</v>
      </c>
    </row>
    <row r="390" spans="1:11" ht="22.5" x14ac:dyDescent="0.25">
      <c r="A390" s="6" t="s">
        <v>1478</v>
      </c>
      <c r="B390" s="3" t="s">
        <v>262</v>
      </c>
      <c r="C390" s="3" t="s">
        <v>263</v>
      </c>
      <c r="D390" s="4">
        <v>4301060406</v>
      </c>
      <c r="E390" s="3">
        <v>4607091384482</v>
      </c>
      <c r="F390" s="5" t="s">
        <v>2642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4"/>
        <v>62.4</v>
      </c>
    </row>
    <row r="391" spans="1:11" ht="22.5" x14ac:dyDescent="0.25">
      <c r="A391" s="6" t="s">
        <v>2112</v>
      </c>
      <c r="B391" s="3" t="s">
        <v>262</v>
      </c>
      <c r="C391" s="3" t="s">
        <v>263</v>
      </c>
      <c r="D391" s="4">
        <v>4301060406</v>
      </c>
      <c r="E391" s="3">
        <v>4607091384482</v>
      </c>
      <c r="F391" s="5" t="s">
        <v>2642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4"/>
        <v>62.4</v>
      </c>
    </row>
    <row r="392" spans="1:11" ht="22.5" x14ac:dyDescent="0.25">
      <c r="A392" s="6" t="s">
        <v>611</v>
      </c>
      <c r="B392" s="3" t="s">
        <v>262</v>
      </c>
      <c r="C392" s="3" t="s">
        <v>263</v>
      </c>
      <c r="D392" s="4">
        <v>4301060406</v>
      </c>
      <c r="E392" s="3">
        <v>4607091384482</v>
      </c>
      <c r="F392" s="5" t="s">
        <v>2642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4"/>
        <v>62.4</v>
      </c>
    </row>
    <row r="393" spans="1:11" ht="22.5" x14ac:dyDescent="0.25">
      <c r="A393" s="6" t="s">
        <v>2013</v>
      </c>
      <c r="B393" s="3" t="s">
        <v>262</v>
      </c>
      <c r="C393" s="3" t="s">
        <v>263</v>
      </c>
      <c r="D393" s="4">
        <v>4301060406</v>
      </c>
      <c r="E393" s="3">
        <v>4607091384482</v>
      </c>
      <c r="F393" s="5" t="s">
        <v>2642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4"/>
        <v>62.4</v>
      </c>
    </row>
    <row r="394" spans="1:11" ht="22.5" x14ac:dyDescent="0.25">
      <c r="A394" s="6" t="s">
        <v>2204</v>
      </c>
      <c r="B394" s="3" t="s">
        <v>53</v>
      </c>
      <c r="C394" s="3" t="s">
        <v>1902</v>
      </c>
      <c r="D394" s="4">
        <v>4301011705</v>
      </c>
      <c r="E394" s="3">
        <v>4607091384604</v>
      </c>
      <c r="F394" s="5" t="s">
        <v>1903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ref="K394" si="57">J394*I394</f>
        <v>48</v>
      </c>
    </row>
    <row r="395" spans="1:11" ht="22.5" x14ac:dyDescent="0.25">
      <c r="A395" s="6" t="s">
        <v>1248</v>
      </c>
      <c r="B395" s="3" t="s">
        <v>53</v>
      </c>
      <c r="C395" s="3" t="s">
        <v>1902</v>
      </c>
      <c r="D395" s="4">
        <v>4301011705</v>
      </c>
      <c r="E395" s="3">
        <v>4607091384604</v>
      </c>
      <c r="F395" s="5" t="s">
        <v>1903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4"/>
        <v>48</v>
      </c>
    </row>
    <row r="396" spans="1:11" ht="22.5" x14ac:dyDescent="0.25">
      <c r="A396" s="6" t="s">
        <v>71</v>
      </c>
      <c r="B396" s="3" t="s">
        <v>53</v>
      </c>
      <c r="C396" s="3" t="s">
        <v>1902</v>
      </c>
      <c r="D396" s="4">
        <v>4301011705</v>
      </c>
      <c r="E396" s="3">
        <v>4607091384604</v>
      </c>
      <c r="F396" s="5" t="s">
        <v>1903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4"/>
        <v>48</v>
      </c>
    </row>
    <row r="397" spans="1:11" x14ac:dyDescent="0.25">
      <c r="A397" s="6" t="s">
        <v>342</v>
      </c>
      <c r="B397" s="3" t="s">
        <v>341</v>
      </c>
      <c r="C397" s="3" t="s">
        <v>2681</v>
      </c>
      <c r="D397" s="4">
        <v>4301060524</v>
      </c>
      <c r="E397" s="3">
        <v>4607091384673</v>
      </c>
      <c r="F397" s="5" t="s">
        <v>2522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4"/>
        <v>62.4</v>
      </c>
    </row>
    <row r="398" spans="1:11" x14ac:dyDescent="0.25">
      <c r="A398" s="6" t="s">
        <v>1567</v>
      </c>
      <c r="B398" s="3" t="s">
        <v>341</v>
      </c>
      <c r="C398" s="3" t="s">
        <v>2681</v>
      </c>
      <c r="D398" s="4">
        <v>4301060524</v>
      </c>
      <c r="E398" s="3">
        <v>4607091384673</v>
      </c>
      <c r="F398" s="5" t="s">
        <v>2522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4"/>
        <v>62.4</v>
      </c>
    </row>
    <row r="399" spans="1:11" x14ac:dyDescent="0.25">
      <c r="A399" s="6" t="s">
        <v>1368</v>
      </c>
      <c r="B399" s="3" t="s">
        <v>341</v>
      </c>
      <c r="C399" s="3" t="s">
        <v>2681</v>
      </c>
      <c r="D399" s="4">
        <v>4301060524</v>
      </c>
      <c r="E399" s="3">
        <v>4607091384673</v>
      </c>
      <c r="F399" s="5" t="s">
        <v>2522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4"/>
        <v>62.4</v>
      </c>
    </row>
    <row r="400" spans="1:11" x14ac:dyDescent="0.25">
      <c r="A400" s="6" t="s">
        <v>649</v>
      </c>
      <c r="B400" s="3" t="s">
        <v>341</v>
      </c>
      <c r="C400" s="3" t="s">
        <v>2681</v>
      </c>
      <c r="D400" s="4">
        <v>4301060524</v>
      </c>
      <c r="E400" s="3">
        <v>4607091384673</v>
      </c>
      <c r="F400" s="5" t="s">
        <v>2522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4"/>
        <v>62.4</v>
      </c>
    </row>
    <row r="401" spans="1:11" x14ac:dyDescent="0.25">
      <c r="A401" s="6" t="s">
        <v>2315</v>
      </c>
      <c r="B401" s="3" t="s">
        <v>341</v>
      </c>
      <c r="C401" s="3" t="s">
        <v>2681</v>
      </c>
      <c r="D401" s="4">
        <v>4301060524</v>
      </c>
      <c r="E401" s="3">
        <v>4607091384673</v>
      </c>
      <c r="F401" s="5" t="s">
        <v>2522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2409</v>
      </c>
      <c r="B402" s="3" t="s">
        <v>341</v>
      </c>
      <c r="C402" s="3" t="s">
        <v>2681</v>
      </c>
      <c r="D402" s="4">
        <v>4301060524</v>
      </c>
      <c r="E402" s="3">
        <v>4607091384673</v>
      </c>
      <c r="F402" s="5" t="s">
        <v>2522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2254</v>
      </c>
      <c r="B403" s="3" t="s">
        <v>341</v>
      </c>
      <c r="C403" s="3" t="s">
        <v>2681</v>
      </c>
      <c r="D403" s="4">
        <v>4301060524</v>
      </c>
      <c r="E403" s="3">
        <v>4607091384673</v>
      </c>
      <c r="F403" s="5" t="s">
        <v>2522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0">J403*I403</f>
        <v>62.4</v>
      </c>
    </row>
    <row r="404" spans="1:11" x14ac:dyDescent="0.25">
      <c r="A404" s="6" t="s">
        <v>1338</v>
      </c>
      <c r="B404" s="3" t="s">
        <v>341</v>
      </c>
      <c r="C404" s="3" t="s">
        <v>2681</v>
      </c>
      <c r="D404" s="4">
        <v>4301060524</v>
      </c>
      <c r="E404" s="3">
        <v>4607091384673</v>
      </c>
      <c r="F404" s="5" t="s">
        <v>2522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4"/>
        <v>62.4</v>
      </c>
    </row>
    <row r="405" spans="1:11" x14ac:dyDescent="0.25">
      <c r="A405" s="6" t="s">
        <v>2012</v>
      </c>
      <c r="B405" s="3" t="s">
        <v>341</v>
      </c>
      <c r="C405" s="3" t="s">
        <v>2681</v>
      </c>
      <c r="D405" s="4">
        <v>4301060524</v>
      </c>
      <c r="E405" s="3">
        <v>4607091384673</v>
      </c>
      <c r="F405" s="5" t="s">
        <v>2522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4"/>
        <v>62.4</v>
      </c>
    </row>
    <row r="406" spans="1:11" ht="22.5" x14ac:dyDescent="0.25">
      <c r="A406" s="6" t="s">
        <v>725</v>
      </c>
      <c r="B406" s="3" t="s">
        <v>343</v>
      </c>
      <c r="C406" s="3" t="s">
        <v>344</v>
      </c>
      <c r="D406" s="4">
        <v>4301011303</v>
      </c>
      <c r="E406" s="3">
        <v>4607091384680</v>
      </c>
      <c r="F406" s="5" t="s">
        <v>347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4"/>
        <v>#N/A</v>
      </c>
    </row>
    <row r="407" spans="1:11" ht="22.5" x14ac:dyDescent="0.25">
      <c r="A407" s="6" t="s">
        <v>890</v>
      </c>
      <c r="B407" s="3" t="s">
        <v>343</v>
      </c>
      <c r="C407" s="3" t="s">
        <v>344</v>
      </c>
      <c r="D407" s="4">
        <v>4301011303</v>
      </c>
      <c r="E407" s="3">
        <v>4607091384680</v>
      </c>
      <c r="F407" s="5" t="s">
        <v>347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4"/>
        <v>#N/A</v>
      </c>
    </row>
    <row r="408" spans="1:11" ht="22.5" x14ac:dyDescent="0.25">
      <c r="A408" s="6" t="s">
        <v>869</v>
      </c>
      <c r="B408" s="3" t="s">
        <v>343</v>
      </c>
      <c r="C408" s="3" t="s">
        <v>344</v>
      </c>
      <c r="D408" s="4">
        <v>4301011303</v>
      </c>
      <c r="E408" s="3">
        <v>4607091384680</v>
      </c>
      <c r="F408" s="5" t="s">
        <v>347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4"/>
        <v>#N/A</v>
      </c>
    </row>
    <row r="409" spans="1:11" ht="22.5" x14ac:dyDescent="0.25">
      <c r="A409" s="6" t="s">
        <v>1283</v>
      </c>
      <c r="B409" s="3" t="s">
        <v>343</v>
      </c>
      <c r="C409" s="3" t="s">
        <v>344</v>
      </c>
      <c r="D409" s="4">
        <v>4301011303</v>
      </c>
      <c r="E409" s="3">
        <v>4607091384680</v>
      </c>
      <c r="F409" s="5" t="s">
        <v>347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4"/>
        <v>#N/A</v>
      </c>
    </row>
    <row r="410" spans="1:11" ht="22.5" x14ac:dyDescent="0.25">
      <c r="A410" s="6" t="s">
        <v>347</v>
      </c>
      <c r="B410" s="3" t="s">
        <v>343</v>
      </c>
      <c r="C410" s="3" t="s">
        <v>344</v>
      </c>
      <c r="D410" s="4">
        <v>4301011303</v>
      </c>
      <c r="E410" s="3">
        <v>4607091384680</v>
      </c>
      <c r="F410" s="5" t="s">
        <v>347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4"/>
        <v>#N/A</v>
      </c>
    </row>
    <row r="411" spans="1:11" ht="22.5" x14ac:dyDescent="0.25">
      <c r="A411" s="6" t="s">
        <v>1600</v>
      </c>
      <c r="B411" s="3" t="s">
        <v>343</v>
      </c>
      <c r="C411" s="3" t="s">
        <v>344</v>
      </c>
      <c r="D411" s="4">
        <v>4301011303</v>
      </c>
      <c r="E411" s="3">
        <v>4607091384680</v>
      </c>
      <c r="F411" s="5" t="s">
        <v>347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4"/>
        <v>#N/A</v>
      </c>
    </row>
    <row r="412" spans="1:11" ht="22.5" x14ac:dyDescent="0.25">
      <c r="A412" s="6" t="s">
        <v>1327</v>
      </c>
      <c r="B412" s="3" t="s">
        <v>343</v>
      </c>
      <c r="C412" s="3" t="s">
        <v>344</v>
      </c>
      <c r="D412" s="4">
        <v>4301011303</v>
      </c>
      <c r="E412" s="3">
        <v>4607091384680</v>
      </c>
      <c r="F412" s="5" t="s">
        <v>347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4"/>
        <v>#N/A</v>
      </c>
    </row>
    <row r="413" spans="1:11" ht="22.5" x14ac:dyDescent="0.25">
      <c r="A413" s="6" t="s">
        <v>1157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4"/>
        <v>#N/A</v>
      </c>
    </row>
    <row r="414" spans="1:11" ht="22.5" x14ac:dyDescent="0.25">
      <c r="A414" s="6" t="s">
        <v>1406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4"/>
        <v>#N/A</v>
      </c>
    </row>
    <row r="415" spans="1:11" ht="22.5" x14ac:dyDescent="0.25">
      <c r="A415" s="6" t="s">
        <v>754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4"/>
        <v>#N/A</v>
      </c>
    </row>
    <row r="416" spans="1:11" ht="22.5" x14ac:dyDescent="0.25">
      <c r="A416" s="6" t="s">
        <v>988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4"/>
        <v>#N/A</v>
      </c>
    </row>
    <row r="417" spans="1:11" ht="22.5" x14ac:dyDescent="0.25">
      <c r="A417" s="6" t="s">
        <v>110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4"/>
        <v>#N/A</v>
      </c>
    </row>
    <row r="418" spans="1:11" ht="22.5" x14ac:dyDescent="0.25">
      <c r="A418" s="6" t="s">
        <v>887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4"/>
        <v>#N/A</v>
      </c>
    </row>
    <row r="419" spans="1:11" ht="22.5" x14ac:dyDescent="0.25">
      <c r="A419" s="6" t="s">
        <v>860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4"/>
        <v>#N/A</v>
      </c>
    </row>
    <row r="420" spans="1:11" ht="22.5" x14ac:dyDescent="0.25">
      <c r="A420" s="6" t="s">
        <v>716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4"/>
        <v>#N/A</v>
      </c>
    </row>
    <row r="421" spans="1:11" ht="22.5" x14ac:dyDescent="0.25">
      <c r="A421" s="6" t="s">
        <v>85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4"/>
        <v>#N/A</v>
      </c>
    </row>
    <row r="422" spans="1:11" ht="22.5" x14ac:dyDescent="0.25">
      <c r="A422" s="6" t="s">
        <v>498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4"/>
        <v>#N/A</v>
      </c>
    </row>
    <row r="423" spans="1:11" ht="22.5" x14ac:dyDescent="0.25">
      <c r="A423" s="6" t="s">
        <v>748</v>
      </c>
      <c r="B423" s="3" t="s">
        <v>348</v>
      </c>
      <c r="C423" s="3" t="s">
        <v>2347</v>
      </c>
      <c r="D423" s="4">
        <v>4301031303</v>
      </c>
      <c r="E423" s="3">
        <v>4607091384802</v>
      </c>
      <c r="F423" s="5" t="s">
        <v>351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ref="K423:K500" si="61">J423*I423</f>
        <v>52.56</v>
      </c>
    </row>
    <row r="424" spans="1:11" ht="22.5" x14ac:dyDescent="0.25">
      <c r="A424" s="6" t="s">
        <v>351</v>
      </c>
      <c r="B424" s="3" t="s">
        <v>348</v>
      </c>
      <c r="C424" s="3" t="s">
        <v>2347</v>
      </c>
      <c r="D424" s="4">
        <v>4301031303</v>
      </c>
      <c r="E424" s="3">
        <v>4607091384802</v>
      </c>
      <c r="F424" s="5" t="s">
        <v>351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1"/>
        <v>52.56</v>
      </c>
    </row>
    <row r="425" spans="1:11" ht="22.5" x14ac:dyDescent="0.25">
      <c r="A425" s="6" t="s">
        <v>857</v>
      </c>
      <c r="B425" s="3" t="s">
        <v>348</v>
      </c>
      <c r="C425" s="3" t="s">
        <v>2347</v>
      </c>
      <c r="D425" s="4">
        <v>4301031303</v>
      </c>
      <c r="E425" s="3">
        <v>4607091384802</v>
      </c>
      <c r="F425" s="5" t="s">
        <v>351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1"/>
        <v>52.56</v>
      </c>
    </row>
    <row r="426" spans="1:11" ht="22.5" x14ac:dyDescent="0.25">
      <c r="A426" s="6" t="s">
        <v>1160</v>
      </c>
      <c r="B426" s="3" t="s">
        <v>348</v>
      </c>
      <c r="C426" s="3" t="s">
        <v>2347</v>
      </c>
      <c r="D426" s="4">
        <v>4301031303</v>
      </c>
      <c r="E426" s="3">
        <v>4607091384802</v>
      </c>
      <c r="F426" s="5" t="s">
        <v>351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1"/>
        <v>52.56</v>
      </c>
    </row>
    <row r="427" spans="1:11" ht="22.5" x14ac:dyDescent="0.25">
      <c r="A427" s="6" t="s">
        <v>1445</v>
      </c>
      <c r="B427" s="3" t="s">
        <v>348</v>
      </c>
      <c r="C427" s="3" t="s">
        <v>2347</v>
      </c>
      <c r="D427" s="4">
        <v>4301031303</v>
      </c>
      <c r="E427" s="3">
        <v>4607091384802</v>
      </c>
      <c r="F427" s="5" t="s">
        <v>351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1"/>
        <v>52.56</v>
      </c>
    </row>
    <row r="428" spans="1:11" ht="22.5" x14ac:dyDescent="0.25">
      <c r="A428" s="6" t="s">
        <v>1739</v>
      </c>
      <c r="B428" s="3" t="s">
        <v>348</v>
      </c>
      <c r="C428" s="3" t="s">
        <v>2347</v>
      </c>
      <c r="D428" s="4">
        <v>4301031303</v>
      </c>
      <c r="E428" s="3">
        <v>4607091384802</v>
      </c>
      <c r="F428" s="5" t="s">
        <v>351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1"/>
        <v>52.56</v>
      </c>
    </row>
    <row r="429" spans="1:11" ht="22.5" x14ac:dyDescent="0.25">
      <c r="A429" s="6" t="s">
        <v>555</v>
      </c>
      <c r="B429" s="3" t="s">
        <v>348</v>
      </c>
      <c r="C429" s="3" t="s">
        <v>2347</v>
      </c>
      <c r="D429" s="4">
        <v>4301031303</v>
      </c>
      <c r="E429" s="3">
        <v>4607091384802</v>
      </c>
      <c r="F429" s="5" t="s">
        <v>351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1"/>
        <v>52.56</v>
      </c>
    </row>
    <row r="430" spans="1:11" ht="22.5" x14ac:dyDescent="0.25">
      <c r="A430" s="6" t="s">
        <v>768</v>
      </c>
      <c r="B430" s="3" t="s">
        <v>349</v>
      </c>
      <c r="C430" s="3" t="s">
        <v>350</v>
      </c>
      <c r="D430" s="4">
        <v>4301031140</v>
      </c>
      <c r="E430" s="3">
        <v>4607091384826</v>
      </c>
      <c r="F430" s="5" t="s">
        <v>352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1"/>
        <v>50.4</v>
      </c>
    </row>
    <row r="431" spans="1:11" ht="22.5" x14ac:dyDescent="0.25">
      <c r="A431" s="6" t="s">
        <v>940</v>
      </c>
      <c r="B431" s="3" t="s">
        <v>349</v>
      </c>
      <c r="C431" s="3" t="s">
        <v>350</v>
      </c>
      <c r="D431" s="4">
        <v>4301031140</v>
      </c>
      <c r="E431" s="3">
        <v>4607091384826</v>
      </c>
      <c r="F431" s="5" t="s">
        <v>352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1"/>
        <v>50.4</v>
      </c>
    </row>
    <row r="432" spans="1:11" ht="22.5" x14ac:dyDescent="0.25">
      <c r="A432" s="6" t="s">
        <v>1284</v>
      </c>
      <c r="B432" s="3" t="s">
        <v>349</v>
      </c>
      <c r="C432" s="3" t="s">
        <v>350</v>
      </c>
      <c r="D432" s="4">
        <v>4301031140</v>
      </c>
      <c r="E432" s="3">
        <v>4607091384826</v>
      </c>
      <c r="F432" s="5" t="s">
        <v>352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1"/>
        <v>50.4</v>
      </c>
    </row>
    <row r="433" spans="1:11" ht="22.5" x14ac:dyDescent="0.25">
      <c r="A433" s="6" t="s">
        <v>352</v>
      </c>
      <c r="B433" s="3" t="s">
        <v>349</v>
      </c>
      <c r="C433" s="3" t="s">
        <v>350</v>
      </c>
      <c r="D433" s="4">
        <v>4301031140</v>
      </c>
      <c r="E433" s="3">
        <v>4607091384826</v>
      </c>
      <c r="F433" s="5" t="s">
        <v>352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1"/>
        <v>50.4</v>
      </c>
    </row>
    <row r="434" spans="1:11" ht="22.5" x14ac:dyDescent="0.25">
      <c r="A434" s="6" t="s">
        <v>617</v>
      </c>
      <c r="B434" s="3" t="s">
        <v>336</v>
      </c>
      <c r="C434" s="3" t="s">
        <v>337</v>
      </c>
      <c r="D434" s="4">
        <v>4301031141</v>
      </c>
      <c r="E434" s="3">
        <v>4607091384833</v>
      </c>
      <c r="F434" s="5" t="s">
        <v>338</v>
      </c>
      <c r="G434" s="16"/>
      <c r="H434" s="1" t="e">
        <f>VLOOKUP(E434,[1]Лист1!$D:$M,10,0)</f>
        <v>#N/A</v>
      </c>
      <c r="I434" s="20" t="e">
        <f>VLOOKUP(B434,'[2]Бланк заказа'!$A:$Y,8,0)</f>
        <v>#N/A</v>
      </c>
      <c r="J434" s="1" t="e">
        <f>VLOOKUP(B434,'[2]Бланк заказа'!$A:$Y,11,0)*1</f>
        <v>#N/A</v>
      </c>
      <c r="K434" s="20" t="e">
        <f t="shared" si="61"/>
        <v>#N/A</v>
      </c>
    </row>
    <row r="435" spans="1:11" ht="22.5" x14ac:dyDescent="0.25">
      <c r="A435" s="6" t="s">
        <v>504</v>
      </c>
      <c r="B435" s="3" t="s">
        <v>132</v>
      </c>
      <c r="C435" s="3" t="s">
        <v>2674</v>
      </c>
      <c r="D435" s="4">
        <v>4301051724</v>
      </c>
      <c r="E435" s="3">
        <v>4607091385168</v>
      </c>
      <c r="F435" s="5" t="s">
        <v>2675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1"/>
        <v>64.8</v>
      </c>
    </row>
    <row r="436" spans="1:11" ht="22.5" x14ac:dyDescent="0.25">
      <c r="A436" s="6" t="s">
        <v>578</v>
      </c>
      <c r="B436" s="3" t="s">
        <v>132</v>
      </c>
      <c r="C436" s="3" t="s">
        <v>2674</v>
      </c>
      <c r="D436" s="4">
        <v>4301051724</v>
      </c>
      <c r="E436" s="3">
        <v>4607091385168</v>
      </c>
      <c r="F436" s="5" t="s">
        <v>2675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1"/>
        <v>64.8</v>
      </c>
    </row>
    <row r="437" spans="1:11" ht="22.5" x14ac:dyDescent="0.25">
      <c r="A437" s="6" t="s">
        <v>136</v>
      </c>
      <c r="B437" s="3" t="s">
        <v>132</v>
      </c>
      <c r="C437" s="3" t="s">
        <v>2674</v>
      </c>
      <c r="D437" s="4">
        <v>4301051724</v>
      </c>
      <c r="E437" s="3">
        <v>4607091385168</v>
      </c>
      <c r="F437" s="5" t="s">
        <v>2675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1"/>
        <v>64.8</v>
      </c>
    </row>
    <row r="438" spans="1:11" ht="22.5" x14ac:dyDescent="0.25">
      <c r="A438" s="6" t="s">
        <v>836</v>
      </c>
      <c r="B438" s="3" t="s">
        <v>132</v>
      </c>
      <c r="C438" s="3" t="s">
        <v>2674</v>
      </c>
      <c r="D438" s="4">
        <v>4301051724</v>
      </c>
      <c r="E438" s="3">
        <v>4607091385168</v>
      </c>
      <c r="F438" s="5" t="s">
        <v>2675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1"/>
        <v>64.8</v>
      </c>
    </row>
    <row r="439" spans="1:11" ht="22.5" x14ac:dyDescent="0.25">
      <c r="A439" s="6" t="s">
        <v>1163</v>
      </c>
      <c r="B439" s="3" t="s">
        <v>132</v>
      </c>
      <c r="C439" s="3" t="s">
        <v>2674</v>
      </c>
      <c r="D439" s="4">
        <v>4301051724</v>
      </c>
      <c r="E439" s="3">
        <v>4607091385168</v>
      </c>
      <c r="F439" s="5" t="s">
        <v>2675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1"/>
        <v>64.8</v>
      </c>
    </row>
    <row r="440" spans="1:11" ht="22.5" x14ac:dyDescent="0.25">
      <c r="A440" s="6" t="s">
        <v>1479</v>
      </c>
      <c r="B440" s="3" t="s">
        <v>132</v>
      </c>
      <c r="C440" s="3" t="s">
        <v>2674</v>
      </c>
      <c r="D440" s="4">
        <v>4301051724</v>
      </c>
      <c r="E440" s="3">
        <v>4607091385168</v>
      </c>
      <c r="F440" s="5" t="s">
        <v>2675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1"/>
        <v>64.8</v>
      </c>
    </row>
    <row r="441" spans="1:11" ht="22.5" x14ac:dyDescent="0.25">
      <c r="A441" s="6" t="s">
        <v>1431</v>
      </c>
      <c r="B441" s="3" t="s">
        <v>132</v>
      </c>
      <c r="C441" s="3" t="s">
        <v>2674</v>
      </c>
      <c r="D441" s="4">
        <v>4301051724</v>
      </c>
      <c r="E441" s="3">
        <v>4607091385168</v>
      </c>
      <c r="F441" s="5" t="s">
        <v>2675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1"/>
        <v>64.8</v>
      </c>
    </row>
    <row r="442" spans="1:11" ht="22.5" x14ac:dyDescent="0.25">
      <c r="A442" s="6" t="s">
        <v>608</v>
      </c>
      <c r="B442" s="3" t="s">
        <v>132</v>
      </c>
      <c r="C442" s="3" t="s">
        <v>2674</v>
      </c>
      <c r="D442" s="4">
        <v>4301051724</v>
      </c>
      <c r="E442" s="3">
        <v>4607091385168</v>
      </c>
      <c r="F442" s="5" t="s">
        <v>2675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1"/>
        <v>64.8</v>
      </c>
    </row>
    <row r="443" spans="1:11" ht="22.5" x14ac:dyDescent="0.25">
      <c r="A443" s="6" t="s">
        <v>1995</v>
      </c>
      <c r="B443" s="3" t="s">
        <v>132</v>
      </c>
      <c r="C443" s="3" t="s">
        <v>2674</v>
      </c>
      <c r="D443" s="4">
        <v>4301051724</v>
      </c>
      <c r="E443" s="3">
        <v>4607091385168</v>
      </c>
      <c r="F443" s="5" t="s">
        <v>2675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1"/>
        <v>64.8</v>
      </c>
    </row>
    <row r="444" spans="1:11" ht="30" x14ac:dyDescent="0.25">
      <c r="A444" s="6" t="s">
        <v>524</v>
      </c>
      <c r="B444" s="3" t="s">
        <v>2560</v>
      </c>
      <c r="C444" s="3" t="s">
        <v>2561</v>
      </c>
      <c r="D444" s="4">
        <v>4301051822</v>
      </c>
      <c r="E444" s="3">
        <v>4680115884410</v>
      </c>
      <c r="F444" s="5" t="s">
        <v>2562</v>
      </c>
      <c r="G444" s="16" t="s">
        <v>2563</v>
      </c>
      <c r="H444" s="1">
        <v>40</v>
      </c>
      <c r="I444" s="20"/>
      <c r="J444" s="1"/>
      <c r="K444" s="20"/>
    </row>
    <row r="445" spans="1:11" ht="30" x14ac:dyDescent="0.25">
      <c r="A445" s="6" t="s">
        <v>120</v>
      </c>
      <c r="B445" s="3" t="s">
        <v>2560</v>
      </c>
      <c r="C445" s="3" t="s">
        <v>2561</v>
      </c>
      <c r="D445" s="4">
        <v>4301051822</v>
      </c>
      <c r="E445" s="3">
        <v>4680115884410</v>
      </c>
      <c r="F445" s="5" t="s">
        <v>2562</v>
      </c>
      <c r="G445" s="16" t="s">
        <v>2563</v>
      </c>
      <c r="H445" s="1">
        <v>40</v>
      </c>
      <c r="I445" s="20"/>
      <c r="J445" s="1"/>
      <c r="K445" s="20"/>
    </row>
    <row r="446" spans="1:11" ht="30" x14ac:dyDescent="0.25">
      <c r="A446" s="6" t="s">
        <v>783</v>
      </c>
      <c r="B446" s="3" t="s">
        <v>2560</v>
      </c>
      <c r="C446" s="3" t="s">
        <v>2561</v>
      </c>
      <c r="D446" s="4">
        <v>4301051822</v>
      </c>
      <c r="E446" s="3">
        <v>4680115884410</v>
      </c>
      <c r="F446" s="5" t="s">
        <v>2562</v>
      </c>
      <c r="G446" s="16" t="s">
        <v>2563</v>
      </c>
      <c r="H446" s="1">
        <v>40</v>
      </c>
      <c r="I446" s="20"/>
      <c r="J446" s="1"/>
      <c r="K446" s="20"/>
    </row>
    <row r="447" spans="1:11" ht="30" x14ac:dyDescent="0.25">
      <c r="A447" s="6" t="s">
        <v>835</v>
      </c>
      <c r="B447" s="3" t="s">
        <v>2560</v>
      </c>
      <c r="C447" s="3" t="s">
        <v>2561</v>
      </c>
      <c r="D447" s="4">
        <v>4301051822</v>
      </c>
      <c r="E447" s="3">
        <v>4680115884410</v>
      </c>
      <c r="F447" s="5" t="s">
        <v>2562</v>
      </c>
      <c r="G447" s="16" t="s">
        <v>2563</v>
      </c>
      <c r="H447" s="1">
        <v>40</v>
      </c>
      <c r="I447" s="20"/>
      <c r="J447" s="1"/>
      <c r="K447" s="20"/>
    </row>
    <row r="448" spans="1:11" ht="30" x14ac:dyDescent="0.25">
      <c r="A448" s="6" t="s">
        <v>1851</v>
      </c>
      <c r="B448" s="3" t="s">
        <v>2560</v>
      </c>
      <c r="C448" s="3" t="s">
        <v>2561</v>
      </c>
      <c r="D448" s="4">
        <v>4301051822</v>
      </c>
      <c r="E448" s="3">
        <v>4680115884410</v>
      </c>
      <c r="F448" s="5" t="s">
        <v>2562</v>
      </c>
      <c r="G448" s="16" t="s">
        <v>2563</v>
      </c>
      <c r="H448" s="1">
        <v>40</v>
      </c>
      <c r="I448" s="20"/>
      <c r="J448" s="1"/>
      <c r="K448" s="20"/>
    </row>
    <row r="449" spans="1:11" ht="30" x14ac:dyDescent="0.25">
      <c r="A449" s="6" t="s">
        <v>1162</v>
      </c>
      <c r="B449" s="3" t="s">
        <v>2560</v>
      </c>
      <c r="C449" s="3" t="s">
        <v>2561</v>
      </c>
      <c r="D449" s="4">
        <v>4301051822</v>
      </c>
      <c r="E449" s="3">
        <v>4680115884410</v>
      </c>
      <c r="F449" s="5" t="s">
        <v>2562</v>
      </c>
      <c r="G449" s="16" t="s">
        <v>2563</v>
      </c>
      <c r="H449" s="1">
        <v>40</v>
      </c>
      <c r="I449" s="20"/>
      <c r="J449" s="1"/>
      <c r="K449" s="20"/>
    </row>
    <row r="450" spans="1:11" ht="30" x14ac:dyDescent="0.25">
      <c r="A450" s="6" t="s">
        <v>440</v>
      </c>
      <c r="B450" s="3" t="s">
        <v>2560</v>
      </c>
      <c r="C450" s="3" t="s">
        <v>2561</v>
      </c>
      <c r="D450" s="4">
        <v>4301051822</v>
      </c>
      <c r="E450" s="3">
        <v>4680115884410</v>
      </c>
      <c r="F450" s="5" t="s">
        <v>2562</v>
      </c>
      <c r="G450" s="16" t="s">
        <v>2563</v>
      </c>
      <c r="H450" s="1">
        <v>40</v>
      </c>
      <c r="I450" s="20"/>
      <c r="J450" s="1"/>
      <c r="K450" s="20"/>
    </row>
    <row r="451" spans="1:11" ht="30" x14ac:dyDescent="0.25">
      <c r="A451" s="6" t="s">
        <v>1844</v>
      </c>
      <c r="B451" s="3" t="s">
        <v>2560</v>
      </c>
      <c r="C451" s="3" t="s">
        <v>2561</v>
      </c>
      <c r="D451" s="4">
        <v>4301051822</v>
      </c>
      <c r="E451" s="3">
        <v>4680115884410</v>
      </c>
      <c r="F451" s="5" t="s">
        <v>2562</v>
      </c>
      <c r="G451" s="16" t="s">
        <v>2563</v>
      </c>
      <c r="H451" s="1">
        <v>40</v>
      </c>
      <c r="I451" s="20"/>
      <c r="J451" s="1"/>
      <c r="K451" s="20"/>
    </row>
    <row r="452" spans="1:11" ht="22.5" x14ac:dyDescent="0.25">
      <c r="A452" s="6" t="s">
        <v>2634</v>
      </c>
      <c r="B452" s="3" t="s">
        <v>2560</v>
      </c>
      <c r="C452" s="3" t="s">
        <v>2561</v>
      </c>
      <c r="D452" s="4">
        <v>4301051822</v>
      </c>
      <c r="E452" s="3">
        <v>4680115884410</v>
      </c>
      <c r="F452" s="5" t="s">
        <v>2562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2584</v>
      </c>
      <c r="B453" s="3" t="s">
        <v>2560</v>
      </c>
      <c r="C453" s="3" t="s">
        <v>2561</v>
      </c>
      <c r="D453" s="4">
        <v>4301051822</v>
      </c>
      <c r="E453" s="3">
        <v>4680115884410</v>
      </c>
      <c r="F453" s="5" t="s">
        <v>2562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2583</v>
      </c>
      <c r="B454" s="3" t="s">
        <v>2560</v>
      </c>
      <c r="C454" s="3" t="s">
        <v>2561</v>
      </c>
      <c r="D454" s="4">
        <v>4301051822</v>
      </c>
      <c r="E454" s="3">
        <v>4680115884410</v>
      </c>
      <c r="F454" s="5" t="s">
        <v>2562</v>
      </c>
      <c r="G454" s="16"/>
      <c r="H454" s="1">
        <v>40</v>
      </c>
      <c r="I454" s="20"/>
      <c r="J454" s="1"/>
      <c r="K454" s="20"/>
    </row>
    <row r="455" spans="1:11" x14ac:dyDescent="0.25">
      <c r="A455" s="6" t="s">
        <v>695</v>
      </c>
      <c r="B455" s="3" t="s">
        <v>118</v>
      </c>
      <c r="C455" s="3" t="s">
        <v>119</v>
      </c>
      <c r="D455" s="4">
        <v>4301051313</v>
      </c>
      <c r="E455" s="3">
        <v>4607091385427</v>
      </c>
      <c r="F455" s="5" t="s">
        <v>125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1"/>
        <v>36</v>
      </c>
    </row>
    <row r="456" spans="1:11" x14ac:dyDescent="0.25">
      <c r="A456" s="6" t="s">
        <v>125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1"/>
        <v>36</v>
      </c>
    </row>
    <row r="457" spans="1:11" x14ac:dyDescent="0.25">
      <c r="A457" s="6" t="s">
        <v>1449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1"/>
        <v>36</v>
      </c>
    </row>
    <row r="458" spans="1:11" x14ac:dyDescent="0.25">
      <c r="A458" s="6" t="s">
        <v>2080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1"/>
        <v>36</v>
      </c>
    </row>
    <row r="459" spans="1:11" x14ac:dyDescent="0.25">
      <c r="A459" s="6" t="s">
        <v>920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1"/>
        <v>36</v>
      </c>
    </row>
    <row r="460" spans="1:11" x14ac:dyDescent="0.25">
      <c r="A460" s="6" t="s">
        <v>466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1"/>
        <v>36</v>
      </c>
    </row>
    <row r="461" spans="1:11" ht="22.5" x14ac:dyDescent="0.25">
      <c r="A461" s="6" t="s">
        <v>505</v>
      </c>
      <c r="B461" s="3" t="s">
        <v>43</v>
      </c>
      <c r="C461" s="3" t="s">
        <v>2109</v>
      </c>
      <c r="D461" s="4">
        <v>4301011380</v>
      </c>
      <c r="E461" s="3">
        <v>4607091385670</v>
      </c>
      <c r="F461" s="5" t="s">
        <v>65</v>
      </c>
      <c r="G461" s="16"/>
      <c r="H461" s="1">
        <f>VLOOKUP(E461,[1]Лист1!$D:$M,10,0)</f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1"/>
        <v>86.4</v>
      </c>
    </row>
    <row r="462" spans="1:11" ht="22.5" x14ac:dyDescent="0.25">
      <c r="A462" s="6" t="s">
        <v>1473</v>
      </c>
      <c r="B462" s="3" t="s">
        <v>43</v>
      </c>
      <c r="C462" s="3" t="s">
        <v>2109</v>
      </c>
      <c r="D462" s="4">
        <v>4301011380</v>
      </c>
      <c r="E462" s="3">
        <v>4607091385670</v>
      </c>
      <c r="F462" s="5" t="s">
        <v>65</v>
      </c>
      <c r="G462" s="16"/>
      <c r="H462" s="1"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1"/>
        <v>86.4</v>
      </c>
    </row>
    <row r="463" spans="1:11" ht="22.5" x14ac:dyDescent="0.25">
      <c r="A463" s="6" t="s">
        <v>570</v>
      </c>
      <c r="B463" s="3" t="s">
        <v>43</v>
      </c>
      <c r="C463" s="3" t="s">
        <v>2109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1"/>
        <v>86.4</v>
      </c>
    </row>
    <row r="464" spans="1:11" ht="22.5" x14ac:dyDescent="0.25">
      <c r="A464" s="6" t="s">
        <v>2461</v>
      </c>
      <c r="B464" s="3" t="s">
        <v>43</v>
      </c>
      <c r="C464" s="3" t="s">
        <v>2109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ref="K464" si="62">J464*I464</f>
        <v>86.4</v>
      </c>
    </row>
    <row r="465" spans="1:11" ht="22.5" x14ac:dyDescent="0.25">
      <c r="A465" s="6" t="s">
        <v>65</v>
      </c>
      <c r="B465" s="3" t="s">
        <v>43</v>
      </c>
      <c r="C465" s="3" t="s">
        <v>2109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si="61"/>
        <v>86.4</v>
      </c>
    </row>
    <row r="466" spans="1:11" ht="22.5" x14ac:dyDescent="0.25">
      <c r="A466" s="6" t="s">
        <v>2403</v>
      </c>
      <c r="B466" s="3" t="s">
        <v>43</v>
      </c>
      <c r="C466" s="3" t="s">
        <v>2109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2532</v>
      </c>
      <c r="B467" s="3" t="s">
        <v>43</v>
      </c>
      <c r="C467" s="3" t="s">
        <v>2109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4">J467*I467</f>
        <v>86.4</v>
      </c>
    </row>
    <row r="468" spans="1:11" ht="22.5" x14ac:dyDescent="0.25">
      <c r="A468" s="6" t="s">
        <v>797</v>
      </c>
      <c r="B468" s="3" t="s">
        <v>43</v>
      </c>
      <c r="C468" s="3" t="s">
        <v>2109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si="61"/>
        <v>86.4</v>
      </c>
    </row>
    <row r="469" spans="1:11" ht="22.5" x14ac:dyDescent="0.25">
      <c r="A469" s="6" t="s">
        <v>2479</v>
      </c>
      <c r="B469" s="3" t="s">
        <v>43</v>
      </c>
      <c r="C469" s="3" t="s">
        <v>2109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ref="K469" si="65">J469*I469</f>
        <v>86.4</v>
      </c>
    </row>
    <row r="470" spans="1:11" ht="22.5" x14ac:dyDescent="0.25">
      <c r="A470" s="6" t="s">
        <v>1002</v>
      </c>
      <c r="B470" s="3" t="s">
        <v>43</v>
      </c>
      <c r="C470" s="3" t="s">
        <v>2109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1"/>
        <v>86.4</v>
      </c>
    </row>
    <row r="471" spans="1:11" ht="22.5" x14ac:dyDescent="0.25">
      <c r="A471" s="6" t="s">
        <v>1305</v>
      </c>
      <c r="B471" s="3" t="s">
        <v>43</v>
      </c>
      <c r="C471" s="3" t="s">
        <v>2109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1"/>
        <v>86.4</v>
      </c>
    </row>
    <row r="472" spans="1:11" ht="22.5" x14ac:dyDescent="0.25">
      <c r="A472" s="6" t="s">
        <v>2332</v>
      </c>
      <c r="B472" s="3" t="s">
        <v>43</v>
      </c>
      <c r="C472" s="3" t="s">
        <v>2109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ref="K472" si="66">J472*I472</f>
        <v>86.4</v>
      </c>
    </row>
    <row r="473" spans="1:11" ht="22.5" x14ac:dyDescent="0.25">
      <c r="A473" s="6" t="s">
        <v>589</v>
      </c>
      <c r="B473" s="3" t="s">
        <v>43</v>
      </c>
      <c r="C473" s="3" t="s">
        <v>2109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1"/>
        <v>86.4</v>
      </c>
    </row>
    <row r="474" spans="1:11" ht="22.5" x14ac:dyDescent="0.25">
      <c r="A474" s="6" t="s">
        <v>2108</v>
      </c>
      <c r="B474" s="3" t="s">
        <v>43</v>
      </c>
      <c r="C474" s="3" t="s">
        <v>2109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1"/>
        <v>86.4</v>
      </c>
    </row>
    <row r="475" spans="1:11" ht="22.5" x14ac:dyDescent="0.25">
      <c r="A475" s="6" t="s">
        <v>2546</v>
      </c>
      <c r="B475" s="3" t="s">
        <v>43</v>
      </c>
      <c r="C475" s="3" t="s">
        <v>2109</v>
      </c>
      <c r="D475" s="4">
        <v>4301011380</v>
      </c>
      <c r="E475" s="3">
        <v>4607091385670</v>
      </c>
      <c r="F475" s="5" t="s">
        <v>65</v>
      </c>
      <c r="G475" s="16" t="s">
        <v>2547</v>
      </c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2636</v>
      </c>
      <c r="B476" s="3" t="s">
        <v>43</v>
      </c>
      <c r="C476" s="3" t="s">
        <v>2109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2520</v>
      </c>
      <c r="B477" s="3" t="s">
        <v>43</v>
      </c>
      <c r="C477" s="3" t="s">
        <v>2109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69">J477*I477</f>
        <v>86.4</v>
      </c>
    </row>
    <row r="478" spans="1:11" ht="22.5" x14ac:dyDescent="0.25">
      <c r="A478" s="6" t="s">
        <v>1992</v>
      </c>
      <c r="B478" s="3" t="s">
        <v>43</v>
      </c>
      <c r="C478" s="3" t="s">
        <v>2109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si="61"/>
        <v>86.4</v>
      </c>
    </row>
    <row r="479" spans="1:11" ht="22.5" x14ac:dyDescent="0.25">
      <c r="A479" s="6" t="s">
        <v>571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1"/>
        <v>48</v>
      </c>
    </row>
    <row r="480" spans="1:11" ht="22.5" x14ac:dyDescent="0.25">
      <c r="A480" s="6" t="s">
        <v>627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1"/>
        <v>48</v>
      </c>
    </row>
    <row r="481" spans="1:11" ht="22.5" x14ac:dyDescent="0.25">
      <c r="A481" s="6" t="s">
        <v>70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1"/>
        <v>48</v>
      </c>
    </row>
    <row r="482" spans="1:11" ht="22.5" x14ac:dyDescent="0.25">
      <c r="A482" s="6" t="s">
        <v>2259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2489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1">J483*I483</f>
        <v>48</v>
      </c>
    </row>
    <row r="484" spans="1:11" ht="22.5" x14ac:dyDescent="0.25">
      <c r="A484" s="6" t="s">
        <v>841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1"/>
        <v>48</v>
      </c>
    </row>
    <row r="485" spans="1:11" ht="22.5" x14ac:dyDescent="0.25">
      <c r="A485" s="6" t="s">
        <v>1984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1"/>
        <v>48</v>
      </c>
    </row>
    <row r="486" spans="1:11" ht="22.5" x14ac:dyDescent="0.25">
      <c r="A486" s="6" t="s">
        <v>2373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ref="K486" si="72">J486*I486</f>
        <v>48</v>
      </c>
    </row>
    <row r="487" spans="1:11" ht="22.5" x14ac:dyDescent="0.25">
      <c r="A487" s="6" t="s">
        <v>2092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1"/>
        <v>48</v>
      </c>
    </row>
    <row r="488" spans="1:11" ht="22.5" x14ac:dyDescent="0.25">
      <c r="A488" s="6" t="s">
        <v>590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1"/>
        <v>48</v>
      </c>
    </row>
    <row r="489" spans="1:11" ht="22.5" x14ac:dyDescent="0.25">
      <c r="A489" s="6" t="s">
        <v>763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1"/>
        <v>48</v>
      </c>
    </row>
    <row r="490" spans="1:11" ht="22.5" x14ac:dyDescent="0.25">
      <c r="A490" s="6" t="s">
        <v>2185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ref="K490" si="73">J490*I490</f>
        <v>48</v>
      </c>
    </row>
    <row r="491" spans="1:11" ht="22.5" x14ac:dyDescent="0.25">
      <c r="A491" s="6" t="s">
        <v>1435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si="61"/>
        <v>48</v>
      </c>
    </row>
    <row r="492" spans="1:11" x14ac:dyDescent="0.25">
      <c r="A492" s="6" t="s">
        <v>122</v>
      </c>
      <c r="B492" s="3" t="s">
        <v>114</v>
      </c>
      <c r="C492" s="3" t="s">
        <v>2682</v>
      </c>
      <c r="D492" s="4">
        <v>4301051718</v>
      </c>
      <c r="E492" s="3">
        <v>4607091385731</v>
      </c>
      <c r="F492" s="5" t="s">
        <v>2683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1"/>
        <v>32.400000000000006</v>
      </c>
    </row>
    <row r="493" spans="1:11" x14ac:dyDescent="0.25">
      <c r="A493" s="6" t="s">
        <v>692</v>
      </c>
      <c r="B493" s="3" t="s">
        <v>114</v>
      </c>
      <c r="C493" s="3" t="s">
        <v>2682</v>
      </c>
      <c r="D493" s="4">
        <v>4301051718</v>
      </c>
      <c r="E493" s="3">
        <v>4607091385731</v>
      </c>
      <c r="F493" s="5" t="s">
        <v>2683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1"/>
        <v>32.400000000000006</v>
      </c>
    </row>
    <row r="494" spans="1:11" x14ac:dyDescent="0.25">
      <c r="A494" s="6" t="s">
        <v>1769</v>
      </c>
      <c r="B494" s="3" t="s">
        <v>114</v>
      </c>
      <c r="C494" s="3" t="s">
        <v>2682</v>
      </c>
      <c r="D494" s="4">
        <v>4301051718</v>
      </c>
      <c r="E494" s="3">
        <v>4607091385731</v>
      </c>
      <c r="F494" s="5" t="s">
        <v>2683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1"/>
        <v>32.400000000000006</v>
      </c>
    </row>
    <row r="495" spans="1:11" x14ac:dyDescent="0.25">
      <c r="A495" s="6" t="s">
        <v>919</v>
      </c>
      <c r="B495" s="3" t="s">
        <v>114</v>
      </c>
      <c r="C495" s="3" t="s">
        <v>2682</v>
      </c>
      <c r="D495" s="4">
        <v>4301051718</v>
      </c>
      <c r="E495" s="3">
        <v>4607091385731</v>
      </c>
      <c r="F495" s="5" t="s">
        <v>2683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1"/>
        <v>32.400000000000006</v>
      </c>
    </row>
    <row r="496" spans="1:11" x14ac:dyDescent="0.25">
      <c r="A496" s="6" t="s">
        <v>957</v>
      </c>
      <c r="B496" s="3" t="s">
        <v>114</v>
      </c>
      <c r="C496" s="3" t="s">
        <v>2682</v>
      </c>
      <c r="D496" s="4">
        <v>4301051718</v>
      </c>
      <c r="E496" s="3">
        <v>4607091385731</v>
      </c>
      <c r="F496" s="5" t="s">
        <v>2683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1"/>
        <v>32.400000000000006</v>
      </c>
    </row>
    <row r="497" spans="1:11" x14ac:dyDescent="0.25">
      <c r="A497" s="6" t="s">
        <v>1519</v>
      </c>
      <c r="B497" s="3" t="s">
        <v>114</v>
      </c>
      <c r="C497" s="3" t="s">
        <v>2682</v>
      </c>
      <c r="D497" s="4">
        <v>4301051718</v>
      </c>
      <c r="E497" s="3">
        <v>4607091385731</v>
      </c>
      <c r="F497" s="5" t="s">
        <v>2683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1"/>
        <v>32.400000000000006</v>
      </c>
    </row>
    <row r="498" spans="1:11" x14ac:dyDescent="0.25">
      <c r="A498" s="6" t="s">
        <v>761</v>
      </c>
      <c r="B498" s="3" t="s">
        <v>114</v>
      </c>
      <c r="C498" s="3" t="s">
        <v>2682</v>
      </c>
      <c r="D498" s="4">
        <v>4301051718</v>
      </c>
      <c r="E498" s="3">
        <v>4607091385731</v>
      </c>
      <c r="F498" s="5" t="s">
        <v>2683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1"/>
        <v>32.400000000000006</v>
      </c>
    </row>
    <row r="499" spans="1:11" x14ac:dyDescent="0.25">
      <c r="A499" s="6" t="s">
        <v>1996</v>
      </c>
      <c r="B499" s="3" t="s">
        <v>114</v>
      </c>
      <c r="C499" s="3" t="s">
        <v>2682</v>
      </c>
      <c r="D499" s="4">
        <v>4301051718</v>
      </c>
      <c r="E499" s="3">
        <v>4607091385731</v>
      </c>
      <c r="F499" s="5" t="s">
        <v>2683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1"/>
        <v>32.400000000000006</v>
      </c>
    </row>
    <row r="500" spans="1:11" x14ac:dyDescent="0.25">
      <c r="A500" s="6" t="s">
        <v>693</v>
      </c>
      <c r="B500" s="3" t="s">
        <v>135</v>
      </c>
      <c r="C500" s="3" t="s">
        <v>2662</v>
      </c>
      <c r="D500" s="4">
        <v>4301051721</v>
      </c>
      <c r="E500" s="3">
        <v>4607091385748</v>
      </c>
      <c r="F500" s="5" t="s">
        <v>2663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1"/>
        <v>32.400000000000006</v>
      </c>
    </row>
    <row r="501" spans="1:11" x14ac:dyDescent="0.25">
      <c r="A501" s="6" t="s">
        <v>824</v>
      </c>
      <c r="B501" s="3" t="s">
        <v>135</v>
      </c>
      <c r="C501" s="3" t="s">
        <v>2662</v>
      </c>
      <c r="D501" s="4">
        <v>4301051721</v>
      </c>
      <c r="E501" s="3">
        <v>4607091385748</v>
      </c>
      <c r="F501" s="5" t="s">
        <v>2663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ref="K501:K572" si="74">J501*I501</f>
        <v>32.400000000000006</v>
      </c>
    </row>
    <row r="502" spans="1:11" x14ac:dyDescent="0.25">
      <c r="A502" s="6" t="s">
        <v>1047</v>
      </c>
      <c r="B502" s="3" t="s">
        <v>135</v>
      </c>
      <c r="C502" s="3" t="s">
        <v>2662</v>
      </c>
      <c r="D502" s="4">
        <v>4301051721</v>
      </c>
      <c r="E502" s="3">
        <v>4607091385748</v>
      </c>
      <c r="F502" s="5" t="s">
        <v>2663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4"/>
        <v>32.400000000000006</v>
      </c>
    </row>
    <row r="503" spans="1:11" x14ac:dyDescent="0.25">
      <c r="A503" s="6" t="s">
        <v>138</v>
      </c>
      <c r="B503" s="3" t="s">
        <v>135</v>
      </c>
      <c r="C503" s="3" t="s">
        <v>2662</v>
      </c>
      <c r="D503" s="4">
        <v>4301051721</v>
      </c>
      <c r="E503" s="3">
        <v>4607091385748</v>
      </c>
      <c r="F503" s="5" t="s">
        <v>2663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4"/>
        <v>32.400000000000006</v>
      </c>
    </row>
    <row r="504" spans="1:11" x14ac:dyDescent="0.25">
      <c r="A504" s="6" t="s">
        <v>1477</v>
      </c>
      <c r="B504" s="3" t="s">
        <v>135</v>
      </c>
      <c r="C504" s="3" t="s">
        <v>2662</v>
      </c>
      <c r="D504" s="4">
        <v>4301051721</v>
      </c>
      <c r="E504" s="3">
        <v>4607091385748</v>
      </c>
      <c r="F504" s="5" t="s">
        <v>2663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4"/>
        <v>32.400000000000006</v>
      </c>
    </row>
    <row r="505" spans="1:11" x14ac:dyDescent="0.25">
      <c r="A505" s="6" t="s">
        <v>762</v>
      </c>
      <c r="B505" s="3" t="s">
        <v>135</v>
      </c>
      <c r="C505" s="3" t="s">
        <v>2662</v>
      </c>
      <c r="D505" s="4">
        <v>4301051721</v>
      </c>
      <c r="E505" s="3">
        <v>4607091385748</v>
      </c>
      <c r="F505" s="5" t="s">
        <v>2663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4"/>
        <v>32.400000000000006</v>
      </c>
    </row>
    <row r="506" spans="1:11" x14ac:dyDescent="0.25">
      <c r="A506" s="6" t="s">
        <v>1997</v>
      </c>
      <c r="B506" s="3" t="s">
        <v>135</v>
      </c>
      <c r="C506" s="3" t="s">
        <v>2662</v>
      </c>
      <c r="D506" s="4">
        <v>4301051721</v>
      </c>
      <c r="E506" s="3">
        <v>4607091385748</v>
      </c>
      <c r="F506" s="5" t="s">
        <v>2663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4"/>
        <v>32.400000000000006</v>
      </c>
    </row>
    <row r="507" spans="1:11" ht="22.5" x14ac:dyDescent="0.25">
      <c r="A507" s="6" t="s">
        <v>744</v>
      </c>
      <c r="B507" s="3" t="s">
        <v>294</v>
      </c>
      <c r="C507" s="3" t="s">
        <v>295</v>
      </c>
      <c r="D507" s="4">
        <v>4301011313</v>
      </c>
      <c r="E507" s="3">
        <v>4607091385984</v>
      </c>
      <c r="F507" s="5" t="s">
        <v>302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4"/>
        <v>#N/A</v>
      </c>
    </row>
    <row r="508" spans="1:11" ht="22.5" x14ac:dyDescent="0.25">
      <c r="A508" s="6" t="s">
        <v>1057</v>
      </c>
      <c r="B508" s="3" t="s">
        <v>294</v>
      </c>
      <c r="C508" s="3" t="s">
        <v>295</v>
      </c>
      <c r="D508" s="4">
        <v>4301011313</v>
      </c>
      <c r="E508" s="3">
        <v>4607091385984</v>
      </c>
      <c r="F508" s="5" t="s">
        <v>302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4"/>
        <v>#N/A</v>
      </c>
    </row>
    <row r="509" spans="1:11" ht="22.5" x14ac:dyDescent="0.25">
      <c r="A509" s="6" t="s">
        <v>302</v>
      </c>
      <c r="B509" s="3" t="s">
        <v>294</v>
      </c>
      <c r="C509" s="3" t="s">
        <v>295</v>
      </c>
      <c r="D509" s="4">
        <v>4301011313</v>
      </c>
      <c r="E509" s="3">
        <v>4607091385984</v>
      </c>
      <c r="F509" s="5" t="s">
        <v>302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4"/>
        <v>#N/A</v>
      </c>
    </row>
    <row r="510" spans="1:11" ht="22.5" x14ac:dyDescent="0.25">
      <c r="A510" s="6" t="s">
        <v>1459</v>
      </c>
      <c r="B510" s="3" t="s">
        <v>294</v>
      </c>
      <c r="C510" s="3" t="s">
        <v>295</v>
      </c>
      <c r="D510" s="4">
        <v>4301011313</v>
      </c>
      <c r="E510" s="3">
        <v>4607091385984</v>
      </c>
      <c r="F510" s="5" t="s">
        <v>302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4"/>
        <v>#N/A</v>
      </c>
    </row>
    <row r="511" spans="1:11" ht="22.5" x14ac:dyDescent="0.25">
      <c r="A511" s="6" t="s">
        <v>1712</v>
      </c>
      <c r="B511" s="3" t="s">
        <v>294</v>
      </c>
      <c r="C511" s="3" t="s">
        <v>295</v>
      </c>
      <c r="D511" s="4">
        <v>4301011313</v>
      </c>
      <c r="E511" s="3">
        <v>4607091385984</v>
      </c>
      <c r="F511" s="5" t="s">
        <v>302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4"/>
        <v>#N/A</v>
      </c>
    </row>
    <row r="512" spans="1:11" ht="22.5" x14ac:dyDescent="0.25">
      <c r="A512" s="6" t="s">
        <v>2083</v>
      </c>
      <c r="B512" s="3" t="s">
        <v>294</v>
      </c>
      <c r="C512" s="3" t="s">
        <v>295</v>
      </c>
      <c r="D512" s="4">
        <v>4301011313</v>
      </c>
      <c r="E512" s="3">
        <v>4607091385984</v>
      </c>
      <c r="F512" s="5" t="s">
        <v>302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4"/>
        <v>#N/A</v>
      </c>
    </row>
    <row r="513" spans="1:11" ht="22.5" x14ac:dyDescent="0.25">
      <c r="A513" s="6" t="s">
        <v>816</v>
      </c>
      <c r="B513" s="3" t="s">
        <v>294</v>
      </c>
      <c r="C513" s="3" t="s">
        <v>295</v>
      </c>
      <c r="D513" s="4">
        <v>4301011313</v>
      </c>
      <c r="E513" s="3">
        <v>4607091385984</v>
      </c>
      <c r="F513" s="5" t="s">
        <v>302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4"/>
        <v>#N/A</v>
      </c>
    </row>
    <row r="514" spans="1:11" ht="22.5" x14ac:dyDescent="0.25">
      <c r="A514" s="6" t="s">
        <v>1199</v>
      </c>
      <c r="B514" s="3" t="s">
        <v>294</v>
      </c>
      <c r="C514" s="3" t="s">
        <v>295</v>
      </c>
      <c r="D514" s="4">
        <v>4301011313</v>
      </c>
      <c r="E514" s="3">
        <v>4607091385984</v>
      </c>
      <c r="F514" s="5" t="s">
        <v>302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4"/>
        <v>#N/A</v>
      </c>
    </row>
    <row r="515" spans="1:11" ht="22.5" x14ac:dyDescent="0.25">
      <c r="A515" s="6" t="s">
        <v>541</v>
      </c>
      <c r="B515" s="3" t="s">
        <v>294</v>
      </c>
      <c r="C515" s="3" t="s">
        <v>295</v>
      </c>
      <c r="D515" s="4">
        <v>4301011313</v>
      </c>
      <c r="E515" s="3">
        <v>4607091385984</v>
      </c>
      <c r="F515" s="5" t="s">
        <v>302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4"/>
        <v>#N/A</v>
      </c>
    </row>
    <row r="516" spans="1:11" ht="22.5" x14ac:dyDescent="0.25">
      <c r="A516" s="6" t="s">
        <v>953</v>
      </c>
      <c r="B516" s="3" t="s">
        <v>2097</v>
      </c>
      <c r="C516" s="3" t="s">
        <v>2098</v>
      </c>
      <c r="D516" s="4">
        <v>4301012016</v>
      </c>
      <c r="E516" s="3">
        <v>4680115885554</v>
      </c>
      <c r="F516" s="5" t="s">
        <v>2099</v>
      </c>
      <c r="G516" s="5" t="s">
        <v>2100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4"/>
        <v>86.4</v>
      </c>
    </row>
    <row r="517" spans="1:11" ht="22.5" x14ac:dyDescent="0.25">
      <c r="A517" s="6" t="s">
        <v>593</v>
      </c>
      <c r="B517" s="3" t="s">
        <v>2097</v>
      </c>
      <c r="C517" s="3" t="s">
        <v>2098</v>
      </c>
      <c r="D517" s="4">
        <v>4301012016</v>
      </c>
      <c r="E517" s="3">
        <v>4680115885554</v>
      </c>
      <c r="F517" s="5" t="s">
        <v>2099</v>
      </c>
      <c r="G517" s="5" t="s">
        <v>2100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4"/>
        <v>86.4</v>
      </c>
    </row>
    <row r="518" spans="1:11" ht="22.5" x14ac:dyDescent="0.25">
      <c r="A518" s="6" t="s">
        <v>1690</v>
      </c>
      <c r="B518" s="3" t="s">
        <v>2097</v>
      </c>
      <c r="C518" s="3" t="s">
        <v>2098</v>
      </c>
      <c r="D518" s="4">
        <v>4301012016</v>
      </c>
      <c r="E518" s="3">
        <v>4680115885554</v>
      </c>
      <c r="F518" s="5" t="s">
        <v>2099</v>
      </c>
      <c r="G518" s="5" t="s">
        <v>2100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4"/>
        <v>86.4</v>
      </c>
    </row>
    <row r="519" spans="1:11" ht="22.5" x14ac:dyDescent="0.25">
      <c r="A519" s="6" t="s">
        <v>1269</v>
      </c>
      <c r="B519" s="3" t="s">
        <v>2097</v>
      </c>
      <c r="C519" s="3" t="s">
        <v>2098</v>
      </c>
      <c r="D519" s="4">
        <v>4301012016</v>
      </c>
      <c r="E519" s="3">
        <v>4680115885554</v>
      </c>
      <c r="F519" s="5" t="s">
        <v>2099</v>
      </c>
      <c r="G519" s="5" t="s">
        <v>2100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4"/>
        <v>86.4</v>
      </c>
    </row>
    <row r="520" spans="1:11" ht="22.5" x14ac:dyDescent="0.25">
      <c r="A520" s="6" t="s">
        <v>1198</v>
      </c>
      <c r="B520" s="3" t="s">
        <v>2097</v>
      </c>
      <c r="C520" s="3" t="s">
        <v>2098</v>
      </c>
      <c r="D520" s="4">
        <v>4301012016</v>
      </c>
      <c r="E520" s="3">
        <v>4680115885554</v>
      </c>
      <c r="F520" s="5" t="s">
        <v>2099</v>
      </c>
      <c r="G520" s="5" t="s">
        <v>2100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4"/>
        <v>86.4</v>
      </c>
    </row>
    <row r="521" spans="1:11" ht="22.5" x14ac:dyDescent="0.25">
      <c r="A521" s="6" t="s">
        <v>479</v>
      </c>
      <c r="B521" s="3" t="s">
        <v>2097</v>
      </c>
      <c r="C521" s="3" t="s">
        <v>2098</v>
      </c>
      <c r="D521" s="4">
        <v>4301012016</v>
      </c>
      <c r="E521" s="3">
        <v>4680115885554</v>
      </c>
      <c r="F521" s="5" t="s">
        <v>2099</v>
      </c>
      <c r="G521" s="5" t="s">
        <v>2100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4"/>
        <v>86.4</v>
      </c>
    </row>
    <row r="522" spans="1:11" ht="22.5" x14ac:dyDescent="0.25">
      <c r="A522" s="6" t="s">
        <v>514</v>
      </c>
      <c r="B522" s="3" t="s">
        <v>2097</v>
      </c>
      <c r="C522" s="3" t="s">
        <v>2098</v>
      </c>
      <c r="D522" s="4">
        <v>4301012016</v>
      </c>
      <c r="E522" s="3">
        <v>4680115885554</v>
      </c>
      <c r="F522" s="5" t="s">
        <v>2099</v>
      </c>
      <c r="G522" s="5" t="s">
        <v>2100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4"/>
        <v>86.4</v>
      </c>
    </row>
    <row r="523" spans="1:11" ht="22.5" x14ac:dyDescent="0.25">
      <c r="A523" s="6" t="s">
        <v>161</v>
      </c>
      <c r="B523" s="3" t="s">
        <v>2097</v>
      </c>
      <c r="C523" s="3" t="s">
        <v>2098</v>
      </c>
      <c r="D523" s="4">
        <v>4301012016</v>
      </c>
      <c r="E523" s="3">
        <v>4680115885554</v>
      </c>
      <c r="F523" s="5" t="s">
        <v>2099</v>
      </c>
      <c r="G523" s="5" t="s">
        <v>2100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4"/>
        <v>86.4</v>
      </c>
    </row>
    <row r="524" spans="1:11" ht="22.5" x14ac:dyDescent="0.25">
      <c r="A524" s="6" t="s">
        <v>1336</v>
      </c>
      <c r="B524" s="3" t="s">
        <v>2097</v>
      </c>
      <c r="C524" s="3" t="s">
        <v>2098</v>
      </c>
      <c r="D524" s="4">
        <v>4301012016</v>
      </c>
      <c r="E524" s="3">
        <v>4680115885554</v>
      </c>
      <c r="F524" s="5" t="s">
        <v>2099</v>
      </c>
      <c r="G524" s="5" t="s">
        <v>2100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4"/>
        <v>86.4</v>
      </c>
    </row>
    <row r="525" spans="1:11" ht="22.5" x14ac:dyDescent="0.25">
      <c r="A525" s="6" t="s">
        <v>1890</v>
      </c>
      <c r="B525" s="3" t="s">
        <v>2097</v>
      </c>
      <c r="C525" s="3" t="s">
        <v>2098</v>
      </c>
      <c r="D525" s="4">
        <v>4301012016</v>
      </c>
      <c r="E525" s="3">
        <v>4680115885554</v>
      </c>
      <c r="F525" s="5" t="s">
        <v>2099</v>
      </c>
      <c r="G525" s="5" t="s">
        <v>2100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4"/>
        <v>86.4</v>
      </c>
    </row>
    <row r="526" spans="1:11" ht="22.5" x14ac:dyDescent="0.25">
      <c r="A526" s="6" t="s">
        <v>798</v>
      </c>
      <c r="B526" s="3" t="s">
        <v>2097</v>
      </c>
      <c r="C526" s="3" t="s">
        <v>2098</v>
      </c>
      <c r="D526" s="4">
        <v>4301012016</v>
      </c>
      <c r="E526" s="3">
        <v>4680115885554</v>
      </c>
      <c r="F526" s="5" t="s">
        <v>2099</v>
      </c>
      <c r="G526" s="5" t="s">
        <v>2100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4"/>
        <v>86.4</v>
      </c>
    </row>
    <row r="527" spans="1:11" ht="22.5" x14ac:dyDescent="0.25">
      <c r="A527" s="6" t="s">
        <v>1211</v>
      </c>
      <c r="B527" s="3" t="s">
        <v>2097</v>
      </c>
      <c r="C527" s="3" t="s">
        <v>2098</v>
      </c>
      <c r="D527" s="4">
        <v>4301012016</v>
      </c>
      <c r="E527" s="3">
        <v>4680115885554</v>
      </c>
      <c r="F527" s="5" t="s">
        <v>2099</v>
      </c>
      <c r="G527" s="5" t="s">
        <v>2100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4"/>
        <v>86.4</v>
      </c>
    </row>
    <row r="528" spans="1:11" ht="22.5" x14ac:dyDescent="0.25">
      <c r="A528" s="6" t="s">
        <v>923</v>
      </c>
      <c r="B528" s="3" t="s">
        <v>2097</v>
      </c>
      <c r="C528" s="3" t="s">
        <v>2098</v>
      </c>
      <c r="D528" s="4">
        <v>4301012016</v>
      </c>
      <c r="E528" s="3">
        <v>4680115885554</v>
      </c>
      <c r="F528" s="5" t="s">
        <v>2099</v>
      </c>
      <c r="G528" s="5" t="s">
        <v>2100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4"/>
        <v>86.4</v>
      </c>
    </row>
    <row r="529" spans="1:11" ht="22.5" x14ac:dyDescent="0.25">
      <c r="A529" s="6" t="s">
        <v>1152</v>
      </c>
      <c r="B529" s="3" t="s">
        <v>2097</v>
      </c>
      <c r="C529" s="3" t="s">
        <v>2098</v>
      </c>
      <c r="D529" s="4">
        <v>4301012016</v>
      </c>
      <c r="E529" s="3">
        <v>4680115885554</v>
      </c>
      <c r="F529" s="5" t="s">
        <v>2099</v>
      </c>
      <c r="G529" s="5" t="s">
        <v>2100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4"/>
        <v>86.4</v>
      </c>
    </row>
    <row r="530" spans="1:11" ht="22.5" x14ac:dyDescent="0.25">
      <c r="A530" s="6" t="s">
        <v>1359</v>
      </c>
      <c r="B530" s="3" t="s">
        <v>2097</v>
      </c>
      <c r="C530" s="3" t="s">
        <v>2098</v>
      </c>
      <c r="D530" s="4">
        <v>4301012016</v>
      </c>
      <c r="E530" s="3">
        <v>4680115885554</v>
      </c>
      <c r="F530" s="5" t="s">
        <v>2099</v>
      </c>
      <c r="G530" s="5" t="s">
        <v>2100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4"/>
        <v>86.4</v>
      </c>
    </row>
    <row r="531" spans="1:11" ht="22.5" x14ac:dyDescent="0.25">
      <c r="A531" s="6" t="s">
        <v>1190</v>
      </c>
      <c r="B531" s="3" t="s">
        <v>2097</v>
      </c>
      <c r="C531" s="3" t="s">
        <v>2098</v>
      </c>
      <c r="D531" s="4">
        <v>4301012016</v>
      </c>
      <c r="E531" s="3">
        <v>4680115885554</v>
      </c>
      <c r="F531" s="5" t="s">
        <v>2099</v>
      </c>
      <c r="G531" s="5" t="s">
        <v>2100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4"/>
        <v>86.4</v>
      </c>
    </row>
    <row r="532" spans="1:11" ht="22.5" x14ac:dyDescent="0.25">
      <c r="A532" s="6" t="s">
        <v>1288</v>
      </c>
      <c r="B532" s="3" t="s">
        <v>2097</v>
      </c>
      <c r="C532" s="3" t="s">
        <v>2098</v>
      </c>
      <c r="D532" s="4">
        <v>4301012016</v>
      </c>
      <c r="E532" s="3">
        <v>4680115885554</v>
      </c>
      <c r="F532" s="5" t="s">
        <v>2099</v>
      </c>
      <c r="G532" s="5" t="s">
        <v>2100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4"/>
        <v>86.4</v>
      </c>
    </row>
    <row r="533" spans="1:11" ht="22.5" x14ac:dyDescent="0.25">
      <c r="A533" s="6" t="s">
        <v>1494</v>
      </c>
      <c r="B533" s="3" t="s">
        <v>2097</v>
      </c>
      <c r="C533" s="3" t="s">
        <v>2098</v>
      </c>
      <c r="D533" s="4">
        <v>4301012016</v>
      </c>
      <c r="E533" s="3">
        <v>4680115885554</v>
      </c>
      <c r="F533" s="5" t="s">
        <v>2099</v>
      </c>
      <c r="G533" s="5" t="s">
        <v>2100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4"/>
        <v>86.4</v>
      </c>
    </row>
    <row r="534" spans="1:11" ht="22.5" x14ac:dyDescent="0.25">
      <c r="A534" s="6" t="s">
        <v>2262</v>
      </c>
      <c r="B534" s="3" t="s">
        <v>2097</v>
      </c>
      <c r="C534" s="3" t="s">
        <v>2098</v>
      </c>
      <c r="D534" s="4">
        <v>4301012016</v>
      </c>
      <c r="E534" s="3">
        <v>4680115885554</v>
      </c>
      <c r="F534" s="5" t="s">
        <v>2099</v>
      </c>
      <c r="G534" s="5" t="s">
        <v>2100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2531</v>
      </c>
      <c r="B535" s="3" t="s">
        <v>2097</v>
      </c>
      <c r="C535" s="3" t="s">
        <v>2098</v>
      </c>
      <c r="D535" s="4">
        <v>4301012016</v>
      </c>
      <c r="E535" s="3">
        <v>4680115885554</v>
      </c>
      <c r="F535" s="5" t="s">
        <v>2099</v>
      </c>
      <c r="G535" s="5" t="s">
        <v>2100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6">J535*I535</f>
        <v>86.4</v>
      </c>
    </row>
    <row r="536" spans="1:11" ht="22.5" x14ac:dyDescent="0.25">
      <c r="A536" s="6" t="s">
        <v>2127</v>
      </c>
      <c r="B536" s="3" t="s">
        <v>2097</v>
      </c>
      <c r="C536" s="3" t="s">
        <v>2098</v>
      </c>
      <c r="D536" s="4">
        <v>4301012016</v>
      </c>
      <c r="E536" s="3">
        <v>4680115885554</v>
      </c>
      <c r="F536" s="5" t="s">
        <v>2099</v>
      </c>
      <c r="G536" s="5" t="s">
        <v>2100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4"/>
        <v>86.4</v>
      </c>
    </row>
    <row r="537" spans="1:11" ht="22.5" x14ac:dyDescent="0.25">
      <c r="A537" s="6" t="s">
        <v>1594</v>
      </c>
      <c r="B537" s="3" t="s">
        <v>2097</v>
      </c>
      <c r="C537" s="3" t="s">
        <v>2098</v>
      </c>
      <c r="D537" s="4">
        <v>4301012016</v>
      </c>
      <c r="E537" s="3">
        <v>4680115885554</v>
      </c>
      <c r="F537" s="5" t="s">
        <v>2099</v>
      </c>
      <c r="G537" s="5" t="s">
        <v>2100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4"/>
        <v>86.4</v>
      </c>
    </row>
    <row r="538" spans="1:11" ht="22.5" x14ac:dyDescent="0.25">
      <c r="A538" s="6" t="s">
        <v>1490</v>
      </c>
      <c r="B538" s="3" t="s">
        <v>2097</v>
      </c>
      <c r="C538" s="3" t="s">
        <v>2098</v>
      </c>
      <c r="D538" s="4">
        <v>4301012016</v>
      </c>
      <c r="E538" s="3">
        <v>4680115885554</v>
      </c>
      <c r="F538" s="5" t="s">
        <v>2099</v>
      </c>
      <c r="G538" s="5" t="s">
        <v>2100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4"/>
        <v>86.4</v>
      </c>
    </row>
    <row r="539" spans="1:11" ht="22.5" x14ac:dyDescent="0.25">
      <c r="A539" s="6" t="s">
        <v>2351</v>
      </c>
      <c r="B539" s="3" t="s">
        <v>2097</v>
      </c>
      <c r="C539" s="3" t="s">
        <v>2098</v>
      </c>
      <c r="D539" s="4">
        <v>4301012016</v>
      </c>
      <c r="E539" s="3">
        <v>4680115885554</v>
      </c>
      <c r="F539" s="5" t="s">
        <v>2099</v>
      </c>
      <c r="G539" s="5" t="s">
        <v>2100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ref="K539:K540" si="77">J539*I539</f>
        <v>86.4</v>
      </c>
    </row>
    <row r="540" spans="1:11" ht="22.5" x14ac:dyDescent="0.25">
      <c r="A540" s="6" t="s">
        <v>486</v>
      </c>
      <c r="B540" s="3" t="s">
        <v>2097</v>
      </c>
      <c r="C540" s="3" t="s">
        <v>2098</v>
      </c>
      <c r="D540" s="4">
        <v>4301012016</v>
      </c>
      <c r="E540" s="3">
        <v>4680115885554</v>
      </c>
      <c r="F540" s="5" t="s">
        <v>2099</v>
      </c>
      <c r="G540" s="5" t="s">
        <v>2100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7"/>
        <v>86.4</v>
      </c>
    </row>
    <row r="541" spans="1:11" ht="22.5" x14ac:dyDescent="0.25">
      <c r="A541" s="6" t="s">
        <v>2099</v>
      </c>
      <c r="B541" s="3" t="s">
        <v>2097</v>
      </c>
      <c r="C541" s="3" t="s">
        <v>2098</v>
      </c>
      <c r="D541" s="4">
        <v>4301012016</v>
      </c>
      <c r="E541" s="3">
        <v>4680115885554</v>
      </c>
      <c r="F541" s="5" t="s">
        <v>2099</v>
      </c>
      <c r="G541" s="5"/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4"/>
        <v>86.4</v>
      </c>
    </row>
    <row r="542" spans="1:11" ht="22.5" x14ac:dyDescent="0.25">
      <c r="A542" s="6" t="s">
        <v>2463</v>
      </c>
      <c r="B542" s="3" t="s">
        <v>2097</v>
      </c>
      <c r="C542" s="3" t="s">
        <v>2098</v>
      </c>
      <c r="D542" s="4">
        <v>4301012016</v>
      </c>
      <c r="E542" s="3">
        <v>4680115885554</v>
      </c>
      <c r="F542" s="5" t="s">
        <v>2099</v>
      </c>
      <c r="G542" s="5"/>
      <c r="H542" s="1"/>
      <c r="I542" s="20"/>
      <c r="J542" s="1"/>
      <c r="K542" s="20"/>
    </row>
    <row r="543" spans="1:11" ht="22.5" x14ac:dyDescent="0.25">
      <c r="A543" s="6" t="s">
        <v>2381</v>
      </c>
      <c r="B543" s="3" t="s">
        <v>2097</v>
      </c>
      <c r="C543" s="3" t="s">
        <v>2098</v>
      </c>
      <c r="D543" s="4">
        <v>4301012016</v>
      </c>
      <c r="E543" s="3">
        <v>4680115885554</v>
      </c>
      <c r="F543" s="5" t="s">
        <v>2099</v>
      </c>
      <c r="G543" s="5"/>
      <c r="H543" s="1" t="e">
        <f>VLOOKUP(E543,[1]Лист1!$D:$M,10,0)</f>
        <v>#N/A</v>
      </c>
      <c r="I543" s="20">
        <f>VLOOKUP(B543,'[2]Бланк заказа'!$A:$Y,8,0)</f>
        <v>10.8</v>
      </c>
      <c r="J543" s="1">
        <f>VLOOKUP(B543,'[2]Бланк заказа'!$A:$Y,11,0)*1</f>
        <v>8</v>
      </c>
      <c r="K543" s="20">
        <f t="shared" ref="K543" si="78">J543*I543</f>
        <v>86.4</v>
      </c>
    </row>
    <row r="544" spans="1:11" ht="22.5" x14ac:dyDescent="0.25">
      <c r="A544" s="6" t="s">
        <v>2378</v>
      </c>
      <c r="B544" s="3" t="s">
        <v>2190</v>
      </c>
      <c r="C544" s="3" t="s">
        <v>2191</v>
      </c>
      <c r="D544" s="4">
        <v>4301011859</v>
      </c>
      <c r="E544" s="3">
        <v>4680115885608</v>
      </c>
      <c r="F544" s="5" t="s">
        <v>2192</v>
      </c>
      <c r="G544" s="16" t="s">
        <v>1363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ref="K544:K545" si="79">J544*I544</f>
        <v>48</v>
      </c>
    </row>
    <row r="545" spans="1:11" ht="22.5" x14ac:dyDescent="0.25">
      <c r="A545" s="6" t="s">
        <v>1632</v>
      </c>
      <c r="B545" s="3" t="s">
        <v>2190</v>
      </c>
      <c r="C545" s="3" t="s">
        <v>2191</v>
      </c>
      <c r="D545" s="4">
        <v>4301011859</v>
      </c>
      <c r="E545" s="3">
        <v>4680115885608</v>
      </c>
      <c r="F545" s="5" t="s">
        <v>2192</v>
      </c>
      <c r="G545" s="16" t="s">
        <v>1363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si="79"/>
        <v>48</v>
      </c>
    </row>
    <row r="546" spans="1:11" ht="22.5" x14ac:dyDescent="0.25">
      <c r="A546" s="6" t="s">
        <v>2462</v>
      </c>
      <c r="B546" s="3" t="s">
        <v>2190</v>
      </c>
      <c r="C546" s="3" t="s">
        <v>2191</v>
      </c>
      <c r="D546" s="4">
        <v>4301011859</v>
      </c>
      <c r="E546" s="3">
        <v>4680115885608</v>
      </c>
      <c r="F546" s="5" t="s">
        <v>2192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2492</v>
      </c>
      <c r="B547" s="3" t="s">
        <v>2190</v>
      </c>
      <c r="C547" s="3" t="s">
        <v>2191</v>
      </c>
      <c r="D547" s="4">
        <v>4301011859</v>
      </c>
      <c r="E547" s="3">
        <v>4680115885608</v>
      </c>
      <c r="F547" s="5" t="s">
        <v>2192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2383</v>
      </c>
      <c r="B548" s="3" t="s">
        <v>2190</v>
      </c>
      <c r="C548" s="3" t="s">
        <v>2191</v>
      </c>
      <c r="D548" s="4">
        <v>4301011859</v>
      </c>
      <c r="E548" s="3">
        <v>4680115885608</v>
      </c>
      <c r="F548" s="5" t="s">
        <v>2192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2">J548*I548</f>
        <v>48</v>
      </c>
    </row>
    <row r="549" spans="1:11" ht="22.5" x14ac:dyDescent="0.25">
      <c r="A549" s="6" t="s">
        <v>872</v>
      </c>
      <c r="B549" s="3" t="s">
        <v>149</v>
      </c>
      <c r="C549" s="3" t="s">
        <v>150</v>
      </c>
      <c r="D549" s="4">
        <v>4301011337</v>
      </c>
      <c r="E549" s="3">
        <v>4607091386011</v>
      </c>
      <c r="F549" s="5" t="s">
        <v>165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506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728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800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 t="s">
        <v>2556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1662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2556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915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2556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165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1755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491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x14ac:dyDescent="0.25">
      <c r="A558" s="6" t="s">
        <v>740</v>
      </c>
      <c r="B558" s="3" t="s">
        <v>113</v>
      </c>
      <c r="C558" s="3" t="s">
        <v>1864</v>
      </c>
      <c r="D558" s="4">
        <v>4301051653</v>
      </c>
      <c r="E558" s="3">
        <v>4607091386264</v>
      </c>
      <c r="F558" s="5" t="s">
        <v>1865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4"/>
        <v>36</v>
      </c>
    </row>
    <row r="559" spans="1:11" x14ac:dyDescent="0.25">
      <c r="A559" s="6" t="s">
        <v>121</v>
      </c>
      <c r="B559" s="3" t="s">
        <v>113</v>
      </c>
      <c r="C559" s="3" t="s">
        <v>1864</v>
      </c>
      <c r="D559" s="4">
        <v>4301051653</v>
      </c>
      <c r="E559" s="3">
        <v>4607091386264</v>
      </c>
      <c r="F559" s="5" t="s">
        <v>1865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4"/>
        <v>36</v>
      </c>
    </row>
    <row r="560" spans="1:11" x14ac:dyDescent="0.25">
      <c r="A560" s="6" t="s">
        <v>932</v>
      </c>
      <c r="B560" s="3" t="s">
        <v>113</v>
      </c>
      <c r="C560" s="3" t="s">
        <v>1864</v>
      </c>
      <c r="D560" s="4">
        <v>4301051653</v>
      </c>
      <c r="E560" s="3">
        <v>4607091386264</v>
      </c>
      <c r="F560" s="5" t="s">
        <v>1865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4"/>
        <v>36</v>
      </c>
    </row>
    <row r="561" spans="1:11" x14ac:dyDescent="0.25">
      <c r="A561" s="6" t="s">
        <v>883</v>
      </c>
      <c r="B561" s="3" t="s">
        <v>113</v>
      </c>
      <c r="C561" s="3" t="s">
        <v>1864</v>
      </c>
      <c r="D561" s="4">
        <v>4301051653</v>
      </c>
      <c r="E561" s="3">
        <v>4607091386264</v>
      </c>
      <c r="F561" s="5" t="s">
        <v>1865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4"/>
        <v>36</v>
      </c>
    </row>
    <row r="562" spans="1:11" x14ac:dyDescent="0.25">
      <c r="A562" s="6" t="s">
        <v>442</v>
      </c>
      <c r="B562" s="3" t="s">
        <v>113</v>
      </c>
      <c r="C562" s="3" t="s">
        <v>1864</v>
      </c>
      <c r="D562" s="4">
        <v>4301051653</v>
      </c>
      <c r="E562" s="3">
        <v>4607091386264</v>
      </c>
      <c r="F562" s="5" t="s">
        <v>1865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4"/>
        <v>36</v>
      </c>
    </row>
    <row r="563" spans="1:11" ht="22.5" x14ac:dyDescent="0.25">
      <c r="A563" s="6" t="s">
        <v>888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4"/>
        <v>50.4</v>
      </c>
    </row>
    <row r="564" spans="1:11" ht="22.5" x14ac:dyDescent="0.25">
      <c r="A564" s="6" t="s">
        <v>863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4"/>
        <v>50.4</v>
      </c>
    </row>
    <row r="565" spans="1:11" ht="22.5" x14ac:dyDescent="0.25">
      <c r="A565" s="6" t="s">
        <v>109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4"/>
        <v>50.4</v>
      </c>
    </row>
    <row r="566" spans="1:11" ht="22.5" x14ac:dyDescent="0.25">
      <c r="A566" s="6" t="s">
        <v>1100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4"/>
        <v>50.4</v>
      </c>
    </row>
    <row r="567" spans="1:11" ht="22.5" x14ac:dyDescent="0.25">
      <c r="A567" s="6" t="s">
        <v>719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4"/>
        <v>50.4</v>
      </c>
    </row>
    <row r="568" spans="1:11" ht="22.5" x14ac:dyDescent="0.25">
      <c r="A568" s="6" t="s">
        <v>1158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4"/>
        <v>#N/A</v>
      </c>
    </row>
    <row r="569" spans="1:11" ht="22.5" x14ac:dyDescent="0.25">
      <c r="A569" s="6" t="s">
        <v>856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4"/>
        <v>#N/A</v>
      </c>
    </row>
    <row r="570" spans="1:11" ht="22.5" x14ac:dyDescent="0.25">
      <c r="A570" s="6" t="s">
        <v>1380</v>
      </c>
      <c r="B570" s="3" t="s">
        <v>112</v>
      </c>
      <c r="C570" s="3" t="s">
        <v>2672</v>
      </c>
      <c r="D570" s="4">
        <v>4301051712</v>
      </c>
      <c r="E570" s="3">
        <v>4607091386967</v>
      </c>
      <c r="F570" s="5" t="s">
        <v>2673</v>
      </c>
      <c r="G570" s="16" t="s">
        <v>1381</v>
      </c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4"/>
        <v>64.8</v>
      </c>
    </row>
    <row r="571" spans="1:11" ht="22.5" x14ac:dyDescent="0.25">
      <c r="A571" s="6" t="s">
        <v>580</v>
      </c>
      <c r="B571" s="3" t="s">
        <v>112</v>
      </c>
      <c r="C571" s="3" t="s">
        <v>2672</v>
      </c>
      <c r="D571" s="4">
        <v>4301051712</v>
      </c>
      <c r="E571" s="3">
        <v>4607091386967</v>
      </c>
      <c r="F571" s="5" t="s">
        <v>2673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4"/>
        <v>64.8</v>
      </c>
    </row>
    <row r="572" spans="1:11" ht="22.5" x14ac:dyDescent="0.25">
      <c r="A572" s="6" t="s">
        <v>629</v>
      </c>
      <c r="B572" s="3" t="s">
        <v>112</v>
      </c>
      <c r="C572" s="3" t="s">
        <v>2672</v>
      </c>
      <c r="D572" s="4">
        <v>4301051712</v>
      </c>
      <c r="E572" s="3">
        <v>4607091386967</v>
      </c>
      <c r="F572" s="5" t="s">
        <v>2673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4"/>
        <v>64.8</v>
      </c>
    </row>
    <row r="573" spans="1:11" ht="22.5" x14ac:dyDescent="0.25">
      <c r="A573" s="6" t="s">
        <v>1365</v>
      </c>
      <c r="B573" s="3" t="s">
        <v>112</v>
      </c>
      <c r="C573" s="3" t="s">
        <v>2672</v>
      </c>
      <c r="D573" s="4">
        <v>4301051712</v>
      </c>
      <c r="E573" s="3">
        <v>4607091386967</v>
      </c>
      <c r="F573" s="5" t="s">
        <v>2673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ref="K573:K649" si="83">J573*I573</f>
        <v>64.8</v>
      </c>
    </row>
    <row r="574" spans="1:11" ht="22.5" x14ac:dyDescent="0.25">
      <c r="A574" s="6" t="s">
        <v>823</v>
      </c>
      <c r="B574" s="3" t="s">
        <v>112</v>
      </c>
      <c r="C574" s="3" t="s">
        <v>2672</v>
      </c>
      <c r="D574" s="4">
        <v>4301051712</v>
      </c>
      <c r="E574" s="3">
        <v>4607091386967</v>
      </c>
      <c r="F574" s="5" t="s">
        <v>2673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3"/>
        <v>64.8</v>
      </c>
    </row>
    <row r="575" spans="1:11" ht="22.5" x14ac:dyDescent="0.25">
      <c r="A575" s="6" t="s">
        <v>1188</v>
      </c>
      <c r="B575" s="3" t="s">
        <v>112</v>
      </c>
      <c r="C575" s="3" t="s">
        <v>2672</v>
      </c>
      <c r="D575" s="4">
        <v>4301051712</v>
      </c>
      <c r="E575" s="3">
        <v>4607091386967</v>
      </c>
      <c r="F575" s="5" t="s">
        <v>2673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3"/>
        <v>64.8</v>
      </c>
    </row>
    <row r="576" spans="1:11" ht="22.5" x14ac:dyDescent="0.25">
      <c r="A576" s="6" t="s">
        <v>1301</v>
      </c>
      <c r="B576" s="3" t="s">
        <v>112</v>
      </c>
      <c r="C576" s="3" t="s">
        <v>2672</v>
      </c>
      <c r="D576" s="4">
        <v>4301051712</v>
      </c>
      <c r="E576" s="3">
        <v>4607091386967</v>
      </c>
      <c r="F576" s="5" t="s">
        <v>2673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3"/>
        <v>64.8</v>
      </c>
    </row>
    <row r="577" spans="1:11" ht="22.5" x14ac:dyDescent="0.25">
      <c r="A577" s="6" t="s">
        <v>601</v>
      </c>
      <c r="B577" s="3" t="s">
        <v>112</v>
      </c>
      <c r="C577" s="3" t="s">
        <v>2672</v>
      </c>
      <c r="D577" s="4">
        <v>4301051712</v>
      </c>
      <c r="E577" s="3">
        <v>4607091386967</v>
      </c>
      <c r="F577" s="5" t="s">
        <v>2673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3"/>
        <v>64.8</v>
      </c>
    </row>
    <row r="578" spans="1:11" ht="22.5" x14ac:dyDescent="0.25">
      <c r="A578" s="6" t="s">
        <v>1994</v>
      </c>
      <c r="B578" s="3" t="s">
        <v>112</v>
      </c>
      <c r="C578" s="3" t="s">
        <v>2672</v>
      </c>
      <c r="D578" s="4">
        <v>4301051712</v>
      </c>
      <c r="E578" s="3">
        <v>4607091386967</v>
      </c>
      <c r="F578" s="5" t="s">
        <v>2673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3"/>
        <v>64.8</v>
      </c>
    </row>
    <row r="579" spans="1:11" ht="22.5" x14ac:dyDescent="0.25">
      <c r="A579" s="6" t="s">
        <v>1229</v>
      </c>
      <c r="B579" s="3" t="s">
        <v>178</v>
      </c>
      <c r="C579" s="3" t="s">
        <v>179</v>
      </c>
      <c r="D579" s="4">
        <v>4301030878</v>
      </c>
      <c r="E579" s="3">
        <v>4607091387193</v>
      </c>
      <c r="F579" s="5" t="s">
        <v>201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3"/>
        <v>50.400000000000006</v>
      </c>
    </row>
    <row r="580" spans="1:11" ht="22.5" x14ac:dyDescent="0.25">
      <c r="A580" s="6" t="s">
        <v>508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3"/>
        <v>50.400000000000006</v>
      </c>
    </row>
    <row r="581" spans="1:11" ht="22.5" x14ac:dyDescent="0.25">
      <c r="A581" s="6" t="s">
        <v>201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3"/>
        <v>50.400000000000006</v>
      </c>
    </row>
    <row r="582" spans="1:11" ht="22.5" x14ac:dyDescent="0.25">
      <c r="A582" s="6" t="s">
        <v>818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3"/>
        <v>50.400000000000006</v>
      </c>
    </row>
    <row r="583" spans="1:11" ht="22.5" x14ac:dyDescent="0.25">
      <c r="A583" s="6" t="s">
        <v>1333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3"/>
        <v>50.400000000000006</v>
      </c>
    </row>
    <row r="584" spans="1:11" ht="22.5" x14ac:dyDescent="0.25">
      <c r="A584" s="6" t="s">
        <v>1159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3"/>
        <v>50.400000000000006</v>
      </c>
    </row>
    <row r="585" spans="1:11" ht="22.5" x14ac:dyDescent="0.25">
      <c r="A585" s="6" t="s">
        <v>2326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2510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5">J586*I586</f>
        <v>50.400000000000006</v>
      </c>
    </row>
    <row r="587" spans="1:11" ht="22.5" x14ac:dyDescent="0.25">
      <c r="A587" s="6" t="s">
        <v>1531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3"/>
        <v>50.400000000000006</v>
      </c>
    </row>
    <row r="588" spans="1:11" ht="22.5" x14ac:dyDescent="0.25">
      <c r="A588" s="6" t="s">
        <v>1852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3"/>
        <v>50.400000000000006</v>
      </c>
    </row>
    <row r="589" spans="1:11" ht="22.5" x14ac:dyDescent="0.25">
      <c r="A589" s="6" t="s">
        <v>1467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3"/>
        <v>50.400000000000006</v>
      </c>
    </row>
    <row r="590" spans="1:11" ht="22.5" x14ac:dyDescent="0.25">
      <c r="A590" s="6" t="s">
        <v>747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3"/>
        <v>50.400000000000006</v>
      </c>
    </row>
    <row r="591" spans="1:11" ht="22.5" x14ac:dyDescent="0.25">
      <c r="A591" s="6" t="s">
        <v>444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3"/>
        <v>50.400000000000006</v>
      </c>
    </row>
    <row r="592" spans="1:11" ht="22.5" x14ac:dyDescent="0.25">
      <c r="A592" s="6" t="s">
        <v>509</v>
      </c>
      <c r="B592" s="3" t="s">
        <v>180</v>
      </c>
      <c r="C592" s="3" t="s">
        <v>181</v>
      </c>
      <c r="D592" s="4">
        <v>4301031153</v>
      </c>
      <c r="E592" s="3">
        <v>4607091387230</v>
      </c>
      <c r="F592" s="5" t="s">
        <v>202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3"/>
        <v>50.400000000000006</v>
      </c>
    </row>
    <row r="593" spans="1:11" ht="22.5" x14ac:dyDescent="0.25">
      <c r="A593" s="6" t="s">
        <v>605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3"/>
        <v>50.400000000000006</v>
      </c>
    </row>
    <row r="594" spans="1:11" ht="22.5" x14ac:dyDescent="0.25">
      <c r="A594" s="6" t="s">
        <v>2336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ref="K594" si="86">J594*I594</f>
        <v>50.400000000000006</v>
      </c>
    </row>
    <row r="595" spans="1:11" ht="22.5" x14ac:dyDescent="0.25">
      <c r="A595" s="6" t="s">
        <v>482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3"/>
        <v>50.400000000000006</v>
      </c>
    </row>
    <row r="596" spans="1:11" ht="22.5" x14ac:dyDescent="0.25">
      <c r="A596" s="6" t="s">
        <v>202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3"/>
        <v>50.400000000000006</v>
      </c>
    </row>
    <row r="597" spans="1:11" ht="22.5" x14ac:dyDescent="0.25">
      <c r="A597" s="6" t="s">
        <v>779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3"/>
        <v>50.400000000000006</v>
      </c>
    </row>
    <row r="598" spans="1:11" ht="22.5" x14ac:dyDescent="0.25">
      <c r="A598" s="6" t="s">
        <v>1470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3"/>
        <v>50.400000000000006</v>
      </c>
    </row>
    <row r="599" spans="1:11" ht="22.5" x14ac:dyDescent="0.25">
      <c r="A599" s="6" t="s">
        <v>1066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3"/>
        <v>50.400000000000006</v>
      </c>
    </row>
    <row r="600" spans="1:11" ht="22.5" x14ac:dyDescent="0.25">
      <c r="A600" s="6" t="s">
        <v>2264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ref="K600" si="87">J600*I600</f>
        <v>50.400000000000006</v>
      </c>
    </row>
    <row r="601" spans="1:11" ht="22.5" x14ac:dyDescent="0.25">
      <c r="A601" s="6" t="s">
        <v>819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3"/>
        <v>50.400000000000006</v>
      </c>
    </row>
    <row r="602" spans="1:11" ht="22.5" x14ac:dyDescent="0.25">
      <c r="A602" s="6" t="s">
        <v>1853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3"/>
        <v>50.400000000000006</v>
      </c>
    </row>
    <row r="603" spans="1:11" ht="22.5" x14ac:dyDescent="0.25">
      <c r="A603" s="6" t="s">
        <v>959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3"/>
        <v>50.400000000000006</v>
      </c>
    </row>
    <row r="604" spans="1:11" ht="22.5" x14ac:dyDescent="0.25">
      <c r="A604" s="6" t="s">
        <v>1033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3"/>
        <v>50.400000000000006</v>
      </c>
    </row>
    <row r="605" spans="1:11" ht="22.5" x14ac:dyDescent="0.25">
      <c r="A605" s="6" t="s">
        <v>1202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3"/>
        <v>50.400000000000006</v>
      </c>
    </row>
    <row r="606" spans="1:11" ht="22.5" x14ac:dyDescent="0.25">
      <c r="A606" s="6" t="s">
        <v>2202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ref="K606" si="88">J606*I606</f>
        <v>50.400000000000006</v>
      </c>
    </row>
    <row r="607" spans="1:11" ht="22.5" x14ac:dyDescent="0.25">
      <c r="A607" s="6" t="s">
        <v>487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3"/>
        <v>50.400000000000006</v>
      </c>
    </row>
    <row r="608" spans="1:11" ht="22.5" x14ac:dyDescent="0.25">
      <c r="A608" s="6" t="s">
        <v>1883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3"/>
        <v>50.400000000000006</v>
      </c>
    </row>
    <row r="609" spans="1:11" ht="22.5" x14ac:dyDescent="0.25">
      <c r="A609" s="6" t="s">
        <v>631</v>
      </c>
      <c r="B609" s="3" t="s">
        <v>188</v>
      </c>
      <c r="C609" s="3" t="s">
        <v>189</v>
      </c>
      <c r="D609" s="4">
        <v>4301031152</v>
      </c>
      <c r="E609" s="3">
        <v>4607091387285</v>
      </c>
      <c r="F609" s="5" t="s">
        <v>206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3"/>
        <v>37.800000000000004</v>
      </c>
    </row>
    <row r="610" spans="1:11" ht="22.5" x14ac:dyDescent="0.25">
      <c r="A610" s="6" t="s">
        <v>206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3"/>
        <v>37.800000000000004</v>
      </c>
    </row>
    <row r="611" spans="1:11" ht="22.5" x14ac:dyDescent="0.25">
      <c r="A611" s="6" t="s">
        <v>778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3"/>
        <v>37.800000000000004</v>
      </c>
    </row>
    <row r="612" spans="1:11" ht="22.5" x14ac:dyDescent="0.25">
      <c r="A612" s="6" t="s">
        <v>964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3"/>
        <v>37.800000000000004</v>
      </c>
    </row>
    <row r="613" spans="1:11" ht="22.5" x14ac:dyDescent="0.25">
      <c r="A613" s="6" t="s">
        <v>1138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3"/>
        <v>37.800000000000004</v>
      </c>
    </row>
    <row r="614" spans="1:11" ht="22.5" x14ac:dyDescent="0.25">
      <c r="A614" s="6" t="s">
        <v>1803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3"/>
        <v>37.800000000000004</v>
      </c>
    </row>
    <row r="615" spans="1:11" ht="22.5" x14ac:dyDescent="0.25">
      <c r="A615" s="6" t="s">
        <v>806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3"/>
        <v>37.800000000000004</v>
      </c>
    </row>
    <row r="616" spans="1:11" ht="22.5" x14ac:dyDescent="0.25">
      <c r="A616" s="6" t="s">
        <v>1176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3"/>
        <v>37.800000000000004</v>
      </c>
    </row>
    <row r="617" spans="1:11" ht="22.5" x14ac:dyDescent="0.25">
      <c r="A617" s="6" t="s">
        <v>1201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3"/>
        <v>37.800000000000004</v>
      </c>
    </row>
    <row r="618" spans="1:11" ht="22.5" x14ac:dyDescent="0.25">
      <c r="A618" s="6" t="s">
        <v>2245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2607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2600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2186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2">J621*I621</f>
        <v>37.800000000000004</v>
      </c>
    </row>
    <row r="622" spans="1:11" ht="22.5" x14ac:dyDescent="0.25">
      <c r="A622" s="6" t="s">
        <v>1438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si="83"/>
        <v>37.800000000000004</v>
      </c>
    </row>
    <row r="623" spans="1:11" ht="22.5" x14ac:dyDescent="0.25">
      <c r="A623" s="6" t="s">
        <v>1888</v>
      </c>
      <c r="B623" s="3" t="s">
        <v>305</v>
      </c>
      <c r="C623" s="3" t="s">
        <v>306</v>
      </c>
      <c r="D623" s="4">
        <v>4301031154</v>
      </c>
      <c r="E623" s="3">
        <v>4607091387292</v>
      </c>
      <c r="F623" s="5" t="s">
        <v>309</v>
      </c>
      <c r="G623" s="16"/>
      <c r="H623" s="1">
        <f>VLOOKUP(E623,[1]Лист1!$D:$M,10,0)</f>
        <v>45</v>
      </c>
      <c r="I623" s="20">
        <f>VLOOKUP(B623,'[2]Бланк заказа'!$A:$Y,8,0)</f>
        <v>4.38</v>
      </c>
      <c r="J623" s="1">
        <f>VLOOKUP(B623,'[2]Бланк заказа'!$A:$Y,11,0)*1</f>
        <v>12</v>
      </c>
      <c r="K623" s="20">
        <f t="shared" si="83"/>
        <v>52.56</v>
      </c>
    </row>
    <row r="624" spans="1:11" ht="22.5" x14ac:dyDescent="0.25">
      <c r="A624" s="6" t="s">
        <v>166</v>
      </c>
      <c r="B624" s="3" t="s">
        <v>151</v>
      </c>
      <c r="C624" s="3" t="s">
        <v>152</v>
      </c>
      <c r="D624" s="4">
        <v>4301011329</v>
      </c>
      <c r="E624" s="3">
        <v>4607091387308</v>
      </c>
      <c r="F624" s="5" t="s">
        <v>166</v>
      </c>
      <c r="G624" s="16"/>
      <c r="H624" s="1">
        <f>VLOOKUP(E624,[1]Лист1!$D:$M,10,0)</f>
        <v>55</v>
      </c>
      <c r="I624" s="20">
        <f>VLOOKUP(B624,'[2]Бланк заказа'!$A:$Y,8,0)</f>
        <v>5</v>
      </c>
      <c r="J624" s="1">
        <f>VLOOKUP(B624,'[2]Бланк заказа'!$A:$Y,11,0)*1</f>
        <v>12</v>
      </c>
      <c r="K624" s="20">
        <f t="shared" si="83"/>
        <v>60</v>
      </c>
    </row>
    <row r="625" spans="1:11" ht="22.5" x14ac:dyDescent="0.25">
      <c r="A625" s="6" t="s">
        <v>1289</v>
      </c>
      <c r="B625" s="3" t="s">
        <v>307</v>
      </c>
      <c r="C625" s="3" t="s">
        <v>308</v>
      </c>
      <c r="D625" s="4">
        <v>4301031155</v>
      </c>
      <c r="E625" s="3">
        <v>4607091387315</v>
      </c>
      <c r="F625" s="5" t="s">
        <v>310</v>
      </c>
      <c r="G625" s="16"/>
      <c r="H625" s="1">
        <f>VLOOKUP(E625,[1]Лист1!$D:$M,10,0)</f>
        <v>45</v>
      </c>
      <c r="I625" s="20" t="e">
        <f>VLOOKUP(B625,'[2]Бланк заказа'!$A:$Y,8,0)</f>
        <v>#N/A</v>
      </c>
      <c r="J625" s="1" t="e">
        <f>VLOOKUP(B625,'[2]Бланк заказа'!$A:$Y,11,0)*1</f>
        <v>#N/A</v>
      </c>
      <c r="K625" s="20" t="e">
        <f t="shared" si="83"/>
        <v>#N/A</v>
      </c>
    </row>
    <row r="626" spans="1:11" ht="22.5" x14ac:dyDescent="0.25">
      <c r="A626" s="6" t="s">
        <v>507</v>
      </c>
      <c r="B626" s="3" t="s">
        <v>2104</v>
      </c>
      <c r="C626" s="3" t="s">
        <v>2105</v>
      </c>
      <c r="D626" s="4">
        <v>4301012024</v>
      </c>
      <c r="E626" s="3">
        <v>4680115885615</v>
      </c>
      <c r="F626" s="5" t="s">
        <v>2106</v>
      </c>
      <c r="G626" s="5" t="s">
        <v>2103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3"/>
        <v>86.4</v>
      </c>
    </row>
    <row r="627" spans="1:11" ht="22.5" x14ac:dyDescent="0.25">
      <c r="A627" s="6" t="s">
        <v>1268</v>
      </c>
      <c r="B627" s="3" t="s">
        <v>2104</v>
      </c>
      <c r="C627" s="3" t="s">
        <v>2105</v>
      </c>
      <c r="D627" s="4">
        <v>4301012024</v>
      </c>
      <c r="E627" s="3">
        <v>4680115885615</v>
      </c>
      <c r="F627" s="5" t="s">
        <v>2106</v>
      </c>
      <c r="G627" s="5" t="s">
        <v>2103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3"/>
        <v>86.4</v>
      </c>
    </row>
    <row r="628" spans="1:11" ht="22.5" x14ac:dyDescent="0.25">
      <c r="A628" s="6" t="s">
        <v>1758</v>
      </c>
      <c r="B628" s="3" t="s">
        <v>2104</v>
      </c>
      <c r="C628" s="3" t="s">
        <v>2105</v>
      </c>
      <c r="D628" s="4">
        <v>4301012024</v>
      </c>
      <c r="E628" s="3">
        <v>4680115885615</v>
      </c>
      <c r="F628" s="5" t="s">
        <v>2106</v>
      </c>
      <c r="G628" s="5" t="s">
        <v>2103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3"/>
        <v>86.4</v>
      </c>
    </row>
    <row r="629" spans="1:11" ht="22.5" x14ac:dyDescent="0.25">
      <c r="A629" s="6" t="s">
        <v>496</v>
      </c>
      <c r="B629" s="3" t="s">
        <v>2104</v>
      </c>
      <c r="C629" s="3" t="s">
        <v>2105</v>
      </c>
      <c r="D629" s="4">
        <v>4301012024</v>
      </c>
      <c r="E629" s="3">
        <v>4680115885615</v>
      </c>
      <c r="F629" s="5" t="s">
        <v>2106</v>
      </c>
      <c r="G629" s="5" t="s">
        <v>2103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3"/>
        <v>86.4</v>
      </c>
    </row>
    <row r="630" spans="1:11" ht="22.5" x14ac:dyDescent="0.25">
      <c r="A630" s="6" t="s">
        <v>527</v>
      </c>
      <c r="B630" s="3" t="s">
        <v>2104</v>
      </c>
      <c r="C630" s="3" t="s">
        <v>2105</v>
      </c>
      <c r="D630" s="4">
        <v>4301012024</v>
      </c>
      <c r="E630" s="3">
        <v>4680115885615</v>
      </c>
      <c r="F630" s="5" t="s">
        <v>2106</v>
      </c>
      <c r="G630" s="5" t="s">
        <v>2103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3"/>
        <v>86.4</v>
      </c>
    </row>
    <row r="631" spans="1:11" ht="22.5" x14ac:dyDescent="0.25">
      <c r="A631" s="6" t="s">
        <v>162</v>
      </c>
      <c r="B631" s="3" t="s">
        <v>2104</v>
      </c>
      <c r="C631" s="3" t="s">
        <v>2105</v>
      </c>
      <c r="D631" s="4">
        <v>4301012024</v>
      </c>
      <c r="E631" s="3">
        <v>4680115885615</v>
      </c>
      <c r="F631" s="5" t="s">
        <v>2106</v>
      </c>
      <c r="G631" s="5" t="s">
        <v>2103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3"/>
        <v>86.4</v>
      </c>
    </row>
    <row r="632" spans="1:11" ht="22.5" x14ac:dyDescent="0.25">
      <c r="A632" s="6" t="s">
        <v>1372</v>
      </c>
      <c r="B632" s="3" t="s">
        <v>2104</v>
      </c>
      <c r="C632" s="3" t="s">
        <v>2105</v>
      </c>
      <c r="D632" s="4">
        <v>4301012024</v>
      </c>
      <c r="E632" s="3">
        <v>4680115885615</v>
      </c>
      <c r="F632" s="5" t="s">
        <v>2106</v>
      </c>
      <c r="G632" s="5" t="s">
        <v>2103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3"/>
        <v>86.4</v>
      </c>
    </row>
    <row r="633" spans="1:11" ht="22.5" x14ac:dyDescent="0.25">
      <c r="A633" s="6" t="s">
        <v>1308</v>
      </c>
      <c r="B633" s="3" t="s">
        <v>2104</v>
      </c>
      <c r="C633" s="3" t="s">
        <v>2105</v>
      </c>
      <c r="D633" s="4">
        <v>4301012024</v>
      </c>
      <c r="E633" s="3">
        <v>4680115885615</v>
      </c>
      <c r="F633" s="5" t="s">
        <v>2106</v>
      </c>
      <c r="G633" s="5" t="s">
        <v>2103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3"/>
        <v>86.4</v>
      </c>
    </row>
    <row r="634" spans="1:11" ht="22.5" x14ac:dyDescent="0.25">
      <c r="A634" s="6" t="s">
        <v>2558</v>
      </c>
      <c r="B634" s="3" t="s">
        <v>2104</v>
      </c>
      <c r="C634" s="3" t="s">
        <v>2105</v>
      </c>
      <c r="D634" s="4">
        <v>4301012024</v>
      </c>
      <c r="E634" s="3">
        <v>4680115885615</v>
      </c>
      <c r="F634" s="5" t="s">
        <v>2106</v>
      </c>
      <c r="G634" s="5" t="s">
        <v>2103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3"/>
        <v>86.4</v>
      </c>
    </row>
    <row r="635" spans="1:11" ht="22.5" x14ac:dyDescent="0.25">
      <c r="A635" s="6" t="s">
        <v>2170</v>
      </c>
      <c r="B635" s="3" t="s">
        <v>2104</v>
      </c>
      <c r="C635" s="3" t="s">
        <v>2105</v>
      </c>
      <c r="D635" s="4">
        <v>4301012024</v>
      </c>
      <c r="E635" s="3">
        <v>4680115885615</v>
      </c>
      <c r="F635" s="5" t="s">
        <v>2106</v>
      </c>
      <c r="G635" s="5" t="s">
        <v>2103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ref="K635:K636" si="93">J635*I635</f>
        <v>86.4</v>
      </c>
    </row>
    <row r="636" spans="1:11" ht="22.5" x14ac:dyDescent="0.25">
      <c r="A636" s="6" t="s">
        <v>2502</v>
      </c>
      <c r="B636" s="3" t="s">
        <v>2104</v>
      </c>
      <c r="C636" s="3" t="s">
        <v>2105</v>
      </c>
      <c r="D636" s="4">
        <v>4301012024</v>
      </c>
      <c r="E636" s="3">
        <v>4680115885615</v>
      </c>
      <c r="F636" s="5" t="s">
        <v>2106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si="93"/>
        <v>86.4</v>
      </c>
    </row>
    <row r="637" spans="1:11" ht="22.5" x14ac:dyDescent="0.25">
      <c r="A637" s="6" t="s">
        <v>2382</v>
      </c>
      <c r="B637" s="3" t="s">
        <v>2104</v>
      </c>
      <c r="C637" s="3" t="s">
        <v>2105</v>
      </c>
      <c r="D637" s="4">
        <v>4301012024</v>
      </c>
      <c r="E637" s="3">
        <v>4680115885615</v>
      </c>
      <c r="F637" s="5" t="s">
        <v>2106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2106</v>
      </c>
      <c r="B638" s="3" t="s">
        <v>2104</v>
      </c>
      <c r="C638" s="3" t="s">
        <v>2105</v>
      </c>
      <c r="D638" s="4">
        <v>4301012024</v>
      </c>
      <c r="E638" s="3">
        <v>4680115885615</v>
      </c>
      <c r="F638" s="5" t="s">
        <v>2106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5">J638*I638</f>
        <v>86.4</v>
      </c>
    </row>
    <row r="639" spans="1:11" ht="22.5" x14ac:dyDescent="0.25">
      <c r="A639" s="6" t="s">
        <v>1711</v>
      </c>
      <c r="B639" s="3" t="s">
        <v>2104</v>
      </c>
      <c r="C639" s="3" t="s">
        <v>2105</v>
      </c>
      <c r="D639" s="4">
        <v>4301012024</v>
      </c>
      <c r="E639" s="3">
        <v>4680115885615</v>
      </c>
      <c r="F639" s="5" t="s">
        <v>2106</v>
      </c>
      <c r="G639" s="5" t="s">
        <v>2103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3"/>
        <v>86.4</v>
      </c>
    </row>
    <row r="640" spans="1:11" ht="22.5" x14ac:dyDescent="0.25">
      <c r="A640" s="6" t="s">
        <v>1104</v>
      </c>
      <c r="B640" s="3" t="s">
        <v>2104</v>
      </c>
      <c r="C640" s="3" t="s">
        <v>2105</v>
      </c>
      <c r="D640" s="4">
        <v>4301012024</v>
      </c>
      <c r="E640" s="3">
        <v>4680115885615</v>
      </c>
      <c r="F640" s="5" t="s">
        <v>2106</v>
      </c>
      <c r="G640" s="5" t="s">
        <v>2103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3"/>
        <v>86.4</v>
      </c>
    </row>
    <row r="641" spans="1:11" ht="22.5" x14ac:dyDescent="0.25">
      <c r="A641" s="6" t="s">
        <v>1908</v>
      </c>
      <c r="B641" s="3" t="s">
        <v>2104</v>
      </c>
      <c r="C641" s="3" t="s">
        <v>2105</v>
      </c>
      <c r="D641" s="4">
        <v>4301012024</v>
      </c>
      <c r="E641" s="3">
        <v>4680115885615</v>
      </c>
      <c r="F641" s="5" t="s">
        <v>2106</v>
      </c>
      <c r="G641" s="5" t="s">
        <v>2103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3"/>
        <v>86.4</v>
      </c>
    </row>
    <row r="642" spans="1:11" ht="22.5" x14ac:dyDescent="0.25">
      <c r="A642" s="6" t="s">
        <v>916</v>
      </c>
      <c r="B642" s="3" t="s">
        <v>2104</v>
      </c>
      <c r="C642" s="3" t="s">
        <v>2105</v>
      </c>
      <c r="D642" s="4">
        <v>4301012024</v>
      </c>
      <c r="E642" s="3">
        <v>4680115885615</v>
      </c>
      <c r="F642" s="5" t="s">
        <v>2106</v>
      </c>
      <c r="G642" s="5" t="s">
        <v>2103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3"/>
        <v>86.4</v>
      </c>
    </row>
    <row r="643" spans="1:11" ht="22.5" x14ac:dyDescent="0.25">
      <c r="A643" s="6" t="s">
        <v>1620</v>
      </c>
      <c r="B643" s="3" t="s">
        <v>2104</v>
      </c>
      <c r="C643" s="3" t="s">
        <v>2105</v>
      </c>
      <c r="D643" s="4">
        <v>4301012024</v>
      </c>
      <c r="E643" s="3">
        <v>4680115885615</v>
      </c>
      <c r="F643" s="5" t="s">
        <v>2106</v>
      </c>
      <c r="G643" s="5" t="s">
        <v>2103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3"/>
        <v>86.4</v>
      </c>
    </row>
    <row r="644" spans="1:11" ht="22.5" x14ac:dyDescent="0.25">
      <c r="A644" s="6" t="s">
        <v>807</v>
      </c>
      <c r="B644" s="3" t="s">
        <v>2104</v>
      </c>
      <c r="C644" s="3" t="s">
        <v>2105</v>
      </c>
      <c r="D644" s="4">
        <v>4301012024</v>
      </c>
      <c r="E644" s="3">
        <v>4680115885615</v>
      </c>
      <c r="F644" s="5" t="s">
        <v>2106</v>
      </c>
      <c r="G644" s="5" t="s">
        <v>2103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3"/>
        <v>86.4</v>
      </c>
    </row>
    <row r="645" spans="1:11" ht="22.5" x14ac:dyDescent="0.25">
      <c r="A645" s="6" t="s">
        <v>917</v>
      </c>
      <c r="B645" s="3" t="s">
        <v>153</v>
      </c>
      <c r="C645" s="3" t="s">
        <v>154</v>
      </c>
      <c r="D645" s="4">
        <v>4301011049</v>
      </c>
      <c r="E645" s="3">
        <v>4607091387339</v>
      </c>
      <c r="F645" s="5" t="s">
        <v>167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3"/>
        <v>60</v>
      </c>
    </row>
    <row r="646" spans="1:11" ht="22.5" x14ac:dyDescent="0.25">
      <c r="A646" s="6" t="s">
        <v>934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3"/>
        <v>60</v>
      </c>
    </row>
    <row r="647" spans="1:11" ht="22.5" x14ac:dyDescent="0.25">
      <c r="A647" s="6" t="s">
        <v>1116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3"/>
        <v>60</v>
      </c>
    </row>
    <row r="648" spans="1:11" ht="22.5" x14ac:dyDescent="0.25">
      <c r="A648" s="6" t="s">
        <v>167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3"/>
        <v>60</v>
      </c>
    </row>
    <row r="649" spans="1:11" ht="22.5" x14ac:dyDescent="0.25">
      <c r="A649" s="6" t="s">
        <v>1073</v>
      </c>
      <c r="B649" s="3" t="s">
        <v>157</v>
      </c>
      <c r="C649" s="3" t="s">
        <v>158</v>
      </c>
      <c r="D649" s="4">
        <v>4301010944</v>
      </c>
      <c r="E649" s="3">
        <v>4607091387346</v>
      </c>
      <c r="F649" s="5" t="s">
        <v>169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si="83"/>
        <v>48</v>
      </c>
    </row>
    <row r="650" spans="1:11" ht="22.5" x14ac:dyDescent="0.25">
      <c r="A650" s="6" t="s">
        <v>2187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" si="96">J650*I650</f>
        <v>48</v>
      </c>
    </row>
    <row r="651" spans="1:11" ht="22.5" x14ac:dyDescent="0.25">
      <c r="A651" s="6" t="s">
        <v>2067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:K715" si="97">J651*I651</f>
        <v>48</v>
      </c>
    </row>
    <row r="652" spans="1:11" ht="22.5" x14ac:dyDescent="0.25">
      <c r="A652" s="6" t="s">
        <v>462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si="97"/>
        <v>48</v>
      </c>
    </row>
    <row r="653" spans="1:11" ht="22.5" x14ac:dyDescent="0.25">
      <c r="A653" s="6" t="s">
        <v>1221</v>
      </c>
      <c r="B653" s="3" t="s">
        <v>147</v>
      </c>
      <c r="C653" s="3" t="s">
        <v>148</v>
      </c>
      <c r="D653" s="4">
        <v>4301010945</v>
      </c>
      <c r="E653" s="3">
        <v>4607091387353</v>
      </c>
      <c r="F653" s="5" t="s">
        <v>164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7"/>
        <v>#N/A</v>
      </c>
    </row>
    <row r="654" spans="1:11" ht="22.5" x14ac:dyDescent="0.25">
      <c r="A654" s="6" t="s">
        <v>1880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7"/>
        <v>#N/A</v>
      </c>
    </row>
    <row r="655" spans="1:11" ht="22.5" x14ac:dyDescent="0.25">
      <c r="A655" s="6" t="s">
        <v>830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7"/>
        <v>#N/A</v>
      </c>
    </row>
    <row r="656" spans="1:11" ht="22.5" x14ac:dyDescent="0.25">
      <c r="A656" s="6" t="s">
        <v>1713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7"/>
        <v>#N/A</v>
      </c>
    </row>
    <row r="657" spans="1:11" ht="22.5" x14ac:dyDescent="0.25">
      <c r="A657" s="6" t="s">
        <v>1815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7"/>
        <v>#N/A</v>
      </c>
    </row>
    <row r="658" spans="1:11" ht="22.5" x14ac:dyDescent="0.25">
      <c r="A658" s="6" t="s">
        <v>1915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7"/>
        <v>#N/A</v>
      </c>
    </row>
    <row r="659" spans="1:11" ht="22.5" x14ac:dyDescent="0.25">
      <c r="A659" s="6" t="s">
        <v>1967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7"/>
        <v>#N/A</v>
      </c>
    </row>
    <row r="660" spans="1:11" ht="22.5" x14ac:dyDescent="0.25">
      <c r="A660" s="6" t="s">
        <v>1535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7"/>
        <v>#N/A</v>
      </c>
    </row>
    <row r="661" spans="1:11" ht="22.5" x14ac:dyDescent="0.25">
      <c r="A661" s="6" t="s">
        <v>1601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7"/>
        <v>#N/A</v>
      </c>
    </row>
    <row r="662" spans="1:11" ht="22.5" x14ac:dyDescent="0.25">
      <c r="A662" s="6" t="s">
        <v>493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7"/>
        <v>#N/A</v>
      </c>
    </row>
    <row r="663" spans="1:11" ht="22.5" x14ac:dyDescent="0.25">
      <c r="A663" s="6" t="s">
        <v>163</v>
      </c>
      <c r="B663" s="3" t="s">
        <v>145</v>
      </c>
      <c r="C663" s="3" t="s">
        <v>146</v>
      </c>
      <c r="D663" s="4">
        <v>4301011311</v>
      </c>
      <c r="E663" s="3">
        <v>4607091387377</v>
      </c>
      <c r="F663" s="5" t="s">
        <v>163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7"/>
        <v>#N/A</v>
      </c>
    </row>
    <row r="664" spans="1:11" ht="22.5" x14ac:dyDescent="0.25">
      <c r="A664" s="6" t="s">
        <v>815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7"/>
        <v>#N/A</v>
      </c>
    </row>
    <row r="665" spans="1:11" ht="22.5" x14ac:dyDescent="0.25">
      <c r="A665" s="6" t="s">
        <v>1534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7"/>
        <v>#N/A</v>
      </c>
    </row>
    <row r="666" spans="1:11" ht="22.5" x14ac:dyDescent="0.25">
      <c r="A666" s="6" t="s">
        <v>949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7"/>
        <v>#N/A</v>
      </c>
    </row>
    <row r="667" spans="1:11" ht="22.5" x14ac:dyDescent="0.25">
      <c r="A667" s="6" t="s">
        <v>1185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7"/>
        <v>#N/A</v>
      </c>
    </row>
    <row r="668" spans="1:11" ht="22.5" x14ac:dyDescent="0.25">
      <c r="A668" s="6" t="s">
        <v>1751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7"/>
        <v>#N/A</v>
      </c>
    </row>
    <row r="669" spans="1:11" ht="22.5" x14ac:dyDescent="0.25">
      <c r="A669" s="6" t="s">
        <v>1060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7"/>
        <v>#N/A</v>
      </c>
    </row>
    <row r="670" spans="1:11" ht="22.5" x14ac:dyDescent="0.25">
      <c r="A670" s="6" t="s">
        <v>526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7"/>
        <v>#N/A</v>
      </c>
    </row>
    <row r="671" spans="1:11" ht="22.5" x14ac:dyDescent="0.25">
      <c r="A671" s="6" t="s">
        <v>529</v>
      </c>
      <c r="B671" s="3" t="s">
        <v>292</v>
      </c>
      <c r="C671" s="3" t="s">
        <v>2228</v>
      </c>
      <c r="D671" s="4">
        <v>4301011121</v>
      </c>
      <c r="E671" s="3">
        <v>4607091387421</v>
      </c>
      <c r="F671" s="5" t="s">
        <v>300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7"/>
        <v>86.4</v>
      </c>
    </row>
    <row r="672" spans="1:11" ht="22.5" x14ac:dyDescent="0.25">
      <c r="A672" s="6" t="s">
        <v>300</v>
      </c>
      <c r="B672" s="3" t="s">
        <v>292</v>
      </c>
      <c r="C672" s="3" t="s">
        <v>2228</v>
      </c>
      <c r="D672" s="4">
        <v>4301011121</v>
      </c>
      <c r="E672" s="3">
        <v>4607091387421</v>
      </c>
      <c r="F672" s="5" t="s">
        <v>300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7"/>
        <v>86.4</v>
      </c>
    </row>
    <row r="673" spans="1:11" ht="22.5" x14ac:dyDescent="0.25">
      <c r="A673" s="6" t="s">
        <v>774</v>
      </c>
      <c r="B673" s="3" t="s">
        <v>292</v>
      </c>
      <c r="C673" s="3" t="s">
        <v>2228</v>
      </c>
      <c r="D673" s="4">
        <v>4301011121</v>
      </c>
      <c r="E673" s="3">
        <v>4607091387421</v>
      </c>
      <c r="F673" s="5" t="s">
        <v>300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7"/>
        <v>86.4</v>
      </c>
    </row>
    <row r="674" spans="1:11" ht="22.5" x14ac:dyDescent="0.25">
      <c r="A674" s="6" t="s">
        <v>840</v>
      </c>
      <c r="B674" s="3" t="s">
        <v>292</v>
      </c>
      <c r="C674" s="3" t="s">
        <v>2228</v>
      </c>
      <c r="D674" s="4">
        <v>4301011121</v>
      </c>
      <c r="E674" s="3">
        <v>4607091387421</v>
      </c>
      <c r="F674" s="5" t="s">
        <v>300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7"/>
        <v>86.4</v>
      </c>
    </row>
    <row r="675" spans="1:11" ht="22.5" x14ac:dyDescent="0.25">
      <c r="A675" s="6" t="s">
        <v>962</v>
      </c>
      <c r="B675" s="3" t="s">
        <v>292</v>
      </c>
      <c r="C675" s="3" t="s">
        <v>2228</v>
      </c>
      <c r="D675" s="4">
        <v>4301011121</v>
      </c>
      <c r="E675" s="3">
        <v>4607091387421</v>
      </c>
      <c r="F675" s="5" t="s">
        <v>300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7"/>
        <v>86.4</v>
      </c>
    </row>
    <row r="676" spans="1:11" ht="22.5" x14ac:dyDescent="0.25">
      <c r="A676" s="6" t="s">
        <v>1053</v>
      </c>
      <c r="B676" s="3" t="s">
        <v>292</v>
      </c>
      <c r="C676" s="3" t="s">
        <v>2228</v>
      </c>
      <c r="D676" s="4">
        <v>4301011121</v>
      </c>
      <c r="E676" s="3">
        <v>4607091387421</v>
      </c>
      <c r="F676" s="5" t="s">
        <v>300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7"/>
        <v>86.4</v>
      </c>
    </row>
    <row r="677" spans="1:11" ht="22.5" x14ac:dyDescent="0.25">
      <c r="A677" s="6" t="s">
        <v>1109</v>
      </c>
      <c r="B677" s="3" t="s">
        <v>292</v>
      </c>
      <c r="C677" s="3" t="s">
        <v>2228</v>
      </c>
      <c r="D677" s="4">
        <v>4301011121</v>
      </c>
      <c r="E677" s="3">
        <v>4607091387421</v>
      </c>
      <c r="F677" s="5" t="s">
        <v>300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7"/>
        <v>86.4</v>
      </c>
    </row>
    <row r="678" spans="1:11" ht="22.5" x14ac:dyDescent="0.25">
      <c r="A678" s="6" t="s">
        <v>913</v>
      </c>
      <c r="B678" s="3" t="s">
        <v>292</v>
      </c>
      <c r="C678" s="3" t="s">
        <v>2228</v>
      </c>
      <c r="D678" s="4">
        <v>4301011121</v>
      </c>
      <c r="E678" s="3">
        <v>4607091387421</v>
      </c>
      <c r="F678" s="5" t="s">
        <v>300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7"/>
        <v>86.4</v>
      </c>
    </row>
    <row r="679" spans="1:11" ht="22.5" x14ac:dyDescent="0.25">
      <c r="A679" s="6" t="s">
        <v>1154</v>
      </c>
      <c r="B679" s="3" t="s">
        <v>292</v>
      </c>
      <c r="C679" s="3" t="s">
        <v>2228</v>
      </c>
      <c r="D679" s="4">
        <v>4301011121</v>
      </c>
      <c r="E679" s="3">
        <v>4607091387421</v>
      </c>
      <c r="F679" s="5" t="s">
        <v>300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7"/>
        <v>86.4</v>
      </c>
    </row>
    <row r="680" spans="1:11" ht="22.5" x14ac:dyDescent="0.25">
      <c r="A680" s="6" t="s">
        <v>1492</v>
      </c>
      <c r="B680" s="3" t="s">
        <v>292</v>
      </c>
      <c r="C680" s="3" t="s">
        <v>2228</v>
      </c>
      <c r="D680" s="4">
        <v>4301011121</v>
      </c>
      <c r="E680" s="3">
        <v>4607091387421</v>
      </c>
      <c r="F680" s="5" t="s">
        <v>300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7"/>
        <v>86.4</v>
      </c>
    </row>
    <row r="681" spans="1:11" ht="22.5" x14ac:dyDescent="0.25">
      <c r="A681" s="6" t="s">
        <v>2632</v>
      </c>
      <c r="B681" s="3" t="s">
        <v>292</v>
      </c>
      <c r="C681" s="3" t="s">
        <v>2228</v>
      </c>
      <c r="D681" s="4">
        <v>4301011121</v>
      </c>
      <c r="E681" s="3">
        <v>4607091387421</v>
      </c>
      <c r="F681" s="5" t="s">
        <v>300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ref="K681" si="98">J681*I681</f>
        <v>86.4</v>
      </c>
    </row>
    <row r="682" spans="1:11" ht="22.5" x14ac:dyDescent="0.25">
      <c r="A682" s="6" t="s">
        <v>560</v>
      </c>
      <c r="B682" s="3" t="s">
        <v>292</v>
      </c>
      <c r="C682" s="3" t="s">
        <v>2228</v>
      </c>
      <c r="D682" s="4">
        <v>4301011121</v>
      </c>
      <c r="E682" s="3">
        <v>4607091387421</v>
      </c>
      <c r="F682" s="5" t="s">
        <v>300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7"/>
        <v>86.4</v>
      </c>
    </row>
    <row r="683" spans="1:11" ht="22.5" x14ac:dyDescent="0.25">
      <c r="A683" s="6" t="s">
        <v>1749</v>
      </c>
      <c r="B683" s="3" t="s">
        <v>292</v>
      </c>
      <c r="C683" s="3" t="s">
        <v>2228</v>
      </c>
      <c r="D683" s="4">
        <v>4301011121</v>
      </c>
      <c r="E683" s="3">
        <v>4607091387421</v>
      </c>
      <c r="F683" s="5" t="s">
        <v>300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7"/>
        <v>86.4</v>
      </c>
    </row>
    <row r="684" spans="1:11" ht="22.5" x14ac:dyDescent="0.25">
      <c r="A684" s="6" t="s">
        <v>745</v>
      </c>
      <c r="B684" s="3" t="s">
        <v>292</v>
      </c>
      <c r="C684" s="3" t="s">
        <v>2228</v>
      </c>
      <c r="D684" s="4">
        <v>4301011121</v>
      </c>
      <c r="E684" s="3">
        <v>4607091387421</v>
      </c>
      <c r="F684" s="5" t="s">
        <v>300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7"/>
        <v>86.4</v>
      </c>
    </row>
    <row r="685" spans="1:11" ht="22.5" x14ac:dyDescent="0.25">
      <c r="A685" s="6" t="s">
        <v>478</v>
      </c>
      <c r="B685" s="3" t="s">
        <v>296</v>
      </c>
      <c r="C685" s="3" t="s">
        <v>297</v>
      </c>
      <c r="D685" s="4">
        <v>4301011316</v>
      </c>
      <c r="E685" s="3">
        <v>4607091387438</v>
      </c>
      <c r="F685" s="5" t="s">
        <v>303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7"/>
        <v>60</v>
      </c>
    </row>
    <row r="686" spans="1:11" ht="22.5" x14ac:dyDescent="0.25">
      <c r="A686" s="6" t="s">
        <v>1757</v>
      </c>
      <c r="B686" s="3" t="s">
        <v>296</v>
      </c>
      <c r="C686" s="3" t="s">
        <v>297</v>
      </c>
      <c r="D686" s="4">
        <v>4301011316</v>
      </c>
      <c r="E686" s="3">
        <v>4607091387438</v>
      </c>
      <c r="F686" s="5" t="s">
        <v>303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7"/>
        <v>60</v>
      </c>
    </row>
    <row r="687" spans="1:11" ht="22.5" x14ac:dyDescent="0.25">
      <c r="A687" s="6" t="s">
        <v>592</v>
      </c>
      <c r="B687" s="3" t="s">
        <v>296</v>
      </c>
      <c r="C687" s="3" t="s">
        <v>297</v>
      </c>
      <c r="D687" s="4">
        <v>4301011316</v>
      </c>
      <c r="E687" s="3">
        <v>4607091387438</v>
      </c>
      <c r="F687" s="5" t="s">
        <v>303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7"/>
        <v>60</v>
      </c>
    </row>
    <row r="688" spans="1:11" ht="22.5" x14ac:dyDescent="0.25">
      <c r="A688" s="6" t="s">
        <v>678</v>
      </c>
      <c r="B688" s="3" t="s">
        <v>296</v>
      </c>
      <c r="C688" s="3" t="s">
        <v>297</v>
      </c>
      <c r="D688" s="4">
        <v>4301011316</v>
      </c>
      <c r="E688" s="3">
        <v>4607091387438</v>
      </c>
      <c r="F688" s="5" t="s">
        <v>303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7"/>
        <v>60</v>
      </c>
    </row>
    <row r="689" spans="1:11" ht="22.5" x14ac:dyDescent="0.25">
      <c r="A689" s="6" t="s">
        <v>729</v>
      </c>
      <c r="B689" s="3" t="s">
        <v>296</v>
      </c>
      <c r="C689" s="3" t="s">
        <v>297</v>
      </c>
      <c r="D689" s="4">
        <v>4301011316</v>
      </c>
      <c r="E689" s="3">
        <v>4607091387438</v>
      </c>
      <c r="F689" s="5" t="s">
        <v>303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7"/>
        <v>60</v>
      </c>
    </row>
    <row r="690" spans="1:11" ht="22.5" x14ac:dyDescent="0.25">
      <c r="A690" s="6" t="s">
        <v>303</v>
      </c>
      <c r="B690" s="3" t="s">
        <v>296</v>
      </c>
      <c r="C690" s="3" t="s">
        <v>297</v>
      </c>
      <c r="D690" s="4">
        <v>4301011316</v>
      </c>
      <c r="E690" s="3">
        <v>4607091387438</v>
      </c>
      <c r="F690" s="5" t="s">
        <v>303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7"/>
        <v>60</v>
      </c>
    </row>
    <row r="691" spans="1:11" ht="22.5" x14ac:dyDescent="0.25">
      <c r="A691" s="6" t="s">
        <v>2391</v>
      </c>
      <c r="B691" s="3" t="s">
        <v>296</v>
      </c>
      <c r="C691" s="3" t="s">
        <v>297</v>
      </c>
      <c r="D691" s="4">
        <v>4301011316</v>
      </c>
      <c r="E691" s="3">
        <v>4607091387438</v>
      </c>
      <c r="F691" s="5" t="s">
        <v>303</v>
      </c>
      <c r="G691" s="16" t="s">
        <v>2556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ref="K691:K694" si="99">J691*I691</f>
        <v>60</v>
      </c>
    </row>
    <row r="692" spans="1:11" ht="22.5" x14ac:dyDescent="0.25">
      <c r="A692" s="6" t="s">
        <v>2449</v>
      </c>
      <c r="B692" s="3" t="s">
        <v>296</v>
      </c>
      <c r="C692" s="3" t="s">
        <v>297</v>
      </c>
      <c r="D692" s="4">
        <v>4301011316</v>
      </c>
      <c r="E692" s="3">
        <v>4607091387438</v>
      </c>
      <c r="F692" s="5" t="s">
        <v>303</v>
      </c>
      <c r="G692" s="16" t="s">
        <v>2556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9"/>
        <v>60</v>
      </c>
    </row>
    <row r="693" spans="1:11" ht="22.5" x14ac:dyDescent="0.25">
      <c r="A693" s="6" t="s">
        <v>2490</v>
      </c>
      <c r="B693" s="3" t="s">
        <v>296</v>
      </c>
      <c r="C693" s="3" t="s">
        <v>297</v>
      </c>
      <c r="D693" s="4">
        <v>4301011316</v>
      </c>
      <c r="E693" s="3">
        <v>4607091387438</v>
      </c>
      <c r="F693" s="5" t="s">
        <v>303</v>
      </c>
      <c r="G693" s="16" t="s">
        <v>2556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9"/>
        <v>60</v>
      </c>
    </row>
    <row r="694" spans="1:11" ht="22.5" x14ac:dyDescent="0.25">
      <c r="A694" s="6" t="s">
        <v>2268</v>
      </c>
      <c r="B694" s="3" t="s">
        <v>296</v>
      </c>
      <c r="C694" s="3" t="s">
        <v>297</v>
      </c>
      <c r="D694" s="4">
        <v>4301011316</v>
      </c>
      <c r="E694" s="3">
        <v>4607091387438</v>
      </c>
      <c r="F694" s="5" t="s">
        <v>303</v>
      </c>
      <c r="G694" s="16" t="s">
        <v>2556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9"/>
        <v>60</v>
      </c>
    </row>
    <row r="695" spans="1:11" ht="22.5" x14ac:dyDescent="0.25">
      <c r="A695" s="6" t="s">
        <v>1879</v>
      </c>
      <c r="B695" s="3" t="s">
        <v>296</v>
      </c>
      <c r="C695" s="3" t="s">
        <v>297</v>
      </c>
      <c r="D695" s="4">
        <v>4301011316</v>
      </c>
      <c r="E695" s="3">
        <v>4607091387438</v>
      </c>
      <c r="F695" s="5" t="s">
        <v>303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7"/>
        <v>60</v>
      </c>
    </row>
    <row r="696" spans="1:11" ht="22.5" x14ac:dyDescent="0.25">
      <c r="A696" s="6" t="s">
        <v>1210</v>
      </c>
      <c r="B696" s="3" t="s">
        <v>296</v>
      </c>
      <c r="C696" s="3" t="s">
        <v>297</v>
      </c>
      <c r="D696" s="4">
        <v>4301011316</v>
      </c>
      <c r="E696" s="3">
        <v>4607091387438</v>
      </c>
      <c r="F696" s="5" t="s">
        <v>303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7"/>
        <v>60</v>
      </c>
    </row>
    <row r="697" spans="1:11" ht="22.5" x14ac:dyDescent="0.25">
      <c r="A697" s="6" t="s">
        <v>1714</v>
      </c>
      <c r="B697" s="3" t="s">
        <v>296</v>
      </c>
      <c r="C697" s="3" t="s">
        <v>297</v>
      </c>
      <c r="D697" s="4">
        <v>4301011316</v>
      </c>
      <c r="E697" s="3">
        <v>4607091387438</v>
      </c>
      <c r="F697" s="5" t="s">
        <v>303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7"/>
        <v>60</v>
      </c>
    </row>
    <row r="698" spans="1:11" ht="22.5" x14ac:dyDescent="0.25">
      <c r="A698" s="6" t="s">
        <v>1765</v>
      </c>
      <c r="B698" s="3" t="s">
        <v>296</v>
      </c>
      <c r="C698" s="3" t="s">
        <v>297</v>
      </c>
      <c r="D698" s="4">
        <v>4301011316</v>
      </c>
      <c r="E698" s="3">
        <v>4607091387438</v>
      </c>
      <c r="F698" s="5" t="s">
        <v>303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7"/>
        <v>60</v>
      </c>
    </row>
    <row r="699" spans="1:11" ht="22.5" x14ac:dyDescent="0.25">
      <c r="A699" s="6" t="s">
        <v>1437</v>
      </c>
      <c r="B699" s="3" t="s">
        <v>296</v>
      </c>
      <c r="C699" s="3" t="s">
        <v>297</v>
      </c>
      <c r="D699" s="4">
        <v>4301011316</v>
      </c>
      <c r="E699" s="3">
        <v>4607091387438</v>
      </c>
      <c r="F699" s="5" t="s">
        <v>303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>J699*I699</f>
        <v>60</v>
      </c>
    </row>
    <row r="700" spans="1:11" ht="22.5" x14ac:dyDescent="0.25">
      <c r="A700" s="6" t="s">
        <v>929</v>
      </c>
      <c r="B700" s="3" t="s">
        <v>296</v>
      </c>
      <c r="C700" s="3" t="s">
        <v>297</v>
      </c>
      <c r="D700" s="4">
        <v>4301011316</v>
      </c>
      <c r="E700" s="3">
        <v>4607091387438</v>
      </c>
      <c r="F700" s="5" t="s">
        <v>303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 t="shared" si="97"/>
        <v>60</v>
      </c>
    </row>
    <row r="701" spans="1:11" ht="22.5" x14ac:dyDescent="0.25">
      <c r="A701" s="6" t="s">
        <v>2494</v>
      </c>
      <c r="B701" s="3" t="s">
        <v>2249</v>
      </c>
      <c r="C701" s="3" t="s">
        <v>2250</v>
      </c>
      <c r="D701" s="4">
        <v>4301011851</v>
      </c>
      <c r="E701" s="3">
        <v>4680115885820</v>
      </c>
      <c r="F701" s="5" t="s">
        <v>2251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2501</v>
      </c>
      <c r="B702" s="3" t="s">
        <v>2249</v>
      </c>
      <c r="C702" s="3" t="s">
        <v>2250</v>
      </c>
      <c r="D702" s="4">
        <v>4301011851</v>
      </c>
      <c r="E702" s="3">
        <v>4680115885820</v>
      </c>
      <c r="F702" s="5" t="s">
        <v>2251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2511</v>
      </c>
      <c r="B703" s="3" t="s">
        <v>2249</v>
      </c>
      <c r="C703" s="3" t="s">
        <v>2250</v>
      </c>
      <c r="D703" s="4">
        <v>4301011851</v>
      </c>
      <c r="E703" s="3">
        <v>4680115885820</v>
      </c>
      <c r="F703" s="5" t="s">
        <v>2251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2">J703*I703</f>
        <v>48</v>
      </c>
    </row>
    <row r="704" spans="1:11" ht="22.5" x14ac:dyDescent="0.25">
      <c r="A704" s="6" t="s">
        <v>2110</v>
      </c>
      <c r="B704" s="3" t="s">
        <v>2249</v>
      </c>
      <c r="C704" s="3" t="s">
        <v>2250</v>
      </c>
      <c r="D704" s="4">
        <v>4301011851</v>
      </c>
      <c r="E704" s="3">
        <v>4680115885820</v>
      </c>
      <c r="F704" s="5" t="s">
        <v>2251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si="97"/>
        <v>48</v>
      </c>
    </row>
    <row r="705" spans="1:11" ht="30" x14ac:dyDescent="0.25">
      <c r="A705" s="6" t="s">
        <v>2475</v>
      </c>
      <c r="B705" s="3" t="s">
        <v>2115</v>
      </c>
      <c r="C705" s="3" t="s">
        <v>2116</v>
      </c>
      <c r="D705" s="4">
        <v>4301011876</v>
      </c>
      <c r="E705" s="3">
        <v>4680115885707</v>
      </c>
      <c r="F705" s="5" t="s">
        <v>2117</v>
      </c>
      <c r="G705" s="16" t="s">
        <v>2476</v>
      </c>
      <c r="H705" s="1">
        <v>31</v>
      </c>
      <c r="I705" s="20">
        <f>VLOOKUP(B705,'[2]Бланк заказа'!$A:$Y,8,0)</f>
        <v>9</v>
      </c>
      <c r="J705" s="1">
        <f>VLOOKUP(B705,'[2]Бланк заказа'!$A:$Y,11,0)*1</f>
        <v>8</v>
      </c>
      <c r="K705" s="20">
        <f t="shared" si="97"/>
        <v>72</v>
      </c>
    </row>
    <row r="706" spans="1:11" ht="22.5" x14ac:dyDescent="0.25">
      <c r="A706" s="6" t="s">
        <v>1083</v>
      </c>
      <c r="B706" s="3" t="s">
        <v>293</v>
      </c>
      <c r="C706" s="3" t="s">
        <v>1082</v>
      </c>
      <c r="D706" s="4">
        <v>4301011619</v>
      </c>
      <c r="E706" s="3">
        <v>4607091387452</v>
      </c>
      <c r="F706" s="5" t="s">
        <v>301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7"/>
        <v>#N/A</v>
      </c>
    </row>
    <row r="707" spans="1:11" ht="22.5" x14ac:dyDescent="0.25">
      <c r="A707" s="6" t="s">
        <v>776</v>
      </c>
      <c r="B707" s="3" t="s">
        <v>293</v>
      </c>
      <c r="C707" s="3" t="s">
        <v>1082</v>
      </c>
      <c r="D707" s="4">
        <v>4301011619</v>
      </c>
      <c r="E707" s="3">
        <v>4607091387452</v>
      </c>
      <c r="F707" s="5" t="s">
        <v>301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7"/>
        <v>#N/A</v>
      </c>
    </row>
    <row r="708" spans="1:11" ht="22.5" x14ac:dyDescent="0.25">
      <c r="A708" s="6" t="s">
        <v>936</v>
      </c>
      <c r="B708" s="3" t="s">
        <v>293</v>
      </c>
      <c r="C708" s="3" t="s">
        <v>1082</v>
      </c>
      <c r="D708" s="4">
        <v>4301011619</v>
      </c>
      <c r="E708" s="3">
        <v>4607091387452</v>
      </c>
      <c r="F708" s="5" t="s">
        <v>301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7"/>
        <v>#N/A</v>
      </c>
    </row>
    <row r="709" spans="1:11" ht="22.5" x14ac:dyDescent="0.25">
      <c r="A709" s="6" t="s">
        <v>301</v>
      </c>
      <c r="B709" s="3" t="s">
        <v>293</v>
      </c>
      <c r="C709" s="3" t="s">
        <v>1082</v>
      </c>
      <c r="D709" s="4">
        <v>4301011619</v>
      </c>
      <c r="E709" s="3">
        <v>4607091387452</v>
      </c>
      <c r="F709" s="5" t="s">
        <v>301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7"/>
        <v>#N/A</v>
      </c>
    </row>
    <row r="710" spans="1:11" ht="22.5" x14ac:dyDescent="0.25">
      <c r="A710" s="6" t="s">
        <v>1955</v>
      </c>
      <c r="B710" s="3" t="s">
        <v>293</v>
      </c>
      <c r="C710" s="3" t="s">
        <v>1082</v>
      </c>
      <c r="D710" s="4">
        <v>4301011619</v>
      </c>
      <c r="E710" s="3">
        <v>4607091387452</v>
      </c>
      <c r="F710" s="5" t="s">
        <v>301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7"/>
        <v>#N/A</v>
      </c>
    </row>
    <row r="711" spans="1:11" ht="22.5" x14ac:dyDescent="0.25">
      <c r="A711" s="6" t="s">
        <v>851</v>
      </c>
      <c r="B711" s="3" t="s">
        <v>293</v>
      </c>
      <c r="C711" s="3" t="s">
        <v>1082</v>
      </c>
      <c r="D711" s="4">
        <v>4301011619</v>
      </c>
      <c r="E711" s="3">
        <v>4607091387452</v>
      </c>
      <c r="F711" s="5" t="s">
        <v>301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7"/>
        <v>#N/A</v>
      </c>
    </row>
    <row r="712" spans="1:11" ht="22.5" x14ac:dyDescent="0.25">
      <c r="A712" s="6" t="s">
        <v>1911</v>
      </c>
      <c r="B712" s="3" t="s">
        <v>293</v>
      </c>
      <c r="C712" s="3" t="s">
        <v>1082</v>
      </c>
      <c r="D712" s="4">
        <v>4301011619</v>
      </c>
      <c r="E712" s="3">
        <v>4607091387452</v>
      </c>
      <c r="F712" s="5" t="s">
        <v>301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7"/>
        <v>#N/A</v>
      </c>
    </row>
    <row r="713" spans="1:11" ht="22.5" x14ac:dyDescent="0.25">
      <c r="A713" s="6" t="s">
        <v>1944</v>
      </c>
      <c r="B713" s="3" t="s">
        <v>293</v>
      </c>
      <c r="C713" s="3" t="s">
        <v>1082</v>
      </c>
      <c r="D713" s="4">
        <v>4301011619</v>
      </c>
      <c r="E713" s="3">
        <v>4607091387452</v>
      </c>
      <c r="F713" s="5" t="s">
        <v>301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7"/>
        <v>#N/A</v>
      </c>
    </row>
    <row r="714" spans="1:11" ht="22.5" x14ac:dyDescent="0.25">
      <c r="A714" s="6" t="s">
        <v>918</v>
      </c>
      <c r="B714" s="3" t="s">
        <v>293</v>
      </c>
      <c r="C714" s="3" t="s">
        <v>1082</v>
      </c>
      <c r="D714" s="4">
        <v>4301011619</v>
      </c>
      <c r="E714" s="3">
        <v>4607091387452</v>
      </c>
      <c r="F714" s="5" t="s">
        <v>301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7"/>
        <v>#N/A</v>
      </c>
    </row>
    <row r="715" spans="1:11" ht="22.5" x14ac:dyDescent="0.25">
      <c r="A715" s="6" t="s">
        <v>1232</v>
      </c>
      <c r="B715" s="3" t="s">
        <v>298</v>
      </c>
      <c r="C715" s="3" t="s">
        <v>299</v>
      </c>
      <c r="D715" s="4">
        <v>4301011319</v>
      </c>
      <c r="E715" s="3">
        <v>4607091387469</v>
      </c>
      <c r="F715" s="5" t="s">
        <v>304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7"/>
        <v>#N/A</v>
      </c>
    </row>
    <row r="716" spans="1:11" ht="22.5" x14ac:dyDescent="0.25">
      <c r="A716" s="6" t="s">
        <v>304</v>
      </c>
      <c r="B716" s="3" t="s">
        <v>298</v>
      </c>
      <c r="C716" s="3" t="s">
        <v>299</v>
      </c>
      <c r="D716" s="4">
        <v>4301011319</v>
      </c>
      <c r="E716" s="3">
        <v>4607091387469</v>
      </c>
      <c r="F716" s="5" t="s">
        <v>304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ref="K716:K787" si="103">J716*I716</f>
        <v>#N/A</v>
      </c>
    </row>
    <row r="717" spans="1:11" ht="22.5" x14ac:dyDescent="0.25">
      <c r="A717" s="6" t="s">
        <v>1415</v>
      </c>
      <c r="B717" s="3" t="s">
        <v>298</v>
      </c>
      <c r="C717" s="3" t="s">
        <v>299</v>
      </c>
      <c r="D717" s="4">
        <v>4301011319</v>
      </c>
      <c r="E717" s="3">
        <v>4607091387469</v>
      </c>
      <c r="F717" s="5" t="s">
        <v>304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si="103"/>
        <v>#N/A</v>
      </c>
    </row>
    <row r="718" spans="1:11" ht="90" x14ac:dyDescent="0.25">
      <c r="A718" s="6" t="s">
        <v>2491</v>
      </c>
      <c r="B718" s="3" t="s">
        <v>2194</v>
      </c>
      <c r="C718" s="3" t="s">
        <v>2195</v>
      </c>
      <c r="D718" s="4">
        <v>4301011852</v>
      </c>
      <c r="E718" s="3">
        <v>4680115885844</v>
      </c>
      <c r="F718" s="5" t="s">
        <v>2196</v>
      </c>
      <c r="G718" s="16" t="s">
        <v>2193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ref="K718" si="104">J718*I718</f>
        <v>48</v>
      </c>
    </row>
    <row r="719" spans="1:11" ht="90" x14ac:dyDescent="0.25">
      <c r="A719" s="6" t="s">
        <v>810</v>
      </c>
      <c r="B719" s="3" t="s">
        <v>2194</v>
      </c>
      <c r="C719" s="3" t="s">
        <v>2195</v>
      </c>
      <c r="D719" s="4">
        <v>4301011852</v>
      </c>
      <c r="E719" s="3">
        <v>4680115885844</v>
      </c>
      <c r="F719" s="5" t="s">
        <v>2196</v>
      </c>
      <c r="G719" s="16" t="s">
        <v>2193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si="103"/>
        <v>48</v>
      </c>
    </row>
    <row r="720" spans="1:11" ht="90" x14ac:dyDescent="0.25">
      <c r="A720" s="6" t="s">
        <v>2171</v>
      </c>
      <c r="B720" s="3" t="s">
        <v>2194</v>
      </c>
      <c r="C720" s="3" t="s">
        <v>2195</v>
      </c>
      <c r="D720" s="4">
        <v>4301011852</v>
      </c>
      <c r="E720" s="3">
        <v>4680115885844</v>
      </c>
      <c r="F720" s="5" t="s">
        <v>2196</v>
      </c>
      <c r="G720" s="16" t="s">
        <v>2193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2348</v>
      </c>
      <c r="B721" s="3" t="s">
        <v>2194</v>
      </c>
      <c r="C721" s="3" t="s">
        <v>2195</v>
      </c>
      <c r="D721" s="4">
        <v>4301011852</v>
      </c>
      <c r="E721" s="3">
        <v>4680115885844</v>
      </c>
      <c r="F721" s="5" t="s">
        <v>2196</v>
      </c>
      <c r="G721" s="16"/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6">J721*I721</f>
        <v>48</v>
      </c>
    </row>
    <row r="722" spans="1:11" ht="22.5" x14ac:dyDescent="0.25">
      <c r="A722" s="6" t="s">
        <v>538</v>
      </c>
      <c r="B722" s="3" t="s">
        <v>298</v>
      </c>
      <c r="C722" s="3" t="s">
        <v>299</v>
      </c>
      <c r="D722" s="4">
        <v>4301011319</v>
      </c>
      <c r="E722" s="3">
        <v>4607091387469</v>
      </c>
      <c r="F722" s="5" t="s">
        <v>304</v>
      </c>
      <c r="G722" s="16"/>
      <c r="H722" s="1">
        <f>VLOOKUP(E722,[1]Лист1!$D:$M,10,0)</f>
        <v>55</v>
      </c>
      <c r="I722" s="20" t="e">
        <f>VLOOKUP(B722,'[2]Бланк заказа'!$A:$Y,8,0)</f>
        <v>#N/A</v>
      </c>
      <c r="J722" s="1" t="e">
        <f>VLOOKUP(B722,'[2]Бланк заказа'!$A:$Y,11,0)*1</f>
        <v>#N/A</v>
      </c>
      <c r="K722" s="20" t="e">
        <f t="shared" si="103"/>
        <v>#N/A</v>
      </c>
    </row>
    <row r="723" spans="1:11" ht="22.5" x14ac:dyDescent="0.25">
      <c r="A723" s="6" t="s">
        <v>2049</v>
      </c>
      <c r="B723" s="3" t="s">
        <v>238</v>
      </c>
      <c r="C723" s="3" t="s">
        <v>239</v>
      </c>
      <c r="D723" s="4">
        <v>4301051578</v>
      </c>
      <c r="E723" s="3">
        <v>4607091387513</v>
      </c>
      <c r="F723" s="5" t="s">
        <v>256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3"/>
        <v>32.400000000000006</v>
      </c>
    </row>
    <row r="724" spans="1:11" ht="22.5" x14ac:dyDescent="0.25">
      <c r="A724" s="6" t="s">
        <v>1321</v>
      </c>
      <c r="B724" s="3" t="s">
        <v>236</v>
      </c>
      <c r="C724" s="3" t="s">
        <v>237</v>
      </c>
      <c r="D724" s="4">
        <v>4301051130</v>
      </c>
      <c r="E724" s="3">
        <v>4607091387537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3"/>
        <v>32.400000000000006</v>
      </c>
    </row>
    <row r="725" spans="1:11" ht="22.5" x14ac:dyDescent="0.25">
      <c r="A725" s="6" t="s">
        <v>255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255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3"/>
        <v>32.400000000000006</v>
      </c>
    </row>
    <row r="726" spans="1:11" ht="22.5" x14ac:dyDescent="0.25">
      <c r="A726" s="6" t="s">
        <v>105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3"/>
        <v>50.400000000000006</v>
      </c>
    </row>
    <row r="727" spans="1:11" ht="22.5" x14ac:dyDescent="0.25">
      <c r="A727" s="6" t="s">
        <v>1231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3"/>
        <v>50.400000000000006</v>
      </c>
    </row>
    <row r="728" spans="1:11" ht="22.5" x14ac:dyDescent="0.25">
      <c r="A728" s="6" t="s">
        <v>1306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3"/>
        <v>50.400000000000006</v>
      </c>
    </row>
    <row r="729" spans="1:11" ht="22.5" x14ac:dyDescent="0.25">
      <c r="A729" s="6" t="s">
        <v>1651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3"/>
        <v>50.400000000000006</v>
      </c>
    </row>
    <row r="730" spans="1:11" ht="22.5" x14ac:dyDescent="0.25">
      <c r="A730" s="6" t="s">
        <v>622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3"/>
        <v>50.400000000000006</v>
      </c>
    </row>
    <row r="731" spans="1:11" ht="22.5" x14ac:dyDescent="0.25">
      <c r="A731" s="6" t="s">
        <v>535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3"/>
        <v>72</v>
      </c>
    </row>
    <row r="732" spans="1:11" ht="22.5" x14ac:dyDescent="0.25">
      <c r="A732" s="6" t="s">
        <v>104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3"/>
        <v>72</v>
      </c>
    </row>
    <row r="733" spans="1:11" ht="22.5" x14ac:dyDescent="0.25">
      <c r="A733" s="6" t="s">
        <v>829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3"/>
        <v>72</v>
      </c>
    </row>
    <row r="734" spans="1:11" ht="22.5" x14ac:dyDescent="0.25">
      <c r="A734" s="6" t="s">
        <v>1618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3"/>
        <v>72</v>
      </c>
    </row>
    <row r="735" spans="1:11" ht="22.5" x14ac:dyDescent="0.25">
      <c r="A735" s="6" t="s">
        <v>1330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3"/>
        <v>72</v>
      </c>
    </row>
    <row r="736" spans="1:11" ht="22.5" x14ac:dyDescent="0.25">
      <c r="A736" s="6" t="s">
        <v>1889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3"/>
        <v>72</v>
      </c>
    </row>
    <row r="737" spans="1:11" ht="22.5" x14ac:dyDescent="0.25">
      <c r="A737" s="6" t="s">
        <v>1906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3"/>
        <v>72</v>
      </c>
    </row>
    <row r="738" spans="1:11" ht="22.5" x14ac:dyDescent="0.25">
      <c r="A738" s="6" t="s">
        <v>2388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ref="K738:K739" si="107">J738*I738</f>
        <v>72</v>
      </c>
    </row>
    <row r="739" spans="1:11" ht="22.5" x14ac:dyDescent="0.25">
      <c r="A739" s="6" t="s">
        <v>2487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7"/>
        <v>72</v>
      </c>
    </row>
    <row r="740" spans="1:11" ht="22.5" x14ac:dyDescent="0.25">
      <c r="A740" s="6" t="s">
        <v>912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3"/>
        <v>72</v>
      </c>
    </row>
    <row r="741" spans="1:11" ht="22.5" x14ac:dyDescent="0.25">
      <c r="A741" s="6" t="s">
        <v>1151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3"/>
        <v>72</v>
      </c>
    </row>
    <row r="742" spans="1:11" ht="22.5" x14ac:dyDescent="0.25">
      <c r="A742" s="6" t="s">
        <v>1515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3"/>
        <v>72</v>
      </c>
    </row>
    <row r="743" spans="1:11" ht="22.5" x14ac:dyDescent="0.25">
      <c r="A743" s="6" t="s">
        <v>502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3"/>
        <v>72</v>
      </c>
    </row>
    <row r="744" spans="1:11" x14ac:dyDescent="0.25">
      <c r="A744" s="6" t="s">
        <v>607</v>
      </c>
      <c r="B744" s="3" t="s">
        <v>222</v>
      </c>
      <c r="C744" s="3" t="s">
        <v>223</v>
      </c>
      <c r="D744" s="4">
        <v>4301051100</v>
      </c>
      <c r="E744" s="3">
        <v>4607091387766</v>
      </c>
      <c r="F744" s="5" t="s">
        <v>247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3"/>
        <v>62.4</v>
      </c>
    </row>
    <row r="745" spans="1:11" x14ac:dyDescent="0.25">
      <c r="A745" s="6" t="s">
        <v>1189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247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3"/>
        <v>62.4</v>
      </c>
    </row>
    <row r="746" spans="1:11" x14ac:dyDescent="0.25">
      <c r="A746" s="6" t="s">
        <v>483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247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3"/>
        <v>62.4</v>
      </c>
    </row>
    <row r="747" spans="1:11" x14ac:dyDescent="0.25">
      <c r="A747" s="6" t="s">
        <v>503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247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3"/>
        <v>62.4</v>
      </c>
    </row>
    <row r="748" spans="1:11" x14ac:dyDescent="0.25">
      <c r="A748" s="6" t="s">
        <v>550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247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3"/>
        <v>62.4</v>
      </c>
    </row>
    <row r="749" spans="1:11" x14ac:dyDescent="0.25">
      <c r="A749" s="6" t="s">
        <v>2620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247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ref="K749" si="108">J749*I749</f>
        <v>62.4</v>
      </c>
    </row>
    <row r="750" spans="1:11" x14ac:dyDescent="0.25">
      <c r="A750" s="6" t="s">
        <v>822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247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3"/>
        <v>62.4</v>
      </c>
    </row>
    <row r="751" spans="1:11" x14ac:dyDescent="0.25">
      <c r="A751" s="6" t="s">
        <v>1067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247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3"/>
        <v>62.4</v>
      </c>
    </row>
    <row r="752" spans="1:11" x14ac:dyDescent="0.25">
      <c r="A752" s="6" t="s">
        <v>1250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247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3"/>
        <v>62.4</v>
      </c>
    </row>
    <row r="753" spans="1:11" x14ac:dyDescent="0.25">
      <c r="A753" s="6" t="s">
        <v>247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247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3"/>
        <v>62.4</v>
      </c>
    </row>
    <row r="754" spans="1:11" x14ac:dyDescent="0.25">
      <c r="A754" s="6" t="s">
        <v>791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247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3"/>
        <v>62.4</v>
      </c>
    </row>
    <row r="755" spans="1:11" x14ac:dyDescent="0.25">
      <c r="A755" s="6" t="s">
        <v>2619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247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ref="K755" si="109">J755*I755</f>
        <v>62.4</v>
      </c>
    </row>
    <row r="756" spans="1:11" x14ac:dyDescent="0.25">
      <c r="A756" s="6" t="s">
        <v>2014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247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si="103"/>
        <v>62.4</v>
      </c>
    </row>
    <row r="757" spans="1:11" x14ac:dyDescent="0.25">
      <c r="A757" s="6" t="s">
        <v>511</v>
      </c>
      <c r="B757" s="3" t="s">
        <v>315</v>
      </c>
      <c r="C757" s="3" t="s">
        <v>316</v>
      </c>
      <c r="D757" s="4">
        <v>4301051489</v>
      </c>
      <c r="E757" s="3">
        <v>4607091387919</v>
      </c>
      <c r="F757" s="5" t="s">
        <v>317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3"/>
        <v>64.8</v>
      </c>
    </row>
    <row r="758" spans="1:11" x14ac:dyDescent="0.25">
      <c r="A758" s="6" t="s">
        <v>317</v>
      </c>
      <c r="B758" s="3" t="s">
        <v>315</v>
      </c>
      <c r="C758" s="3" t="s">
        <v>316</v>
      </c>
      <c r="D758" s="4">
        <v>4301051489</v>
      </c>
      <c r="E758" s="3">
        <v>4607091387919</v>
      </c>
      <c r="F758" s="5" t="s">
        <v>317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3"/>
        <v>64.8</v>
      </c>
    </row>
    <row r="759" spans="1:11" x14ac:dyDescent="0.25">
      <c r="A759" s="6" t="s">
        <v>782</v>
      </c>
      <c r="B759" s="3" t="s">
        <v>315</v>
      </c>
      <c r="C759" s="3" t="s">
        <v>316</v>
      </c>
      <c r="D759" s="4">
        <v>4301051489</v>
      </c>
      <c r="E759" s="3">
        <v>4607091387919</v>
      </c>
      <c r="F759" s="5" t="s">
        <v>317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3"/>
        <v>64.8</v>
      </c>
    </row>
    <row r="760" spans="1:11" x14ac:dyDescent="0.25">
      <c r="A760" s="6" t="s">
        <v>793</v>
      </c>
      <c r="B760" s="3" t="s">
        <v>315</v>
      </c>
      <c r="C760" s="3" t="s">
        <v>316</v>
      </c>
      <c r="D760" s="4">
        <v>4301051489</v>
      </c>
      <c r="E760" s="3">
        <v>4607091387919</v>
      </c>
      <c r="F760" s="5" t="s">
        <v>317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3"/>
        <v>64.8</v>
      </c>
    </row>
    <row r="761" spans="1:11" x14ac:dyDescent="0.25">
      <c r="A761" s="6" t="s">
        <v>1208</v>
      </c>
      <c r="B761" s="3" t="s">
        <v>315</v>
      </c>
      <c r="C761" s="3" t="s">
        <v>316</v>
      </c>
      <c r="D761" s="4">
        <v>4301051489</v>
      </c>
      <c r="E761" s="3">
        <v>4607091387919</v>
      </c>
      <c r="F761" s="5" t="s">
        <v>317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3"/>
        <v>64.8</v>
      </c>
    </row>
    <row r="762" spans="1:11" x14ac:dyDescent="0.25">
      <c r="A762" s="6" t="s">
        <v>1627</v>
      </c>
      <c r="B762" s="3" t="s">
        <v>315</v>
      </c>
      <c r="C762" s="3" t="s">
        <v>316</v>
      </c>
      <c r="D762" s="4">
        <v>4301051489</v>
      </c>
      <c r="E762" s="3">
        <v>4607091387919</v>
      </c>
      <c r="F762" s="5" t="s">
        <v>317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3"/>
        <v>64.8</v>
      </c>
    </row>
    <row r="763" spans="1:11" x14ac:dyDescent="0.25">
      <c r="A763" s="6" t="s">
        <v>925</v>
      </c>
      <c r="B763" s="3" t="s">
        <v>315</v>
      </c>
      <c r="C763" s="3" t="s">
        <v>316</v>
      </c>
      <c r="D763" s="4">
        <v>4301051489</v>
      </c>
      <c r="E763" s="3">
        <v>4607091387919</v>
      </c>
      <c r="F763" s="5" t="s">
        <v>317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3"/>
        <v>64.8</v>
      </c>
    </row>
    <row r="764" spans="1:11" x14ac:dyDescent="0.25">
      <c r="A764" s="6" t="s">
        <v>1263</v>
      </c>
      <c r="B764" s="3" t="s">
        <v>315</v>
      </c>
      <c r="C764" s="3" t="s">
        <v>316</v>
      </c>
      <c r="D764" s="4">
        <v>4301051489</v>
      </c>
      <c r="E764" s="3">
        <v>4607091387919</v>
      </c>
      <c r="F764" s="5" t="s">
        <v>317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3"/>
        <v>64.8</v>
      </c>
    </row>
    <row r="765" spans="1:11" x14ac:dyDescent="0.25">
      <c r="A765" s="6" t="s">
        <v>1843</v>
      </c>
      <c r="B765" s="3" t="s">
        <v>315</v>
      </c>
      <c r="C765" s="3" t="s">
        <v>316</v>
      </c>
      <c r="D765" s="4">
        <v>4301051489</v>
      </c>
      <c r="E765" s="3">
        <v>4607091387919</v>
      </c>
      <c r="F765" s="5" t="s">
        <v>317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3"/>
        <v>64.8</v>
      </c>
    </row>
    <row r="766" spans="1:11" x14ac:dyDescent="0.25">
      <c r="A766" s="6" t="s">
        <v>606</v>
      </c>
      <c r="B766" s="3" t="s">
        <v>315</v>
      </c>
      <c r="C766" s="3" t="s">
        <v>316</v>
      </c>
      <c r="D766" s="4">
        <v>4301051489</v>
      </c>
      <c r="E766" s="3">
        <v>4607091387919</v>
      </c>
      <c r="F766" s="5" t="s">
        <v>317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3"/>
        <v>64.8</v>
      </c>
    </row>
    <row r="767" spans="1:11" x14ac:dyDescent="0.25">
      <c r="A767" s="6" t="s">
        <v>1401</v>
      </c>
      <c r="B767" s="3" t="s">
        <v>315</v>
      </c>
      <c r="C767" s="3" t="s">
        <v>316</v>
      </c>
      <c r="D767" s="4">
        <v>4301051489</v>
      </c>
      <c r="E767" s="3">
        <v>4607091387919</v>
      </c>
      <c r="F767" s="5" t="s">
        <v>317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3"/>
        <v>64.8</v>
      </c>
    </row>
    <row r="768" spans="1:11" x14ac:dyDescent="0.25">
      <c r="A768" s="6" t="s">
        <v>494</v>
      </c>
      <c r="B768" s="3" t="s">
        <v>315</v>
      </c>
      <c r="C768" s="3" t="s">
        <v>316</v>
      </c>
      <c r="D768" s="4">
        <v>4301051489</v>
      </c>
      <c r="E768" s="3">
        <v>4607091387919</v>
      </c>
      <c r="F768" s="5" t="s">
        <v>317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3"/>
        <v>64.8</v>
      </c>
    </row>
    <row r="769" spans="1:11" ht="22.5" x14ac:dyDescent="0.25">
      <c r="A769" s="6" t="s">
        <v>694</v>
      </c>
      <c r="B769" s="3" t="s">
        <v>224</v>
      </c>
      <c r="C769" s="3" t="s">
        <v>225</v>
      </c>
      <c r="D769" s="4">
        <v>4301051116</v>
      </c>
      <c r="E769" s="3">
        <v>4607091387957</v>
      </c>
      <c r="F769" s="5" t="s">
        <v>248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3"/>
        <v>62.4</v>
      </c>
    </row>
    <row r="770" spans="1:11" ht="22.5" x14ac:dyDescent="0.25">
      <c r="A770" s="6" t="s">
        <v>248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248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3"/>
        <v>62.4</v>
      </c>
    </row>
    <row r="771" spans="1:11" ht="22.5" x14ac:dyDescent="0.25">
      <c r="A771" s="6" t="s">
        <v>249</v>
      </c>
      <c r="B771" s="3" t="s">
        <v>226</v>
      </c>
      <c r="C771" s="3" t="s">
        <v>227</v>
      </c>
      <c r="D771" s="4">
        <v>4301051115</v>
      </c>
      <c r="E771" s="3">
        <v>4607091387964</v>
      </c>
      <c r="F771" s="5" t="s">
        <v>249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3"/>
        <v>64.8</v>
      </c>
    </row>
    <row r="772" spans="1:11" ht="22.5" x14ac:dyDescent="0.25">
      <c r="A772" s="6" t="s">
        <v>619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249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3"/>
        <v>64.8</v>
      </c>
    </row>
    <row r="773" spans="1:11" ht="22.5" x14ac:dyDescent="0.25">
      <c r="A773" s="6" t="s">
        <v>785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249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3"/>
        <v>64.8</v>
      </c>
    </row>
    <row r="774" spans="1:11" ht="22.5" x14ac:dyDescent="0.25">
      <c r="A774" s="6" t="s">
        <v>495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249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3"/>
        <v>64.8</v>
      </c>
    </row>
    <row r="775" spans="1:11" ht="22.5" x14ac:dyDescent="0.25">
      <c r="A775" s="6" t="s">
        <v>755</v>
      </c>
      <c r="B775" s="3" t="s">
        <v>6</v>
      </c>
      <c r="C775" s="3" t="s">
        <v>1728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3"/>
        <v>30.240000000000002</v>
      </c>
    </row>
    <row r="776" spans="1:11" ht="22.5" x14ac:dyDescent="0.25">
      <c r="A776" s="6" t="s">
        <v>7</v>
      </c>
      <c r="B776" s="3" t="s">
        <v>6</v>
      </c>
      <c r="C776" s="3" t="s">
        <v>1728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3"/>
        <v>30.240000000000002</v>
      </c>
    </row>
    <row r="777" spans="1:11" ht="22.5" x14ac:dyDescent="0.25">
      <c r="A777" s="6" t="s">
        <v>927</v>
      </c>
      <c r="B777" s="3" t="s">
        <v>6</v>
      </c>
      <c r="C777" s="3" t="s">
        <v>1728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3"/>
        <v>30.240000000000002</v>
      </c>
    </row>
    <row r="778" spans="1:11" ht="22.5" x14ac:dyDescent="0.25">
      <c r="A778" s="6" t="s">
        <v>457</v>
      </c>
      <c r="B778" s="3" t="s">
        <v>6</v>
      </c>
      <c r="C778" s="3" t="s">
        <v>1728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3"/>
        <v>30.240000000000002</v>
      </c>
    </row>
    <row r="779" spans="1:11" ht="22.5" x14ac:dyDescent="0.25">
      <c r="A779" s="6" t="s">
        <v>738</v>
      </c>
      <c r="B779" s="3" t="s">
        <v>14</v>
      </c>
      <c r="C779" s="3" t="s">
        <v>1764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3"/>
        <v>30.240000000000002</v>
      </c>
    </row>
    <row r="780" spans="1:11" ht="22.5" x14ac:dyDescent="0.25">
      <c r="A780" s="6" t="s">
        <v>1294</v>
      </c>
      <c r="B780" s="3" t="s">
        <v>14</v>
      </c>
      <c r="C780" s="3" t="s">
        <v>1764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3"/>
        <v>30.240000000000002</v>
      </c>
    </row>
    <row r="781" spans="1:11" ht="22.5" x14ac:dyDescent="0.25">
      <c r="A781" s="6" t="s">
        <v>18</v>
      </c>
      <c r="B781" s="3" t="s">
        <v>14</v>
      </c>
      <c r="C781" s="3" t="s">
        <v>1764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3"/>
        <v>30.240000000000002</v>
      </c>
    </row>
    <row r="782" spans="1:11" ht="22.5" x14ac:dyDescent="0.25">
      <c r="A782" s="6" t="s">
        <v>881</v>
      </c>
      <c r="B782" s="3" t="s">
        <v>14</v>
      </c>
      <c r="C782" s="3" t="s">
        <v>1764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3"/>
        <v>30.240000000000002</v>
      </c>
    </row>
    <row r="783" spans="1:11" ht="22.5" x14ac:dyDescent="0.25">
      <c r="A783" s="6" t="s">
        <v>551</v>
      </c>
      <c r="B783" s="3" t="s">
        <v>14</v>
      </c>
      <c r="C783" s="3" t="s">
        <v>1764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3"/>
        <v>30.240000000000002</v>
      </c>
    </row>
    <row r="784" spans="1:11" ht="33.75" x14ac:dyDescent="0.25">
      <c r="A784" s="6" t="s">
        <v>1252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3"/>
        <v>21.6</v>
      </c>
    </row>
    <row r="785" spans="1:11" ht="33.75" x14ac:dyDescent="0.25">
      <c r="A785" s="6" t="s">
        <v>1206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3"/>
        <v>21.6</v>
      </c>
    </row>
    <row r="786" spans="1:11" ht="22.5" x14ac:dyDescent="0.25">
      <c r="A786" s="6" t="s">
        <v>630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3"/>
        <v>#N/A</v>
      </c>
    </row>
    <row r="787" spans="1:11" ht="22.5" x14ac:dyDescent="0.25">
      <c r="A787" s="6" t="s">
        <v>1001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3"/>
        <v>#N/A</v>
      </c>
    </row>
    <row r="788" spans="1:11" ht="22.5" x14ac:dyDescent="0.25">
      <c r="A788" s="6" t="s">
        <v>746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ref="K788:K855" si="110">J788*I788</f>
        <v>#N/A</v>
      </c>
    </row>
    <row r="789" spans="1:11" ht="22.5" x14ac:dyDescent="0.25">
      <c r="A789" s="6" t="s">
        <v>439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si="110"/>
        <v>#N/A</v>
      </c>
    </row>
    <row r="790" spans="1:11" ht="22.5" x14ac:dyDescent="0.25">
      <c r="A790" s="6" t="s">
        <v>277</v>
      </c>
      <c r="B790" s="3" t="s">
        <v>272</v>
      </c>
      <c r="C790" s="3" t="s">
        <v>273</v>
      </c>
      <c r="D790" s="4">
        <v>4301030232</v>
      </c>
      <c r="E790" s="3">
        <v>4607091388374</v>
      </c>
      <c r="F790" s="5" t="s">
        <v>277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10"/>
        <v>36.480000000000004</v>
      </c>
    </row>
    <row r="791" spans="1:11" ht="22.5" x14ac:dyDescent="0.25">
      <c r="A791" s="6" t="s">
        <v>1178</v>
      </c>
      <c r="B791" s="3" t="s">
        <v>272</v>
      </c>
      <c r="C791" s="3" t="s">
        <v>273</v>
      </c>
      <c r="D791" s="4">
        <v>4301030232</v>
      </c>
      <c r="E791" s="3">
        <v>4607091388374</v>
      </c>
      <c r="F791" s="5" t="s">
        <v>277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0"/>
        <v>36.480000000000004</v>
      </c>
    </row>
    <row r="792" spans="1:11" ht="22.5" x14ac:dyDescent="0.25">
      <c r="A792" s="6" t="s">
        <v>839</v>
      </c>
      <c r="B792" s="3" t="s">
        <v>272</v>
      </c>
      <c r="C792" s="3" t="s">
        <v>273</v>
      </c>
      <c r="D792" s="4">
        <v>4301030232</v>
      </c>
      <c r="E792" s="3">
        <v>4607091388374</v>
      </c>
      <c r="F792" s="5" t="s">
        <v>277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0"/>
        <v>36.480000000000004</v>
      </c>
    </row>
    <row r="793" spans="1:11" ht="22.5" x14ac:dyDescent="0.25">
      <c r="A793" s="6" t="s">
        <v>1034</v>
      </c>
      <c r="B793" s="3" t="s">
        <v>272</v>
      </c>
      <c r="C793" s="3" t="s">
        <v>273</v>
      </c>
      <c r="D793" s="4">
        <v>4301030232</v>
      </c>
      <c r="E793" s="3">
        <v>4607091388374</v>
      </c>
      <c r="F793" s="5" t="s">
        <v>277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0"/>
        <v>36.480000000000004</v>
      </c>
    </row>
    <row r="794" spans="1:11" ht="22.5" x14ac:dyDescent="0.25">
      <c r="A794" s="6" t="s">
        <v>1587</v>
      </c>
      <c r="B794" s="3" t="s">
        <v>272</v>
      </c>
      <c r="C794" s="3" t="s">
        <v>273</v>
      </c>
      <c r="D794" s="4">
        <v>4301030232</v>
      </c>
      <c r="E794" s="3">
        <v>4607091388374</v>
      </c>
      <c r="F794" s="5" t="s">
        <v>277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0"/>
        <v>36.480000000000004</v>
      </c>
    </row>
    <row r="795" spans="1:11" ht="22.5" x14ac:dyDescent="0.25">
      <c r="A795" s="6" t="s">
        <v>1126</v>
      </c>
      <c r="B795" s="3" t="s">
        <v>272</v>
      </c>
      <c r="C795" s="3" t="s">
        <v>273</v>
      </c>
      <c r="D795" s="4">
        <v>4301030232</v>
      </c>
      <c r="E795" s="3">
        <v>4607091388374</v>
      </c>
      <c r="F795" s="5" t="s">
        <v>277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0"/>
        <v>36.480000000000004</v>
      </c>
    </row>
    <row r="796" spans="1:11" ht="22.5" x14ac:dyDescent="0.25">
      <c r="A796" s="6" t="s">
        <v>2200</v>
      </c>
      <c r="B796" s="3" t="s">
        <v>272</v>
      </c>
      <c r="C796" s="3" t="s">
        <v>273</v>
      </c>
      <c r="D796" s="4">
        <v>4301030232</v>
      </c>
      <c r="E796" s="3">
        <v>4607091388374</v>
      </c>
      <c r="F796" s="5" t="s">
        <v>277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ref="K796" si="111">J796*I796</f>
        <v>36.480000000000004</v>
      </c>
    </row>
    <row r="797" spans="1:11" ht="22.5" x14ac:dyDescent="0.25">
      <c r="A797" s="6" t="s">
        <v>751</v>
      </c>
      <c r="B797" s="3" t="s">
        <v>272</v>
      </c>
      <c r="C797" s="3" t="s">
        <v>273</v>
      </c>
      <c r="D797" s="4">
        <v>4301030232</v>
      </c>
      <c r="E797" s="3">
        <v>4607091388374</v>
      </c>
      <c r="F797" s="5" t="s">
        <v>277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10"/>
        <v>36.480000000000004</v>
      </c>
    </row>
    <row r="798" spans="1:11" ht="22.5" x14ac:dyDescent="0.25">
      <c r="A798" s="6" t="s">
        <v>600</v>
      </c>
      <c r="B798" s="3" t="s">
        <v>274</v>
      </c>
      <c r="C798" s="3" t="s">
        <v>275</v>
      </c>
      <c r="D798" s="4">
        <v>4301030235</v>
      </c>
      <c r="E798" s="3">
        <v>4607091388381</v>
      </c>
      <c r="F798" s="5" t="s">
        <v>278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0"/>
        <v>36.480000000000004</v>
      </c>
    </row>
    <row r="799" spans="1:11" ht="22.5" x14ac:dyDescent="0.25">
      <c r="A799" s="6" t="s">
        <v>278</v>
      </c>
      <c r="B799" s="3" t="s">
        <v>274</v>
      </c>
      <c r="C799" s="3" t="s">
        <v>275</v>
      </c>
      <c r="D799" s="4">
        <v>4301030235</v>
      </c>
      <c r="E799" s="3">
        <v>4607091388381</v>
      </c>
      <c r="F799" s="5" t="s">
        <v>278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0"/>
        <v>36.480000000000004</v>
      </c>
    </row>
    <row r="800" spans="1:11" ht="22.5" x14ac:dyDescent="0.25">
      <c r="A800" s="6" t="s">
        <v>831</v>
      </c>
      <c r="B800" s="3" t="s">
        <v>274</v>
      </c>
      <c r="C800" s="3" t="s">
        <v>275</v>
      </c>
      <c r="D800" s="4">
        <v>4301030235</v>
      </c>
      <c r="E800" s="3">
        <v>4607091388381</v>
      </c>
      <c r="F800" s="5" t="s">
        <v>278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0"/>
        <v>36.480000000000004</v>
      </c>
    </row>
    <row r="801" spans="1:11" ht="22.5" x14ac:dyDescent="0.25">
      <c r="A801" s="6" t="s">
        <v>968</v>
      </c>
      <c r="B801" s="3" t="s">
        <v>274</v>
      </c>
      <c r="C801" s="3" t="s">
        <v>275</v>
      </c>
      <c r="D801" s="4">
        <v>4301030235</v>
      </c>
      <c r="E801" s="3">
        <v>4607091388381</v>
      </c>
      <c r="F801" s="5" t="s">
        <v>278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0"/>
        <v>36.480000000000004</v>
      </c>
    </row>
    <row r="802" spans="1:11" ht="22.5" x14ac:dyDescent="0.25">
      <c r="A802" s="6" t="s">
        <v>843</v>
      </c>
      <c r="B802" s="3" t="s">
        <v>274</v>
      </c>
      <c r="C802" s="3" t="s">
        <v>275</v>
      </c>
      <c r="D802" s="4">
        <v>4301030235</v>
      </c>
      <c r="E802" s="3">
        <v>4607091388381</v>
      </c>
      <c r="F802" s="5" t="s">
        <v>278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0"/>
        <v>36.480000000000004</v>
      </c>
    </row>
    <row r="803" spans="1:11" ht="22.5" x14ac:dyDescent="0.25">
      <c r="A803" s="6" t="s">
        <v>2545</v>
      </c>
      <c r="B803" s="3" t="s">
        <v>274</v>
      </c>
      <c r="C803" s="3" t="s">
        <v>275</v>
      </c>
      <c r="D803" s="4">
        <v>4301030235</v>
      </c>
      <c r="E803" s="3">
        <v>4607091388381</v>
      </c>
      <c r="F803" s="5" t="s">
        <v>278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2201</v>
      </c>
      <c r="B804" s="3" t="s">
        <v>274</v>
      </c>
      <c r="C804" s="3" t="s">
        <v>275</v>
      </c>
      <c r="D804" s="4">
        <v>4301030235</v>
      </c>
      <c r="E804" s="3">
        <v>4607091388381</v>
      </c>
      <c r="F804" s="5" t="s">
        <v>278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3">J804*I804</f>
        <v>36.480000000000004</v>
      </c>
    </row>
    <row r="805" spans="1:11" ht="22.5" x14ac:dyDescent="0.25">
      <c r="A805" s="6" t="s">
        <v>558</v>
      </c>
      <c r="B805" s="3" t="s">
        <v>274</v>
      </c>
      <c r="C805" s="3" t="s">
        <v>275</v>
      </c>
      <c r="D805" s="4">
        <v>4301030235</v>
      </c>
      <c r="E805" s="3">
        <v>4607091388381</v>
      </c>
      <c r="F805" s="5" t="s">
        <v>278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si="110"/>
        <v>36.480000000000004</v>
      </c>
    </row>
    <row r="806" spans="1:11" ht="22.5" x14ac:dyDescent="0.25">
      <c r="A806" s="6" t="s">
        <v>633</v>
      </c>
      <c r="B806" s="3" t="s">
        <v>276</v>
      </c>
      <c r="C806" s="3" t="s">
        <v>1446</v>
      </c>
      <c r="D806" s="4">
        <v>4301030233</v>
      </c>
      <c r="E806" s="3">
        <v>4607091388404</v>
      </c>
      <c r="F806" s="5" t="s">
        <v>279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10"/>
        <v>30.599999999999998</v>
      </c>
    </row>
    <row r="807" spans="1:11" ht="22.5" x14ac:dyDescent="0.25">
      <c r="A807" s="6" t="s">
        <v>279</v>
      </c>
      <c r="B807" s="3" t="s">
        <v>276</v>
      </c>
      <c r="C807" s="3" t="s">
        <v>1446</v>
      </c>
      <c r="D807" s="4">
        <v>4301030233</v>
      </c>
      <c r="E807" s="3">
        <v>4607091388404</v>
      </c>
      <c r="F807" s="5" t="s">
        <v>279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0"/>
        <v>30.599999999999998</v>
      </c>
    </row>
    <row r="808" spans="1:11" ht="22.5" x14ac:dyDescent="0.25">
      <c r="A808" s="6" t="s">
        <v>781</v>
      </c>
      <c r="B808" s="3" t="s">
        <v>276</v>
      </c>
      <c r="C808" s="3" t="s">
        <v>1446</v>
      </c>
      <c r="D808" s="4">
        <v>4301030233</v>
      </c>
      <c r="E808" s="3">
        <v>4607091388404</v>
      </c>
      <c r="F808" s="5" t="s">
        <v>279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0"/>
        <v>30.599999999999998</v>
      </c>
    </row>
    <row r="809" spans="1:11" ht="22.5" x14ac:dyDescent="0.25">
      <c r="A809" s="6" t="s">
        <v>1177</v>
      </c>
      <c r="B809" s="3" t="s">
        <v>276</v>
      </c>
      <c r="C809" s="3" t="s">
        <v>1446</v>
      </c>
      <c r="D809" s="4">
        <v>4301030233</v>
      </c>
      <c r="E809" s="3">
        <v>4607091388404</v>
      </c>
      <c r="F809" s="5" t="s">
        <v>279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0"/>
        <v>30.599999999999998</v>
      </c>
    </row>
    <row r="810" spans="1:11" ht="22.5" x14ac:dyDescent="0.25">
      <c r="A810" s="6" t="s">
        <v>1225</v>
      </c>
      <c r="B810" s="3" t="s">
        <v>276</v>
      </c>
      <c r="C810" s="3" t="s">
        <v>1446</v>
      </c>
      <c r="D810" s="4">
        <v>4301030233</v>
      </c>
      <c r="E810" s="3">
        <v>4607091388404</v>
      </c>
      <c r="F810" s="5" t="s">
        <v>279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0"/>
        <v>30.599999999999998</v>
      </c>
    </row>
    <row r="811" spans="1:11" ht="22.5" x14ac:dyDescent="0.25">
      <c r="A811" s="6" t="s">
        <v>2086</v>
      </c>
      <c r="B811" s="3" t="s">
        <v>276</v>
      </c>
      <c r="C811" s="3" t="s">
        <v>1446</v>
      </c>
      <c r="D811" s="4">
        <v>4301030233</v>
      </c>
      <c r="E811" s="3">
        <v>4607091388404</v>
      </c>
      <c r="F811" s="5" t="s">
        <v>279</v>
      </c>
      <c r="G811" s="16"/>
      <c r="H811" s="1"/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0"/>
        <v>30.599999999999998</v>
      </c>
    </row>
    <row r="812" spans="1:11" ht="22.5" x14ac:dyDescent="0.25">
      <c r="A812" s="6" t="s">
        <v>832</v>
      </c>
      <c r="B812" s="3" t="s">
        <v>276</v>
      </c>
      <c r="C812" s="3" t="s">
        <v>1446</v>
      </c>
      <c r="D812" s="4">
        <v>4301030233</v>
      </c>
      <c r="E812" s="3">
        <v>4607091388404</v>
      </c>
      <c r="F812" s="5" t="s">
        <v>279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0"/>
        <v>30.599999999999998</v>
      </c>
    </row>
    <row r="813" spans="1:11" ht="22.5" x14ac:dyDescent="0.25">
      <c r="A813" s="6" t="s">
        <v>1968</v>
      </c>
      <c r="B813" s="3" t="s">
        <v>276</v>
      </c>
      <c r="C813" s="3" t="s">
        <v>1446</v>
      </c>
      <c r="D813" s="4">
        <v>4301030233</v>
      </c>
      <c r="E813" s="3">
        <v>4607091388404</v>
      </c>
      <c r="F813" s="5" t="s">
        <v>279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0"/>
        <v>30.599999999999998</v>
      </c>
    </row>
    <row r="814" spans="1:11" ht="22.5" x14ac:dyDescent="0.25">
      <c r="A814" s="6" t="s">
        <v>1740</v>
      </c>
      <c r="B814" s="3" t="s">
        <v>276</v>
      </c>
      <c r="C814" s="3" t="s">
        <v>1446</v>
      </c>
      <c r="D814" s="4">
        <v>4301030233</v>
      </c>
      <c r="E814" s="3">
        <v>4607091388404</v>
      </c>
      <c r="F814" s="5" t="s">
        <v>279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0"/>
        <v>30.599999999999998</v>
      </c>
    </row>
    <row r="815" spans="1:11" ht="22.5" x14ac:dyDescent="0.25">
      <c r="A815" s="6" t="s">
        <v>455</v>
      </c>
      <c r="B815" s="3" t="s">
        <v>276</v>
      </c>
      <c r="C815" s="3" t="s">
        <v>1446</v>
      </c>
      <c r="D815" s="4">
        <v>4301030233</v>
      </c>
      <c r="E815" s="3">
        <v>4607091388404</v>
      </c>
      <c r="F815" s="5" t="s">
        <v>279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0"/>
        <v>30.599999999999998</v>
      </c>
    </row>
    <row r="816" spans="1:11" x14ac:dyDescent="0.25">
      <c r="A816" s="6" t="s">
        <v>612</v>
      </c>
      <c r="B816" s="3" t="s">
        <v>80</v>
      </c>
      <c r="C816" s="3" t="s">
        <v>2513</v>
      </c>
      <c r="D816" s="4">
        <v>4301020345</v>
      </c>
      <c r="E816" s="3">
        <v>4680115881488</v>
      </c>
      <c r="F816" s="5" t="s">
        <v>2514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10"/>
        <v>86.4</v>
      </c>
    </row>
    <row r="817" spans="1:11" x14ac:dyDescent="0.25">
      <c r="A817" s="6" t="s">
        <v>625</v>
      </c>
      <c r="B817" s="3" t="s">
        <v>80</v>
      </c>
      <c r="C817" s="3" t="s">
        <v>2513</v>
      </c>
      <c r="D817" s="4">
        <v>4301020345</v>
      </c>
      <c r="E817" s="3">
        <v>4680115881488</v>
      </c>
      <c r="F817" s="5" t="s">
        <v>2514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0"/>
        <v>86.4</v>
      </c>
    </row>
    <row r="818" spans="1:11" x14ac:dyDescent="0.25">
      <c r="A818" s="6" t="s">
        <v>928</v>
      </c>
      <c r="B818" s="3" t="s">
        <v>80</v>
      </c>
      <c r="C818" s="3" t="s">
        <v>2513</v>
      </c>
      <c r="D818" s="4">
        <v>4301020345</v>
      </c>
      <c r="E818" s="3">
        <v>4680115881488</v>
      </c>
      <c r="F818" s="5" t="s">
        <v>2514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0"/>
        <v>86.4</v>
      </c>
    </row>
    <row r="819" spans="1:11" x14ac:dyDescent="0.25">
      <c r="A819" s="6" t="s">
        <v>971</v>
      </c>
      <c r="B819" s="3" t="s">
        <v>80</v>
      </c>
      <c r="C819" s="3" t="s">
        <v>2513</v>
      </c>
      <c r="D819" s="4">
        <v>4301020345</v>
      </c>
      <c r="E819" s="3">
        <v>4680115881488</v>
      </c>
      <c r="F819" s="5" t="s">
        <v>2514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0"/>
        <v>86.4</v>
      </c>
    </row>
    <row r="820" spans="1:11" x14ac:dyDescent="0.25">
      <c r="A820" s="6" t="s">
        <v>2036</v>
      </c>
      <c r="B820" s="3" t="s">
        <v>80</v>
      </c>
      <c r="C820" s="3" t="s">
        <v>2513</v>
      </c>
      <c r="D820" s="4">
        <v>4301020345</v>
      </c>
      <c r="E820" s="3">
        <v>4680115881488</v>
      </c>
      <c r="F820" s="5" t="s">
        <v>2514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0"/>
        <v>86.4</v>
      </c>
    </row>
    <row r="821" spans="1:11" x14ac:dyDescent="0.25">
      <c r="A821" s="6" t="s">
        <v>1166</v>
      </c>
      <c r="B821" s="3" t="s">
        <v>80</v>
      </c>
      <c r="C821" s="3" t="s">
        <v>2513</v>
      </c>
      <c r="D821" s="4">
        <v>4301020345</v>
      </c>
      <c r="E821" s="3">
        <v>4680115881488</v>
      </c>
      <c r="F821" s="5" t="s">
        <v>2514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0"/>
        <v>86.4</v>
      </c>
    </row>
    <row r="822" spans="1:11" x14ac:dyDescent="0.25">
      <c r="A822" s="6" t="s">
        <v>484</v>
      </c>
      <c r="B822" s="3" t="s">
        <v>80</v>
      </c>
      <c r="C822" s="3" t="s">
        <v>2513</v>
      </c>
      <c r="D822" s="4">
        <v>4301020345</v>
      </c>
      <c r="E822" s="3">
        <v>4680115881488</v>
      </c>
      <c r="F822" s="5" t="s">
        <v>2514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0"/>
        <v>86.4</v>
      </c>
    </row>
    <row r="823" spans="1:11" ht="22.5" x14ac:dyDescent="0.25">
      <c r="A823" s="6" t="s">
        <v>676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10"/>
        <v>#N/A</v>
      </c>
    </row>
    <row r="824" spans="1:11" ht="22.5" x14ac:dyDescent="0.25">
      <c r="A824" s="6" t="s">
        <v>1554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0"/>
        <v>#N/A</v>
      </c>
    </row>
    <row r="825" spans="1:11" ht="22.5" x14ac:dyDescent="0.25">
      <c r="A825" s="6" t="s">
        <v>1353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0"/>
        <v>#N/A</v>
      </c>
    </row>
    <row r="826" spans="1:11" ht="22.5" x14ac:dyDescent="0.25">
      <c r="A826" s="6" t="s">
        <v>464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0"/>
        <v>#N/A</v>
      </c>
    </row>
    <row r="827" spans="1:11" ht="22.5" x14ac:dyDescent="0.25">
      <c r="A827" s="6" t="s">
        <v>2188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ref="K827" si="114">J827*I827</f>
        <v>7.1999999999999993</v>
      </c>
    </row>
    <row r="828" spans="1:11" ht="22.5" x14ac:dyDescent="0.25">
      <c r="A828" s="6" t="s">
        <v>1319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10"/>
        <v>7.1999999999999993</v>
      </c>
    </row>
    <row r="829" spans="1:11" ht="22.5" x14ac:dyDescent="0.25">
      <c r="A829" s="6" t="s">
        <v>1207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0"/>
        <v>7.1999999999999993</v>
      </c>
    </row>
    <row r="830" spans="1:11" ht="22.5" x14ac:dyDescent="0.25">
      <c r="A830" s="6" t="s">
        <v>1419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0"/>
        <v>7.1999999999999993</v>
      </c>
    </row>
    <row r="831" spans="1:11" ht="22.5" x14ac:dyDescent="0.25">
      <c r="A831" s="6" t="s">
        <v>23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0"/>
        <v>7.1999999999999993</v>
      </c>
    </row>
    <row r="832" spans="1:11" ht="22.5" x14ac:dyDescent="0.25">
      <c r="A832" s="6" t="s">
        <v>703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0"/>
        <v>7.1999999999999993</v>
      </c>
    </row>
    <row r="833" spans="1:11" ht="22.5" x14ac:dyDescent="0.25">
      <c r="A833" s="6" t="s">
        <v>688</v>
      </c>
      <c r="B833" s="3" t="s">
        <v>320</v>
      </c>
      <c r="C833" s="3" t="s">
        <v>321</v>
      </c>
      <c r="D833" s="4">
        <v>4301060324</v>
      </c>
      <c r="E833" s="3">
        <v>4607091388831</v>
      </c>
      <c r="F833" s="5" t="s">
        <v>322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10"/>
        <v>#N/A</v>
      </c>
    </row>
    <row r="834" spans="1:11" ht="22.5" x14ac:dyDescent="0.25">
      <c r="A834" s="6" t="s">
        <v>733</v>
      </c>
      <c r="B834" s="3" t="s">
        <v>320</v>
      </c>
      <c r="C834" s="3" t="s">
        <v>321</v>
      </c>
      <c r="D834" s="4">
        <v>4301060324</v>
      </c>
      <c r="E834" s="3">
        <v>4607091388831</v>
      </c>
      <c r="F834" s="5" t="s">
        <v>322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0"/>
        <v>#N/A</v>
      </c>
    </row>
    <row r="835" spans="1:11" ht="22.5" x14ac:dyDescent="0.25">
      <c r="A835" s="6" t="s">
        <v>322</v>
      </c>
      <c r="B835" s="3" t="s">
        <v>320</v>
      </c>
      <c r="C835" s="3" t="s">
        <v>321</v>
      </c>
      <c r="D835" s="4">
        <v>4301060324</v>
      </c>
      <c r="E835" s="3">
        <v>4607091388831</v>
      </c>
      <c r="F835" s="5" t="s">
        <v>322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0"/>
        <v>#N/A</v>
      </c>
    </row>
    <row r="836" spans="1:11" ht="22.5" x14ac:dyDescent="0.25">
      <c r="A836" s="6" t="s">
        <v>876</v>
      </c>
      <c r="B836" s="3" t="s">
        <v>320</v>
      </c>
      <c r="C836" s="3" t="s">
        <v>321</v>
      </c>
      <c r="D836" s="4">
        <v>4301060324</v>
      </c>
      <c r="E836" s="3">
        <v>4607091388831</v>
      </c>
      <c r="F836" s="5" t="s">
        <v>322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0"/>
        <v>#N/A</v>
      </c>
    </row>
    <row r="837" spans="1:11" ht="22.5" x14ac:dyDescent="0.25">
      <c r="A837" s="6" t="s">
        <v>469</v>
      </c>
      <c r="B837" s="3" t="s">
        <v>320</v>
      </c>
      <c r="C837" s="3" t="s">
        <v>321</v>
      </c>
      <c r="D837" s="4">
        <v>4301060324</v>
      </c>
      <c r="E837" s="3">
        <v>4607091388831</v>
      </c>
      <c r="F837" s="5" t="s">
        <v>322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0"/>
        <v>#N/A</v>
      </c>
    </row>
    <row r="838" spans="1:11" x14ac:dyDescent="0.25">
      <c r="A838" s="6" t="s">
        <v>513</v>
      </c>
      <c r="B838" s="3" t="s">
        <v>412</v>
      </c>
      <c r="C838" s="3" t="s">
        <v>2667</v>
      </c>
      <c r="D838" s="4">
        <v>4301020334</v>
      </c>
      <c r="E838" s="3">
        <v>4607091388930</v>
      </c>
      <c r="F838" s="5" t="s">
        <v>413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10"/>
        <v>42.24</v>
      </c>
    </row>
    <row r="839" spans="1:11" x14ac:dyDescent="0.25">
      <c r="A839" s="6" t="s">
        <v>1030</v>
      </c>
      <c r="B839" s="3" t="s">
        <v>412</v>
      </c>
      <c r="C839" s="3" t="s">
        <v>2667</v>
      </c>
      <c r="D839" s="4">
        <v>4301020334</v>
      </c>
      <c r="E839" s="3">
        <v>4607091388930</v>
      </c>
      <c r="F839" s="5" t="s">
        <v>413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0"/>
        <v>42.24</v>
      </c>
    </row>
    <row r="840" spans="1:11" x14ac:dyDescent="0.25">
      <c r="A840" s="6" t="s">
        <v>413</v>
      </c>
      <c r="B840" s="3" t="s">
        <v>412</v>
      </c>
      <c r="C840" s="3" t="s">
        <v>2667</v>
      </c>
      <c r="D840" s="4">
        <v>4301020334</v>
      </c>
      <c r="E840" s="3">
        <v>4607091388930</v>
      </c>
      <c r="F840" s="5" t="s">
        <v>413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0"/>
        <v>42.24</v>
      </c>
    </row>
    <row r="841" spans="1:11" x14ac:dyDescent="0.25">
      <c r="A841" s="6" t="s">
        <v>772</v>
      </c>
      <c r="B841" s="3" t="s">
        <v>412</v>
      </c>
      <c r="C841" s="3" t="s">
        <v>2667</v>
      </c>
      <c r="D841" s="4">
        <v>4301020334</v>
      </c>
      <c r="E841" s="3">
        <v>4607091388930</v>
      </c>
      <c r="F841" s="5" t="s">
        <v>413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0"/>
        <v>42.24</v>
      </c>
    </row>
    <row r="842" spans="1:11" x14ac:dyDescent="0.25">
      <c r="A842" s="6" t="s">
        <v>826</v>
      </c>
      <c r="B842" s="3" t="s">
        <v>412</v>
      </c>
      <c r="C842" s="3" t="s">
        <v>2667</v>
      </c>
      <c r="D842" s="4">
        <v>4301020334</v>
      </c>
      <c r="E842" s="3">
        <v>4607091388930</v>
      </c>
      <c r="F842" s="5" t="s">
        <v>413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0"/>
        <v>42.24</v>
      </c>
    </row>
    <row r="843" spans="1:11" x14ac:dyDescent="0.25">
      <c r="A843" s="6" t="s">
        <v>1007</v>
      </c>
      <c r="B843" s="3" t="s">
        <v>412</v>
      </c>
      <c r="C843" s="3" t="s">
        <v>2667</v>
      </c>
      <c r="D843" s="4">
        <v>4301020334</v>
      </c>
      <c r="E843" s="3">
        <v>4607091388930</v>
      </c>
      <c r="F843" s="5" t="s">
        <v>413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0"/>
        <v>42.24</v>
      </c>
    </row>
    <row r="844" spans="1:11" x14ac:dyDescent="0.25">
      <c r="A844" s="6" t="s">
        <v>1183</v>
      </c>
      <c r="B844" s="3" t="s">
        <v>412</v>
      </c>
      <c r="C844" s="3" t="s">
        <v>2667</v>
      </c>
      <c r="D844" s="4">
        <v>4301020334</v>
      </c>
      <c r="E844" s="3">
        <v>4607091388930</v>
      </c>
      <c r="F844" s="5" t="s">
        <v>413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0"/>
        <v>42.24</v>
      </c>
    </row>
    <row r="845" spans="1:11" x14ac:dyDescent="0.25">
      <c r="A845" s="6" t="s">
        <v>1196</v>
      </c>
      <c r="B845" s="3" t="s">
        <v>412</v>
      </c>
      <c r="C845" s="3" t="s">
        <v>2667</v>
      </c>
      <c r="D845" s="4">
        <v>4301020334</v>
      </c>
      <c r="E845" s="3">
        <v>4607091388930</v>
      </c>
      <c r="F845" s="5" t="s">
        <v>413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0"/>
        <v>42.24</v>
      </c>
    </row>
    <row r="846" spans="1:11" x14ac:dyDescent="0.25">
      <c r="A846" s="6" t="s">
        <v>1465</v>
      </c>
      <c r="B846" s="3" t="s">
        <v>412</v>
      </c>
      <c r="C846" s="3" t="s">
        <v>2667</v>
      </c>
      <c r="D846" s="4">
        <v>4301020334</v>
      </c>
      <c r="E846" s="3">
        <v>4607091388930</v>
      </c>
      <c r="F846" s="5" t="s">
        <v>413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0"/>
        <v>42.24</v>
      </c>
    </row>
    <row r="847" spans="1:11" x14ac:dyDescent="0.25">
      <c r="A847" s="6" t="s">
        <v>1523</v>
      </c>
      <c r="B847" s="3" t="s">
        <v>412</v>
      </c>
      <c r="C847" s="3" t="s">
        <v>2667</v>
      </c>
      <c r="D847" s="4">
        <v>4301020334</v>
      </c>
      <c r="E847" s="3">
        <v>4607091388930</v>
      </c>
      <c r="F847" s="5" t="s">
        <v>413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0"/>
        <v>42.24</v>
      </c>
    </row>
    <row r="848" spans="1:11" x14ac:dyDescent="0.25">
      <c r="A848" s="6" t="s">
        <v>1884</v>
      </c>
      <c r="B848" s="3" t="s">
        <v>412</v>
      </c>
      <c r="C848" s="3" t="s">
        <v>2667</v>
      </c>
      <c r="D848" s="4">
        <v>4301020334</v>
      </c>
      <c r="E848" s="3">
        <v>4607091388930</v>
      </c>
      <c r="F848" s="5" t="s">
        <v>413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0"/>
        <v>42.24</v>
      </c>
    </row>
    <row r="849" spans="1:11" x14ac:dyDescent="0.25">
      <c r="A849" s="6" t="s">
        <v>1835</v>
      </c>
      <c r="B849" s="3" t="s">
        <v>412</v>
      </c>
      <c r="C849" s="3" t="s">
        <v>2667</v>
      </c>
      <c r="D849" s="4">
        <v>4301020334</v>
      </c>
      <c r="E849" s="3">
        <v>4607091388930</v>
      </c>
      <c r="F849" s="5" t="s">
        <v>413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0"/>
        <v>42.24</v>
      </c>
    </row>
    <row r="850" spans="1:11" x14ac:dyDescent="0.25">
      <c r="A850" s="6" t="s">
        <v>594</v>
      </c>
      <c r="B850" s="3" t="s">
        <v>412</v>
      </c>
      <c r="C850" s="3" t="s">
        <v>2667</v>
      </c>
      <c r="D850" s="4">
        <v>4301020334</v>
      </c>
      <c r="E850" s="3">
        <v>4607091388930</v>
      </c>
      <c r="F850" s="5" t="s">
        <v>413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0"/>
        <v>42.24</v>
      </c>
    </row>
    <row r="851" spans="1:11" x14ac:dyDescent="0.25">
      <c r="A851" s="6" t="s">
        <v>1754</v>
      </c>
      <c r="B851" s="3" t="s">
        <v>412</v>
      </c>
      <c r="C851" s="3" t="s">
        <v>2667</v>
      </c>
      <c r="D851" s="4">
        <v>4301020334</v>
      </c>
      <c r="E851" s="3">
        <v>4607091388930</v>
      </c>
      <c r="F851" s="5" t="s">
        <v>413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0"/>
        <v>42.24</v>
      </c>
    </row>
    <row r="852" spans="1:11" x14ac:dyDescent="0.25">
      <c r="A852" s="6" t="s">
        <v>2000</v>
      </c>
      <c r="B852" s="3" t="s">
        <v>412</v>
      </c>
      <c r="C852" s="3" t="s">
        <v>2667</v>
      </c>
      <c r="D852" s="4">
        <v>4301020334</v>
      </c>
      <c r="E852" s="3">
        <v>4607091388930</v>
      </c>
      <c r="F852" s="5" t="s">
        <v>413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0"/>
        <v>42.24</v>
      </c>
    </row>
    <row r="853" spans="1:11" ht="22.5" x14ac:dyDescent="0.25">
      <c r="A853" s="6" t="s">
        <v>677</v>
      </c>
      <c r="B853" s="3" t="s">
        <v>404</v>
      </c>
      <c r="C853" s="3" t="s">
        <v>405</v>
      </c>
      <c r="D853" s="4">
        <v>4301011142</v>
      </c>
      <c r="E853" s="3">
        <v>4607091389036</v>
      </c>
      <c r="F853" s="5" t="s">
        <v>410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10"/>
        <v>#N/A</v>
      </c>
    </row>
    <row r="854" spans="1:11" ht="22.5" x14ac:dyDescent="0.25">
      <c r="A854" s="6" t="s">
        <v>967</v>
      </c>
      <c r="B854" s="3" t="s">
        <v>404</v>
      </c>
      <c r="C854" s="3" t="s">
        <v>405</v>
      </c>
      <c r="D854" s="4">
        <v>4301011142</v>
      </c>
      <c r="E854" s="3">
        <v>4607091389036</v>
      </c>
      <c r="F854" s="5" t="s">
        <v>410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0"/>
        <v>#N/A</v>
      </c>
    </row>
    <row r="855" spans="1:11" ht="22.5" x14ac:dyDescent="0.25">
      <c r="A855" s="6" t="s">
        <v>1110</v>
      </c>
      <c r="B855" s="3" t="s">
        <v>404</v>
      </c>
      <c r="C855" s="3" t="s">
        <v>405</v>
      </c>
      <c r="D855" s="4">
        <v>4301011142</v>
      </c>
      <c r="E855" s="3">
        <v>4607091389036</v>
      </c>
      <c r="F855" s="5" t="s">
        <v>410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0"/>
        <v>#N/A</v>
      </c>
    </row>
    <row r="856" spans="1:11" ht="22.5" x14ac:dyDescent="0.25">
      <c r="A856" s="6" t="s">
        <v>838</v>
      </c>
      <c r="B856" s="3" t="s">
        <v>404</v>
      </c>
      <c r="C856" s="3" t="s">
        <v>405</v>
      </c>
      <c r="D856" s="4">
        <v>4301011142</v>
      </c>
      <c r="E856" s="3">
        <v>4607091389036</v>
      </c>
      <c r="F856" s="5" t="s">
        <v>410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ref="K856:K921" si="115">J856*I856</f>
        <v>#N/A</v>
      </c>
    </row>
    <row r="857" spans="1:11" ht="22.5" x14ac:dyDescent="0.25">
      <c r="A857" s="6" t="s">
        <v>410</v>
      </c>
      <c r="B857" s="3" t="s">
        <v>404</v>
      </c>
      <c r="C857" s="3" t="s">
        <v>405</v>
      </c>
      <c r="D857" s="4">
        <v>4301011142</v>
      </c>
      <c r="E857" s="3">
        <v>4607091389036</v>
      </c>
      <c r="F857" s="5" t="s">
        <v>410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5"/>
        <v>#N/A</v>
      </c>
    </row>
    <row r="858" spans="1:11" ht="22.5" x14ac:dyDescent="0.25">
      <c r="A858" s="6" t="s">
        <v>467</v>
      </c>
      <c r="B858" s="3" t="s">
        <v>404</v>
      </c>
      <c r="C858" s="3" t="s">
        <v>405</v>
      </c>
      <c r="D858" s="4">
        <v>4301011142</v>
      </c>
      <c r="E858" s="3">
        <v>4607091389036</v>
      </c>
      <c r="F858" s="5" t="s">
        <v>410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5"/>
        <v>#N/A</v>
      </c>
    </row>
    <row r="859" spans="1:11" ht="22.5" x14ac:dyDescent="0.25">
      <c r="A859" s="6" t="s">
        <v>557</v>
      </c>
      <c r="B859" s="3" t="s">
        <v>401</v>
      </c>
      <c r="C859" s="3" t="s">
        <v>1825</v>
      </c>
      <c r="D859" s="4">
        <v>4301011795</v>
      </c>
      <c r="E859" s="3">
        <v>4607091389067</v>
      </c>
      <c r="F859" s="5" t="s">
        <v>406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5"/>
        <v>42.24</v>
      </c>
    </row>
    <row r="860" spans="1:11" ht="22.5" x14ac:dyDescent="0.25">
      <c r="A860" s="6" t="s">
        <v>1056</v>
      </c>
      <c r="B860" s="3" t="s">
        <v>401</v>
      </c>
      <c r="C860" s="3" t="s">
        <v>1825</v>
      </c>
      <c r="D860" s="4">
        <v>4301011795</v>
      </c>
      <c r="E860" s="3">
        <v>4607091389067</v>
      </c>
      <c r="F860" s="5" t="s">
        <v>406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5"/>
        <v>42.24</v>
      </c>
    </row>
    <row r="861" spans="1:11" ht="22.5" x14ac:dyDescent="0.25">
      <c r="A861" s="6" t="s">
        <v>1153</v>
      </c>
      <c r="B861" s="3" t="s">
        <v>401</v>
      </c>
      <c r="C861" s="3" t="s">
        <v>1825</v>
      </c>
      <c r="D861" s="4">
        <v>4301011795</v>
      </c>
      <c r="E861" s="3">
        <v>4607091389067</v>
      </c>
      <c r="F861" s="5" t="s">
        <v>406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5"/>
        <v>42.24</v>
      </c>
    </row>
    <row r="862" spans="1:11" ht="22.5" x14ac:dyDescent="0.25">
      <c r="A862" s="6" t="s">
        <v>406</v>
      </c>
      <c r="B862" s="3" t="s">
        <v>401</v>
      </c>
      <c r="C862" s="3" t="s">
        <v>1825</v>
      </c>
      <c r="D862" s="4">
        <v>4301011795</v>
      </c>
      <c r="E862" s="3">
        <v>4607091389067</v>
      </c>
      <c r="F862" s="5" t="s">
        <v>406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5"/>
        <v>42.24</v>
      </c>
    </row>
    <row r="863" spans="1:11" ht="22.5" x14ac:dyDescent="0.25">
      <c r="A863" s="6" t="s">
        <v>1146</v>
      </c>
      <c r="B863" s="3" t="s">
        <v>401</v>
      </c>
      <c r="C863" s="3" t="s">
        <v>1825</v>
      </c>
      <c r="D863" s="4">
        <v>4301011795</v>
      </c>
      <c r="E863" s="3">
        <v>4607091389067</v>
      </c>
      <c r="F863" s="5" t="s">
        <v>406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5"/>
        <v>42.24</v>
      </c>
    </row>
    <row r="864" spans="1:11" ht="22.5" x14ac:dyDescent="0.25">
      <c r="A864" s="6" t="s">
        <v>1655</v>
      </c>
      <c r="B864" s="3" t="s">
        <v>401</v>
      </c>
      <c r="C864" s="3" t="s">
        <v>1825</v>
      </c>
      <c r="D864" s="4">
        <v>4301011795</v>
      </c>
      <c r="E864" s="3">
        <v>4607091389067</v>
      </c>
      <c r="F864" s="5" t="s">
        <v>406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5"/>
        <v>42.24</v>
      </c>
    </row>
    <row r="865" spans="1:11" ht="22.5" x14ac:dyDescent="0.25">
      <c r="A865" s="6" t="s">
        <v>1628</v>
      </c>
      <c r="B865" s="3" t="s">
        <v>401</v>
      </c>
      <c r="C865" s="3" t="s">
        <v>1825</v>
      </c>
      <c r="D865" s="4">
        <v>4301011795</v>
      </c>
      <c r="E865" s="3">
        <v>4607091389067</v>
      </c>
      <c r="F865" s="5" t="s">
        <v>406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5"/>
        <v>42.24</v>
      </c>
    </row>
    <row r="866" spans="1:11" ht="22.5" x14ac:dyDescent="0.25">
      <c r="A866" s="6" t="s">
        <v>827</v>
      </c>
      <c r="B866" s="3" t="s">
        <v>401</v>
      </c>
      <c r="C866" s="3" t="s">
        <v>1825</v>
      </c>
      <c r="D866" s="4">
        <v>4301011795</v>
      </c>
      <c r="E866" s="3">
        <v>4607091389067</v>
      </c>
      <c r="F866" s="5" t="s">
        <v>406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5"/>
        <v>42.24</v>
      </c>
    </row>
    <row r="867" spans="1:11" ht="22.5" x14ac:dyDescent="0.25">
      <c r="A867" s="6" t="s">
        <v>1976</v>
      </c>
      <c r="B867" s="3" t="s">
        <v>401</v>
      </c>
      <c r="C867" s="3" t="s">
        <v>1825</v>
      </c>
      <c r="D867" s="4">
        <v>4301011795</v>
      </c>
      <c r="E867" s="3">
        <v>4607091389067</v>
      </c>
      <c r="F867" s="5" t="s">
        <v>406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5"/>
        <v>42.24</v>
      </c>
    </row>
    <row r="868" spans="1:11" ht="22.5" x14ac:dyDescent="0.25">
      <c r="A868" s="6" t="s">
        <v>948</v>
      </c>
      <c r="B868" s="3" t="s">
        <v>401</v>
      </c>
      <c r="C868" s="3" t="s">
        <v>1825</v>
      </c>
      <c r="D868" s="4">
        <v>4301011795</v>
      </c>
      <c r="E868" s="3">
        <v>4607091389067</v>
      </c>
      <c r="F868" s="5" t="s">
        <v>406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5"/>
        <v>42.24</v>
      </c>
    </row>
    <row r="869" spans="1:11" ht="22.5" x14ac:dyDescent="0.25">
      <c r="A869" s="6" t="s">
        <v>956</v>
      </c>
      <c r="B869" s="3" t="s">
        <v>401</v>
      </c>
      <c r="C869" s="3" t="s">
        <v>1825</v>
      </c>
      <c r="D869" s="4">
        <v>4301011795</v>
      </c>
      <c r="E869" s="3">
        <v>4607091389067</v>
      </c>
      <c r="F869" s="5" t="s">
        <v>406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5"/>
        <v>42.24</v>
      </c>
    </row>
    <row r="870" spans="1:11" ht="22.5" x14ac:dyDescent="0.25">
      <c r="A870" s="6" t="s">
        <v>536</v>
      </c>
      <c r="B870" s="3" t="s">
        <v>401</v>
      </c>
      <c r="C870" s="3" t="s">
        <v>1825</v>
      </c>
      <c r="D870" s="4">
        <v>4301011795</v>
      </c>
      <c r="E870" s="3">
        <v>4607091389067</v>
      </c>
      <c r="F870" s="5" t="s">
        <v>406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5"/>
        <v>42.24</v>
      </c>
    </row>
    <row r="871" spans="1:11" ht="22.5" x14ac:dyDescent="0.25">
      <c r="A871" s="6" t="s">
        <v>679</v>
      </c>
      <c r="B871" s="3" t="s">
        <v>2615</v>
      </c>
      <c r="C871" s="3" t="s">
        <v>2616</v>
      </c>
      <c r="D871" s="4">
        <v>4301012050</v>
      </c>
      <c r="E871" s="3">
        <v>4680115885479</v>
      </c>
      <c r="F871" s="5" t="s">
        <v>2617</v>
      </c>
      <c r="G871" s="16" t="s">
        <v>2614</v>
      </c>
      <c r="H871" s="1">
        <v>60</v>
      </c>
      <c r="I871" s="20"/>
      <c r="J871" s="1"/>
      <c r="K871" s="20"/>
    </row>
    <row r="872" spans="1:11" ht="22.5" x14ac:dyDescent="0.25">
      <c r="A872" s="6" t="s">
        <v>1553</v>
      </c>
      <c r="B872" s="3" t="s">
        <v>2615</v>
      </c>
      <c r="C872" s="3" t="s">
        <v>2616</v>
      </c>
      <c r="D872" s="4">
        <v>4301012050</v>
      </c>
      <c r="E872" s="3">
        <v>4680115885479</v>
      </c>
      <c r="F872" s="5" t="s">
        <v>2617</v>
      </c>
      <c r="G872" s="16" t="s">
        <v>2614</v>
      </c>
      <c r="H872" s="1">
        <v>60</v>
      </c>
      <c r="I872" s="20"/>
      <c r="J872" s="1"/>
      <c r="K872" s="20"/>
    </row>
    <row r="873" spans="1:11" ht="22.5" x14ac:dyDescent="0.25">
      <c r="A873" s="6" t="s">
        <v>1354</v>
      </c>
      <c r="B873" s="3" t="s">
        <v>2615</v>
      </c>
      <c r="C873" s="3" t="s">
        <v>2616</v>
      </c>
      <c r="D873" s="4">
        <v>4301012050</v>
      </c>
      <c r="E873" s="3">
        <v>4680115885479</v>
      </c>
      <c r="F873" s="5" t="s">
        <v>2617</v>
      </c>
      <c r="G873" s="16" t="s">
        <v>2614</v>
      </c>
      <c r="H873" s="1">
        <v>60</v>
      </c>
      <c r="I873" s="20"/>
      <c r="J873" s="1"/>
      <c r="K873" s="20"/>
    </row>
    <row r="874" spans="1:11" ht="22.5" x14ac:dyDescent="0.25">
      <c r="A874" s="6" t="s">
        <v>724</v>
      </c>
      <c r="B874" s="3" t="s">
        <v>2615</v>
      </c>
      <c r="C874" s="3" t="s">
        <v>2616</v>
      </c>
      <c r="D874" s="4">
        <v>4301012050</v>
      </c>
      <c r="E874" s="3">
        <v>4680115885479</v>
      </c>
      <c r="F874" s="5" t="s">
        <v>2617</v>
      </c>
      <c r="G874" s="16" t="s">
        <v>2614</v>
      </c>
      <c r="H874" s="1">
        <v>60</v>
      </c>
      <c r="I874" s="20"/>
      <c r="J874" s="1"/>
      <c r="K874" s="20"/>
    </row>
    <row r="875" spans="1:11" ht="22.5" x14ac:dyDescent="0.25">
      <c r="A875" s="6" t="s">
        <v>1946</v>
      </c>
      <c r="B875" s="3" t="s">
        <v>2615</v>
      </c>
      <c r="C875" s="3" t="s">
        <v>2616</v>
      </c>
      <c r="D875" s="4">
        <v>4301012050</v>
      </c>
      <c r="E875" s="3">
        <v>4680115885479</v>
      </c>
      <c r="F875" s="5" t="s">
        <v>2617</v>
      </c>
      <c r="G875" s="16" t="s">
        <v>2614</v>
      </c>
      <c r="H875" s="1">
        <v>60</v>
      </c>
      <c r="I875" s="20"/>
      <c r="J875" s="1"/>
      <c r="K875" s="20"/>
    </row>
    <row r="876" spans="1:11" ht="22.5" x14ac:dyDescent="0.25">
      <c r="A876" s="6" t="s">
        <v>411</v>
      </c>
      <c r="B876" s="3" t="s">
        <v>2615</v>
      </c>
      <c r="C876" s="3" t="s">
        <v>2616</v>
      </c>
      <c r="D876" s="4">
        <v>4301012050</v>
      </c>
      <c r="E876" s="3">
        <v>4680115885479</v>
      </c>
      <c r="F876" s="5" t="s">
        <v>2617</v>
      </c>
      <c r="G876" s="16" t="s">
        <v>2614</v>
      </c>
      <c r="H876" s="1">
        <v>60</v>
      </c>
      <c r="I876" s="20"/>
      <c r="J876" s="1"/>
      <c r="K876" s="20"/>
    </row>
    <row r="877" spans="1:11" ht="22.5" x14ac:dyDescent="0.25">
      <c r="A877" s="6" t="s">
        <v>868</v>
      </c>
      <c r="B877" s="3" t="s">
        <v>2615</v>
      </c>
      <c r="C877" s="3" t="s">
        <v>2616</v>
      </c>
      <c r="D877" s="4">
        <v>4301012050</v>
      </c>
      <c r="E877" s="3">
        <v>4680115885479</v>
      </c>
      <c r="F877" s="5" t="s">
        <v>2617</v>
      </c>
      <c r="G877" s="16" t="s">
        <v>2614</v>
      </c>
      <c r="H877" s="1">
        <v>60</v>
      </c>
      <c r="I877" s="20"/>
      <c r="J877" s="1"/>
      <c r="K877" s="20"/>
    </row>
    <row r="878" spans="1:11" ht="22.5" x14ac:dyDescent="0.25">
      <c r="A878" s="6" t="s">
        <v>1999</v>
      </c>
      <c r="B878" s="3" t="s">
        <v>2615</v>
      </c>
      <c r="C878" s="3" t="s">
        <v>2616</v>
      </c>
      <c r="D878" s="4">
        <v>4301012050</v>
      </c>
      <c r="E878" s="3">
        <v>4680115885479</v>
      </c>
      <c r="F878" s="5" t="s">
        <v>2617</v>
      </c>
      <c r="G878" s="16" t="s">
        <v>2614</v>
      </c>
      <c r="H878" s="1">
        <v>60</v>
      </c>
      <c r="I878" s="20"/>
      <c r="J878" s="1"/>
      <c r="K878" s="20"/>
    </row>
    <row r="879" spans="1:11" ht="22.5" x14ac:dyDescent="0.25">
      <c r="A879" s="6" t="s">
        <v>537</v>
      </c>
      <c r="B879" s="3" t="s">
        <v>403</v>
      </c>
      <c r="C879" s="3" t="s">
        <v>1822</v>
      </c>
      <c r="D879" s="4">
        <v>4301011771</v>
      </c>
      <c r="E879" s="3">
        <v>4607091389104</v>
      </c>
      <c r="F879" s="5" t="s">
        <v>1823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5"/>
        <v>42.24</v>
      </c>
    </row>
    <row r="880" spans="1:11" ht="22.5" x14ac:dyDescent="0.25">
      <c r="A880" s="6" t="s">
        <v>409</v>
      </c>
      <c r="B880" s="3" t="s">
        <v>403</v>
      </c>
      <c r="C880" s="3" t="s">
        <v>1822</v>
      </c>
      <c r="D880" s="4">
        <v>4301011771</v>
      </c>
      <c r="E880" s="3">
        <v>4607091389104</v>
      </c>
      <c r="F880" s="5" t="s">
        <v>1823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5"/>
        <v>42.24</v>
      </c>
    </row>
    <row r="881" spans="1:11" ht="22.5" x14ac:dyDescent="0.25">
      <c r="A881" s="6" t="s">
        <v>1715</v>
      </c>
      <c r="B881" s="3" t="s">
        <v>403</v>
      </c>
      <c r="C881" s="3" t="s">
        <v>1822</v>
      </c>
      <c r="D881" s="4">
        <v>4301011771</v>
      </c>
      <c r="E881" s="3">
        <v>4607091389104</v>
      </c>
      <c r="F881" s="5" t="s">
        <v>1823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5"/>
        <v>42.24</v>
      </c>
    </row>
    <row r="882" spans="1:11" ht="22.5" x14ac:dyDescent="0.25">
      <c r="A882" s="6" t="s">
        <v>1812</v>
      </c>
      <c r="B882" s="3" t="s">
        <v>403</v>
      </c>
      <c r="C882" s="3" t="s">
        <v>1822</v>
      </c>
      <c r="D882" s="4">
        <v>4301011771</v>
      </c>
      <c r="E882" s="3">
        <v>4607091389104</v>
      </c>
      <c r="F882" s="5" t="s">
        <v>1823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5"/>
        <v>42.24</v>
      </c>
    </row>
    <row r="883" spans="1:11" ht="22.5" x14ac:dyDescent="0.25">
      <c r="A883" s="6" t="s">
        <v>2269</v>
      </c>
      <c r="B883" s="3" t="s">
        <v>403</v>
      </c>
      <c r="C883" s="3" t="s">
        <v>1822</v>
      </c>
      <c r="D883" s="4">
        <v>4301011771</v>
      </c>
      <c r="E883" s="3">
        <v>4607091389104</v>
      </c>
      <c r="F883" s="5" t="s">
        <v>1823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ref="K883:K884" si="116">J883*I883</f>
        <v>42.24</v>
      </c>
    </row>
    <row r="884" spans="1:11" ht="22.5" x14ac:dyDescent="0.25">
      <c r="A884" s="6" t="s">
        <v>2486</v>
      </c>
      <c r="B884" s="3" t="s">
        <v>403</v>
      </c>
      <c r="C884" s="3" t="s">
        <v>1822</v>
      </c>
      <c r="D884" s="4">
        <v>4301011771</v>
      </c>
      <c r="E884" s="3">
        <v>4607091389104</v>
      </c>
      <c r="F884" s="5" t="s">
        <v>1823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6"/>
        <v>42.24</v>
      </c>
    </row>
    <row r="885" spans="1:11" ht="22.5" x14ac:dyDescent="0.25">
      <c r="A885" s="6" t="s">
        <v>1665</v>
      </c>
      <c r="B885" s="3" t="s">
        <v>403</v>
      </c>
      <c r="C885" s="3" t="s">
        <v>1822</v>
      </c>
      <c r="D885" s="4">
        <v>4301011771</v>
      </c>
      <c r="E885" s="3">
        <v>4607091389104</v>
      </c>
      <c r="F885" s="5" t="s">
        <v>1823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5"/>
        <v>42.24</v>
      </c>
    </row>
    <row r="886" spans="1:11" ht="22.5" x14ac:dyDescent="0.25">
      <c r="A886" s="6" t="s">
        <v>1009</v>
      </c>
      <c r="B886" s="3" t="s">
        <v>403</v>
      </c>
      <c r="C886" s="3" t="s">
        <v>1822</v>
      </c>
      <c r="D886" s="4">
        <v>4301011771</v>
      </c>
      <c r="E886" s="3">
        <v>4607091389104</v>
      </c>
      <c r="F886" s="5" t="s">
        <v>1823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5"/>
        <v>42.24</v>
      </c>
    </row>
    <row r="887" spans="1:11" ht="22.5" x14ac:dyDescent="0.25">
      <c r="A887" s="6" t="s">
        <v>1194</v>
      </c>
      <c r="B887" s="3" t="s">
        <v>403</v>
      </c>
      <c r="C887" s="3" t="s">
        <v>1822</v>
      </c>
      <c r="D887" s="4">
        <v>4301011771</v>
      </c>
      <c r="E887" s="3">
        <v>4607091389104</v>
      </c>
      <c r="F887" s="5" t="s">
        <v>1823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5"/>
        <v>42.24</v>
      </c>
    </row>
    <row r="888" spans="1:11" ht="22.5" x14ac:dyDescent="0.25">
      <c r="A888" s="6" t="s">
        <v>2239</v>
      </c>
      <c r="B888" s="3" t="s">
        <v>403</v>
      </c>
      <c r="C888" s="3" t="s">
        <v>1822</v>
      </c>
      <c r="D888" s="4">
        <v>4301011771</v>
      </c>
      <c r="E888" s="3">
        <v>4607091389104</v>
      </c>
      <c r="F888" s="5" t="s">
        <v>1823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ref="K888" si="117">J888*I888</f>
        <v>42.24</v>
      </c>
    </row>
    <row r="889" spans="1:11" ht="22.5" x14ac:dyDescent="0.25">
      <c r="A889" s="6" t="s">
        <v>1472</v>
      </c>
      <c r="B889" s="3" t="s">
        <v>403</v>
      </c>
      <c r="C889" s="3" t="s">
        <v>1822</v>
      </c>
      <c r="D889" s="4">
        <v>4301011771</v>
      </c>
      <c r="E889" s="3">
        <v>4607091389104</v>
      </c>
      <c r="F889" s="5" t="s">
        <v>1823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5"/>
        <v>42.24</v>
      </c>
    </row>
    <row r="890" spans="1:11" ht="22.5" x14ac:dyDescent="0.25">
      <c r="A890" s="6" t="s">
        <v>610</v>
      </c>
      <c r="B890" s="3" t="s">
        <v>403</v>
      </c>
      <c r="C890" s="3" t="s">
        <v>1822</v>
      </c>
      <c r="D890" s="4">
        <v>4301011771</v>
      </c>
      <c r="E890" s="3">
        <v>4607091389104</v>
      </c>
      <c r="F890" s="5" t="s">
        <v>1823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5"/>
        <v>42.24</v>
      </c>
    </row>
    <row r="891" spans="1:11" ht="22.5" x14ac:dyDescent="0.25">
      <c r="A891" s="6" t="s">
        <v>2005</v>
      </c>
      <c r="B891" s="3" t="s">
        <v>403</v>
      </c>
      <c r="C891" s="3" t="s">
        <v>1822</v>
      </c>
      <c r="D891" s="4">
        <v>4301011771</v>
      </c>
      <c r="E891" s="3">
        <v>4607091389104</v>
      </c>
      <c r="F891" s="5" t="s">
        <v>1823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5"/>
        <v>42.24</v>
      </c>
    </row>
    <row r="892" spans="1:11" ht="22.5" x14ac:dyDescent="0.25">
      <c r="A892" s="6" t="s">
        <v>1433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1920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5"/>
        <v>3</v>
      </c>
    </row>
    <row r="893" spans="1:11" ht="22.5" x14ac:dyDescent="0.25">
      <c r="A893" s="6" t="s">
        <v>1443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1920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5"/>
        <v>3</v>
      </c>
    </row>
    <row r="894" spans="1:11" ht="22.5" x14ac:dyDescent="0.25">
      <c r="A894" s="6" t="s">
        <v>1920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1920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5"/>
        <v>3</v>
      </c>
    </row>
    <row r="895" spans="1:11" ht="22.5" x14ac:dyDescent="0.25">
      <c r="A895" s="6" t="s">
        <v>1205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1920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5"/>
        <v>3</v>
      </c>
    </row>
    <row r="896" spans="1:11" ht="22.5" x14ac:dyDescent="0.25">
      <c r="A896" s="6" t="s">
        <v>1290</v>
      </c>
      <c r="B896" s="3" t="s">
        <v>0</v>
      </c>
      <c r="C896" s="3" t="s">
        <v>1</v>
      </c>
      <c r="D896" s="4">
        <v>4301031106</v>
      </c>
      <c r="E896" s="3">
        <v>4607091389258</v>
      </c>
      <c r="F896" s="5" t="s">
        <v>2</v>
      </c>
      <c r="G896" s="16"/>
      <c r="H896" s="1">
        <f>VLOOKUP(E896,[1]Лист1!$D:$M,10,0)</f>
        <v>35</v>
      </c>
      <c r="I896" s="20">
        <f>VLOOKUP(B896,'[2]Бланк заказа'!$A:$Y,8,0)</f>
        <v>1.8</v>
      </c>
      <c r="J896" s="1">
        <f>VLOOKUP(B896,'[2]Бланк заказа'!$A:$Y,11,0)*1</f>
        <v>12</v>
      </c>
      <c r="K896" s="20">
        <f t="shared" si="115"/>
        <v>21.6</v>
      </c>
    </row>
    <row r="897" spans="1:11" x14ac:dyDescent="0.25">
      <c r="A897" s="6" t="s">
        <v>1285</v>
      </c>
      <c r="B897" s="3" t="s">
        <v>356</v>
      </c>
      <c r="C897" s="3" t="s">
        <v>2543</v>
      </c>
      <c r="D897" s="4">
        <v>4301060441</v>
      </c>
      <c r="E897" s="3">
        <v>4607091389357</v>
      </c>
      <c r="F897" s="5" t="s">
        <v>2544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5"/>
        <v>62.4</v>
      </c>
    </row>
    <row r="898" spans="1:11" x14ac:dyDescent="0.25">
      <c r="A898" s="6" t="s">
        <v>769</v>
      </c>
      <c r="B898" s="3" t="s">
        <v>356</v>
      </c>
      <c r="C898" s="3" t="s">
        <v>2543</v>
      </c>
      <c r="D898" s="4">
        <v>4301060441</v>
      </c>
      <c r="E898" s="3">
        <v>4607091389357</v>
      </c>
      <c r="F898" s="5" t="s">
        <v>2544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5"/>
        <v>62.4</v>
      </c>
    </row>
    <row r="899" spans="1:11" ht="22.5" x14ac:dyDescent="0.25">
      <c r="A899" s="6" t="s">
        <v>1544</v>
      </c>
      <c r="B899" s="3" t="s">
        <v>389</v>
      </c>
      <c r="C899" s="3" t="s">
        <v>390</v>
      </c>
      <c r="D899" s="4">
        <v>4301020185</v>
      </c>
      <c r="E899" s="3">
        <v>4607091389364</v>
      </c>
      <c r="F899" s="5" t="s">
        <v>391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5"/>
        <v>30.240000000000002</v>
      </c>
    </row>
    <row r="900" spans="1:11" ht="22.5" x14ac:dyDescent="0.25">
      <c r="A900" s="6" t="s">
        <v>1629</v>
      </c>
      <c r="B900" s="3" t="s">
        <v>389</v>
      </c>
      <c r="C900" s="3" t="s">
        <v>390</v>
      </c>
      <c r="D900" s="4">
        <v>4301020185</v>
      </c>
      <c r="E900" s="3">
        <v>4607091389364</v>
      </c>
      <c r="F900" s="5" t="s">
        <v>391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5"/>
        <v>30.240000000000002</v>
      </c>
    </row>
    <row r="901" spans="1:11" ht="22.5" x14ac:dyDescent="0.25">
      <c r="A901" s="6" t="s">
        <v>1345</v>
      </c>
      <c r="B901" s="3" t="s">
        <v>389</v>
      </c>
      <c r="C901" s="3" t="s">
        <v>390</v>
      </c>
      <c r="D901" s="4">
        <v>4301020185</v>
      </c>
      <c r="E901" s="3">
        <v>4607091389364</v>
      </c>
      <c r="F901" s="5" t="s">
        <v>391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5"/>
        <v>30.240000000000002</v>
      </c>
    </row>
    <row r="902" spans="1:11" ht="22.5" x14ac:dyDescent="0.25">
      <c r="A902" s="6" t="s">
        <v>650</v>
      </c>
      <c r="B902" s="3" t="s">
        <v>393</v>
      </c>
      <c r="C902" s="3" t="s">
        <v>2132</v>
      </c>
      <c r="D902" s="4">
        <v>4301031363</v>
      </c>
      <c r="E902" s="3">
        <v>4607091389425</v>
      </c>
      <c r="F902" s="5" t="s">
        <v>2133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5"/>
        <v>37.800000000000004</v>
      </c>
    </row>
    <row r="903" spans="1:11" ht="22.5" x14ac:dyDescent="0.25">
      <c r="A903" s="6" t="s">
        <v>1251</v>
      </c>
      <c r="B903" s="3" t="s">
        <v>393</v>
      </c>
      <c r="C903" s="3" t="s">
        <v>2132</v>
      </c>
      <c r="D903" s="4">
        <v>4301031363</v>
      </c>
      <c r="E903" s="3">
        <v>4607091389425</v>
      </c>
      <c r="F903" s="5" t="s">
        <v>2133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5"/>
        <v>37.800000000000004</v>
      </c>
    </row>
    <row r="904" spans="1:11" ht="22.5" x14ac:dyDescent="0.25">
      <c r="A904" s="6" t="s">
        <v>398</v>
      </c>
      <c r="B904" s="3" t="s">
        <v>393</v>
      </c>
      <c r="C904" s="3" t="s">
        <v>2132</v>
      </c>
      <c r="D904" s="4">
        <v>4301031363</v>
      </c>
      <c r="E904" s="3">
        <v>4607091389425</v>
      </c>
      <c r="F904" s="5" t="s">
        <v>2133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5"/>
        <v>37.800000000000004</v>
      </c>
    </row>
    <row r="905" spans="1:11" ht="22.5" x14ac:dyDescent="0.25">
      <c r="A905" s="6" t="s">
        <v>461</v>
      </c>
      <c r="B905" s="3" t="s">
        <v>393</v>
      </c>
      <c r="C905" s="3" t="s">
        <v>2132</v>
      </c>
      <c r="D905" s="4">
        <v>4301031363</v>
      </c>
      <c r="E905" s="3">
        <v>4607091389425</v>
      </c>
      <c r="F905" s="5" t="s">
        <v>2133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5"/>
        <v>37.800000000000004</v>
      </c>
    </row>
    <row r="906" spans="1:11" ht="22.5" x14ac:dyDescent="0.25">
      <c r="A906" s="6" t="s">
        <v>552</v>
      </c>
      <c r="B906" s="3" t="s">
        <v>393</v>
      </c>
      <c r="C906" s="3" t="s">
        <v>2132</v>
      </c>
      <c r="D906" s="4">
        <v>4301031363</v>
      </c>
      <c r="E906" s="3">
        <v>4607091389425</v>
      </c>
      <c r="F906" s="5" t="s">
        <v>2133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5"/>
        <v>37.800000000000004</v>
      </c>
    </row>
    <row r="907" spans="1:11" ht="22.5" x14ac:dyDescent="0.25">
      <c r="A907" s="6" t="s">
        <v>400</v>
      </c>
      <c r="B907" s="3" t="s">
        <v>396</v>
      </c>
      <c r="C907" s="3" t="s">
        <v>2447</v>
      </c>
      <c r="D907" s="4">
        <v>4301031359</v>
      </c>
      <c r="E907" s="3">
        <v>4607091389500</v>
      </c>
      <c r="F907" s="5" t="s">
        <v>400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5"/>
        <v>37.800000000000004</v>
      </c>
    </row>
    <row r="908" spans="1:11" ht="22.5" x14ac:dyDescent="0.25">
      <c r="A908" s="6" t="s">
        <v>1032</v>
      </c>
      <c r="B908" s="3" t="s">
        <v>396</v>
      </c>
      <c r="C908" s="3" t="s">
        <v>2447</v>
      </c>
      <c r="D908" s="4">
        <v>4301031359</v>
      </c>
      <c r="E908" s="3">
        <v>4607091389500</v>
      </c>
      <c r="F908" s="5" t="s">
        <v>400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5"/>
        <v>37.800000000000004</v>
      </c>
    </row>
    <row r="909" spans="1:11" ht="22.5" x14ac:dyDescent="0.25">
      <c r="A909" s="6" t="s">
        <v>1717</v>
      </c>
      <c r="B909" s="3" t="s">
        <v>396</v>
      </c>
      <c r="C909" s="3" t="s">
        <v>2447</v>
      </c>
      <c r="D909" s="4">
        <v>4301031359</v>
      </c>
      <c r="E909" s="3">
        <v>4607091389500</v>
      </c>
      <c r="F909" s="5" t="s">
        <v>400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5"/>
        <v>37.800000000000004</v>
      </c>
    </row>
    <row r="910" spans="1:11" ht="22.5" x14ac:dyDescent="0.25">
      <c r="A910" s="6" t="s">
        <v>1834</v>
      </c>
      <c r="B910" s="3" t="s">
        <v>396</v>
      </c>
      <c r="C910" s="3" t="s">
        <v>2447</v>
      </c>
      <c r="D910" s="4">
        <v>4301031359</v>
      </c>
      <c r="E910" s="3">
        <v>4607091389500</v>
      </c>
      <c r="F910" s="5" t="s">
        <v>400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5"/>
        <v>37.800000000000004</v>
      </c>
    </row>
    <row r="911" spans="1:11" ht="22.5" x14ac:dyDescent="0.25">
      <c r="A911" s="6" t="s">
        <v>1860</v>
      </c>
      <c r="B911" s="3" t="s">
        <v>396</v>
      </c>
      <c r="C911" s="3" t="s">
        <v>2447</v>
      </c>
      <c r="D911" s="4">
        <v>4301031359</v>
      </c>
      <c r="E911" s="3">
        <v>4607091389500</v>
      </c>
      <c r="F911" s="5" t="s">
        <v>400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5"/>
        <v>37.800000000000004</v>
      </c>
    </row>
    <row r="912" spans="1:11" ht="22.5" x14ac:dyDescent="0.25">
      <c r="A912" s="6" t="s">
        <v>1809</v>
      </c>
      <c r="B912" s="3" t="s">
        <v>396</v>
      </c>
      <c r="C912" s="3" t="s">
        <v>2447</v>
      </c>
      <c r="D912" s="4">
        <v>4301031359</v>
      </c>
      <c r="E912" s="3">
        <v>4607091389500</v>
      </c>
      <c r="F912" s="5" t="s">
        <v>400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5"/>
        <v>37.800000000000004</v>
      </c>
    </row>
    <row r="913" spans="1:11" ht="22.5" x14ac:dyDescent="0.25">
      <c r="A913" s="6" t="s">
        <v>1329</v>
      </c>
      <c r="B913" s="3" t="s">
        <v>396</v>
      </c>
      <c r="C913" s="3" t="s">
        <v>2447</v>
      </c>
      <c r="D913" s="4">
        <v>4301031359</v>
      </c>
      <c r="E913" s="3">
        <v>4607091389500</v>
      </c>
      <c r="F913" s="5" t="s">
        <v>400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5"/>
        <v>37.800000000000004</v>
      </c>
    </row>
    <row r="914" spans="1:11" ht="22.5" x14ac:dyDescent="0.25">
      <c r="A914" s="6" t="s">
        <v>1664</v>
      </c>
      <c r="B914" s="3" t="s">
        <v>396</v>
      </c>
      <c r="C914" s="3" t="s">
        <v>2447</v>
      </c>
      <c r="D914" s="4">
        <v>4301031359</v>
      </c>
      <c r="E914" s="3">
        <v>4607091389500</v>
      </c>
      <c r="F914" s="5" t="s">
        <v>400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5"/>
        <v>37.800000000000004</v>
      </c>
    </row>
    <row r="915" spans="1:11" ht="22.5" x14ac:dyDescent="0.25">
      <c r="A915" s="6" t="s">
        <v>1112</v>
      </c>
      <c r="B915" s="3" t="s">
        <v>396</v>
      </c>
      <c r="C915" s="3" t="s">
        <v>2447</v>
      </c>
      <c r="D915" s="4">
        <v>4301031359</v>
      </c>
      <c r="E915" s="3">
        <v>4607091389500</v>
      </c>
      <c r="F915" s="5" t="s">
        <v>400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5"/>
        <v>37.800000000000004</v>
      </c>
    </row>
    <row r="916" spans="1:11" ht="22.5" x14ac:dyDescent="0.25">
      <c r="A916" s="6" t="s">
        <v>1441</v>
      </c>
      <c r="B916" s="3" t="s">
        <v>396</v>
      </c>
      <c r="C916" s="3" t="s">
        <v>2447</v>
      </c>
      <c r="D916" s="4">
        <v>4301031359</v>
      </c>
      <c r="E916" s="3">
        <v>4607091389500</v>
      </c>
      <c r="F916" s="5" t="s">
        <v>400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5"/>
        <v>37.800000000000004</v>
      </c>
    </row>
    <row r="917" spans="1:11" ht="33.75" x14ac:dyDescent="0.25">
      <c r="A917" s="6" t="s">
        <v>721</v>
      </c>
      <c r="B917" s="3" t="s">
        <v>367</v>
      </c>
      <c r="C917" s="3" t="s">
        <v>2645</v>
      </c>
      <c r="D917" s="4">
        <v>4301031361</v>
      </c>
      <c r="E917" s="3">
        <v>4607091389524</v>
      </c>
      <c r="F917" s="5" t="s">
        <v>374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5"/>
        <v>37.800000000000004</v>
      </c>
    </row>
    <row r="918" spans="1:11" ht="33.75" x14ac:dyDescent="0.25">
      <c r="A918" s="6" t="s">
        <v>1143</v>
      </c>
      <c r="B918" s="3" t="s">
        <v>367</v>
      </c>
      <c r="C918" s="3" t="s">
        <v>2645</v>
      </c>
      <c r="D918" s="4">
        <v>4301031361</v>
      </c>
      <c r="E918" s="3">
        <v>4607091389524</v>
      </c>
      <c r="F918" s="5" t="s">
        <v>374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5"/>
        <v>37.800000000000004</v>
      </c>
    </row>
    <row r="919" spans="1:11" ht="33.75" x14ac:dyDescent="0.25">
      <c r="A919" s="6" t="s">
        <v>1458</v>
      </c>
      <c r="B919" s="3" t="s">
        <v>367</v>
      </c>
      <c r="C919" s="3" t="s">
        <v>2645</v>
      </c>
      <c r="D919" s="4">
        <v>4301031361</v>
      </c>
      <c r="E919" s="3">
        <v>4607091389524</v>
      </c>
      <c r="F919" s="5" t="s">
        <v>374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5"/>
        <v>37.800000000000004</v>
      </c>
    </row>
    <row r="920" spans="1:11" ht="33.75" x14ac:dyDescent="0.25">
      <c r="A920" s="6" t="s">
        <v>1537</v>
      </c>
      <c r="B920" s="3" t="s">
        <v>367</v>
      </c>
      <c r="C920" s="3" t="s">
        <v>2645</v>
      </c>
      <c r="D920" s="4">
        <v>4301031361</v>
      </c>
      <c r="E920" s="3">
        <v>4607091389524</v>
      </c>
      <c r="F920" s="5" t="s">
        <v>374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5"/>
        <v>37.800000000000004</v>
      </c>
    </row>
    <row r="921" spans="1:11" ht="33.75" x14ac:dyDescent="0.25">
      <c r="A921" s="6" t="s">
        <v>1538</v>
      </c>
      <c r="B921" s="3" t="s">
        <v>367</v>
      </c>
      <c r="C921" s="3" t="s">
        <v>2645</v>
      </c>
      <c r="D921" s="4">
        <v>4301031361</v>
      </c>
      <c r="E921" s="3">
        <v>4607091389524</v>
      </c>
      <c r="F921" s="5" t="s">
        <v>374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5"/>
        <v>37.800000000000004</v>
      </c>
    </row>
    <row r="922" spans="1:11" ht="33.75" x14ac:dyDescent="0.25">
      <c r="A922" s="6" t="s">
        <v>2539</v>
      </c>
      <c r="B922" s="3" t="s">
        <v>367</v>
      </c>
      <c r="C922" s="3" t="s">
        <v>2645</v>
      </c>
      <c r="D922" s="4">
        <v>4301031361</v>
      </c>
      <c r="E922" s="3">
        <v>4607091389524</v>
      </c>
      <c r="F922" s="5" t="s">
        <v>374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" si="118">J922*I922</f>
        <v>37.800000000000004</v>
      </c>
    </row>
    <row r="923" spans="1:11" ht="33.75" x14ac:dyDescent="0.25">
      <c r="A923" s="6" t="s">
        <v>1768</v>
      </c>
      <c r="B923" s="3" t="s">
        <v>367</v>
      </c>
      <c r="C923" s="3" t="s">
        <v>2645</v>
      </c>
      <c r="D923" s="4">
        <v>4301031361</v>
      </c>
      <c r="E923" s="3">
        <v>4607091389524</v>
      </c>
      <c r="F923" s="5" t="s">
        <v>374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:K990" si="119">J923*I923</f>
        <v>37.800000000000004</v>
      </c>
    </row>
    <row r="924" spans="1:11" ht="33.75" x14ac:dyDescent="0.25">
      <c r="A924" s="6" t="s">
        <v>1913</v>
      </c>
      <c r="B924" s="3" t="s">
        <v>367</v>
      </c>
      <c r="C924" s="3" t="s">
        <v>2645</v>
      </c>
      <c r="D924" s="4">
        <v>4301031361</v>
      </c>
      <c r="E924" s="3">
        <v>4607091389524</v>
      </c>
      <c r="F924" s="5" t="s">
        <v>374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9"/>
        <v>37.800000000000004</v>
      </c>
    </row>
    <row r="925" spans="1:11" ht="33.75" x14ac:dyDescent="0.25">
      <c r="A925" s="6" t="s">
        <v>1582</v>
      </c>
      <c r="B925" s="3" t="s">
        <v>367</v>
      </c>
      <c r="C925" s="3" t="s">
        <v>2645</v>
      </c>
      <c r="D925" s="4">
        <v>4301031361</v>
      </c>
      <c r="E925" s="3">
        <v>4607091389524</v>
      </c>
      <c r="F925" s="5" t="s">
        <v>374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9"/>
        <v>37.800000000000004</v>
      </c>
    </row>
    <row r="926" spans="1:11" ht="33.75" x14ac:dyDescent="0.25">
      <c r="A926" s="6" t="s">
        <v>1856</v>
      </c>
      <c r="B926" s="3" t="s">
        <v>367</v>
      </c>
      <c r="C926" s="3" t="s">
        <v>2645</v>
      </c>
      <c r="D926" s="4">
        <v>4301031361</v>
      </c>
      <c r="E926" s="3">
        <v>4607091389524</v>
      </c>
      <c r="F926" s="5" t="s">
        <v>374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9"/>
        <v>37.800000000000004</v>
      </c>
    </row>
    <row r="927" spans="1:11" ht="33.75" x14ac:dyDescent="0.25">
      <c r="A927" s="6" t="s">
        <v>1873</v>
      </c>
      <c r="B927" s="3" t="s">
        <v>367</v>
      </c>
      <c r="C927" s="3" t="s">
        <v>2645</v>
      </c>
      <c r="D927" s="4">
        <v>4301031361</v>
      </c>
      <c r="E927" s="3">
        <v>4607091389524</v>
      </c>
      <c r="F927" s="5" t="s">
        <v>374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9"/>
        <v>37.800000000000004</v>
      </c>
    </row>
    <row r="928" spans="1:11" ht="33.75" x14ac:dyDescent="0.25">
      <c r="A928" s="6" t="s">
        <v>1216</v>
      </c>
      <c r="B928" s="3" t="s">
        <v>367</v>
      </c>
      <c r="C928" s="3" t="s">
        <v>2645</v>
      </c>
      <c r="D928" s="4">
        <v>4301031361</v>
      </c>
      <c r="E928" s="3">
        <v>4607091389524</v>
      </c>
      <c r="F928" s="5" t="s">
        <v>374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9"/>
        <v>37.800000000000004</v>
      </c>
    </row>
    <row r="929" spans="1:11" ht="33.75" x14ac:dyDescent="0.25">
      <c r="A929" s="6" t="s">
        <v>374</v>
      </c>
      <c r="B929" s="3" t="s">
        <v>367</v>
      </c>
      <c r="C929" s="3" t="s">
        <v>2645</v>
      </c>
      <c r="D929" s="4">
        <v>4301031361</v>
      </c>
      <c r="E929" s="3">
        <v>4607091389524</v>
      </c>
      <c r="F929" s="5" t="s">
        <v>374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9"/>
        <v>37.800000000000004</v>
      </c>
    </row>
    <row r="930" spans="1:11" ht="33.75" x14ac:dyDescent="0.25">
      <c r="A930" s="6" t="s">
        <v>865</v>
      </c>
      <c r="B930" s="3" t="s">
        <v>367</v>
      </c>
      <c r="C930" s="3" t="s">
        <v>2645</v>
      </c>
      <c r="D930" s="4">
        <v>4301031361</v>
      </c>
      <c r="E930" s="3">
        <v>4607091389524</v>
      </c>
      <c r="F930" s="5" t="s">
        <v>374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9"/>
        <v>37.800000000000004</v>
      </c>
    </row>
    <row r="931" spans="1:11" ht="33.75" x14ac:dyDescent="0.25">
      <c r="A931" s="6" t="s">
        <v>1101</v>
      </c>
      <c r="B931" s="3" t="s">
        <v>367</v>
      </c>
      <c r="C931" s="3" t="s">
        <v>2645</v>
      </c>
      <c r="D931" s="4">
        <v>4301031361</v>
      </c>
      <c r="E931" s="3">
        <v>4607091389524</v>
      </c>
      <c r="F931" s="5" t="s">
        <v>374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9"/>
        <v>37.800000000000004</v>
      </c>
    </row>
    <row r="932" spans="1:11" ht="33.75" x14ac:dyDescent="0.25">
      <c r="A932" s="6" t="s">
        <v>458</v>
      </c>
      <c r="B932" s="3" t="s">
        <v>367</v>
      </c>
      <c r="C932" s="3" t="s">
        <v>2645</v>
      </c>
      <c r="D932" s="4">
        <v>4301031361</v>
      </c>
      <c r="E932" s="3">
        <v>4607091389524</v>
      </c>
      <c r="F932" s="5" t="s">
        <v>374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9"/>
        <v>37.800000000000004</v>
      </c>
    </row>
    <row r="933" spans="1:11" ht="33.75" x14ac:dyDescent="0.25">
      <c r="A933" s="6" t="s">
        <v>652</v>
      </c>
      <c r="B933" s="3" t="s">
        <v>369</v>
      </c>
      <c r="C933" s="3" t="s">
        <v>2283</v>
      </c>
      <c r="D933" s="4">
        <v>4301031358</v>
      </c>
      <c r="E933" s="3">
        <v>4607091389531</v>
      </c>
      <c r="F933" s="5" t="s">
        <v>376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9"/>
        <v>37.800000000000004</v>
      </c>
    </row>
    <row r="934" spans="1:11" ht="33.75" x14ac:dyDescent="0.25">
      <c r="A934" s="6" t="s">
        <v>1144</v>
      </c>
      <c r="B934" s="3" t="s">
        <v>369</v>
      </c>
      <c r="C934" s="3" t="s">
        <v>2283</v>
      </c>
      <c r="D934" s="4">
        <v>4301031358</v>
      </c>
      <c r="E934" s="3">
        <v>4607091389531</v>
      </c>
      <c r="F934" s="5" t="s">
        <v>376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9"/>
        <v>37.800000000000004</v>
      </c>
    </row>
    <row r="935" spans="1:11" ht="33.75" x14ac:dyDescent="0.25">
      <c r="A935" s="6" t="s">
        <v>1218</v>
      </c>
      <c r="B935" s="3" t="s">
        <v>369</v>
      </c>
      <c r="C935" s="3" t="s">
        <v>2283</v>
      </c>
      <c r="D935" s="4">
        <v>4301031358</v>
      </c>
      <c r="E935" s="3">
        <v>4607091389531</v>
      </c>
      <c r="F935" s="5" t="s">
        <v>376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9"/>
        <v>37.800000000000004</v>
      </c>
    </row>
    <row r="936" spans="1:11" ht="33.75" x14ac:dyDescent="0.25">
      <c r="A936" s="6" t="s">
        <v>1334</v>
      </c>
      <c r="B936" s="3" t="s">
        <v>369</v>
      </c>
      <c r="C936" s="3" t="s">
        <v>2283</v>
      </c>
      <c r="D936" s="4">
        <v>4301031358</v>
      </c>
      <c r="E936" s="3">
        <v>4607091389531</v>
      </c>
      <c r="F936" s="5" t="s">
        <v>376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9"/>
        <v>37.800000000000004</v>
      </c>
    </row>
    <row r="937" spans="1:11" ht="33.75" x14ac:dyDescent="0.25">
      <c r="A937" s="6" t="s">
        <v>1539</v>
      </c>
      <c r="B937" s="3" t="s">
        <v>369</v>
      </c>
      <c r="C937" s="3" t="s">
        <v>2283</v>
      </c>
      <c r="D937" s="4">
        <v>4301031358</v>
      </c>
      <c r="E937" s="3">
        <v>4607091389531</v>
      </c>
      <c r="F937" s="5" t="s">
        <v>376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9"/>
        <v>37.800000000000004</v>
      </c>
    </row>
    <row r="938" spans="1:11" ht="33.75" x14ac:dyDescent="0.25">
      <c r="A938" s="6" t="s">
        <v>1540</v>
      </c>
      <c r="B938" s="3" t="s">
        <v>369</v>
      </c>
      <c r="C938" s="3" t="s">
        <v>2283</v>
      </c>
      <c r="D938" s="4">
        <v>4301031358</v>
      </c>
      <c r="E938" s="3">
        <v>4607091389531</v>
      </c>
      <c r="F938" s="5" t="s">
        <v>376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9"/>
        <v>37.800000000000004</v>
      </c>
    </row>
    <row r="939" spans="1:11" ht="33.75" x14ac:dyDescent="0.25">
      <c r="A939" s="6" t="s">
        <v>1660</v>
      </c>
      <c r="B939" s="3" t="s">
        <v>369</v>
      </c>
      <c r="C939" s="3" t="s">
        <v>2283</v>
      </c>
      <c r="D939" s="4">
        <v>4301031358</v>
      </c>
      <c r="E939" s="3">
        <v>4607091389531</v>
      </c>
      <c r="F939" s="5" t="s">
        <v>376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9"/>
        <v>37.800000000000004</v>
      </c>
    </row>
    <row r="940" spans="1:11" ht="33.75" x14ac:dyDescent="0.25">
      <c r="A940" s="6" t="s">
        <v>1914</v>
      </c>
      <c r="B940" s="3" t="s">
        <v>369</v>
      </c>
      <c r="C940" s="3" t="s">
        <v>2283</v>
      </c>
      <c r="D940" s="4">
        <v>4301031358</v>
      </c>
      <c r="E940" s="3">
        <v>4607091389531</v>
      </c>
      <c r="F940" s="5" t="s">
        <v>376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9"/>
        <v>37.800000000000004</v>
      </c>
    </row>
    <row r="941" spans="1:11" ht="33.75" x14ac:dyDescent="0.25">
      <c r="A941" s="6" t="s">
        <v>1584</v>
      </c>
      <c r="B941" s="3" t="s">
        <v>369</v>
      </c>
      <c r="C941" s="3" t="s">
        <v>2283</v>
      </c>
      <c r="D941" s="4">
        <v>4301031358</v>
      </c>
      <c r="E941" s="3">
        <v>4607091389531</v>
      </c>
      <c r="F941" s="5" t="s">
        <v>376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9"/>
        <v>37.800000000000004</v>
      </c>
    </row>
    <row r="942" spans="1:11" ht="33.75" x14ac:dyDescent="0.25">
      <c r="A942" s="6" t="s">
        <v>2084</v>
      </c>
      <c r="B942" s="3" t="s">
        <v>369</v>
      </c>
      <c r="C942" s="3" t="s">
        <v>2283</v>
      </c>
      <c r="D942" s="4">
        <v>4301031358</v>
      </c>
      <c r="E942" s="3">
        <v>4607091389531</v>
      </c>
      <c r="F942" s="5" t="s">
        <v>376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9"/>
        <v>37.800000000000004</v>
      </c>
    </row>
    <row r="943" spans="1:11" ht="33.75" x14ac:dyDescent="0.25">
      <c r="A943" s="6" t="s">
        <v>1806</v>
      </c>
      <c r="B943" s="3" t="s">
        <v>369</v>
      </c>
      <c r="C943" s="3" t="s">
        <v>2283</v>
      </c>
      <c r="D943" s="4">
        <v>4301031358</v>
      </c>
      <c r="E943" s="3">
        <v>4607091389531</v>
      </c>
      <c r="F943" s="5" t="s">
        <v>376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9"/>
        <v>37.800000000000004</v>
      </c>
    </row>
    <row r="944" spans="1:11" ht="33.75" x14ac:dyDescent="0.25">
      <c r="A944" s="6" t="s">
        <v>723</v>
      </c>
      <c r="B944" s="3" t="s">
        <v>369</v>
      </c>
      <c r="C944" s="3" t="s">
        <v>2283</v>
      </c>
      <c r="D944" s="4">
        <v>4301031358</v>
      </c>
      <c r="E944" s="3">
        <v>4607091389531</v>
      </c>
      <c r="F944" s="5" t="s">
        <v>376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9"/>
        <v>37.800000000000004</v>
      </c>
    </row>
    <row r="945" spans="1:11" ht="33.75" x14ac:dyDescent="0.25">
      <c r="A945" s="6" t="s">
        <v>376</v>
      </c>
      <c r="B945" s="3" t="s">
        <v>369</v>
      </c>
      <c r="C945" s="3" t="s">
        <v>2283</v>
      </c>
      <c r="D945" s="4">
        <v>4301031358</v>
      </c>
      <c r="E945" s="3">
        <v>4607091389531</v>
      </c>
      <c r="F945" s="5" t="s">
        <v>376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9"/>
        <v>37.800000000000004</v>
      </c>
    </row>
    <row r="946" spans="1:11" ht="33.75" x14ac:dyDescent="0.25">
      <c r="A946" s="6" t="s">
        <v>867</v>
      </c>
      <c r="B946" s="3" t="s">
        <v>369</v>
      </c>
      <c r="C946" s="3" t="s">
        <v>2283</v>
      </c>
      <c r="D946" s="4">
        <v>4301031358</v>
      </c>
      <c r="E946" s="3">
        <v>4607091389531</v>
      </c>
      <c r="F946" s="5" t="s">
        <v>376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9"/>
        <v>37.800000000000004</v>
      </c>
    </row>
    <row r="947" spans="1:11" ht="33.75" x14ac:dyDescent="0.25">
      <c r="A947" s="6" t="s">
        <v>459</v>
      </c>
      <c r="B947" s="3" t="s">
        <v>369</v>
      </c>
      <c r="C947" s="3" t="s">
        <v>2283</v>
      </c>
      <c r="D947" s="4">
        <v>4301031358</v>
      </c>
      <c r="E947" s="3">
        <v>4607091389531</v>
      </c>
      <c r="F947" s="5" t="s">
        <v>376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19"/>
        <v>37.800000000000004</v>
      </c>
    </row>
    <row r="948" spans="1:11" ht="22.5" x14ac:dyDescent="0.25">
      <c r="A948" s="6" t="s">
        <v>895</v>
      </c>
      <c r="B948" s="3" t="s">
        <v>379</v>
      </c>
      <c r="C948" s="3" t="s">
        <v>380</v>
      </c>
      <c r="D948" s="4">
        <v>4301051431</v>
      </c>
      <c r="E948" s="3">
        <v>4607091389654</v>
      </c>
      <c r="F948" s="5" t="s">
        <v>386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9"/>
        <v>23.759999999999998</v>
      </c>
    </row>
    <row r="949" spans="1:11" ht="22.5" x14ac:dyDescent="0.25">
      <c r="A949" s="6" t="s">
        <v>877</v>
      </c>
      <c r="B949" s="3" t="s">
        <v>379</v>
      </c>
      <c r="C949" s="3" t="s">
        <v>380</v>
      </c>
      <c r="D949" s="4">
        <v>4301051431</v>
      </c>
      <c r="E949" s="3">
        <v>4607091389654</v>
      </c>
      <c r="F949" s="5" t="s">
        <v>386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9"/>
        <v>23.759999999999998</v>
      </c>
    </row>
    <row r="950" spans="1:11" ht="22.5" x14ac:dyDescent="0.25">
      <c r="A950" s="6" t="s">
        <v>734</v>
      </c>
      <c r="B950" s="3" t="s">
        <v>379</v>
      </c>
      <c r="C950" s="3" t="s">
        <v>380</v>
      </c>
      <c r="D950" s="4">
        <v>4301051431</v>
      </c>
      <c r="E950" s="3">
        <v>4607091389654</v>
      </c>
      <c r="F950" s="5" t="s">
        <v>386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19"/>
        <v>23.759999999999998</v>
      </c>
    </row>
    <row r="951" spans="1:11" ht="22.5" x14ac:dyDescent="0.25">
      <c r="A951" s="6" t="s">
        <v>899</v>
      </c>
      <c r="B951" s="3" t="s">
        <v>383</v>
      </c>
      <c r="C951" s="3" t="s">
        <v>384</v>
      </c>
      <c r="D951" s="4">
        <v>4301051257</v>
      </c>
      <c r="E951" s="3">
        <v>4607091389661</v>
      </c>
      <c r="F951" s="5" t="s">
        <v>388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9"/>
        <v>#N/A</v>
      </c>
    </row>
    <row r="952" spans="1:11" ht="22.5" x14ac:dyDescent="0.25">
      <c r="A952" s="6" t="s">
        <v>884</v>
      </c>
      <c r="B952" s="3" t="s">
        <v>383</v>
      </c>
      <c r="C952" s="3" t="s">
        <v>384</v>
      </c>
      <c r="D952" s="4">
        <v>4301051257</v>
      </c>
      <c r="E952" s="3">
        <v>4607091389661</v>
      </c>
      <c r="F952" s="5" t="s">
        <v>388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9"/>
        <v>#N/A</v>
      </c>
    </row>
    <row r="953" spans="1:11" ht="22.5" x14ac:dyDescent="0.25">
      <c r="A953" s="6" t="s">
        <v>741</v>
      </c>
      <c r="B953" s="3" t="s">
        <v>383</v>
      </c>
      <c r="C953" s="3" t="s">
        <v>384</v>
      </c>
      <c r="D953" s="4">
        <v>4301051257</v>
      </c>
      <c r="E953" s="3">
        <v>4607091389661</v>
      </c>
      <c r="F953" s="5" t="s">
        <v>388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9"/>
        <v>#N/A</v>
      </c>
    </row>
    <row r="954" spans="1:11" ht="22.5" x14ac:dyDescent="0.25">
      <c r="A954" s="6" t="s">
        <v>657</v>
      </c>
      <c r="B954" s="3" t="s">
        <v>377</v>
      </c>
      <c r="C954" s="3" t="s">
        <v>378</v>
      </c>
      <c r="D954" s="4">
        <v>4301051258</v>
      </c>
      <c r="E954" s="3">
        <v>4607091389685</v>
      </c>
      <c r="F954" s="5" t="s">
        <v>385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9"/>
        <v>#N/A</v>
      </c>
    </row>
    <row r="955" spans="1:11" ht="22.5" x14ac:dyDescent="0.25">
      <c r="A955" s="6" t="s">
        <v>1315</v>
      </c>
      <c r="B955" s="3" t="s">
        <v>377</v>
      </c>
      <c r="C955" s="3" t="s">
        <v>378</v>
      </c>
      <c r="D955" s="4">
        <v>4301051258</v>
      </c>
      <c r="E955" s="3">
        <v>4607091389685</v>
      </c>
      <c r="F955" s="5" t="s">
        <v>385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9"/>
        <v>#N/A</v>
      </c>
    </row>
    <row r="956" spans="1:11" ht="22.5" x14ac:dyDescent="0.25">
      <c r="A956" s="6" t="s">
        <v>756</v>
      </c>
      <c r="B956" s="3" t="s">
        <v>377</v>
      </c>
      <c r="C956" s="3" t="s">
        <v>378</v>
      </c>
      <c r="D956" s="4">
        <v>4301051258</v>
      </c>
      <c r="E956" s="3">
        <v>4607091389685</v>
      </c>
      <c r="F956" s="5" t="s">
        <v>385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9"/>
        <v>#N/A</v>
      </c>
    </row>
    <row r="957" spans="1:11" ht="22.5" x14ac:dyDescent="0.25">
      <c r="A957" s="6" t="s">
        <v>1513</v>
      </c>
      <c r="B957" s="3" t="s">
        <v>377</v>
      </c>
      <c r="C957" s="3" t="s">
        <v>378</v>
      </c>
      <c r="D957" s="4">
        <v>4301051258</v>
      </c>
      <c r="E957" s="3">
        <v>4607091389685</v>
      </c>
      <c r="F957" s="5" t="s">
        <v>385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9"/>
        <v>#N/A</v>
      </c>
    </row>
    <row r="958" spans="1:11" ht="22.5" x14ac:dyDescent="0.25">
      <c r="A958" s="6" t="s">
        <v>556</v>
      </c>
      <c r="B958" s="3" t="s">
        <v>377</v>
      </c>
      <c r="C958" s="3" t="s">
        <v>378</v>
      </c>
      <c r="D958" s="4">
        <v>4301051258</v>
      </c>
      <c r="E958" s="3">
        <v>4607091389685</v>
      </c>
      <c r="F958" s="5" t="s">
        <v>385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19"/>
        <v>#N/A</v>
      </c>
    </row>
    <row r="959" spans="1:11" ht="22.5" x14ac:dyDescent="0.25">
      <c r="A959" s="6" t="s">
        <v>726</v>
      </c>
      <c r="B959" s="3" t="s">
        <v>359</v>
      </c>
      <c r="C959" s="3" t="s">
        <v>360</v>
      </c>
      <c r="D959" s="4">
        <v>4301011427</v>
      </c>
      <c r="E959" s="3">
        <v>4607091389692</v>
      </c>
      <c r="F959" s="5" t="s">
        <v>362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9"/>
        <v>32.400000000000006</v>
      </c>
    </row>
    <row r="960" spans="1:11" ht="22.5" x14ac:dyDescent="0.25">
      <c r="A960" s="6" t="s">
        <v>891</v>
      </c>
      <c r="B960" s="3" t="s">
        <v>359</v>
      </c>
      <c r="C960" s="3" t="s">
        <v>360</v>
      </c>
      <c r="D960" s="4">
        <v>4301011427</v>
      </c>
      <c r="E960" s="3">
        <v>4607091389692</v>
      </c>
      <c r="F960" s="5" t="s">
        <v>362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9"/>
        <v>32.400000000000006</v>
      </c>
    </row>
    <row r="961" spans="1:11" ht="22.5" x14ac:dyDescent="0.25">
      <c r="A961" s="6" t="s">
        <v>870</v>
      </c>
      <c r="B961" s="3" t="s">
        <v>359</v>
      </c>
      <c r="C961" s="3" t="s">
        <v>360</v>
      </c>
      <c r="D961" s="4">
        <v>4301011427</v>
      </c>
      <c r="E961" s="3">
        <v>4607091389692</v>
      </c>
      <c r="F961" s="5" t="s">
        <v>362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9"/>
        <v>32.400000000000006</v>
      </c>
    </row>
    <row r="962" spans="1:11" ht="22.5" x14ac:dyDescent="0.25">
      <c r="A962" s="6" t="s">
        <v>667</v>
      </c>
      <c r="B962" s="3" t="s">
        <v>359</v>
      </c>
      <c r="C962" s="3" t="s">
        <v>360</v>
      </c>
      <c r="D962" s="4">
        <v>4301011427</v>
      </c>
      <c r="E962" s="3">
        <v>4607091389692</v>
      </c>
      <c r="F962" s="5" t="s">
        <v>362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9"/>
        <v>32.400000000000006</v>
      </c>
    </row>
    <row r="963" spans="1:11" ht="22.5" x14ac:dyDescent="0.25">
      <c r="A963" s="6" t="s">
        <v>892</v>
      </c>
      <c r="B963" s="3" t="s">
        <v>357</v>
      </c>
      <c r="C963" s="3" t="s">
        <v>358</v>
      </c>
      <c r="D963" s="4">
        <v>4301011428</v>
      </c>
      <c r="E963" s="3">
        <v>4607091389708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9"/>
        <v>32.400000000000006</v>
      </c>
    </row>
    <row r="964" spans="1:11" ht="22.5" x14ac:dyDescent="0.25">
      <c r="A964" s="6" t="s">
        <v>871</v>
      </c>
      <c r="B964" s="3" t="s">
        <v>357</v>
      </c>
      <c r="C964" s="3" t="s">
        <v>358</v>
      </c>
      <c r="D964" s="4">
        <v>4301011428</v>
      </c>
      <c r="E964" s="3">
        <v>4607091389708</v>
      </c>
      <c r="F964" s="5" t="s">
        <v>361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9"/>
        <v>32.400000000000006</v>
      </c>
    </row>
    <row r="965" spans="1:11" ht="22.5" x14ac:dyDescent="0.25">
      <c r="A965" s="6" t="s">
        <v>727</v>
      </c>
      <c r="B965" s="3" t="s">
        <v>357</v>
      </c>
      <c r="C965" s="3" t="s">
        <v>358</v>
      </c>
      <c r="D965" s="4">
        <v>4301011428</v>
      </c>
      <c r="E965" s="3">
        <v>4607091389708</v>
      </c>
      <c r="F965" s="5" t="s">
        <v>361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19"/>
        <v>32.400000000000006</v>
      </c>
    </row>
    <row r="966" spans="1:11" ht="22.5" x14ac:dyDescent="0.25">
      <c r="A966" s="6" t="s">
        <v>604</v>
      </c>
      <c r="B966" s="3" t="s">
        <v>392</v>
      </c>
      <c r="C966" s="3" t="s">
        <v>2554</v>
      </c>
      <c r="D966" s="4">
        <v>4301031403</v>
      </c>
      <c r="E966" s="3">
        <v>4680115886094</v>
      </c>
      <c r="F966" s="5" t="s">
        <v>2555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2335</v>
      </c>
      <c r="B967" s="3" t="s">
        <v>392</v>
      </c>
      <c r="C967" s="3" t="s">
        <v>2554</v>
      </c>
      <c r="D967" s="4">
        <v>4301031403</v>
      </c>
      <c r="E967" s="3">
        <v>4680115886094</v>
      </c>
      <c r="F967" s="5" t="s">
        <v>2555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1810</v>
      </c>
      <c r="B968" s="3" t="s">
        <v>392</v>
      </c>
      <c r="C968" s="3" t="s">
        <v>2554</v>
      </c>
      <c r="D968" s="4">
        <v>4301031403</v>
      </c>
      <c r="E968" s="3">
        <v>4680115886094</v>
      </c>
      <c r="F968" s="5" t="s">
        <v>2555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2126</v>
      </c>
      <c r="B969" s="3" t="s">
        <v>392</v>
      </c>
      <c r="C969" s="3" t="s">
        <v>2554</v>
      </c>
      <c r="D969" s="4">
        <v>4301031403</v>
      </c>
      <c r="E969" s="3">
        <v>4680115886094</v>
      </c>
      <c r="F969" s="5" t="s">
        <v>2555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1136</v>
      </c>
      <c r="B970" s="3" t="s">
        <v>392</v>
      </c>
      <c r="C970" s="3" t="s">
        <v>2554</v>
      </c>
      <c r="D970" s="4">
        <v>4301031403</v>
      </c>
      <c r="E970" s="3">
        <v>4680115886094</v>
      </c>
      <c r="F970" s="5" t="s">
        <v>2555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1481</v>
      </c>
      <c r="B971" s="3" t="s">
        <v>392</v>
      </c>
      <c r="C971" s="3" t="s">
        <v>2554</v>
      </c>
      <c r="D971" s="4">
        <v>4301031403</v>
      </c>
      <c r="E971" s="3">
        <v>4680115886094</v>
      </c>
      <c r="F971" s="5" t="s">
        <v>2555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1706</v>
      </c>
      <c r="B972" s="3" t="s">
        <v>392</v>
      </c>
      <c r="C972" s="3" t="s">
        <v>2554</v>
      </c>
      <c r="D972" s="4">
        <v>4301031403</v>
      </c>
      <c r="E972" s="3">
        <v>4680115886094</v>
      </c>
      <c r="F972" s="5" t="s">
        <v>2555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626</v>
      </c>
      <c r="B973" s="3" t="s">
        <v>392</v>
      </c>
      <c r="C973" s="3" t="s">
        <v>2554</v>
      </c>
      <c r="D973" s="4">
        <v>4301031403</v>
      </c>
      <c r="E973" s="3">
        <v>4680115886094</v>
      </c>
      <c r="F973" s="5" t="s">
        <v>2555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1568</v>
      </c>
      <c r="B974" s="3" t="s">
        <v>392</v>
      </c>
      <c r="C974" s="3" t="s">
        <v>2554</v>
      </c>
      <c r="D974" s="4">
        <v>4301031403</v>
      </c>
      <c r="E974" s="3">
        <v>4680115886094</v>
      </c>
      <c r="F974" s="5" t="s">
        <v>2555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2018</v>
      </c>
      <c r="B975" s="3" t="s">
        <v>392</v>
      </c>
      <c r="C975" s="3" t="s">
        <v>2554</v>
      </c>
      <c r="D975" s="4">
        <v>4301031403</v>
      </c>
      <c r="E975" s="3">
        <v>4680115886094</v>
      </c>
      <c r="F975" s="5" t="s">
        <v>2555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788</v>
      </c>
      <c r="B976" s="3" t="s">
        <v>392</v>
      </c>
      <c r="C976" s="3" t="s">
        <v>2554</v>
      </c>
      <c r="D976" s="4">
        <v>4301031403</v>
      </c>
      <c r="E976" s="3">
        <v>4680115886094</v>
      </c>
      <c r="F976" s="5" t="s">
        <v>2555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1514</v>
      </c>
      <c r="B977" s="3" t="s">
        <v>392</v>
      </c>
      <c r="C977" s="3" t="s">
        <v>2554</v>
      </c>
      <c r="D977" s="4">
        <v>4301031403</v>
      </c>
      <c r="E977" s="3">
        <v>4680115886094</v>
      </c>
      <c r="F977" s="5" t="s">
        <v>2555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1885</v>
      </c>
      <c r="B978" s="3" t="s">
        <v>392</v>
      </c>
      <c r="C978" s="3" t="s">
        <v>2554</v>
      </c>
      <c r="D978" s="4">
        <v>4301031403</v>
      </c>
      <c r="E978" s="3">
        <v>4680115886094</v>
      </c>
      <c r="F978" s="5" t="s">
        <v>2555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2519</v>
      </c>
      <c r="B979" s="3" t="s">
        <v>392</v>
      </c>
      <c r="C979" s="3" t="s">
        <v>2554</v>
      </c>
      <c r="D979" s="4">
        <v>4301031403</v>
      </c>
      <c r="E979" s="3">
        <v>4680115886094</v>
      </c>
      <c r="F979" s="5" t="s">
        <v>2555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2107</v>
      </c>
      <c r="B980" s="3" t="s">
        <v>392</v>
      </c>
      <c r="C980" s="3" t="s">
        <v>2554</v>
      </c>
      <c r="D980" s="4">
        <v>4301031403</v>
      </c>
      <c r="E980" s="3">
        <v>4680115886094</v>
      </c>
      <c r="F980" s="5" t="s">
        <v>2555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397</v>
      </c>
      <c r="B981" s="3" t="s">
        <v>392</v>
      </c>
      <c r="C981" s="3" t="s">
        <v>2554</v>
      </c>
      <c r="D981" s="4">
        <v>4301031403</v>
      </c>
      <c r="E981" s="3">
        <v>4680115886094</v>
      </c>
      <c r="F981" s="5" t="s">
        <v>2555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1228</v>
      </c>
      <c r="B982" s="8" t="s">
        <v>365</v>
      </c>
      <c r="C982" s="8" t="s">
        <v>2646</v>
      </c>
      <c r="D982" s="9">
        <v>4301031402</v>
      </c>
      <c r="E982" s="10">
        <v>4680115886124</v>
      </c>
      <c r="F982" s="5" t="s">
        <v>2647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9"/>
        <v>50.400000000000006</v>
      </c>
    </row>
    <row r="983" spans="1:11" ht="22.5" x14ac:dyDescent="0.25">
      <c r="A983" s="6" t="s">
        <v>530</v>
      </c>
      <c r="B983" s="8" t="s">
        <v>365</v>
      </c>
      <c r="C983" s="8" t="s">
        <v>2646</v>
      </c>
      <c r="D983" s="9">
        <v>4301031402</v>
      </c>
      <c r="E983" s="10">
        <v>4680115886124</v>
      </c>
      <c r="F983" s="5" t="s">
        <v>2647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9"/>
        <v>50.400000000000006</v>
      </c>
    </row>
    <row r="984" spans="1:11" ht="22.5" x14ac:dyDescent="0.25">
      <c r="A984" s="6" t="s">
        <v>1223</v>
      </c>
      <c r="B984" s="8" t="s">
        <v>365</v>
      </c>
      <c r="C984" s="8" t="s">
        <v>2646</v>
      </c>
      <c r="D984" s="9">
        <v>4301031402</v>
      </c>
      <c r="E984" s="10">
        <v>4680115886124</v>
      </c>
      <c r="F984" s="5" t="s">
        <v>2647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9"/>
        <v>50.400000000000006</v>
      </c>
    </row>
    <row r="985" spans="1:11" ht="22.5" x14ac:dyDescent="0.25">
      <c r="A985" s="6" t="s">
        <v>1335</v>
      </c>
      <c r="B985" s="8" t="s">
        <v>365</v>
      </c>
      <c r="C985" s="8" t="s">
        <v>2646</v>
      </c>
      <c r="D985" s="9">
        <v>4301031402</v>
      </c>
      <c r="E985" s="10">
        <v>4680115886124</v>
      </c>
      <c r="F985" s="5" t="s">
        <v>2647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9"/>
        <v>50.400000000000006</v>
      </c>
    </row>
    <row r="986" spans="1:11" ht="22.5" x14ac:dyDescent="0.25">
      <c r="A986" s="6" t="s">
        <v>1453</v>
      </c>
      <c r="B986" s="8" t="s">
        <v>365</v>
      </c>
      <c r="C986" s="8" t="s">
        <v>2646</v>
      </c>
      <c r="D986" s="9">
        <v>4301031402</v>
      </c>
      <c r="E986" s="10">
        <v>4680115886124</v>
      </c>
      <c r="F986" s="5" t="s">
        <v>2647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19"/>
        <v>50.400000000000006</v>
      </c>
    </row>
    <row r="987" spans="1:11" ht="22.5" x14ac:dyDescent="0.25">
      <c r="A987" s="6" t="s">
        <v>2541</v>
      </c>
      <c r="B987" s="8" t="s">
        <v>365</v>
      </c>
      <c r="C987" s="8" t="s">
        <v>2646</v>
      </c>
      <c r="D987" s="9">
        <v>4301031402</v>
      </c>
      <c r="E987" s="10">
        <v>4680115886124</v>
      </c>
      <c r="F987" s="5" t="s">
        <v>2647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ref="K987" si="120">J987*I987</f>
        <v>50.400000000000006</v>
      </c>
    </row>
    <row r="988" spans="1:11" ht="22.5" x14ac:dyDescent="0.25">
      <c r="A988" s="6" t="s">
        <v>1454</v>
      </c>
      <c r="B988" s="8" t="s">
        <v>365</v>
      </c>
      <c r="C988" s="8" t="s">
        <v>2646</v>
      </c>
      <c r="D988" s="9">
        <v>4301031402</v>
      </c>
      <c r="E988" s="10">
        <v>4680115886124</v>
      </c>
      <c r="F988" s="5" t="s">
        <v>2647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si="119"/>
        <v>50.400000000000006</v>
      </c>
    </row>
    <row r="989" spans="1:11" ht="22.5" x14ac:dyDescent="0.25">
      <c r="A989" s="6" t="s">
        <v>2402</v>
      </c>
      <c r="B989" s="8" t="s">
        <v>365</v>
      </c>
      <c r="C989" s="8" t="s">
        <v>2646</v>
      </c>
      <c r="D989" s="9">
        <v>4301031402</v>
      </c>
      <c r="E989" s="10">
        <v>4680115886124</v>
      </c>
      <c r="F989" s="5" t="s">
        <v>2647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ref="K989" si="121">J989*I989</f>
        <v>50.400000000000006</v>
      </c>
    </row>
    <row r="990" spans="1:11" ht="22.5" x14ac:dyDescent="0.25">
      <c r="A990" s="6" t="s">
        <v>2081</v>
      </c>
      <c r="B990" s="8" t="s">
        <v>365</v>
      </c>
      <c r="C990" s="8" t="s">
        <v>2646</v>
      </c>
      <c r="D990" s="9">
        <v>4301031402</v>
      </c>
      <c r="E990" s="10">
        <v>4680115886124</v>
      </c>
      <c r="F990" s="5" t="s">
        <v>2647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si="119"/>
        <v>50.400000000000006</v>
      </c>
    </row>
    <row r="991" spans="1:11" ht="22.5" x14ac:dyDescent="0.25">
      <c r="A991" s="6" t="s">
        <v>584</v>
      </c>
      <c r="B991" s="8" t="s">
        <v>365</v>
      </c>
      <c r="C991" s="8" t="s">
        <v>2646</v>
      </c>
      <c r="D991" s="9">
        <v>4301031402</v>
      </c>
      <c r="E991" s="10">
        <v>4680115886124</v>
      </c>
      <c r="F991" s="5" t="s">
        <v>2647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ref="K991:K1060" si="122">J991*I991</f>
        <v>50.400000000000006</v>
      </c>
    </row>
    <row r="992" spans="1:11" ht="22.5" x14ac:dyDescent="0.25">
      <c r="A992" s="6" t="s">
        <v>1482</v>
      </c>
      <c r="B992" s="8" t="s">
        <v>365</v>
      </c>
      <c r="C992" s="8" t="s">
        <v>2646</v>
      </c>
      <c r="D992" s="9">
        <v>4301031402</v>
      </c>
      <c r="E992" s="10">
        <v>4680115886124</v>
      </c>
      <c r="F992" s="5" t="s">
        <v>2647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2"/>
        <v>50.400000000000006</v>
      </c>
    </row>
    <row r="993" spans="1:11" ht="22.5" x14ac:dyDescent="0.25">
      <c r="A993" s="6" t="s">
        <v>372</v>
      </c>
      <c r="B993" s="8" t="s">
        <v>365</v>
      </c>
      <c r="C993" s="8" t="s">
        <v>2646</v>
      </c>
      <c r="D993" s="9">
        <v>4301031402</v>
      </c>
      <c r="E993" s="10">
        <v>4680115886124</v>
      </c>
      <c r="F993" s="5" t="s">
        <v>2647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2"/>
        <v>50.400000000000006</v>
      </c>
    </row>
    <row r="994" spans="1:11" ht="22.5" x14ac:dyDescent="0.25">
      <c r="A994" s="6" t="s">
        <v>1150</v>
      </c>
      <c r="B994" s="8" t="s">
        <v>365</v>
      </c>
      <c r="C994" s="8" t="s">
        <v>2646</v>
      </c>
      <c r="D994" s="9">
        <v>4301031402</v>
      </c>
      <c r="E994" s="10">
        <v>4680115886124</v>
      </c>
      <c r="F994" s="5" t="s">
        <v>2647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2"/>
        <v>50.400000000000006</v>
      </c>
    </row>
    <row r="995" spans="1:11" ht="22.5" x14ac:dyDescent="0.25">
      <c r="A995" s="6" t="s">
        <v>602</v>
      </c>
      <c r="B995" s="8" t="s">
        <v>365</v>
      </c>
      <c r="C995" s="8" t="s">
        <v>2646</v>
      </c>
      <c r="D995" s="9">
        <v>4301031402</v>
      </c>
      <c r="E995" s="10">
        <v>4680115886124</v>
      </c>
      <c r="F995" s="5" t="s">
        <v>2647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2"/>
        <v>50.400000000000006</v>
      </c>
    </row>
    <row r="996" spans="1:11" ht="22.5" x14ac:dyDescent="0.25">
      <c r="A996" s="6" t="s">
        <v>2019</v>
      </c>
      <c r="B996" s="8" t="s">
        <v>365</v>
      </c>
      <c r="C996" s="8" t="s">
        <v>2646</v>
      </c>
      <c r="D996" s="9">
        <v>4301031402</v>
      </c>
      <c r="E996" s="10">
        <v>4680115886124</v>
      </c>
      <c r="F996" s="5" t="s">
        <v>2647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2"/>
        <v>50.400000000000006</v>
      </c>
    </row>
    <row r="997" spans="1:11" ht="22.5" x14ac:dyDescent="0.25">
      <c r="A997" s="6" t="s">
        <v>531</v>
      </c>
      <c r="B997" s="8" t="s">
        <v>363</v>
      </c>
      <c r="C997" s="8" t="s">
        <v>2565</v>
      </c>
      <c r="D997" s="9">
        <v>4301031405</v>
      </c>
      <c r="E997" s="3">
        <v>4680115886100</v>
      </c>
      <c r="F997" s="5" t="s">
        <v>2566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2"/>
        <v>50.400000000000006</v>
      </c>
    </row>
    <row r="998" spans="1:11" ht="22.5" x14ac:dyDescent="0.25">
      <c r="A998" s="6" t="s">
        <v>583</v>
      </c>
      <c r="B998" s="8" t="s">
        <v>363</v>
      </c>
      <c r="C998" s="8" t="s">
        <v>2565</v>
      </c>
      <c r="D998" s="9">
        <v>4301031405</v>
      </c>
      <c r="E998" s="3">
        <v>4680115886100</v>
      </c>
      <c r="F998" s="5" t="s">
        <v>2566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2"/>
        <v>50.400000000000006</v>
      </c>
    </row>
    <row r="999" spans="1:11" ht="22.5" x14ac:dyDescent="0.25">
      <c r="A999" s="6" t="s">
        <v>1524</v>
      </c>
      <c r="B999" s="8" t="s">
        <v>363</v>
      </c>
      <c r="C999" s="8" t="s">
        <v>2565</v>
      </c>
      <c r="D999" s="9">
        <v>4301031405</v>
      </c>
      <c r="E999" s="3">
        <v>4680115886100</v>
      </c>
      <c r="F999" s="5" t="s">
        <v>2566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2"/>
        <v>50.400000000000006</v>
      </c>
    </row>
    <row r="1000" spans="1:11" ht="22.5" x14ac:dyDescent="0.25">
      <c r="A1000" s="6" t="s">
        <v>1630</v>
      </c>
      <c r="B1000" s="8" t="s">
        <v>363</v>
      </c>
      <c r="C1000" s="8" t="s">
        <v>2565</v>
      </c>
      <c r="D1000" s="9">
        <v>4301031405</v>
      </c>
      <c r="E1000" s="3">
        <v>4680115886100</v>
      </c>
      <c r="F1000" s="5" t="s">
        <v>2566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2"/>
        <v>50.400000000000006</v>
      </c>
    </row>
    <row r="1001" spans="1:11" ht="22.5" x14ac:dyDescent="0.25">
      <c r="A1001" s="6" t="s">
        <v>370</v>
      </c>
      <c r="B1001" s="8" t="s">
        <v>363</v>
      </c>
      <c r="C1001" s="8" t="s">
        <v>2565</v>
      </c>
      <c r="D1001" s="9">
        <v>4301031405</v>
      </c>
      <c r="E1001" s="3">
        <v>4680115886100</v>
      </c>
      <c r="F1001" s="5" t="s">
        <v>2566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2"/>
        <v>50.400000000000006</v>
      </c>
    </row>
    <row r="1002" spans="1:11" ht="22.5" x14ac:dyDescent="0.25">
      <c r="A1002" s="6" t="s">
        <v>674</v>
      </c>
      <c r="B1002" s="8" t="s">
        <v>363</v>
      </c>
      <c r="C1002" s="8" t="s">
        <v>2565</v>
      </c>
      <c r="D1002" s="9">
        <v>4301031405</v>
      </c>
      <c r="E1002" s="3">
        <v>4680115886100</v>
      </c>
      <c r="F1002" s="5" t="s">
        <v>2566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2"/>
        <v>50.400000000000006</v>
      </c>
    </row>
    <row r="1003" spans="1:11" ht="22.5" x14ac:dyDescent="0.25">
      <c r="A1003" s="6" t="s">
        <v>777</v>
      </c>
      <c r="B1003" s="8" t="s">
        <v>363</v>
      </c>
      <c r="C1003" s="8" t="s">
        <v>2565</v>
      </c>
      <c r="D1003" s="9">
        <v>4301031405</v>
      </c>
      <c r="E1003" s="3">
        <v>4680115886100</v>
      </c>
      <c r="F1003" s="5" t="s">
        <v>2566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2"/>
        <v>50.400000000000006</v>
      </c>
    </row>
    <row r="1004" spans="1:11" ht="22.5" x14ac:dyDescent="0.25">
      <c r="A1004" s="6" t="s">
        <v>1215</v>
      </c>
      <c r="B1004" s="8" t="s">
        <v>363</v>
      </c>
      <c r="C1004" s="8" t="s">
        <v>2565</v>
      </c>
      <c r="D1004" s="9">
        <v>4301031405</v>
      </c>
      <c r="E1004" s="3">
        <v>4680115886100</v>
      </c>
      <c r="F1004" s="5" t="s">
        <v>2566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2"/>
        <v>50.400000000000006</v>
      </c>
    </row>
    <row r="1005" spans="1:11" ht="22.5" x14ac:dyDescent="0.25">
      <c r="A1005" s="6" t="s">
        <v>1332</v>
      </c>
      <c r="B1005" s="8" t="s">
        <v>363</v>
      </c>
      <c r="C1005" s="8" t="s">
        <v>2565</v>
      </c>
      <c r="D1005" s="9">
        <v>4301031405</v>
      </c>
      <c r="E1005" s="3">
        <v>4680115886100</v>
      </c>
      <c r="F1005" s="5" t="s">
        <v>2566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2"/>
        <v>50.400000000000006</v>
      </c>
    </row>
    <row r="1006" spans="1:11" ht="22.5" x14ac:dyDescent="0.25">
      <c r="A1006" s="6" t="s">
        <v>2125</v>
      </c>
      <c r="B1006" s="8" t="s">
        <v>363</v>
      </c>
      <c r="C1006" s="8" t="s">
        <v>2565</v>
      </c>
      <c r="D1006" s="9">
        <v>4301031405</v>
      </c>
      <c r="E1006" s="3">
        <v>4680115886100</v>
      </c>
      <c r="F1006" s="5" t="s">
        <v>2566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2"/>
        <v>50.400000000000006</v>
      </c>
    </row>
    <row r="1007" spans="1:11" ht="22.5" x14ac:dyDescent="0.25">
      <c r="A1007" s="6" t="s">
        <v>1105</v>
      </c>
      <c r="B1007" s="8" t="s">
        <v>363</v>
      </c>
      <c r="C1007" s="8" t="s">
        <v>2565</v>
      </c>
      <c r="D1007" s="9">
        <v>4301031405</v>
      </c>
      <c r="E1007" s="3">
        <v>4680115886100</v>
      </c>
      <c r="F1007" s="5" t="s">
        <v>2566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2"/>
        <v>50.400000000000006</v>
      </c>
    </row>
    <row r="1008" spans="1:11" ht="22.5" x14ac:dyDescent="0.25">
      <c r="A1008" s="6" t="s">
        <v>1855</v>
      </c>
      <c r="B1008" s="8" t="s">
        <v>363</v>
      </c>
      <c r="C1008" s="8" t="s">
        <v>2565</v>
      </c>
      <c r="D1008" s="9">
        <v>4301031405</v>
      </c>
      <c r="E1008" s="3">
        <v>4680115886100</v>
      </c>
      <c r="F1008" s="5" t="s">
        <v>2566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2"/>
        <v>50.400000000000006</v>
      </c>
    </row>
    <row r="1009" spans="1:11" ht="22.5" x14ac:dyDescent="0.25">
      <c r="A1009" s="6" t="s">
        <v>1886</v>
      </c>
      <c r="B1009" s="8" t="s">
        <v>363</v>
      </c>
      <c r="C1009" s="8" t="s">
        <v>2565</v>
      </c>
      <c r="D1009" s="9">
        <v>4301031405</v>
      </c>
      <c r="E1009" s="3">
        <v>4680115886100</v>
      </c>
      <c r="F1009" s="5" t="s">
        <v>2566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2"/>
        <v>50.400000000000006</v>
      </c>
    </row>
    <row r="1010" spans="1:11" ht="22.5" x14ac:dyDescent="0.25">
      <c r="A1010" s="6" t="s">
        <v>1480</v>
      </c>
      <c r="B1010" s="8" t="s">
        <v>363</v>
      </c>
      <c r="C1010" s="8" t="s">
        <v>2565</v>
      </c>
      <c r="D1010" s="9">
        <v>4301031405</v>
      </c>
      <c r="E1010" s="3">
        <v>4680115886100</v>
      </c>
      <c r="F1010" s="5" t="s">
        <v>2566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2"/>
        <v>50.400000000000006</v>
      </c>
    </row>
    <row r="1011" spans="1:11" ht="22.5" x14ac:dyDescent="0.25">
      <c r="A1011" s="6" t="s">
        <v>1148</v>
      </c>
      <c r="B1011" s="8" t="s">
        <v>363</v>
      </c>
      <c r="C1011" s="8" t="s">
        <v>2565</v>
      </c>
      <c r="D1011" s="9">
        <v>4301031405</v>
      </c>
      <c r="E1011" s="3">
        <v>4680115886100</v>
      </c>
      <c r="F1011" s="5" t="s">
        <v>2566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2"/>
        <v>50.400000000000006</v>
      </c>
    </row>
    <row r="1012" spans="1:11" ht="22.5" x14ac:dyDescent="0.25">
      <c r="A1012" s="6" t="s">
        <v>1595</v>
      </c>
      <c r="B1012" s="8" t="s">
        <v>363</v>
      </c>
      <c r="C1012" s="8" t="s">
        <v>2565</v>
      </c>
      <c r="D1012" s="9">
        <v>4301031405</v>
      </c>
      <c r="E1012" s="3">
        <v>4680115886100</v>
      </c>
      <c r="F1012" s="5" t="s">
        <v>2566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2"/>
        <v>50.400000000000006</v>
      </c>
    </row>
    <row r="1013" spans="1:11" ht="22.5" x14ac:dyDescent="0.25">
      <c r="A1013" s="6" t="s">
        <v>1639</v>
      </c>
      <c r="B1013" s="8" t="s">
        <v>363</v>
      </c>
      <c r="C1013" s="8" t="s">
        <v>2565</v>
      </c>
      <c r="D1013" s="9">
        <v>4301031405</v>
      </c>
      <c r="E1013" s="3">
        <v>4680115886100</v>
      </c>
      <c r="F1013" s="5" t="s">
        <v>2566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2"/>
        <v>50.400000000000006</v>
      </c>
    </row>
    <row r="1014" spans="1:11" ht="22.5" x14ac:dyDescent="0.25">
      <c r="A1014" s="6" t="s">
        <v>2020</v>
      </c>
      <c r="B1014" s="8" t="s">
        <v>363</v>
      </c>
      <c r="C1014" s="8" t="s">
        <v>2565</v>
      </c>
      <c r="D1014" s="9">
        <v>4301031405</v>
      </c>
      <c r="E1014" s="3">
        <v>4680115886100</v>
      </c>
      <c r="F1014" s="5" t="s">
        <v>2566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2"/>
        <v>50.400000000000006</v>
      </c>
    </row>
    <row r="1015" spans="1:11" ht="22.5" x14ac:dyDescent="0.25">
      <c r="A1015" s="6" t="s">
        <v>1689</v>
      </c>
      <c r="B1015" s="8" t="s">
        <v>363</v>
      </c>
      <c r="C1015" s="8" t="s">
        <v>2565</v>
      </c>
      <c r="D1015" s="9">
        <v>4301031405</v>
      </c>
      <c r="E1015" s="3">
        <v>4680115886100</v>
      </c>
      <c r="F1015" s="5" t="s">
        <v>2566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2"/>
        <v>50.400000000000006</v>
      </c>
    </row>
    <row r="1016" spans="1:11" ht="22.5" x14ac:dyDescent="0.25">
      <c r="A1016" s="6" t="s">
        <v>616</v>
      </c>
      <c r="B1016" s="8" t="s">
        <v>363</v>
      </c>
      <c r="C1016" s="8" t="s">
        <v>2565</v>
      </c>
      <c r="D1016" s="9">
        <v>4301031405</v>
      </c>
      <c r="E1016" s="3">
        <v>4680115886100</v>
      </c>
      <c r="F1016" s="5" t="s">
        <v>2566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2"/>
        <v>50.400000000000006</v>
      </c>
    </row>
    <row r="1017" spans="1:11" ht="22.5" x14ac:dyDescent="0.25">
      <c r="A1017" s="6" t="s">
        <v>603</v>
      </c>
      <c r="B1017" s="3" t="s">
        <v>364</v>
      </c>
      <c r="C1017" s="3" t="s">
        <v>2567</v>
      </c>
      <c r="D1017" s="4">
        <v>4301031406</v>
      </c>
      <c r="E1017" s="3">
        <v>4680115886117</v>
      </c>
      <c r="F1017" s="5" t="s">
        <v>2568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2"/>
        <v>50.400000000000006</v>
      </c>
    </row>
    <row r="1018" spans="1:11" ht="22.5" x14ac:dyDescent="0.25">
      <c r="A1018" s="6" t="s">
        <v>490</v>
      </c>
      <c r="B1018" s="3" t="s">
        <v>364</v>
      </c>
      <c r="C1018" s="3" t="s">
        <v>2567</v>
      </c>
      <c r="D1018" s="4">
        <v>4301031406</v>
      </c>
      <c r="E1018" s="3">
        <v>4680115886117</v>
      </c>
      <c r="F1018" s="5" t="s">
        <v>2568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2"/>
        <v>50.400000000000006</v>
      </c>
    </row>
    <row r="1019" spans="1:11" ht="22.5" x14ac:dyDescent="0.25">
      <c r="A1019" s="6" t="s">
        <v>543</v>
      </c>
      <c r="B1019" s="3" t="s">
        <v>364</v>
      </c>
      <c r="C1019" s="3" t="s">
        <v>2567</v>
      </c>
      <c r="D1019" s="4">
        <v>4301031406</v>
      </c>
      <c r="E1019" s="3">
        <v>4680115886117</v>
      </c>
      <c r="F1019" s="5" t="s">
        <v>2568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2"/>
        <v>50.400000000000006</v>
      </c>
    </row>
    <row r="1020" spans="1:11" ht="22.5" x14ac:dyDescent="0.25">
      <c r="A1020" s="6" t="s">
        <v>632</v>
      </c>
      <c r="B1020" s="3" t="s">
        <v>364</v>
      </c>
      <c r="C1020" s="3" t="s">
        <v>2567</v>
      </c>
      <c r="D1020" s="4">
        <v>4301031406</v>
      </c>
      <c r="E1020" s="3">
        <v>4680115886117</v>
      </c>
      <c r="F1020" s="5" t="s">
        <v>2568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2"/>
        <v>50.400000000000006</v>
      </c>
    </row>
    <row r="1021" spans="1:11" ht="22.5" x14ac:dyDescent="0.25">
      <c r="A1021" s="6" t="s">
        <v>780</v>
      </c>
      <c r="B1021" s="3" t="s">
        <v>364</v>
      </c>
      <c r="C1021" s="3" t="s">
        <v>2567</v>
      </c>
      <c r="D1021" s="4">
        <v>4301031406</v>
      </c>
      <c r="E1021" s="3">
        <v>4680115886117</v>
      </c>
      <c r="F1021" s="5" t="s">
        <v>2568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2"/>
        <v>50.400000000000006</v>
      </c>
    </row>
    <row r="1022" spans="1:11" ht="22.5" x14ac:dyDescent="0.25">
      <c r="A1022" s="6" t="s">
        <v>1222</v>
      </c>
      <c r="B1022" s="3" t="s">
        <v>364</v>
      </c>
      <c r="C1022" s="3" t="s">
        <v>2567</v>
      </c>
      <c r="D1022" s="4">
        <v>4301031406</v>
      </c>
      <c r="E1022" s="3">
        <v>4680115886117</v>
      </c>
      <c r="F1022" s="5" t="s">
        <v>2568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2"/>
        <v>50.400000000000006</v>
      </c>
    </row>
    <row r="1023" spans="1:11" ht="22.5" x14ac:dyDescent="0.25">
      <c r="A1023" s="6" t="s">
        <v>1875</v>
      </c>
      <c r="B1023" s="3" t="s">
        <v>364</v>
      </c>
      <c r="C1023" s="3" t="s">
        <v>2567</v>
      </c>
      <c r="D1023" s="4">
        <v>4301031406</v>
      </c>
      <c r="E1023" s="3">
        <v>4680115886117</v>
      </c>
      <c r="F1023" s="5" t="s">
        <v>2568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2"/>
        <v>50.400000000000006</v>
      </c>
    </row>
    <row r="1024" spans="1:11" ht="22.5" x14ac:dyDescent="0.25">
      <c r="A1024" s="6" t="s">
        <v>1964</v>
      </c>
      <c r="B1024" s="3" t="s">
        <v>364</v>
      </c>
      <c r="C1024" s="3" t="s">
        <v>2567</v>
      </c>
      <c r="D1024" s="4">
        <v>4301031406</v>
      </c>
      <c r="E1024" s="3">
        <v>4680115886117</v>
      </c>
      <c r="F1024" s="5" t="s">
        <v>2568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2"/>
        <v>50.400000000000006</v>
      </c>
    </row>
    <row r="1025" spans="1:11" ht="22.5" x14ac:dyDescent="0.25">
      <c r="A1025" s="6" t="s">
        <v>1149</v>
      </c>
      <c r="B1025" s="3" t="s">
        <v>364</v>
      </c>
      <c r="C1025" s="3" t="s">
        <v>2567</v>
      </c>
      <c r="D1025" s="4">
        <v>4301031406</v>
      </c>
      <c r="E1025" s="3">
        <v>4680115886117</v>
      </c>
      <c r="F1025" s="5" t="s">
        <v>2568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2"/>
        <v>50.400000000000006</v>
      </c>
    </row>
    <row r="1026" spans="1:11" ht="22.5" x14ac:dyDescent="0.25">
      <c r="A1026" s="6" t="s">
        <v>1125</v>
      </c>
      <c r="B1026" s="3" t="s">
        <v>364</v>
      </c>
      <c r="C1026" s="3" t="s">
        <v>2567</v>
      </c>
      <c r="D1026" s="4">
        <v>4301031406</v>
      </c>
      <c r="E1026" s="3">
        <v>4680115886117</v>
      </c>
      <c r="F1026" s="5" t="s">
        <v>2568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2"/>
        <v>50.400000000000006</v>
      </c>
    </row>
    <row r="1027" spans="1:11" ht="22.5" x14ac:dyDescent="0.25">
      <c r="A1027" s="6" t="s">
        <v>1727</v>
      </c>
      <c r="B1027" s="3" t="s">
        <v>364</v>
      </c>
      <c r="C1027" s="3" t="s">
        <v>2567</v>
      </c>
      <c r="D1027" s="4">
        <v>4301031406</v>
      </c>
      <c r="E1027" s="3">
        <v>4680115886117</v>
      </c>
      <c r="F1027" s="5" t="s">
        <v>2568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2"/>
        <v>50.400000000000006</v>
      </c>
    </row>
    <row r="1028" spans="1:11" ht="22.5" x14ac:dyDescent="0.25">
      <c r="A1028" s="6" t="s">
        <v>2314</v>
      </c>
      <c r="B1028" s="3" t="s">
        <v>364</v>
      </c>
      <c r="C1028" s="3" t="s">
        <v>2567</v>
      </c>
      <c r="D1028" s="4">
        <v>4301031406</v>
      </c>
      <c r="E1028" s="3">
        <v>4680115886117</v>
      </c>
      <c r="F1028" s="5" t="s">
        <v>2568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ref="K1028" si="123">J1028*I1028</f>
        <v>50.400000000000006</v>
      </c>
    </row>
    <row r="1029" spans="1:11" ht="22.5" x14ac:dyDescent="0.25">
      <c r="A1029" s="6" t="s">
        <v>1270</v>
      </c>
      <c r="B1029" s="3" t="s">
        <v>364</v>
      </c>
      <c r="C1029" s="3" t="s">
        <v>2567</v>
      </c>
      <c r="D1029" s="4">
        <v>4301031406</v>
      </c>
      <c r="E1029" s="3">
        <v>4680115886117</v>
      </c>
      <c r="F1029" s="5" t="s">
        <v>2568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2"/>
        <v>50.400000000000006</v>
      </c>
    </row>
    <row r="1030" spans="1:11" ht="22.5" x14ac:dyDescent="0.25">
      <c r="A1030" s="6" t="s">
        <v>371</v>
      </c>
      <c r="B1030" s="3" t="s">
        <v>364</v>
      </c>
      <c r="C1030" s="3" t="s">
        <v>2567</v>
      </c>
      <c r="D1030" s="4">
        <v>4301031406</v>
      </c>
      <c r="E1030" s="3">
        <v>4680115886117</v>
      </c>
      <c r="F1030" s="5" t="s">
        <v>2568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2"/>
        <v>50.400000000000006</v>
      </c>
    </row>
    <row r="1031" spans="1:11" ht="22.5" x14ac:dyDescent="0.25">
      <c r="A1031" s="6" t="s">
        <v>1648</v>
      </c>
      <c r="B1031" s="3" t="s">
        <v>364</v>
      </c>
      <c r="C1031" s="3" t="s">
        <v>2567</v>
      </c>
      <c r="D1031" s="4">
        <v>4301031406</v>
      </c>
      <c r="E1031" s="3">
        <v>4680115886117</v>
      </c>
      <c r="F1031" s="5" t="s">
        <v>2568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2"/>
        <v>50.400000000000006</v>
      </c>
    </row>
    <row r="1032" spans="1:11" ht="22.5" x14ac:dyDescent="0.25">
      <c r="A1032" s="6" t="s">
        <v>481</v>
      </c>
      <c r="B1032" s="3" t="s">
        <v>364</v>
      </c>
      <c r="C1032" s="3" t="s">
        <v>2567</v>
      </c>
      <c r="D1032" s="4">
        <v>4301031406</v>
      </c>
      <c r="E1032" s="3">
        <v>4680115886117</v>
      </c>
      <c r="F1032" s="5" t="s">
        <v>2568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2"/>
        <v>50.400000000000006</v>
      </c>
    </row>
    <row r="1033" spans="1:11" ht="22.5" x14ac:dyDescent="0.25">
      <c r="A1033" s="6" t="s">
        <v>1695</v>
      </c>
      <c r="B1033" s="3" t="s">
        <v>159</v>
      </c>
      <c r="C1033" s="3" t="s">
        <v>160</v>
      </c>
      <c r="D1033" s="4">
        <v>4301011353</v>
      </c>
      <c r="E1033" s="3">
        <v>4607091389807</v>
      </c>
      <c r="F1033" s="5" t="s">
        <v>170</v>
      </c>
      <c r="G1033" s="16"/>
      <c r="H1033" s="1">
        <f>VLOOKUP(E1033,[1]Лист1!$D:$M,10,0)</f>
        <v>55</v>
      </c>
      <c r="I1033" s="20" t="e">
        <f>VLOOKUP(B1033,'[2]Бланк заказа'!$A:$Y,8,0)</f>
        <v>#N/A</v>
      </c>
      <c r="J1033" s="1" t="e">
        <f>VLOOKUP(B1033,'[2]Бланк заказа'!$A:$Y,11,0)*1</f>
        <v>#N/A</v>
      </c>
      <c r="K1033" s="20" t="e">
        <f t="shared" si="122"/>
        <v>#N/A</v>
      </c>
    </row>
    <row r="1034" spans="1:11" ht="22.5" x14ac:dyDescent="0.25">
      <c r="A1034" s="6" t="s">
        <v>577</v>
      </c>
      <c r="B1034" s="3" t="s">
        <v>194</v>
      </c>
      <c r="C1034" s="3" t="s">
        <v>2124</v>
      </c>
      <c r="D1034" s="4">
        <v>4301031305</v>
      </c>
      <c r="E1034" s="3">
        <v>4607091389845</v>
      </c>
      <c r="F1034" s="5" t="s">
        <v>209</v>
      </c>
      <c r="G1034" s="16"/>
      <c r="H1034" s="1">
        <f>VLOOKUP(E1034,[1]Лист1!$D:$M,10,0)</f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2"/>
        <v>37.800000000000004</v>
      </c>
    </row>
    <row r="1035" spans="1:11" ht="22.5" x14ac:dyDescent="0.25">
      <c r="A1035" s="6" t="s">
        <v>1772</v>
      </c>
      <c r="B1035" s="3" t="s">
        <v>194</v>
      </c>
      <c r="C1035" s="3" t="s">
        <v>2124</v>
      </c>
      <c r="D1035" s="4">
        <v>4301031305</v>
      </c>
      <c r="E1035" s="3">
        <v>4607091389845</v>
      </c>
      <c r="F1035" s="5" t="s">
        <v>209</v>
      </c>
      <c r="G1035" s="16"/>
      <c r="H1035" s="1"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2"/>
        <v>37.800000000000004</v>
      </c>
    </row>
    <row r="1036" spans="1:11" ht="22.5" x14ac:dyDescent="0.25">
      <c r="A1036" s="6" t="s">
        <v>1710</v>
      </c>
      <c r="B1036" s="3" t="s">
        <v>194</v>
      </c>
      <c r="C1036" s="3" t="s">
        <v>2124</v>
      </c>
      <c r="D1036" s="4">
        <v>4301031305</v>
      </c>
      <c r="E1036" s="3">
        <v>4607091389845</v>
      </c>
      <c r="F1036" s="5" t="s">
        <v>209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2"/>
        <v>37.800000000000004</v>
      </c>
    </row>
    <row r="1037" spans="1:11" ht="22.5" x14ac:dyDescent="0.25">
      <c r="A1037" s="6" t="s">
        <v>2355</v>
      </c>
      <c r="B1037" s="3" t="s">
        <v>194</v>
      </c>
      <c r="C1037" s="3" t="s">
        <v>2124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ref="K1037" si="124">J1037*I1037</f>
        <v>37.800000000000004</v>
      </c>
    </row>
    <row r="1038" spans="1:11" ht="22.5" x14ac:dyDescent="0.25">
      <c r="A1038" s="6" t="s">
        <v>1878</v>
      </c>
      <c r="B1038" s="3" t="s">
        <v>194</v>
      </c>
      <c r="C1038" s="3" t="s">
        <v>2124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2"/>
        <v>37.800000000000004</v>
      </c>
    </row>
    <row r="1039" spans="1:11" ht="22.5" x14ac:dyDescent="0.25">
      <c r="A1039" s="6" t="s">
        <v>1894</v>
      </c>
      <c r="B1039" s="3" t="s">
        <v>194</v>
      </c>
      <c r="C1039" s="3" t="s">
        <v>2124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2"/>
        <v>37.800000000000004</v>
      </c>
    </row>
    <row r="1040" spans="1:11" ht="22.5" x14ac:dyDescent="0.25">
      <c r="A1040" s="6" t="s">
        <v>1831</v>
      </c>
      <c r="B1040" s="3" t="s">
        <v>194</v>
      </c>
      <c r="C1040" s="3" t="s">
        <v>2124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2"/>
        <v>37.800000000000004</v>
      </c>
    </row>
    <row r="1041" spans="1:11" ht="22.5" x14ac:dyDescent="0.25">
      <c r="A1041" s="6" t="s">
        <v>2454</v>
      </c>
      <c r="B1041" s="3" t="s">
        <v>194</v>
      </c>
      <c r="C1041" s="3" t="s">
        <v>2124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ref="K1041" si="125">J1041*I1041</f>
        <v>37.800000000000004</v>
      </c>
    </row>
    <row r="1042" spans="1:11" ht="22.5" x14ac:dyDescent="0.25">
      <c r="A1042" s="6" t="s">
        <v>685</v>
      </c>
      <c r="B1042" s="3" t="s">
        <v>194</v>
      </c>
      <c r="C1042" s="3" t="s">
        <v>2124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2"/>
        <v>37.800000000000004</v>
      </c>
    </row>
    <row r="1043" spans="1:11" ht="22.5" x14ac:dyDescent="0.25">
      <c r="A1043" s="6" t="s">
        <v>209</v>
      </c>
      <c r="B1043" s="3" t="s">
        <v>194</v>
      </c>
      <c r="C1043" s="3" t="s">
        <v>2124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2"/>
        <v>37.800000000000004</v>
      </c>
    </row>
    <row r="1044" spans="1:11" ht="22.5" x14ac:dyDescent="0.25">
      <c r="A1044" s="6" t="s">
        <v>2203</v>
      </c>
      <c r="B1044" s="3" t="s">
        <v>194</v>
      </c>
      <c r="C1044" s="3" t="s">
        <v>2124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ref="K1044" si="126">J1044*I1044</f>
        <v>37.800000000000004</v>
      </c>
    </row>
    <row r="1045" spans="1:11" ht="22.5" x14ac:dyDescent="0.25">
      <c r="A1045" s="6" t="s">
        <v>1444</v>
      </c>
      <c r="B1045" s="3" t="s">
        <v>194</v>
      </c>
      <c r="C1045" s="3" t="s">
        <v>2124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si="122"/>
        <v>37.800000000000004</v>
      </c>
    </row>
    <row r="1046" spans="1:11" ht="22.5" x14ac:dyDescent="0.25">
      <c r="A1046" s="6" t="s">
        <v>732</v>
      </c>
      <c r="B1046" s="8" t="s">
        <v>286</v>
      </c>
      <c r="C1046" s="8" t="s">
        <v>287</v>
      </c>
      <c r="D1046" s="9">
        <v>4301180001</v>
      </c>
      <c r="E1046" s="10">
        <v>4680115880016</v>
      </c>
      <c r="F1046" s="11" t="s">
        <v>291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2"/>
        <v>28</v>
      </c>
    </row>
    <row r="1047" spans="1:11" ht="22.5" x14ac:dyDescent="0.25">
      <c r="A1047" s="6" t="s">
        <v>291</v>
      </c>
      <c r="B1047" s="8" t="s">
        <v>286</v>
      </c>
      <c r="C1047" s="8" t="s">
        <v>287</v>
      </c>
      <c r="D1047" s="9">
        <v>4301180001</v>
      </c>
      <c r="E1047" s="10">
        <v>4680115880016</v>
      </c>
      <c r="F1047" s="11" t="s">
        <v>291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2"/>
        <v>28</v>
      </c>
    </row>
    <row r="1048" spans="1:11" ht="22.5" x14ac:dyDescent="0.25">
      <c r="A1048" s="6" t="s">
        <v>894</v>
      </c>
      <c r="B1048" s="8" t="s">
        <v>286</v>
      </c>
      <c r="C1048" s="8" t="s">
        <v>287</v>
      </c>
      <c r="D1048" s="9">
        <v>4301180001</v>
      </c>
      <c r="E1048" s="10">
        <v>4680115880016</v>
      </c>
      <c r="F1048" s="11" t="s">
        <v>291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2"/>
        <v>28</v>
      </c>
    </row>
    <row r="1049" spans="1:11" ht="22.5" x14ac:dyDescent="0.25">
      <c r="A1049" s="6" t="s">
        <v>875</v>
      </c>
      <c r="B1049" s="8" t="s">
        <v>286</v>
      </c>
      <c r="C1049" s="8" t="s">
        <v>287</v>
      </c>
      <c r="D1049" s="9">
        <v>4301180001</v>
      </c>
      <c r="E1049" s="10">
        <v>4680115880016</v>
      </c>
      <c r="F1049" s="11" t="s">
        <v>291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2"/>
        <v>28</v>
      </c>
    </row>
    <row r="1050" spans="1:11" ht="22.5" x14ac:dyDescent="0.25">
      <c r="A1050" s="6" t="s">
        <v>2206</v>
      </c>
      <c r="B1050" s="8" t="s">
        <v>286</v>
      </c>
      <c r="C1050" s="8" t="s">
        <v>287</v>
      </c>
      <c r="D1050" s="9">
        <v>4301180001</v>
      </c>
      <c r="E1050" s="10">
        <v>4680115880016</v>
      </c>
      <c r="F1050" s="11" t="s">
        <v>291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ref="K1050" si="127">J1050*I1050</f>
        <v>28</v>
      </c>
    </row>
    <row r="1051" spans="1:11" ht="22.5" x14ac:dyDescent="0.25">
      <c r="A1051" s="6" t="s">
        <v>658</v>
      </c>
      <c r="B1051" s="8" t="s">
        <v>286</v>
      </c>
      <c r="C1051" s="8" t="s">
        <v>287</v>
      </c>
      <c r="D1051" s="9">
        <v>4301180001</v>
      </c>
      <c r="E1051" s="10">
        <v>4680115880016</v>
      </c>
      <c r="F1051" s="11" t="s">
        <v>291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si="122"/>
        <v>28</v>
      </c>
    </row>
    <row r="1052" spans="1:11" ht="22.5" x14ac:dyDescent="0.25">
      <c r="A1052" s="6" t="s">
        <v>1023</v>
      </c>
      <c r="B1052" s="3" t="s">
        <v>240</v>
      </c>
      <c r="C1052" s="3" t="s">
        <v>2068</v>
      </c>
      <c r="D1052" s="4">
        <v>4301051666</v>
      </c>
      <c r="E1052" s="3">
        <v>4680115880092</v>
      </c>
      <c r="F1052" s="5" t="s">
        <v>2069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si="122"/>
        <v>28.799999999999997</v>
      </c>
    </row>
    <row r="1053" spans="1:11" ht="22.5" x14ac:dyDescent="0.25">
      <c r="A1053" s="6" t="s">
        <v>2458</v>
      </c>
      <c r="B1053" s="3" t="s">
        <v>240</v>
      </c>
      <c r="C1053" s="3" t="s">
        <v>2068</v>
      </c>
      <c r="D1053" s="4">
        <v>4301051666</v>
      </c>
      <c r="E1053" s="3">
        <v>4680115880092</v>
      </c>
      <c r="F1053" s="5" t="s">
        <v>2069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ref="K1053" si="128">J1053*I1053</f>
        <v>28.799999999999997</v>
      </c>
    </row>
    <row r="1054" spans="1:11" ht="22.5" x14ac:dyDescent="0.25">
      <c r="A1054" s="6" t="s">
        <v>2021</v>
      </c>
      <c r="B1054" s="3" t="s">
        <v>240</v>
      </c>
      <c r="C1054" s="3" t="s">
        <v>2068</v>
      </c>
      <c r="D1054" s="4">
        <v>4301051666</v>
      </c>
      <c r="E1054" s="3">
        <v>4680115880092</v>
      </c>
      <c r="F1054" s="5" t="s">
        <v>2069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2"/>
        <v>28.799999999999997</v>
      </c>
    </row>
    <row r="1055" spans="1:11" ht="22.5" x14ac:dyDescent="0.25">
      <c r="A1055" s="6" t="s">
        <v>257</v>
      </c>
      <c r="B1055" s="3" t="s">
        <v>240</v>
      </c>
      <c r="C1055" s="3" t="s">
        <v>2068</v>
      </c>
      <c r="D1055" s="4">
        <v>4301051666</v>
      </c>
      <c r="E1055" s="3">
        <v>4680115880092</v>
      </c>
      <c r="F1055" s="5" t="s">
        <v>2069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2"/>
        <v>28.799999999999997</v>
      </c>
    </row>
    <row r="1056" spans="1:11" ht="22.5" x14ac:dyDescent="0.25">
      <c r="A1056" s="6" t="s">
        <v>623</v>
      </c>
      <c r="B1056" s="3" t="s">
        <v>240</v>
      </c>
      <c r="C1056" s="3" t="s">
        <v>2068</v>
      </c>
      <c r="D1056" s="4">
        <v>4301051666</v>
      </c>
      <c r="E1056" s="3">
        <v>4680115880092</v>
      </c>
      <c r="F1056" s="5" t="s">
        <v>2069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2"/>
        <v>28.799999999999997</v>
      </c>
    </row>
    <row r="1057" spans="1:11" ht="22.5" x14ac:dyDescent="0.25">
      <c r="A1057" s="6" t="s">
        <v>713</v>
      </c>
      <c r="B1057" s="3" t="s">
        <v>240</v>
      </c>
      <c r="C1057" s="3" t="s">
        <v>2068</v>
      </c>
      <c r="D1057" s="4">
        <v>4301051666</v>
      </c>
      <c r="E1057" s="3">
        <v>4680115880092</v>
      </c>
      <c r="F1057" s="5" t="s">
        <v>2069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2"/>
        <v>28.799999999999997</v>
      </c>
    </row>
    <row r="1058" spans="1:11" ht="22.5" x14ac:dyDescent="0.25">
      <c r="A1058" s="6" t="s">
        <v>1561</v>
      </c>
      <c r="B1058" s="3" t="s">
        <v>240</v>
      </c>
      <c r="C1058" s="3" t="s">
        <v>2068</v>
      </c>
      <c r="D1058" s="4">
        <v>4301051666</v>
      </c>
      <c r="E1058" s="3">
        <v>4680115880092</v>
      </c>
      <c r="F1058" s="5" t="s">
        <v>2069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2"/>
        <v>28.799999999999997</v>
      </c>
    </row>
    <row r="1059" spans="1:11" ht="22.5" x14ac:dyDescent="0.25">
      <c r="A1059" s="6" t="s">
        <v>1850</v>
      </c>
      <c r="B1059" s="3" t="s">
        <v>240</v>
      </c>
      <c r="C1059" s="3" t="s">
        <v>2068</v>
      </c>
      <c r="D1059" s="4">
        <v>4301051666</v>
      </c>
      <c r="E1059" s="3">
        <v>4680115880092</v>
      </c>
      <c r="F1059" s="5" t="s">
        <v>2069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2"/>
        <v>28.799999999999997</v>
      </c>
    </row>
    <row r="1060" spans="1:11" ht="22.5" x14ac:dyDescent="0.25">
      <c r="A1060" s="6" t="s">
        <v>1362</v>
      </c>
      <c r="B1060" s="3" t="s">
        <v>240</v>
      </c>
      <c r="C1060" s="3" t="s">
        <v>2068</v>
      </c>
      <c r="D1060" s="4">
        <v>4301051666</v>
      </c>
      <c r="E1060" s="3">
        <v>4680115880092</v>
      </c>
      <c r="F1060" s="5" t="s">
        <v>2069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2"/>
        <v>28.799999999999997</v>
      </c>
    </row>
    <row r="1061" spans="1:11" ht="22.5" x14ac:dyDescent="0.25">
      <c r="A1061" s="6" t="s">
        <v>837</v>
      </c>
      <c r="B1061" s="3" t="s">
        <v>240</v>
      </c>
      <c r="C1061" s="3" t="s">
        <v>2068</v>
      </c>
      <c r="D1061" s="4">
        <v>4301051666</v>
      </c>
      <c r="E1061" s="3">
        <v>4680115880092</v>
      </c>
      <c r="F1061" s="5" t="s">
        <v>2069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ref="K1061:K1127" si="129">J1061*I1061</f>
        <v>28.799999999999997</v>
      </c>
    </row>
    <row r="1062" spans="1:11" ht="22.5" x14ac:dyDescent="0.25">
      <c r="A1062" s="6" t="s">
        <v>1219</v>
      </c>
      <c r="B1062" s="3" t="s">
        <v>240</v>
      </c>
      <c r="C1062" s="3" t="s">
        <v>2068</v>
      </c>
      <c r="D1062" s="4">
        <v>4301051666</v>
      </c>
      <c r="E1062" s="3">
        <v>4680115880092</v>
      </c>
      <c r="F1062" s="5" t="s">
        <v>2069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9"/>
        <v>28.799999999999997</v>
      </c>
    </row>
    <row r="1063" spans="1:11" ht="22.5" x14ac:dyDescent="0.25">
      <c r="A1063" s="6" t="s">
        <v>922</v>
      </c>
      <c r="B1063" s="3" t="s">
        <v>240</v>
      </c>
      <c r="C1063" s="3" t="s">
        <v>2068</v>
      </c>
      <c r="D1063" s="4">
        <v>4301051666</v>
      </c>
      <c r="E1063" s="3">
        <v>4680115880092</v>
      </c>
      <c r="F1063" s="5" t="s">
        <v>2069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9"/>
        <v>28.799999999999997</v>
      </c>
    </row>
    <row r="1064" spans="1:11" ht="22.5" x14ac:dyDescent="0.25">
      <c r="A1064" s="6" t="s">
        <v>1893</v>
      </c>
      <c r="B1064" s="3" t="s">
        <v>240</v>
      </c>
      <c r="C1064" s="3" t="s">
        <v>2068</v>
      </c>
      <c r="D1064" s="4">
        <v>4301051666</v>
      </c>
      <c r="E1064" s="3">
        <v>4680115880092</v>
      </c>
      <c r="F1064" s="5" t="s">
        <v>2069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29"/>
        <v>28.799999999999997</v>
      </c>
    </row>
    <row r="1065" spans="1:11" ht="22.5" x14ac:dyDescent="0.25">
      <c r="A1065" s="6" t="s">
        <v>2266</v>
      </c>
      <c r="B1065" s="3" t="s">
        <v>240</v>
      </c>
      <c r="C1065" s="3" t="s">
        <v>2068</v>
      </c>
      <c r="D1065" s="4">
        <v>4301051666</v>
      </c>
      <c r="E1065" s="3">
        <v>4680115880092</v>
      </c>
      <c r="F1065" s="5" t="s">
        <v>2069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ref="K1065" si="130">J1065*I1065</f>
        <v>28.799999999999997</v>
      </c>
    </row>
    <row r="1066" spans="1:11" ht="22.5" x14ac:dyDescent="0.25">
      <c r="A1066" s="6" t="s">
        <v>1963</v>
      </c>
      <c r="B1066" s="3" t="s">
        <v>240</v>
      </c>
      <c r="C1066" s="3" t="s">
        <v>2068</v>
      </c>
      <c r="D1066" s="4">
        <v>4301051666</v>
      </c>
      <c r="E1066" s="3">
        <v>4680115880092</v>
      </c>
      <c r="F1066" s="5" t="s">
        <v>2069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9"/>
        <v>28.799999999999997</v>
      </c>
    </row>
    <row r="1067" spans="1:11" ht="22.5" x14ac:dyDescent="0.25">
      <c r="A1067" s="6" t="s">
        <v>1857</v>
      </c>
      <c r="B1067" s="3" t="s">
        <v>240</v>
      </c>
      <c r="C1067" s="3" t="s">
        <v>2068</v>
      </c>
      <c r="D1067" s="4">
        <v>4301051666</v>
      </c>
      <c r="E1067" s="3">
        <v>4680115880092</v>
      </c>
      <c r="F1067" s="5" t="s">
        <v>2069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9"/>
        <v>28.799999999999997</v>
      </c>
    </row>
    <row r="1068" spans="1:11" ht="22.5" x14ac:dyDescent="0.25">
      <c r="A1068" s="6" t="s">
        <v>1013</v>
      </c>
      <c r="B1068" s="3" t="s">
        <v>240</v>
      </c>
      <c r="C1068" s="3" t="s">
        <v>2068</v>
      </c>
      <c r="D1068" s="4">
        <v>4301051666</v>
      </c>
      <c r="E1068" s="3">
        <v>4680115880092</v>
      </c>
      <c r="F1068" s="5" t="s">
        <v>2069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9"/>
        <v>28.799999999999997</v>
      </c>
    </row>
    <row r="1069" spans="1:11" ht="22.5" x14ac:dyDescent="0.25">
      <c r="A1069" s="6" t="s">
        <v>258</v>
      </c>
      <c r="B1069" s="3" t="s">
        <v>240</v>
      </c>
      <c r="C1069" s="3" t="s">
        <v>2068</v>
      </c>
      <c r="D1069" s="4">
        <v>4301051666</v>
      </c>
      <c r="E1069" s="3">
        <v>4680115880092</v>
      </c>
      <c r="F1069" s="5" t="s">
        <v>2069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29"/>
        <v>28.799999999999997</v>
      </c>
    </row>
    <row r="1070" spans="1:11" x14ac:dyDescent="0.25">
      <c r="A1070" s="6" t="s">
        <v>893</v>
      </c>
      <c r="B1070" s="3" t="s">
        <v>280</v>
      </c>
      <c r="C1070" s="3" t="s">
        <v>281</v>
      </c>
      <c r="D1070" s="4">
        <v>4301180002</v>
      </c>
      <c r="E1070" s="3">
        <v>4680115880122</v>
      </c>
      <c r="F1070" s="5" t="s">
        <v>288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9"/>
        <v>#N/A</v>
      </c>
    </row>
    <row r="1071" spans="1:11" x14ac:dyDescent="0.25">
      <c r="A1071" s="6" t="s">
        <v>874</v>
      </c>
      <c r="B1071" s="3" t="s">
        <v>280</v>
      </c>
      <c r="C1071" s="3" t="s">
        <v>281</v>
      </c>
      <c r="D1071" s="4">
        <v>4301180002</v>
      </c>
      <c r="E1071" s="3">
        <v>4680115880122</v>
      </c>
      <c r="F1071" s="5" t="s">
        <v>288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9"/>
        <v>#N/A</v>
      </c>
    </row>
    <row r="1072" spans="1:11" x14ac:dyDescent="0.25">
      <c r="A1072" s="6" t="s">
        <v>731</v>
      </c>
      <c r="B1072" s="3" t="s">
        <v>280</v>
      </c>
      <c r="C1072" s="3" t="s">
        <v>281</v>
      </c>
      <c r="D1072" s="4">
        <v>4301180002</v>
      </c>
      <c r="E1072" s="3">
        <v>4680115880122</v>
      </c>
      <c r="F1072" s="5" t="s">
        <v>288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9"/>
        <v>#N/A</v>
      </c>
    </row>
    <row r="1073" spans="1:11" ht="33.75" x14ac:dyDescent="0.25">
      <c r="A1073" s="6" t="s">
        <v>702</v>
      </c>
      <c r="B1073" s="3" t="s">
        <v>21</v>
      </c>
      <c r="C1073" s="3" t="s">
        <v>22</v>
      </c>
      <c r="D1073" s="4">
        <v>4301032036</v>
      </c>
      <c r="E1073" s="3">
        <v>4680115880139</v>
      </c>
      <c r="F1073" s="5" t="s">
        <v>24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29"/>
        <v>#N/A</v>
      </c>
    </row>
    <row r="1074" spans="1:11" ht="22.5" x14ac:dyDescent="0.25">
      <c r="A1074" s="6" t="s">
        <v>1238</v>
      </c>
      <c r="B1074" s="3" t="s">
        <v>192</v>
      </c>
      <c r="C1074" s="3" t="s">
        <v>193</v>
      </c>
      <c r="D1074" s="4">
        <v>4301031158</v>
      </c>
      <c r="E1074" s="3">
        <v>4680115880191</v>
      </c>
      <c r="F1074" s="5" t="s">
        <v>208</v>
      </c>
      <c r="G1074" s="16"/>
      <c r="H1074" s="1">
        <f>VLOOKUP(E1074,[1]Лист1!$D:$M,10,0)</f>
        <v>40</v>
      </c>
      <c r="I1074" s="20">
        <f>VLOOKUP(B1074,'[2]Бланк заказа'!$A:$Y,8,0)</f>
        <v>2.4</v>
      </c>
      <c r="J1074" s="1">
        <f>VLOOKUP(B1074,'[2]Бланк заказа'!$A:$Y,11,0)*1</f>
        <v>12</v>
      </c>
      <c r="K1074" s="20">
        <f t="shared" si="129"/>
        <v>28.799999999999997</v>
      </c>
    </row>
    <row r="1075" spans="1:11" ht="22.5" x14ac:dyDescent="0.25">
      <c r="A1075" s="6" t="s">
        <v>123</v>
      </c>
      <c r="B1075" s="3" t="s">
        <v>115</v>
      </c>
      <c r="C1075" s="3" t="s">
        <v>2668</v>
      </c>
      <c r="D1075" s="4">
        <v>4301051687</v>
      </c>
      <c r="E1075" s="3">
        <v>4680115880214</v>
      </c>
      <c r="F1075" s="5" t="s">
        <v>2669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9"/>
        <v>32.400000000000006</v>
      </c>
    </row>
    <row r="1076" spans="1:11" ht="22.5" x14ac:dyDescent="0.25">
      <c r="A1076" s="6" t="s">
        <v>739</v>
      </c>
      <c r="B1076" s="3" t="s">
        <v>115</v>
      </c>
      <c r="C1076" s="3" t="s">
        <v>2668</v>
      </c>
      <c r="D1076" s="4">
        <v>4301051687</v>
      </c>
      <c r="E1076" s="3">
        <v>4680115880214</v>
      </c>
      <c r="F1076" s="5" t="s">
        <v>2669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9"/>
        <v>32.400000000000006</v>
      </c>
    </row>
    <row r="1077" spans="1:11" ht="22.5" x14ac:dyDescent="0.25">
      <c r="A1077" s="6" t="s">
        <v>898</v>
      </c>
      <c r="B1077" s="3" t="s">
        <v>115</v>
      </c>
      <c r="C1077" s="3" t="s">
        <v>2668</v>
      </c>
      <c r="D1077" s="4">
        <v>4301051687</v>
      </c>
      <c r="E1077" s="3">
        <v>4680115880214</v>
      </c>
      <c r="F1077" s="5" t="s">
        <v>2669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9"/>
        <v>32.400000000000006</v>
      </c>
    </row>
    <row r="1078" spans="1:11" ht="22.5" x14ac:dyDescent="0.25">
      <c r="A1078" s="6" t="s">
        <v>882</v>
      </c>
      <c r="B1078" s="3" t="s">
        <v>115</v>
      </c>
      <c r="C1078" s="3" t="s">
        <v>2668</v>
      </c>
      <c r="D1078" s="4">
        <v>4301051687</v>
      </c>
      <c r="E1078" s="3">
        <v>4680115880214</v>
      </c>
      <c r="F1078" s="5" t="s">
        <v>2669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9"/>
        <v>32.400000000000006</v>
      </c>
    </row>
    <row r="1079" spans="1:11" ht="22.5" x14ac:dyDescent="0.25">
      <c r="A1079" s="6" t="s">
        <v>497</v>
      </c>
      <c r="B1079" s="3" t="s">
        <v>115</v>
      </c>
      <c r="C1079" s="3" t="s">
        <v>2668</v>
      </c>
      <c r="D1079" s="4">
        <v>4301051687</v>
      </c>
      <c r="E1079" s="3">
        <v>4680115880214</v>
      </c>
      <c r="F1079" s="5" t="s">
        <v>2669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29"/>
        <v>32.400000000000006</v>
      </c>
    </row>
    <row r="1080" spans="1:11" ht="22.5" x14ac:dyDescent="0.25">
      <c r="A1080" s="6" t="s">
        <v>2023</v>
      </c>
      <c r="B1080" s="3" t="s">
        <v>241</v>
      </c>
      <c r="C1080" s="3" t="s">
        <v>2070</v>
      </c>
      <c r="D1080" s="4">
        <v>4301051668</v>
      </c>
      <c r="E1080" s="3">
        <v>4680115880221</v>
      </c>
      <c r="F1080" s="5" t="s">
        <v>2071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9"/>
        <v>28.799999999999997</v>
      </c>
    </row>
    <row r="1081" spans="1:11" ht="22.5" x14ac:dyDescent="0.25">
      <c r="A1081" s="6" t="s">
        <v>624</v>
      </c>
      <c r="B1081" s="3" t="s">
        <v>241</v>
      </c>
      <c r="C1081" s="3" t="s">
        <v>2070</v>
      </c>
      <c r="D1081" s="4">
        <v>4301051668</v>
      </c>
      <c r="E1081" s="3">
        <v>4680115880221</v>
      </c>
      <c r="F1081" s="5" t="s">
        <v>2071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9"/>
        <v>28.799999999999997</v>
      </c>
    </row>
    <row r="1082" spans="1:11" ht="22.5" x14ac:dyDescent="0.25">
      <c r="A1082" s="6" t="s">
        <v>698</v>
      </c>
      <c r="B1082" s="3" t="s">
        <v>241</v>
      </c>
      <c r="C1082" s="3" t="s">
        <v>2070</v>
      </c>
      <c r="D1082" s="4">
        <v>4301051668</v>
      </c>
      <c r="E1082" s="3">
        <v>4680115880221</v>
      </c>
      <c r="F1082" s="5" t="s">
        <v>2071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9"/>
        <v>28.799999999999997</v>
      </c>
    </row>
    <row r="1083" spans="1:11" ht="22.5" x14ac:dyDescent="0.25">
      <c r="A1083" s="6" t="s">
        <v>1220</v>
      </c>
      <c r="B1083" s="3" t="s">
        <v>241</v>
      </c>
      <c r="C1083" s="3" t="s">
        <v>2070</v>
      </c>
      <c r="D1083" s="4">
        <v>4301051668</v>
      </c>
      <c r="E1083" s="3">
        <v>4680115880221</v>
      </c>
      <c r="F1083" s="5" t="s">
        <v>2071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9"/>
        <v>28.799999999999997</v>
      </c>
    </row>
    <row r="1084" spans="1:11" ht="22.5" x14ac:dyDescent="0.25">
      <c r="A1084" s="6" t="s">
        <v>1450</v>
      </c>
      <c r="B1084" s="3" t="s">
        <v>241</v>
      </c>
      <c r="C1084" s="3" t="s">
        <v>2070</v>
      </c>
      <c r="D1084" s="4">
        <v>4301051668</v>
      </c>
      <c r="E1084" s="3">
        <v>4680115880221</v>
      </c>
      <c r="F1084" s="5" t="s">
        <v>2071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9"/>
        <v>28.799999999999997</v>
      </c>
    </row>
    <row r="1085" spans="1:11" ht="22.5" x14ac:dyDescent="0.25">
      <c r="A1085" s="6" t="s">
        <v>1832</v>
      </c>
      <c r="B1085" s="3" t="s">
        <v>241</v>
      </c>
      <c r="C1085" s="3" t="s">
        <v>2070</v>
      </c>
      <c r="D1085" s="4">
        <v>4301051668</v>
      </c>
      <c r="E1085" s="3">
        <v>4680115880221</v>
      </c>
      <c r="F1085" s="5" t="s">
        <v>2071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9"/>
        <v>28.799999999999997</v>
      </c>
    </row>
    <row r="1086" spans="1:11" ht="22.5" x14ac:dyDescent="0.25">
      <c r="A1086" s="6" t="s">
        <v>921</v>
      </c>
      <c r="B1086" s="3" t="s">
        <v>241</v>
      </c>
      <c r="C1086" s="3" t="s">
        <v>2070</v>
      </c>
      <c r="D1086" s="4">
        <v>4301051668</v>
      </c>
      <c r="E1086" s="3">
        <v>4680115880221</v>
      </c>
      <c r="F1086" s="5" t="s">
        <v>2071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9"/>
        <v>28.799999999999997</v>
      </c>
    </row>
    <row r="1087" spans="1:11" ht="22.5" x14ac:dyDescent="0.25">
      <c r="A1087" s="6" t="s">
        <v>1027</v>
      </c>
      <c r="B1087" s="3" t="s">
        <v>241</v>
      </c>
      <c r="C1087" s="3" t="s">
        <v>2070</v>
      </c>
      <c r="D1087" s="4">
        <v>4301051668</v>
      </c>
      <c r="E1087" s="3">
        <v>4680115880221</v>
      </c>
      <c r="F1087" s="5" t="s">
        <v>2071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9"/>
        <v>28.799999999999997</v>
      </c>
    </row>
    <row r="1088" spans="1:11" ht="22.5" x14ac:dyDescent="0.25">
      <c r="A1088" s="6" t="s">
        <v>1094</v>
      </c>
      <c r="B1088" s="3" t="s">
        <v>241</v>
      </c>
      <c r="C1088" s="3" t="s">
        <v>2070</v>
      </c>
      <c r="D1088" s="4">
        <v>4301051668</v>
      </c>
      <c r="E1088" s="3">
        <v>4680115880221</v>
      </c>
      <c r="F1088" s="5" t="s">
        <v>2071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9"/>
        <v>28.799999999999997</v>
      </c>
    </row>
    <row r="1089" spans="1:11" ht="22.5" x14ac:dyDescent="0.25">
      <c r="A1089" s="6" t="s">
        <v>460</v>
      </c>
      <c r="B1089" s="3" t="s">
        <v>241</v>
      </c>
      <c r="C1089" s="3" t="s">
        <v>2070</v>
      </c>
      <c r="D1089" s="4">
        <v>4301051668</v>
      </c>
      <c r="E1089" s="3">
        <v>4680115880221</v>
      </c>
      <c r="F1089" s="5" t="s">
        <v>2071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9"/>
        <v>28.799999999999997</v>
      </c>
    </row>
    <row r="1090" spans="1:11" ht="22.5" x14ac:dyDescent="0.25">
      <c r="A1090" s="6" t="s">
        <v>972</v>
      </c>
      <c r="B1090" s="3" t="s">
        <v>241</v>
      </c>
      <c r="C1090" s="3" t="s">
        <v>2070</v>
      </c>
      <c r="D1090" s="4">
        <v>4301051668</v>
      </c>
      <c r="E1090" s="3">
        <v>4680115880221</v>
      </c>
      <c r="F1090" s="5" t="s">
        <v>2071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9"/>
        <v>28.799999999999997</v>
      </c>
    </row>
    <row r="1091" spans="1:11" ht="22.5" x14ac:dyDescent="0.25">
      <c r="A1091" s="6" t="s">
        <v>1017</v>
      </c>
      <c r="B1091" s="3" t="s">
        <v>241</v>
      </c>
      <c r="C1091" s="3" t="s">
        <v>2070</v>
      </c>
      <c r="D1091" s="4">
        <v>4301051668</v>
      </c>
      <c r="E1091" s="3">
        <v>4680115880221</v>
      </c>
      <c r="F1091" s="5" t="s">
        <v>2071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9"/>
        <v>28.799999999999997</v>
      </c>
    </row>
    <row r="1092" spans="1:11" ht="22.5" x14ac:dyDescent="0.25">
      <c r="A1092" s="6" t="s">
        <v>259</v>
      </c>
      <c r="B1092" s="3" t="s">
        <v>241</v>
      </c>
      <c r="C1092" s="3" t="s">
        <v>2070</v>
      </c>
      <c r="D1092" s="4">
        <v>4301051668</v>
      </c>
      <c r="E1092" s="3">
        <v>4680115880221</v>
      </c>
      <c r="F1092" s="5" t="s">
        <v>2071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29"/>
        <v>28.799999999999997</v>
      </c>
    </row>
    <row r="1093" spans="1:11" x14ac:dyDescent="0.25">
      <c r="A1093" s="6" t="s">
        <v>1688</v>
      </c>
      <c r="B1093" s="3" t="s">
        <v>128</v>
      </c>
      <c r="C1093" s="3" t="s">
        <v>129</v>
      </c>
      <c r="D1093" s="4">
        <v>4301060317</v>
      </c>
      <c r="E1093" s="3">
        <v>4680115880238</v>
      </c>
      <c r="F1093" s="5" t="s">
        <v>2602</v>
      </c>
      <c r="G1093" s="17"/>
      <c r="H1093" s="1"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9"/>
        <v>23.759999999999998</v>
      </c>
    </row>
    <row r="1094" spans="1:11" x14ac:dyDescent="0.25">
      <c r="A1094" s="6" t="s">
        <v>1422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2602</v>
      </c>
      <c r="G1094" s="16"/>
      <c r="H1094" s="1">
        <f>VLOOKUP(E1094,[1]Лист1!$D:$M,10,0)</f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29"/>
        <v>23.759999999999998</v>
      </c>
    </row>
    <row r="1095" spans="1:11" ht="22.5" x14ac:dyDescent="0.25">
      <c r="A1095" s="6" t="s">
        <v>1113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9"/>
        <v>45</v>
      </c>
    </row>
    <row r="1096" spans="1:11" ht="22.5" x14ac:dyDescent="0.25">
      <c r="A1096" s="6" t="s">
        <v>1404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9"/>
        <v>45</v>
      </c>
    </row>
    <row r="1097" spans="1:11" ht="22.5" x14ac:dyDescent="0.25">
      <c r="A1097" s="6" t="s">
        <v>1661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29"/>
        <v>45</v>
      </c>
    </row>
    <row r="1098" spans="1:11" ht="22.5" x14ac:dyDescent="0.25">
      <c r="A1098" s="6" t="s">
        <v>2624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ref="K1098" si="131">J1098*I1098</f>
        <v>45</v>
      </c>
    </row>
    <row r="1099" spans="1:11" ht="22.5" x14ac:dyDescent="0.25">
      <c r="A1099" s="6" t="s">
        <v>1462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9"/>
        <v>45</v>
      </c>
    </row>
    <row r="1100" spans="1:11" ht="22.5" x14ac:dyDescent="0.25">
      <c r="A1100" s="6" t="s">
        <v>77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29"/>
        <v>45</v>
      </c>
    </row>
    <row r="1101" spans="1:11" ht="22.5" x14ac:dyDescent="0.25">
      <c r="A1101" s="6" t="s">
        <v>1484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9"/>
        <v>57.599999999999994</v>
      </c>
    </row>
    <row r="1102" spans="1:11" ht="22.5" x14ac:dyDescent="0.25">
      <c r="A1102" s="6" t="s">
        <v>1317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29"/>
        <v>57.599999999999994</v>
      </c>
    </row>
    <row r="1103" spans="1:11" ht="22.5" x14ac:dyDescent="0.25">
      <c r="A1103" s="6" t="s">
        <v>686</v>
      </c>
      <c r="B1103" s="3" t="s">
        <v>2284</v>
      </c>
      <c r="C1103" s="3" t="s">
        <v>2285</v>
      </c>
      <c r="D1103" s="4">
        <v>4301011415</v>
      </c>
      <c r="E1103" s="3">
        <v>4680115880429</v>
      </c>
      <c r="F1103" s="5" t="s">
        <v>2286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2369</v>
      </c>
      <c r="B1104" s="3" t="s">
        <v>2284</v>
      </c>
      <c r="C1104" s="3" t="s">
        <v>2285</v>
      </c>
      <c r="D1104" s="4">
        <v>4301011415</v>
      </c>
      <c r="E1104" s="3">
        <v>4680115880429</v>
      </c>
      <c r="F1104" s="5" t="s">
        <v>2286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1355</v>
      </c>
      <c r="B1105" s="3" t="s">
        <v>2284</v>
      </c>
      <c r="C1105" s="3" t="s">
        <v>2285</v>
      </c>
      <c r="D1105" s="4">
        <v>4301011415</v>
      </c>
      <c r="E1105" s="3">
        <v>4680115880429</v>
      </c>
      <c r="F1105" s="5" t="s">
        <v>2286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1991</v>
      </c>
      <c r="B1106" s="3" t="s">
        <v>2284</v>
      </c>
      <c r="C1106" s="3" t="s">
        <v>2285</v>
      </c>
      <c r="D1106" s="4">
        <v>4301011415</v>
      </c>
      <c r="E1106" s="3">
        <v>4680115880429</v>
      </c>
      <c r="F1106" s="5" t="s">
        <v>2286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2094</v>
      </c>
      <c r="B1107" s="3" t="s">
        <v>2284</v>
      </c>
      <c r="C1107" s="3" t="s">
        <v>2285</v>
      </c>
      <c r="D1107" s="4">
        <v>4301011415</v>
      </c>
      <c r="E1107" s="3">
        <v>4680115880429</v>
      </c>
      <c r="F1107" s="5" t="s">
        <v>2286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2278</v>
      </c>
      <c r="B1108" s="3" t="s">
        <v>2284</v>
      </c>
      <c r="C1108" s="3" t="s">
        <v>2285</v>
      </c>
      <c r="D1108" s="4">
        <v>4301011415</v>
      </c>
      <c r="E1108" s="3">
        <v>4680115880429</v>
      </c>
      <c r="F1108" s="5" t="s">
        <v>2286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2022</v>
      </c>
      <c r="B1109" s="3" t="s">
        <v>2284</v>
      </c>
      <c r="C1109" s="3" t="s">
        <v>2285</v>
      </c>
      <c r="D1109" s="4">
        <v>4301011415</v>
      </c>
      <c r="E1109" s="3">
        <v>4680115880429</v>
      </c>
      <c r="F1109" s="5" t="s">
        <v>2286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x14ac:dyDescent="0.25">
      <c r="A1110" s="6" t="s">
        <v>699</v>
      </c>
      <c r="B1110" s="3" t="s">
        <v>242</v>
      </c>
      <c r="C1110" s="3" t="s">
        <v>1977</v>
      </c>
      <c r="D1110" s="4">
        <v>4301051945</v>
      </c>
      <c r="E1110" s="3">
        <v>4680115880504</v>
      </c>
      <c r="F1110" s="5" t="s">
        <v>260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9"/>
        <v>28.799999999999997</v>
      </c>
    </row>
    <row r="1111" spans="1:11" x14ac:dyDescent="0.25">
      <c r="A1111" s="6" t="s">
        <v>260</v>
      </c>
      <c r="B1111" s="3" t="s">
        <v>242</v>
      </c>
      <c r="C1111" s="3" t="s">
        <v>1977</v>
      </c>
      <c r="D1111" s="4">
        <v>4301051945</v>
      </c>
      <c r="E1111" s="3">
        <v>4680115880504</v>
      </c>
      <c r="F1111" s="5" t="s">
        <v>260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9"/>
        <v>28.799999999999997</v>
      </c>
    </row>
    <row r="1112" spans="1:11" x14ac:dyDescent="0.25">
      <c r="A1112" s="6" t="s">
        <v>1016</v>
      </c>
      <c r="B1112" s="3" t="s">
        <v>242</v>
      </c>
      <c r="C1112" s="3" t="s">
        <v>1977</v>
      </c>
      <c r="D1112" s="4">
        <v>4301051945</v>
      </c>
      <c r="E1112" s="3">
        <v>4680115880504</v>
      </c>
      <c r="F1112" s="5" t="s">
        <v>260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9"/>
        <v>28.799999999999997</v>
      </c>
    </row>
    <row r="1113" spans="1:11" x14ac:dyDescent="0.25">
      <c r="A1113" s="6" t="s">
        <v>1026</v>
      </c>
      <c r="B1113" s="3" t="s">
        <v>242</v>
      </c>
      <c r="C1113" s="3" t="s">
        <v>1977</v>
      </c>
      <c r="D1113" s="4">
        <v>4301051945</v>
      </c>
      <c r="E1113" s="3">
        <v>4680115880504</v>
      </c>
      <c r="F1113" s="5" t="s">
        <v>260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9"/>
        <v>28.799999999999997</v>
      </c>
    </row>
    <row r="1114" spans="1:11" x14ac:dyDescent="0.25">
      <c r="A1114" s="6" t="s">
        <v>1025</v>
      </c>
      <c r="B1114" s="3" t="s">
        <v>242</v>
      </c>
      <c r="C1114" s="3" t="s">
        <v>1977</v>
      </c>
      <c r="D1114" s="4">
        <v>4301051945</v>
      </c>
      <c r="E1114" s="3">
        <v>4680115880504</v>
      </c>
      <c r="F1114" s="5" t="s">
        <v>260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9"/>
        <v>28.799999999999997</v>
      </c>
    </row>
    <row r="1115" spans="1:11" x14ac:dyDescent="0.25">
      <c r="A1115" s="6" t="s">
        <v>1259</v>
      </c>
      <c r="B1115" s="3" t="s">
        <v>242</v>
      </c>
      <c r="C1115" s="3" t="s">
        <v>1977</v>
      </c>
      <c r="D1115" s="4">
        <v>4301051945</v>
      </c>
      <c r="E1115" s="3">
        <v>4680115880504</v>
      </c>
      <c r="F1115" s="5" t="s">
        <v>260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9"/>
        <v>28.799999999999997</v>
      </c>
    </row>
    <row r="1116" spans="1:11" x14ac:dyDescent="0.25">
      <c r="A1116" s="6" t="s">
        <v>1807</v>
      </c>
      <c r="B1116" s="3" t="s">
        <v>242</v>
      </c>
      <c r="C1116" s="3" t="s">
        <v>1977</v>
      </c>
      <c r="D1116" s="4">
        <v>4301051945</v>
      </c>
      <c r="E1116" s="3">
        <v>4680115880504</v>
      </c>
      <c r="F1116" s="5" t="s">
        <v>260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9"/>
        <v>28.799999999999997</v>
      </c>
    </row>
    <row r="1117" spans="1:11" x14ac:dyDescent="0.25">
      <c r="A1117" s="6" t="s">
        <v>1833</v>
      </c>
      <c r="B1117" s="3" t="s">
        <v>242</v>
      </c>
      <c r="C1117" s="3" t="s">
        <v>1977</v>
      </c>
      <c r="D1117" s="4">
        <v>4301051945</v>
      </c>
      <c r="E1117" s="3">
        <v>4680115880504</v>
      </c>
      <c r="F1117" s="5" t="s">
        <v>260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29"/>
        <v>28.799999999999997</v>
      </c>
    </row>
    <row r="1118" spans="1:11" x14ac:dyDescent="0.25">
      <c r="A1118" s="6" t="s">
        <v>2580</v>
      </c>
      <c r="B1118" s="3" t="s">
        <v>242</v>
      </c>
      <c r="C1118" s="3" t="s">
        <v>1977</v>
      </c>
      <c r="D1118" s="4">
        <v>4301051945</v>
      </c>
      <c r="E1118" s="3">
        <v>4680115880504</v>
      </c>
      <c r="F1118" s="5" t="s">
        <v>260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2582</v>
      </c>
      <c r="B1119" s="3" t="s">
        <v>242</v>
      </c>
      <c r="C1119" s="3" t="s">
        <v>1977</v>
      </c>
      <c r="D1119" s="4">
        <v>4301051945</v>
      </c>
      <c r="E1119" s="3">
        <v>4680115880504</v>
      </c>
      <c r="F1119" s="5" t="s">
        <v>260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3">J1119*I1119</f>
        <v>28.799999999999997</v>
      </c>
    </row>
    <row r="1120" spans="1:11" x14ac:dyDescent="0.25">
      <c r="A1120" s="6" t="s">
        <v>2029</v>
      </c>
      <c r="B1120" s="3" t="s">
        <v>242</v>
      </c>
      <c r="C1120" s="3" t="s">
        <v>1977</v>
      </c>
      <c r="D1120" s="4">
        <v>4301051945</v>
      </c>
      <c r="E1120" s="3">
        <v>4680115880504</v>
      </c>
      <c r="F1120" s="5" t="s">
        <v>260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si="129"/>
        <v>28.799999999999997</v>
      </c>
    </row>
    <row r="1121" spans="1:11" x14ac:dyDescent="0.25">
      <c r="A1121" s="6" t="s">
        <v>2024</v>
      </c>
      <c r="B1121" s="3" t="s">
        <v>228</v>
      </c>
      <c r="C1121" s="3" t="s">
        <v>2074</v>
      </c>
      <c r="D1121" s="4">
        <v>4301051656</v>
      </c>
      <c r="E1121" s="3">
        <v>4680115880573</v>
      </c>
      <c r="F1121" s="5" t="s">
        <v>1079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9"/>
        <v>69.599999999999994</v>
      </c>
    </row>
    <row r="1122" spans="1:11" x14ac:dyDescent="0.25">
      <c r="A1122" s="6" t="s">
        <v>250</v>
      </c>
      <c r="B1122" s="3" t="s">
        <v>228</v>
      </c>
      <c r="C1122" s="3" t="s">
        <v>2074</v>
      </c>
      <c r="D1122" s="4">
        <v>4301051656</v>
      </c>
      <c r="E1122" s="3">
        <v>4680115880573</v>
      </c>
      <c r="F1122" s="5" t="s">
        <v>1079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9"/>
        <v>69.599999999999994</v>
      </c>
    </row>
    <row r="1123" spans="1:11" x14ac:dyDescent="0.25">
      <c r="A1123" s="6" t="s">
        <v>1079</v>
      </c>
      <c r="B1123" s="3" t="s">
        <v>228</v>
      </c>
      <c r="C1123" s="3" t="s">
        <v>2074</v>
      </c>
      <c r="D1123" s="4">
        <v>4301051656</v>
      </c>
      <c r="E1123" s="3">
        <v>4680115880573</v>
      </c>
      <c r="F1123" s="5" t="s">
        <v>1079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9"/>
        <v>69.599999999999994</v>
      </c>
    </row>
    <row r="1124" spans="1:11" x14ac:dyDescent="0.25">
      <c r="A1124" s="6" t="s">
        <v>1565</v>
      </c>
      <c r="B1124" s="3" t="s">
        <v>228</v>
      </c>
      <c r="C1124" s="3" t="s">
        <v>2074</v>
      </c>
      <c r="D1124" s="4">
        <v>4301051656</v>
      </c>
      <c r="E1124" s="3">
        <v>4680115880573</v>
      </c>
      <c r="F1124" s="5" t="s">
        <v>1079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9"/>
        <v>69.599999999999994</v>
      </c>
    </row>
    <row r="1125" spans="1:11" x14ac:dyDescent="0.25">
      <c r="A1125" s="6" t="s">
        <v>1370</v>
      </c>
      <c r="B1125" s="3" t="s">
        <v>228</v>
      </c>
      <c r="C1125" s="3" t="s">
        <v>2074</v>
      </c>
      <c r="D1125" s="4">
        <v>4301051656</v>
      </c>
      <c r="E1125" s="3">
        <v>4680115880573</v>
      </c>
      <c r="F1125" s="5" t="s">
        <v>1079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9"/>
        <v>69.599999999999994</v>
      </c>
    </row>
    <row r="1126" spans="1:11" x14ac:dyDescent="0.25">
      <c r="A1126" s="6" t="s">
        <v>937</v>
      </c>
      <c r="B1126" s="3" t="s">
        <v>228</v>
      </c>
      <c r="C1126" s="3" t="s">
        <v>2074</v>
      </c>
      <c r="D1126" s="4">
        <v>4301051656</v>
      </c>
      <c r="E1126" s="3">
        <v>4680115880573</v>
      </c>
      <c r="F1126" s="5" t="s">
        <v>1079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9"/>
        <v>69.599999999999994</v>
      </c>
    </row>
    <row r="1127" spans="1:11" x14ac:dyDescent="0.25">
      <c r="A1127" s="6" t="s">
        <v>700</v>
      </c>
      <c r="B1127" s="3" t="s">
        <v>228</v>
      </c>
      <c r="C1127" s="3" t="s">
        <v>2074</v>
      </c>
      <c r="D1127" s="4">
        <v>4301051656</v>
      </c>
      <c r="E1127" s="3">
        <v>4680115880573</v>
      </c>
      <c r="F1127" s="5" t="s">
        <v>1079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29"/>
        <v>69.599999999999994</v>
      </c>
    </row>
    <row r="1128" spans="1:11" ht="22.5" x14ac:dyDescent="0.25">
      <c r="A1128" s="6" t="s">
        <v>993</v>
      </c>
      <c r="B1128" s="3" t="s">
        <v>2464</v>
      </c>
      <c r="C1128" s="3" t="s">
        <v>2465</v>
      </c>
      <c r="D1128" s="4">
        <v>4301020344</v>
      </c>
      <c r="E1128" s="3">
        <v>4680115880658</v>
      </c>
      <c r="F1128" s="5" t="s">
        <v>2395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1346</v>
      </c>
      <c r="B1129" s="3" t="s">
        <v>2464</v>
      </c>
      <c r="C1129" s="3" t="s">
        <v>2465</v>
      </c>
      <c r="D1129" s="4">
        <v>4301020344</v>
      </c>
      <c r="E1129" s="3">
        <v>4680115880658</v>
      </c>
      <c r="F1129" s="5" t="s">
        <v>2395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1392</v>
      </c>
      <c r="B1130" s="3" t="s">
        <v>2464</v>
      </c>
      <c r="C1130" s="3" t="s">
        <v>2465</v>
      </c>
      <c r="D1130" s="4">
        <v>4301020344</v>
      </c>
      <c r="E1130" s="3">
        <v>4680115880658</v>
      </c>
      <c r="F1130" s="5" t="s">
        <v>2395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1403</v>
      </c>
      <c r="B1131" s="3" t="s">
        <v>2464</v>
      </c>
      <c r="C1131" s="3" t="s">
        <v>2465</v>
      </c>
      <c r="D1131" s="4">
        <v>4301020344</v>
      </c>
      <c r="E1131" s="3">
        <v>4680115880658</v>
      </c>
      <c r="F1131" s="5" t="s">
        <v>2395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2367</v>
      </c>
      <c r="B1132" s="3" t="s">
        <v>2464</v>
      </c>
      <c r="C1132" s="3" t="s">
        <v>2465</v>
      </c>
      <c r="D1132" s="4">
        <v>4301020344</v>
      </c>
      <c r="E1132" s="3">
        <v>4680115880658</v>
      </c>
      <c r="F1132" s="5" t="s">
        <v>2395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1543</v>
      </c>
      <c r="B1133" s="3" t="s">
        <v>2464</v>
      </c>
      <c r="C1133" s="3" t="s">
        <v>2465</v>
      </c>
      <c r="D1133" s="4">
        <v>4301020344</v>
      </c>
      <c r="E1133" s="3">
        <v>4680115880658</v>
      </c>
      <c r="F1133" s="5" t="s">
        <v>2395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1985</v>
      </c>
      <c r="B1134" s="3" t="s">
        <v>2464</v>
      </c>
      <c r="C1134" s="3" t="s">
        <v>2465</v>
      </c>
      <c r="D1134" s="4">
        <v>4301020344</v>
      </c>
      <c r="E1134" s="3">
        <v>4680115880658</v>
      </c>
      <c r="F1134" s="5" t="s">
        <v>2395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2050</v>
      </c>
      <c r="B1135" s="3" t="s">
        <v>2464</v>
      </c>
      <c r="C1135" s="3" t="s">
        <v>2465</v>
      </c>
      <c r="D1135" s="4">
        <v>4301020344</v>
      </c>
      <c r="E1135" s="3">
        <v>4680115880658</v>
      </c>
      <c r="F1135" s="5" t="s">
        <v>2395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705</v>
      </c>
      <c r="B1136" s="3" t="s">
        <v>2464</v>
      </c>
      <c r="C1136" s="3" t="s">
        <v>2465</v>
      </c>
      <c r="D1136" s="4">
        <v>4301020344</v>
      </c>
      <c r="E1136" s="3">
        <v>4680115880658</v>
      </c>
      <c r="F1136" s="5" t="s">
        <v>2395</v>
      </c>
      <c r="G1136" s="16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2045</v>
      </c>
      <c r="B1137" s="3" t="s">
        <v>171</v>
      </c>
      <c r="C1137" s="3" t="s">
        <v>172</v>
      </c>
      <c r="D1137" s="4">
        <v>4301020220</v>
      </c>
      <c r="E1137" s="3">
        <v>4680115880764</v>
      </c>
      <c r="F1137" s="5" t="s">
        <v>173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ref="K1137:K1192" si="134">J1137*I1137</f>
        <v>25.200000000000003</v>
      </c>
    </row>
    <row r="1138" spans="1:11" ht="22.5" x14ac:dyDescent="0.25">
      <c r="A1138" s="6" t="s">
        <v>708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si="134"/>
        <v>25.200000000000003</v>
      </c>
    </row>
    <row r="1139" spans="1:11" ht="22.5" x14ac:dyDescent="0.25">
      <c r="A1139" s="6" t="s">
        <v>1602</v>
      </c>
      <c r="B1139" s="3" t="s">
        <v>394</v>
      </c>
      <c r="C1139" s="3" t="s">
        <v>395</v>
      </c>
      <c r="D1139" s="4">
        <v>4301031167</v>
      </c>
      <c r="E1139" s="3">
        <v>4680115880771</v>
      </c>
      <c r="F1139" s="5" t="s">
        <v>399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4"/>
        <v>30.24</v>
      </c>
    </row>
    <row r="1140" spans="1:11" ht="22.5" x14ac:dyDescent="0.25">
      <c r="A1140" s="6" t="s">
        <v>1239</v>
      </c>
      <c r="B1140" s="3" t="s">
        <v>394</v>
      </c>
      <c r="C1140" s="3" t="s">
        <v>395</v>
      </c>
      <c r="D1140" s="4">
        <v>4301031167</v>
      </c>
      <c r="E1140" s="3">
        <v>4680115880771</v>
      </c>
      <c r="F1140" s="5" t="s">
        <v>399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4"/>
        <v>30.24</v>
      </c>
    </row>
    <row r="1141" spans="1:11" ht="22.5" x14ac:dyDescent="0.25">
      <c r="A1141" s="6" t="s">
        <v>270</v>
      </c>
      <c r="B1141" s="3" t="s">
        <v>265</v>
      </c>
      <c r="C1141" s="3" t="s">
        <v>1972</v>
      </c>
      <c r="D1141" s="4">
        <v>4301060389</v>
      </c>
      <c r="E1141" s="3">
        <v>4680115880801</v>
      </c>
      <c r="F1141" s="5" t="s">
        <v>1973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4"/>
        <v>28.799999999999997</v>
      </c>
    </row>
    <row r="1142" spans="1:11" ht="22.5" x14ac:dyDescent="0.25">
      <c r="A1142" s="6" t="s">
        <v>2033</v>
      </c>
      <c r="B1142" s="3" t="s">
        <v>265</v>
      </c>
      <c r="C1142" s="3" t="s">
        <v>1972</v>
      </c>
      <c r="D1142" s="4">
        <v>4301060389</v>
      </c>
      <c r="E1142" s="3">
        <v>4680115880801</v>
      </c>
      <c r="F1142" s="5" t="s">
        <v>1973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4"/>
        <v>28.799999999999997</v>
      </c>
    </row>
    <row r="1143" spans="1:11" ht="22.5" x14ac:dyDescent="0.25">
      <c r="A1143" s="6" t="s">
        <v>1168</v>
      </c>
      <c r="B1143" s="3" t="s">
        <v>265</v>
      </c>
      <c r="C1143" s="3" t="s">
        <v>1972</v>
      </c>
      <c r="D1143" s="4">
        <v>4301060389</v>
      </c>
      <c r="E1143" s="3">
        <v>4680115880801</v>
      </c>
      <c r="F1143" s="5" t="s">
        <v>1973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4"/>
        <v>28.799999999999997</v>
      </c>
    </row>
    <row r="1144" spans="1:11" ht="22.5" x14ac:dyDescent="0.25">
      <c r="A1144" s="6" t="s">
        <v>1328</v>
      </c>
      <c r="B1144" s="3" t="s">
        <v>265</v>
      </c>
      <c r="C1144" s="3" t="s">
        <v>1972</v>
      </c>
      <c r="D1144" s="4">
        <v>4301060389</v>
      </c>
      <c r="E1144" s="3">
        <v>4680115880801</v>
      </c>
      <c r="F1144" s="5" t="s">
        <v>1973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4"/>
        <v>28.799999999999997</v>
      </c>
    </row>
    <row r="1145" spans="1:11" ht="22.5" x14ac:dyDescent="0.25">
      <c r="A1145" s="6" t="s">
        <v>714</v>
      </c>
      <c r="B1145" s="3" t="s">
        <v>265</v>
      </c>
      <c r="C1145" s="3" t="s">
        <v>1972</v>
      </c>
      <c r="D1145" s="4">
        <v>4301060389</v>
      </c>
      <c r="E1145" s="3">
        <v>4680115880801</v>
      </c>
      <c r="F1145" s="5" t="s">
        <v>1973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4"/>
        <v>28.799999999999997</v>
      </c>
    </row>
    <row r="1146" spans="1:11" ht="22.5" x14ac:dyDescent="0.25">
      <c r="A1146" s="6" t="s">
        <v>2034</v>
      </c>
      <c r="B1146" s="3" t="s">
        <v>266</v>
      </c>
      <c r="C1146" s="3" t="s">
        <v>1974</v>
      </c>
      <c r="D1146" s="4">
        <v>4301060463</v>
      </c>
      <c r="E1146" s="3">
        <v>4680115880818</v>
      </c>
      <c r="F1146" s="5" t="s">
        <v>1975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4"/>
        <v>28.799999999999997</v>
      </c>
    </row>
    <row r="1147" spans="1:11" ht="22.5" x14ac:dyDescent="0.25">
      <c r="A1147" s="6" t="s">
        <v>973</v>
      </c>
      <c r="B1147" s="3" t="s">
        <v>266</v>
      </c>
      <c r="C1147" s="3" t="s">
        <v>1974</v>
      </c>
      <c r="D1147" s="4">
        <v>4301060463</v>
      </c>
      <c r="E1147" s="3">
        <v>4680115880818</v>
      </c>
      <c r="F1147" s="5" t="s">
        <v>1975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4"/>
        <v>28.799999999999997</v>
      </c>
    </row>
    <row r="1148" spans="1:11" ht="22.5" x14ac:dyDescent="0.25">
      <c r="A1148" s="6" t="s">
        <v>1029</v>
      </c>
      <c r="B1148" s="3" t="s">
        <v>266</v>
      </c>
      <c r="C1148" s="3" t="s">
        <v>1974</v>
      </c>
      <c r="D1148" s="4">
        <v>4301060463</v>
      </c>
      <c r="E1148" s="3">
        <v>4680115880818</v>
      </c>
      <c r="F1148" s="5" t="s">
        <v>1975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4"/>
        <v>28.799999999999997</v>
      </c>
    </row>
    <row r="1149" spans="1:11" ht="22.5" x14ac:dyDescent="0.25">
      <c r="A1149" s="6" t="s">
        <v>1089</v>
      </c>
      <c r="B1149" s="3" t="s">
        <v>266</v>
      </c>
      <c r="C1149" s="3" t="s">
        <v>1974</v>
      </c>
      <c r="D1149" s="4">
        <v>4301060463</v>
      </c>
      <c r="E1149" s="3">
        <v>4680115880818</v>
      </c>
      <c r="F1149" s="5" t="s">
        <v>1975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4"/>
        <v>28.799999999999997</v>
      </c>
    </row>
    <row r="1150" spans="1:11" ht="22.5" x14ac:dyDescent="0.25">
      <c r="A1150" s="6" t="s">
        <v>1028</v>
      </c>
      <c r="B1150" s="3" t="s">
        <v>266</v>
      </c>
      <c r="C1150" s="3" t="s">
        <v>1974</v>
      </c>
      <c r="D1150" s="4">
        <v>4301060463</v>
      </c>
      <c r="E1150" s="3">
        <v>4680115880818</v>
      </c>
      <c r="F1150" s="5" t="s">
        <v>1975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4"/>
        <v>28.799999999999997</v>
      </c>
    </row>
    <row r="1151" spans="1:11" ht="22.5" x14ac:dyDescent="0.25">
      <c r="A1151" s="6" t="s">
        <v>1018</v>
      </c>
      <c r="B1151" s="3" t="s">
        <v>266</v>
      </c>
      <c r="C1151" s="3" t="s">
        <v>1974</v>
      </c>
      <c r="D1151" s="4">
        <v>4301060463</v>
      </c>
      <c r="E1151" s="3">
        <v>4680115880818</v>
      </c>
      <c r="F1151" s="5" t="s">
        <v>1975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4"/>
        <v>28.799999999999997</v>
      </c>
    </row>
    <row r="1152" spans="1:11" ht="22.5" x14ac:dyDescent="0.25">
      <c r="A1152" s="6" t="s">
        <v>271</v>
      </c>
      <c r="B1152" s="3" t="s">
        <v>266</v>
      </c>
      <c r="C1152" s="3" t="s">
        <v>1974</v>
      </c>
      <c r="D1152" s="4">
        <v>4301060463</v>
      </c>
      <c r="E1152" s="3">
        <v>4680115880818</v>
      </c>
      <c r="F1152" s="5" t="s">
        <v>1975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4"/>
        <v>28.799999999999997</v>
      </c>
    </row>
    <row r="1153" spans="1:11" ht="22.5" x14ac:dyDescent="0.25">
      <c r="A1153" s="6" t="s">
        <v>690</v>
      </c>
      <c r="B1153" s="3" t="s">
        <v>266</v>
      </c>
      <c r="C1153" s="3" t="s">
        <v>1974</v>
      </c>
      <c r="D1153" s="4">
        <v>4301060463</v>
      </c>
      <c r="E1153" s="3">
        <v>4680115880818</v>
      </c>
      <c r="F1153" s="5" t="s">
        <v>1975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4"/>
        <v>28.799999999999997</v>
      </c>
    </row>
    <row r="1154" spans="1:11" ht="22.5" x14ac:dyDescent="0.25">
      <c r="A1154" s="6" t="s">
        <v>1084</v>
      </c>
      <c r="B1154" s="3" t="s">
        <v>116</v>
      </c>
      <c r="C1154" s="3" t="s">
        <v>117</v>
      </c>
      <c r="D1154" s="4">
        <v>4301051438</v>
      </c>
      <c r="E1154" s="3">
        <v>4680115880894</v>
      </c>
      <c r="F1154" s="5" t="s">
        <v>124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4"/>
        <v>23.759999999999998</v>
      </c>
    </row>
    <row r="1155" spans="1:11" ht="22.5" x14ac:dyDescent="0.25">
      <c r="A1155" s="6" t="s">
        <v>124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4"/>
        <v>23.759999999999998</v>
      </c>
    </row>
    <row r="1156" spans="1:11" x14ac:dyDescent="0.25">
      <c r="A1156" s="6" t="s">
        <v>451</v>
      </c>
      <c r="B1156" s="3" t="s">
        <v>230</v>
      </c>
      <c r="C1156" s="3" t="s">
        <v>2075</v>
      </c>
      <c r="D1156" s="4">
        <v>4301051943</v>
      </c>
      <c r="E1156" s="3">
        <v>4680115880962</v>
      </c>
      <c r="F1156" s="5" t="s">
        <v>251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4"/>
        <v>62.4</v>
      </c>
    </row>
    <row r="1157" spans="1:11" x14ac:dyDescent="0.25">
      <c r="A1157" s="6" t="s">
        <v>2032</v>
      </c>
      <c r="B1157" s="3" t="s">
        <v>230</v>
      </c>
      <c r="C1157" s="3" t="s">
        <v>2075</v>
      </c>
      <c r="D1157" s="4">
        <v>4301051943</v>
      </c>
      <c r="E1157" s="3">
        <v>4680115880962</v>
      </c>
      <c r="F1157" s="5" t="s">
        <v>251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4"/>
        <v>62.4</v>
      </c>
    </row>
    <row r="1158" spans="1:11" x14ac:dyDescent="0.25">
      <c r="A1158" s="6" t="s">
        <v>2627</v>
      </c>
      <c r="B1158" s="3" t="s">
        <v>230</v>
      </c>
      <c r="C1158" s="3" t="s">
        <v>2075</v>
      </c>
      <c r="D1158" s="4">
        <v>4301051943</v>
      </c>
      <c r="E1158" s="3">
        <v>4680115880962</v>
      </c>
      <c r="F1158" s="5" t="s">
        <v>251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ref="K1158" si="135">J1158*I1158</f>
        <v>62.4</v>
      </c>
    </row>
    <row r="1159" spans="1:11" x14ac:dyDescent="0.25">
      <c r="A1159" s="6" t="s">
        <v>1721</v>
      </c>
      <c r="B1159" s="3" t="s">
        <v>230</v>
      </c>
      <c r="C1159" s="3" t="s">
        <v>2075</v>
      </c>
      <c r="D1159" s="4">
        <v>4301051943</v>
      </c>
      <c r="E1159" s="3">
        <v>4680115880962</v>
      </c>
      <c r="F1159" s="5" t="s">
        <v>251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4"/>
        <v>62.4</v>
      </c>
    </row>
    <row r="1160" spans="1:11" x14ac:dyDescent="0.25">
      <c r="A1160" s="6" t="s">
        <v>251</v>
      </c>
      <c r="B1160" s="3" t="s">
        <v>230</v>
      </c>
      <c r="C1160" s="3" t="s">
        <v>2075</v>
      </c>
      <c r="D1160" s="4">
        <v>4301051943</v>
      </c>
      <c r="E1160" s="3">
        <v>4680115880962</v>
      </c>
      <c r="F1160" s="5" t="s">
        <v>251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4"/>
        <v>62.4</v>
      </c>
    </row>
    <row r="1161" spans="1:11" x14ac:dyDescent="0.25">
      <c r="A1161" s="6" t="s">
        <v>656</v>
      </c>
      <c r="B1161" s="3" t="s">
        <v>230</v>
      </c>
      <c r="C1161" s="3" t="s">
        <v>2075</v>
      </c>
      <c r="D1161" s="4">
        <v>4301051943</v>
      </c>
      <c r="E1161" s="3">
        <v>4680115880962</v>
      </c>
      <c r="F1161" s="5" t="s">
        <v>251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4"/>
        <v>62.4</v>
      </c>
    </row>
    <row r="1162" spans="1:11" ht="33.75" x14ac:dyDescent="0.25">
      <c r="A1162" s="6" t="s">
        <v>680</v>
      </c>
      <c r="B1162" s="3" t="s">
        <v>190</v>
      </c>
      <c r="C1162" s="3" t="s">
        <v>191</v>
      </c>
      <c r="D1162" s="4">
        <v>4301031199</v>
      </c>
      <c r="E1162" s="3">
        <v>4680115880986</v>
      </c>
      <c r="F1162" s="5" t="s">
        <v>207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4"/>
        <v>37.800000000000004</v>
      </c>
    </row>
    <row r="1163" spans="1:11" ht="33.75" x14ac:dyDescent="0.25">
      <c r="A1163" s="6" t="s">
        <v>207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4"/>
        <v>37.800000000000004</v>
      </c>
    </row>
    <row r="1164" spans="1:11" ht="33.75" x14ac:dyDescent="0.25">
      <c r="A1164" s="6" t="s">
        <v>850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4"/>
        <v>37.800000000000004</v>
      </c>
    </row>
    <row r="1165" spans="1:11" ht="33.75" x14ac:dyDescent="0.25">
      <c r="A1165" s="6" t="s">
        <v>845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4"/>
        <v>37.800000000000004</v>
      </c>
    </row>
    <row r="1166" spans="1:11" ht="33.75" x14ac:dyDescent="0.25">
      <c r="A1166" s="6" t="s">
        <v>933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4"/>
        <v>37.800000000000004</v>
      </c>
    </row>
    <row r="1167" spans="1:11" ht="33.75" x14ac:dyDescent="0.25">
      <c r="A1167" s="6" t="s">
        <v>1621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4"/>
        <v>37.800000000000004</v>
      </c>
    </row>
    <row r="1168" spans="1:11" ht="33.75" x14ac:dyDescent="0.25">
      <c r="A1168" s="6" t="s">
        <v>1709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4"/>
        <v>37.800000000000004</v>
      </c>
    </row>
    <row r="1169" spans="1:11" ht="33.75" x14ac:dyDescent="0.25">
      <c r="A1169" s="6" t="s">
        <v>2622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ref="K1169" si="136">J1169*I1169</f>
        <v>37.800000000000004</v>
      </c>
    </row>
    <row r="1170" spans="1:11" ht="33.75" x14ac:dyDescent="0.25">
      <c r="A1170" s="6" t="s">
        <v>1461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4"/>
        <v>37.800000000000004</v>
      </c>
    </row>
    <row r="1171" spans="1:11" ht="33.75" x14ac:dyDescent="0.25">
      <c r="A1171" s="6" t="s">
        <v>1050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4"/>
        <v>37.800000000000004</v>
      </c>
    </row>
    <row r="1172" spans="1:11" ht="33.75" x14ac:dyDescent="0.25">
      <c r="A1172" s="6" t="s">
        <v>1058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4"/>
        <v>37.800000000000004</v>
      </c>
    </row>
    <row r="1173" spans="1:11" ht="33.75" x14ac:dyDescent="0.25">
      <c r="A1173" s="6" t="s">
        <v>2025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4"/>
        <v>37.800000000000004</v>
      </c>
    </row>
    <row r="1174" spans="1:11" ht="22.5" x14ac:dyDescent="0.25">
      <c r="A1174" s="6" t="s">
        <v>1106</v>
      </c>
      <c r="B1174" s="3" t="s">
        <v>182</v>
      </c>
      <c r="C1174" s="3" t="s">
        <v>183</v>
      </c>
      <c r="D1174" s="4">
        <v>4301031191</v>
      </c>
      <c r="E1174" s="3">
        <v>4680115880993</v>
      </c>
      <c r="F1174" s="5" t="s">
        <v>203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4"/>
        <v>50.400000000000006</v>
      </c>
    </row>
    <row r="1175" spans="1:11" ht="22.5" x14ac:dyDescent="0.25">
      <c r="A1175" s="6" t="s">
        <v>1830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4"/>
        <v>50.400000000000006</v>
      </c>
    </row>
    <row r="1176" spans="1:11" ht="22.5" x14ac:dyDescent="0.25">
      <c r="A1176" s="6" t="s">
        <v>651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4"/>
        <v>50.400000000000006</v>
      </c>
    </row>
    <row r="1177" spans="1:11" ht="22.5" x14ac:dyDescent="0.25">
      <c r="A1177" s="6" t="s">
        <v>855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4"/>
        <v>50.400000000000006</v>
      </c>
    </row>
    <row r="1178" spans="1:11" ht="22.5" x14ac:dyDescent="0.25">
      <c r="A1178" s="6" t="s">
        <v>1347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4"/>
        <v>50.400000000000006</v>
      </c>
    </row>
    <row r="1179" spans="1:11" ht="22.5" x14ac:dyDescent="0.25">
      <c r="A1179" s="6" t="s">
        <v>1184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4"/>
        <v>50.400000000000006</v>
      </c>
    </row>
    <row r="1180" spans="1:11" ht="22.5" x14ac:dyDescent="0.25">
      <c r="A1180" s="6" t="s">
        <v>2296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ref="K1180" si="137">J1180*I1180</f>
        <v>50.400000000000006</v>
      </c>
    </row>
    <row r="1181" spans="1:11" ht="22.5" x14ac:dyDescent="0.25">
      <c r="A1181" s="6" t="s">
        <v>1312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4"/>
        <v>50.400000000000006</v>
      </c>
    </row>
    <row r="1182" spans="1:11" ht="22.5" x14ac:dyDescent="0.25">
      <c r="A1182" s="6" t="s">
        <v>445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4"/>
        <v>50.400000000000006</v>
      </c>
    </row>
    <row r="1183" spans="1:11" x14ac:dyDescent="0.25">
      <c r="A1183" s="6" t="s">
        <v>433</v>
      </c>
      <c r="B1183" s="3" t="s">
        <v>430</v>
      </c>
      <c r="C1183" s="3" t="s">
        <v>431</v>
      </c>
      <c r="D1183" s="4">
        <v>4301020230</v>
      </c>
      <c r="E1183" s="3">
        <v>4680115881112</v>
      </c>
      <c r="F1183" s="5" t="s">
        <v>433</v>
      </c>
      <c r="G1183" s="16"/>
      <c r="H1183" s="1" t="e">
        <f>VLOOKUP(E1183,[1]Лист1!$D:$M,10,0)</f>
        <v>#N/A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4"/>
        <v>86.4</v>
      </c>
    </row>
    <row r="1184" spans="1:11" ht="22.5" x14ac:dyDescent="0.25">
      <c r="A1184" s="6" t="s">
        <v>620</v>
      </c>
      <c r="B1184" s="3" t="s">
        <v>432</v>
      </c>
      <c r="C1184" s="3" t="s">
        <v>1271</v>
      </c>
      <c r="D1184" s="4">
        <v>4301020260</v>
      </c>
      <c r="E1184" s="3">
        <v>4640242180526</v>
      </c>
      <c r="F1184" s="5" t="s">
        <v>1272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4"/>
        <v>86.4</v>
      </c>
    </row>
    <row r="1185" spans="1:11" ht="22.5" x14ac:dyDescent="0.25">
      <c r="A1185" s="6" t="s">
        <v>1267</v>
      </c>
      <c r="B1185" s="3" t="s">
        <v>432</v>
      </c>
      <c r="C1185" s="3" t="s">
        <v>1271</v>
      </c>
      <c r="D1185" s="4">
        <v>4301020260</v>
      </c>
      <c r="E1185" s="3">
        <v>4640242180526</v>
      </c>
      <c r="F1185" s="5" t="s">
        <v>1272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4"/>
        <v>86.4</v>
      </c>
    </row>
    <row r="1186" spans="1:11" ht="22.5" x14ac:dyDescent="0.25">
      <c r="A1186" s="6" t="s">
        <v>773</v>
      </c>
      <c r="B1186" s="3" t="s">
        <v>432</v>
      </c>
      <c r="C1186" s="3" t="s">
        <v>1271</v>
      </c>
      <c r="D1186" s="4">
        <v>4301020260</v>
      </c>
      <c r="E1186" s="3">
        <v>4640242180526</v>
      </c>
      <c r="F1186" s="5" t="s">
        <v>1272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4"/>
        <v>86.4</v>
      </c>
    </row>
    <row r="1187" spans="1:11" ht="22.5" x14ac:dyDescent="0.25">
      <c r="A1187" s="6" t="s">
        <v>842</v>
      </c>
      <c r="B1187" s="3" t="s">
        <v>432</v>
      </c>
      <c r="C1187" s="3" t="s">
        <v>1271</v>
      </c>
      <c r="D1187" s="4">
        <v>4301020260</v>
      </c>
      <c r="E1187" s="3">
        <v>4640242180526</v>
      </c>
      <c r="F1187" s="5" t="s">
        <v>1272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4"/>
        <v>86.4</v>
      </c>
    </row>
    <row r="1188" spans="1:11" ht="22.5" x14ac:dyDescent="0.25">
      <c r="A1188" s="6" t="s">
        <v>1272</v>
      </c>
      <c r="B1188" s="3" t="s">
        <v>432</v>
      </c>
      <c r="C1188" s="3" t="s">
        <v>1271</v>
      </c>
      <c r="D1188" s="4">
        <v>4301020260</v>
      </c>
      <c r="E1188" s="3">
        <v>4640242180526</v>
      </c>
      <c r="F1188" s="5" t="s">
        <v>1272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4"/>
        <v>86.4</v>
      </c>
    </row>
    <row r="1189" spans="1:11" ht="22.5" x14ac:dyDescent="0.25">
      <c r="A1189" s="6" t="s">
        <v>2512</v>
      </c>
      <c r="B1189" s="3" t="s">
        <v>432</v>
      </c>
      <c r="C1189" s="3" t="s">
        <v>1271</v>
      </c>
      <c r="D1189" s="4">
        <v>4301020260</v>
      </c>
      <c r="E1189" s="3">
        <v>4640242180526</v>
      </c>
      <c r="F1189" s="5" t="s">
        <v>1272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ref="K1189" si="138">J1189*I1189</f>
        <v>86.4</v>
      </c>
    </row>
    <row r="1190" spans="1:11" ht="22.5" x14ac:dyDescent="0.25">
      <c r="A1190" s="6" t="s">
        <v>1115</v>
      </c>
      <c r="B1190" s="3" t="s">
        <v>432</v>
      </c>
      <c r="C1190" s="3" t="s">
        <v>1271</v>
      </c>
      <c r="D1190" s="4">
        <v>4301020260</v>
      </c>
      <c r="E1190" s="3">
        <v>4640242180526</v>
      </c>
      <c r="F1190" s="5" t="s">
        <v>1272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4"/>
        <v>86.4</v>
      </c>
    </row>
    <row r="1191" spans="1:11" ht="22.5" x14ac:dyDescent="0.25">
      <c r="A1191" s="6" t="s">
        <v>534</v>
      </c>
      <c r="B1191" s="3" t="s">
        <v>432</v>
      </c>
      <c r="C1191" s="3" t="s">
        <v>1271</v>
      </c>
      <c r="D1191" s="4">
        <v>4301020260</v>
      </c>
      <c r="E1191" s="3">
        <v>4640242180526</v>
      </c>
      <c r="F1191" s="5" t="s">
        <v>1272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4"/>
        <v>86.4</v>
      </c>
    </row>
    <row r="1192" spans="1:11" ht="22.5" x14ac:dyDescent="0.25">
      <c r="A1192" s="6" t="s">
        <v>554</v>
      </c>
      <c r="B1192" s="3" t="s">
        <v>994</v>
      </c>
      <c r="C1192" s="3" t="s">
        <v>995</v>
      </c>
      <c r="D1192" s="4">
        <v>4301051310</v>
      </c>
      <c r="E1192" s="3">
        <v>4680115880870</v>
      </c>
      <c r="F1192" s="5" t="s">
        <v>996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si="134"/>
        <v>62.4</v>
      </c>
    </row>
    <row r="1193" spans="1:11" ht="22.5" x14ac:dyDescent="0.25">
      <c r="A1193" s="6" t="s">
        <v>647</v>
      </c>
      <c r="B1193" s="3" t="s">
        <v>994</v>
      </c>
      <c r="C1193" s="3" t="s">
        <v>995</v>
      </c>
      <c r="D1193" s="4">
        <v>4301051310</v>
      </c>
      <c r="E1193" s="3">
        <v>4680115880870</v>
      </c>
      <c r="F1193" s="5" t="s">
        <v>996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ref="K1193:K1252" si="139">J1193*I1193</f>
        <v>62.4</v>
      </c>
    </row>
    <row r="1194" spans="1:11" ht="22.5" x14ac:dyDescent="0.25">
      <c r="A1194" s="6" t="s">
        <v>653</v>
      </c>
      <c r="B1194" s="3" t="s">
        <v>994</v>
      </c>
      <c r="C1194" s="3" t="s">
        <v>2656</v>
      </c>
      <c r="D1194" s="4">
        <v>4301052046</v>
      </c>
      <c r="E1194" s="3">
        <v>4640242180533</v>
      </c>
      <c r="F1194" s="5" t="s">
        <v>2657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9"/>
        <v>62.4</v>
      </c>
    </row>
    <row r="1195" spans="1:11" ht="22.5" x14ac:dyDescent="0.25">
      <c r="A1195" s="6" t="s">
        <v>437</v>
      </c>
      <c r="B1195" s="3" t="s">
        <v>994</v>
      </c>
      <c r="C1195" s="3" t="s">
        <v>2656</v>
      </c>
      <c r="D1195" s="4">
        <v>4301052046</v>
      </c>
      <c r="E1195" s="3">
        <v>4640242180533</v>
      </c>
      <c r="F1195" s="5" t="s">
        <v>2657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9"/>
        <v>62.4</v>
      </c>
    </row>
    <row r="1196" spans="1:11" ht="22.5" x14ac:dyDescent="0.25">
      <c r="A1196" s="6" t="s">
        <v>1564</v>
      </c>
      <c r="B1196" s="3" t="s">
        <v>994</v>
      </c>
      <c r="C1196" s="3" t="s">
        <v>2656</v>
      </c>
      <c r="D1196" s="4">
        <v>4301052046</v>
      </c>
      <c r="E1196" s="3">
        <v>4640242180533</v>
      </c>
      <c r="F1196" s="5" t="s">
        <v>2657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9"/>
        <v>62.4</v>
      </c>
    </row>
    <row r="1197" spans="1:11" ht="22.5" x14ac:dyDescent="0.25">
      <c r="A1197" s="6" t="s">
        <v>2149</v>
      </c>
      <c r="B1197" s="3" t="s">
        <v>994</v>
      </c>
      <c r="C1197" s="3" t="s">
        <v>2656</v>
      </c>
      <c r="D1197" s="4">
        <v>4301052046</v>
      </c>
      <c r="E1197" s="3">
        <v>4640242180533</v>
      </c>
      <c r="F1197" s="5" t="s">
        <v>2657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9"/>
        <v>62.4</v>
      </c>
    </row>
    <row r="1198" spans="1:11" ht="22.5" x14ac:dyDescent="0.25">
      <c r="A1198" s="6" t="s">
        <v>1366</v>
      </c>
      <c r="B1198" s="3" t="s">
        <v>994</v>
      </c>
      <c r="C1198" s="3" t="s">
        <v>2656</v>
      </c>
      <c r="D1198" s="4">
        <v>4301052046</v>
      </c>
      <c r="E1198" s="3">
        <v>4640242180533</v>
      </c>
      <c r="F1198" s="5" t="s">
        <v>2657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9"/>
        <v>62.4</v>
      </c>
    </row>
    <row r="1199" spans="1:11" ht="22.5" x14ac:dyDescent="0.25">
      <c r="A1199" s="6" t="s">
        <v>1863</v>
      </c>
      <c r="B1199" s="3" t="s">
        <v>994</v>
      </c>
      <c r="C1199" s="3" t="s">
        <v>2656</v>
      </c>
      <c r="D1199" s="4">
        <v>4301052046</v>
      </c>
      <c r="E1199" s="3">
        <v>4640242180533</v>
      </c>
      <c r="F1199" s="5" t="s">
        <v>2657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9"/>
        <v>62.4</v>
      </c>
    </row>
    <row r="1200" spans="1:11" ht="22.5" x14ac:dyDescent="0.25">
      <c r="A1200" s="6" t="s">
        <v>1052</v>
      </c>
      <c r="B1200" s="3" t="s">
        <v>994</v>
      </c>
      <c r="C1200" s="3" t="s">
        <v>2656</v>
      </c>
      <c r="D1200" s="4">
        <v>4301052046</v>
      </c>
      <c r="E1200" s="3">
        <v>4640242180533</v>
      </c>
      <c r="F1200" s="5" t="s">
        <v>2657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9"/>
        <v>62.4</v>
      </c>
    </row>
    <row r="1201" spans="1:11" ht="22.5" x14ac:dyDescent="0.25">
      <c r="A1201" s="6" t="s">
        <v>834</v>
      </c>
      <c r="B1201" s="3" t="s">
        <v>994</v>
      </c>
      <c r="C1201" s="3" t="s">
        <v>2656</v>
      </c>
      <c r="D1201" s="4">
        <v>4301052046</v>
      </c>
      <c r="E1201" s="3">
        <v>4640242180533</v>
      </c>
      <c r="F1201" s="5" t="s">
        <v>2657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9"/>
        <v>62.4</v>
      </c>
    </row>
    <row r="1202" spans="1:11" ht="22.5" x14ac:dyDescent="0.25">
      <c r="A1202" s="6" t="s">
        <v>1742</v>
      </c>
      <c r="B1202" s="3" t="s">
        <v>994</v>
      </c>
      <c r="C1202" s="3" t="s">
        <v>2656</v>
      </c>
      <c r="D1202" s="4">
        <v>4301052046</v>
      </c>
      <c r="E1202" s="3">
        <v>4640242180533</v>
      </c>
      <c r="F1202" s="5" t="s">
        <v>2657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9"/>
        <v>62.4</v>
      </c>
    </row>
    <row r="1203" spans="1:11" ht="22.5" x14ac:dyDescent="0.25">
      <c r="A1203" s="6" t="s">
        <v>1510</v>
      </c>
      <c r="B1203" s="3" t="s">
        <v>994</v>
      </c>
      <c r="C1203" s="3" t="s">
        <v>2656</v>
      </c>
      <c r="D1203" s="4">
        <v>4301052046</v>
      </c>
      <c r="E1203" s="3">
        <v>4640242180533</v>
      </c>
      <c r="F1203" s="5" t="s">
        <v>2657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9"/>
        <v>62.4</v>
      </c>
    </row>
    <row r="1204" spans="1:11" ht="22.5" x14ac:dyDescent="0.25">
      <c r="A1204" s="6" t="s">
        <v>1777</v>
      </c>
      <c r="B1204" s="3" t="s">
        <v>994</v>
      </c>
      <c r="C1204" s="3" t="s">
        <v>2656</v>
      </c>
      <c r="D1204" s="4">
        <v>4301052046</v>
      </c>
      <c r="E1204" s="3">
        <v>4640242180533</v>
      </c>
      <c r="F1204" s="5" t="s">
        <v>2657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9"/>
        <v>62.4</v>
      </c>
    </row>
    <row r="1205" spans="1:11" ht="22.5" x14ac:dyDescent="0.25">
      <c r="A1205" s="6" t="s">
        <v>449</v>
      </c>
      <c r="B1205" s="3" t="s">
        <v>994</v>
      </c>
      <c r="C1205" s="3" t="s">
        <v>2656</v>
      </c>
      <c r="D1205" s="4">
        <v>4301052046</v>
      </c>
      <c r="E1205" s="3">
        <v>4640242180533</v>
      </c>
      <c r="F1205" s="5" t="s">
        <v>2657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9"/>
        <v>62.4</v>
      </c>
    </row>
    <row r="1206" spans="1:11" ht="22.5" x14ac:dyDescent="0.25">
      <c r="A1206" s="6" t="s">
        <v>474</v>
      </c>
      <c r="B1206" s="3" t="s">
        <v>994</v>
      </c>
      <c r="C1206" s="3" t="s">
        <v>2656</v>
      </c>
      <c r="D1206" s="4">
        <v>4301052046</v>
      </c>
      <c r="E1206" s="3">
        <v>4640242180533</v>
      </c>
      <c r="F1206" s="5" t="s">
        <v>2657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39"/>
        <v>62.4</v>
      </c>
    </row>
    <row r="1207" spans="1:11" ht="22.5" x14ac:dyDescent="0.25">
      <c r="A1207" s="6" t="s">
        <v>489</v>
      </c>
      <c r="B1207" s="3" t="s">
        <v>428</v>
      </c>
      <c r="C1207" s="3" t="s">
        <v>1253</v>
      </c>
      <c r="D1207" s="4">
        <v>4301011584</v>
      </c>
      <c r="E1207" s="3">
        <v>4640242180564</v>
      </c>
      <c r="F1207" s="5" t="s">
        <v>1254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9"/>
        <v>96</v>
      </c>
    </row>
    <row r="1208" spans="1:11" ht="22.5" x14ac:dyDescent="0.25">
      <c r="A1208" s="6" t="s">
        <v>599</v>
      </c>
      <c r="B1208" s="3" t="s">
        <v>428</v>
      </c>
      <c r="C1208" s="3" t="s">
        <v>1253</v>
      </c>
      <c r="D1208" s="4">
        <v>4301011584</v>
      </c>
      <c r="E1208" s="3">
        <v>4640242180564</v>
      </c>
      <c r="F1208" s="5" t="s">
        <v>1254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9"/>
        <v>96</v>
      </c>
    </row>
    <row r="1209" spans="1:11" ht="22.5" x14ac:dyDescent="0.25">
      <c r="A1209" s="6" t="s">
        <v>480</v>
      </c>
      <c r="B1209" s="3" t="s">
        <v>428</v>
      </c>
      <c r="C1209" s="3" t="s">
        <v>1253</v>
      </c>
      <c r="D1209" s="4">
        <v>4301011584</v>
      </c>
      <c r="E1209" s="3">
        <v>4640242180564</v>
      </c>
      <c r="F1209" s="5" t="s">
        <v>1254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9"/>
        <v>96</v>
      </c>
    </row>
    <row r="1210" spans="1:11" ht="22.5" x14ac:dyDescent="0.25">
      <c r="A1210" s="6" t="s">
        <v>1735</v>
      </c>
      <c r="B1210" s="3" t="s">
        <v>428</v>
      </c>
      <c r="C1210" s="3" t="s">
        <v>1253</v>
      </c>
      <c r="D1210" s="4">
        <v>4301011584</v>
      </c>
      <c r="E1210" s="3">
        <v>4640242180564</v>
      </c>
      <c r="F1210" s="5" t="s">
        <v>1254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9"/>
        <v>96</v>
      </c>
    </row>
    <row r="1211" spans="1:11" ht="22.5" x14ac:dyDescent="0.25">
      <c r="A1211" s="6" t="s">
        <v>1254</v>
      </c>
      <c r="B1211" s="3" t="s">
        <v>428</v>
      </c>
      <c r="C1211" s="3" t="s">
        <v>1253</v>
      </c>
      <c r="D1211" s="4">
        <v>4301011584</v>
      </c>
      <c r="E1211" s="3">
        <v>4640242180564</v>
      </c>
      <c r="F1211" s="5" t="s">
        <v>1254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9"/>
        <v>96</v>
      </c>
    </row>
    <row r="1212" spans="1:11" ht="22.5" x14ac:dyDescent="0.25">
      <c r="A1212" s="6" t="s">
        <v>669</v>
      </c>
      <c r="B1212" s="3" t="s">
        <v>428</v>
      </c>
      <c r="C1212" s="3" t="s">
        <v>1253</v>
      </c>
      <c r="D1212" s="4">
        <v>4301011584</v>
      </c>
      <c r="E1212" s="3">
        <v>4640242180564</v>
      </c>
      <c r="F1212" s="5" t="s">
        <v>1254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9"/>
        <v>96</v>
      </c>
    </row>
    <row r="1213" spans="1:11" ht="22.5" x14ac:dyDescent="0.25">
      <c r="A1213" s="6" t="s">
        <v>429</v>
      </c>
      <c r="B1213" s="3" t="s">
        <v>428</v>
      </c>
      <c r="C1213" s="3" t="s">
        <v>1253</v>
      </c>
      <c r="D1213" s="4">
        <v>4301011584</v>
      </c>
      <c r="E1213" s="3">
        <v>4640242180564</v>
      </c>
      <c r="F1213" s="5" t="s">
        <v>1254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9"/>
        <v>96</v>
      </c>
    </row>
    <row r="1214" spans="1:11" ht="22.5" x14ac:dyDescent="0.25">
      <c r="A1214" s="6" t="s">
        <v>811</v>
      </c>
      <c r="B1214" s="3" t="s">
        <v>428</v>
      </c>
      <c r="C1214" s="3" t="s">
        <v>1253</v>
      </c>
      <c r="D1214" s="4">
        <v>4301011584</v>
      </c>
      <c r="E1214" s="3">
        <v>4640242180564</v>
      </c>
      <c r="F1214" s="5" t="s">
        <v>1254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9"/>
        <v>96</v>
      </c>
    </row>
    <row r="1215" spans="1:11" ht="22.5" x14ac:dyDescent="0.25">
      <c r="A1215" s="6" t="s">
        <v>1051</v>
      </c>
      <c r="B1215" s="3" t="s">
        <v>428</v>
      </c>
      <c r="C1215" s="3" t="s">
        <v>1253</v>
      </c>
      <c r="D1215" s="4">
        <v>4301011584</v>
      </c>
      <c r="E1215" s="3">
        <v>4640242180564</v>
      </c>
      <c r="F1215" s="5" t="s">
        <v>1254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9"/>
        <v>96</v>
      </c>
    </row>
    <row r="1216" spans="1:11" ht="22.5" x14ac:dyDescent="0.25">
      <c r="A1216" s="6" t="s">
        <v>1139</v>
      </c>
      <c r="B1216" s="3" t="s">
        <v>428</v>
      </c>
      <c r="C1216" s="3" t="s">
        <v>1253</v>
      </c>
      <c r="D1216" s="4">
        <v>4301011584</v>
      </c>
      <c r="E1216" s="3">
        <v>4640242180564</v>
      </c>
      <c r="F1216" s="5" t="s">
        <v>1254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9"/>
        <v>96</v>
      </c>
    </row>
    <row r="1217" spans="1:11" ht="22.5" x14ac:dyDescent="0.25">
      <c r="A1217" s="6" t="s">
        <v>1804</v>
      </c>
      <c r="B1217" s="3" t="s">
        <v>428</v>
      </c>
      <c r="C1217" s="3" t="s">
        <v>1253</v>
      </c>
      <c r="D1217" s="4">
        <v>4301011584</v>
      </c>
      <c r="E1217" s="3">
        <v>4640242180564</v>
      </c>
      <c r="F1217" s="5" t="s">
        <v>1254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9"/>
        <v>96</v>
      </c>
    </row>
    <row r="1218" spans="1:11" ht="22.5" x14ac:dyDescent="0.25">
      <c r="A1218" s="6" t="s">
        <v>1331</v>
      </c>
      <c r="B1218" s="3" t="s">
        <v>428</v>
      </c>
      <c r="C1218" s="3" t="s">
        <v>1253</v>
      </c>
      <c r="D1218" s="4">
        <v>4301011584</v>
      </c>
      <c r="E1218" s="3">
        <v>4640242180564</v>
      </c>
      <c r="F1218" s="5" t="s">
        <v>1254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9"/>
        <v>96</v>
      </c>
    </row>
    <row r="1219" spans="1:11" ht="22.5" x14ac:dyDescent="0.25">
      <c r="A1219" s="6" t="s">
        <v>924</v>
      </c>
      <c r="B1219" s="3" t="s">
        <v>428</v>
      </c>
      <c r="C1219" s="3" t="s">
        <v>1253</v>
      </c>
      <c r="D1219" s="4">
        <v>4301011584</v>
      </c>
      <c r="E1219" s="3">
        <v>4640242180564</v>
      </c>
      <c r="F1219" s="5" t="s">
        <v>1254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9"/>
        <v>96</v>
      </c>
    </row>
    <row r="1220" spans="1:11" ht="22.5" x14ac:dyDescent="0.25">
      <c r="A1220" s="6" t="s">
        <v>910</v>
      </c>
      <c r="B1220" s="3" t="s">
        <v>428</v>
      </c>
      <c r="C1220" s="3" t="s">
        <v>1253</v>
      </c>
      <c r="D1220" s="4">
        <v>4301011584</v>
      </c>
      <c r="E1220" s="3">
        <v>4640242180564</v>
      </c>
      <c r="F1220" s="5" t="s">
        <v>1254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9"/>
        <v>96</v>
      </c>
    </row>
    <row r="1221" spans="1:11" ht="22.5" x14ac:dyDescent="0.25">
      <c r="A1221" s="6" t="s">
        <v>1276</v>
      </c>
      <c r="B1221" s="3" t="s">
        <v>428</v>
      </c>
      <c r="C1221" s="3" t="s">
        <v>1253</v>
      </c>
      <c r="D1221" s="4">
        <v>4301011584</v>
      </c>
      <c r="E1221" s="3">
        <v>4640242180564</v>
      </c>
      <c r="F1221" s="5" t="s">
        <v>1254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9"/>
        <v>96</v>
      </c>
    </row>
    <row r="1222" spans="1:11" ht="22.5" x14ac:dyDescent="0.25">
      <c r="A1222" s="6" t="s">
        <v>1559</v>
      </c>
      <c r="B1222" s="3" t="s">
        <v>428</v>
      </c>
      <c r="C1222" s="3" t="s">
        <v>1253</v>
      </c>
      <c r="D1222" s="4">
        <v>4301011584</v>
      </c>
      <c r="E1222" s="3">
        <v>4640242180564</v>
      </c>
      <c r="F1222" s="5" t="s">
        <v>1254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9"/>
        <v>96</v>
      </c>
    </row>
    <row r="1223" spans="1:11" ht="22.5" x14ac:dyDescent="0.25">
      <c r="A1223" s="6" t="s">
        <v>1500</v>
      </c>
      <c r="B1223" s="3" t="s">
        <v>428</v>
      </c>
      <c r="C1223" s="3" t="s">
        <v>1253</v>
      </c>
      <c r="D1223" s="4">
        <v>4301011584</v>
      </c>
      <c r="E1223" s="3">
        <v>4640242180564</v>
      </c>
      <c r="F1223" s="5" t="s">
        <v>1254</v>
      </c>
      <c r="G1223" s="16"/>
      <c r="H1223" s="1"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9"/>
        <v>96</v>
      </c>
    </row>
    <row r="1224" spans="1:11" ht="22.5" x14ac:dyDescent="0.25">
      <c r="A1224" s="6" t="s">
        <v>1507</v>
      </c>
      <c r="B1224" s="3" t="s">
        <v>428</v>
      </c>
      <c r="C1224" s="3" t="s">
        <v>1253</v>
      </c>
      <c r="D1224" s="4">
        <v>4301011584</v>
      </c>
      <c r="E1224" s="3">
        <v>4640242180564</v>
      </c>
      <c r="F1224" s="5" t="s">
        <v>1254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9"/>
        <v>96</v>
      </c>
    </row>
    <row r="1225" spans="1:11" ht="22.5" x14ac:dyDescent="0.25">
      <c r="A1225" s="6" t="s">
        <v>446</v>
      </c>
      <c r="B1225" s="3" t="s">
        <v>428</v>
      </c>
      <c r="C1225" s="3" t="s">
        <v>1253</v>
      </c>
      <c r="D1225" s="4">
        <v>4301011584</v>
      </c>
      <c r="E1225" s="3">
        <v>4640242180564</v>
      </c>
      <c r="F1225" s="5" t="s">
        <v>1254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9"/>
        <v>96</v>
      </c>
    </row>
    <row r="1226" spans="1:11" ht="22.5" x14ac:dyDescent="0.25">
      <c r="A1226" s="6" t="s">
        <v>499</v>
      </c>
      <c r="B1226" s="3" t="s">
        <v>428</v>
      </c>
      <c r="C1226" s="3" t="s">
        <v>1253</v>
      </c>
      <c r="D1226" s="4">
        <v>4301011584</v>
      </c>
      <c r="E1226" s="3">
        <v>4640242180564</v>
      </c>
      <c r="F1226" s="5" t="s">
        <v>1254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39"/>
        <v>96</v>
      </c>
    </row>
    <row r="1227" spans="1:11" ht="22.5" x14ac:dyDescent="0.25">
      <c r="A1227" s="6" t="s">
        <v>666</v>
      </c>
      <c r="B1227" s="3" t="s">
        <v>434</v>
      </c>
      <c r="C1227" s="3" t="s">
        <v>1255</v>
      </c>
      <c r="D1227" s="4">
        <v>4301031280</v>
      </c>
      <c r="E1227" s="3">
        <v>4640242180816</v>
      </c>
      <c r="F1227" s="5" t="s">
        <v>1256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9"/>
        <v>50.400000000000006</v>
      </c>
    </row>
    <row r="1228" spans="1:11" ht="22.5" x14ac:dyDescent="0.25">
      <c r="A1228" s="6" t="s">
        <v>820</v>
      </c>
      <c r="B1228" s="3" t="s">
        <v>434</v>
      </c>
      <c r="C1228" s="3" t="s">
        <v>1255</v>
      </c>
      <c r="D1228" s="4">
        <v>4301031280</v>
      </c>
      <c r="E1228" s="3">
        <v>4640242180816</v>
      </c>
      <c r="F1228" s="5" t="s">
        <v>1256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39"/>
        <v>50.400000000000006</v>
      </c>
    </row>
    <row r="1229" spans="1:11" ht="22.5" x14ac:dyDescent="0.25">
      <c r="A1229" s="6" t="s">
        <v>2265</v>
      </c>
      <c r="B1229" s="3" t="s">
        <v>434</v>
      </c>
      <c r="C1229" s="3" t="s">
        <v>1255</v>
      </c>
      <c r="D1229" s="4">
        <v>4301031280</v>
      </c>
      <c r="E1229" s="3">
        <v>4640242180816</v>
      </c>
      <c r="F1229" s="5" t="s">
        <v>1256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ref="K1229" si="140">J1229*I1229</f>
        <v>50.400000000000006</v>
      </c>
    </row>
    <row r="1230" spans="1:11" ht="22.5" x14ac:dyDescent="0.25">
      <c r="A1230" s="6" t="s">
        <v>1532</v>
      </c>
      <c r="B1230" s="3" t="s">
        <v>434</v>
      </c>
      <c r="C1230" s="3" t="s">
        <v>1255</v>
      </c>
      <c r="D1230" s="4">
        <v>4301031280</v>
      </c>
      <c r="E1230" s="3">
        <v>4640242180816</v>
      </c>
      <c r="F1230" s="5" t="s">
        <v>1256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9"/>
        <v>50.400000000000006</v>
      </c>
    </row>
    <row r="1231" spans="1:11" ht="22.5" x14ac:dyDescent="0.25">
      <c r="A1231" s="6" t="s">
        <v>1469</v>
      </c>
      <c r="B1231" s="3" t="s">
        <v>434</v>
      </c>
      <c r="C1231" s="3" t="s">
        <v>1255</v>
      </c>
      <c r="D1231" s="4">
        <v>4301031280</v>
      </c>
      <c r="E1231" s="3">
        <v>4640242180816</v>
      </c>
      <c r="F1231" s="5" t="s">
        <v>1256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9"/>
        <v>50.400000000000006</v>
      </c>
    </row>
    <row r="1232" spans="1:11" ht="22.5" x14ac:dyDescent="0.25">
      <c r="A1232" s="6" t="s">
        <v>858</v>
      </c>
      <c r="B1232" s="3" t="s">
        <v>434</v>
      </c>
      <c r="C1232" s="3" t="s">
        <v>1255</v>
      </c>
      <c r="D1232" s="4">
        <v>4301031280</v>
      </c>
      <c r="E1232" s="3">
        <v>4640242180816</v>
      </c>
      <c r="F1232" s="5" t="s">
        <v>1256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9"/>
        <v>50.400000000000006</v>
      </c>
    </row>
    <row r="1233" spans="1:11" ht="22.5" x14ac:dyDescent="0.25">
      <c r="A1233" s="6" t="s">
        <v>1383</v>
      </c>
      <c r="B1233" s="3" t="s">
        <v>434</v>
      </c>
      <c r="C1233" s="3" t="s">
        <v>1255</v>
      </c>
      <c r="D1233" s="4">
        <v>4301031280</v>
      </c>
      <c r="E1233" s="3">
        <v>4640242180816</v>
      </c>
      <c r="F1233" s="5" t="s">
        <v>1256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9"/>
        <v>50.400000000000006</v>
      </c>
    </row>
    <row r="1234" spans="1:11" ht="22.5" x14ac:dyDescent="0.25">
      <c r="A1234" s="6" t="s">
        <v>1585</v>
      </c>
      <c r="B1234" s="3" t="s">
        <v>434</v>
      </c>
      <c r="C1234" s="3" t="s">
        <v>1255</v>
      </c>
      <c r="D1234" s="4">
        <v>4301031280</v>
      </c>
      <c r="E1234" s="3">
        <v>4640242180816</v>
      </c>
      <c r="F1234" s="5" t="s">
        <v>1256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9"/>
        <v>50.400000000000006</v>
      </c>
    </row>
    <row r="1235" spans="1:11" ht="22.5" x14ac:dyDescent="0.25">
      <c r="A1235" s="6" t="s">
        <v>886</v>
      </c>
      <c r="B1235" s="3" t="s">
        <v>434</v>
      </c>
      <c r="C1235" s="3" t="s">
        <v>1255</v>
      </c>
      <c r="D1235" s="4">
        <v>4301031280</v>
      </c>
      <c r="E1235" s="3">
        <v>4640242180816</v>
      </c>
      <c r="F1235" s="5" t="s">
        <v>1256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9"/>
        <v>50.400000000000006</v>
      </c>
    </row>
    <row r="1236" spans="1:11" ht="22.5" x14ac:dyDescent="0.25">
      <c r="A1236" s="6" t="s">
        <v>447</v>
      </c>
      <c r="B1236" s="3" t="s">
        <v>434</v>
      </c>
      <c r="C1236" s="3" t="s">
        <v>1255</v>
      </c>
      <c r="D1236" s="4">
        <v>4301031280</v>
      </c>
      <c r="E1236" s="3">
        <v>4640242180816</v>
      </c>
      <c r="F1236" s="5" t="s">
        <v>1256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9"/>
        <v>50.400000000000006</v>
      </c>
    </row>
    <row r="1237" spans="1:11" ht="22.5" x14ac:dyDescent="0.25">
      <c r="A1237" s="6" t="s">
        <v>1302</v>
      </c>
      <c r="B1237" s="3" t="s">
        <v>434</v>
      </c>
      <c r="C1237" s="3" t="s">
        <v>1255</v>
      </c>
      <c r="D1237" s="4">
        <v>4301031280</v>
      </c>
      <c r="E1237" s="3">
        <v>4640242180816</v>
      </c>
      <c r="F1237" s="5" t="s">
        <v>1256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9"/>
        <v>50.400000000000006</v>
      </c>
    </row>
    <row r="1238" spans="1:11" ht="22.5" x14ac:dyDescent="0.25">
      <c r="A1238" s="6" t="s">
        <v>500</v>
      </c>
      <c r="B1238" s="3" t="s">
        <v>434</v>
      </c>
      <c r="C1238" s="3" t="s">
        <v>1255</v>
      </c>
      <c r="D1238" s="4">
        <v>4301031280</v>
      </c>
      <c r="E1238" s="3">
        <v>4640242180816</v>
      </c>
      <c r="F1238" s="5" t="s">
        <v>1256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39"/>
        <v>50.400000000000006</v>
      </c>
    </row>
    <row r="1239" spans="1:11" ht="22.5" x14ac:dyDescent="0.25">
      <c r="A1239" s="6" t="s">
        <v>697</v>
      </c>
      <c r="B1239" s="3" t="s">
        <v>232</v>
      </c>
      <c r="C1239" s="3" t="s">
        <v>233</v>
      </c>
      <c r="D1239" s="4">
        <v>4301051388</v>
      </c>
      <c r="E1239" s="3">
        <v>4680115881211</v>
      </c>
      <c r="F1239" s="5" t="s">
        <v>253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9"/>
        <v>28.799999999999997</v>
      </c>
    </row>
    <row r="1240" spans="1:11" ht="22.5" x14ac:dyDescent="0.25">
      <c r="A1240" s="6" t="s">
        <v>1360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253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9"/>
        <v>28.799999999999997</v>
      </c>
    </row>
    <row r="1241" spans="1:11" ht="22.5" x14ac:dyDescent="0.25">
      <c r="A1241" s="6" t="s">
        <v>735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253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9"/>
        <v>28.799999999999997</v>
      </c>
    </row>
    <row r="1242" spans="1:11" ht="22.5" x14ac:dyDescent="0.25">
      <c r="A1242" s="6" t="s">
        <v>253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253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9"/>
        <v>28.799999999999997</v>
      </c>
    </row>
    <row r="1243" spans="1:11" ht="22.5" x14ac:dyDescent="0.25">
      <c r="A1243" s="6" t="s">
        <v>1015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253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9"/>
        <v>28.799999999999997</v>
      </c>
    </row>
    <row r="1244" spans="1:11" ht="22.5" x14ac:dyDescent="0.25">
      <c r="A1244" s="6" t="s">
        <v>878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253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9"/>
        <v>28.799999999999997</v>
      </c>
    </row>
    <row r="1245" spans="1:11" ht="22.5" x14ac:dyDescent="0.25">
      <c r="A1245" s="6" t="s">
        <v>2027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253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9"/>
        <v>28.799999999999997</v>
      </c>
    </row>
    <row r="1246" spans="1:11" ht="22.5" x14ac:dyDescent="0.25">
      <c r="A1246" s="6" t="s">
        <v>696</v>
      </c>
      <c r="B1246" s="3" t="s">
        <v>231</v>
      </c>
      <c r="C1246" s="3" t="s">
        <v>1172</v>
      </c>
      <c r="D1246" s="4">
        <v>4301051795</v>
      </c>
      <c r="E1246" s="3">
        <v>4680115881228</v>
      </c>
      <c r="F1246" s="5" t="s">
        <v>1173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9"/>
        <v>28.799999999999997</v>
      </c>
    </row>
    <row r="1247" spans="1:11" ht="22.5" x14ac:dyDescent="0.25">
      <c r="A1247" s="6" t="s">
        <v>1560</v>
      </c>
      <c r="B1247" s="3" t="s">
        <v>231</v>
      </c>
      <c r="C1247" s="3" t="s">
        <v>1172</v>
      </c>
      <c r="D1247" s="4">
        <v>4301051795</v>
      </c>
      <c r="E1247" s="3">
        <v>4680115881228</v>
      </c>
      <c r="F1247" s="5" t="s">
        <v>1173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9"/>
        <v>28.799999999999997</v>
      </c>
    </row>
    <row r="1248" spans="1:11" ht="22.5" x14ac:dyDescent="0.25">
      <c r="A1248" s="6" t="s">
        <v>1361</v>
      </c>
      <c r="B1248" s="3" t="s">
        <v>231</v>
      </c>
      <c r="C1248" s="3" t="s">
        <v>1172</v>
      </c>
      <c r="D1248" s="4">
        <v>4301051795</v>
      </c>
      <c r="E1248" s="3">
        <v>4680115881228</v>
      </c>
      <c r="F1248" s="5" t="s">
        <v>1173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9"/>
        <v>28.799999999999997</v>
      </c>
    </row>
    <row r="1249" spans="1:11" ht="22.5" x14ac:dyDescent="0.25">
      <c r="A1249" s="6" t="s">
        <v>252</v>
      </c>
      <c r="B1249" s="3" t="s">
        <v>231</v>
      </c>
      <c r="C1249" s="3" t="s">
        <v>1172</v>
      </c>
      <c r="D1249" s="4">
        <v>4301051795</v>
      </c>
      <c r="E1249" s="3">
        <v>4680115881228</v>
      </c>
      <c r="F1249" s="5" t="s">
        <v>1173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9"/>
        <v>28.799999999999997</v>
      </c>
    </row>
    <row r="1250" spans="1:11" ht="22.5" x14ac:dyDescent="0.25">
      <c r="A1250" s="6" t="s">
        <v>1014</v>
      </c>
      <c r="B1250" s="3" t="s">
        <v>231</v>
      </c>
      <c r="C1250" s="3" t="s">
        <v>1172</v>
      </c>
      <c r="D1250" s="4">
        <v>4301051795</v>
      </c>
      <c r="E1250" s="3">
        <v>4680115881228</v>
      </c>
      <c r="F1250" s="5" t="s">
        <v>1173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9"/>
        <v>28.799999999999997</v>
      </c>
    </row>
    <row r="1251" spans="1:11" ht="22.5" x14ac:dyDescent="0.25">
      <c r="A1251" s="6" t="s">
        <v>1024</v>
      </c>
      <c r="B1251" s="3" t="s">
        <v>231</v>
      </c>
      <c r="C1251" s="3" t="s">
        <v>1172</v>
      </c>
      <c r="D1251" s="4">
        <v>4301051795</v>
      </c>
      <c r="E1251" s="3">
        <v>4680115881228</v>
      </c>
      <c r="F1251" s="5" t="s">
        <v>1173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9"/>
        <v>28.799999999999997</v>
      </c>
    </row>
    <row r="1252" spans="1:11" ht="22.5" x14ac:dyDescent="0.25">
      <c r="A1252" s="6" t="s">
        <v>2026</v>
      </c>
      <c r="B1252" s="3" t="s">
        <v>231</v>
      </c>
      <c r="C1252" s="3" t="s">
        <v>1172</v>
      </c>
      <c r="D1252" s="4">
        <v>4301051795</v>
      </c>
      <c r="E1252" s="3">
        <v>4680115881228</v>
      </c>
      <c r="F1252" s="5" t="s">
        <v>1173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39"/>
        <v>28.799999999999997</v>
      </c>
    </row>
    <row r="1253" spans="1:11" ht="22.5" x14ac:dyDescent="0.25">
      <c r="A1253" s="6" t="s">
        <v>518</v>
      </c>
      <c r="B1253" s="3" t="s">
        <v>2477</v>
      </c>
      <c r="C1253" s="3" t="s">
        <v>2478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574</v>
      </c>
      <c r="B1254" s="3" t="s">
        <v>2477</v>
      </c>
      <c r="C1254" s="3" t="s">
        <v>2478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74</v>
      </c>
      <c r="B1255" s="3" t="s">
        <v>2477</v>
      </c>
      <c r="C1255" s="3" t="s">
        <v>2478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1909</v>
      </c>
      <c r="B1256" s="3" t="s">
        <v>2477</v>
      </c>
      <c r="C1256" s="3" t="s">
        <v>2478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808</v>
      </c>
      <c r="B1257" s="3" t="s">
        <v>2477</v>
      </c>
      <c r="C1257" s="3" t="s">
        <v>2478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1483</v>
      </c>
      <c r="B1258" s="3" t="s">
        <v>2477</v>
      </c>
      <c r="C1258" s="3" t="s">
        <v>2478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1990</v>
      </c>
      <c r="B1259" s="3" t="s">
        <v>2477</v>
      </c>
      <c r="C1259" s="3" t="s">
        <v>2478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2073</v>
      </c>
      <c r="B1260" s="3" t="s">
        <v>2477</v>
      </c>
      <c r="C1260" s="3" t="s">
        <v>2478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1386</v>
      </c>
      <c r="B1261" s="3" t="s">
        <v>2477</v>
      </c>
      <c r="C1261" s="3" t="s">
        <v>2478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475</v>
      </c>
      <c r="B1262" s="3" t="s">
        <v>2477</v>
      </c>
      <c r="C1262" s="3" t="s">
        <v>2478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x14ac:dyDescent="0.25">
      <c r="A1263" s="6" t="s">
        <v>559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ref="K1263:K1336" si="141">J1263*I1263</f>
        <v>86.4</v>
      </c>
    </row>
    <row r="1264" spans="1:11" x14ac:dyDescent="0.25">
      <c r="A1264" s="6" t="s">
        <v>66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1"/>
        <v>86.4</v>
      </c>
    </row>
    <row r="1265" spans="1:11" x14ac:dyDescent="0.25">
      <c r="A1265" s="6" t="s">
        <v>752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1"/>
        <v>86.4</v>
      </c>
    </row>
    <row r="1266" spans="1:11" x14ac:dyDescent="0.25">
      <c r="A1266" s="6" t="s">
        <v>573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1"/>
        <v>86.4</v>
      </c>
    </row>
    <row r="1267" spans="1:11" x14ac:dyDescent="0.25">
      <c r="A1267" s="6" t="s">
        <v>672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1"/>
        <v>86.4</v>
      </c>
    </row>
    <row r="1268" spans="1:11" x14ac:dyDescent="0.25">
      <c r="A1268" s="6" t="s">
        <v>2376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2472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3">J1269*I1269</f>
        <v>86.4</v>
      </c>
    </row>
    <row r="1270" spans="1:11" x14ac:dyDescent="0.25">
      <c r="A1270" s="6" t="s">
        <v>1934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1"/>
        <v>86.4</v>
      </c>
    </row>
    <row r="1271" spans="1:11" x14ac:dyDescent="0.25">
      <c r="A1271" s="6" t="s">
        <v>1956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1"/>
        <v>86.4</v>
      </c>
    </row>
    <row r="1272" spans="1:11" x14ac:dyDescent="0.25">
      <c r="A1272" s="6" t="s">
        <v>2392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ref="K1272:K1273" si="144">J1272*I1272</f>
        <v>86.4</v>
      </c>
    </row>
    <row r="1273" spans="1:11" x14ac:dyDescent="0.25">
      <c r="A1273" s="6" t="s">
        <v>2534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4"/>
        <v>86.4</v>
      </c>
    </row>
    <row r="1274" spans="1:11" x14ac:dyDescent="0.25">
      <c r="A1274" s="6" t="s">
        <v>1212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1"/>
        <v>86.4</v>
      </c>
    </row>
    <row r="1275" spans="1:11" x14ac:dyDescent="0.25">
      <c r="A1275" s="6" t="s">
        <v>1910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1"/>
        <v>86.4</v>
      </c>
    </row>
    <row r="1276" spans="1:11" x14ac:dyDescent="0.25">
      <c r="A1276" s="6" t="s">
        <v>809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1"/>
        <v>86.4</v>
      </c>
    </row>
    <row r="1277" spans="1:11" x14ac:dyDescent="0.25">
      <c r="A1277" s="6" t="s">
        <v>1581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1"/>
        <v>86.4</v>
      </c>
    </row>
    <row r="1278" spans="1:11" x14ac:dyDescent="0.25">
      <c r="A1278" s="6" t="s">
        <v>901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1"/>
        <v>86.4</v>
      </c>
    </row>
    <row r="1279" spans="1:11" x14ac:dyDescent="0.25">
      <c r="A1279" s="6" t="s">
        <v>854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1"/>
        <v>86.4</v>
      </c>
    </row>
    <row r="1280" spans="1:11" x14ac:dyDescent="0.25">
      <c r="A1280" s="6" t="s">
        <v>952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1"/>
        <v>86.4</v>
      </c>
    </row>
    <row r="1281" spans="1:11" x14ac:dyDescent="0.25">
      <c r="A1281" s="6" t="s">
        <v>1004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1"/>
        <v>86.4</v>
      </c>
    </row>
    <row r="1282" spans="1:11" x14ac:dyDescent="0.25">
      <c r="A1282" s="6" t="s">
        <v>1474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1"/>
        <v>86.4</v>
      </c>
    </row>
    <row r="1283" spans="1:11" x14ac:dyDescent="0.25">
      <c r="A1283" s="6" t="s">
        <v>2549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2609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6">J1284*I1284</f>
        <v>86.4</v>
      </c>
    </row>
    <row r="1285" spans="1:11" x14ac:dyDescent="0.25">
      <c r="A1285" s="6" t="s">
        <v>1303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1"/>
        <v>86.4</v>
      </c>
    </row>
    <row r="1286" spans="1:11" x14ac:dyDescent="0.25">
      <c r="A1286" s="6" t="s">
        <v>1951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1"/>
        <v>86.4</v>
      </c>
    </row>
    <row r="1287" spans="1:11" x14ac:dyDescent="0.25">
      <c r="A1287" s="6" t="s">
        <v>473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1"/>
        <v>86.4</v>
      </c>
    </row>
    <row r="1288" spans="1:11" ht="22.5" x14ac:dyDescent="0.25">
      <c r="A1288" s="6" t="s">
        <v>1571</v>
      </c>
      <c r="B1288" s="3" t="s">
        <v>155</v>
      </c>
      <c r="C1288" s="3" t="s">
        <v>156</v>
      </c>
      <c r="D1288" s="4">
        <v>4301011768</v>
      </c>
      <c r="E1288" s="3">
        <v>4680115881396</v>
      </c>
      <c r="F1288" s="5" t="s">
        <v>168</v>
      </c>
      <c r="G1288" s="16"/>
      <c r="H1288" s="1">
        <f>VLOOKUP(E1288,[1]Лист1!$D:$M,10,0)</f>
        <v>55</v>
      </c>
      <c r="I1288" s="20">
        <f>VLOOKUP(B1288,'[2]Бланк заказа'!$A:$Y,8,0)</f>
        <v>2.7</v>
      </c>
      <c r="J1288" s="1">
        <f>VLOOKUP(B1288,'[2]Бланк заказа'!$A:$Y,11,0)*1</f>
        <v>12</v>
      </c>
      <c r="K1288" s="20">
        <f t="shared" si="141"/>
        <v>32.400000000000006</v>
      </c>
    </row>
    <row r="1289" spans="1:11" ht="22.5" x14ac:dyDescent="0.25">
      <c r="A1289" s="6" t="s">
        <v>2579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/>
      <c r="I1289" s="20"/>
      <c r="J1289" s="1"/>
      <c r="K1289" s="20"/>
    </row>
    <row r="1290" spans="1:11" ht="22.5" x14ac:dyDescent="0.25">
      <c r="A1290" s="6" t="s">
        <v>1802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1"/>
        <v>32.400000000000006</v>
      </c>
    </row>
    <row r="1291" spans="1:11" ht="22.5" x14ac:dyDescent="0.25">
      <c r="A1291" s="6" t="s">
        <v>1518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1"/>
        <v>32.400000000000006</v>
      </c>
    </row>
    <row r="1292" spans="1:11" ht="22.5" x14ac:dyDescent="0.25">
      <c r="A1292" s="6" t="s">
        <v>517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1"/>
        <v>54</v>
      </c>
    </row>
    <row r="1293" spans="1:11" ht="22.5" x14ac:dyDescent="0.25">
      <c r="A1293" s="6" t="s">
        <v>533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1"/>
        <v>54</v>
      </c>
    </row>
    <row r="1294" spans="1:11" ht="22.5" x14ac:dyDescent="0.25">
      <c r="A1294" s="6" t="s">
        <v>568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1"/>
        <v>54</v>
      </c>
    </row>
    <row r="1295" spans="1:11" ht="22.5" x14ac:dyDescent="0.25">
      <c r="A1295" s="6" t="s">
        <v>41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1"/>
        <v>54</v>
      </c>
    </row>
    <row r="1296" spans="1:11" ht="22.5" x14ac:dyDescent="0.25">
      <c r="A1296" s="6" t="s">
        <v>1766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1"/>
        <v>54</v>
      </c>
    </row>
    <row r="1297" spans="1:11" ht="22.5" x14ac:dyDescent="0.25">
      <c r="A1297" s="6" t="s">
        <v>799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1"/>
        <v>54</v>
      </c>
    </row>
    <row r="1298" spans="1:11" ht="22.5" x14ac:dyDescent="0.25">
      <c r="A1298" s="6" t="s">
        <v>2260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ref="K1298" si="147">J1298*I1298</f>
        <v>54</v>
      </c>
    </row>
    <row r="1299" spans="1:11" ht="22.5" x14ac:dyDescent="0.25">
      <c r="A1299" s="6" t="s">
        <v>1625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si="141"/>
        <v>54</v>
      </c>
    </row>
    <row r="1300" spans="1:11" ht="22.5" x14ac:dyDescent="0.25">
      <c r="A1300" s="6" t="s">
        <v>2324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ref="K1300" si="148">J1300*I1300</f>
        <v>54</v>
      </c>
    </row>
    <row r="1301" spans="1:11" ht="22.5" x14ac:dyDescent="0.25">
      <c r="A1301" s="6" t="s">
        <v>914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si="141"/>
        <v>54</v>
      </c>
    </row>
    <row r="1302" spans="1:11" ht="22.5" x14ac:dyDescent="0.25">
      <c r="A1302" s="6" t="s">
        <v>2551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ref="K1302" si="149">J1302*I1302</f>
        <v>54</v>
      </c>
    </row>
    <row r="1303" spans="1:11" ht="22.5" x14ac:dyDescent="0.25">
      <c r="A1303" s="6" t="s">
        <v>1155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1"/>
        <v>54</v>
      </c>
    </row>
    <row r="1304" spans="1:11" ht="22.5" x14ac:dyDescent="0.25">
      <c r="A1304" s="6" t="s">
        <v>1989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1"/>
        <v>54</v>
      </c>
    </row>
    <row r="1305" spans="1:11" ht="22.5" x14ac:dyDescent="0.25">
      <c r="A1305" s="6" t="s">
        <v>2377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 t="s">
        <v>1705</v>
      </c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ref="K1305" si="150">J1305*I1305</f>
        <v>54</v>
      </c>
    </row>
    <row r="1306" spans="1:11" ht="22.5" x14ac:dyDescent="0.25">
      <c r="A1306" s="6" t="s">
        <v>2095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si="141"/>
        <v>54</v>
      </c>
    </row>
    <row r="1307" spans="1:11" ht="22.5" x14ac:dyDescent="0.25">
      <c r="A1307" s="6" t="s">
        <v>2280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2368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2">J1308*I1308</f>
        <v>54</v>
      </c>
    </row>
    <row r="1309" spans="1:11" ht="22.5" x14ac:dyDescent="0.25">
      <c r="A1309" s="6" t="s">
        <v>1752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1"/>
        <v>54</v>
      </c>
    </row>
    <row r="1310" spans="1:11" ht="22.5" x14ac:dyDescent="0.25">
      <c r="A1310" s="6" t="s">
        <v>443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1"/>
        <v>54</v>
      </c>
    </row>
    <row r="1311" spans="1:11" ht="22.5" x14ac:dyDescent="0.25">
      <c r="A1311" s="6" t="s">
        <v>515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1"/>
        <v>86.4</v>
      </c>
    </row>
    <row r="1312" spans="1:11" ht="22.5" x14ac:dyDescent="0.25">
      <c r="A1312" s="6" t="s">
        <v>1375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1"/>
        <v>86.4</v>
      </c>
    </row>
    <row r="1313" spans="1:11" ht="22.5" x14ac:dyDescent="0.25">
      <c r="A1313" s="6" t="s">
        <v>1464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1"/>
        <v>86.4</v>
      </c>
    </row>
    <row r="1314" spans="1:11" ht="22.5" x14ac:dyDescent="0.25">
      <c r="A1314" s="6" t="s">
        <v>525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1"/>
        <v>86.4</v>
      </c>
    </row>
    <row r="1315" spans="1:11" ht="22.5" x14ac:dyDescent="0.25">
      <c r="A1315" s="6" t="s">
        <v>1356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1"/>
        <v>86.4</v>
      </c>
    </row>
    <row r="1316" spans="1:11" ht="22.5" x14ac:dyDescent="0.25">
      <c r="A1316" s="6" t="s">
        <v>569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1"/>
        <v>86.4</v>
      </c>
    </row>
    <row r="1317" spans="1:11" ht="22.5" x14ac:dyDescent="0.25">
      <c r="A1317" s="6" t="s">
        <v>40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1"/>
        <v>86.4</v>
      </c>
    </row>
    <row r="1318" spans="1:11" ht="22.5" x14ac:dyDescent="0.25">
      <c r="A1318" s="6" t="s">
        <v>638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1"/>
        <v>86.4</v>
      </c>
    </row>
    <row r="1319" spans="1:11" ht="22.5" x14ac:dyDescent="0.25">
      <c r="A1319" s="6" t="s">
        <v>1064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1"/>
        <v>86.4</v>
      </c>
    </row>
    <row r="1320" spans="1:11" ht="22.5" x14ac:dyDescent="0.25">
      <c r="A1320" s="6" t="s">
        <v>1624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1"/>
        <v>86.4</v>
      </c>
    </row>
    <row r="1321" spans="1:11" ht="22.5" x14ac:dyDescent="0.25">
      <c r="A1321" s="6" t="s">
        <v>963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1"/>
        <v>86.4</v>
      </c>
    </row>
    <row r="1322" spans="1:11" ht="22.5" x14ac:dyDescent="0.25">
      <c r="A1322" s="6" t="s">
        <v>2261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ref="K1322" si="153">J1322*I1322</f>
        <v>86.4</v>
      </c>
    </row>
    <row r="1323" spans="1:11" ht="22.5" x14ac:dyDescent="0.25">
      <c r="A1323" s="6" t="s">
        <v>803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1"/>
        <v>86.4</v>
      </c>
    </row>
    <row r="1324" spans="1:11" ht="22.5" x14ac:dyDescent="0.25">
      <c r="A1324" s="6" t="s">
        <v>1005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1"/>
        <v>86.4</v>
      </c>
    </row>
    <row r="1325" spans="1:11" ht="22.5" x14ac:dyDescent="0.25">
      <c r="A1325" s="6" t="s">
        <v>1591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1"/>
        <v>86.4</v>
      </c>
    </row>
    <row r="1326" spans="1:11" ht="22.5" x14ac:dyDescent="0.25">
      <c r="A1326" s="6" t="s">
        <v>2506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ref="K1326" si="154">J1326*I1326</f>
        <v>86.4</v>
      </c>
    </row>
    <row r="1327" spans="1:11" ht="22.5" x14ac:dyDescent="0.25">
      <c r="A1327" s="6" t="s">
        <v>1508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1"/>
        <v>86.4</v>
      </c>
    </row>
    <row r="1328" spans="1:11" ht="22.5" x14ac:dyDescent="0.25">
      <c r="A1328" s="6" t="s">
        <v>614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1"/>
        <v>86.4</v>
      </c>
    </row>
    <row r="1329" spans="1:11" ht="22.5" x14ac:dyDescent="0.25">
      <c r="A1329" s="6" t="s">
        <v>1726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1"/>
        <v>86.4</v>
      </c>
    </row>
    <row r="1330" spans="1:11" ht="22.5" x14ac:dyDescent="0.25">
      <c r="A1330" s="6" t="s">
        <v>1748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1"/>
        <v>86.4</v>
      </c>
    </row>
    <row r="1331" spans="1:11" ht="22.5" x14ac:dyDescent="0.25">
      <c r="A1331" s="6" t="s">
        <v>477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1"/>
        <v>86.4</v>
      </c>
    </row>
    <row r="1332" spans="1:11" ht="22.5" x14ac:dyDescent="0.25">
      <c r="A1332" s="6" t="s">
        <v>902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1"/>
        <v>86.4</v>
      </c>
    </row>
    <row r="1333" spans="1:11" ht="22.5" x14ac:dyDescent="0.25">
      <c r="A1333" s="6" t="s">
        <v>1020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1"/>
        <v>86.4</v>
      </c>
    </row>
    <row r="1334" spans="1:11" ht="22.5" x14ac:dyDescent="0.25">
      <c r="A1334" s="6" t="s">
        <v>1260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1"/>
        <v>86.4</v>
      </c>
    </row>
    <row r="1335" spans="1:11" ht="22.5" x14ac:dyDescent="0.25">
      <c r="A1335" s="6" t="s">
        <v>441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1"/>
        <v>86.4</v>
      </c>
    </row>
    <row r="1336" spans="1:11" x14ac:dyDescent="0.25">
      <c r="A1336" s="6" t="s">
        <v>564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si="141"/>
        <v>32.400000000000006</v>
      </c>
    </row>
    <row r="1337" spans="1:11" x14ac:dyDescent="0.25">
      <c r="A1337" s="6" t="s">
        <v>35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ref="K1337:K1413" si="155">J1337*I1337</f>
        <v>32.400000000000006</v>
      </c>
    </row>
    <row r="1338" spans="1:11" x14ac:dyDescent="0.25">
      <c r="A1338" s="6" t="s">
        <v>618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5"/>
        <v>32.400000000000006</v>
      </c>
    </row>
    <row r="1339" spans="1:11" x14ac:dyDescent="0.25">
      <c r="A1339" s="6" t="s">
        <v>787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5"/>
        <v>32.400000000000006</v>
      </c>
    </row>
    <row r="1340" spans="1:11" x14ac:dyDescent="0.25">
      <c r="A1340" s="6" t="s">
        <v>1137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5"/>
        <v>32.400000000000006</v>
      </c>
    </row>
    <row r="1341" spans="1:11" x14ac:dyDescent="0.25">
      <c r="A1341" s="6" t="s">
        <v>1716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5"/>
        <v>32.400000000000006</v>
      </c>
    </row>
    <row r="1342" spans="1:11" x14ac:dyDescent="0.25">
      <c r="A1342" s="6" t="s">
        <v>1907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5"/>
        <v>32.400000000000006</v>
      </c>
    </row>
    <row r="1343" spans="1:11" x14ac:dyDescent="0.25">
      <c r="A1343" s="6" t="s">
        <v>2557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ref="K1343" si="156">J1343*I1343</f>
        <v>32.400000000000006</v>
      </c>
    </row>
    <row r="1344" spans="1:11" x14ac:dyDescent="0.25">
      <c r="A1344" s="6" t="s">
        <v>796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si="155"/>
        <v>32.400000000000006</v>
      </c>
    </row>
    <row r="1345" spans="1:11" x14ac:dyDescent="0.25">
      <c r="A1345" s="6" t="s">
        <v>2161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ref="K1345" si="157">J1345*I1345</f>
        <v>32.400000000000006</v>
      </c>
    </row>
    <row r="1346" spans="1:11" x14ac:dyDescent="0.25">
      <c r="A1346" s="6" t="s">
        <v>1654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5"/>
        <v>32.400000000000006</v>
      </c>
    </row>
    <row r="1347" spans="1:11" x14ac:dyDescent="0.25">
      <c r="A1347" s="6" t="s">
        <v>1619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5"/>
        <v>32.400000000000006</v>
      </c>
    </row>
    <row r="1348" spans="1:11" x14ac:dyDescent="0.25">
      <c r="A1348" s="6" t="s">
        <v>2550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5"/>
        <v>32.400000000000006</v>
      </c>
    </row>
    <row r="1349" spans="1:11" x14ac:dyDescent="0.25">
      <c r="A1349" s="6" t="s">
        <v>1316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 t="s">
        <v>1705</v>
      </c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5"/>
        <v>32.400000000000006</v>
      </c>
    </row>
    <row r="1350" spans="1:11" x14ac:dyDescent="0.25">
      <c r="A1350" s="6" t="s">
        <v>1640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5"/>
        <v>32.400000000000006</v>
      </c>
    </row>
    <row r="1351" spans="1:11" x14ac:dyDescent="0.25">
      <c r="A1351" s="6" t="s">
        <v>476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5"/>
        <v>32.400000000000006</v>
      </c>
    </row>
    <row r="1352" spans="1:11" x14ac:dyDescent="0.25">
      <c r="A1352" s="6" t="s">
        <v>510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5"/>
        <v>86.4</v>
      </c>
    </row>
    <row r="1353" spans="1:11" x14ac:dyDescent="0.25">
      <c r="A1353" s="6" t="s">
        <v>532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5"/>
        <v>86.4</v>
      </c>
    </row>
    <row r="1354" spans="1:11" x14ac:dyDescent="0.25">
      <c r="A1354" s="6" t="s">
        <v>947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5"/>
        <v>86.4</v>
      </c>
    </row>
    <row r="1355" spans="1:11" x14ac:dyDescent="0.25">
      <c r="A1355" s="6" t="s">
        <v>563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5"/>
        <v>86.4</v>
      </c>
    </row>
    <row r="1356" spans="1:11" x14ac:dyDescent="0.25">
      <c r="A1356" s="6" t="s">
        <v>2375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2474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59">J1357*I1357</f>
        <v>86.4</v>
      </c>
    </row>
    <row r="1358" spans="1:11" x14ac:dyDescent="0.25">
      <c r="A1358" s="6" t="s">
        <v>2030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5"/>
        <v>86.4</v>
      </c>
    </row>
    <row r="1359" spans="1:11" x14ac:dyDescent="0.25">
      <c r="A1359" s="6" t="s">
        <v>1019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5"/>
        <v>86.4</v>
      </c>
    </row>
    <row r="1360" spans="1:11" x14ac:dyDescent="0.25">
      <c r="A1360" s="6" t="s">
        <v>1261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5"/>
        <v>86.4</v>
      </c>
    </row>
    <row r="1361" spans="1:11" x14ac:dyDescent="0.25">
      <c r="A1361" s="6" t="s">
        <v>2596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ref="K1361" si="160">J1361*I1361</f>
        <v>86.4</v>
      </c>
    </row>
    <row r="1362" spans="1:11" x14ac:dyDescent="0.25">
      <c r="A1362" s="6" t="s">
        <v>472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5"/>
        <v>86.4</v>
      </c>
    </row>
    <row r="1363" spans="1:11" x14ac:dyDescent="0.25">
      <c r="A1363" s="6" t="s">
        <v>34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5"/>
        <v>86.4</v>
      </c>
    </row>
    <row r="1364" spans="1:11" x14ac:dyDescent="0.25">
      <c r="A1364" s="6" t="s">
        <v>795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5"/>
        <v>86.4</v>
      </c>
    </row>
    <row r="1365" spans="1:11" x14ac:dyDescent="0.25">
      <c r="A1365" s="6" t="s">
        <v>1666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5"/>
        <v>86.4</v>
      </c>
    </row>
    <row r="1366" spans="1:11" x14ac:dyDescent="0.25">
      <c r="A1366" s="6" t="s">
        <v>1062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5"/>
        <v>86.4</v>
      </c>
    </row>
    <row r="1367" spans="1:11" x14ac:dyDescent="0.25">
      <c r="A1367" s="6" t="s">
        <v>1003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5"/>
        <v>86.4</v>
      </c>
    </row>
    <row r="1368" spans="1:11" x14ac:dyDescent="0.25">
      <c r="A1368" s="6" t="s">
        <v>1195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5"/>
        <v>86.4</v>
      </c>
    </row>
    <row r="1369" spans="1:11" x14ac:dyDescent="0.25">
      <c r="A1369" s="6" t="s">
        <v>1466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5"/>
        <v>86.4</v>
      </c>
    </row>
    <row r="1370" spans="1:11" x14ac:dyDescent="0.25">
      <c r="A1370" s="6" t="s">
        <v>2350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ref="K1370" si="161">J1370*I1370</f>
        <v>86.4</v>
      </c>
    </row>
    <row r="1371" spans="1:11" x14ac:dyDescent="0.25">
      <c r="A1371" s="6" t="s">
        <v>615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si="155"/>
        <v>86.4</v>
      </c>
    </row>
    <row r="1372" spans="1:11" ht="22.5" x14ac:dyDescent="0.25">
      <c r="A1372" s="6" t="s">
        <v>1405</v>
      </c>
      <c r="B1372" s="3" t="s">
        <v>56</v>
      </c>
      <c r="C1372" s="3" t="s">
        <v>57</v>
      </c>
      <c r="D1372" s="4">
        <v>4301011476</v>
      </c>
      <c r="E1372" s="3">
        <v>4680115881518</v>
      </c>
      <c r="F1372" s="5" t="s">
        <v>73</v>
      </c>
      <c r="G1372" s="16"/>
      <c r="H1372" s="1">
        <f>VLOOKUP(E1372,[1]Лист1!$D:$M,10,0)</f>
        <v>50</v>
      </c>
      <c r="I1372" s="20">
        <f>VLOOKUP(B1372,'[2]Бланк заказа'!$A:$Y,8,0)</f>
        <v>4</v>
      </c>
      <c r="J1372" s="1">
        <f>VLOOKUP(B1372,'[2]Бланк заказа'!$A:$Y,11,0)*1</f>
        <v>12</v>
      </c>
      <c r="K1372" s="20">
        <f t="shared" si="155"/>
        <v>48</v>
      </c>
    </row>
    <row r="1373" spans="1:11" ht="22.5" x14ac:dyDescent="0.25">
      <c r="A1373" s="6" t="s">
        <v>2037</v>
      </c>
      <c r="B1373" s="3" t="s">
        <v>2528</v>
      </c>
      <c r="C1373" s="3" t="s">
        <v>2529</v>
      </c>
      <c r="D1373" s="4">
        <v>4301011806</v>
      </c>
      <c r="E1373" s="3">
        <v>4680115881525</v>
      </c>
      <c r="F1373" s="5" t="s">
        <v>2530</v>
      </c>
      <c r="G1373" s="16"/>
      <c r="H1373" s="1">
        <v>50</v>
      </c>
      <c r="I1373" s="20">
        <v>4</v>
      </c>
      <c r="J1373" s="1">
        <v>12</v>
      </c>
      <c r="K1373" s="20">
        <v>48</v>
      </c>
    </row>
    <row r="1374" spans="1:11" ht="22.5" x14ac:dyDescent="0.25">
      <c r="A1374" s="6" t="s">
        <v>246</v>
      </c>
      <c r="B1374" s="3" t="s">
        <v>220</v>
      </c>
      <c r="C1374" s="3" t="s">
        <v>221</v>
      </c>
      <c r="D1374" s="4">
        <v>4301051409</v>
      </c>
      <c r="E1374" s="3">
        <v>4680115881556</v>
      </c>
      <c r="F1374" s="5" t="s">
        <v>246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5"/>
        <v>32</v>
      </c>
    </row>
    <row r="1375" spans="1:11" ht="22.5" x14ac:dyDescent="0.25">
      <c r="A1375" s="6" t="s">
        <v>1566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246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5"/>
        <v>32</v>
      </c>
    </row>
    <row r="1376" spans="1:11" ht="22.5" x14ac:dyDescent="0.25">
      <c r="A1376" s="6" t="s">
        <v>1371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246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5"/>
        <v>32</v>
      </c>
    </row>
    <row r="1377" spans="1:11" ht="22.5" x14ac:dyDescent="0.25">
      <c r="A1377" s="6" t="s">
        <v>2253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246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ref="K1377" si="162">J1377*I1377</f>
        <v>32</v>
      </c>
    </row>
    <row r="1378" spans="1:11" ht="22.5" x14ac:dyDescent="0.25">
      <c r="A1378" s="6" t="s">
        <v>501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246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si="155"/>
        <v>32</v>
      </c>
    </row>
    <row r="1379" spans="1:11" ht="22.5" x14ac:dyDescent="0.25">
      <c r="A1379" s="6" t="s">
        <v>684</v>
      </c>
      <c r="B1379" s="3" t="s">
        <v>186</v>
      </c>
      <c r="C1379" s="3" t="s">
        <v>187</v>
      </c>
      <c r="D1379" s="4">
        <v>4301031201</v>
      </c>
      <c r="E1379" s="3">
        <v>4680115881563</v>
      </c>
      <c r="F1379" s="5" t="s">
        <v>205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5"/>
        <v>50.400000000000006</v>
      </c>
    </row>
    <row r="1380" spans="1:11" ht="22.5" x14ac:dyDescent="0.25">
      <c r="A1380" s="6" t="s">
        <v>205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5"/>
        <v>50.400000000000006</v>
      </c>
    </row>
    <row r="1381" spans="1:11" ht="22.5" x14ac:dyDescent="0.25">
      <c r="A1381" s="6" t="s">
        <v>1187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5"/>
        <v>50.400000000000006</v>
      </c>
    </row>
    <row r="1382" spans="1:11" ht="22.5" x14ac:dyDescent="0.25">
      <c r="A1382" s="6" t="s">
        <v>1547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5"/>
        <v>50.400000000000006</v>
      </c>
    </row>
    <row r="1383" spans="1:11" ht="22.5" x14ac:dyDescent="0.25">
      <c r="A1383" s="6" t="s">
        <v>1497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5"/>
        <v>50.400000000000006</v>
      </c>
    </row>
    <row r="1384" spans="1:11" ht="22.5" x14ac:dyDescent="0.25">
      <c r="A1384" s="6" t="s">
        <v>939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5"/>
        <v>50.400000000000006</v>
      </c>
    </row>
    <row r="1385" spans="1:11" ht="22.5" x14ac:dyDescent="0.25">
      <c r="A1385" s="6" t="s">
        <v>2028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5"/>
        <v>50.400000000000006</v>
      </c>
    </row>
    <row r="1386" spans="1:11" ht="22.5" x14ac:dyDescent="0.25">
      <c r="A1386" s="6" t="s">
        <v>655</v>
      </c>
      <c r="B1386" s="3" t="s">
        <v>229</v>
      </c>
      <c r="C1386" s="3" t="s">
        <v>1257</v>
      </c>
      <c r="D1386" s="4">
        <v>4301051505</v>
      </c>
      <c r="E1386" s="3">
        <v>4680115881587</v>
      </c>
      <c r="F1386" s="5" t="s">
        <v>1258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5"/>
        <v>#N/A</v>
      </c>
    </row>
    <row r="1387" spans="1:11" ht="22.5" x14ac:dyDescent="0.25">
      <c r="A1387" s="6" t="s">
        <v>1164</v>
      </c>
      <c r="B1387" s="3" t="s">
        <v>229</v>
      </c>
      <c r="C1387" s="3" t="s">
        <v>1257</v>
      </c>
      <c r="D1387" s="4">
        <v>4301051505</v>
      </c>
      <c r="E1387" s="3">
        <v>4680115881587</v>
      </c>
      <c r="F1387" s="5" t="s">
        <v>1258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5"/>
        <v>#N/A</v>
      </c>
    </row>
    <row r="1388" spans="1:11" ht="22.5" x14ac:dyDescent="0.25">
      <c r="A1388" s="6" t="s">
        <v>450</v>
      </c>
      <c r="B1388" s="3" t="s">
        <v>229</v>
      </c>
      <c r="C1388" s="3" t="s">
        <v>1257</v>
      </c>
      <c r="D1388" s="4">
        <v>4301051505</v>
      </c>
      <c r="E1388" s="3">
        <v>4680115881587</v>
      </c>
      <c r="F1388" s="5" t="s">
        <v>1258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5"/>
        <v>#N/A</v>
      </c>
    </row>
    <row r="1389" spans="1:11" ht="22.5" x14ac:dyDescent="0.25">
      <c r="A1389" s="6" t="s">
        <v>562</v>
      </c>
      <c r="B1389" s="3" t="s">
        <v>229</v>
      </c>
      <c r="C1389" s="3" t="s">
        <v>1257</v>
      </c>
      <c r="D1389" s="4">
        <v>4301051505</v>
      </c>
      <c r="E1389" s="3">
        <v>4680115881587</v>
      </c>
      <c r="F1389" s="5" t="s">
        <v>1258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5"/>
        <v>#N/A</v>
      </c>
    </row>
    <row r="1390" spans="1:11" ht="22.5" x14ac:dyDescent="0.25">
      <c r="A1390" s="6" t="s">
        <v>1570</v>
      </c>
      <c r="B1390" s="3" t="s">
        <v>212</v>
      </c>
      <c r="C1390" s="3" t="s">
        <v>213</v>
      </c>
      <c r="D1390" s="4">
        <v>4301051408</v>
      </c>
      <c r="E1390" s="3">
        <v>4680115881594</v>
      </c>
      <c r="F1390" s="5" t="s">
        <v>2720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5"/>
        <v>64.8</v>
      </c>
    </row>
    <row r="1391" spans="1:11" ht="22.5" x14ac:dyDescent="0.25">
      <c r="A1391" s="6" t="s">
        <v>1952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2720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5"/>
        <v>64.8</v>
      </c>
    </row>
    <row r="1392" spans="1:11" ht="22.5" x14ac:dyDescent="0.25">
      <c r="A1392" s="6" t="s">
        <v>2618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2720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ref="K1392:K1393" si="163">J1392*I1392</f>
        <v>64.8</v>
      </c>
    </row>
    <row r="1393" spans="1:11" ht="22.5" x14ac:dyDescent="0.25">
      <c r="A1393" s="6" t="s">
        <v>2722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2720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si="163"/>
        <v>64.8</v>
      </c>
    </row>
    <row r="1394" spans="1:11" ht="22.5" x14ac:dyDescent="0.25">
      <c r="A1394" s="6" t="s">
        <v>2716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2720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ref="K1394" si="164">J1394*I1394</f>
        <v>64.8</v>
      </c>
    </row>
    <row r="1395" spans="1:11" ht="22.5" x14ac:dyDescent="0.25">
      <c r="A1395" s="6" t="s">
        <v>1520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2720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si="155"/>
        <v>64.8</v>
      </c>
    </row>
    <row r="1396" spans="1:11" ht="22.5" x14ac:dyDescent="0.25">
      <c r="A1396" s="6" t="s">
        <v>2481</v>
      </c>
      <c r="B1396" s="3" t="s">
        <v>216</v>
      </c>
      <c r="C1396" s="3" t="s">
        <v>217</v>
      </c>
      <c r="D1396" s="4">
        <v>4301051411</v>
      </c>
      <c r="E1396" s="3">
        <v>4680115881617</v>
      </c>
      <c r="F1396" s="5" t="s">
        <v>2721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ref="K1396" si="165">J1396*I1396</f>
        <v>64.8</v>
      </c>
    </row>
    <row r="1397" spans="1:11" ht="22.5" x14ac:dyDescent="0.25">
      <c r="A1397" s="6" t="s">
        <v>2723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2721</v>
      </c>
      <c r="G1397" s="17"/>
      <c r="H1397" s="1"/>
      <c r="I1397" s="20"/>
      <c r="J1397" s="1"/>
      <c r="K1397" s="20"/>
    </row>
    <row r="1398" spans="1:11" ht="22.5" x14ac:dyDescent="0.25">
      <c r="A1398" s="22" t="s">
        <v>2717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2721</v>
      </c>
      <c r="G1398" s="17"/>
      <c r="H1398" s="1">
        <f>VLOOKUP(E1398,[1]Лист1!$D:$M,10,0)</f>
        <v>40</v>
      </c>
      <c r="I1398" s="20">
        <f>VLOOKUP(B1398,'[2]Бланк заказа'!$A:$Y,8,0)</f>
        <v>8.1</v>
      </c>
      <c r="J1398" s="1">
        <f>VLOOKUP(B1398,'[2]Бланк заказа'!$A:$Y,11,0)*1</f>
        <v>8</v>
      </c>
      <c r="K1398" s="20">
        <f t="shared" ref="K1398" si="166">J1398*I1398</f>
        <v>64.8</v>
      </c>
    </row>
    <row r="1399" spans="1:11" ht="22.5" x14ac:dyDescent="0.25">
      <c r="A1399" s="6" t="s">
        <v>244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2721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si="155"/>
        <v>64.8</v>
      </c>
    </row>
    <row r="1400" spans="1:11" ht="22.5" x14ac:dyDescent="0.25">
      <c r="A1400" s="6" t="s">
        <v>553</v>
      </c>
      <c r="B1400" s="3" t="s">
        <v>197</v>
      </c>
      <c r="C1400" s="3" t="s">
        <v>198</v>
      </c>
      <c r="D1400" s="4">
        <v>4301031202</v>
      </c>
      <c r="E1400" s="3">
        <v>4680115881679</v>
      </c>
      <c r="F1400" s="5" t="s">
        <v>211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5"/>
        <v>37.800000000000004</v>
      </c>
    </row>
    <row r="1401" spans="1:11" ht="22.5" x14ac:dyDescent="0.25">
      <c r="A1401" s="6" t="s">
        <v>683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5"/>
        <v>37.800000000000004</v>
      </c>
    </row>
    <row r="1402" spans="1:11" ht="22.5" x14ac:dyDescent="0.25">
      <c r="A1402" s="6" t="s">
        <v>211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5"/>
        <v>37.800000000000004</v>
      </c>
    </row>
    <row r="1403" spans="1:11" ht="22.5" x14ac:dyDescent="0.25">
      <c r="A1403" s="6" t="s">
        <v>938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5"/>
        <v>37.800000000000004</v>
      </c>
    </row>
    <row r="1404" spans="1:11" ht="22.5" x14ac:dyDescent="0.25">
      <c r="A1404" s="6" t="s">
        <v>1114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5"/>
        <v>37.800000000000004</v>
      </c>
    </row>
    <row r="1405" spans="1:11" ht="22.5" x14ac:dyDescent="0.25">
      <c r="A1405" s="6" t="s">
        <v>1463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5"/>
        <v>37.800000000000004</v>
      </c>
    </row>
    <row r="1406" spans="1:11" ht="22.5" x14ac:dyDescent="0.25">
      <c r="A1406" s="6" t="s">
        <v>1059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5"/>
        <v>37.800000000000004</v>
      </c>
    </row>
    <row r="1407" spans="1:11" ht="22.5" x14ac:dyDescent="0.25">
      <c r="A1407" s="6" t="s">
        <v>2342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ref="K1407" si="167">J1407*I1407</f>
        <v>37.800000000000004</v>
      </c>
    </row>
    <row r="1408" spans="1:11" ht="22.5" x14ac:dyDescent="0.25">
      <c r="A1408" s="6" t="s">
        <v>2553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8">J1408*I1408</f>
        <v>37.800000000000004</v>
      </c>
    </row>
    <row r="1409" spans="1:11" ht="22.5" x14ac:dyDescent="0.25">
      <c r="A1409" s="6" t="s">
        <v>471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si="155"/>
        <v>37.800000000000004</v>
      </c>
    </row>
    <row r="1410" spans="1:11" ht="22.5" x14ac:dyDescent="0.25">
      <c r="A1410" s="6" t="s">
        <v>681</v>
      </c>
      <c r="B1410" s="3" t="s">
        <v>184</v>
      </c>
      <c r="C1410" s="3" t="s">
        <v>185</v>
      </c>
      <c r="D1410" s="4">
        <v>4301031204</v>
      </c>
      <c r="E1410" s="3">
        <v>4680115881761</v>
      </c>
      <c r="F1410" s="5" t="s">
        <v>204</v>
      </c>
      <c r="G1410" s="16"/>
      <c r="H1410" s="1">
        <f>VLOOKUP(E1410,[1]Лист1!$D:$M,10,0)</f>
        <v>40</v>
      </c>
      <c r="I1410" s="20">
        <f>VLOOKUP(B1410,'[2]Бланк заказа'!$A:$Y,8,0)</f>
        <v>4.2</v>
      </c>
      <c r="J1410" s="1">
        <f>VLOOKUP(B1410,'[2]Бланк заказа'!$A:$Y,11,0)*1</f>
        <v>12</v>
      </c>
      <c r="K1410" s="20">
        <f t="shared" si="155"/>
        <v>50.400000000000006</v>
      </c>
    </row>
    <row r="1411" spans="1:11" ht="22.5" x14ac:dyDescent="0.25">
      <c r="A1411" s="6" t="s">
        <v>1307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5"/>
        <v>50.400000000000006</v>
      </c>
    </row>
    <row r="1412" spans="1:11" ht="22.5" x14ac:dyDescent="0.25">
      <c r="A1412" s="6" t="s">
        <v>1546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5"/>
        <v>50.400000000000006</v>
      </c>
    </row>
    <row r="1413" spans="1:11" ht="22.5" x14ac:dyDescent="0.25">
      <c r="A1413" s="6" t="s">
        <v>1496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5"/>
        <v>50.400000000000006</v>
      </c>
    </row>
    <row r="1414" spans="1:11" ht="22.5" x14ac:dyDescent="0.25">
      <c r="A1414" s="6" t="s">
        <v>561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f>VLOOKUP(E1414,[1]Лист1!$D:$M,10,0)</f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ref="K1414:K1493" si="169">J1414*I1414</f>
        <v>50.400000000000006</v>
      </c>
    </row>
    <row r="1415" spans="1:11" ht="22.5" x14ac:dyDescent="0.25">
      <c r="A1415" s="6" t="s">
        <v>682</v>
      </c>
      <c r="B1415" s="3" t="s">
        <v>195</v>
      </c>
      <c r="C1415" s="3" t="s">
        <v>196</v>
      </c>
      <c r="D1415" s="4">
        <v>4301031205</v>
      </c>
      <c r="E1415" s="3">
        <v>4680115881785</v>
      </c>
      <c r="F1415" s="5" t="s">
        <v>210</v>
      </c>
      <c r="G1415" s="16"/>
      <c r="H1415" s="1">
        <f>VLOOKUP(E1415,[1]Лист1!$D:$M,10,0)</f>
        <v>40</v>
      </c>
      <c r="I1415" s="20">
        <f>VLOOKUP(B1415,'[2]Бланк заказа'!$A:$Y,8,0)</f>
        <v>2.1</v>
      </c>
      <c r="J1415" s="1">
        <f>VLOOKUP(B1415,'[2]Бланк заказа'!$A:$Y,11,0)*1</f>
        <v>18</v>
      </c>
      <c r="K1415" s="20">
        <f t="shared" si="169"/>
        <v>37.800000000000004</v>
      </c>
    </row>
    <row r="1416" spans="1:11" ht="22.5" x14ac:dyDescent="0.25">
      <c r="A1416" s="6" t="s">
        <v>210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69"/>
        <v>37.800000000000004</v>
      </c>
    </row>
    <row r="1417" spans="1:11" ht="22.5" x14ac:dyDescent="0.25">
      <c r="A1417" s="6" t="s">
        <v>470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69"/>
        <v>37.800000000000004</v>
      </c>
    </row>
    <row r="1418" spans="1:11" ht="22.5" x14ac:dyDescent="0.25">
      <c r="A1418" s="6" t="s">
        <v>1117</v>
      </c>
      <c r="B1418" s="3" t="s">
        <v>282</v>
      </c>
      <c r="C1418" s="3" t="s">
        <v>283</v>
      </c>
      <c r="D1418" s="4">
        <v>4301180007</v>
      </c>
      <c r="E1418" s="3">
        <v>4680115881808</v>
      </c>
      <c r="F1418" s="5" t="s">
        <v>289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si="169"/>
        <v>28</v>
      </c>
    </row>
    <row r="1419" spans="1:11" ht="22.5" x14ac:dyDescent="0.25">
      <c r="A1419" s="6" t="s">
        <v>1420</v>
      </c>
      <c r="B1419" s="3" t="s">
        <v>282</v>
      </c>
      <c r="C1419" s="3" t="s">
        <v>283</v>
      </c>
      <c r="D1419" s="4">
        <v>4301180007</v>
      </c>
      <c r="E1419" s="3">
        <v>4680115881808</v>
      </c>
      <c r="F1419" s="5" t="s">
        <v>289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9"/>
        <v>28</v>
      </c>
    </row>
    <row r="1420" spans="1:11" ht="22.5" x14ac:dyDescent="0.25">
      <c r="A1420" s="6" t="s">
        <v>2207</v>
      </c>
      <c r="B1420" s="3" t="s">
        <v>282</v>
      </c>
      <c r="C1420" s="3" t="s">
        <v>283</v>
      </c>
      <c r="D1420" s="4">
        <v>4301180007</v>
      </c>
      <c r="E1420" s="3">
        <v>4680115881808</v>
      </c>
      <c r="F1420" s="5" t="s">
        <v>289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ref="K1420" si="170">J1420*I1420</f>
        <v>28</v>
      </c>
    </row>
    <row r="1421" spans="1:11" ht="22.5" x14ac:dyDescent="0.25">
      <c r="A1421" s="6" t="s">
        <v>675</v>
      </c>
      <c r="B1421" s="3" t="s">
        <v>282</v>
      </c>
      <c r="C1421" s="3" t="s">
        <v>283</v>
      </c>
      <c r="D1421" s="4">
        <v>4301180007</v>
      </c>
      <c r="E1421" s="3">
        <v>4680115881808</v>
      </c>
      <c r="F1421" s="5" t="s">
        <v>289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si="169"/>
        <v>28</v>
      </c>
    </row>
    <row r="1422" spans="1:11" ht="22.5" x14ac:dyDescent="0.25">
      <c r="A1422" s="6" t="s">
        <v>1322</v>
      </c>
      <c r="B1422" s="3" t="s">
        <v>284</v>
      </c>
      <c r="C1422" s="3" t="s">
        <v>285</v>
      </c>
      <c r="D1422" s="4">
        <v>4301180006</v>
      </c>
      <c r="E1422" s="3">
        <v>4680115881822</v>
      </c>
      <c r="F1422" s="5" t="s">
        <v>290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69"/>
        <v>28</v>
      </c>
    </row>
    <row r="1423" spans="1:11" ht="22.5" x14ac:dyDescent="0.25">
      <c r="A1423" s="6" t="s">
        <v>1421</v>
      </c>
      <c r="B1423" s="3" t="s">
        <v>284</v>
      </c>
      <c r="C1423" s="3" t="s">
        <v>285</v>
      </c>
      <c r="D1423" s="4">
        <v>4301180006</v>
      </c>
      <c r="E1423" s="3">
        <v>4680115881822</v>
      </c>
      <c r="F1423" s="5" t="s">
        <v>290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69"/>
        <v>28</v>
      </c>
    </row>
    <row r="1424" spans="1:11" ht="22.5" x14ac:dyDescent="0.25">
      <c r="A1424" s="6" t="s">
        <v>1118</v>
      </c>
      <c r="B1424" s="3" t="s">
        <v>284</v>
      </c>
      <c r="C1424" s="3" t="s">
        <v>285</v>
      </c>
      <c r="D1424" s="4">
        <v>4301180006</v>
      </c>
      <c r="E1424" s="3">
        <v>4680115881822</v>
      </c>
      <c r="F1424" s="5" t="s">
        <v>290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69"/>
        <v>28</v>
      </c>
    </row>
    <row r="1425" spans="1:11" ht="22.5" x14ac:dyDescent="0.25">
      <c r="A1425" s="6" t="s">
        <v>16</v>
      </c>
      <c r="B1425" s="3" t="s">
        <v>10</v>
      </c>
      <c r="C1425" s="3" t="s">
        <v>11</v>
      </c>
      <c r="D1425" s="4">
        <v>4301051426</v>
      </c>
      <c r="E1425" s="3">
        <v>4680115881853</v>
      </c>
      <c r="F1425" s="5" t="s">
        <v>16</v>
      </c>
      <c r="G1425" s="16"/>
      <c r="H1425" s="1">
        <f>VLOOKUP(E1425,[1]Лист1!$D:$M,10,0)</f>
        <v>30</v>
      </c>
      <c r="I1425" s="20">
        <f>VLOOKUP(B1425,'[2]Бланк заказа'!$A:$Y,8,0)</f>
        <v>1.98</v>
      </c>
      <c r="J1425" s="1">
        <f>VLOOKUP(B1425,'[2]Бланк заказа'!$A:$Y,11,0)*1</f>
        <v>12</v>
      </c>
      <c r="K1425" s="20">
        <f t="shared" si="169"/>
        <v>23.759999999999998</v>
      </c>
    </row>
    <row r="1426" spans="1:11" ht="22.5" x14ac:dyDescent="0.25">
      <c r="A1426" s="6" t="s">
        <v>1293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69"/>
        <v>23.759999999999998</v>
      </c>
    </row>
    <row r="1427" spans="1:11" ht="22.5" x14ac:dyDescent="0.25">
      <c r="A1427" s="6" t="s">
        <v>1287</v>
      </c>
      <c r="B1427" s="3" t="s">
        <v>846</v>
      </c>
      <c r="C1427" s="3" t="s">
        <v>847</v>
      </c>
      <c r="D1427" s="4">
        <v>4301051444</v>
      </c>
      <c r="E1427" s="3">
        <v>4680115881969</v>
      </c>
      <c r="F1427" s="5" t="s">
        <v>848</v>
      </c>
      <c r="G1427" s="16"/>
      <c r="H1427" s="1">
        <f>VLOOKUP(E1427,[1]Лист1!$D:$M,10,0)</f>
        <v>40</v>
      </c>
      <c r="I1427" s="20">
        <f>VLOOKUP(B1427,'[2]Бланк заказа'!$A:$Y,8,0)</f>
        <v>2.4</v>
      </c>
      <c r="J1427" s="1">
        <f>VLOOKUP(B1427,'[2]Бланк заказа'!$A:$Y,11,0)*1</f>
        <v>12</v>
      </c>
      <c r="K1427" s="20">
        <f t="shared" si="169"/>
        <v>28.799999999999997</v>
      </c>
    </row>
    <row r="1428" spans="1:11" ht="22.5" x14ac:dyDescent="0.25">
      <c r="A1428" s="6" t="s">
        <v>849</v>
      </c>
      <c r="B1428" s="3" t="s">
        <v>846</v>
      </c>
      <c r="C1428" s="3" t="s">
        <v>847</v>
      </c>
      <c r="D1428" s="4">
        <v>4301051444</v>
      </c>
      <c r="E1428" s="3">
        <v>4680115881969</v>
      </c>
      <c r="F1428" s="5" t="s">
        <v>848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69"/>
        <v>28.799999999999997</v>
      </c>
    </row>
    <row r="1429" spans="1:11" ht="22.5" x14ac:dyDescent="0.25">
      <c r="A1429" s="6" t="s">
        <v>1286</v>
      </c>
      <c r="B1429" s="3" t="s">
        <v>757</v>
      </c>
      <c r="C1429" s="3" t="s">
        <v>758</v>
      </c>
      <c r="D1429" s="4">
        <v>4301051445</v>
      </c>
      <c r="E1429" s="3">
        <v>4680115881976</v>
      </c>
      <c r="F1429" s="5" t="s">
        <v>760</v>
      </c>
      <c r="G1429" s="16"/>
      <c r="H1429" s="1">
        <f>VLOOKUP(E1429,[1]Лист1!$D:$M,10,0)</f>
        <v>40</v>
      </c>
      <c r="I1429" s="20">
        <f>VLOOKUP(B1429,'[2]Бланк заказа'!$A:$Y,8,0)</f>
        <v>7.8</v>
      </c>
      <c r="J1429" s="1">
        <f>VLOOKUP(B1429,'[2]Бланк заказа'!$A:$Y,11,0)*1</f>
        <v>8</v>
      </c>
      <c r="K1429" s="20">
        <f t="shared" si="169"/>
        <v>62.4</v>
      </c>
    </row>
    <row r="1430" spans="1:11" ht="22.5" x14ac:dyDescent="0.25">
      <c r="A1430" s="6" t="s">
        <v>1432</v>
      </c>
      <c r="B1430" s="3" t="s">
        <v>757</v>
      </c>
      <c r="C1430" s="3" t="s">
        <v>758</v>
      </c>
      <c r="D1430" s="4">
        <v>4301051445</v>
      </c>
      <c r="E1430" s="3">
        <v>4680115881976</v>
      </c>
      <c r="F1430" s="5" t="s">
        <v>760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69"/>
        <v>62.4</v>
      </c>
    </row>
    <row r="1431" spans="1:11" ht="22.5" x14ac:dyDescent="0.25">
      <c r="A1431" s="6" t="s">
        <v>759</v>
      </c>
      <c r="B1431" s="3" t="s">
        <v>757</v>
      </c>
      <c r="C1431" s="3" t="s">
        <v>758</v>
      </c>
      <c r="D1431" s="4">
        <v>4301051445</v>
      </c>
      <c r="E1431" s="3">
        <v>4680115881976</v>
      </c>
      <c r="F1431" s="5" t="s">
        <v>760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69"/>
        <v>62.4</v>
      </c>
    </row>
    <row r="1432" spans="1:11" ht="22.5" x14ac:dyDescent="0.25">
      <c r="A1432" s="6" t="s">
        <v>2210</v>
      </c>
      <c r="B1432" s="3" t="s">
        <v>415</v>
      </c>
      <c r="C1432" s="3" t="s">
        <v>1124</v>
      </c>
      <c r="D1432" s="4">
        <v>4301031253</v>
      </c>
      <c r="E1432" s="3">
        <v>4680115882096</v>
      </c>
      <c r="F1432" s="5" t="s">
        <v>1123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ref="K1432" si="171">J1432*I1432</f>
        <v>43.2</v>
      </c>
    </row>
    <row r="1433" spans="1:11" ht="22.5" x14ac:dyDescent="0.25">
      <c r="A1433" s="6" t="s">
        <v>1175</v>
      </c>
      <c r="B1433" s="3" t="s">
        <v>415</v>
      </c>
      <c r="C1433" s="3" t="s">
        <v>1124</v>
      </c>
      <c r="D1433" s="4">
        <v>4301031253</v>
      </c>
      <c r="E1433" s="3">
        <v>4680115882096</v>
      </c>
      <c r="F1433" s="5" t="s">
        <v>1123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si="169"/>
        <v>43.2</v>
      </c>
    </row>
    <row r="1434" spans="1:11" ht="22.5" x14ac:dyDescent="0.25">
      <c r="A1434" s="6" t="s">
        <v>1123</v>
      </c>
      <c r="B1434" s="3" t="s">
        <v>415</v>
      </c>
      <c r="C1434" s="3" t="s">
        <v>1124</v>
      </c>
      <c r="D1434" s="4">
        <v>4301031253</v>
      </c>
      <c r="E1434" s="3">
        <v>4680115882096</v>
      </c>
      <c r="F1434" s="5" t="s">
        <v>1123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69"/>
        <v>43.2</v>
      </c>
    </row>
    <row r="1435" spans="1:11" ht="22.5" x14ac:dyDescent="0.25">
      <c r="A1435" s="6" t="s">
        <v>2208</v>
      </c>
      <c r="B1435" s="3" t="s">
        <v>414</v>
      </c>
      <c r="C1435" s="3" t="s">
        <v>1122</v>
      </c>
      <c r="D1435" s="4">
        <v>4301031251</v>
      </c>
      <c r="E1435" s="3">
        <v>4680115882102</v>
      </c>
      <c r="F1435" s="5" t="s">
        <v>1121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2">J1435*I1435</f>
        <v>43.2</v>
      </c>
    </row>
    <row r="1436" spans="1:11" ht="22.5" x14ac:dyDescent="0.25">
      <c r="A1436" s="6" t="s">
        <v>1174</v>
      </c>
      <c r="B1436" s="3" t="s">
        <v>414</v>
      </c>
      <c r="C1436" s="3" t="s">
        <v>1122</v>
      </c>
      <c r="D1436" s="4">
        <v>4301031251</v>
      </c>
      <c r="E1436" s="3">
        <v>4680115882102</v>
      </c>
      <c r="F1436" s="5" t="s">
        <v>1121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69"/>
        <v>43.2</v>
      </c>
    </row>
    <row r="1437" spans="1:11" ht="22.5" x14ac:dyDescent="0.25">
      <c r="A1437" s="6" t="s">
        <v>1121</v>
      </c>
      <c r="B1437" s="3" t="s">
        <v>414</v>
      </c>
      <c r="C1437" s="3" t="s">
        <v>1122</v>
      </c>
      <c r="D1437" s="4">
        <v>4301031251</v>
      </c>
      <c r="E1437" s="3">
        <v>4680115882102</v>
      </c>
      <c r="F1437" s="5" t="s">
        <v>1121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69"/>
        <v>43.2</v>
      </c>
    </row>
    <row r="1438" spans="1:11" x14ac:dyDescent="0.25">
      <c r="A1438" s="6" t="s">
        <v>68</v>
      </c>
      <c r="B1438" s="3" t="s">
        <v>48</v>
      </c>
      <c r="C1438" s="3" t="s">
        <v>2651</v>
      </c>
      <c r="D1438" s="4">
        <v>4301011514</v>
      </c>
      <c r="E1438" s="3">
        <v>4680115882133</v>
      </c>
      <c r="F1438" s="5" t="s">
        <v>1489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69"/>
        <v>86.4</v>
      </c>
    </row>
    <row r="1439" spans="1:11" x14ac:dyDescent="0.25">
      <c r="A1439" s="6" t="s">
        <v>970</v>
      </c>
      <c r="B1439" s="3" t="s">
        <v>48</v>
      </c>
      <c r="C1439" s="3" t="s">
        <v>2651</v>
      </c>
      <c r="D1439" s="4">
        <v>4301011514</v>
      </c>
      <c r="E1439" s="3">
        <v>4680115882133</v>
      </c>
      <c r="F1439" s="5" t="s">
        <v>1489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9"/>
        <v>86.4</v>
      </c>
    </row>
    <row r="1440" spans="1:11" x14ac:dyDescent="0.25">
      <c r="A1440" s="6" t="s">
        <v>1095</v>
      </c>
      <c r="B1440" s="3" t="s">
        <v>48</v>
      </c>
      <c r="C1440" s="3" t="s">
        <v>2651</v>
      </c>
      <c r="D1440" s="4">
        <v>4301011514</v>
      </c>
      <c r="E1440" s="3">
        <v>4680115882133</v>
      </c>
      <c r="F1440" s="5" t="s">
        <v>1489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69"/>
        <v>86.4</v>
      </c>
    </row>
    <row r="1441" spans="1:11" x14ac:dyDescent="0.25">
      <c r="A1441" s="6" t="s">
        <v>2035</v>
      </c>
      <c r="B1441" s="3" t="s">
        <v>48</v>
      </c>
      <c r="C1441" s="3" t="s">
        <v>2651</v>
      </c>
      <c r="D1441" s="4">
        <v>4301011514</v>
      </c>
      <c r="E1441" s="3">
        <v>4680115882133</v>
      </c>
      <c r="F1441" s="5" t="s">
        <v>1489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69"/>
        <v>86.4</v>
      </c>
    </row>
    <row r="1442" spans="1:11" x14ac:dyDescent="0.25">
      <c r="A1442" s="6" t="s">
        <v>2525</v>
      </c>
      <c r="B1442" s="3" t="s">
        <v>48</v>
      </c>
      <c r="C1442" s="3" t="s">
        <v>2651</v>
      </c>
      <c r="D1442" s="4">
        <v>4301011514</v>
      </c>
      <c r="E1442" s="3">
        <v>4680115882133</v>
      </c>
      <c r="F1442" s="5" t="s">
        <v>1489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3">J1442*I1442</f>
        <v>86.4</v>
      </c>
    </row>
    <row r="1443" spans="1:11" x14ac:dyDescent="0.25">
      <c r="A1443" s="6" t="s">
        <v>2572</v>
      </c>
      <c r="B1443" s="3" t="s">
        <v>48</v>
      </c>
      <c r="C1443" s="3" t="s">
        <v>2651</v>
      </c>
      <c r="D1443" s="4">
        <v>4301011514</v>
      </c>
      <c r="E1443" s="3">
        <v>4680115882133</v>
      </c>
      <c r="F1443" s="5" t="s">
        <v>1489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4">J1443*I1443</f>
        <v>86.4</v>
      </c>
    </row>
    <row r="1444" spans="1:11" x14ac:dyDescent="0.25">
      <c r="A1444" s="6" t="s">
        <v>1845</v>
      </c>
      <c r="B1444" s="3" t="s">
        <v>48</v>
      </c>
      <c r="C1444" s="3" t="s">
        <v>2651</v>
      </c>
      <c r="D1444" s="4">
        <v>4301011514</v>
      </c>
      <c r="E1444" s="3">
        <v>4680115882133</v>
      </c>
      <c r="F1444" s="5" t="s">
        <v>1489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69"/>
        <v>86.4</v>
      </c>
    </row>
    <row r="1445" spans="1:11" x14ac:dyDescent="0.25">
      <c r="A1445" s="6" t="s">
        <v>687</v>
      </c>
      <c r="B1445" s="3" t="s">
        <v>48</v>
      </c>
      <c r="C1445" s="3" t="s">
        <v>2651</v>
      </c>
      <c r="D1445" s="4">
        <v>4301011514</v>
      </c>
      <c r="E1445" s="3">
        <v>4680115882133</v>
      </c>
      <c r="F1445" s="5" t="s">
        <v>1489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69"/>
        <v>86.4</v>
      </c>
    </row>
    <row r="1446" spans="1:11" ht="22.5" x14ac:dyDescent="0.25">
      <c r="A1446" s="6" t="s">
        <v>975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245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69"/>
        <v>28.799999999999997</v>
      </c>
    </row>
    <row r="1447" spans="1:11" ht="22.5" x14ac:dyDescent="0.25">
      <c r="A1447" s="6" t="s">
        <v>1501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245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69"/>
        <v>28.799999999999997</v>
      </c>
    </row>
    <row r="1448" spans="1:11" ht="22.5" x14ac:dyDescent="0.25">
      <c r="A1448" s="6" t="s">
        <v>1650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245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69"/>
        <v>28.799999999999997</v>
      </c>
    </row>
    <row r="1449" spans="1:11" ht="22.5" x14ac:dyDescent="0.25">
      <c r="A1449" s="6" t="s">
        <v>2628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245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5">J1449*I1449</f>
        <v>28.799999999999997</v>
      </c>
    </row>
    <row r="1450" spans="1:11" ht="22.5" x14ac:dyDescent="0.25">
      <c r="A1450" s="6" t="s">
        <v>1167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245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69"/>
        <v>28.799999999999997</v>
      </c>
    </row>
    <row r="1451" spans="1:11" ht="22.5" x14ac:dyDescent="0.25">
      <c r="A1451" s="6" t="s">
        <v>2252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245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6">J1451*I1451</f>
        <v>28.799999999999997</v>
      </c>
    </row>
    <row r="1452" spans="1:11" ht="22.5" x14ac:dyDescent="0.25">
      <c r="A1452" s="6" t="s">
        <v>2341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245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7">J1452*I1452</f>
        <v>28.799999999999997</v>
      </c>
    </row>
    <row r="1453" spans="1:11" ht="22.5" x14ac:dyDescent="0.25">
      <c r="A1453" s="6" t="s">
        <v>2573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245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78">J1453*I1453</f>
        <v>28.799999999999997</v>
      </c>
    </row>
    <row r="1454" spans="1:11" ht="22.5" x14ac:dyDescent="0.25">
      <c r="A1454" s="6" t="s">
        <v>2039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245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9"/>
        <v>28.799999999999997</v>
      </c>
    </row>
    <row r="1455" spans="1:11" ht="22.5" x14ac:dyDescent="0.25">
      <c r="A1455" s="6" t="s">
        <v>974</v>
      </c>
      <c r="B1455" s="3" t="s">
        <v>214</v>
      </c>
      <c r="C1455" s="3" t="s">
        <v>215</v>
      </c>
      <c r="D1455" s="4">
        <v>4301051407</v>
      </c>
      <c r="E1455" s="3">
        <v>4680115882195</v>
      </c>
      <c r="F1455" s="5" t="s">
        <v>243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69"/>
        <v>28.799999999999997</v>
      </c>
    </row>
    <row r="1456" spans="1:11" ht="22.5" x14ac:dyDescent="0.25">
      <c r="A1456" s="6" t="s">
        <v>1502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69"/>
        <v>28.799999999999997</v>
      </c>
    </row>
    <row r="1457" spans="1:11" ht="22.5" x14ac:dyDescent="0.25">
      <c r="A1457" s="6" t="s">
        <v>1649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9"/>
        <v>28.799999999999997</v>
      </c>
    </row>
    <row r="1458" spans="1:11" ht="22.5" x14ac:dyDescent="0.25">
      <c r="A1458" s="6" t="s">
        <v>2626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ref="K1458" si="179">J1458*I1458</f>
        <v>28.799999999999997</v>
      </c>
    </row>
    <row r="1459" spans="1:11" ht="22.5" x14ac:dyDescent="0.25">
      <c r="A1459" s="6" t="s">
        <v>1096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si="169"/>
        <v>28.799999999999997</v>
      </c>
    </row>
    <row r="1460" spans="1:11" ht="22.5" x14ac:dyDescent="0.25">
      <c r="A1460" s="6" t="s">
        <v>2552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ref="K1460" si="180">J1460*I1460</f>
        <v>28.799999999999997</v>
      </c>
    </row>
    <row r="1461" spans="1:11" ht="22.5" x14ac:dyDescent="0.25">
      <c r="A1461" s="6" t="s">
        <v>2564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1">J1461*I1461</f>
        <v>28.799999999999997</v>
      </c>
    </row>
    <row r="1462" spans="1:11" ht="22.5" x14ac:dyDescent="0.25">
      <c r="A1462" s="6" t="s">
        <v>2038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si="169"/>
        <v>28.799999999999997</v>
      </c>
    </row>
    <row r="1463" spans="1:11" ht="22.5" x14ac:dyDescent="0.25">
      <c r="A1463" s="6" t="s">
        <v>711</v>
      </c>
      <c r="B1463" s="3" t="s">
        <v>659</v>
      </c>
      <c r="C1463" s="3" t="s">
        <v>660</v>
      </c>
      <c r="D1463" s="4">
        <v>4301031220</v>
      </c>
      <c r="E1463" s="3">
        <v>4680115882669</v>
      </c>
      <c r="F1463" s="5" t="s">
        <v>661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9"/>
        <v>64.800000000000011</v>
      </c>
    </row>
    <row r="1464" spans="1:11" ht="22.5" x14ac:dyDescent="0.25">
      <c r="A1464" s="6" t="s">
        <v>1550</v>
      </c>
      <c r="B1464" s="3" t="s">
        <v>659</v>
      </c>
      <c r="C1464" s="3" t="s">
        <v>660</v>
      </c>
      <c r="D1464" s="4">
        <v>4301031220</v>
      </c>
      <c r="E1464" s="3">
        <v>4680115882669</v>
      </c>
      <c r="F1464" s="5" t="s">
        <v>661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9"/>
        <v>64.800000000000011</v>
      </c>
    </row>
    <row r="1465" spans="1:11" ht="22.5" x14ac:dyDescent="0.25">
      <c r="A1465" s="6" t="s">
        <v>1350</v>
      </c>
      <c r="B1465" s="3" t="s">
        <v>659</v>
      </c>
      <c r="C1465" s="3" t="s">
        <v>660</v>
      </c>
      <c r="D1465" s="4">
        <v>4301031220</v>
      </c>
      <c r="E1465" s="3">
        <v>4680115882669</v>
      </c>
      <c r="F1465" s="5" t="s">
        <v>661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69"/>
        <v>64.800000000000011</v>
      </c>
    </row>
    <row r="1466" spans="1:11" ht="22.5" x14ac:dyDescent="0.25">
      <c r="A1466" s="6" t="s">
        <v>1295</v>
      </c>
      <c r="B1466" s="3" t="s">
        <v>659</v>
      </c>
      <c r="C1466" s="3" t="s">
        <v>660</v>
      </c>
      <c r="D1466" s="4">
        <v>4301031220</v>
      </c>
      <c r="E1466" s="3">
        <v>4680115882669</v>
      </c>
      <c r="F1466" s="5" t="s">
        <v>661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9"/>
        <v>64.800000000000011</v>
      </c>
    </row>
    <row r="1467" spans="1:11" ht="22.5" x14ac:dyDescent="0.25">
      <c r="A1467" s="6" t="s">
        <v>1504</v>
      </c>
      <c r="B1467" s="3" t="s">
        <v>659</v>
      </c>
      <c r="C1467" s="3" t="s">
        <v>660</v>
      </c>
      <c r="D1467" s="4">
        <v>4301031220</v>
      </c>
      <c r="E1467" s="3">
        <v>4680115882669</v>
      </c>
      <c r="F1467" s="5" t="s">
        <v>661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9"/>
        <v>64.800000000000011</v>
      </c>
    </row>
    <row r="1468" spans="1:11" ht="22.5" x14ac:dyDescent="0.25">
      <c r="A1468" s="6" t="s">
        <v>1770</v>
      </c>
      <c r="B1468" s="3" t="s">
        <v>659</v>
      </c>
      <c r="C1468" s="3" t="s">
        <v>660</v>
      </c>
      <c r="D1468" s="4">
        <v>4301031220</v>
      </c>
      <c r="E1468" s="3">
        <v>4680115882669</v>
      </c>
      <c r="F1468" s="5" t="s">
        <v>661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69"/>
        <v>64.800000000000011</v>
      </c>
    </row>
    <row r="1469" spans="1:11" ht="22.5" x14ac:dyDescent="0.25">
      <c r="A1469" s="6" t="s">
        <v>1313</v>
      </c>
      <c r="B1469" s="3" t="s">
        <v>659</v>
      </c>
      <c r="C1469" s="3" t="s">
        <v>660</v>
      </c>
      <c r="D1469" s="4">
        <v>4301031220</v>
      </c>
      <c r="E1469" s="3">
        <v>4680115882669</v>
      </c>
      <c r="F1469" s="5" t="s">
        <v>661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9"/>
        <v>64.800000000000011</v>
      </c>
    </row>
    <row r="1470" spans="1:11" ht="22.5" x14ac:dyDescent="0.25">
      <c r="A1470" s="6" t="s">
        <v>2346</v>
      </c>
      <c r="B1470" s="3" t="s">
        <v>659</v>
      </c>
      <c r="C1470" s="3" t="s">
        <v>660</v>
      </c>
      <c r="D1470" s="4">
        <v>4301031220</v>
      </c>
      <c r="E1470" s="3">
        <v>4680115882669</v>
      </c>
      <c r="F1470" s="5" t="s">
        <v>661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ref="K1470" si="182">J1470*I1470</f>
        <v>64.800000000000011</v>
      </c>
    </row>
    <row r="1471" spans="1:11" ht="22.5" x14ac:dyDescent="0.25">
      <c r="A1471" s="6" t="s">
        <v>662</v>
      </c>
      <c r="B1471" s="3" t="s">
        <v>659</v>
      </c>
      <c r="C1471" s="3" t="s">
        <v>660</v>
      </c>
      <c r="D1471" s="4">
        <v>4301031220</v>
      </c>
      <c r="E1471" s="3">
        <v>4680115882669</v>
      </c>
      <c r="F1471" s="5" t="s">
        <v>661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si="169"/>
        <v>64.800000000000011</v>
      </c>
    </row>
    <row r="1472" spans="1:11" ht="22.5" x14ac:dyDescent="0.25">
      <c r="A1472" s="6" t="s">
        <v>712</v>
      </c>
      <c r="B1472" s="3" t="s">
        <v>663</v>
      </c>
      <c r="C1472" s="3" t="s">
        <v>664</v>
      </c>
      <c r="D1472" s="4">
        <v>4301031221</v>
      </c>
      <c r="E1472" s="3">
        <v>4680115882676</v>
      </c>
      <c r="F1472" s="5" t="s">
        <v>665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9"/>
        <v>64.800000000000011</v>
      </c>
    </row>
    <row r="1473" spans="1:11" ht="22.5" x14ac:dyDescent="0.25">
      <c r="A1473" s="6" t="s">
        <v>1551</v>
      </c>
      <c r="B1473" s="3" t="s">
        <v>663</v>
      </c>
      <c r="C1473" s="3" t="s">
        <v>664</v>
      </c>
      <c r="D1473" s="4">
        <v>4301031221</v>
      </c>
      <c r="E1473" s="3">
        <v>4680115882676</v>
      </c>
      <c r="F1473" s="5" t="s">
        <v>665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9"/>
        <v>64.800000000000011</v>
      </c>
    </row>
    <row r="1474" spans="1:11" ht="22.5" x14ac:dyDescent="0.25">
      <c r="A1474" s="6" t="s">
        <v>1349</v>
      </c>
      <c r="B1474" s="3" t="s">
        <v>663</v>
      </c>
      <c r="C1474" s="3" t="s">
        <v>664</v>
      </c>
      <c r="D1474" s="4">
        <v>4301031221</v>
      </c>
      <c r="E1474" s="3">
        <v>4680115882676</v>
      </c>
      <c r="F1474" s="5" t="s">
        <v>665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69"/>
        <v>64.800000000000011</v>
      </c>
    </row>
    <row r="1475" spans="1:11" ht="22.5" x14ac:dyDescent="0.25">
      <c r="A1475" s="6" t="s">
        <v>1808</v>
      </c>
      <c r="B1475" s="3" t="s">
        <v>663</v>
      </c>
      <c r="C1475" s="3" t="s">
        <v>664</v>
      </c>
      <c r="D1475" s="4">
        <v>4301031221</v>
      </c>
      <c r="E1475" s="3">
        <v>4680115882676</v>
      </c>
      <c r="F1475" s="5" t="s">
        <v>665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9"/>
        <v>64.800000000000011</v>
      </c>
    </row>
    <row r="1476" spans="1:11" ht="22.5" x14ac:dyDescent="0.25">
      <c r="A1476" s="6" t="s">
        <v>2389</v>
      </c>
      <c r="B1476" s="3" t="s">
        <v>663</v>
      </c>
      <c r="C1476" s="3" t="s">
        <v>664</v>
      </c>
      <c r="D1476" s="4">
        <v>4301031221</v>
      </c>
      <c r="E1476" s="3">
        <v>4680115882676</v>
      </c>
      <c r="F1476" s="5" t="s">
        <v>665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ref="K1476" si="183">J1476*I1476</f>
        <v>64.800000000000011</v>
      </c>
    </row>
    <row r="1477" spans="1:11" ht="22.5" x14ac:dyDescent="0.25">
      <c r="A1477" s="6" t="s">
        <v>1771</v>
      </c>
      <c r="B1477" s="3" t="s">
        <v>663</v>
      </c>
      <c r="C1477" s="3" t="s">
        <v>664</v>
      </c>
      <c r="D1477" s="4">
        <v>4301031221</v>
      </c>
      <c r="E1477" s="3">
        <v>4680115882676</v>
      </c>
      <c r="F1477" s="5" t="s">
        <v>665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9"/>
        <v>64.800000000000011</v>
      </c>
    </row>
    <row r="1478" spans="1:11" ht="22.5" x14ac:dyDescent="0.25">
      <c r="A1478" s="6" t="s">
        <v>1503</v>
      </c>
      <c r="B1478" s="3" t="s">
        <v>663</v>
      </c>
      <c r="C1478" s="3" t="s">
        <v>664</v>
      </c>
      <c r="D1478" s="4">
        <v>4301031221</v>
      </c>
      <c r="E1478" s="3">
        <v>4680115882676</v>
      </c>
      <c r="F1478" s="5" t="s">
        <v>665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69"/>
        <v>64.800000000000011</v>
      </c>
    </row>
    <row r="1479" spans="1:11" ht="22.5" x14ac:dyDescent="0.25">
      <c r="A1479" s="6" t="s">
        <v>1296</v>
      </c>
      <c r="B1479" s="3" t="s">
        <v>663</v>
      </c>
      <c r="C1479" s="3" t="s">
        <v>664</v>
      </c>
      <c r="D1479" s="4">
        <v>4301031221</v>
      </c>
      <c r="E1479" s="3">
        <v>4680115882676</v>
      </c>
      <c r="F1479" s="5" t="s">
        <v>665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69"/>
        <v>64.800000000000011</v>
      </c>
    </row>
    <row r="1480" spans="1:11" ht="22.5" x14ac:dyDescent="0.25">
      <c r="A1480" s="6" t="s">
        <v>1418</v>
      </c>
      <c r="B1480" s="3" t="s">
        <v>663</v>
      </c>
      <c r="C1480" s="3" t="s">
        <v>664</v>
      </c>
      <c r="D1480" s="4">
        <v>4301031221</v>
      </c>
      <c r="E1480" s="3">
        <v>4680115882676</v>
      </c>
      <c r="F1480" s="5" t="s">
        <v>665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9"/>
        <v>64.800000000000011</v>
      </c>
    </row>
    <row r="1481" spans="1:11" ht="22.5" x14ac:dyDescent="0.25">
      <c r="A1481" s="6" t="s">
        <v>2630</v>
      </c>
      <c r="B1481" s="3" t="s">
        <v>663</v>
      </c>
      <c r="C1481" s="3" t="s">
        <v>664</v>
      </c>
      <c r="D1481" s="4">
        <v>4301031221</v>
      </c>
      <c r="E1481" s="3">
        <v>4680115882676</v>
      </c>
      <c r="F1481" s="5" t="s">
        <v>665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ref="K1481" si="184">J1481*I1481</f>
        <v>64.800000000000011</v>
      </c>
    </row>
    <row r="1482" spans="1:11" ht="22.5" x14ac:dyDescent="0.25">
      <c r="A1482" s="6" t="s">
        <v>1314</v>
      </c>
      <c r="B1482" s="3" t="s">
        <v>663</v>
      </c>
      <c r="C1482" s="3" t="s">
        <v>664</v>
      </c>
      <c r="D1482" s="4">
        <v>4301031221</v>
      </c>
      <c r="E1482" s="3">
        <v>4680115882676</v>
      </c>
      <c r="F1482" s="5" t="s">
        <v>665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9"/>
        <v>64.800000000000011</v>
      </c>
    </row>
    <row r="1483" spans="1:11" ht="22.5" x14ac:dyDescent="0.25">
      <c r="A1483" s="6" t="s">
        <v>2345</v>
      </c>
      <c r="B1483" s="3" t="s">
        <v>663</v>
      </c>
      <c r="C1483" s="3" t="s">
        <v>664</v>
      </c>
      <c r="D1483" s="4">
        <v>4301031221</v>
      </c>
      <c r="E1483" s="3">
        <v>4680115882676</v>
      </c>
      <c r="F1483" s="5" t="s">
        <v>665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ref="K1483" si="185">J1483*I1483</f>
        <v>64.800000000000011</v>
      </c>
    </row>
    <row r="1484" spans="1:11" ht="22.5" x14ac:dyDescent="0.25">
      <c r="A1484" s="6" t="s">
        <v>2042</v>
      </c>
      <c r="B1484" s="3" t="s">
        <v>663</v>
      </c>
      <c r="C1484" s="3" t="s">
        <v>664</v>
      </c>
      <c r="D1484" s="4">
        <v>4301031221</v>
      </c>
      <c r="E1484" s="3">
        <v>4680115882676</v>
      </c>
      <c r="F1484" s="5" t="s">
        <v>665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9"/>
        <v>64.800000000000011</v>
      </c>
    </row>
    <row r="1485" spans="1:11" ht="22.5" x14ac:dyDescent="0.25">
      <c r="A1485" s="6" t="s">
        <v>709</v>
      </c>
      <c r="B1485" s="3" t="s">
        <v>174</v>
      </c>
      <c r="C1485" s="3" t="s">
        <v>175</v>
      </c>
      <c r="D1485" s="4">
        <v>4301031224</v>
      </c>
      <c r="E1485" s="3">
        <v>4680115882683</v>
      </c>
      <c r="F1485" s="5" t="s">
        <v>199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9"/>
        <v>64.800000000000011</v>
      </c>
    </row>
    <row r="1486" spans="1:11" ht="22.5" x14ac:dyDescent="0.25">
      <c r="A1486" s="6" t="s">
        <v>1373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69"/>
        <v>64.800000000000011</v>
      </c>
    </row>
    <row r="1487" spans="1:11" ht="22.5" x14ac:dyDescent="0.25">
      <c r="A1487" s="6" t="s">
        <v>1548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9"/>
        <v>64.800000000000011</v>
      </c>
    </row>
    <row r="1488" spans="1:11" ht="22.5" x14ac:dyDescent="0.25">
      <c r="A1488" s="6" t="s">
        <v>1352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9"/>
        <v>64.800000000000011</v>
      </c>
    </row>
    <row r="1489" spans="1:11" ht="22.5" x14ac:dyDescent="0.25">
      <c r="A1489" s="6" t="s">
        <v>1874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69"/>
        <v>64.800000000000011</v>
      </c>
    </row>
    <row r="1490" spans="1:11" ht="22.5" x14ac:dyDescent="0.25">
      <c r="A1490" s="6" t="s">
        <v>1451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69"/>
        <v>64.800000000000011</v>
      </c>
    </row>
    <row r="1491" spans="1:11" ht="22.5" x14ac:dyDescent="0.25">
      <c r="A1491" s="6" t="s">
        <v>2242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ref="K1491" si="186">J1491*I1491</f>
        <v>64.800000000000011</v>
      </c>
    </row>
    <row r="1492" spans="1:11" ht="22.5" x14ac:dyDescent="0.25">
      <c r="A1492" s="6" t="s">
        <v>1074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si="169"/>
        <v>64.800000000000011</v>
      </c>
    </row>
    <row r="1493" spans="1:11" ht="22.5" x14ac:dyDescent="0.25">
      <c r="A1493" s="6" t="s">
        <v>1097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69"/>
        <v>64.800000000000011</v>
      </c>
    </row>
    <row r="1494" spans="1:11" ht="22.5" x14ac:dyDescent="0.25">
      <c r="A1494" s="6" t="s">
        <v>1311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ref="K1494:K1568" si="187">J1494*I1494</f>
        <v>64.800000000000011</v>
      </c>
    </row>
    <row r="1495" spans="1:11" ht="22.5" x14ac:dyDescent="0.25">
      <c r="A1495" s="6" t="s">
        <v>2343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" si="188">J1495*I1495</f>
        <v>64.800000000000011</v>
      </c>
    </row>
    <row r="1496" spans="1:11" ht="22.5" x14ac:dyDescent="0.25">
      <c r="A1496" s="6" t="s">
        <v>2516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89">J1496*I1496</f>
        <v>64.800000000000011</v>
      </c>
    </row>
    <row r="1497" spans="1:11" ht="22.5" x14ac:dyDescent="0.25">
      <c r="A1497" s="6" t="s">
        <v>1759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7"/>
        <v>64.800000000000011</v>
      </c>
    </row>
    <row r="1498" spans="1:11" ht="22.5" x14ac:dyDescent="0.25">
      <c r="A1498" s="6" t="s">
        <v>2040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7"/>
        <v>64.800000000000011</v>
      </c>
    </row>
    <row r="1499" spans="1:11" ht="22.5" x14ac:dyDescent="0.25">
      <c r="A1499" s="6" t="s">
        <v>710</v>
      </c>
      <c r="B1499" s="3" t="s">
        <v>176</v>
      </c>
      <c r="C1499" s="3" t="s">
        <v>177</v>
      </c>
      <c r="D1499" s="4">
        <v>4301031230</v>
      </c>
      <c r="E1499" s="3">
        <v>4680115882690</v>
      </c>
      <c r="F1499" s="5" t="s">
        <v>200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7"/>
        <v>64.800000000000011</v>
      </c>
    </row>
    <row r="1500" spans="1:11" ht="22.5" x14ac:dyDescent="0.25">
      <c r="A1500" s="6" t="s">
        <v>1374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7"/>
        <v>64.800000000000011</v>
      </c>
    </row>
    <row r="1501" spans="1:11" ht="22.5" x14ac:dyDescent="0.25">
      <c r="A1501" s="6" t="s">
        <v>1549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7"/>
        <v>64.800000000000011</v>
      </c>
    </row>
    <row r="1502" spans="1:11" ht="22.5" x14ac:dyDescent="0.25">
      <c r="A1502" s="6" t="s">
        <v>1351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7"/>
        <v>64.800000000000011</v>
      </c>
    </row>
    <row r="1503" spans="1:11" ht="22.5" x14ac:dyDescent="0.25">
      <c r="A1503" s="6" t="s">
        <v>1452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7"/>
        <v>64.800000000000011</v>
      </c>
    </row>
    <row r="1504" spans="1:11" ht="22.5" x14ac:dyDescent="0.25">
      <c r="A1504" s="6" t="s">
        <v>2243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ref="K1504" si="190">J1504*I1504</f>
        <v>64.800000000000011</v>
      </c>
    </row>
    <row r="1505" spans="1:11" ht="22.5" x14ac:dyDescent="0.25">
      <c r="A1505" s="6" t="s">
        <v>1075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7"/>
        <v>64.800000000000011</v>
      </c>
    </row>
    <row r="1506" spans="1:11" ht="22.5" x14ac:dyDescent="0.25">
      <c r="A1506" s="6" t="s">
        <v>1098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7"/>
        <v>64.800000000000011</v>
      </c>
    </row>
    <row r="1507" spans="1:11" ht="22.5" x14ac:dyDescent="0.25">
      <c r="A1507" s="6" t="s">
        <v>1310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7"/>
        <v>64.800000000000011</v>
      </c>
    </row>
    <row r="1508" spans="1:11" ht="22.5" x14ac:dyDescent="0.25">
      <c r="A1508" s="6" t="s">
        <v>2344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ref="K1508" si="191">J1508*I1508</f>
        <v>64.800000000000011</v>
      </c>
    </row>
    <row r="1509" spans="1:11" ht="22.5" x14ac:dyDescent="0.25">
      <c r="A1509" s="6" t="s">
        <v>2574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2">J1509*I1509</f>
        <v>64.800000000000011</v>
      </c>
    </row>
    <row r="1510" spans="1:11" ht="22.5" x14ac:dyDescent="0.25">
      <c r="A1510" s="6" t="s">
        <v>2041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si="187"/>
        <v>64.800000000000011</v>
      </c>
    </row>
    <row r="1511" spans="1:11" x14ac:dyDescent="0.25">
      <c r="A1511" s="6" t="s">
        <v>645</v>
      </c>
      <c r="B1511" s="3" t="s">
        <v>417</v>
      </c>
      <c r="C1511" s="3" t="s">
        <v>2637</v>
      </c>
      <c r="D1511" s="4">
        <v>4301031350</v>
      </c>
      <c r="E1511" s="3">
        <v>4680115883093</v>
      </c>
      <c r="F1511" s="5" t="s">
        <v>2638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si="187"/>
        <v>42.24</v>
      </c>
    </row>
    <row r="1512" spans="1:11" x14ac:dyDescent="0.25">
      <c r="A1512" s="6" t="s">
        <v>1708</v>
      </c>
      <c r="B1512" s="3" t="s">
        <v>417</v>
      </c>
      <c r="C1512" s="3" t="s">
        <v>2637</v>
      </c>
      <c r="D1512" s="4">
        <v>4301031350</v>
      </c>
      <c r="E1512" s="3">
        <v>4680115883093</v>
      </c>
      <c r="F1512" s="5" t="s">
        <v>2638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7"/>
        <v>42.24</v>
      </c>
    </row>
    <row r="1513" spans="1:11" x14ac:dyDescent="0.25">
      <c r="A1513" s="6" t="s">
        <v>2451</v>
      </c>
      <c r="B1513" s="3" t="s">
        <v>417</v>
      </c>
      <c r="C1513" s="3" t="s">
        <v>2637</v>
      </c>
      <c r="D1513" s="4">
        <v>4301031350</v>
      </c>
      <c r="E1513" s="3">
        <v>4680115883093</v>
      </c>
      <c r="F1513" s="5" t="s">
        <v>2638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ref="K1513" si="193">J1513*I1513</f>
        <v>42.24</v>
      </c>
    </row>
    <row r="1514" spans="1:11" x14ac:dyDescent="0.25">
      <c r="A1514" s="6" t="s">
        <v>802</v>
      </c>
      <c r="B1514" s="3" t="s">
        <v>417</v>
      </c>
      <c r="C1514" s="3" t="s">
        <v>2637</v>
      </c>
      <c r="D1514" s="4">
        <v>4301031350</v>
      </c>
      <c r="E1514" s="3">
        <v>4680115883093</v>
      </c>
      <c r="F1514" s="5" t="s">
        <v>2638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7"/>
        <v>42.24</v>
      </c>
    </row>
    <row r="1515" spans="1:11" x14ac:dyDescent="0.25">
      <c r="A1515" s="6" t="s">
        <v>1529</v>
      </c>
      <c r="B1515" s="3" t="s">
        <v>417</v>
      </c>
      <c r="C1515" s="3" t="s">
        <v>2637</v>
      </c>
      <c r="D1515" s="4">
        <v>4301031350</v>
      </c>
      <c r="E1515" s="3">
        <v>4680115883093</v>
      </c>
      <c r="F1515" s="5" t="s">
        <v>2638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7"/>
        <v>42.24</v>
      </c>
    </row>
    <row r="1516" spans="1:11" x14ac:dyDescent="0.25">
      <c r="A1516" s="6" t="s">
        <v>1738</v>
      </c>
      <c r="B1516" s="3" t="s">
        <v>417</v>
      </c>
      <c r="C1516" s="3" t="s">
        <v>2637</v>
      </c>
      <c r="D1516" s="4">
        <v>4301031350</v>
      </c>
      <c r="E1516" s="3">
        <v>4680115883093</v>
      </c>
      <c r="F1516" s="5" t="s">
        <v>2638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7"/>
        <v>42.24</v>
      </c>
    </row>
    <row r="1517" spans="1:11" x14ac:dyDescent="0.25">
      <c r="A1517" s="6" t="s">
        <v>596</v>
      </c>
      <c r="B1517" s="3" t="s">
        <v>417</v>
      </c>
      <c r="C1517" s="3" t="s">
        <v>2637</v>
      </c>
      <c r="D1517" s="4">
        <v>4301031350</v>
      </c>
      <c r="E1517" s="3">
        <v>4680115883093</v>
      </c>
      <c r="F1517" s="5" t="s">
        <v>2638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7"/>
        <v>42.24</v>
      </c>
    </row>
    <row r="1518" spans="1:11" x14ac:dyDescent="0.25">
      <c r="A1518" s="6" t="s">
        <v>2333</v>
      </c>
      <c r="B1518" s="3" t="s">
        <v>417</v>
      </c>
      <c r="C1518" s="3" t="s">
        <v>2637</v>
      </c>
      <c r="D1518" s="4">
        <v>4301031350</v>
      </c>
      <c r="E1518" s="3">
        <v>4680115883093</v>
      </c>
      <c r="F1518" s="5" t="s">
        <v>2638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ref="K1518" si="194">J1518*I1518</f>
        <v>42.24</v>
      </c>
    </row>
    <row r="1519" spans="1:11" x14ac:dyDescent="0.25">
      <c r="A1519" s="6" t="s">
        <v>950</v>
      </c>
      <c r="B1519" s="3" t="s">
        <v>417</v>
      </c>
      <c r="C1519" s="3" t="s">
        <v>2637</v>
      </c>
      <c r="D1519" s="4">
        <v>4301031350</v>
      </c>
      <c r="E1519" s="3">
        <v>4680115883093</v>
      </c>
      <c r="F1519" s="5" t="s">
        <v>2638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7"/>
        <v>42.24</v>
      </c>
    </row>
    <row r="1520" spans="1:11" x14ac:dyDescent="0.25">
      <c r="A1520" s="6" t="s">
        <v>420</v>
      </c>
      <c r="B1520" s="3" t="s">
        <v>417</v>
      </c>
      <c r="C1520" s="3" t="s">
        <v>2637</v>
      </c>
      <c r="D1520" s="4">
        <v>4301031350</v>
      </c>
      <c r="E1520" s="3">
        <v>4680115883093</v>
      </c>
      <c r="F1520" s="5" t="s">
        <v>2638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7"/>
        <v>42.24</v>
      </c>
    </row>
    <row r="1521" spans="1:11" x14ac:dyDescent="0.25">
      <c r="A1521" s="6" t="s">
        <v>1552</v>
      </c>
      <c r="B1521" s="3" t="s">
        <v>417</v>
      </c>
      <c r="C1521" s="3" t="s">
        <v>2637</v>
      </c>
      <c r="D1521" s="4">
        <v>4301031350</v>
      </c>
      <c r="E1521" s="3">
        <v>4680115883093</v>
      </c>
      <c r="F1521" s="5" t="s">
        <v>2638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7"/>
        <v>42.24</v>
      </c>
    </row>
    <row r="1522" spans="1:11" x14ac:dyDescent="0.25">
      <c r="A1522" s="6" t="s">
        <v>1471</v>
      </c>
      <c r="B1522" s="3" t="s">
        <v>417</v>
      </c>
      <c r="C1522" s="3" t="s">
        <v>2637</v>
      </c>
      <c r="D1522" s="4">
        <v>4301031350</v>
      </c>
      <c r="E1522" s="3">
        <v>4680115883093</v>
      </c>
      <c r="F1522" s="5" t="s">
        <v>2638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7"/>
        <v>42.24</v>
      </c>
    </row>
    <row r="1523" spans="1:11" x14ac:dyDescent="0.25">
      <c r="A1523" s="6" t="s">
        <v>1011</v>
      </c>
      <c r="B1523" s="3" t="s">
        <v>417</v>
      </c>
      <c r="C1523" s="3" t="s">
        <v>2637</v>
      </c>
      <c r="D1523" s="4">
        <v>4301031350</v>
      </c>
      <c r="E1523" s="3">
        <v>4680115883093</v>
      </c>
      <c r="F1523" s="5" t="s">
        <v>2638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7"/>
        <v>42.24</v>
      </c>
    </row>
    <row r="1524" spans="1:11" x14ac:dyDescent="0.25">
      <c r="A1524" s="6" t="s">
        <v>1186</v>
      </c>
      <c r="B1524" s="3" t="s">
        <v>417</v>
      </c>
      <c r="C1524" s="3" t="s">
        <v>2637</v>
      </c>
      <c r="D1524" s="4">
        <v>4301031350</v>
      </c>
      <c r="E1524" s="3">
        <v>4680115883093</v>
      </c>
      <c r="F1524" s="5" t="s">
        <v>2638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7"/>
        <v>42.24</v>
      </c>
    </row>
    <row r="1525" spans="1:11" x14ac:dyDescent="0.25">
      <c r="A1525" s="6" t="s">
        <v>2629</v>
      </c>
      <c r="B1525" s="3" t="s">
        <v>417</v>
      </c>
      <c r="C1525" s="3" t="s">
        <v>2637</v>
      </c>
      <c r="D1525" s="4">
        <v>4301031350</v>
      </c>
      <c r="E1525" s="3">
        <v>4680115883093</v>
      </c>
      <c r="F1525" s="5" t="s">
        <v>2638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ref="K1525" si="195">J1525*I1525</f>
        <v>42.24</v>
      </c>
    </row>
    <row r="1526" spans="1:11" x14ac:dyDescent="0.25">
      <c r="A1526" s="6" t="s">
        <v>1521</v>
      </c>
      <c r="B1526" s="3" t="s">
        <v>417</v>
      </c>
      <c r="C1526" s="3" t="s">
        <v>2637</v>
      </c>
      <c r="D1526" s="4">
        <v>4301031350</v>
      </c>
      <c r="E1526" s="3">
        <v>4680115883093</v>
      </c>
      <c r="F1526" s="5" t="s">
        <v>2638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7"/>
        <v>42.24</v>
      </c>
    </row>
    <row r="1527" spans="1:11" x14ac:dyDescent="0.25">
      <c r="A1527" s="6" t="s">
        <v>2009</v>
      </c>
      <c r="B1527" s="3" t="s">
        <v>417</v>
      </c>
      <c r="C1527" s="3" t="s">
        <v>2637</v>
      </c>
      <c r="D1527" s="4">
        <v>4301031350</v>
      </c>
      <c r="E1527" s="3">
        <v>4680115883093</v>
      </c>
      <c r="F1527" s="5" t="s">
        <v>2638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7"/>
        <v>42.24</v>
      </c>
    </row>
    <row r="1528" spans="1:11" ht="22.5" x14ac:dyDescent="0.25">
      <c r="A1528" s="6" t="s">
        <v>598</v>
      </c>
      <c r="B1528" s="3" t="s">
        <v>418</v>
      </c>
      <c r="C1528" s="3" t="s">
        <v>2639</v>
      </c>
      <c r="D1528" s="4">
        <v>4301031353</v>
      </c>
      <c r="E1528" s="3">
        <v>4680115883109</v>
      </c>
      <c r="F1528" s="5" t="s">
        <v>2640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7"/>
        <v>42.24</v>
      </c>
    </row>
    <row r="1529" spans="1:11" ht="22.5" x14ac:dyDescent="0.25">
      <c r="A1529" s="6" t="s">
        <v>2334</v>
      </c>
      <c r="B1529" s="3" t="s">
        <v>418</v>
      </c>
      <c r="C1529" s="3" t="s">
        <v>2639</v>
      </c>
      <c r="D1529" s="4">
        <v>4301031353</v>
      </c>
      <c r="E1529" s="3">
        <v>4680115883109</v>
      </c>
      <c r="F1529" s="5" t="s">
        <v>2640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ref="K1529" si="196">J1529*I1529</f>
        <v>42.24</v>
      </c>
    </row>
    <row r="1530" spans="1:11" ht="22.5" x14ac:dyDescent="0.25">
      <c r="A1530" s="6" t="s">
        <v>646</v>
      </c>
      <c r="B1530" s="3" t="s">
        <v>418</v>
      </c>
      <c r="C1530" s="3" t="s">
        <v>2639</v>
      </c>
      <c r="D1530" s="4">
        <v>4301031353</v>
      </c>
      <c r="E1530" s="3">
        <v>4680115883109</v>
      </c>
      <c r="F1530" s="5" t="s">
        <v>2640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7"/>
        <v>42.24</v>
      </c>
    </row>
    <row r="1531" spans="1:11" ht="22.5" x14ac:dyDescent="0.25">
      <c r="A1531" s="6" t="s">
        <v>1348</v>
      </c>
      <c r="B1531" s="3" t="s">
        <v>418</v>
      </c>
      <c r="C1531" s="3" t="s">
        <v>2639</v>
      </c>
      <c r="D1531" s="4">
        <v>4301031353</v>
      </c>
      <c r="E1531" s="3">
        <v>4680115883109</v>
      </c>
      <c r="F1531" s="5" t="s">
        <v>2640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7"/>
        <v>42.24</v>
      </c>
    </row>
    <row r="1532" spans="1:11" ht="22.5" x14ac:dyDescent="0.25">
      <c r="A1532" s="6" t="s">
        <v>790</v>
      </c>
      <c r="B1532" s="3" t="s">
        <v>418</v>
      </c>
      <c r="C1532" s="3" t="s">
        <v>2639</v>
      </c>
      <c r="D1532" s="4">
        <v>4301031353</v>
      </c>
      <c r="E1532" s="3">
        <v>4680115883109</v>
      </c>
      <c r="F1532" s="5" t="s">
        <v>2640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7"/>
        <v>42.24</v>
      </c>
    </row>
    <row r="1533" spans="1:11" ht="22.5" x14ac:dyDescent="0.25">
      <c r="A1533" s="6" t="s">
        <v>1656</v>
      </c>
      <c r="B1533" s="3" t="s">
        <v>418</v>
      </c>
      <c r="C1533" s="3" t="s">
        <v>2639</v>
      </c>
      <c r="D1533" s="4">
        <v>4301031353</v>
      </c>
      <c r="E1533" s="3">
        <v>4680115883109</v>
      </c>
      <c r="F1533" s="5" t="s">
        <v>2640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7"/>
        <v>42.24</v>
      </c>
    </row>
    <row r="1534" spans="1:11" ht="22.5" x14ac:dyDescent="0.25">
      <c r="A1534" s="6" t="s">
        <v>828</v>
      </c>
      <c r="B1534" s="3" t="s">
        <v>418</v>
      </c>
      <c r="C1534" s="3" t="s">
        <v>2639</v>
      </c>
      <c r="D1534" s="4">
        <v>4301031353</v>
      </c>
      <c r="E1534" s="3">
        <v>4680115883109</v>
      </c>
      <c r="F1534" s="5" t="s">
        <v>2640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7"/>
        <v>42.24</v>
      </c>
    </row>
    <row r="1535" spans="1:11" ht="22.5" x14ac:dyDescent="0.25">
      <c r="A1535" s="6" t="s">
        <v>1012</v>
      </c>
      <c r="B1535" s="3" t="s">
        <v>418</v>
      </c>
      <c r="C1535" s="3" t="s">
        <v>2639</v>
      </c>
      <c r="D1535" s="4">
        <v>4301031353</v>
      </c>
      <c r="E1535" s="3">
        <v>4680115883109</v>
      </c>
      <c r="F1535" s="5" t="s">
        <v>2640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7"/>
        <v>42.24</v>
      </c>
    </row>
    <row r="1536" spans="1:11" ht="22.5" x14ac:dyDescent="0.25">
      <c r="A1536" s="6" t="s">
        <v>1200</v>
      </c>
      <c r="B1536" s="3" t="s">
        <v>418</v>
      </c>
      <c r="C1536" s="3" t="s">
        <v>2639</v>
      </c>
      <c r="D1536" s="4">
        <v>4301031353</v>
      </c>
      <c r="E1536" s="3">
        <v>4680115883109</v>
      </c>
      <c r="F1536" s="5" t="s">
        <v>2640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7"/>
        <v>42.24</v>
      </c>
    </row>
    <row r="1537" spans="1:11" ht="22.5" x14ac:dyDescent="0.25">
      <c r="A1537" s="6" t="s">
        <v>1895</v>
      </c>
      <c r="B1537" s="3" t="s">
        <v>418</v>
      </c>
      <c r="C1537" s="3" t="s">
        <v>2639</v>
      </c>
      <c r="D1537" s="4">
        <v>4301031353</v>
      </c>
      <c r="E1537" s="3">
        <v>4680115883109</v>
      </c>
      <c r="F1537" s="5" t="s">
        <v>2640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7"/>
        <v>42.24</v>
      </c>
    </row>
    <row r="1538" spans="1:11" ht="22.5" x14ac:dyDescent="0.25">
      <c r="A1538" s="6" t="s">
        <v>1382</v>
      </c>
      <c r="B1538" s="3" t="s">
        <v>418</v>
      </c>
      <c r="C1538" s="3" t="s">
        <v>2639</v>
      </c>
      <c r="D1538" s="4">
        <v>4301031353</v>
      </c>
      <c r="E1538" s="3">
        <v>4680115883109</v>
      </c>
      <c r="F1538" s="5" t="s">
        <v>2640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7"/>
        <v>42.24</v>
      </c>
    </row>
    <row r="1539" spans="1:11" ht="22.5" x14ac:dyDescent="0.25">
      <c r="A1539" s="6" t="s">
        <v>2010</v>
      </c>
      <c r="B1539" s="3" t="s">
        <v>418</v>
      </c>
      <c r="C1539" s="3" t="s">
        <v>2639</v>
      </c>
      <c r="D1539" s="4">
        <v>4301031353</v>
      </c>
      <c r="E1539" s="3">
        <v>4680115883109</v>
      </c>
      <c r="F1539" s="5" t="s">
        <v>2640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7"/>
        <v>42.24</v>
      </c>
    </row>
    <row r="1540" spans="1:11" ht="22.5" x14ac:dyDescent="0.25">
      <c r="A1540" s="6" t="s">
        <v>597</v>
      </c>
      <c r="B1540" s="3" t="s">
        <v>416</v>
      </c>
      <c r="C1540" s="3" t="s">
        <v>2585</v>
      </c>
      <c r="D1540" s="4">
        <v>4301031349</v>
      </c>
      <c r="E1540" s="3">
        <v>4680115883116</v>
      </c>
      <c r="F1540" s="5" t="s">
        <v>2586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7"/>
        <v>42.24</v>
      </c>
    </row>
    <row r="1541" spans="1:11" ht="22.5" x14ac:dyDescent="0.25">
      <c r="A1541" s="6" t="s">
        <v>644</v>
      </c>
      <c r="B1541" s="3" t="s">
        <v>416</v>
      </c>
      <c r="C1541" s="3" t="s">
        <v>2585</v>
      </c>
      <c r="D1541" s="4">
        <v>4301031349</v>
      </c>
      <c r="E1541" s="3">
        <v>4680115883116</v>
      </c>
      <c r="F1541" s="5" t="s">
        <v>2586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7"/>
        <v>42.24</v>
      </c>
    </row>
    <row r="1542" spans="1:11" ht="22.5" x14ac:dyDescent="0.25">
      <c r="A1542" s="6" t="s">
        <v>419</v>
      </c>
      <c r="B1542" s="3" t="s">
        <v>416</v>
      </c>
      <c r="C1542" s="3" t="s">
        <v>2585</v>
      </c>
      <c r="D1542" s="4">
        <v>4301031349</v>
      </c>
      <c r="E1542" s="3">
        <v>4680115883116</v>
      </c>
      <c r="F1542" s="5" t="s">
        <v>2586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7"/>
        <v>42.24</v>
      </c>
    </row>
    <row r="1543" spans="1:11" ht="22.5" x14ac:dyDescent="0.25">
      <c r="A1543" s="6" t="s">
        <v>775</v>
      </c>
      <c r="B1543" s="3" t="s">
        <v>416</v>
      </c>
      <c r="C1543" s="3" t="s">
        <v>2585</v>
      </c>
      <c r="D1543" s="4">
        <v>4301031349</v>
      </c>
      <c r="E1543" s="3">
        <v>4680115883116</v>
      </c>
      <c r="F1543" s="5" t="s">
        <v>2586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7"/>
        <v>42.24</v>
      </c>
    </row>
    <row r="1544" spans="1:11" ht="22.5" x14ac:dyDescent="0.25">
      <c r="A1544" s="6" t="s">
        <v>1813</v>
      </c>
      <c r="B1544" s="3" t="s">
        <v>416</v>
      </c>
      <c r="C1544" s="3" t="s">
        <v>2585</v>
      </c>
      <c r="D1544" s="4">
        <v>4301031349</v>
      </c>
      <c r="E1544" s="3">
        <v>4680115883116</v>
      </c>
      <c r="F1544" s="5" t="s">
        <v>2586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7"/>
        <v>42.24</v>
      </c>
    </row>
    <row r="1545" spans="1:11" ht="22.5" x14ac:dyDescent="0.25">
      <c r="A1545" s="6" t="s">
        <v>2509</v>
      </c>
      <c r="B1545" s="3" t="s">
        <v>416</v>
      </c>
      <c r="C1545" s="3" t="s">
        <v>2585</v>
      </c>
      <c r="D1545" s="4">
        <v>4301031349</v>
      </c>
      <c r="E1545" s="3">
        <v>4680115883116</v>
      </c>
      <c r="F1545" s="5" t="s">
        <v>2586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ref="K1545" si="197">J1545*I1545</f>
        <v>42.24</v>
      </c>
    </row>
    <row r="1546" spans="1:11" ht="22.5" x14ac:dyDescent="0.25">
      <c r="A1546" s="6" t="s">
        <v>801</v>
      </c>
      <c r="B1546" s="3" t="s">
        <v>416</v>
      </c>
      <c r="C1546" s="3" t="s">
        <v>2585</v>
      </c>
      <c r="D1546" s="4">
        <v>4301031349</v>
      </c>
      <c r="E1546" s="3">
        <v>4680115883116</v>
      </c>
      <c r="F1546" s="5" t="s">
        <v>2586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si="187"/>
        <v>42.24</v>
      </c>
    </row>
    <row r="1547" spans="1:11" ht="22.5" x14ac:dyDescent="0.25">
      <c r="A1547" s="6" t="s">
        <v>1887</v>
      </c>
      <c r="B1547" s="3" t="s">
        <v>416</v>
      </c>
      <c r="C1547" s="3" t="s">
        <v>2585</v>
      </c>
      <c r="D1547" s="4">
        <v>4301031349</v>
      </c>
      <c r="E1547" s="3">
        <v>4680115883116</v>
      </c>
      <c r="F1547" s="5" t="s">
        <v>2586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7"/>
        <v>42.24</v>
      </c>
    </row>
    <row r="1548" spans="1:11" ht="22.5" x14ac:dyDescent="0.25">
      <c r="A1548" s="6" t="s">
        <v>1010</v>
      </c>
      <c r="B1548" s="3" t="s">
        <v>416</v>
      </c>
      <c r="C1548" s="3" t="s">
        <v>2585</v>
      </c>
      <c r="D1548" s="4">
        <v>4301031349</v>
      </c>
      <c r="E1548" s="3">
        <v>4680115883116</v>
      </c>
      <c r="F1548" s="5" t="s">
        <v>2586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7"/>
        <v>42.24</v>
      </c>
    </row>
    <row r="1549" spans="1:11" ht="22.5" x14ac:dyDescent="0.25">
      <c r="A1549" s="6" t="s">
        <v>1555</v>
      </c>
      <c r="B1549" s="3" t="s">
        <v>416</v>
      </c>
      <c r="C1549" s="3" t="s">
        <v>2585</v>
      </c>
      <c r="D1549" s="4">
        <v>4301031349</v>
      </c>
      <c r="E1549" s="3">
        <v>4680115883116</v>
      </c>
      <c r="F1549" s="5" t="s">
        <v>2586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7"/>
        <v>42.24</v>
      </c>
    </row>
    <row r="1550" spans="1:11" ht="22.5" x14ac:dyDescent="0.25">
      <c r="A1550" s="6" t="s">
        <v>1498</v>
      </c>
      <c r="B1550" s="3" t="s">
        <v>416</v>
      </c>
      <c r="C1550" s="3" t="s">
        <v>2585</v>
      </c>
      <c r="D1550" s="4">
        <v>4301031349</v>
      </c>
      <c r="E1550" s="3">
        <v>4680115883116</v>
      </c>
      <c r="F1550" s="5" t="s">
        <v>2586</v>
      </c>
      <c r="G1550" s="16"/>
      <c r="H1550" s="1"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7"/>
        <v>42.24</v>
      </c>
    </row>
    <row r="1551" spans="1:11" ht="22.5" x14ac:dyDescent="0.25">
      <c r="A1551" s="6" t="s">
        <v>2359</v>
      </c>
      <c r="B1551" s="3" t="s">
        <v>416</v>
      </c>
      <c r="C1551" s="3" t="s">
        <v>2585</v>
      </c>
      <c r="D1551" s="4">
        <v>4301031349</v>
      </c>
      <c r="E1551" s="3">
        <v>4680115883116</v>
      </c>
      <c r="F1551" s="5" t="s">
        <v>2586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ref="K1551" si="198">J1551*I1551</f>
        <v>42.24</v>
      </c>
    </row>
    <row r="1552" spans="1:11" ht="22.5" x14ac:dyDescent="0.25">
      <c r="A1552" s="6" t="s">
        <v>1522</v>
      </c>
      <c r="B1552" s="3" t="s">
        <v>416</v>
      </c>
      <c r="C1552" s="3" t="s">
        <v>2585</v>
      </c>
      <c r="D1552" s="4">
        <v>4301031349</v>
      </c>
      <c r="E1552" s="3">
        <v>4680115883116</v>
      </c>
      <c r="F1552" s="5" t="s">
        <v>2586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si="187"/>
        <v>42.24</v>
      </c>
    </row>
    <row r="1553" spans="1:11" ht="22.5" x14ac:dyDescent="0.25">
      <c r="A1553" s="6" t="s">
        <v>1683</v>
      </c>
      <c r="B1553" s="3" t="s">
        <v>416</v>
      </c>
      <c r="C1553" s="3" t="s">
        <v>2585</v>
      </c>
      <c r="D1553" s="4">
        <v>4301031349</v>
      </c>
      <c r="E1553" s="3">
        <v>4680115883116</v>
      </c>
      <c r="F1553" s="5" t="s">
        <v>2586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7"/>
        <v>42.24</v>
      </c>
    </row>
    <row r="1554" spans="1:11" ht="22.5" x14ac:dyDescent="0.25">
      <c r="A1554" s="6" t="s">
        <v>2008</v>
      </c>
      <c r="B1554" s="3" t="s">
        <v>416</v>
      </c>
      <c r="C1554" s="3" t="s">
        <v>2585</v>
      </c>
      <c r="D1554" s="4">
        <v>4301031349</v>
      </c>
      <c r="E1554" s="3">
        <v>4680115883116</v>
      </c>
      <c r="F1554" s="5" t="s">
        <v>2586</v>
      </c>
      <c r="G1554" s="16"/>
      <c r="H1554" s="1">
        <f>VLOOKUP(E1554,[1]Лист1!$D:$M,10,0)</f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7"/>
        <v>42.24</v>
      </c>
    </row>
    <row r="1555" spans="1:11" ht="22.5" x14ac:dyDescent="0.25">
      <c r="A1555" s="6" t="s">
        <v>941</v>
      </c>
      <c r="B1555" s="3" t="s">
        <v>903</v>
      </c>
      <c r="C1555" s="3" t="s">
        <v>904</v>
      </c>
      <c r="D1555" s="4">
        <v>4301031257</v>
      </c>
      <c r="E1555" s="3">
        <v>4680115883147</v>
      </c>
      <c r="F1555" s="5" t="s">
        <v>905</v>
      </c>
      <c r="G1555" s="16"/>
      <c r="H1555" s="1">
        <f>VLOOKUP(E1555,[1]Лист1!$D:$M,10,0)</f>
        <v>45</v>
      </c>
      <c r="I1555" s="20">
        <f>VLOOKUP(B1555,'[2]Бланк заказа'!$A:$Y,8,0)</f>
        <v>1.68</v>
      </c>
      <c r="J1555" s="1">
        <f>VLOOKUP(B1555,'[2]Бланк заказа'!$A:$Y,11,0)*1</f>
        <v>18</v>
      </c>
      <c r="K1555" s="20">
        <f t="shared" si="187"/>
        <v>30.24</v>
      </c>
    </row>
    <row r="1556" spans="1:11" ht="22.5" x14ac:dyDescent="0.25">
      <c r="A1556" s="6" t="s">
        <v>905</v>
      </c>
      <c r="B1556" s="3" t="s">
        <v>903</v>
      </c>
      <c r="C1556" s="3" t="s">
        <v>904</v>
      </c>
      <c r="D1556" s="4">
        <v>4301031257</v>
      </c>
      <c r="E1556" s="3">
        <v>4680115883147</v>
      </c>
      <c r="F1556" s="5" t="s">
        <v>905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7"/>
        <v>30.24</v>
      </c>
    </row>
    <row r="1557" spans="1:11" ht="33.75" x14ac:dyDescent="0.25">
      <c r="A1557" s="6" t="s">
        <v>943</v>
      </c>
      <c r="B1557" s="3" t="s">
        <v>906</v>
      </c>
      <c r="C1557" s="3" t="s">
        <v>907</v>
      </c>
      <c r="D1557" s="4">
        <v>4301031258</v>
      </c>
      <c r="E1557" s="3">
        <v>4680115883161</v>
      </c>
      <c r="F1557" s="5" t="s">
        <v>908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7"/>
        <v>30.24</v>
      </c>
    </row>
    <row r="1558" spans="1:11" ht="33.75" x14ac:dyDescent="0.25">
      <c r="A1558" s="6" t="s">
        <v>908</v>
      </c>
      <c r="B1558" s="3" t="s">
        <v>906</v>
      </c>
      <c r="C1558" s="3" t="s">
        <v>907</v>
      </c>
      <c r="D1558" s="4">
        <v>4301031258</v>
      </c>
      <c r="E1558" s="3">
        <v>4680115883161</v>
      </c>
      <c r="F1558" s="5" t="s">
        <v>908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7"/>
        <v>30.24</v>
      </c>
    </row>
    <row r="1559" spans="1:11" x14ac:dyDescent="0.25">
      <c r="A1559" s="6" t="s">
        <v>539</v>
      </c>
      <c r="B1559" s="1" t="s">
        <v>540</v>
      </c>
      <c r="C1559" s="1" t="s">
        <v>540</v>
      </c>
      <c r="D1559" s="1" t="s">
        <v>540</v>
      </c>
      <c r="E1559" s="12" t="s">
        <v>540</v>
      </c>
      <c r="F1559" s="1" t="s">
        <v>540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7"/>
        <v>#N/A</v>
      </c>
    </row>
    <row r="1560" spans="1:11" x14ac:dyDescent="0.25">
      <c r="A1560" s="6" t="s">
        <v>542</v>
      </c>
      <c r="B1560" s="1" t="s">
        <v>540</v>
      </c>
      <c r="C1560" s="1" t="s">
        <v>540</v>
      </c>
      <c r="D1560" s="1" t="s">
        <v>540</v>
      </c>
      <c r="E1560" s="12" t="s">
        <v>540</v>
      </c>
      <c r="F1560" s="1" t="s">
        <v>540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7"/>
        <v>#N/A</v>
      </c>
    </row>
    <row r="1561" spans="1:11" x14ac:dyDescent="0.25">
      <c r="A1561" s="6" t="s">
        <v>544</v>
      </c>
      <c r="B1561" s="1" t="s">
        <v>540</v>
      </c>
      <c r="C1561" s="1" t="s">
        <v>540</v>
      </c>
      <c r="D1561" s="1" t="s">
        <v>540</v>
      </c>
      <c r="E1561" s="12" t="s">
        <v>540</v>
      </c>
      <c r="F1561" s="1" t="s">
        <v>540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7"/>
        <v>#N/A</v>
      </c>
    </row>
    <row r="1562" spans="1:11" ht="22.5" x14ac:dyDescent="0.25">
      <c r="A1562" s="6" t="s">
        <v>991</v>
      </c>
      <c r="B1562" s="3" t="s">
        <v>416</v>
      </c>
      <c r="C1562" s="3" t="s">
        <v>990</v>
      </c>
      <c r="D1562" s="4">
        <v>4301031198</v>
      </c>
      <c r="E1562" s="3">
        <v>4607091383348</v>
      </c>
      <c r="F1562" s="5" t="s">
        <v>419</v>
      </c>
      <c r="G1562" s="16"/>
      <c r="H1562" s="1" t="e">
        <f>VLOOKUP(E1562,[1]Лист1!$D:$M,10,0)</f>
        <v>#N/A</v>
      </c>
      <c r="I1562" s="20">
        <f>VLOOKUP(B1562,'[2]Бланк заказа'!$A:$Y,8,0)</f>
        <v>5.28</v>
      </c>
      <c r="J1562" s="1">
        <f>VLOOKUP(B1562,'[2]Бланк заказа'!$A:$Y,11,0)*1</f>
        <v>8</v>
      </c>
      <c r="K1562" s="20">
        <f t="shared" si="187"/>
        <v>42.24</v>
      </c>
    </row>
    <row r="1563" spans="1:11" ht="22.5" x14ac:dyDescent="0.25">
      <c r="A1563" s="6" t="s">
        <v>982</v>
      </c>
      <c r="B1563" s="3" t="s">
        <v>980</v>
      </c>
      <c r="C1563" s="3" t="s">
        <v>981</v>
      </c>
      <c r="D1563" s="4">
        <v>4301032044</v>
      </c>
      <c r="E1563" s="3">
        <v>4680115883000</v>
      </c>
      <c r="F1563" s="5" t="s">
        <v>982</v>
      </c>
      <c r="G1563" s="16"/>
      <c r="H1563" s="1" t="e">
        <f>VLOOKUP(E1563,[1]Лист1!$D:$M,10,0)</f>
        <v>#N/A</v>
      </c>
      <c r="I1563" s="20" t="e">
        <f>VLOOKUP(B1563,'[2]Бланк заказа'!$A:$Y,8,0)</f>
        <v>#N/A</v>
      </c>
      <c r="J1563" s="1" t="e">
        <f>VLOOKUP(B1563,'[2]Бланк заказа'!$A:$Y,11,0)*1</f>
        <v>#N/A</v>
      </c>
      <c r="K1563" s="20" t="e">
        <f t="shared" si="187"/>
        <v>#N/A</v>
      </c>
    </row>
    <row r="1564" spans="1:11" ht="22.5" x14ac:dyDescent="0.25">
      <c r="A1564" s="6" t="s">
        <v>983</v>
      </c>
      <c r="B1564" s="3" t="s">
        <v>980</v>
      </c>
      <c r="C1564" s="3" t="s">
        <v>981</v>
      </c>
      <c r="D1564" s="4">
        <v>4301032044</v>
      </c>
      <c r="E1564" s="3">
        <v>4680115883000</v>
      </c>
      <c r="F1564" s="5" t="s">
        <v>982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7"/>
        <v>#N/A</v>
      </c>
    </row>
    <row r="1565" spans="1:11" ht="22.5" x14ac:dyDescent="0.25">
      <c r="A1565" s="6" t="s">
        <v>979</v>
      </c>
      <c r="B1565" s="3" t="s">
        <v>976</v>
      </c>
      <c r="C1565" s="3" t="s">
        <v>977</v>
      </c>
      <c r="D1565" s="4">
        <v>4301032042</v>
      </c>
      <c r="E1565" s="3">
        <v>4680115883017</v>
      </c>
      <c r="F1565" s="5" t="s">
        <v>978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7"/>
        <v>#N/A</v>
      </c>
    </row>
    <row r="1566" spans="1:11" ht="22.5" x14ac:dyDescent="0.25">
      <c r="A1566" s="6" t="s">
        <v>1517</v>
      </c>
      <c r="B1566" s="3" t="s">
        <v>984</v>
      </c>
      <c r="C1566" s="3" t="s">
        <v>985</v>
      </c>
      <c r="D1566" s="4">
        <v>4301170008</v>
      </c>
      <c r="E1566" s="3">
        <v>4680115882980</v>
      </c>
      <c r="F1566" s="5" t="s">
        <v>986</v>
      </c>
      <c r="G1566" s="16"/>
      <c r="H1566" s="1">
        <f>VLOOKUP(E1566,[1]Лист1!$D:$M,10,0)</f>
        <v>150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7"/>
        <v>#N/A</v>
      </c>
    </row>
    <row r="1567" spans="1:11" ht="22.5" x14ac:dyDescent="0.25">
      <c r="A1567" s="6" t="s">
        <v>987</v>
      </c>
      <c r="B1567" s="3" t="s">
        <v>984</v>
      </c>
      <c r="C1567" s="3" t="s">
        <v>985</v>
      </c>
      <c r="D1567" s="4">
        <v>4301170008</v>
      </c>
      <c r="E1567" s="3">
        <v>4680115882980</v>
      </c>
      <c r="F1567" s="5" t="s">
        <v>986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7"/>
        <v>#N/A</v>
      </c>
    </row>
    <row r="1568" spans="1:11" ht="22.5" x14ac:dyDescent="0.25">
      <c r="A1568" s="6" t="s">
        <v>1000</v>
      </c>
      <c r="B1568" s="3" t="s">
        <v>997</v>
      </c>
      <c r="C1568" s="3" t="s">
        <v>998</v>
      </c>
      <c r="D1568" s="4">
        <v>4301011450</v>
      </c>
      <c r="E1568" s="3">
        <v>4680115881402</v>
      </c>
      <c r="F1568" s="5" t="s">
        <v>999</v>
      </c>
      <c r="G1568" s="16"/>
      <c r="H1568" s="1">
        <f>VLOOKUP(E1568,[1]Лист1!$D:$M,10,0)</f>
        <v>55</v>
      </c>
      <c r="I1568" s="20">
        <f>VLOOKUP(B1568,'[2]Бланк заказа'!$A:$Y,8,0)</f>
        <v>10.8</v>
      </c>
      <c r="J1568" s="1">
        <f>VLOOKUP(B1568,'[2]Бланк заказа'!$A:$Y,11,0)*1</f>
        <v>8</v>
      </c>
      <c r="K1568" s="20">
        <f t="shared" si="187"/>
        <v>86.4</v>
      </c>
    </row>
    <row r="1569" spans="1:11" ht="22.5" x14ac:dyDescent="0.25">
      <c r="A1569" s="6" t="s">
        <v>1035</v>
      </c>
      <c r="B1569" s="3" t="s">
        <v>1036</v>
      </c>
      <c r="C1569" s="3" t="s">
        <v>1037</v>
      </c>
      <c r="D1569" s="4">
        <v>4301020262</v>
      </c>
      <c r="E1569" s="3">
        <v>4680115882935</v>
      </c>
      <c r="F1569" s="5" t="s">
        <v>1038</v>
      </c>
      <c r="G1569" s="16"/>
      <c r="H1569" s="1">
        <f>VLOOKUP(E1569,[1]Лист1!$D:$M,10,0)</f>
        <v>50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ref="K1569:K1654" si="199">J1569*I1569</f>
        <v>86.4</v>
      </c>
    </row>
    <row r="1570" spans="1:11" ht="22.5" x14ac:dyDescent="0.25">
      <c r="A1570" s="6" t="s">
        <v>1042</v>
      </c>
      <c r="B1570" s="3" t="s">
        <v>1040</v>
      </c>
      <c r="C1570" s="3" t="s">
        <v>1041</v>
      </c>
      <c r="D1570" s="4">
        <v>4301170009</v>
      </c>
      <c r="E1570" s="3">
        <v>4680115882997</v>
      </c>
      <c r="F1570" s="5" t="s">
        <v>1042</v>
      </c>
      <c r="G1570" s="16"/>
      <c r="H1570" s="1">
        <f>VLOOKUP(E1570,[1]Лист1!$D:$M,10,0)</f>
        <v>150</v>
      </c>
      <c r="I1570" s="20" t="e">
        <f>VLOOKUP(B1570,'[2]Бланк заказа'!$A:$Y,8,0)</f>
        <v>#N/A</v>
      </c>
      <c r="J1570" s="1" t="e">
        <f>VLOOKUP(B1570,'[2]Бланк заказа'!$A:$Y,11,0)*1</f>
        <v>#N/A</v>
      </c>
      <c r="K1570" s="20" t="e">
        <f t="shared" si="199"/>
        <v>#N/A</v>
      </c>
    </row>
    <row r="1571" spans="1:11" ht="22.5" x14ac:dyDescent="0.25">
      <c r="A1571" s="6" t="s">
        <v>1039</v>
      </c>
      <c r="B1571" s="3" t="s">
        <v>1040</v>
      </c>
      <c r="C1571" s="3" t="s">
        <v>1041</v>
      </c>
      <c r="D1571" s="4">
        <v>4301170009</v>
      </c>
      <c r="E1571" s="3">
        <v>4680115882997</v>
      </c>
      <c r="F1571" s="5" t="s">
        <v>1042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199"/>
        <v>#N/A</v>
      </c>
    </row>
    <row r="1572" spans="1:11" ht="22.5" x14ac:dyDescent="0.25">
      <c r="A1572" s="6" t="s">
        <v>1391</v>
      </c>
      <c r="B1572" s="3" t="s">
        <v>1043</v>
      </c>
      <c r="C1572" s="3" t="s">
        <v>2677</v>
      </c>
      <c r="D1572" s="4">
        <v>4301012035</v>
      </c>
      <c r="E1572" s="3">
        <v>4680115880603</v>
      </c>
      <c r="F1572" s="5" t="s">
        <v>2678</v>
      </c>
      <c r="G1572" s="16"/>
      <c r="H1572" s="1">
        <f>VLOOKUP(E1572,[1]Лист1!$D:$M,10,0)</f>
        <v>55</v>
      </c>
      <c r="I1572" s="20">
        <f>VLOOKUP(B1572,'[2]Бланк заказа'!$A:$Y,8,0)</f>
        <v>3.6</v>
      </c>
      <c r="J1572" s="1">
        <f>VLOOKUP(B1572,'[2]Бланк заказа'!$A:$Y,11,0)*1</f>
        <v>12</v>
      </c>
      <c r="K1572" s="20">
        <f t="shared" si="199"/>
        <v>43.2</v>
      </c>
    </row>
    <row r="1573" spans="1:11" ht="22.5" x14ac:dyDescent="0.25">
      <c r="A1573" s="6" t="s">
        <v>1044</v>
      </c>
      <c r="B1573" s="3" t="s">
        <v>1043</v>
      </c>
      <c r="C1573" s="3" t="s">
        <v>2677</v>
      </c>
      <c r="D1573" s="4">
        <v>4301012035</v>
      </c>
      <c r="E1573" s="3">
        <v>4680115880603</v>
      </c>
      <c r="F1573" s="5" t="s">
        <v>2678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199"/>
        <v>43.2</v>
      </c>
    </row>
    <row r="1574" spans="1:11" ht="22.5" x14ac:dyDescent="0.25">
      <c r="A1574" s="6" t="s">
        <v>2044</v>
      </c>
      <c r="B1574" s="3" t="s">
        <v>1043</v>
      </c>
      <c r="C1574" s="3" t="s">
        <v>2677</v>
      </c>
      <c r="D1574" s="4">
        <v>4301012035</v>
      </c>
      <c r="E1574" s="3">
        <v>4680115880603</v>
      </c>
      <c r="F1574" s="5" t="s">
        <v>2678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199"/>
        <v>43.2</v>
      </c>
    </row>
    <row r="1575" spans="1:11" ht="22.5" x14ac:dyDescent="0.25">
      <c r="A1575" s="6" t="s">
        <v>2726</v>
      </c>
      <c r="B1575" s="3" t="s">
        <v>1045</v>
      </c>
      <c r="C1575" s="3" t="s">
        <v>2725</v>
      </c>
      <c r="D1575" s="4">
        <v>4301012034</v>
      </c>
      <c r="E1575" s="3">
        <v>4607091389982</v>
      </c>
      <c r="F1575" s="5" t="s">
        <v>1046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0">J1575*I1575</f>
        <v>43.2</v>
      </c>
    </row>
    <row r="1576" spans="1:11" ht="22.5" x14ac:dyDescent="0.25">
      <c r="A1576" s="6" t="s">
        <v>2724</v>
      </c>
      <c r="B1576" s="3" t="s">
        <v>1045</v>
      </c>
      <c r="C1576" s="3" t="s">
        <v>2725</v>
      </c>
      <c r="D1576" s="4">
        <v>4301012034</v>
      </c>
      <c r="E1576" s="3">
        <v>4607091389982</v>
      </c>
      <c r="F1576" s="5" t="s">
        <v>1046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199"/>
        <v>43.2</v>
      </c>
    </row>
    <row r="1577" spans="1:11" ht="22.5" x14ac:dyDescent="0.25">
      <c r="A1577" s="6" t="s">
        <v>1072</v>
      </c>
      <c r="B1577" s="3" t="s">
        <v>1069</v>
      </c>
      <c r="C1577" s="3" t="s">
        <v>1070</v>
      </c>
      <c r="D1577" s="4">
        <v>4301032043</v>
      </c>
      <c r="E1577" s="3">
        <v>4680115883031</v>
      </c>
      <c r="F1577" s="5" t="s">
        <v>1071</v>
      </c>
      <c r="G1577" s="16"/>
      <c r="H1577" s="1" t="e">
        <f>VLOOKUP(E1577,[1]Лист1!$D:$M,10,0)</f>
        <v>#N/A</v>
      </c>
      <c r="I1577" s="20" t="e">
        <f>VLOOKUP(B1577,'[2]Бланк заказа'!$A:$Y,8,0)</f>
        <v>#N/A</v>
      </c>
      <c r="J1577" s="1" t="e">
        <f>VLOOKUP(B1577,'[2]Бланк заказа'!$A:$Y,11,0)*1</f>
        <v>#N/A</v>
      </c>
      <c r="K1577" s="20" t="e">
        <f t="shared" si="199"/>
        <v>#N/A</v>
      </c>
    </row>
    <row r="1578" spans="1:11" ht="22.5" x14ac:dyDescent="0.25">
      <c r="A1578" s="6" t="s">
        <v>1090</v>
      </c>
      <c r="B1578" s="3" t="s">
        <v>1091</v>
      </c>
      <c r="C1578" s="3" t="s">
        <v>1092</v>
      </c>
      <c r="D1578" s="4">
        <v>4301031247</v>
      </c>
      <c r="E1578" s="3">
        <v>4680115883048</v>
      </c>
      <c r="F1578" s="5" t="s">
        <v>1093</v>
      </c>
      <c r="G1578" s="16"/>
      <c r="H1578" s="1">
        <f>VLOOKUP(E1578,[1]Лист1!$D:$M,10,0)</f>
        <v>40</v>
      </c>
      <c r="I1578" s="20" t="e">
        <f>VLOOKUP(B1578,'[2]Бланк заказа'!$A:$Y,8,0)</f>
        <v>#N/A</v>
      </c>
      <c r="J1578" s="1" t="e">
        <f>VLOOKUP(B1578,'[2]Бланк заказа'!$A:$Y,11,0)*1</f>
        <v>#N/A</v>
      </c>
      <c r="K1578" s="20" t="e">
        <f t="shared" si="199"/>
        <v>#N/A</v>
      </c>
    </row>
    <row r="1579" spans="1:11" ht="22.5" x14ac:dyDescent="0.25">
      <c r="A1579" s="6" t="s">
        <v>2209</v>
      </c>
      <c r="B1579" s="3" t="s">
        <v>1120</v>
      </c>
      <c r="C1579" s="3" t="s">
        <v>2589</v>
      </c>
      <c r="D1579" s="4">
        <v>4301031419</v>
      </c>
      <c r="E1579" s="3">
        <v>4680115882072</v>
      </c>
      <c r="F1579" s="5" t="s">
        <v>2590</v>
      </c>
      <c r="G1579" s="16"/>
      <c r="H1579" s="1">
        <v>70</v>
      </c>
      <c r="I1579" s="20">
        <f>VLOOKUP(B1579,'[2]Бланк заказа'!$A:$Y,8,0)</f>
        <v>3.6</v>
      </c>
      <c r="J1579" s="1">
        <f>VLOOKUP(B1579,'[2]Бланк заказа'!$A:$Y,11,0)*1</f>
        <v>12</v>
      </c>
      <c r="K1579" s="20">
        <f t="shared" ref="K1579" si="201">J1579*I1579</f>
        <v>43.2</v>
      </c>
    </row>
    <row r="1580" spans="1:11" ht="22.5" x14ac:dyDescent="0.25">
      <c r="A1580" s="6" t="s">
        <v>1237</v>
      </c>
      <c r="B1580" s="3" t="s">
        <v>1120</v>
      </c>
      <c r="C1580" s="3" t="s">
        <v>2589</v>
      </c>
      <c r="D1580" s="4">
        <v>4301031419</v>
      </c>
      <c r="E1580" s="3">
        <v>4680115882072</v>
      </c>
      <c r="F1580" s="5" t="s">
        <v>2590</v>
      </c>
      <c r="G1580" s="16"/>
      <c r="H1580" s="1">
        <v>70</v>
      </c>
      <c r="I1580" s="20">
        <f>VLOOKUP(B1580,'[2]Бланк заказа'!$A:$Y,8,0)</f>
        <v>3.6</v>
      </c>
      <c r="J1580" s="1">
        <f>VLOOKUP(B1580,'[2]Бланк заказа'!$A:$Y,11,0)*1</f>
        <v>12</v>
      </c>
      <c r="K1580" s="20">
        <f t="shared" si="199"/>
        <v>43.2</v>
      </c>
    </row>
    <row r="1581" spans="1:11" ht="22.5" x14ac:dyDescent="0.25">
      <c r="A1581" s="6" t="s">
        <v>1119</v>
      </c>
      <c r="B1581" s="3" t="s">
        <v>1120</v>
      </c>
      <c r="C1581" s="3" t="s">
        <v>2589</v>
      </c>
      <c r="D1581" s="4">
        <v>4301031419</v>
      </c>
      <c r="E1581" s="3">
        <v>4680115882072</v>
      </c>
      <c r="F1581" s="5" t="s">
        <v>2590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si="199"/>
        <v>43.2</v>
      </c>
    </row>
    <row r="1582" spans="1:11" ht="22.5" x14ac:dyDescent="0.25">
      <c r="A1582" s="6" t="s">
        <v>2212</v>
      </c>
      <c r="B1582" s="3" t="s">
        <v>1128</v>
      </c>
      <c r="C1582" s="3" t="s">
        <v>1129</v>
      </c>
      <c r="D1582" s="4">
        <v>4301011562</v>
      </c>
      <c r="E1582" s="3">
        <v>4680115882577</v>
      </c>
      <c r="F1582" s="5" t="s">
        <v>1130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ref="K1582" si="202">J1582*I1582</f>
        <v>38.400000000000006</v>
      </c>
    </row>
    <row r="1583" spans="1:11" ht="22.5" x14ac:dyDescent="0.25">
      <c r="A1583" s="6" t="s">
        <v>1170</v>
      </c>
      <c r="B1583" s="3" t="s">
        <v>1128</v>
      </c>
      <c r="C1583" s="3" t="s">
        <v>1129</v>
      </c>
      <c r="D1583" s="4">
        <v>4301011562</v>
      </c>
      <c r="E1583" s="3">
        <v>4680115882577</v>
      </c>
      <c r="F1583" s="5" t="s">
        <v>1130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9"/>
        <v>38.400000000000006</v>
      </c>
    </row>
    <row r="1584" spans="1:11" ht="22.5" x14ac:dyDescent="0.25">
      <c r="A1584" s="6" t="s">
        <v>1191</v>
      </c>
      <c r="B1584" s="3" t="s">
        <v>1128</v>
      </c>
      <c r="C1584" s="3" t="s">
        <v>1129</v>
      </c>
      <c r="D1584" s="4">
        <v>4301011562</v>
      </c>
      <c r="E1584" s="3">
        <v>4680115882577</v>
      </c>
      <c r="F1584" s="5" t="s">
        <v>1130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9"/>
        <v>38.400000000000006</v>
      </c>
    </row>
    <row r="1585" spans="1:11" ht="22.5" x14ac:dyDescent="0.25">
      <c r="A1585" s="6" t="s">
        <v>1646</v>
      </c>
      <c r="B1585" s="3" t="s">
        <v>1128</v>
      </c>
      <c r="C1585" s="3" t="s">
        <v>1129</v>
      </c>
      <c r="D1585" s="4">
        <v>4301011562</v>
      </c>
      <c r="E1585" s="3">
        <v>4680115882577</v>
      </c>
      <c r="F1585" s="5" t="s">
        <v>1130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9"/>
        <v>38.400000000000006</v>
      </c>
    </row>
    <row r="1586" spans="1:11" ht="22.5" x14ac:dyDescent="0.25">
      <c r="A1586" s="6" t="s">
        <v>1130</v>
      </c>
      <c r="B1586" s="3" t="s">
        <v>1128</v>
      </c>
      <c r="C1586" s="3" t="s">
        <v>1129</v>
      </c>
      <c r="D1586" s="4">
        <v>4301011562</v>
      </c>
      <c r="E1586" s="3">
        <v>4680115882577</v>
      </c>
      <c r="F1586" s="5" t="s">
        <v>1130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9"/>
        <v>38.400000000000006</v>
      </c>
    </row>
    <row r="1587" spans="1:11" ht="22.5" x14ac:dyDescent="0.25">
      <c r="A1587" s="6" t="s">
        <v>1774</v>
      </c>
      <c r="B1587" s="3" t="s">
        <v>1128</v>
      </c>
      <c r="C1587" s="3" t="s">
        <v>1129</v>
      </c>
      <c r="D1587" s="4">
        <v>4301011562</v>
      </c>
      <c r="E1587" s="3">
        <v>4680115882577</v>
      </c>
      <c r="F1587" s="5" t="s">
        <v>1130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199"/>
        <v>38.400000000000006</v>
      </c>
    </row>
    <row r="1588" spans="1:11" ht="22.5" x14ac:dyDescent="0.25">
      <c r="A1588" s="6" t="s">
        <v>1861</v>
      </c>
      <c r="B1588" s="3" t="s">
        <v>1128</v>
      </c>
      <c r="C1588" s="3" t="s">
        <v>1129</v>
      </c>
      <c r="D1588" s="4">
        <v>4301011562</v>
      </c>
      <c r="E1588" s="3">
        <v>4680115882577</v>
      </c>
      <c r="F1588" s="5" t="s">
        <v>1130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9"/>
        <v>38.400000000000006</v>
      </c>
    </row>
    <row r="1589" spans="1:11" ht="22.5" x14ac:dyDescent="0.25">
      <c r="A1589" s="6" t="s">
        <v>2087</v>
      </c>
      <c r="B1589" s="3" t="s">
        <v>1128</v>
      </c>
      <c r="C1589" s="3" t="s">
        <v>1129</v>
      </c>
      <c r="D1589" s="4">
        <v>4301011562</v>
      </c>
      <c r="E1589" s="3">
        <v>4680115882577</v>
      </c>
      <c r="F1589" s="5" t="s">
        <v>1130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199"/>
        <v>38.400000000000006</v>
      </c>
    </row>
    <row r="1590" spans="1:11" ht="22.5" x14ac:dyDescent="0.25">
      <c r="A1590" s="6" t="s">
        <v>1862</v>
      </c>
      <c r="B1590" s="3" t="s">
        <v>1128</v>
      </c>
      <c r="C1590" s="3" t="s">
        <v>1129</v>
      </c>
      <c r="D1590" s="4">
        <v>4301011562</v>
      </c>
      <c r="E1590" s="3">
        <v>4680115882577</v>
      </c>
      <c r="F1590" s="5" t="s">
        <v>1130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199"/>
        <v>38.400000000000006</v>
      </c>
    </row>
    <row r="1591" spans="1:11" ht="22.5" x14ac:dyDescent="0.25">
      <c r="A1591" s="6" t="s">
        <v>1891</v>
      </c>
      <c r="B1591" s="3" t="s">
        <v>1128</v>
      </c>
      <c r="C1591" s="3" t="s">
        <v>1129</v>
      </c>
      <c r="D1591" s="4">
        <v>4301011562</v>
      </c>
      <c r="E1591" s="3">
        <v>4680115882577</v>
      </c>
      <c r="F1591" s="5" t="s">
        <v>1130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199"/>
        <v>38.400000000000006</v>
      </c>
    </row>
    <row r="1592" spans="1:11" ht="22.5" x14ac:dyDescent="0.25">
      <c r="A1592" s="6" t="s">
        <v>1917</v>
      </c>
      <c r="B1592" s="3" t="s">
        <v>1128</v>
      </c>
      <c r="C1592" s="3" t="s">
        <v>1129</v>
      </c>
      <c r="D1592" s="4">
        <v>4301011562</v>
      </c>
      <c r="E1592" s="3">
        <v>4680115882577</v>
      </c>
      <c r="F1592" s="5" t="s">
        <v>1130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199"/>
        <v>38.400000000000006</v>
      </c>
    </row>
    <row r="1593" spans="1:11" ht="22.5" x14ac:dyDescent="0.25">
      <c r="A1593" s="6" t="s">
        <v>2270</v>
      </c>
      <c r="B1593" s="3" t="s">
        <v>1128</v>
      </c>
      <c r="C1593" s="3" t="s">
        <v>1129</v>
      </c>
      <c r="D1593" s="4">
        <v>4301011562</v>
      </c>
      <c r="E1593" s="3">
        <v>4680115882577</v>
      </c>
      <c r="F1593" s="5" t="s">
        <v>1130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ref="K1593" si="203">J1593*I1593</f>
        <v>38.400000000000006</v>
      </c>
    </row>
    <row r="1594" spans="1:11" ht="22.5" x14ac:dyDescent="0.25">
      <c r="A1594" s="6" t="s">
        <v>1943</v>
      </c>
      <c r="B1594" s="3" t="s">
        <v>1128</v>
      </c>
      <c r="C1594" s="3" t="s">
        <v>1129</v>
      </c>
      <c r="D1594" s="4">
        <v>4301011562</v>
      </c>
      <c r="E1594" s="3">
        <v>4680115882577</v>
      </c>
      <c r="F1594" s="5" t="s">
        <v>1130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199"/>
        <v>38.400000000000006</v>
      </c>
    </row>
    <row r="1595" spans="1:11" ht="22.5" x14ac:dyDescent="0.25">
      <c r="A1595" s="6" t="s">
        <v>2357</v>
      </c>
      <c r="B1595" s="3" t="s">
        <v>1128</v>
      </c>
      <c r="C1595" s="3" t="s">
        <v>1129</v>
      </c>
      <c r="D1595" s="4">
        <v>4301011562</v>
      </c>
      <c r="E1595" s="3">
        <v>4680115882577</v>
      </c>
      <c r="F1595" s="5" t="s">
        <v>1130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4">J1595*I1595</f>
        <v>38.400000000000006</v>
      </c>
    </row>
    <row r="1596" spans="1:11" ht="22.5" x14ac:dyDescent="0.25">
      <c r="A1596" s="6" t="s">
        <v>1828</v>
      </c>
      <c r="B1596" s="3" t="s">
        <v>1128</v>
      </c>
      <c r="C1596" s="3" t="s">
        <v>1129</v>
      </c>
      <c r="D1596" s="4">
        <v>4301011562</v>
      </c>
      <c r="E1596" s="3">
        <v>4680115882577</v>
      </c>
      <c r="F1596" s="5" t="s">
        <v>1130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199"/>
        <v>38.400000000000006</v>
      </c>
    </row>
    <row r="1597" spans="1:11" ht="22.5" x14ac:dyDescent="0.25">
      <c r="A1597" s="6" t="s">
        <v>2598</v>
      </c>
      <c r="B1597" s="3" t="s">
        <v>1128</v>
      </c>
      <c r="C1597" s="3" t="s">
        <v>1129</v>
      </c>
      <c r="D1597" s="4">
        <v>4301011562</v>
      </c>
      <c r="E1597" s="3">
        <v>4680115882577</v>
      </c>
      <c r="F1597" s="5" t="s">
        <v>1130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5">J1597*I1597</f>
        <v>38.400000000000006</v>
      </c>
    </row>
    <row r="1598" spans="1:11" ht="22.5" x14ac:dyDescent="0.25">
      <c r="A1598" s="6" t="s">
        <v>2450</v>
      </c>
      <c r="B1598" s="3" t="s">
        <v>1128</v>
      </c>
      <c r="C1598" s="3" t="s">
        <v>1129</v>
      </c>
      <c r="D1598" s="4">
        <v>4301011562</v>
      </c>
      <c r="E1598" s="3">
        <v>4680115882577</v>
      </c>
      <c r="F1598" s="5" t="s">
        <v>1130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ref="K1598" si="206">J1598*I1598</f>
        <v>38.400000000000006</v>
      </c>
    </row>
    <row r="1599" spans="1:11" ht="22.5" x14ac:dyDescent="0.25">
      <c r="A1599" s="6" t="s">
        <v>2536</v>
      </c>
      <c r="B1599" s="3" t="s">
        <v>1128</v>
      </c>
      <c r="C1599" s="3" t="s">
        <v>1129</v>
      </c>
      <c r="D1599" s="4">
        <v>4301011562</v>
      </c>
      <c r="E1599" s="3">
        <v>4680115882577</v>
      </c>
      <c r="F1599" s="5" t="s">
        <v>1130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7">J1599*I1599</f>
        <v>38.400000000000006</v>
      </c>
    </row>
    <row r="1600" spans="1:11" ht="22.5" x14ac:dyDescent="0.25">
      <c r="A1600" s="6" t="s">
        <v>1958</v>
      </c>
      <c r="B1600" s="3" t="s">
        <v>1128</v>
      </c>
      <c r="C1600" s="3" t="s">
        <v>1129</v>
      </c>
      <c r="D1600" s="4">
        <v>4301011562</v>
      </c>
      <c r="E1600" s="3">
        <v>4680115882577</v>
      </c>
      <c r="F1600" s="5" t="s">
        <v>1130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si="199"/>
        <v>38.400000000000006</v>
      </c>
    </row>
    <row r="1601" spans="1:11" ht="22.5" x14ac:dyDescent="0.25">
      <c r="A1601" s="6" t="s">
        <v>2406</v>
      </c>
      <c r="B1601" s="3" t="s">
        <v>1128</v>
      </c>
      <c r="C1601" s="3" t="s">
        <v>1129</v>
      </c>
      <c r="D1601" s="4">
        <v>4301011562</v>
      </c>
      <c r="E1601" s="3">
        <v>4680115882577</v>
      </c>
      <c r="F1601" s="5" t="s">
        <v>1130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08">J1601*I1601</f>
        <v>38.400000000000006</v>
      </c>
    </row>
    <row r="1602" spans="1:11" ht="22.5" x14ac:dyDescent="0.25">
      <c r="A1602" s="6" t="s">
        <v>1877</v>
      </c>
      <c r="B1602" s="3" t="s">
        <v>1128</v>
      </c>
      <c r="C1602" s="3" t="s">
        <v>1129</v>
      </c>
      <c r="D1602" s="4">
        <v>4301011562</v>
      </c>
      <c r="E1602" s="3">
        <v>4680115882577</v>
      </c>
      <c r="F1602" s="5" t="s">
        <v>1130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199"/>
        <v>38.400000000000006</v>
      </c>
    </row>
    <row r="1603" spans="1:11" ht="22.5" x14ac:dyDescent="0.25">
      <c r="A1603" s="6" t="s">
        <v>1127</v>
      </c>
      <c r="B1603" s="3" t="s">
        <v>1128</v>
      </c>
      <c r="C1603" s="3" t="s">
        <v>1129</v>
      </c>
      <c r="D1603" s="4">
        <v>4301011562</v>
      </c>
      <c r="E1603" s="3">
        <v>4680115882577</v>
      </c>
      <c r="F1603" s="5" t="s">
        <v>1130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si="199"/>
        <v>38.400000000000006</v>
      </c>
    </row>
    <row r="1604" spans="1:11" ht="22.5" x14ac:dyDescent="0.25">
      <c r="A1604" s="6" t="s">
        <v>1131</v>
      </c>
      <c r="B1604" s="3" t="s">
        <v>1132</v>
      </c>
      <c r="C1604" s="3" t="s">
        <v>1133</v>
      </c>
      <c r="D1604" s="4">
        <v>4301051476</v>
      </c>
      <c r="E1604" s="3">
        <v>4680115882584</v>
      </c>
      <c r="F1604" s="5" t="s">
        <v>1134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si="199"/>
        <v>31.68</v>
      </c>
    </row>
    <row r="1605" spans="1:11" ht="22.5" x14ac:dyDescent="0.25">
      <c r="A1605" s="6" t="s">
        <v>1134</v>
      </c>
      <c r="B1605" s="3" t="s">
        <v>1132</v>
      </c>
      <c r="C1605" s="3" t="s">
        <v>1133</v>
      </c>
      <c r="D1605" s="4">
        <v>4301051476</v>
      </c>
      <c r="E1605" s="3">
        <v>4680115882584</v>
      </c>
      <c r="F1605" s="5" t="s">
        <v>1134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si="199"/>
        <v>31.68</v>
      </c>
    </row>
    <row r="1606" spans="1:11" ht="22.5" x14ac:dyDescent="0.25">
      <c r="A1606" s="6" t="s">
        <v>1192</v>
      </c>
      <c r="B1606" s="3" t="s">
        <v>1132</v>
      </c>
      <c r="C1606" s="3" t="s">
        <v>1133</v>
      </c>
      <c r="D1606" s="4">
        <v>4301051476</v>
      </c>
      <c r="E1606" s="3">
        <v>4680115882584</v>
      </c>
      <c r="F1606" s="5" t="s">
        <v>1134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199"/>
        <v>31.68</v>
      </c>
    </row>
    <row r="1607" spans="1:11" ht="22.5" x14ac:dyDescent="0.25">
      <c r="A1607" s="6" t="s">
        <v>1647</v>
      </c>
      <c r="B1607" s="3" t="s">
        <v>1132</v>
      </c>
      <c r="C1607" s="3" t="s">
        <v>1133</v>
      </c>
      <c r="D1607" s="4">
        <v>4301051476</v>
      </c>
      <c r="E1607" s="3">
        <v>4680115882584</v>
      </c>
      <c r="F1607" s="5" t="s">
        <v>1134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199"/>
        <v>31.68</v>
      </c>
    </row>
    <row r="1608" spans="1:11" ht="22.5" x14ac:dyDescent="0.25">
      <c r="A1608" s="6" t="s">
        <v>2213</v>
      </c>
      <c r="B1608" s="3" t="s">
        <v>1132</v>
      </c>
      <c r="C1608" s="3" t="s">
        <v>1133</v>
      </c>
      <c r="D1608" s="4">
        <v>4301051476</v>
      </c>
      <c r="E1608" s="3">
        <v>4680115882584</v>
      </c>
      <c r="F1608" s="5" t="s">
        <v>1134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ref="K1608" si="209">J1608*I1608</f>
        <v>31.68</v>
      </c>
    </row>
    <row r="1609" spans="1:11" ht="22.5" x14ac:dyDescent="0.25">
      <c r="A1609" s="6" t="s">
        <v>1165</v>
      </c>
      <c r="B1609" s="3" t="s">
        <v>1132</v>
      </c>
      <c r="C1609" s="3" t="s">
        <v>1133</v>
      </c>
      <c r="D1609" s="4">
        <v>4301051476</v>
      </c>
      <c r="E1609" s="3">
        <v>4680115882584</v>
      </c>
      <c r="F1609" s="5" t="s">
        <v>1134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199"/>
        <v>31.68</v>
      </c>
    </row>
    <row r="1610" spans="1:11" ht="22.5" x14ac:dyDescent="0.25">
      <c r="A1610" s="6" t="s">
        <v>2214</v>
      </c>
      <c r="B1610" s="3" t="s">
        <v>1179</v>
      </c>
      <c r="C1610" s="3" t="s">
        <v>1180</v>
      </c>
      <c r="D1610" s="4">
        <v>4301031234</v>
      </c>
      <c r="E1610" s="3">
        <v>4680115883444</v>
      </c>
      <c r="F1610" s="5" t="s">
        <v>1181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ref="K1610" si="210">J1610*I1610</f>
        <v>33.599999999999994</v>
      </c>
    </row>
    <row r="1611" spans="1:11" ht="22.5" x14ac:dyDescent="0.25">
      <c r="A1611" s="6" t="s">
        <v>2548</v>
      </c>
      <c r="B1611" s="3" t="s">
        <v>1179</v>
      </c>
      <c r="C1611" s="3" t="s">
        <v>1180</v>
      </c>
      <c r="D1611" s="4">
        <v>4301031234</v>
      </c>
      <c r="E1611" s="3">
        <v>4680115883444</v>
      </c>
      <c r="F1611" s="5" t="s">
        <v>1181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ref="K1611" si="211">J1611*I1611</f>
        <v>33.599999999999994</v>
      </c>
    </row>
    <row r="1612" spans="1:11" ht="22.5" x14ac:dyDescent="0.25">
      <c r="A1612" s="6" t="s">
        <v>1249</v>
      </c>
      <c r="B1612" s="3" t="s">
        <v>1179</v>
      </c>
      <c r="C1612" s="3" t="s">
        <v>1180</v>
      </c>
      <c r="D1612" s="4">
        <v>4301031234</v>
      </c>
      <c r="E1612" s="3">
        <v>4680115883444</v>
      </c>
      <c r="F1612" s="5" t="s">
        <v>1181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9"/>
        <v>33.599999999999994</v>
      </c>
    </row>
    <row r="1613" spans="1:11" ht="22.5" x14ac:dyDescent="0.25">
      <c r="A1613" s="6" t="s">
        <v>1775</v>
      </c>
      <c r="B1613" s="3" t="s">
        <v>1179</v>
      </c>
      <c r="C1613" s="3" t="s">
        <v>1180</v>
      </c>
      <c r="D1613" s="4">
        <v>4301031234</v>
      </c>
      <c r="E1613" s="3">
        <v>4680115883444</v>
      </c>
      <c r="F1613" s="5" t="s">
        <v>1181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si="199"/>
        <v>33.599999999999994</v>
      </c>
    </row>
    <row r="1614" spans="1:11" ht="22.5" x14ac:dyDescent="0.25">
      <c r="A1614" s="6" t="s">
        <v>2455</v>
      </c>
      <c r="B1614" s="3" t="s">
        <v>1179</v>
      </c>
      <c r="C1614" s="3" t="s">
        <v>1180</v>
      </c>
      <c r="D1614" s="4">
        <v>4301031234</v>
      </c>
      <c r="E1614" s="3">
        <v>4680115883444</v>
      </c>
      <c r="F1614" s="5" t="s">
        <v>1181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ref="K1614" si="212">J1614*I1614</f>
        <v>33.599999999999994</v>
      </c>
    </row>
    <row r="1615" spans="1:11" ht="22.5" x14ac:dyDescent="0.25">
      <c r="A1615" s="6" t="s">
        <v>1829</v>
      </c>
      <c r="B1615" s="3" t="s">
        <v>1179</v>
      </c>
      <c r="C1615" s="3" t="s">
        <v>1180</v>
      </c>
      <c r="D1615" s="4">
        <v>4301031234</v>
      </c>
      <c r="E1615" s="3">
        <v>4680115883444</v>
      </c>
      <c r="F1615" s="5" t="s">
        <v>1181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199"/>
        <v>33.599999999999994</v>
      </c>
    </row>
    <row r="1616" spans="1:11" ht="22.5" x14ac:dyDescent="0.25">
      <c r="A1616" s="6" t="s">
        <v>2082</v>
      </c>
      <c r="B1616" s="3" t="s">
        <v>1179</v>
      </c>
      <c r="C1616" s="3" t="s">
        <v>1180</v>
      </c>
      <c r="D1616" s="4">
        <v>4301031234</v>
      </c>
      <c r="E1616" s="3">
        <v>4680115883444</v>
      </c>
      <c r="F1616" s="5" t="s">
        <v>1181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si="199"/>
        <v>33.599999999999994</v>
      </c>
    </row>
    <row r="1617" spans="1:11" ht="22.5" x14ac:dyDescent="0.25">
      <c r="A1617" s="6" t="s">
        <v>2405</v>
      </c>
      <c r="B1617" s="3" t="s">
        <v>1179</v>
      </c>
      <c r="C1617" s="3" t="s">
        <v>1180</v>
      </c>
      <c r="D1617" s="4">
        <v>4301031234</v>
      </c>
      <c r="E1617" s="3">
        <v>4680115883444</v>
      </c>
      <c r="F1617" s="5" t="s">
        <v>1181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ref="K1617" si="213">J1617*I1617</f>
        <v>33.599999999999994</v>
      </c>
    </row>
    <row r="1618" spans="1:11" ht="22.5" x14ac:dyDescent="0.25">
      <c r="A1618" s="6" t="s">
        <v>2488</v>
      </c>
      <c r="B1618" s="3" t="s">
        <v>1179</v>
      </c>
      <c r="C1618" s="3" t="s">
        <v>1180</v>
      </c>
      <c r="D1618" s="4">
        <v>4301031234</v>
      </c>
      <c r="E1618" s="3">
        <v>4680115883444</v>
      </c>
      <c r="F1618" s="5" t="s">
        <v>1181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ref="K1618" si="214">J1618*I1618</f>
        <v>33.599999999999994</v>
      </c>
    </row>
    <row r="1619" spans="1:11" ht="22.5" x14ac:dyDescent="0.25">
      <c r="A1619" s="6" t="s">
        <v>1854</v>
      </c>
      <c r="B1619" s="3" t="s">
        <v>1179</v>
      </c>
      <c r="C1619" s="3" t="s">
        <v>1180</v>
      </c>
      <c r="D1619" s="4">
        <v>4301031234</v>
      </c>
      <c r="E1619" s="3">
        <v>4680115883444</v>
      </c>
      <c r="F1619" s="5" t="s">
        <v>1181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si="199"/>
        <v>33.599999999999994</v>
      </c>
    </row>
    <row r="1620" spans="1:11" ht="22.5" x14ac:dyDescent="0.25">
      <c r="A1620" s="6" t="s">
        <v>1959</v>
      </c>
      <c r="B1620" s="3" t="s">
        <v>1179</v>
      </c>
      <c r="C1620" s="3" t="s">
        <v>1180</v>
      </c>
      <c r="D1620" s="4">
        <v>4301031234</v>
      </c>
      <c r="E1620" s="3">
        <v>4680115883444</v>
      </c>
      <c r="F1620" s="5" t="s">
        <v>1181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9"/>
        <v>33.599999999999994</v>
      </c>
    </row>
    <row r="1621" spans="1:11" ht="22.5" x14ac:dyDescent="0.25">
      <c r="A1621" s="6" t="s">
        <v>2542</v>
      </c>
      <c r="B1621" s="3" t="s">
        <v>1179</v>
      </c>
      <c r="C1621" s="3" t="s">
        <v>1180</v>
      </c>
      <c r="D1621" s="4">
        <v>4301031234</v>
      </c>
      <c r="E1621" s="3">
        <v>4680115883444</v>
      </c>
      <c r="F1621" s="5" t="s">
        <v>1181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199"/>
        <v>33.599999999999994</v>
      </c>
    </row>
    <row r="1622" spans="1:11" ht="22.5" x14ac:dyDescent="0.25">
      <c r="A1622" s="6" t="s">
        <v>2330</v>
      </c>
      <c r="B1622" s="3" t="s">
        <v>1179</v>
      </c>
      <c r="C1622" s="3" t="s">
        <v>1180</v>
      </c>
      <c r="D1622" s="4">
        <v>4301031234</v>
      </c>
      <c r="E1622" s="3">
        <v>4680115883444</v>
      </c>
      <c r="F1622" s="5" t="s">
        <v>1181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ref="K1622" si="215">J1622*I1622</f>
        <v>33.599999999999994</v>
      </c>
    </row>
    <row r="1623" spans="1:11" ht="22.5" x14ac:dyDescent="0.25">
      <c r="A1623" s="6" t="s">
        <v>1182</v>
      </c>
      <c r="B1623" s="3" t="s">
        <v>1179</v>
      </c>
      <c r="C1623" s="3" t="s">
        <v>1180</v>
      </c>
      <c r="D1623" s="4">
        <v>4301031234</v>
      </c>
      <c r="E1623" s="3">
        <v>4680115883444</v>
      </c>
      <c r="F1623" s="5" t="s">
        <v>1181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199"/>
        <v>33.599999999999994</v>
      </c>
    </row>
    <row r="1624" spans="1:11" ht="22.5" x14ac:dyDescent="0.25">
      <c r="A1624" s="6" t="s">
        <v>1402</v>
      </c>
      <c r="B1624" s="3" t="s">
        <v>1233</v>
      </c>
      <c r="C1624" s="3" t="s">
        <v>1234</v>
      </c>
      <c r="D1624" s="4">
        <v>4301020254</v>
      </c>
      <c r="E1624" s="3">
        <v>4680115881914</v>
      </c>
      <c r="F1624" s="5" t="s">
        <v>1235</v>
      </c>
      <c r="G1624" s="16"/>
      <c r="H1624" s="1">
        <f>VLOOKUP(E1624,[1]Лист1!$D:$M,10,0)</f>
        <v>90</v>
      </c>
      <c r="I1624" s="20" t="e">
        <f>VLOOKUP(B1624,'[2]Бланк заказа'!$A:$Y,8,0)</f>
        <v>#N/A</v>
      </c>
      <c r="J1624" s="1" t="e">
        <f>VLOOKUP(B1624,'[2]Бланк заказа'!$A:$Y,11,0)*1</f>
        <v>#N/A</v>
      </c>
      <c r="K1624" s="20" t="e">
        <f t="shared" si="199"/>
        <v>#N/A</v>
      </c>
    </row>
    <row r="1625" spans="1:11" ht="22.5" x14ac:dyDescent="0.25">
      <c r="A1625" s="6" t="s">
        <v>1236</v>
      </c>
      <c r="B1625" s="3" t="s">
        <v>1233</v>
      </c>
      <c r="C1625" s="3" t="s">
        <v>1234</v>
      </c>
      <c r="D1625" s="4">
        <v>4301020254</v>
      </c>
      <c r="E1625" s="3">
        <v>4680115881914</v>
      </c>
      <c r="F1625" s="5" t="s">
        <v>1235</v>
      </c>
      <c r="G1625" s="16"/>
      <c r="H1625" s="1">
        <f>VLOOKUP(E1625,[1]Лист1!$D:$M,10,0)</f>
        <v>90</v>
      </c>
      <c r="I1625" s="20" t="e">
        <f>VLOOKUP(B1625,'[2]Бланк заказа'!$A:$Y,8,0)</f>
        <v>#N/A</v>
      </c>
      <c r="J1625" s="1" t="e">
        <f>VLOOKUP(B1625,'[2]Бланк заказа'!$A:$Y,11,0)*1</f>
        <v>#N/A</v>
      </c>
      <c r="K1625" s="20" t="e">
        <f t="shared" si="199"/>
        <v>#N/A</v>
      </c>
    </row>
    <row r="1626" spans="1:11" ht="22.5" x14ac:dyDescent="0.25">
      <c r="A1626" s="6" t="s">
        <v>1243</v>
      </c>
      <c r="B1626" s="3" t="s">
        <v>1240</v>
      </c>
      <c r="C1626" s="3" t="s">
        <v>1241</v>
      </c>
      <c r="D1626" s="4">
        <v>4301031254</v>
      </c>
      <c r="E1626" s="3">
        <v>4680115883154</v>
      </c>
      <c r="F1626" s="5" t="s">
        <v>1242</v>
      </c>
      <c r="G1626" s="16"/>
      <c r="H1626" s="1">
        <f>VLOOKUP(E1626,[1]Лист1!$D:$M,10,0)</f>
        <v>45</v>
      </c>
      <c r="I1626" s="20">
        <f>VLOOKUP(B1626,'[2]Бланк заказа'!$A:$Y,8,0)</f>
        <v>1.68</v>
      </c>
      <c r="J1626" s="1">
        <f>VLOOKUP(B1626,'[2]Бланк заказа'!$A:$Y,11,0)*1</f>
        <v>18</v>
      </c>
      <c r="K1626" s="20">
        <f t="shared" si="199"/>
        <v>30.24</v>
      </c>
    </row>
    <row r="1627" spans="1:11" ht="22.5" x14ac:dyDescent="0.25">
      <c r="A1627" s="6" t="s">
        <v>1244</v>
      </c>
      <c r="B1627" s="3" t="s">
        <v>1245</v>
      </c>
      <c r="C1627" s="3" t="s">
        <v>1246</v>
      </c>
      <c r="D1627" s="4">
        <v>4301031256</v>
      </c>
      <c r="E1627" s="3">
        <v>4680115883178</v>
      </c>
      <c r="F1627" s="5" t="s">
        <v>1247</v>
      </c>
      <c r="G1627" s="16"/>
      <c r="H1627" s="1">
        <f>VLOOKUP(E1627,[1]Лист1!$D:$M,10,0)</f>
        <v>45</v>
      </c>
      <c r="I1627" s="20">
        <f>VLOOKUP(B1627,'[2]Бланк заказа'!$A:$Y,8,0)</f>
        <v>1.68</v>
      </c>
      <c r="J1627" s="1">
        <f>VLOOKUP(B1627,'[2]Бланк заказа'!$A:$Y,11,0)*1</f>
        <v>18</v>
      </c>
      <c r="K1627" s="20">
        <f t="shared" si="199"/>
        <v>30.24</v>
      </c>
    </row>
    <row r="1628" spans="1:11" ht="22.5" x14ac:dyDescent="0.25">
      <c r="A1628" s="6" t="s">
        <v>485</v>
      </c>
      <c r="B1628" s="3" t="s">
        <v>1086</v>
      </c>
      <c r="C1628" s="3" t="s">
        <v>1264</v>
      </c>
      <c r="D1628" s="4">
        <v>4301031244</v>
      </c>
      <c r="E1628" s="3">
        <v>4640242180595</v>
      </c>
      <c r="F1628" s="5" t="s">
        <v>1265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9"/>
        <v>50.400000000000006</v>
      </c>
    </row>
    <row r="1629" spans="1:11" ht="22.5" x14ac:dyDescent="0.25">
      <c r="A1629" s="6" t="s">
        <v>488</v>
      </c>
      <c r="B1629" s="3" t="s">
        <v>1086</v>
      </c>
      <c r="C1629" s="3" t="s">
        <v>1264</v>
      </c>
      <c r="D1629" s="4">
        <v>4301031244</v>
      </c>
      <c r="E1629" s="3">
        <v>4640242180595</v>
      </c>
      <c r="F1629" s="5" t="s">
        <v>1265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9"/>
        <v>50.400000000000006</v>
      </c>
    </row>
    <row r="1630" spans="1:11" ht="22.5" x14ac:dyDescent="0.25">
      <c r="A1630" s="6" t="s">
        <v>1204</v>
      </c>
      <c r="B1630" s="3" t="s">
        <v>1086</v>
      </c>
      <c r="C1630" s="3" t="s">
        <v>1264</v>
      </c>
      <c r="D1630" s="4">
        <v>4301031244</v>
      </c>
      <c r="E1630" s="3">
        <v>4640242180595</v>
      </c>
      <c r="F1630" s="5" t="s">
        <v>1265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9"/>
        <v>50.400000000000006</v>
      </c>
    </row>
    <row r="1631" spans="1:11" ht="22.5" x14ac:dyDescent="0.25">
      <c r="A1631" s="6" t="s">
        <v>753</v>
      </c>
      <c r="B1631" s="3" t="s">
        <v>1086</v>
      </c>
      <c r="C1631" s="3" t="s">
        <v>1264</v>
      </c>
      <c r="D1631" s="4">
        <v>4301031244</v>
      </c>
      <c r="E1631" s="3">
        <v>4640242180595</v>
      </c>
      <c r="F1631" s="5" t="s">
        <v>1265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9"/>
        <v>50.400000000000006</v>
      </c>
    </row>
    <row r="1632" spans="1:11" ht="22.5" x14ac:dyDescent="0.25">
      <c r="A1632" s="14" t="s">
        <v>448</v>
      </c>
      <c r="B1632" s="3" t="s">
        <v>1086</v>
      </c>
      <c r="C1632" s="3" t="s">
        <v>1264</v>
      </c>
      <c r="D1632" s="4">
        <v>4301031244</v>
      </c>
      <c r="E1632" s="3">
        <v>4640242180595</v>
      </c>
      <c r="F1632" s="5" t="s">
        <v>1265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9"/>
        <v>50.400000000000006</v>
      </c>
    </row>
    <row r="1633" spans="1:11" ht="22.5" x14ac:dyDescent="0.25">
      <c r="A1633" s="6" t="s">
        <v>613</v>
      </c>
      <c r="B1633" s="3" t="s">
        <v>1086</v>
      </c>
      <c r="C1633" s="3" t="s">
        <v>1264</v>
      </c>
      <c r="D1633" s="4">
        <v>4301031244</v>
      </c>
      <c r="E1633" s="3">
        <v>4640242180595</v>
      </c>
      <c r="F1633" s="5" t="s">
        <v>1265</v>
      </c>
      <c r="G1633" s="16" t="s">
        <v>1309</v>
      </c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199"/>
        <v>50.400000000000006</v>
      </c>
    </row>
    <row r="1634" spans="1:11" ht="22.5" x14ac:dyDescent="0.25">
      <c r="A1634" s="6" t="s">
        <v>1142</v>
      </c>
      <c r="B1634" s="3" t="s">
        <v>1086</v>
      </c>
      <c r="C1634" s="3" t="s">
        <v>1264</v>
      </c>
      <c r="D1634" s="4">
        <v>4301031244</v>
      </c>
      <c r="E1634" s="3">
        <v>4640242180595</v>
      </c>
      <c r="F1634" s="5" t="s">
        <v>1265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9"/>
        <v>50.400000000000006</v>
      </c>
    </row>
    <row r="1635" spans="1:11" ht="22.5" x14ac:dyDescent="0.25">
      <c r="A1635" s="6" t="s">
        <v>821</v>
      </c>
      <c r="B1635" s="3" t="s">
        <v>1086</v>
      </c>
      <c r="C1635" s="3" t="s">
        <v>1264</v>
      </c>
      <c r="D1635" s="4">
        <v>4301031244</v>
      </c>
      <c r="E1635" s="3">
        <v>4640242180595</v>
      </c>
      <c r="F1635" s="5" t="s">
        <v>1265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199"/>
        <v>50.400000000000006</v>
      </c>
    </row>
    <row r="1636" spans="1:11" ht="22.5" x14ac:dyDescent="0.25">
      <c r="A1636" s="6" t="s">
        <v>2172</v>
      </c>
      <c r="B1636" s="3" t="s">
        <v>1086</v>
      </c>
      <c r="C1636" s="3" t="s">
        <v>1264</v>
      </c>
      <c r="D1636" s="4">
        <v>4301031244</v>
      </c>
      <c r="E1636" s="3">
        <v>4640242180595</v>
      </c>
      <c r="F1636" s="5" t="s">
        <v>1265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ref="K1636" si="216">J1636*I1636</f>
        <v>50.400000000000006</v>
      </c>
    </row>
    <row r="1637" spans="1:11" ht="22.5" x14ac:dyDescent="0.25">
      <c r="A1637" s="6" t="s">
        <v>1872</v>
      </c>
      <c r="B1637" s="3" t="s">
        <v>1086</v>
      </c>
      <c r="C1637" s="3" t="s">
        <v>1264</v>
      </c>
      <c r="D1637" s="4">
        <v>4301031244</v>
      </c>
      <c r="E1637" s="3">
        <v>4640242180595</v>
      </c>
      <c r="F1637" s="5" t="s">
        <v>1265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199"/>
        <v>50.400000000000006</v>
      </c>
    </row>
    <row r="1638" spans="1:11" ht="22.5" x14ac:dyDescent="0.25">
      <c r="A1638" s="6" t="s">
        <v>2327</v>
      </c>
      <c r="B1638" s="3" t="s">
        <v>1086</v>
      </c>
      <c r="C1638" s="3" t="s">
        <v>1264</v>
      </c>
      <c r="D1638" s="4">
        <v>4301031244</v>
      </c>
      <c r="E1638" s="3">
        <v>4640242180595</v>
      </c>
      <c r="F1638" s="5" t="s">
        <v>1265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7">J1638*I1638</f>
        <v>50.400000000000006</v>
      </c>
    </row>
    <row r="1639" spans="1:11" ht="22.5" x14ac:dyDescent="0.25">
      <c r="A1639" s="6" t="s">
        <v>1468</v>
      </c>
      <c r="B1639" s="3" t="s">
        <v>1086</v>
      </c>
      <c r="C1639" s="3" t="s">
        <v>1264</v>
      </c>
      <c r="D1639" s="4">
        <v>4301031244</v>
      </c>
      <c r="E1639" s="3">
        <v>4640242180595</v>
      </c>
      <c r="F1639" s="5" t="s">
        <v>1265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199"/>
        <v>50.400000000000006</v>
      </c>
    </row>
    <row r="1640" spans="1:11" ht="22.5" x14ac:dyDescent="0.25">
      <c r="A1640" s="6" t="s">
        <v>1746</v>
      </c>
      <c r="B1640" s="3" t="s">
        <v>1086</v>
      </c>
      <c r="C1640" s="3" t="s">
        <v>1264</v>
      </c>
      <c r="D1640" s="4">
        <v>4301031244</v>
      </c>
      <c r="E1640" s="3">
        <v>4640242180595</v>
      </c>
      <c r="F1640" s="5" t="s">
        <v>1265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9"/>
        <v>50.400000000000006</v>
      </c>
    </row>
    <row r="1641" spans="1:11" ht="22.5" x14ac:dyDescent="0.25">
      <c r="A1641" s="6" t="s">
        <v>1384</v>
      </c>
      <c r="B1641" s="3" t="s">
        <v>1086</v>
      </c>
      <c r="C1641" s="3" t="s">
        <v>1264</v>
      </c>
      <c r="D1641" s="4">
        <v>4301031244</v>
      </c>
      <c r="E1641" s="3">
        <v>4640242180595</v>
      </c>
      <c r="F1641" s="5" t="s">
        <v>1265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199"/>
        <v>50.400000000000006</v>
      </c>
    </row>
    <row r="1642" spans="1:11" ht="22.5" x14ac:dyDescent="0.25">
      <c r="A1642" s="6" t="s">
        <v>2408</v>
      </c>
      <c r="B1642" s="3" t="s">
        <v>1086</v>
      </c>
      <c r="C1642" s="3" t="s">
        <v>1264</v>
      </c>
      <c r="D1642" s="4">
        <v>4301031244</v>
      </c>
      <c r="E1642" s="3">
        <v>4640242180595</v>
      </c>
      <c r="F1642" s="5" t="s">
        <v>1265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ref="K1642" si="218">J1642*I1642</f>
        <v>50.400000000000006</v>
      </c>
    </row>
    <row r="1643" spans="1:11" ht="22.5" x14ac:dyDescent="0.25">
      <c r="A1643" s="6" t="s">
        <v>2031</v>
      </c>
      <c r="B1643" s="3" t="s">
        <v>1086</v>
      </c>
      <c r="C1643" s="3" t="s">
        <v>1264</v>
      </c>
      <c r="D1643" s="4">
        <v>4301031244</v>
      </c>
      <c r="E1643" s="3">
        <v>4640242180595</v>
      </c>
      <c r="F1643" s="5" t="s">
        <v>1265</v>
      </c>
      <c r="G1643" s="16" t="s">
        <v>1318</v>
      </c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199"/>
        <v>50.400000000000006</v>
      </c>
    </row>
    <row r="1644" spans="1:11" ht="22.5" x14ac:dyDescent="0.25">
      <c r="A1644" s="6" t="s">
        <v>2380</v>
      </c>
      <c r="B1644" s="3" t="s">
        <v>1086</v>
      </c>
      <c r="C1644" s="3" t="s">
        <v>1264</v>
      </c>
      <c r="D1644" s="4">
        <v>4301031244</v>
      </c>
      <c r="E1644" s="3">
        <v>4640242180595</v>
      </c>
      <c r="F1644" s="5" t="s">
        <v>1265</v>
      </c>
      <c r="G1644" s="16" t="s">
        <v>1705</v>
      </c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19">J1644*I1644</f>
        <v>50.400000000000006</v>
      </c>
    </row>
    <row r="1645" spans="1:11" ht="22.5" x14ac:dyDescent="0.25">
      <c r="A1645" s="6" t="s">
        <v>521</v>
      </c>
      <c r="B1645" s="3" t="s">
        <v>1086</v>
      </c>
      <c r="C1645" s="3" t="s">
        <v>1264</v>
      </c>
      <c r="D1645" s="4">
        <v>4301031244</v>
      </c>
      <c r="E1645" s="3">
        <v>4640242180595</v>
      </c>
      <c r="F1645" s="5" t="s">
        <v>1265</v>
      </c>
      <c r="G1645" s="16" t="s">
        <v>1266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199"/>
        <v>50.400000000000006</v>
      </c>
    </row>
    <row r="1646" spans="1:11" ht="22.5" x14ac:dyDescent="0.25">
      <c r="A1646" s="6" t="s">
        <v>1275</v>
      </c>
      <c r="B1646" s="3" t="s">
        <v>427</v>
      </c>
      <c r="C1646" s="3" t="s">
        <v>1274</v>
      </c>
      <c r="D1646" s="4">
        <v>4301011585</v>
      </c>
      <c r="E1646" s="3">
        <v>4640242180441</v>
      </c>
      <c r="F1646" s="5" t="s">
        <v>1275</v>
      </c>
      <c r="G1646" s="16"/>
      <c r="H1646" s="1">
        <f>VLOOKUP(E1646,[1]Лист1!$D:$M,10,0)</f>
        <v>50</v>
      </c>
      <c r="I1646" s="20">
        <f>VLOOKUP(B1646,'[2]Бланк заказа'!$A:$Y,8,0)</f>
        <v>12</v>
      </c>
      <c r="J1646" s="1">
        <f>VLOOKUP(B1646,'[2]Бланк заказа'!$A:$Y,11,0)*1</f>
        <v>8</v>
      </c>
      <c r="K1646" s="20">
        <f t="shared" si="199"/>
        <v>96</v>
      </c>
    </row>
    <row r="1647" spans="1:11" ht="22.5" x14ac:dyDescent="0.25">
      <c r="A1647" s="6" t="s">
        <v>1516</v>
      </c>
      <c r="B1647" s="3" t="s">
        <v>427</v>
      </c>
      <c r="C1647" s="3" t="s">
        <v>1274</v>
      </c>
      <c r="D1647" s="4">
        <v>4301011585</v>
      </c>
      <c r="E1647" s="3">
        <v>4640242180441</v>
      </c>
      <c r="F1647" s="5" t="s">
        <v>1275</v>
      </c>
      <c r="G1647" s="16"/>
      <c r="H1647" s="1">
        <f>VLOOKUP(E1647,[1]Лист1!$D:$M,10,0)</f>
        <v>50</v>
      </c>
      <c r="I1647" s="20">
        <f>VLOOKUP(B1647,'[2]Бланк заказа'!$A:$Y,8,0)</f>
        <v>12</v>
      </c>
      <c r="J1647" s="1">
        <f>VLOOKUP(B1647,'[2]Бланк заказа'!$A:$Y,11,0)*1</f>
        <v>8</v>
      </c>
      <c r="K1647" s="20">
        <f t="shared" si="199"/>
        <v>96</v>
      </c>
    </row>
    <row r="1648" spans="1:11" ht="22.5" x14ac:dyDescent="0.25">
      <c r="A1648" s="6" t="s">
        <v>1273</v>
      </c>
      <c r="B1648" s="3" t="s">
        <v>427</v>
      </c>
      <c r="C1648" s="3" t="s">
        <v>1274</v>
      </c>
      <c r="D1648" s="4">
        <v>4301011585</v>
      </c>
      <c r="E1648" s="3">
        <v>4640242180441</v>
      </c>
      <c r="F1648" s="5" t="s">
        <v>1275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199"/>
        <v>96</v>
      </c>
    </row>
    <row r="1649" spans="1:11" x14ac:dyDescent="0.25">
      <c r="A1649" s="6" t="s">
        <v>1277</v>
      </c>
      <c r="B1649" s="3" t="s">
        <v>435</v>
      </c>
      <c r="C1649" s="3" t="s">
        <v>1278</v>
      </c>
      <c r="D1649" s="4">
        <v>4301051510</v>
      </c>
      <c r="E1649" s="3">
        <v>4640242180540</v>
      </c>
      <c r="F1649" s="5" t="s">
        <v>1279</v>
      </c>
      <c r="G1649" s="16"/>
      <c r="H1649" s="1">
        <f>VLOOKUP(E1649,[1]Лист1!$D:$M,10,0)</f>
        <v>30</v>
      </c>
      <c r="I1649" s="20">
        <f>VLOOKUP(B1649,'[2]Бланк заказа'!$A:$Y,8,0)</f>
        <v>7.8</v>
      </c>
      <c r="J1649" s="1">
        <f>VLOOKUP(B1649,'[2]Бланк заказа'!$A:$Y,11,0)*1</f>
        <v>8</v>
      </c>
      <c r="K1649" s="20">
        <f t="shared" si="199"/>
        <v>62.4</v>
      </c>
    </row>
    <row r="1650" spans="1:11" x14ac:dyDescent="0.25">
      <c r="A1650" s="6" t="s">
        <v>1280</v>
      </c>
      <c r="B1650" s="3" t="s">
        <v>436</v>
      </c>
      <c r="C1650" s="3" t="s">
        <v>1281</v>
      </c>
      <c r="D1650" s="4">
        <v>4301051508</v>
      </c>
      <c r="E1650" s="3">
        <v>4640242180557</v>
      </c>
      <c r="F1650" s="5" t="s">
        <v>1282</v>
      </c>
      <c r="G1650" s="16"/>
      <c r="H1650" s="1">
        <f>VLOOKUP(E1650,[1]Лист1!$D:$M,10,0)</f>
        <v>30</v>
      </c>
      <c r="I1650" s="20" t="e">
        <f>VLOOKUP(B1650,'[2]Бланк заказа'!$A:$Y,8,0)</f>
        <v>#N/A</v>
      </c>
      <c r="J1650" s="1" t="e">
        <f>VLOOKUP(B1650,'[2]Бланк заказа'!$A:$Y,11,0)*1</f>
        <v>#N/A</v>
      </c>
      <c r="K1650" s="20" t="e">
        <f t="shared" si="199"/>
        <v>#N/A</v>
      </c>
    </row>
    <row r="1651" spans="1:11" ht="22.5" x14ac:dyDescent="0.25">
      <c r="A1651" s="6" t="s">
        <v>2680</v>
      </c>
      <c r="B1651" s="3" t="s">
        <v>1298</v>
      </c>
      <c r="C1651" s="3" t="s">
        <v>2679</v>
      </c>
      <c r="D1651" s="4">
        <v>4301011873</v>
      </c>
      <c r="E1651" s="3">
        <v>4680115881907</v>
      </c>
      <c r="F1651" s="5" t="s">
        <v>1297</v>
      </c>
      <c r="G1651" s="16"/>
      <c r="H1651" s="1">
        <f>VLOOKUP(E1651,[1]Лист1!$D:$M,10,0)</f>
        <v>60</v>
      </c>
      <c r="I1651" s="20">
        <f>VLOOKUP(B1651,'[2]Бланк заказа'!$A:$Y,8,0)</f>
        <v>10.8</v>
      </c>
      <c r="J1651" s="1">
        <f>VLOOKUP(B1651,'[2]Бланк заказа'!$A:$Y,11,0)*1</f>
        <v>8</v>
      </c>
      <c r="K1651" s="20">
        <f t="shared" ref="K1651" si="220">J1651*I1651</f>
        <v>86.4</v>
      </c>
    </row>
    <row r="1652" spans="1:11" ht="22.5" x14ac:dyDescent="0.25">
      <c r="A1652" s="6" t="s">
        <v>1297</v>
      </c>
      <c r="B1652" s="3" t="s">
        <v>1298</v>
      </c>
      <c r="C1652" s="3" t="s">
        <v>2679</v>
      </c>
      <c r="D1652" s="4">
        <v>4301011873</v>
      </c>
      <c r="E1652" s="3">
        <v>4680115881907</v>
      </c>
      <c r="F1652" s="5" t="s">
        <v>1297</v>
      </c>
      <c r="G1652" s="16"/>
      <c r="H1652" s="1">
        <f>VLOOKUP(E1652,[1]Лист1!$D:$M,10,0)</f>
        <v>60</v>
      </c>
      <c r="I1652" s="20">
        <f>VLOOKUP(B1652,'[2]Бланк заказа'!$A:$Y,8,0)</f>
        <v>10.8</v>
      </c>
      <c r="J1652" s="1">
        <f>VLOOKUP(B1652,'[2]Бланк заказа'!$A:$Y,11,0)*1</f>
        <v>8</v>
      </c>
      <c r="K1652" s="20">
        <f t="shared" si="199"/>
        <v>86.4</v>
      </c>
    </row>
    <row r="1653" spans="1:11" ht="22.5" x14ac:dyDescent="0.25">
      <c r="A1653" s="6" t="s">
        <v>1323</v>
      </c>
      <c r="B1653" s="3" t="s">
        <v>1324</v>
      </c>
      <c r="C1653" s="3" t="s">
        <v>1325</v>
      </c>
      <c r="D1653" s="4">
        <v>4301031255</v>
      </c>
      <c r="E1653" s="3">
        <v>4680115883185</v>
      </c>
      <c r="F1653" s="5" t="s">
        <v>1326</v>
      </c>
      <c r="G1653" s="16"/>
      <c r="H1653" s="1">
        <f>VLOOKUP(E1653,[1]Лист1!$D:$M,10,0)</f>
        <v>45</v>
      </c>
      <c r="I1653" s="20">
        <f>VLOOKUP(B1653,'[2]Бланк заказа'!$A:$Y,8,0)</f>
        <v>1.68</v>
      </c>
      <c r="J1653" s="1">
        <f>VLOOKUP(B1653,'[2]Бланк заказа'!$A:$Y,11,0)*1</f>
        <v>18</v>
      </c>
      <c r="K1653" s="20">
        <f t="shared" si="199"/>
        <v>30.24</v>
      </c>
    </row>
    <row r="1654" spans="1:11" ht="22.5" x14ac:dyDescent="0.25">
      <c r="A1654" s="6" t="s">
        <v>1978</v>
      </c>
      <c r="B1654" s="3" t="s">
        <v>1340</v>
      </c>
      <c r="C1654" s="3" t="s">
        <v>1866</v>
      </c>
      <c r="D1654" s="4">
        <v>4301011775</v>
      </c>
      <c r="E1654" s="3">
        <v>4607091389999</v>
      </c>
      <c r="F1654" s="5" t="s">
        <v>1341</v>
      </c>
      <c r="G1654" s="16"/>
      <c r="H1654" s="1">
        <f>VLOOKUP(E1654,[1]Лист1!$D:$M,10,0)</f>
        <v>55</v>
      </c>
      <c r="I1654" s="20" t="e">
        <f>VLOOKUP(B1654,'[2]Бланк заказа'!$A:$Y,8,0)</f>
        <v>#N/A</v>
      </c>
      <c r="J1654" s="1" t="e">
        <f>VLOOKUP(B1654,'[2]Бланк заказа'!$A:$Y,11,0)*1</f>
        <v>#N/A</v>
      </c>
      <c r="K1654" s="20" t="e">
        <f t="shared" si="199"/>
        <v>#N/A</v>
      </c>
    </row>
    <row r="1655" spans="1:11" ht="22.5" x14ac:dyDescent="0.25">
      <c r="A1655" s="6" t="s">
        <v>1339</v>
      </c>
      <c r="B1655" s="3" t="s">
        <v>1340</v>
      </c>
      <c r="C1655" s="3" t="s">
        <v>1866</v>
      </c>
      <c r="D1655" s="4">
        <v>4301011775</v>
      </c>
      <c r="E1655" s="3">
        <v>4607091389999</v>
      </c>
      <c r="F1655" s="5" t="s">
        <v>1341</v>
      </c>
      <c r="G1655" s="16"/>
      <c r="H1655" s="1">
        <f>VLOOKUP(E1655,[1]Лист1!$D:$M,10,0)</f>
        <v>55</v>
      </c>
      <c r="I1655" s="20" t="e">
        <f>VLOOKUP(B1655,'[2]Бланк заказа'!$A:$Y,8,0)</f>
        <v>#N/A</v>
      </c>
      <c r="J1655" s="1" t="e">
        <f>VLOOKUP(B1655,'[2]Бланк заказа'!$A:$Y,11,0)*1</f>
        <v>#N/A</v>
      </c>
      <c r="K1655" s="20" t="e">
        <f t="shared" ref="K1655:K1724" si="221">J1655*I1655</f>
        <v>#N/A</v>
      </c>
    </row>
    <row r="1656" spans="1:11" x14ac:dyDescent="0.25">
      <c r="A1656" s="6" t="s">
        <v>1393</v>
      </c>
      <c r="B1656" s="3" t="s">
        <v>1342</v>
      </c>
      <c r="C1656" s="3" t="s">
        <v>2587</v>
      </c>
      <c r="D1656" s="4">
        <v>4301020385</v>
      </c>
      <c r="E1656" s="3">
        <v>4680115880054</v>
      </c>
      <c r="F1656" s="5" t="s">
        <v>2588</v>
      </c>
      <c r="G1656" s="16"/>
      <c r="H1656" s="1">
        <f>VLOOKUP(E1656,[1]Лист1!$D:$M,10,0)</f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21"/>
        <v>43.2</v>
      </c>
    </row>
    <row r="1657" spans="1:11" x14ac:dyDescent="0.25">
      <c r="A1657" s="6" t="s">
        <v>2048</v>
      </c>
      <c r="B1657" s="3" t="s">
        <v>1342</v>
      </c>
      <c r="C1657" s="3" t="s">
        <v>2587</v>
      </c>
      <c r="D1657" s="4">
        <v>4301020385</v>
      </c>
      <c r="E1657" s="3">
        <v>4680115880054</v>
      </c>
      <c r="F1657" s="5" t="s">
        <v>2588</v>
      </c>
      <c r="G1657" s="16"/>
      <c r="H1657" s="1">
        <f>VLOOKUP(E1657,[1]Лист1!$D:$M,10,0)</f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21"/>
        <v>43.2</v>
      </c>
    </row>
    <row r="1658" spans="1:11" x14ac:dyDescent="0.25">
      <c r="A1658" s="6" t="s">
        <v>1753</v>
      </c>
      <c r="B1658" s="3" t="s">
        <v>1342</v>
      </c>
      <c r="C1658" s="3" t="s">
        <v>2587</v>
      </c>
      <c r="D1658" s="4">
        <v>4301020385</v>
      </c>
      <c r="E1658" s="3">
        <v>4680115880054</v>
      </c>
      <c r="F1658" s="5" t="s">
        <v>2588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1"/>
        <v>43.2</v>
      </c>
    </row>
    <row r="1659" spans="1:11" x14ac:dyDescent="0.25">
      <c r="A1659" s="6" t="s">
        <v>1545</v>
      </c>
      <c r="B1659" s="3" t="s">
        <v>1342</v>
      </c>
      <c r="C1659" s="3" t="s">
        <v>2587</v>
      </c>
      <c r="D1659" s="4">
        <v>4301020385</v>
      </c>
      <c r="E1659" s="3">
        <v>4680115880054</v>
      </c>
      <c r="F1659" s="5" t="s">
        <v>2588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1"/>
        <v>43.2</v>
      </c>
    </row>
    <row r="1660" spans="1:11" x14ac:dyDescent="0.25">
      <c r="A1660" s="6" t="s">
        <v>1495</v>
      </c>
      <c r="B1660" s="3" t="s">
        <v>1342</v>
      </c>
      <c r="C1660" s="3" t="s">
        <v>2587</v>
      </c>
      <c r="D1660" s="4">
        <v>4301020385</v>
      </c>
      <c r="E1660" s="3">
        <v>4680115880054</v>
      </c>
      <c r="F1660" s="5" t="s">
        <v>2588</v>
      </c>
      <c r="G1660" s="16"/>
      <c r="H1660" s="1"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1"/>
        <v>43.2</v>
      </c>
    </row>
    <row r="1661" spans="1:11" x14ac:dyDescent="0.25">
      <c r="A1661" s="6" t="s">
        <v>1343</v>
      </c>
      <c r="B1661" s="3" t="s">
        <v>1342</v>
      </c>
      <c r="C1661" s="3" t="s">
        <v>2587</v>
      </c>
      <c r="D1661" s="4">
        <v>4301020385</v>
      </c>
      <c r="E1661" s="3">
        <v>4680115880054</v>
      </c>
      <c r="F1661" s="5" t="s">
        <v>2588</v>
      </c>
      <c r="G1661" s="16" t="s">
        <v>1344</v>
      </c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1"/>
        <v>43.2</v>
      </c>
    </row>
    <row r="1662" spans="1:11" ht="22.5" x14ac:dyDescent="0.25">
      <c r="A1662" s="6" t="s">
        <v>1376</v>
      </c>
      <c r="B1662" s="3" t="s">
        <v>1377</v>
      </c>
      <c r="C1662" s="3" t="s">
        <v>1378</v>
      </c>
      <c r="D1662" s="4">
        <v>4301020214</v>
      </c>
      <c r="E1662" s="3">
        <v>4607091389388</v>
      </c>
      <c r="F1662" s="5" t="s">
        <v>1379</v>
      </c>
      <c r="G1662" s="16"/>
      <c r="H1662" s="1">
        <f>VLOOKUP(E1662,[1]Лист1!$D:$M,10,0)</f>
        <v>35</v>
      </c>
      <c r="I1662" s="20" t="e">
        <f>VLOOKUP(B1662,'[2]Бланк заказа'!$A:$Y,8,0)</f>
        <v>#N/A</v>
      </c>
      <c r="J1662" s="1" t="e">
        <f>VLOOKUP(B1662,'[2]Бланк заказа'!$A:$Y,11,0)*1</f>
        <v>#N/A</v>
      </c>
      <c r="K1662" s="20" t="e">
        <f t="shared" si="221"/>
        <v>#N/A</v>
      </c>
    </row>
    <row r="1663" spans="1:11" ht="22.5" x14ac:dyDescent="0.25">
      <c r="A1663" s="6" t="s">
        <v>2046</v>
      </c>
      <c r="B1663" s="3" t="s">
        <v>1388</v>
      </c>
      <c r="C1663" s="3" t="s">
        <v>1389</v>
      </c>
      <c r="D1663" s="4">
        <v>4301011565</v>
      </c>
      <c r="E1663" s="3">
        <v>4680115882539</v>
      </c>
      <c r="F1663" s="5" t="s">
        <v>1390</v>
      </c>
      <c r="G1663" s="16"/>
      <c r="H1663" s="1">
        <f>VLOOKUP(E1663,[1]Лист1!$D:$M,10,0)</f>
        <v>50</v>
      </c>
      <c r="I1663" s="20">
        <f>VLOOKUP(B1663,'[2]Бланк заказа'!$A:$Y,8,0)</f>
        <v>3.7</v>
      </c>
      <c r="J1663" s="1">
        <f>VLOOKUP(B1663,'[2]Бланк заказа'!$A:$Y,11,0)*1</f>
        <v>12</v>
      </c>
      <c r="K1663" s="20">
        <f t="shared" si="221"/>
        <v>44.400000000000006</v>
      </c>
    </row>
    <row r="1664" spans="1:11" ht="22.5" x14ac:dyDescent="0.25">
      <c r="A1664" s="6" t="s">
        <v>1387</v>
      </c>
      <c r="B1664" s="3" t="s">
        <v>1388</v>
      </c>
      <c r="C1664" s="3" t="s">
        <v>1389</v>
      </c>
      <c r="D1664" s="4">
        <v>4301011565</v>
      </c>
      <c r="E1664" s="3">
        <v>4680115882539</v>
      </c>
      <c r="F1664" s="5" t="s">
        <v>1390</v>
      </c>
      <c r="G1664" s="16"/>
      <c r="H1664" s="1">
        <f>VLOOKUP(E1664,[1]Лист1!$D:$M,10,0)</f>
        <v>50</v>
      </c>
      <c r="I1664" s="20">
        <f>VLOOKUP(B1664,'[2]Бланк заказа'!$A:$Y,8,0)</f>
        <v>3.7</v>
      </c>
      <c r="J1664" s="1">
        <f>VLOOKUP(B1664,'[2]Бланк заказа'!$A:$Y,11,0)*1</f>
        <v>12</v>
      </c>
      <c r="K1664" s="20">
        <f t="shared" si="221"/>
        <v>44.400000000000006</v>
      </c>
    </row>
    <row r="1665" spans="1:11" ht="22.5" x14ac:dyDescent="0.25">
      <c r="A1665" s="6" t="s">
        <v>2047</v>
      </c>
      <c r="B1665" s="3" t="s">
        <v>1395</v>
      </c>
      <c r="C1665" s="3" t="s">
        <v>1396</v>
      </c>
      <c r="D1665" s="4">
        <v>4301060351</v>
      </c>
      <c r="E1665" s="3">
        <v>4680115881464</v>
      </c>
      <c r="F1665" s="5" t="s">
        <v>1397</v>
      </c>
      <c r="G1665" s="16"/>
      <c r="H1665" s="1">
        <f>VLOOKUP(E1665,[1]Лист1!$D:$M,10,0)</f>
        <v>30</v>
      </c>
      <c r="I1665" s="20">
        <f>VLOOKUP(B1665,'[2]Бланк заказа'!$A:$Y,8,0)</f>
        <v>2.4</v>
      </c>
      <c r="J1665" s="1">
        <f>VLOOKUP(B1665,'[2]Бланк заказа'!$A:$Y,11,0)*1</f>
        <v>12</v>
      </c>
      <c r="K1665" s="20">
        <f t="shared" si="221"/>
        <v>28.799999999999997</v>
      </c>
    </row>
    <row r="1666" spans="1:11" ht="22.5" x14ac:dyDescent="0.25">
      <c r="A1666" s="6" t="s">
        <v>1394</v>
      </c>
      <c r="B1666" s="3" t="s">
        <v>1395</v>
      </c>
      <c r="C1666" s="3" t="s">
        <v>1396</v>
      </c>
      <c r="D1666" s="4">
        <v>4301060351</v>
      </c>
      <c r="E1666" s="3">
        <v>4680115881464</v>
      </c>
      <c r="F1666" s="5" t="s">
        <v>1397</v>
      </c>
      <c r="G1666" s="16"/>
      <c r="H1666" s="1">
        <f>VLOOKUP(E1666,[1]Лист1!$D:$M,10,0)</f>
        <v>30</v>
      </c>
      <c r="I1666" s="20">
        <f>VLOOKUP(B1666,'[2]Бланк заказа'!$A:$Y,8,0)</f>
        <v>2.4</v>
      </c>
      <c r="J1666" s="1">
        <f>VLOOKUP(B1666,'[2]Бланк заказа'!$A:$Y,11,0)*1</f>
        <v>12</v>
      </c>
      <c r="K1666" s="20">
        <f t="shared" si="221"/>
        <v>28.799999999999997</v>
      </c>
    </row>
    <row r="1667" spans="1:11" ht="22.5" x14ac:dyDescent="0.25">
      <c r="A1667" s="6" t="s">
        <v>1987</v>
      </c>
      <c r="B1667" s="3" t="s">
        <v>1408</v>
      </c>
      <c r="C1667" s="3" t="s">
        <v>1409</v>
      </c>
      <c r="D1667" s="4">
        <v>4301011433</v>
      </c>
      <c r="E1667" s="3">
        <v>4680115882638</v>
      </c>
      <c r="F1667" s="5" t="s">
        <v>1410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si="221"/>
        <v>48</v>
      </c>
    </row>
    <row r="1668" spans="1:11" ht="22.5" x14ac:dyDescent="0.25">
      <c r="A1668" s="6" t="s">
        <v>2372</v>
      </c>
      <c r="B1668" s="3" t="s">
        <v>1408</v>
      </c>
      <c r="C1668" s="3" t="s">
        <v>1409</v>
      </c>
      <c r="D1668" s="4">
        <v>4301011433</v>
      </c>
      <c r="E1668" s="3">
        <v>4680115882638</v>
      </c>
      <c r="F1668" s="5" t="s">
        <v>1410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ref="K1668" si="222">J1668*I1668</f>
        <v>48</v>
      </c>
    </row>
    <row r="1669" spans="1:11" ht="22.5" x14ac:dyDescent="0.25">
      <c r="A1669" s="6" t="s">
        <v>2096</v>
      </c>
      <c r="B1669" s="3" t="s">
        <v>1408</v>
      </c>
      <c r="C1669" s="3" t="s">
        <v>1409</v>
      </c>
      <c r="D1669" s="4">
        <v>4301011433</v>
      </c>
      <c r="E1669" s="3">
        <v>4680115882638</v>
      </c>
      <c r="F1669" s="5" t="s">
        <v>1410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1"/>
        <v>48</v>
      </c>
    </row>
    <row r="1670" spans="1:11" ht="22.5" x14ac:dyDescent="0.25">
      <c r="A1670" s="6" t="s">
        <v>2281</v>
      </c>
      <c r="B1670" s="3" t="s">
        <v>1408</v>
      </c>
      <c r="C1670" s="3" t="s">
        <v>1409</v>
      </c>
      <c r="D1670" s="4">
        <v>4301011433</v>
      </c>
      <c r="E1670" s="3">
        <v>4680115882638</v>
      </c>
      <c r="F1670" s="5" t="s">
        <v>1410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3">J1670*I1670</f>
        <v>48</v>
      </c>
    </row>
    <row r="1671" spans="1:11" ht="22.5" x14ac:dyDescent="0.25">
      <c r="A1671" s="6" t="s">
        <v>1407</v>
      </c>
      <c r="B1671" s="3" t="s">
        <v>1408</v>
      </c>
      <c r="C1671" s="3" t="s">
        <v>1409</v>
      </c>
      <c r="D1671" s="4">
        <v>4301011433</v>
      </c>
      <c r="E1671" s="3">
        <v>4680115882638</v>
      </c>
      <c r="F1671" s="5" t="s">
        <v>1410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1"/>
        <v>48</v>
      </c>
    </row>
    <row r="1672" spans="1:11" ht="22.5" x14ac:dyDescent="0.25">
      <c r="A1672" s="6" t="s">
        <v>1411</v>
      </c>
      <c r="B1672" s="3" t="s">
        <v>1412</v>
      </c>
      <c r="C1672" s="3" t="s">
        <v>1413</v>
      </c>
      <c r="D1672" s="4">
        <v>4301011573</v>
      </c>
      <c r="E1672" s="3">
        <v>4680115881938</v>
      </c>
      <c r="F1672" s="5" t="s">
        <v>1414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si="221"/>
        <v>48</v>
      </c>
    </row>
    <row r="1673" spans="1:11" ht="22.5" x14ac:dyDescent="0.25">
      <c r="A1673" s="6" t="s">
        <v>1423</v>
      </c>
      <c r="B1673" s="3" t="s">
        <v>1424</v>
      </c>
      <c r="C1673" s="3" t="s">
        <v>1425</v>
      </c>
      <c r="D1673" s="4">
        <v>4301060356</v>
      </c>
      <c r="E1673" s="3">
        <v>4680115882652</v>
      </c>
      <c r="F1673" s="5" t="s">
        <v>1426</v>
      </c>
      <c r="G1673" s="16"/>
      <c r="H1673" s="1">
        <f>VLOOKUP(E1673,[1]Лист1!$D:$M,10,0)</f>
        <v>40</v>
      </c>
      <c r="I1673" s="20">
        <f>VLOOKUP(B1673,'[2]Бланк заказа'!$A:$Y,8,0)</f>
        <v>1.98</v>
      </c>
      <c r="J1673" s="1">
        <f>VLOOKUP(B1673,'[2]Бланк заказа'!$A:$Y,11,0)*1</f>
        <v>12</v>
      </c>
      <c r="K1673" s="20">
        <f t="shared" si="221"/>
        <v>23.759999999999998</v>
      </c>
    </row>
    <row r="1674" spans="1:11" x14ac:dyDescent="0.25">
      <c r="A1674" s="6" t="s">
        <v>1427</v>
      </c>
      <c r="B1674" s="3" t="s">
        <v>1428</v>
      </c>
      <c r="C1674" s="3" t="s">
        <v>1429</v>
      </c>
      <c r="D1674" s="4">
        <v>4301051480</v>
      </c>
      <c r="E1674" s="3">
        <v>4680115882645</v>
      </c>
      <c r="F1674" s="5" t="s">
        <v>1430</v>
      </c>
      <c r="G1674" s="16"/>
      <c r="H1674" s="1">
        <f>VLOOKUP(E1674,[1]Лист1!$D:$M,10,0)</f>
        <v>40</v>
      </c>
      <c r="I1674" s="20">
        <f>VLOOKUP(B1674,'[2]Бланк заказа'!$A:$Y,8,0)</f>
        <v>1.8</v>
      </c>
      <c r="J1674" s="1">
        <f>VLOOKUP(B1674,'[2]Бланк заказа'!$A:$Y,11,0)*1</f>
        <v>12</v>
      </c>
      <c r="K1674" s="20">
        <f t="shared" si="221"/>
        <v>21.6</v>
      </c>
    </row>
    <row r="1675" spans="1:11" ht="22.5" x14ac:dyDescent="0.25">
      <c r="A1675" s="6" t="s">
        <v>2217</v>
      </c>
      <c r="B1675" s="3" t="s">
        <v>1589</v>
      </c>
      <c r="C1675" s="3" t="s">
        <v>2635</v>
      </c>
      <c r="D1675" s="4">
        <v>4301020346</v>
      </c>
      <c r="E1675" s="3">
        <v>4680115882775</v>
      </c>
      <c r="F1675" s="5" t="s">
        <v>1590</v>
      </c>
      <c r="G1675" s="16"/>
      <c r="H1675" s="1">
        <f>VLOOKUP(E1675,[1]Лист1!$D:$M,10,0)</f>
        <v>50</v>
      </c>
      <c r="I1675" s="20">
        <f>VLOOKUP(B1675,'[2]Бланк заказа'!$A:$Y,8,0)</f>
        <v>2.4</v>
      </c>
      <c r="J1675" s="1">
        <f>VLOOKUP(B1675,'[2]Бланк заказа'!$A:$Y,11,0)*1</f>
        <v>18</v>
      </c>
      <c r="K1675" s="20">
        <f t="shared" ref="K1675" si="224">J1675*I1675</f>
        <v>43.199999999999996</v>
      </c>
    </row>
    <row r="1676" spans="1:11" ht="22.5" x14ac:dyDescent="0.25">
      <c r="A1676" s="6" t="s">
        <v>1588</v>
      </c>
      <c r="B1676" s="3" t="s">
        <v>1589</v>
      </c>
      <c r="C1676" s="3" t="s">
        <v>2635</v>
      </c>
      <c r="D1676" s="4">
        <v>4301020346</v>
      </c>
      <c r="E1676" s="3">
        <v>4680115882775</v>
      </c>
      <c r="F1676" s="5" t="s">
        <v>1590</v>
      </c>
      <c r="G1676" s="16"/>
      <c r="H1676" s="1">
        <f>VLOOKUP(E1676,[1]Лист1!$D:$M,10,0)</f>
        <v>50</v>
      </c>
      <c r="I1676" s="20">
        <f>VLOOKUP(B1676,'[2]Бланк заказа'!$A:$Y,8,0)</f>
        <v>2.4</v>
      </c>
      <c r="J1676" s="1">
        <f>VLOOKUP(B1676,'[2]Бланк заказа'!$A:$Y,11,0)*1</f>
        <v>18</v>
      </c>
      <c r="K1676" s="20">
        <f t="shared" si="221"/>
        <v>43.199999999999996</v>
      </c>
    </row>
    <row r="1677" spans="1:11" ht="22.5" x14ac:dyDescent="0.25">
      <c r="A1677" s="6" t="s">
        <v>1592</v>
      </c>
      <c r="B1677" s="3" t="s">
        <v>240</v>
      </c>
      <c r="C1677" s="3" t="s">
        <v>2068</v>
      </c>
      <c r="D1677" s="4">
        <v>4301051666</v>
      </c>
      <c r="E1677" s="3">
        <v>4680115880092</v>
      </c>
      <c r="F1677" s="5" t="s">
        <v>2069</v>
      </c>
      <c r="G1677" s="16"/>
      <c r="H1677" s="1">
        <f>VLOOKUP(E1677,[1]Лист1!$D:$M,10,0)</f>
        <v>45</v>
      </c>
      <c r="I1677" s="20">
        <f>VLOOKUP(B1677,'[2]Бланк заказа'!$A:$Y,8,0)</f>
        <v>2.4</v>
      </c>
      <c r="J1677" s="1">
        <f>VLOOKUP(B1677,'[2]Бланк заказа'!$A:$Y,11,0)*1</f>
        <v>12</v>
      </c>
      <c r="K1677" s="20">
        <f t="shared" si="221"/>
        <v>28.799999999999997</v>
      </c>
    </row>
    <row r="1678" spans="1:11" ht="22.5" x14ac:dyDescent="0.25">
      <c r="A1678" s="6" t="s">
        <v>1638</v>
      </c>
      <c r="B1678" s="3" t="s">
        <v>1597</v>
      </c>
      <c r="C1678" s="3" t="s">
        <v>1598</v>
      </c>
      <c r="D1678" s="4">
        <v>4301011625</v>
      </c>
      <c r="E1678" s="3">
        <v>4680115883956</v>
      </c>
      <c r="F1678" s="5" t="s">
        <v>1596</v>
      </c>
      <c r="G1678" s="16"/>
      <c r="H1678" s="1">
        <v>50</v>
      </c>
      <c r="I1678" s="20">
        <f>VLOOKUP(B1678,'[2]Бланк заказа'!$A:$Y,8,0)</f>
        <v>11.2</v>
      </c>
      <c r="J1678" s="1">
        <f>VLOOKUP(B1678,'[2]Бланк заказа'!$A:$Y,11,0)*1</f>
        <v>8</v>
      </c>
      <c r="K1678" s="20">
        <f t="shared" si="221"/>
        <v>89.6</v>
      </c>
    </row>
    <row r="1679" spans="1:11" ht="22.5" x14ac:dyDescent="0.25">
      <c r="A1679" s="6" t="s">
        <v>2056</v>
      </c>
      <c r="B1679" s="3" t="s">
        <v>1597</v>
      </c>
      <c r="C1679" s="3" t="s">
        <v>1598</v>
      </c>
      <c r="D1679" s="4">
        <v>4301011625</v>
      </c>
      <c r="E1679" s="3">
        <v>4680115883956</v>
      </c>
      <c r="F1679" s="5" t="s">
        <v>1596</v>
      </c>
      <c r="G1679" s="16"/>
      <c r="H1679" s="1">
        <v>50</v>
      </c>
      <c r="I1679" s="20">
        <f>VLOOKUP(B1679,'[2]Бланк заказа'!$A:$Y,8,0)</f>
        <v>11.2</v>
      </c>
      <c r="J1679" s="1">
        <f>VLOOKUP(B1679,'[2]Бланк заказа'!$A:$Y,11,0)*1</f>
        <v>8</v>
      </c>
      <c r="K1679" s="20">
        <f t="shared" si="221"/>
        <v>89.6</v>
      </c>
    </row>
    <row r="1680" spans="1:11" ht="22.5" x14ac:dyDescent="0.25">
      <c r="A1680" s="6" t="s">
        <v>1596</v>
      </c>
      <c r="B1680" s="3" t="s">
        <v>1597</v>
      </c>
      <c r="C1680" s="3" t="s">
        <v>1598</v>
      </c>
      <c r="D1680" s="4">
        <v>4301011625</v>
      </c>
      <c r="E1680" s="3">
        <v>4680115883956</v>
      </c>
      <c r="F1680" s="5" t="s">
        <v>1596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1"/>
        <v>89.6</v>
      </c>
    </row>
    <row r="1681" spans="1:11" ht="22.5" x14ac:dyDescent="0.25">
      <c r="A1681" s="6" t="s">
        <v>1700</v>
      </c>
      <c r="B1681" s="3" t="s">
        <v>1603</v>
      </c>
      <c r="C1681" s="3" t="s">
        <v>1604</v>
      </c>
      <c r="D1681" s="4">
        <v>4301170010</v>
      </c>
      <c r="E1681" s="3">
        <v>4680115884090</v>
      </c>
      <c r="F1681" s="5" t="s">
        <v>1605</v>
      </c>
      <c r="G1681" s="16"/>
      <c r="H1681" s="1"/>
      <c r="I1681" s="20">
        <f>VLOOKUP(B1681,'[2]Бланк заказа'!$A:$Y,8,0)</f>
        <v>1.32</v>
      </c>
      <c r="J1681" s="1">
        <f>VLOOKUP(B1681,'[2]Бланк заказа'!$A:$Y,11,0)*1</f>
        <v>10</v>
      </c>
      <c r="K1681" s="20">
        <f t="shared" si="221"/>
        <v>13.200000000000001</v>
      </c>
    </row>
    <row r="1682" spans="1:11" ht="22.5" x14ac:dyDescent="0.25">
      <c r="A1682" s="6" t="s">
        <v>1827</v>
      </c>
      <c r="B1682" s="3" t="s">
        <v>1603</v>
      </c>
      <c r="C1682" s="3" t="s">
        <v>1604</v>
      </c>
      <c r="D1682" s="4">
        <v>4301170010</v>
      </c>
      <c r="E1682" s="3">
        <v>4680115884090</v>
      </c>
      <c r="F1682" s="5" t="s">
        <v>1605</v>
      </c>
      <c r="G1682" s="16"/>
      <c r="H1682" s="1"/>
      <c r="I1682" s="20">
        <f>VLOOKUP(B1682,'[2]Бланк заказа'!$A:$Y,8,0)</f>
        <v>1.32</v>
      </c>
      <c r="J1682" s="1">
        <f>VLOOKUP(B1682,'[2]Бланк заказа'!$A:$Y,11,0)*1</f>
        <v>10</v>
      </c>
      <c r="K1682" s="20">
        <f t="shared" si="221"/>
        <v>13.200000000000001</v>
      </c>
    </row>
    <row r="1683" spans="1:11" ht="22.5" x14ac:dyDescent="0.25">
      <c r="A1683" s="6" t="s">
        <v>2062</v>
      </c>
      <c r="B1683" s="3" t="s">
        <v>1603</v>
      </c>
      <c r="C1683" s="3" t="s">
        <v>1604</v>
      </c>
      <c r="D1683" s="4">
        <v>4301170010</v>
      </c>
      <c r="E1683" s="3">
        <v>4680115884090</v>
      </c>
      <c r="F1683" s="5" t="s">
        <v>1605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1"/>
        <v>13.200000000000001</v>
      </c>
    </row>
    <row r="1684" spans="1:11" ht="22.5" x14ac:dyDescent="0.25">
      <c r="A1684" s="6" t="s">
        <v>1609</v>
      </c>
      <c r="B1684" s="3" t="s">
        <v>1607</v>
      </c>
      <c r="C1684" s="3" t="s">
        <v>1608</v>
      </c>
      <c r="D1684" s="4">
        <v>4301032047</v>
      </c>
      <c r="E1684" s="3">
        <v>4680115884342</v>
      </c>
      <c r="F1684" s="5" t="s">
        <v>1609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si="221"/>
        <v>12</v>
      </c>
    </row>
    <row r="1685" spans="1:11" ht="22.5" x14ac:dyDescent="0.25">
      <c r="A1685" s="6" t="s">
        <v>1693</v>
      </c>
      <c r="B1685" s="3" t="s">
        <v>1607</v>
      </c>
      <c r="C1685" s="3" t="s">
        <v>1608</v>
      </c>
      <c r="D1685" s="4">
        <v>4301032047</v>
      </c>
      <c r="E1685" s="3">
        <v>4680115884342</v>
      </c>
      <c r="F1685" s="5" t="s">
        <v>1609</v>
      </c>
      <c r="G1685" s="16"/>
      <c r="H1685" s="1">
        <v>60</v>
      </c>
      <c r="I1685" s="20">
        <f>VLOOKUP(B1685,'[2]Бланк заказа'!$A:$Y,8,0)</f>
        <v>1.2</v>
      </c>
      <c r="J1685" s="1">
        <f>VLOOKUP(B1685,'[2]Бланк заказа'!$A:$Y,11,0)*1</f>
        <v>10</v>
      </c>
      <c r="K1685" s="20">
        <f t="shared" si="221"/>
        <v>12</v>
      </c>
    </row>
    <row r="1686" spans="1:11" ht="22.5" x14ac:dyDescent="0.25">
      <c r="A1686" s="6" t="s">
        <v>1685</v>
      </c>
      <c r="B1686" s="3" t="s">
        <v>1607</v>
      </c>
      <c r="C1686" s="3" t="s">
        <v>1608</v>
      </c>
      <c r="D1686" s="4">
        <v>4301032047</v>
      </c>
      <c r="E1686" s="3">
        <v>4680115884342</v>
      </c>
      <c r="F1686" s="5" t="s">
        <v>1609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1"/>
        <v>12</v>
      </c>
    </row>
    <row r="1687" spans="1:11" ht="22.5" x14ac:dyDescent="0.25">
      <c r="A1687" s="6" t="s">
        <v>2219</v>
      </c>
      <c r="B1687" s="3" t="s">
        <v>1607</v>
      </c>
      <c r="C1687" s="3" t="s">
        <v>1608</v>
      </c>
      <c r="D1687" s="4">
        <v>4301032047</v>
      </c>
      <c r="E1687" s="3">
        <v>4680115884342</v>
      </c>
      <c r="F1687" s="5" t="s">
        <v>1609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ref="K1687" si="225">J1687*I1687</f>
        <v>12</v>
      </c>
    </row>
    <row r="1688" spans="1:11" ht="22.5" x14ac:dyDescent="0.25">
      <c r="A1688" s="6" t="s">
        <v>1606</v>
      </c>
      <c r="B1688" s="3" t="s">
        <v>1607</v>
      </c>
      <c r="C1688" s="3" t="s">
        <v>1608</v>
      </c>
      <c r="D1688" s="4">
        <v>4301032047</v>
      </c>
      <c r="E1688" s="3">
        <v>4680115884342</v>
      </c>
      <c r="F1688" s="5" t="s">
        <v>1609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1"/>
        <v>12</v>
      </c>
    </row>
    <row r="1689" spans="1:11" ht="22.5" x14ac:dyDescent="0.25">
      <c r="A1689" s="6" t="s">
        <v>1692</v>
      </c>
      <c r="B1689" s="3" t="s">
        <v>1611</v>
      </c>
      <c r="C1689" s="3" t="s">
        <v>1612</v>
      </c>
      <c r="D1689" s="4">
        <v>4301032046</v>
      </c>
      <c r="E1689" s="3">
        <v>4680115884359</v>
      </c>
      <c r="F1689" s="5" t="s">
        <v>1613</v>
      </c>
      <c r="G1689" s="16"/>
      <c r="H1689" s="1">
        <v>60</v>
      </c>
      <c r="I1689" s="20" t="e">
        <f>VLOOKUP(B1689,'[2]Бланк заказа'!$A:$Y,8,0)</f>
        <v>#N/A</v>
      </c>
      <c r="J1689" s="1" t="e">
        <f>VLOOKUP(B1689,'[2]Бланк заказа'!$A:$Y,11,0)*1</f>
        <v>#N/A</v>
      </c>
      <c r="K1689" s="20" t="e">
        <f t="shared" si="221"/>
        <v>#N/A</v>
      </c>
    </row>
    <row r="1690" spans="1:11" ht="22.5" x14ac:dyDescent="0.25">
      <c r="A1690" s="6" t="s">
        <v>1684</v>
      </c>
      <c r="B1690" s="3" t="s">
        <v>1611</v>
      </c>
      <c r="C1690" s="3" t="s">
        <v>1612</v>
      </c>
      <c r="D1690" s="4">
        <v>4301032046</v>
      </c>
      <c r="E1690" s="3">
        <v>4680115884359</v>
      </c>
      <c r="F1690" s="5" t="s">
        <v>1613</v>
      </c>
      <c r="G1690" s="16"/>
      <c r="H1690" s="1">
        <v>60</v>
      </c>
      <c r="I1690" s="20" t="e">
        <f>VLOOKUP(B1690,'[2]Бланк заказа'!$A:$Y,8,0)</f>
        <v>#N/A</v>
      </c>
      <c r="J1690" s="1" t="e">
        <f>VLOOKUP(B1690,'[2]Бланк заказа'!$A:$Y,11,0)*1</f>
        <v>#N/A</v>
      </c>
      <c r="K1690" s="20" t="e">
        <f t="shared" si="221"/>
        <v>#N/A</v>
      </c>
    </row>
    <row r="1691" spans="1:11" ht="22.5" x14ac:dyDescent="0.25">
      <c r="A1691" s="6" t="s">
        <v>1613</v>
      </c>
      <c r="B1691" s="3" t="s">
        <v>1611</v>
      </c>
      <c r="C1691" s="3" t="s">
        <v>1612</v>
      </c>
      <c r="D1691" s="4">
        <v>4301032046</v>
      </c>
      <c r="E1691" s="3">
        <v>4680115884359</v>
      </c>
      <c r="F1691" s="5" t="s">
        <v>1613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1"/>
        <v>#N/A</v>
      </c>
    </row>
    <row r="1692" spans="1:11" ht="22.5" x14ac:dyDescent="0.25">
      <c r="A1692" s="6" t="s">
        <v>1610</v>
      </c>
      <c r="B1692" s="3" t="s">
        <v>1611</v>
      </c>
      <c r="C1692" s="3" t="s">
        <v>1612</v>
      </c>
      <c r="D1692" s="4">
        <v>4301032046</v>
      </c>
      <c r="E1692" s="3">
        <v>4680115884359</v>
      </c>
      <c r="F1692" s="5" t="s">
        <v>1613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1"/>
        <v>#N/A</v>
      </c>
    </row>
    <row r="1693" spans="1:11" ht="22.5" x14ac:dyDescent="0.25">
      <c r="A1693" s="6" t="s">
        <v>1616</v>
      </c>
      <c r="B1693" s="3" t="s">
        <v>1614</v>
      </c>
      <c r="C1693" s="3" t="s">
        <v>1615</v>
      </c>
      <c r="D1693" s="4">
        <v>4301032045</v>
      </c>
      <c r="E1693" s="3">
        <v>4680115884335</v>
      </c>
      <c r="F1693" s="5" t="s">
        <v>1616</v>
      </c>
      <c r="G1693" s="16"/>
      <c r="H1693" s="1">
        <v>60</v>
      </c>
      <c r="I1693" s="20">
        <f>VLOOKUP(B1693,'[2]Бланк заказа'!$A:$Y,8,0)</f>
        <v>1.2</v>
      </c>
      <c r="J1693" s="1">
        <f>VLOOKUP(B1693,'[2]Бланк заказа'!$A:$Y,11,0)*1</f>
        <v>10</v>
      </c>
      <c r="K1693" s="20">
        <f t="shared" si="221"/>
        <v>12</v>
      </c>
    </row>
    <row r="1694" spans="1:11" ht="22.5" x14ac:dyDescent="0.25">
      <c r="A1694" s="6" t="s">
        <v>1694</v>
      </c>
      <c r="B1694" s="3" t="s">
        <v>1614</v>
      </c>
      <c r="C1694" s="3" t="s">
        <v>1615</v>
      </c>
      <c r="D1694" s="4">
        <v>4301032045</v>
      </c>
      <c r="E1694" s="3">
        <v>4680115884335</v>
      </c>
      <c r="F1694" s="5" t="s">
        <v>1616</v>
      </c>
      <c r="G1694" s="16"/>
      <c r="H1694" s="1">
        <v>60</v>
      </c>
      <c r="I1694" s="20">
        <f>VLOOKUP(B1694,'[2]Бланк заказа'!$A:$Y,8,0)</f>
        <v>1.2</v>
      </c>
      <c r="J1694" s="1">
        <f>VLOOKUP(B1694,'[2]Бланк заказа'!$A:$Y,11,0)*1</f>
        <v>10</v>
      </c>
      <c r="K1694" s="20">
        <f t="shared" si="221"/>
        <v>12</v>
      </c>
    </row>
    <row r="1695" spans="1:11" ht="22.5" x14ac:dyDescent="0.25">
      <c r="A1695" s="6" t="s">
        <v>1686</v>
      </c>
      <c r="B1695" s="3" t="s">
        <v>1614</v>
      </c>
      <c r="C1695" s="3" t="s">
        <v>1615</v>
      </c>
      <c r="D1695" s="4">
        <v>4301032045</v>
      </c>
      <c r="E1695" s="3">
        <v>4680115884335</v>
      </c>
      <c r="F1695" s="5" t="s">
        <v>1616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1"/>
        <v>12</v>
      </c>
    </row>
    <row r="1696" spans="1:11" ht="22.5" x14ac:dyDescent="0.25">
      <c r="A1696" s="6" t="s">
        <v>2051</v>
      </c>
      <c r="B1696" s="3" t="s">
        <v>1614</v>
      </c>
      <c r="C1696" s="3" t="s">
        <v>1615</v>
      </c>
      <c r="D1696" s="4">
        <v>4301032045</v>
      </c>
      <c r="E1696" s="3">
        <v>4680115884335</v>
      </c>
      <c r="F1696" s="5" t="s">
        <v>1616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1"/>
        <v>12</v>
      </c>
    </row>
    <row r="1697" spans="1:11" x14ac:dyDescent="0.25">
      <c r="A1697" s="6" t="s">
        <v>1633</v>
      </c>
      <c r="B1697" s="3" t="s">
        <v>1634</v>
      </c>
      <c r="C1697" s="3" t="s">
        <v>1635</v>
      </c>
      <c r="D1697" s="4">
        <v>4301031245</v>
      </c>
      <c r="E1697" s="3">
        <v>4680115883963</v>
      </c>
      <c r="F1697" s="5" t="s">
        <v>1636</v>
      </c>
      <c r="G1697" s="16"/>
      <c r="H1697" s="1">
        <v>40</v>
      </c>
      <c r="I1697" s="20">
        <f>VLOOKUP(B1697,'[2]Бланк заказа'!$A:$Y,8,0)</f>
        <v>1.68</v>
      </c>
      <c r="J1697" s="1">
        <f>VLOOKUP(B1697,'[2]Бланк заказа'!$A:$Y,11,0)*1</f>
        <v>18</v>
      </c>
      <c r="K1697" s="20">
        <f t="shared" si="221"/>
        <v>30.24</v>
      </c>
    </row>
    <row r="1698" spans="1:11" ht="22.5" x14ac:dyDescent="0.25">
      <c r="A1698" s="6" t="s">
        <v>1641</v>
      </c>
      <c r="B1698" s="3" t="s">
        <v>1642</v>
      </c>
      <c r="C1698" s="3" t="s">
        <v>1643</v>
      </c>
      <c r="D1698" s="4">
        <v>4301051523</v>
      </c>
      <c r="E1698" s="3">
        <v>4680115882942</v>
      </c>
      <c r="F1698" s="5" t="s">
        <v>1644</v>
      </c>
      <c r="G1698" s="16"/>
      <c r="H1698" s="1"/>
      <c r="I1698" s="20">
        <f>VLOOKUP(B1698,'[2]Бланк заказа'!$A:$Y,8,0)</f>
        <v>1.8</v>
      </c>
      <c r="J1698" s="1">
        <f>VLOOKUP(B1698,'[2]Бланк заказа'!$A:$Y,11,0)*1</f>
        <v>12</v>
      </c>
      <c r="K1698" s="20">
        <f t="shared" si="221"/>
        <v>21.6</v>
      </c>
    </row>
    <row r="1699" spans="1:11" x14ac:dyDescent="0.25">
      <c r="A1699" s="6" t="s">
        <v>1725</v>
      </c>
      <c r="B1699" s="3" t="s">
        <v>1669</v>
      </c>
      <c r="C1699" s="3" t="s">
        <v>1670</v>
      </c>
      <c r="D1699" s="4">
        <v>4301051390</v>
      </c>
      <c r="E1699" s="3">
        <v>4640242181233</v>
      </c>
      <c r="F1699" s="5" t="s">
        <v>1668</v>
      </c>
      <c r="G1699" s="16"/>
      <c r="H1699" s="1"/>
      <c r="I1699" s="20" t="e">
        <f>VLOOKUP(B1699,'[2]Бланк заказа'!$A:$Y,8,0)</f>
        <v>#N/A</v>
      </c>
      <c r="J1699" s="1" t="e">
        <f>VLOOKUP(B1699,'[2]Бланк заказа'!$A:$Y,11,0)*1</f>
        <v>#N/A</v>
      </c>
      <c r="K1699" s="20" t="e">
        <f t="shared" si="221"/>
        <v>#N/A</v>
      </c>
    </row>
    <row r="1700" spans="1:11" x14ac:dyDescent="0.25">
      <c r="A1700" s="6" t="s">
        <v>1668</v>
      </c>
      <c r="B1700" s="3" t="s">
        <v>1669</v>
      </c>
      <c r="C1700" s="3" t="s">
        <v>1670</v>
      </c>
      <c r="D1700" s="4">
        <v>4301051390</v>
      </c>
      <c r="E1700" s="3">
        <v>4640242181233</v>
      </c>
      <c r="F1700" s="5" t="s">
        <v>1668</v>
      </c>
      <c r="G1700" s="16"/>
      <c r="H1700" s="1"/>
      <c r="I1700" s="20" t="e">
        <f>VLOOKUP(B1700,'[2]Бланк заказа'!$A:$Y,8,0)</f>
        <v>#N/A</v>
      </c>
      <c r="J1700" s="1" t="e">
        <f>VLOOKUP(B1700,'[2]Бланк заказа'!$A:$Y,11,0)*1</f>
        <v>#N/A</v>
      </c>
      <c r="K1700" s="20" t="e">
        <f t="shared" si="221"/>
        <v>#N/A</v>
      </c>
    </row>
    <row r="1701" spans="1:11" ht="22.5" x14ac:dyDescent="0.25">
      <c r="A1701" s="6" t="s">
        <v>1723</v>
      </c>
      <c r="B1701" s="3" t="s">
        <v>1672</v>
      </c>
      <c r="C1701" s="3" t="s">
        <v>1673</v>
      </c>
      <c r="D1701" s="4">
        <v>4301031200</v>
      </c>
      <c r="E1701" s="3">
        <v>4640242180489</v>
      </c>
      <c r="F1701" s="5" t="s">
        <v>1671</v>
      </c>
      <c r="G1701" s="16"/>
      <c r="H1701" s="1"/>
      <c r="I1701" s="20">
        <f>VLOOKUP(B1701,'[2]Бланк заказа'!$A:$Y,8,0)</f>
        <v>1.68</v>
      </c>
      <c r="J1701" s="1">
        <f>VLOOKUP(B1701,'[2]Бланк заказа'!$A:$Y,11,0)*1</f>
        <v>18</v>
      </c>
      <c r="K1701" s="20">
        <f t="shared" si="221"/>
        <v>30.24</v>
      </c>
    </row>
    <row r="1702" spans="1:11" ht="22.5" x14ac:dyDescent="0.25">
      <c r="A1702" s="6" t="s">
        <v>1868</v>
      </c>
      <c r="B1702" s="3" t="s">
        <v>1672</v>
      </c>
      <c r="C1702" s="3" t="s">
        <v>1673</v>
      </c>
      <c r="D1702" s="4">
        <v>4301031200</v>
      </c>
      <c r="E1702" s="3">
        <v>4640242180489</v>
      </c>
      <c r="F1702" s="5" t="s">
        <v>1671</v>
      </c>
      <c r="G1702" s="16"/>
      <c r="H1702" s="1"/>
      <c r="I1702" s="20">
        <f>VLOOKUP(B1702,'[2]Бланк заказа'!$A:$Y,8,0)</f>
        <v>1.68</v>
      </c>
      <c r="J1702" s="1">
        <f>VLOOKUP(B1702,'[2]Бланк заказа'!$A:$Y,11,0)*1</f>
        <v>18</v>
      </c>
      <c r="K1702" s="20">
        <f t="shared" si="221"/>
        <v>30.24</v>
      </c>
    </row>
    <row r="1703" spans="1:11" ht="22.5" x14ac:dyDescent="0.25">
      <c r="A1703" s="6" t="s">
        <v>1671</v>
      </c>
      <c r="B1703" s="3" t="s">
        <v>1672</v>
      </c>
      <c r="C1703" s="3" t="s">
        <v>1673</v>
      </c>
      <c r="D1703" s="4">
        <v>4301031200</v>
      </c>
      <c r="E1703" s="3">
        <v>4640242180489</v>
      </c>
      <c r="F1703" s="5" t="s">
        <v>1671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1"/>
        <v>30.24</v>
      </c>
    </row>
    <row r="1704" spans="1:11" ht="22.5" x14ac:dyDescent="0.25">
      <c r="A1704" s="6" t="s">
        <v>1724</v>
      </c>
      <c r="B1704" s="3" t="s">
        <v>1675</v>
      </c>
      <c r="C1704" s="3" t="s">
        <v>1676</v>
      </c>
      <c r="D1704" s="4">
        <v>4301031203</v>
      </c>
      <c r="E1704" s="3">
        <v>4640242180908</v>
      </c>
      <c r="F1704" s="5" t="s">
        <v>1674</v>
      </c>
      <c r="G1704" s="16"/>
      <c r="H1704" s="1"/>
      <c r="I1704" s="20" t="e">
        <f>VLOOKUP(B1704,'[2]Бланк заказа'!$A:$Y,8,0)</f>
        <v>#N/A</v>
      </c>
      <c r="J1704" s="1" t="e">
        <f>VLOOKUP(B1704,'[2]Бланк заказа'!$A:$Y,11,0)*1</f>
        <v>#N/A</v>
      </c>
      <c r="K1704" s="20" t="e">
        <f t="shared" si="221"/>
        <v>#N/A</v>
      </c>
    </row>
    <row r="1705" spans="1:11" ht="22.5" x14ac:dyDescent="0.25">
      <c r="A1705" s="6" t="s">
        <v>1867</v>
      </c>
      <c r="B1705" s="3" t="s">
        <v>1675</v>
      </c>
      <c r="C1705" s="3" t="s">
        <v>1676</v>
      </c>
      <c r="D1705" s="4">
        <v>4301031203</v>
      </c>
      <c r="E1705" s="3">
        <v>4640242180908</v>
      </c>
      <c r="F1705" s="5" t="s">
        <v>1674</v>
      </c>
      <c r="G1705" s="16"/>
      <c r="H1705" s="1"/>
      <c r="I1705" s="20" t="e">
        <f>VLOOKUP(B1705,'[2]Бланк заказа'!$A:$Y,8,0)</f>
        <v>#N/A</v>
      </c>
      <c r="J1705" s="1" t="e">
        <f>VLOOKUP(B1705,'[2]Бланк заказа'!$A:$Y,11,0)*1</f>
        <v>#N/A</v>
      </c>
      <c r="K1705" s="20" t="e">
        <f t="shared" si="221"/>
        <v>#N/A</v>
      </c>
    </row>
    <row r="1706" spans="1:11" ht="22.5" x14ac:dyDescent="0.25">
      <c r="A1706" s="6" t="s">
        <v>1674</v>
      </c>
      <c r="B1706" s="3" t="s">
        <v>1675</v>
      </c>
      <c r="C1706" s="3" t="s">
        <v>1676</v>
      </c>
      <c r="D1706" s="4">
        <v>4301031203</v>
      </c>
      <c r="E1706" s="3">
        <v>4640242180908</v>
      </c>
      <c r="F1706" s="5" t="s">
        <v>1674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1"/>
        <v>#N/A</v>
      </c>
    </row>
    <row r="1707" spans="1:11" ht="22.5" x14ac:dyDescent="0.25">
      <c r="A1707" s="6" t="s">
        <v>2052</v>
      </c>
      <c r="B1707" s="3" t="s">
        <v>1678</v>
      </c>
      <c r="C1707" s="3" t="s">
        <v>1679</v>
      </c>
      <c r="D1707" s="4">
        <v>4301040357</v>
      </c>
      <c r="E1707" s="3">
        <v>4680115884564</v>
      </c>
      <c r="F1707" s="5" t="s">
        <v>1677</v>
      </c>
      <c r="G1707" s="16"/>
      <c r="H1707" s="1">
        <v>60</v>
      </c>
      <c r="I1707" s="20">
        <f>VLOOKUP(B1707,'[2]Бланк заказа'!$A:$Y,8,0)</f>
        <v>3</v>
      </c>
      <c r="J1707" s="1">
        <f>VLOOKUP(B1707,'[2]Бланк заказа'!$A:$Y,11,0)*1</f>
        <v>10</v>
      </c>
      <c r="K1707" s="20">
        <f t="shared" si="221"/>
        <v>30</v>
      </c>
    </row>
    <row r="1708" spans="1:11" ht="22.5" x14ac:dyDescent="0.25">
      <c r="A1708" s="6" t="s">
        <v>1937</v>
      </c>
      <c r="B1708" s="3" t="s">
        <v>1678</v>
      </c>
      <c r="C1708" s="3" t="s">
        <v>1679</v>
      </c>
      <c r="D1708" s="4">
        <v>4301040357</v>
      </c>
      <c r="E1708" s="3">
        <v>4680115884564</v>
      </c>
      <c r="F1708" s="5" t="s">
        <v>1677</v>
      </c>
      <c r="G1708" s="16"/>
      <c r="H1708" s="1">
        <v>60</v>
      </c>
      <c r="I1708" s="20">
        <f>VLOOKUP(B1708,'[2]Бланк заказа'!$A:$Y,8,0)</f>
        <v>3</v>
      </c>
      <c r="J1708" s="1">
        <f>VLOOKUP(B1708,'[2]Бланк заказа'!$A:$Y,11,0)*1</f>
        <v>10</v>
      </c>
      <c r="K1708" s="20">
        <f t="shared" si="221"/>
        <v>30</v>
      </c>
    </row>
    <row r="1709" spans="1:11" ht="22.5" x14ac:dyDescent="0.25">
      <c r="A1709" s="6" t="s">
        <v>1677</v>
      </c>
      <c r="B1709" s="3" t="s">
        <v>1678</v>
      </c>
      <c r="C1709" s="3" t="s">
        <v>1679</v>
      </c>
      <c r="D1709" s="4">
        <v>4301040357</v>
      </c>
      <c r="E1709" s="3">
        <v>4680115884564</v>
      </c>
      <c r="F1709" s="5" t="s">
        <v>1677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1"/>
        <v>30</v>
      </c>
    </row>
    <row r="1710" spans="1:11" ht="22.5" x14ac:dyDescent="0.25">
      <c r="A1710" s="6" t="s">
        <v>1957</v>
      </c>
      <c r="B1710" s="3" t="s">
        <v>1681</v>
      </c>
      <c r="C1710" s="3" t="s">
        <v>1682</v>
      </c>
      <c r="D1710" s="4">
        <v>4301040358</v>
      </c>
      <c r="E1710" s="3">
        <v>4680115884571</v>
      </c>
      <c r="F1710" s="5" t="s">
        <v>1680</v>
      </c>
      <c r="G1710" s="16"/>
      <c r="H1710" s="1"/>
      <c r="I1710" s="20">
        <f>VLOOKUP(B1710,'[2]Бланк заказа'!$A:$Y,8,0)</f>
        <v>2</v>
      </c>
      <c r="J1710" s="1">
        <f>VLOOKUP(B1710,'[2]Бланк заказа'!$A:$Y,11,0)*1</f>
        <v>10</v>
      </c>
      <c r="K1710" s="20">
        <f t="shared" si="221"/>
        <v>20</v>
      </c>
    </row>
    <row r="1711" spans="1:11" ht="22.5" x14ac:dyDescent="0.25">
      <c r="A1711" s="6" t="s">
        <v>2076</v>
      </c>
      <c r="B1711" s="3" t="s">
        <v>1681</v>
      </c>
      <c r="C1711" s="3" t="s">
        <v>1682</v>
      </c>
      <c r="D1711" s="4">
        <v>4301040358</v>
      </c>
      <c r="E1711" s="3">
        <v>4680115884571</v>
      </c>
      <c r="F1711" s="5" t="s">
        <v>1680</v>
      </c>
      <c r="G1711" s="16"/>
      <c r="H1711" s="1"/>
      <c r="I1711" s="20">
        <f>VLOOKUP(B1711,'[2]Бланк заказа'!$A:$Y,8,0)</f>
        <v>2</v>
      </c>
      <c r="J1711" s="1">
        <f>VLOOKUP(B1711,'[2]Бланк заказа'!$A:$Y,11,0)*1</f>
        <v>10</v>
      </c>
      <c r="K1711" s="20">
        <f t="shared" si="221"/>
        <v>20</v>
      </c>
    </row>
    <row r="1712" spans="1:11" ht="22.5" x14ac:dyDescent="0.25">
      <c r="A1712" s="6" t="s">
        <v>2065</v>
      </c>
      <c r="B1712" s="3" t="s">
        <v>1681</v>
      </c>
      <c r="C1712" s="3" t="s">
        <v>1682</v>
      </c>
      <c r="D1712" s="4">
        <v>4301040358</v>
      </c>
      <c r="E1712" s="3">
        <v>4680115884571</v>
      </c>
      <c r="F1712" s="5" t="s">
        <v>1680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1"/>
        <v>20</v>
      </c>
    </row>
    <row r="1713" spans="1:11" ht="22.5" x14ac:dyDescent="0.25">
      <c r="A1713" s="6" t="s">
        <v>1680</v>
      </c>
      <c r="B1713" s="3" t="s">
        <v>1681</v>
      </c>
      <c r="C1713" s="3" t="s">
        <v>1682</v>
      </c>
      <c r="D1713" s="4">
        <v>4301040358</v>
      </c>
      <c r="E1713" s="3">
        <v>4680115884571</v>
      </c>
      <c r="F1713" s="5" t="s">
        <v>1680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1"/>
        <v>20</v>
      </c>
    </row>
    <row r="1714" spans="1:11" ht="22.5" x14ac:dyDescent="0.25">
      <c r="A1714" s="6" t="s">
        <v>1722</v>
      </c>
      <c r="B1714" s="3" t="s">
        <v>1697</v>
      </c>
      <c r="C1714" s="3" t="s">
        <v>1698</v>
      </c>
      <c r="D1714" s="4">
        <v>4301170011</v>
      </c>
      <c r="E1714" s="3">
        <v>4680115884113</v>
      </c>
      <c r="F1714" s="5" t="s">
        <v>1699</v>
      </c>
      <c r="G1714" s="16"/>
      <c r="H1714" s="1"/>
      <c r="I1714" s="20">
        <f>VLOOKUP(B1714,'[2]Бланк заказа'!$A:$Y,8,0)</f>
        <v>1.32</v>
      </c>
      <c r="J1714" s="1">
        <f>VLOOKUP(B1714,'[2]Бланк заказа'!$A:$Y,11,0)*1</f>
        <v>10</v>
      </c>
      <c r="K1714" s="20">
        <f t="shared" si="221"/>
        <v>13.200000000000001</v>
      </c>
    </row>
    <row r="1715" spans="1:11" ht="22.5" x14ac:dyDescent="0.25">
      <c r="A1715" s="6" t="s">
        <v>1699</v>
      </c>
      <c r="B1715" s="3" t="s">
        <v>1697</v>
      </c>
      <c r="C1715" s="3" t="s">
        <v>1698</v>
      </c>
      <c r="D1715" s="4">
        <v>4301170011</v>
      </c>
      <c r="E1715" s="3">
        <v>4680115884113</v>
      </c>
      <c r="F1715" s="5" t="s">
        <v>1699</v>
      </c>
      <c r="G1715" s="16"/>
      <c r="H1715" s="1"/>
      <c r="I1715" s="20">
        <f>VLOOKUP(B1715,'[2]Бланк заказа'!$A:$Y,8,0)</f>
        <v>1.32</v>
      </c>
      <c r="J1715" s="1">
        <f>VLOOKUP(B1715,'[2]Бланк заказа'!$A:$Y,11,0)*1</f>
        <v>10</v>
      </c>
      <c r="K1715" s="20">
        <f t="shared" si="221"/>
        <v>13.200000000000001</v>
      </c>
    </row>
    <row r="1716" spans="1:11" ht="22.5" x14ac:dyDescent="0.25">
      <c r="A1716" s="6" t="s">
        <v>2218</v>
      </c>
      <c r="B1716" s="3" t="s">
        <v>1697</v>
      </c>
      <c r="C1716" s="3" t="s">
        <v>1698</v>
      </c>
      <c r="D1716" s="4">
        <v>4301170011</v>
      </c>
      <c r="E1716" s="3">
        <v>4680115884113</v>
      </c>
      <c r="F1716" s="5" t="s">
        <v>1699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ref="K1716" si="226">J1716*I1716</f>
        <v>13.200000000000001</v>
      </c>
    </row>
    <row r="1717" spans="1:11" ht="22.5" x14ac:dyDescent="0.25">
      <c r="A1717" s="6" t="s">
        <v>1696</v>
      </c>
      <c r="B1717" s="3" t="s">
        <v>1697</v>
      </c>
      <c r="C1717" s="3" t="s">
        <v>1698</v>
      </c>
      <c r="D1717" s="4">
        <v>4301170011</v>
      </c>
      <c r="E1717" s="3">
        <v>4680115884113</v>
      </c>
      <c r="F1717" s="5" t="s">
        <v>1699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1"/>
        <v>13.200000000000001</v>
      </c>
    </row>
    <row r="1718" spans="1:11" ht="22.5" x14ac:dyDescent="0.25">
      <c r="A1718" s="6" t="s">
        <v>1701</v>
      </c>
      <c r="B1718" s="3" t="s">
        <v>1702</v>
      </c>
      <c r="C1718" s="3" t="s">
        <v>1703</v>
      </c>
      <c r="D1718" s="4">
        <v>4301051277</v>
      </c>
      <c r="E1718" s="3">
        <v>4680115880511</v>
      </c>
      <c r="F1718" s="5" t="s">
        <v>1704</v>
      </c>
      <c r="G1718" s="16"/>
      <c r="H1718" s="1"/>
      <c r="I1718" s="20" t="e">
        <f>VLOOKUP(B1718,'[2]Бланк заказа'!$A:$Y,8,0)</f>
        <v>#N/A</v>
      </c>
      <c r="J1718" s="1" t="e">
        <f>VLOOKUP(B1718,'[2]Бланк заказа'!$A:$Y,11,0)*1</f>
        <v>#N/A</v>
      </c>
      <c r="K1718" s="20" t="e">
        <f t="shared" si="221"/>
        <v>#N/A</v>
      </c>
    </row>
    <row r="1719" spans="1:11" ht="22.5" x14ac:dyDescent="0.25">
      <c r="A1719" s="6" t="s">
        <v>1729</v>
      </c>
      <c r="B1719" s="3" t="s">
        <v>1730</v>
      </c>
      <c r="C1719" s="3" t="s">
        <v>1731</v>
      </c>
      <c r="D1719" s="4">
        <v>4301051344</v>
      </c>
      <c r="E1719" s="3">
        <v>4680115880412</v>
      </c>
      <c r="F1719" s="5" t="s">
        <v>1732</v>
      </c>
      <c r="G1719" s="16"/>
      <c r="H1719" s="1"/>
      <c r="I1719" s="20" t="e">
        <f>VLOOKUP(B1719,'[2]Бланк заказа'!$A:$Y,8,0)</f>
        <v>#N/A</v>
      </c>
      <c r="J1719" s="1" t="e">
        <f>VLOOKUP(B1719,'[2]Бланк заказа'!$A:$Y,11,0)*1</f>
        <v>#N/A</v>
      </c>
      <c r="K1719" s="20" t="e">
        <f t="shared" si="221"/>
        <v>#N/A</v>
      </c>
    </row>
    <row r="1720" spans="1:11" ht="22.5" x14ac:dyDescent="0.25">
      <c r="A1720" s="6" t="s">
        <v>1760</v>
      </c>
      <c r="B1720" s="3" t="s">
        <v>1761</v>
      </c>
      <c r="C1720" s="3" t="s">
        <v>1762</v>
      </c>
      <c r="D1720" s="4">
        <v>4301031164</v>
      </c>
      <c r="E1720" s="3">
        <v>4680115880481</v>
      </c>
      <c r="F1720" s="5" t="s">
        <v>1763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1"/>
        <v>#N/A</v>
      </c>
    </row>
    <row r="1721" spans="1:11" ht="22.5" x14ac:dyDescent="0.25">
      <c r="A1721" s="6" t="s">
        <v>2220</v>
      </c>
      <c r="B1721" s="3" t="s">
        <v>1779</v>
      </c>
      <c r="C1721" s="3" t="s">
        <v>1780</v>
      </c>
      <c r="D1721" s="4">
        <v>4301011722</v>
      </c>
      <c r="E1721" s="3">
        <v>4680115884205</v>
      </c>
      <c r="F1721" s="5" t="s">
        <v>1778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ref="K1721" si="227">J1721*I1721</f>
        <v>48</v>
      </c>
    </row>
    <row r="1722" spans="1:11" ht="22.5" x14ac:dyDescent="0.25">
      <c r="A1722" s="6" t="s">
        <v>1824</v>
      </c>
      <c r="B1722" s="3" t="s">
        <v>1779</v>
      </c>
      <c r="C1722" s="3" t="s">
        <v>1780</v>
      </c>
      <c r="D1722" s="4">
        <v>4301011722</v>
      </c>
      <c r="E1722" s="3">
        <v>4680115884205</v>
      </c>
      <c r="F1722" s="5" t="s">
        <v>1778</v>
      </c>
      <c r="G1722" s="16"/>
      <c r="H1722" s="1"/>
      <c r="I1722" s="20">
        <f>VLOOKUP(B1722,'[2]Бланк заказа'!$A:$Y,8,0)</f>
        <v>4</v>
      </c>
      <c r="J1722" s="1">
        <f>VLOOKUP(B1722,'[2]Бланк заказа'!$A:$Y,11,0)*1</f>
        <v>12</v>
      </c>
      <c r="K1722" s="20">
        <f t="shared" si="221"/>
        <v>48</v>
      </c>
    </row>
    <row r="1723" spans="1:11" ht="22.5" x14ac:dyDescent="0.25">
      <c r="A1723" s="6" t="s">
        <v>1778</v>
      </c>
      <c r="B1723" s="3" t="s">
        <v>1779</v>
      </c>
      <c r="C1723" s="3" t="s">
        <v>1780</v>
      </c>
      <c r="D1723" s="4">
        <v>4301011722</v>
      </c>
      <c r="E1723" s="3">
        <v>4680115884205</v>
      </c>
      <c r="F1723" s="5" t="s">
        <v>1778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si="221"/>
        <v>48</v>
      </c>
    </row>
    <row r="1724" spans="1:11" ht="22.5" x14ac:dyDescent="0.25">
      <c r="A1724" s="6" t="s">
        <v>2054</v>
      </c>
      <c r="B1724" s="3" t="s">
        <v>1782</v>
      </c>
      <c r="C1724" s="3" t="s">
        <v>1783</v>
      </c>
      <c r="D1724" s="4">
        <v>4301011824</v>
      </c>
      <c r="E1724" s="3">
        <v>4680115884144</v>
      </c>
      <c r="F1724" s="5" t="s">
        <v>1781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1"/>
        <v>48</v>
      </c>
    </row>
    <row r="1725" spans="1:11" ht="22.5" x14ac:dyDescent="0.25">
      <c r="A1725" s="6" t="s">
        <v>1869</v>
      </c>
      <c r="B1725" s="3" t="s">
        <v>1782</v>
      </c>
      <c r="C1725" s="3" t="s">
        <v>1783</v>
      </c>
      <c r="D1725" s="4">
        <v>4301011824</v>
      </c>
      <c r="E1725" s="3">
        <v>4680115884144</v>
      </c>
      <c r="F1725" s="5" t="s">
        <v>1781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ref="K1725:K1785" si="228">J1725*I1725</f>
        <v>48</v>
      </c>
    </row>
    <row r="1726" spans="1:11" ht="22.5" x14ac:dyDescent="0.25">
      <c r="A1726" s="6" t="s">
        <v>2222</v>
      </c>
      <c r="B1726" s="3" t="s">
        <v>1785</v>
      </c>
      <c r="C1726" s="3" t="s">
        <v>1786</v>
      </c>
      <c r="D1726" s="4">
        <v>4301011726</v>
      </c>
      <c r="E1726" s="3">
        <v>4680115884182</v>
      </c>
      <c r="F1726" s="5" t="s">
        <v>1784</v>
      </c>
      <c r="G1726" s="16"/>
      <c r="H1726" s="1"/>
      <c r="I1726" s="20">
        <f>VLOOKUP(B1726,'[2]Бланк заказа'!$A:$Y,8,0)</f>
        <v>3.7</v>
      </c>
      <c r="J1726" s="1">
        <f>VLOOKUP(B1726,'[2]Бланк заказа'!$A:$Y,11,0)*1</f>
        <v>12</v>
      </c>
      <c r="K1726" s="20">
        <f t="shared" ref="K1726" si="229">J1726*I1726</f>
        <v>44.400000000000006</v>
      </c>
    </row>
    <row r="1727" spans="1:11" ht="22.5" x14ac:dyDescent="0.25">
      <c r="A1727" s="6" t="s">
        <v>1781</v>
      </c>
      <c r="B1727" s="3" t="s">
        <v>1782</v>
      </c>
      <c r="C1727" s="3" t="s">
        <v>1783</v>
      </c>
      <c r="D1727" s="4">
        <v>4301011824</v>
      </c>
      <c r="E1727" s="3">
        <v>4680115884144</v>
      </c>
      <c r="F1727" s="5" t="s">
        <v>1781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si="228"/>
        <v>48</v>
      </c>
    </row>
    <row r="1728" spans="1:11" ht="22.5" x14ac:dyDescent="0.25">
      <c r="A1728" s="6" t="s">
        <v>1836</v>
      </c>
      <c r="B1728" s="3" t="s">
        <v>1785</v>
      </c>
      <c r="C1728" s="3" t="s">
        <v>1786</v>
      </c>
      <c r="D1728" s="4">
        <v>4301011726</v>
      </c>
      <c r="E1728" s="3">
        <v>4680115884182</v>
      </c>
      <c r="F1728" s="5" t="s">
        <v>1784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si="228"/>
        <v>44.400000000000006</v>
      </c>
    </row>
    <row r="1729" spans="1:11" ht="22.5" x14ac:dyDescent="0.25">
      <c r="A1729" s="6" t="s">
        <v>1784</v>
      </c>
      <c r="B1729" s="3" t="s">
        <v>1785</v>
      </c>
      <c r="C1729" s="3" t="s">
        <v>1786</v>
      </c>
      <c r="D1729" s="4">
        <v>4301011726</v>
      </c>
      <c r="E1729" s="3">
        <v>4680115884182</v>
      </c>
      <c r="F1729" s="5" t="s">
        <v>1784</v>
      </c>
      <c r="G1729" s="16"/>
      <c r="H1729" s="1"/>
      <c r="I1729" s="20">
        <f>VLOOKUP(B1729,'[2]Бланк заказа'!$A:$Y,8,0)</f>
        <v>3.7</v>
      </c>
      <c r="J1729" s="1">
        <f>VLOOKUP(B1729,'[2]Бланк заказа'!$A:$Y,11,0)*1</f>
        <v>12</v>
      </c>
      <c r="K1729" s="20">
        <f t="shared" si="228"/>
        <v>44.400000000000006</v>
      </c>
    </row>
    <row r="1730" spans="1:11" ht="22.5" x14ac:dyDescent="0.25">
      <c r="A1730" s="6" t="s">
        <v>2221</v>
      </c>
      <c r="B1730" s="3" t="s">
        <v>1788</v>
      </c>
      <c r="C1730" s="3" t="s">
        <v>1789</v>
      </c>
      <c r="D1730" s="4">
        <v>4301011721</v>
      </c>
      <c r="E1730" s="3">
        <v>4680115884175</v>
      </c>
      <c r="F1730" s="5" t="s">
        <v>1787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ref="K1730" si="230">J1730*I1730</f>
        <v>92.8</v>
      </c>
    </row>
    <row r="1731" spans="1:11" ht="22.5" x14ac:dyDescent="0.25">
      <c r="A1731" s="6" t="s">
        <v>1846</v>
      </c>
      <c r="B1731" s="3" t="s">
        <v>1788</v>
      </c>
      <c r="C1731" s="3" t="s">
        <v>1789</v>
      </c>
      <c r="D1731" s="4">
        <v>4301011721</v>
      </c>
      <c r="E1731" s="3">
        <v>4680115884175</v>
      </c>
      <c r="F1731" s="5" t="s">
        <v>1787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8"/>
        <v>92.8</v>
      </c>
    </row>
    <row r="1732" spans="1:11" ht="22.5" x14ac:dyDescent="0.25">
      <c r="A1732" s="6" t="s">
        <v>1935</v>
      </c>
      <c r="B1732" s="3" t="s">
        <v>1788</v>
      </c>
      <c r="C1732" s="3" t="s">
        <v>1789</v>
      </c>
      <c r="D1732" s="4">
        <v>4301011721</v>
      </c>
      <c r="E1732" s="3">
        <v>4680115884175</v>
      </c>
      <c r="F1732" s="5" t="s">
        <v>1787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8"/>
        <v>92.8</v>
      </c>
    </row>
    <row r="1733" spans="1:11" ht="22.5" x14ac:dyDescent="0.25">
      <c r="A1733" s="6" t="s">
        <v>1954</v>
      </c>
      <c r="B1733" s="3" t="s">
        <v>1788</v>
      </c>
      <c r="C1733" s="3" t="s">
        <v>1789</v>
      </c>
      <c r="D1733" s="4">
        <v>4301011721</v>
      </c>
      <c r="E1733" s="3">
        <v>4680115884175</v>
      </c>
      <c r="F1733" s="5" t="s">
        <v>1787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8"/>
        <v>92.8</v>
      </c>
    </row>
    <row r="1734" spans="1:11" ht="22.5" x14ac:dyDescent="0.25">
      <c r="A1734" s="6" t="s">
        <v>1787</v>
      </c>
      <c r="B1734" s="3" t="s">
        <v>1788</v>
      </c>
      <c r="C1734" s="3" t="s">
        <v>1789</v>
      </c>
      <c r="D1734" s="4">
        <v>4301011721</v>
      </c>
      <c r="E1734" s="3">
        <v>4680115884175</v>
      </c>
      <c r="F1734" s="5" t="s">
        <v>1787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8"/>
        <v>92.8</v>
      </c>
    </row>
    <row r="1735" spans="1:11" ht="22.5" x14ac:dyDescent="0.25">
      <c r="A1735" s="6" t="s">
        <v>2063</v>
      </c>
      <c r="B1735" s="3" t="s">
        <v>1791</v>
      </c>
      <c r="C1735" s="3" t="s">
        <v>1792</v>
      </c>
      <c r="D1735" s="4">
        <v>4301011826</v>
      </c>
      <c r="E1735" s="3">
        <v>4680115884137</v>
      </c>
      <c r="F1735" s="5" t="s">
        <v>1790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8"/>
        <v>92.8</v>
      </c>
    </row>
    <row r="1736" spans="1:11" ht="22.5" x14ac:dyDescent="0.25">
      <c r="A1736" s="6" t="s">
        <v>2055</v>
      </c>
      <c r="B1736" s="3" t="s">
        <v>1791</v>
      </c>
      <c r="C1736" s="3" t="s">
        <v>1792</v>
      </c>
      <c r="D1736" s="4">
        <v>4301011826</v>
      </c>
      <c r="E1736" s="3">
        <v>4680115884137</v>
      </c>
      <c r="F1736" s="5" t="s">
        <v>1790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8"/>
        <v>92.8</v>
      </c>
    </row>
    <row r="1737" spans="1:11" ht="22.5" x14ac:dyDescent="0.25">
      <c r="A1737" s="6" t="s">
        <v>1790</v>
      </c>
      <c r="B1737" s="3" t="s">
        <v>1791</v>
      </c>
      <c r="C1737" s="3" t="s">
        <v>1792</v>
      </c>
      <c r="D1737" s="4">
        <v>4301011826</v>
      </c>
      <c r="E1737" s="3">
        <v>4680115884137</v>
      </c>
      <c r="F1737" s="5" t="s">
        <v>1790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8"/>
        <v>92.8</v>
      </c>
    </row>
    <row r="1738" spans="1:11" ht="22.5" x14ac:dyDescent="0.25">
      <c r="A1738" s="6" t="s">
        <v>1847</v>
      </c>
      <c r="B1738" s="3" t="s">
        <v>1794</v>
      </c>
      <c r="C1738" s="3" t="s">
        <v>1795</v>
      </c>
      <c r="D1738" s="4">
        <v>4301011724</v>
      </c>
      <c r="E1738" s="3">
        <v>4680115884236</v>
      </c>
      <c r="F1738" s="5" t="s">
        <v>1793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8"/>
        <v>92.8</v>
      </c>
    </row>
    <row r="1739" spans="1:11" ht="22.5" x14ac:dyDescent="0.25">
      <c r="A1739" s="6" t="s">
        <v>1936</v>
      </c>
      <c r="B1739" s="3" t="s">
        <v>1794</v>
      </c>
      <c r="C1739" s="3" t="s">
        <v>1795</v>
      </c>
      <c r="D1739" s="4">
        <v>4301011724</v>
      </c>
      <c r="E1739" s="3">
        <v>4680115884236</v>
      </c>
      <c r="F1739" s="5" t="s">
        <v>1793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8"/>
        <v>92.8</v>
      </c>
    </row>
    <row r="1740" spans="1:11" ht="22.5" x14ac:dyDescent="0.25">
      <c r="A1740" s="6" t="s">
        <v>1793</v>
      </c>
      <c r="B1740" s="3" t="s">
        <v>1794</v>
      </c>
      <c r="C1740" s="3" t="s">
        <v>1795</v>
      </c>
      <c r="D1740" s="4">
        <v>4301011724</v>
      </c>
      <c r="E1740" s="3">
        <v>4680115884236</v>
      </c>
      <c r="F1740" s="5" t="s">
        <v>1793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8"/>
        <v>92.8</v>
      </c>
    </row>
    <row r="1741" spans="1:11" ht="22.5" x14ac:dyDescent="0.25">
      <c r="A1741" s="6" t="s">
        <v>2111</v>
      </c>
      <c r="B1741" s="3" t="s">
        <v>1797</v>
      </c>
      <c r="C1741" s="3" t="s">
        <v>1798</v>
      </c>
      <c r="D1741" s="4">
        <v>4301011717</v>
      </c>
      <c r="E1741" s="3">
        <v>4680115884274</v>
      </c>
      <c r="F1741" s="5" t="s">
        <v>1796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8"/>
        <v>92.8</v>
      </c>
    </row>
    <row r="1742" spans="1:11" ht="22.5" x14ac:dyDescent="0.25">
      <c r="A1742" s="6" t="s">
        <v>1796</v>
      </c>
      <c r="B1742" s="3" t="s">
        <v>1797</v>
      </c>
      <c r="C1742" s="3" t="s">
        <v>1798</v>
      </c>
      <c r="D1742" s="4">
        <v>4301011717</v>
      </c>
      <c r="E1742" s="3">
        <v>4680115884274</v>
      </c>
      <c r="F1742" s="5" t="s">
        <v>1796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28"/>
        <v>92.8</v>
      </c>
    </row>
    <row r="1743" spans="1:11" ht="22.5" x14ac:dyDescent="0.25">
      <c r="A1743" s="6" t="s">
        <v>2053</v>
      </c>
      <c r="B1743" s="3" t="s">
        <v>1800</v>
      </c>
      <c r="C1743" s="3" t="s">
        <v>1801</v>
      </c>
      <c r="D1743" s="4">
        <v>4301011733</v>
      </c>
      <c r="E1743" s="3">
        <v>4680115884250</v>
      </c>
      <c r="F1743" s="5" t="s">
        <v>1799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28"/>
        <v>92.8</v>
      </c>
    </row>
    <row r="1744" spans="1:11" ht="22.5" x14ac:dyDescent="0.25">
      <c r="A1744" s="6" t="s">
        <v>1838</v>
      </c>
      <c r="B1744" s="3" t="s">
        <v>1800</v>
      </c>
      <c r="C1744" s="3" t="s">
        <v>1801</v>
      </c>
      <c r="D1744" s="4">
        <v>4301011733</v>
      </c>
      <c r="E1744" s="3">
        <v>4680115884250</v>
      </c>
      <c r="F1744" s="5" t="s">
        <v>1799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28"/>
        <v>92.8</v>
      </c>
    </row>
    <row r="1745" spans="1:11" ht="22.5" x14ac:dyDescent="0.25">
      <c r="A1745" s="6" t="s">
        <v>2631</v>
      </c>
      <c r="B1745" s="3" t="s">
        <v>1800</v>
      </c>
      <c r="C1745" s="3" t="s">
        <v>1801</v>
      </c>
      <c r="D1745" s="4">
        <v>4301011733</v>
      </c>
      <c r="E1745" s="3">
        <v>4680115884250</v>
      </c>
      <c r="F1745" s="5" t="s">
        <v>1799</v>
      </c>
      <c r="G1745" s="16" t="s">
        <v>2338</v>
      </c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28"/>
        <v>92.8</v>
      </c>
    </row>
    <row r="1746" spans="1:11" ht="22.5" x14ac:dyDescent="0.25">
      <c r="A1746" s="6" t="s">
        <v>2297</v>
      </c>
      <c r="B1746" s="3" t="s">
        <v>1800</v>
      </c>
      <c r="C1746" s="3" t="s">
        <v>1801</v>
      </c>
      <c r="D1746" s="4">
        <v>4301011733</v>
      </c>
      <c r="E1746" s="3">
        <v>4680115884250</v>
      </c>
      <c r="F1746" s="5" t="s">
        <v>1799</v>
      </c>
      <c r="G1746" s="16" t="s">
        <v>2338</v>
      </c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ref="K1746" si="231">J1746*I1746</f>
        <v>92.8</v>
      </c>
    </row>
    <row r="1747" spans="1:11" ht="22.5" x14ac:dyDescent="0.25">
      <c r="A1747" s="6" t="s">
        <v>1799</v>
      </c>
      <c r="B1747" s="3" t="s">
        <v>1800</v>
      </c>
      <c r="C1747" s="3" t="s">
        <v>1801</v>
      </c>
      <c r="D1747" s="4">
        <v>4301011733</v>
      </c>
      <c r="E1747" s="3">
        <v>4680115884250</v>
      </c>
      <c r="F1747" s="5" t="s">
        <v>1799</v>
      </c>
      <c r="G1747" s="16"/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28"/>
        <v>92.8</v>
      </c>
    </row>
    <row r="1748" spans="1:11" ht="22.5" x14ac:dyDescent="0.25">
      <c r="A1748" s="6" t="s">
        <v>2223</v>
      </c>
      <c r="B1748" s="3" t="s">
        <v>1819</v>
      </c>
      <c r="C1748" s="3" t="s">
        <v>1820</v>
      </c>
      <c r="D1748" s="4">
        <v>4301060516</v>
      </c>
      <c r="E1748" s="3">
        <v>4680115884434</v>
      </c>
      <c r="F1748" s="5" t="s">
        <v>1818</v>
      </c>
      <c r="G1748" s="16"/>
      <c r="H1748" s="1"/>
      <c r="I1748" s="20">
        <f>VLOOKUP(B1748,'[2]Бланк заказа'!$A:$Y,8,0)</f>
        <v>3.2</v>
      </c>
      <c r="J1748" s="1">
        <f>VLOOKUP(B1748,'[2]Бланк заказа'!$A:$Y,11,0)*1</f>
        <v>12</v>
      </c>
      <c r="K1748" s="20">
        <f t="shared" ref="K1748" si="232">J1748*I1748</f>
        <v>38.400000000000006</v>
      </c>
    </row>
    <row r="1749" spans="1:11" ht="22.5" x14ac:dyDescent="0.25">
      <c r="A1749" s="6" t="s">
        <v>1837</v>
      </c>
      <c r="B1749" s="3" t="s">
        <v>1819</v>
      </c>
      <c r="C1749" s="3" t="s">
        <v>1820</v>
      </c>
      <c r="D1749" s="4">
        <v>4301060516</v>
      </c>
      <c r="E1749" s="3">
        <v>4680115884434</v>
      </c>
      <c r="F1749" s="5" t="s">
        <v>1818</v>
      </c>
      <c r="G1749" s="16"/>
      <c r="H1749" s="1"/>
      <c r="I1749" s="20">
        <f>VLOOKUP(B1749,'[2]Бланк заказа'!$A:$Y,8,0)</f>
        <v>3.2</v>
      </c>
      <c r="J1749" s="1">
        <f>VLOOKUP(B1749,'[2]Бланк заказа'!$A:$Y,11,0)*1</f>
        <v>12</v>
      </c>
      <c r="K1749" s="20">
        <f t="shared" si="228"/>
        <v>38.400000000000006</v>
      </c>
    </row>
    <row r="1750" spans="1:11" ht="22.5" x14ac:dyDescent="0.25">
      <c r="A1750" s="6" t="s">
        <v>2329</v>
      </c>
      <c r="B1750" s="3" t="s">
        <v>1819</v>
      </c>
      <c r="C1750" s="3" t="s">
        <v>1820</v>
      </c>
      <c r="D1750" s="4">
        <v>4301060516</v>
      </c>
      <c r="E1750" s="3">
        <v>4680115884434</v>
      </c>
      <c r="F1750" s="5" t="s">
        <v>1818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3">J1750*I1750</f>
        <v>38.400000000000006</v>
      </c>
    </row>
    <row r="1751" spans="1:11" ht="22.5" x14ac:dyDescent="0.25">
      <c r="A1751" s="6" t="s">
        <v>1818</v>
      </c>
      <c r="B1751" s="3" t="s">
        <v>1819</v>
      </c>
      <c r="C1751" s="3" t="s">
        <v>1820</v>
      </c>
      <c r="D1751" s="4">
        <v>4301060516</v>
      </c>
      <c r="E1751" s="3">
        <v>4680115884434</v>
      </c>
      <c r="F1751" s="5" t="s">
        <v>1818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28"/>
        <v>38.400000000000006</v>
      </c>
    </row>
    <row r="1752" spans="1:11" ht="22.5" x14ac:dyDescent="0.25">
      <c r="A1752" s="6" t="s">
        <v>2224</v>
      </c>
      <c r="B1752" s="3" t="s">
        <v>1840</v>
      </c>
      <c r="C1752" s="3" t="s">
        <v>1841</v>
      </c>
      <c r="D1752" s="4">
        <v>4301011716</v>
      </c>
      <c r="E1752" s="3">
        <v>4680115884267</v>
      </c>
      <c r="F1752" s="5" t="s">
        <v>1839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ref="K1752" si="234">J1752*I1752</f>
        <v>48</v>
      </c>
    </row>
    <row r="1753" spans="1:11" ht="22.5" x14ac:dyDescent="0.25">
      <c r="A1753" s="6" t="s">
        <v>2244</v>
      </c>
      <c r="B1753" s="3" t="s">
        <v>1840</v>
      </c>
      <c r="C1753" s="3" t="s">
        <v>1841</v>
      </c>
      <c r="D1753" s="4">
        <v>4301011716</v>
      </c>
      <c r="E1753" s="3">
        <v>4680115884267</v>
      </c>
      <c r="F1753" s="5" t="s">
        <v>1839</v>
      </c>
      <c r="G1753" s="16"/>
      <c r="H1753" s="1"/>
      <c r="I1753" s="20">
        <f>VLOOKUP(B1753,'[2]Бланк заказа'!$A:$Y,8,0)</f>
        <v>4</v>
      </c>
      <c r="J1753" s="1">
        <f>VLOOKUP(B1753,'[2]Бланк заказа'!$A:$Y,11,0)*1</f>
        <v>12</v>
      </c>
      <c r="K1753" s="20">
        <f t="shared" ref="K1753" si="235">J1753*I1753</f>
        <v>48</v>
      </c>
    </row>
    <row r="1754" spans="1:11" ht="22.5" x14ac:dyDescent="0.25">
      <c r="A1754" s="6" t="s">
        <v>1842</v>
      </c>
      <c r="B1754" s="3" t="s">
        <v>1840</v>
      </c>
      <c r="C1754" s="3" t="s">
        <v>1841</v>
      </c>
      <c r="D1754" s="4">
        <v>4301011716</v>
      </c>
      <c r="E1754" s="3">
        <v>4680115884267</v>
      </c>
      <c r="F1754" s="5" t="s">
        <v>1839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si="228"/>
        <v>48</v>
      </c>
    </row>
    <row r="1755" spans="1:11" ht="22.5" x14ac:dyDescent="0.25">
      <c r="A1755" s="6" t="s">
        <v>2064</v>
      </c>
      <c r="B1755" s="3" t="s">
        <v>1840</v>
      </c>
      <c r="C1755" s="3" t="s">
        <v>1841</v>
      </c>
      <c r="D1755" s="4">
        <v>4301011716</v>
      </c>
      <c r="E1755" s="3">
        <v>4680115884267</v>
      </c>
      <c r="F1755" s="5" t="s">
        <v>1839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si="228"/>
        <v>48</v>
      </c>
    </row>
    <row r="1756" spans="1:11" ht="22.5" x14ac:dyDescent="0.25">
      <c r="A1756" s="6" t="s">
        <v>1839</v>
      </c>
      <c r="B1756" s="3" t="s">
        <v>1840</v>
      </c>
      <c r="C1756" s="3" t="s">
        <v>1841</v>
      </c>
      <c r="D1756" s="4">
        <v>4301011716</v>
      </c>
      <c r="E1756" s="3">
        <v>4680115884267</v>
      </c>
      <c r="F1756" s="5" t="s">
        <v>1839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28"/>
        <v>48</v>
      </c>
    </row>
    <row r="1757" spans="1:11" x14ac:dyDescent="0.25">
      <c r="A1757" s="6" t="s">
        <v>1918</v>
      </c>
      <c r="B1757" s="3" t="s">
        <v>1897</v>
      </c>
      <c r="C1757" s="3" t="s">
        <v>2121</v>
      </c>
      <c r="D1757" s="4">
        <v>4301051820</v>
      </c>
      <c r="E1757" s="3">
        <v>4680115884915</v>
      </c>
      <c r="F1757" s="5" t="s">
        <v>1898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si="228"/>
        <v>21.6</v>
      </c>
    </row>
    <row r="1758" spans="1:11" x14ac:dyDescent="0.25">
      <c r="A1758" s="6" t="s">
        <v>1921</v>
      </c>
      <c r="B1758" s="3" t="s">
        <v>1897</v>
      </c>
      <c r="C1758" s="3" t="s">
        <v>2121</v>
      </c>
      <c r="D1758" s="4">
        <v>4301051820</v>
      </c>
      <c r="E1758" s="3">
        <v>4680115884915</v>
      </c>
      <c r="F1758" s="5" t="s">
        <v>1898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8"/>
        <v>21.6</v>
      </c>
    </row>
    <row r="1759" spans="1:11" x14ac:dyDescent="0.25">
      <c r="A1759" s="6" t="s">
        <v>2057</v>
      </c>
      <c r="B1759" s="3" t="s">
        <v>1897</v>
      </c>
      <c r="C1759" s="3" t="s">
        <v>2121</v>
      </c>
      <c r="D1759" s="4">
        <v>4301051820</v>
      </c>
      <c r="E1759" s="3">
        <v>4680115884915</v>
      </c>
      <c r="F1759" s="5" t="s">
        <v>1898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28"/>
        <v>21.6</v>
      </c>
    </row>
    <row r="1760" spans="1:11" x14ac:dyDescent="0.25">
      <c r="A1760" s="6" t="s">
        <v>1898</v>
      </c>
      <c r="B1760" s="3" t="s">
        <v>1897</v>
      </c>
      <c r="C1760" s="3" t="s">
        <v>2121</v>
      </c>
      <c r="D1760" s="4">
        <v>4301051820</v>
      </c>
      <c r="E1760" s="3">
        <v>4680115884915</v>
      </c>
      <c r="F1760" s="5" t="s">
        <v>1898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ref="K1760" si="236">J1760*I1760</f>
        <v>21.6</v>
      </c>
    </row>
    <row r="1761" spans="1:11" x14ac:dyDescent="0.25">
      <c r="A1761" s="6" t="s">
        <v>1896</v>
      </c>
      <c r="B1761" s="3" t="s">
        <v>1897</v>
      </c>
      <c r="C1761" s="3" t="s">
        <v>2121</v>
      </c>
      <c r="D1761" s="4">
        <v>4301051820</v>
      </c>
      <c r="E1761" s="3">
        <v>4680115884915</v>
      </c>
      <c r="F1761" s="5" t="s">
        <v>1898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8"/>
        <v>21.6</v>
      </c>
    </row>
    <row r="1762" spans="1:11" x14ac:dyDescent="0.25">
      <c r="A1762" s="6" t="s">
        <v>1919</v>
      </c>
      <c r="B1762" s="3" t="s">
        <v>1900</v>
      </c>
      <c r="C1762" s="3" t="s">
        <v>2122</v>
      </c>
      <c r="D1762" s="4">
        <v>4301051837</v>
      </c>
      <c r="E1762" s="3">
        <v>4680115884311</v>
      </c>
      <c r="F1762" s="5" t="s">
        <v>1901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si="228"/>
        <v>21.6</v>
      </c>
    </row>
    <row r="1763" spans="1:11" x14ac:dyDescent="0.25">
      <c r="A1763" s="6" t="s">
        <v>1922</v>
      </c>
      <c r="B1763" s="3" t="s">
        <v>1900</v>
      </c>
      <c r="C1763" s="3" t="s">
        <v>2122</v>
      </c>
      <c r="D1763" s="4">
        <v>4301051837</v>
      </c>
      <c r="E1763" s="3">
        <v>4680115884311</v>
      </c>
      <c r="F1763" s="5" t="s">
        <v>1901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28"/>
        <v>21.6</v>
      </c>
    </row>
    <row r="1764" spans="1:11" x14ac:dyDescent="0.25">
      <c r="A1764" s="6" t="s">
        <v>2058</v>
      </c>
      <c r="B1764" s="3" t="s">
        <v>1900</v>
      </c>
      <c r="C1764" s="3" t="s">
        <v>2122</v>
      </c>
      <c r="D1764" s="4">
        <v>4301051837</v>
      </c>
      <c r="E1764" s="3">
        <v>4680115884311</v>
      </c>
      <c r="F1764" s="5" t="s">
        <v>1901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28"/>
        <v>21.6</v>
      </c>
    </row>
    <row r="1765" spans="1:11" x14ac:dyDescent="0.25">
      <c r="A1765" s="6" t="s">
        <v>1899</v>
      </c>
      <c r="B1765" s="3" t="s">
        <v>1900</v>
      </c>
      <c r="C1765" s="3" t="s">
        <v>2122</v>
      </c>
      <c r="D1765" s="4">
        <v>4301051837</v>
      </c>
      <c r="E1765" s="3">
        <v>4680115884311</v>
      </c>
      <c r="F1765" s="5" t="s">
        <v>1901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28"/>
        <v>21.6</v>
      </c>
    </row>
    <row r="1766" spans="1:11" ht="22.5" x14ac:dyDescent="0.25">
      <c r="A1766" s="6" t="s">
        <v>2438</v>
      </c>
      <c r="B1766" s="3" t="s">
        <v>1924</v>
      </c>
      <c r="C1766" s="3" t="s">
        <v>2608</v>
      </c>
      <c r="D1766" s="4">
        <v>4301031347</v>
      </c>
      <c r="E1766" s="3">
        <v>4680115885110</v>
      </c>
      <c r="F1766" s="5" t="s">
        <v>1925</v>
      </c>
      <c r="G1766" s="16"/>
      <c r="H1766" s="1">
        <v>50</v>
      </c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ref="K1766" si="237">J1766*I1766</f>
        <v>21.599999999999998</v>
      </c>
    </row>
    <row r="1767" spans="1:11" ht="22.5" x14ac:dyDescent="0.25">
      <c r="A1767" s="6" t="s">
        <v>1923</v>
      </c>
      <c r="B1767" s="3" t="s">
        <v>1924</v>
      </c>
      <c r="C1767" s="3" t="s">
        <v>2608</v>
      </c>
      <c r="D1767" s="4">
        <v>4301031347</v>
      </c>
      <c r="E1767" s="3">
        <v>4680115885110</v>
      </c>
      <c r="F1767" s="5" t="s">
        <v>1925</v>
      </c>
      <c r="G1767" s="16"/>
      <c r="H1767" s="1">
        <v>50</v>
      </c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si="228"/>
        <v>21.599999999999998</v>
      </c>
    </row>
    <row r="1768" spans="1:11" ht="22.5" x14ac:dyDescent="0.25">
      <c r="A1768" s="6" t="s">
        <v>1929</v>
      </c>
      <c r="B1768" s="3" t="s">
        <v>1927</v>
      </c>
      <c r="C1768" s="3" t="s">
        <v>1928</v>
      </c>
      <c r="D1768" s="4">
        <v>4301031294</v>
      </c>
      <c r="E1768" s="3">
        <v>4680115885189</v>
      </c>
      <c r="F1768" s="5" t="s">
        <v>1929</v>
      </c>
      <c r="G1768" s="16"/>
      <c r="H1768" s="1"/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38">J1768*I1768</f>
        <v>21.599999999999998</v>
      </c>
    </row>
    <row r="1769" spans="1:11" ht="22.5" x14ac:dyDescent="0.25">
      <c r="A1769" s="6" t="s">
        <v>2459</v>
      </c>
      <c r="B1769" s="3" t="s">
        <v>1927</v>
      </c>
      <c r="C1769" s="3" t="s">
        <v>1928</v>
      </c>
      <c r="D1769" s="4">
        <v>4301031294</v>
      </c>
      <c r="E1769" s="3">
        <v>4680115885189</v>
      </c>
      <c r="F1769" s="5" t="s">
        <v>1929</v>
      </c>
      <c r="G1769" s="16"/>
      <c r="H1769" s="1"/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ref="K1769" si="239">J1769*I1769</f>
        <v>21.599999999999998</v>
      </c>
    </row>
    <row r="1770" spans="1:11" ht="22.5" x14ac:dyDescent="0.25">
      <c r="A1770" s="6" t="s">
        <v>1926</v>
      </c>
      <c r="B1770" s="3" t="s">
        <v>1927</v>
      </c>
      <c r="C1770" s="3" t="s">
        <v>1928</v>
      </c>
      <c r="D1770" s="4">
        <v>4301031294</v>
      </c>
      <c r="E1770" s="3">
        <v>4680115885189</v>
      </c>
      <c r="F1770" s="5" t="s">
        <v>1929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8"/>
        <v>21.599999999999998</v>
      </c>
    </row>
    <row r="1771" spans="1:11" ht="22.5" x14ac:dyDescent="0.25">
      <c r="A1771" s="6" t="s">
        <v>1930</v>
      </c>
      <c r="B1771" s="3" t="s">
        <v>1931</v>
      </c>
      <c r="C1771" s="3" t="s">
        <v>1932</v>
      </c>
      <c r="D1771" s="4">
        <v>4301031293</v>
      </c>
      <c r="E1771" s="3">
        <v>4680115885172</v>
      </c>
      <c r="F1771" s="5" t="s">
        <v>1933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si="228"/>
        <v>21.599999999999998</v>
      </c>
    </row>
    <row r="1772" spans="1:11" x14ac:dyDescent="0.25">
      <c r="A1772" s="6" t="s">
        <v>1938</v>
      </c>
      <c r="B1772" s="3" t="s">
        <v>1939</v>
      </c>
      <c r="C1772" s="3" t="s">
        <v>1940</v>
      </c>
      <c r="D1772" s="4">
        <v>4301051740</v>
      </c>
      <c r="E1772" s="3">
        <v>4680115884533</v>
      </c>
      <c r="F1772" s="5" t="s">
        <v>1941</v>
      </c>
      <c r="G1772" s="16"/>
      <c r="H1772" s="1"/>
      <c r="I1772" s="20">
        <f>VLOOKUP(B1772,'[2]Бланк заказа'!$A:$Y,8,0)</f>
        <v>1.8</v>
      </c>
      <c r="J1772" s="1">
        <f>VLOOKUP(B1772,'[2]Бланк заказа'!$A:$Y,11,0)*1</f>
        <v>12</v>
      </c>
      <c r="K1772" s="20">
        <f t="shared" si="228"/>
        <v>21.6</v>
      </c>
    </row>
    <row r="1773" spans="1:11" x14ac:dyDescent="0.25">
      <c r="A1773" s="6" t="s">
        <v>2090</v>
      </c>
      <c r="B1773" s="3" t="s">
        <v>1980</v>
      </c>
      <c r="C1773" s="3" t="s">
        <v>2123</v>
      </c>
      <c r="D1773" s="4">
        <v>4301051842</v>
      </c>
      <c r="E1773" s="3">
        <v>4680115885233</v>
      </c>
      <c r="F1773" s="5" t="s">
        <v>1981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28"/>
        <v>21.599999999999998</v>
      </c>
    </row>
    <row r="1774" spans="1:11" x14ac:dyDescent="0.25">
      <c r="A1774" s="6" t="s">
        <v>1979</v>
      </c>
      <c r="B1774" s="3" t="s">
        <v>1980</v>
      </c>
      <c r="C1774" s="3" t="s">
        <v>2123</v>
      </c>
      <c r="D1774" s="4">
        <v>4301051842</v>
      </c>
      <c r="E1774" s="3">
        <v>4680115885233</v>
      </c>
      <c r="F1774" s="5" t="s">
        <v>1981</v>
      </c>
      <c r="G1774" s="16"/>
      <c r="H1774" s="1"/>
      <c r="I1774" s="20">
        <f>VLOOKUP(B1774,'[2]Бланк заказа'!$A:$Y,8,0)</f>
        <v>1.2</v>
      </c>
      <c r="J1774" s="1">
        <f>VLOOKUP(B1774,'[2]Бланк заказа'!$A:$Y,11,0)*1</f>
        <v>18</v>
      </c>
      <c r="K1774" s="20">
        <f t="shared" si="228"/>
        <v>21.599999999999998</v>
      </c>
    </row>
    <row r="1775" spans="1:11" ht="22.5" x14ac:dyDescent="0.25">
      <c r="A1775" s="6" t="s">
        <v>955</v>
      </c>
      <c r="B1775" s="3" t="s">
        <v>2137</v>
      </c>
      <c r="C1775" s="3" t="s">
        <v>2138</v>
      </c>
      <c r="D1775" s="4">
        <v>4301011312</v>
      </c>
      <c r="E1775" s="3">
        <v>4607091384192</v>
      </c>
      <c r="F1775" s="5" t="s">
        <v>346</v>
      </c>
      <c r="G1775" s="16"/>
      <c r="H1775" s="1"/>
      <c r="I1775" s="20" t="e">
        <f>VLOOKUP(B1775,'[2]Бланк заказа'!$A:$Y,8,0)</f>
        <v>#N/A</v>
      </c>
      <c r="J1775" s="1" t="e">
        <f>VLOOKUP(B1775,'[2]Бланк заказа'!$A:$Y,11,0)*1</f>
        <v>#N/A</v>
      </c>
      <c r="K1775" s="20" t="e">
        <f t="shared" si="228"/>
        <v>#N/A</v>
      </c>
    </row>
    <row r="1776" spans="1:11" ht="22.5" x14ac:dyDescent="0.25">
      <c r="A1776" s="6" t="s">
        <v>566</v>
      </c>
      <c r="B1776" s="3" t="s">
        <v>2113</v>
      </c>
      <c r="C1776" s="3" t="s">
        <v>2114</v>
      </c>
      <c r="D1776" s="4">
        <v>4301011324</v>
      </c>
      <c r="E1776" s="3">
        <v>4607091384185</v>
      </c>
      <c r="F1776" s="5" t="s">
        <v>345</v>
      </c>
      <c r="G1776" s="16"/>
      <c r="H1776" s="1"/>
      <c r="I1776" s="20" t="e">
        <f>VLOOKUP(B1776,'[2]Бланк заказа'!$A:$Y,8,0)</f>
        <v>#N/A</v>
      </c>
      <c r="J1776" s="1" t="e">
        <f>VLOOKUP(B1776,'[2]Бланк заказа'!$A:$Y,11,0)*1</f>
        <v>#N/A</v>
      </c>
      <c r="K1776" s="20" t="e">
        <f t="shared" si="228"/>
        <v>#N/A</v>
      </c>
    </row>
    <row r="1777" spans="1:11" ht="22.5" x14ac:dyDescent="0.25">
      <c r="A1777" s="6" t="s">
        <v>2246</v>
      </c>
      <c r="B1777" s="3" t="s">
        <v>2139</v>
      </c>
      <c r="C1777" s="3" t="s">
        <v>2140</v>
      </c>
      <c r="D1777" s="4">
        <v>4301011871</v>
      </c>
      <c r="E1777" s="3">
        <v>4680115884908</v>
      </c>
      <c r="F1777" s="5" t="s">
        <v>2141</v>
      </c>
      <c r="G1777" s="16"/>
      <c r="H1777" s="1"/>
      <c r="I1777" s="20">
        <f>VLOOKUP(B1777,'[2]Бланк заказа'!$A:$Y,8,0)</f>
        <v>4</v>
      </c>
      <c r="J1777" s="1">
        <f>VLOOKUP(B1777,'[2]Бланк заказа'!$A:$Y,11,0)*1</f>
        <v>12</v>
      </c>
      <c r="K1777" s="20">
        <f t="shared" ref="K1777" si="240">J1777*I1777</f>
        <v>48</v>
      </c>
    </row>
    <row r="1778" spans="1:11" ht="22.5" x14ac:dyDescent="0.25">
      <c r="A1778" s="6" t="s">
        <v>565</v>
      </c>
      <c r="B1778" s="3" t="s">
        <v>2139</v>
      </c>
      <c r="C1778" s="3" t="s">
        <v>2140</v>
      </c>
      <c r="D1778" s="4">
        <v>4301011871</v>
      </c>
      <c r="E1778" s="3">
        <v>4680115884908</v>
      </c>
      <c r="F1778" s="5" t="s">
        <v>2141</v>
      </c>
      <c r="G1778" s="16"/>
      <c r="H1778" s="1"/>
      <c r="I1778" s="20">
        <f>VLOOKUP(B1778,'[2]Бланк заказа'!$A:$Y,8,0)</f>
        <v>4</v>
      </c>
      <c r="J1778" s="1">
        <f>VLOOKUP(B1778,'[2]Бланк заказа'!$A:$Y,11,0)*1</f>
        <v>12</v>
      </c>
      <c r="K1778" s="20">
        <f t="shared" si="228"/>
        <v>48</v>
      </c>
    </row>
    <row r="1779" spans="1:11" ht="22.5" x14ac:dyDescent="0.25">
      <c r="A1779" s="6" t="s">
        <v>2142</v>
      </c>
      <c r="B1779" s="3" t="s">
        <v>659</v>
      </c>
      <c r="C1779" s="3" t="s">
        <v>660</v>
      </c>
      <c r="D1779" s="4">
        <v>4301031220</v>
      </c>
      <c r="E1779" s="3">
        <v>4680115882669</v>
      </c>
      <c r="F1779" s="5" t="s">
        <v>1295</v>
      </c>
      <c r="G1779" s="16"/>
      <c r="H1779" s="1"/>
      <c r="I1779" s="20">
        <f>VLOOKUP(B1779,'[2]Бланк заказа'!$A:$Y,8,0)</f>
        <v>5.4</v>
      </c>
      <c r="J1779" s="1">
        <f>VLOOKUP(B1779,'[2]Бланк заказа'!$A:$Y,11,0)*1</f>
        <v>12</v>
      </c>
      <c r="K1779" s="20">
        <f t="shared" si="228"/>
        <v>64.800000000000011</v>
      </c>
    </row>
    <row r="1780" spans="1:11" ht="22.5" x14ac:dyDescent="0.25">
      <c r="A1780" s="6" t="s">
        <v>2339</v>
      </c>
      <c r="B1780" s="3" t="s">
        <v>2151</v>
      </c>
      <c r="C1780" s="3" t="s">
        <v>2152</v>
      </c>
      <c r="D1780" s="4">
        <v>4301011762</v>
      </c>
      <c r="E1780" s="3">
        <v>4640242180922</v>
      </c>
      <c r="F1780" s="5" t="s">
        <v>2150</v>
      </c>
      <c r="G1780" s="16"/>
      <c r="H1780" s="1"/>
      <c r="I1780" s="20">
        <f>VLOOKUP(B1780,'[2]Бланк заказа'!$A:$Y,8,0)</f>
        <v>10.8</v>
      </c>
      <c r="J1780" s="1">
        <f>VLOOKUP(B1780,'[2]Бланк заказа'!$A:$Y,11,0)*1</f>
        <v>8</v>
      </c>
      <c r="K1780" s="20">
        <f t="shared" ref="K1780" si="241">J1780*I1780</f>
        <v>86.4</v>
      </c>
    </row>
    <row r="1781" spans="1:11" ht="22.5" x14ac:dyDescent="0.25">
      <c r="A1781" s="6" t="s">
        <v>2150</v>
      </c>
      <c r="B1781" s="3" t="s">
        <v>2151</v>
      </c>
      <c r="C1781" s="3" t="s">
        <v>2152</v>
      </c>
      <c r="D1781" s="4">
        <v>4301011762</v>
      </c>
      <c r="E1781" s="3">
        <v>4640242180922</v>
      </c>
      <c r="F1781" s="5" t="s">
        <v>2150</v>
      </c>
      <c r="G1781" s="16"/>
      <c r="H1781" s="1"/>
      <c r="I1781" s="20">
        <f>VLOOKUP(B1781,'[2]Бланк заказа'!$A:$Y,8,0)</f>
        <v>10.8</v>
      </c>
      <c r="J1781" s="1">
        <f>VLOOKUP(B1781,'[2]Бланк заказа'!$A:$Y,11,0)*1</f>
        <v>8</v>
      </c>
      <c r="K1781" s="20">
        <f t="shared" si="228"/>
        <v>86.4</v>
      </c>
    </row>
    <row r="1782" spans="1:11" x14ac:dyDescent="0.25">
      <c r="A1782" s="6" t="s">
        <v>2287</v>
      </c>
      <c r="B1782" s="3" t="s">
        <v>2154</v>
      </c>
      <c r="C1782" s="3" t="s">
        <v>2155</v>
      </c>
      <c r="D1782" s="4">
        <v>4301060354</v>
      </c>
      <c r="E1782" s="3">
        <v>4640242180120</v>
      </c>
      <c r="F1782" s="5" t="s">
        <v>2153</v>
      </c>
      <c r="G1782" s="16"/>
      <c r="H1782" s="1"/>
      <c r="I1782" s="20">
        <f>VLOOKUP(B1782,'[2]Бланк заказа'!$A:$Y,8,0)</f>
        <v>7.8</v>
      </c>
      <c r="J1782" s="1">
        <f>VLOOKUP(B1782,'[2]Бланк заказа'!$A:$Y,11,0)*1</f>
        <v>8</v>
      </c>
      <c r="K1782" s="20">
        <f t="shared" ref="K1782" si="242">J1782*I1782</f>
        <v>62.4</v>
      </c>
    </row>
    <row r="1783" spans="1:11" x14ac:dyDescent="0.25">
      <c r="A1783" s="6" t="s">
        <v>2153</v>
      </c>
      <c r="B1783" s="3" t="s">
        <v>2154</v>
      </c>
      <c r="C1783" s="3" t="s">
        <v>2155</v>
      </c>
      <c r="D1783" s="4">
        <v>4301060354</v>
      </c>
      <c r="E1783" s="3">
        <v>4640242180120</v>
      </c>
      <c r="F1783" s="5" t="s">
        <v>2153</v>
      </c>
      <c r="G1783" s="16"/>
      <c r="H1783" s="1"/>
      <c r="I1783" s="20">
        <f>VLOOKUP(B1783,'[2]Бланк заказа'!$A:$Y,8,0)</f>
        <v>7.8</v>
      </c>
      <c r="J1783" s="1">
        <f>VLOOKUP(B1783,'[2]Бланк заказа'!$A:$Y,11,0)*1</f>
        <v>8</v>
      </c>
      <c r="K1783" s="20">
        <f t="shared" si="228"/>
        <v>62.4</v>
      </c>
    </row>
    <row r="1784" spans="1:11" ht="22.5" x14ac:dyDescent="0.25">
      <c r="A1784" s="6" t="s">
        <v>2570</v>
      </c>
      <c r="B1784" s="3" t="s">
        <v>2163</v>
      </c>
      <c r="C1784" s="3" t="s">
        <v>2164</v>
      </c>
      <c r="D1784" s="4">
        <v>4301011850</v>
      </c>
      <c r="E1784" s="3">
        <v>4680115885806</v>
      </c>
      <c r="F1784" s="5" t="s">
        <v>2165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ref="K1784" si="243">J1784*I1784</f>
        <v>86.4</v>
      </c>
    </row>
    <row r="1785" spans="1:11" ht="22.5" x14ac:dyDescent="0.25">
      <c r="A1785" s="6" t="s">
        <v>2508</v>
      </c>
      <c r="B1785" s="3" t="s">
        <v>2163</v>
      </c>
      <c r="C1785" s="3" t="s">
        <v>2164</v>
      </c>
      <c r="D1785" s="4">
        <v>4301011850</v>
      </c>
      <c r="E1785" s="3">
        <v>4680115885806</v>
      </c>
      <c r="F1785" s="5" t="s">
        <v>2165</v>
      </c>
      <c r="G1785" s="16"/>
      <c r="H1785" s="1"/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si="228"/>
        <v>86.4</v>
      </c>
    </row>
    <row r="1786" spans="1:11" ht="22.5" x14ac:dyDescent="0.25">
      <c r="A1786" s="6" t="s">
        <v>2533</v>
      </c>
      <c r="B1786" s="3" t="s">
        <v>2163</v>
      </c>
      <c r="C1786" s="3" t="s">
        <v>2164</v>
      </c>
      <c r="D1786" s="4">
        <v>4301011850</v>
      </c>
      <c r="E1786" s="3">
        <v>4680115885806</v>
      </c>
      <c r="F1786" s="5" t="s">
        <v>2165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4">J1786*I1786</f>
        <v>86.4</v>
      </c>
    </row>
    <row r="1787" spans="1:11" ht="22.5" x14ac:dyDescent="0.25">
      <c r="A1787" s="6" t="s">
        <v>2621</v>
      </c>
      <c r="B1787" s="3" t="s">
        <v>2163</v>
      </c>
      <c r="C1787" s="3" t="s">
        <v>2164</v>
      </c>
      <c r="D1787" s="4">
        <v>4301011850</v>
      </c>
      <c r="E1787" s="3">
        <v>4680115885806</v>
      </c>
      <c r="F1787" s="5" t="s">
        <v>2165</v>
      </c>
      <c r="G1787" s="16"/>
      <c r="H1787" s="1"/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" si="245">J1787*I1787</f>
        <v>86.4</v>
      </c>
    </row>
    <row r="1788" spans="1:11" ht="22.5" x14ac:dyDescent="0.25">
      <c r="A1788" s="6" t="s">
        <v>2162</v>
      </c>
      <c r="B1788" s="3" t="s">
        <v>2163</v>
      </c>
      <c r="C1788" s="3" t="s">
        <v>2164</v>
      </c>
      <c r="D1788" s="4">
        <v>4301011850</v>
      </c>
      <c r="E1788" s="3">
        <v>4680115885806</v>
      </c>
      <c r="F1788" s="5" t="s">
        <v>2165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ref="K1788:K1797" si="246">J1788*I1788</f>
        <v>86.4</v>
      </c>
    </row>
    <row r="1789" spans="1:11" ht="22.5" x14ac:dyDescent="0.25">
      <c r="A1789" s="6" t="s">
        <v>844</v>
      </c>
      <c r="B1789" s="3" t="s">
        <v>2167</v>
      </c>
      <c r="C1789" s="3" t="s">
        <v>2168</v>
      </c>
      <c r="D1789" s="4">
        <v>4301011855</v>
      </c>
      <c r="E1789" s="3">
        <v>4680115885837</v>
      </c>
      <c r="F1789" s="5" t="s">
        <v>2169</v>
      </c>
      <c r="G1789" s="16"/>
      <c r="H1789" s="1">
        <v>55</v>
      </c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2325</v>
      </c>
      <c r="B1790" s="3" t="s">
        <v>2167</v>
      </c>
      <c r="C1790" s="3" t="s">
        <v>2168</v>
      </c>
      <c r="D1790" s="4">
        <v>4301011855</v>
      </c>
      <c r="E1790" s="3">
        <v>4680115885837</v>
      </c>
      <c r="F1790" s="5" t="s">
        <v>2169</v>
      </c>
      <c r="G1790" s="16"/>
      <c r="H1790" s="1">
        <v>55</v>
      </c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2535</v>
      </c>
      <c r="B1791" s="3" t="s">
        <v>2167</v>
      </c>
      <c r="C1791" s="3" t="s">
        <v>2168</v>
      </c>
      <c r="D1791" s="4">
        <v>4301011855</v>
      </c>
      <c r="E1791" s="3">
        <v>4680115885837</v>
      </c>
      <c r="F1791" s="5" t="s">
        <v>2169</v>
      </c>
      <c r="G1791" s="16"/>
      <c r="H1791" s="1">
        <v>55</v>
      </c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" si="249">J1791*I1791</f>
        <v>86.4</v>
      </c>
    </row>
    <row r="1792" spans="1:11" ht="22.5" x14ac:dyDescent="0.25">
      <c r="A1792" s="6" t="s">
        <v>2166</v>
      </c>
      <c r="B1792" s="3" t="s">
        <v>2167</v>
      </c>
      <c r="C1792" s="3" t="s">
        <v>2168</v>
      </c>
      <c r="D1792" s="4">
        <v>4301011855</v>
      </c>
      <c r="E1792" s="3">
        <v>4680115885837</v>
      </c>
      <c r="F1792" s="5" t="s">
        <v>2169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si="246"/>
        <v>86.4</v>
      </c>
    </row>
    <row r="1793" spans="1:11" ht="22.5" x14ac:dyDescent="0.25">
      <c r="A1793" s="6" t="s">
        <v>2390</v>
      </c>
      <c r="B1793" s="3" t="s">
        <v>2174</v>
      </c>
      <c r="C1793" s="3" t="s">
        <v>2175</v>
      </c>
      <c r="D1793" s="4">
        <v>4301011858</v>
      </c>
      <c r="E1793" s="3">
        <v>4680115885646</v>
      </c>
      <c r="F1793" s="5" t="s">
        <v>2176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0">J1793*I1793</f>
        <v>86.4</v>
      </c>
    </row>
    <row r="1794" spans="1:11" ht="22.5" x14ac:dyDescent="0.25">
      <c r="A1794" s="6" t="s">
        <v>2401</v>
      </c>
      <c r="B1794" s="3" t="s">
        <v>2174</v>
      </c>
      <c r="C1794" s="3" t="s">
        <v>2175</v>
      </c>
      <c r="D1794" s="4">
        <v>4301011858</v>
      </c>
      <c r="E1794" s="3">
        <v>4680115885646</v>
      </c>
      <c r="F1794" s="5" t="s">
        <v>2176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:K1795" si="251">J1794*I1794</f>
        <v>86.4</v>
      </c>
    </row>
    <row r="1795" spans="1:11" ht="22.5" x14ac:dyDescent="0.25">
      <c r="A1795" s="6" t="s">
        <v>2452</v>
      </c>
      <c r="B1795" s="3" t="s">
        <v>2174</v>
      </c>
      <c r="C1795" s="3" t="s">
        <v>2175</v>
      </c>
      <c r="D1795" s="4">
        <v>4301011858</v>
      </c>
      <c r="E1795" s="3">
        <v>4680115885646</v>
      </c>
      <c r="F1795" s="5" t="s">
        <v>2176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51"/>
        <v>86.4</v>
      </c>
    </row>
    <row r="1796" spans="1:11" ht="22.5" x14ac:dyDescent="0.25">
      <c r="A1796" s="6" t="s">
        <v>2597</v>
      </c>
      <c r="B1796" s="3" t="s">
        <v>2174</v>
      </c>
      <c r="C1796" s="3" t="s">
        <v>2175</v>
      </c>
      <c r="D1796" s="4">
        <v>4301011858</v>
      </c>
      <c r="E1796" s="3">
        <v>4680115885646</v>
      </c>
      <c r="F1796" s="5" t="s">
        <v>2176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2">J1796*I1796</f>
        <v>86.4</v>
      </c>
    </row>
    <row r="1797" spans="1:11" ht="22.5" x14ac:dyDescent="0.25">
      <c r="A1797" s="6" t="s">
        <v>2267</v>
      </c>
      <c r="B1797" s="3" t="s">
        <v>2174</v>
      </c>
      <c r="C1797" s="3" t="s">
        <v>2175</v>
      </c>
      <c r="D1797" s="4">
        <v>4301011858</v>
      </c>
      <c r="E1797" s="3">
        <v>4680115885646</v>
      </c>
      <c r="F1797" s="5" t="s">
        <v>2176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si="246"/>
        <v>86.4</v>
      </c>
    </row>
    <row r="1798" spans="1:11" ht="22.5" x14ac:dyDescent="0.25">
      <c r="A1798" s="6" t="s">
        <v>2328</v>
      </c>
      <c r="B1798" s="3" t="s">
        <v>2174</v>
      </c>
      <c r="C1798" s="3" t="s">
        <v>2175</v>
      </c>
      <c r="D1798" s="4">
        <v>4301011858</v>
      </c>
      <c r="E1798" s="3">
        <v>4680115885646</v>
      </c>
      <c r="F1798" s="5" t="s">
        <v>2176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" si="253">J1798*I1798</f>
        <v>86.4</v>
      </c>
    </row>
    <row r="1799" spans="1:11" ht="22.5" x14ac:dyDescent="0.25">
      <c r="A1799" s="6" t="s">
        <v>2176</v>
      </c>
      <c r="B1799" s="3" t="s">
        <v>2174</v>
      </c>
      <c r="C1799" s="3" t="s">
        <v>2175</v>
      </c>
      <c r="D1799" s="4">
        <v>4301011858</v>
      </c>
      <c r="E1799" s="3">
        <v>4680115885646</v>
      </c>
      <c r="F1799" s="5" t="s">
        <v>2176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:K1800" si="254">J1799*I1799</f>
        <v>86.4</v>
      </c>
    </row>
    <row r="1800" spans="1:11" ht="22.5" x14ac:dyDescent="0.25">
      <c r="A1800" s="6" t="s">
        <v>2569</v>
      </c>
      <c r="B1800" s="3" t="s">
        <v>2174</v>
      </c>
      <c r="C1800" s="3" t="s">
        <v>2175</v>
      </c>
      <c r="D1800" s="4">
        <v>4301011858</v>
      </c>
      <c r="E1800" s="3">
        <v>4680115885646</v>
      </c>
      <c r="F1800" s="5" t="s">
        <v>2176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54"/>
        <v>86.4</v>
      </c>
    </row>
    <row r="1801" spans="1:11" ht="22.5" x14ac:dyDescent="0.25">
      <c r="A1801" s="6" t="s">
        <v>2385</v>
      </c>
      <c r="B1801" s="3" t="s">
        <v>2174</v>
      </c>
      <c r="C1801" s="3" t="s">
        <v>2175</v>
      </c>
      <c r="D1801" s="4">
        <v>4301011858</v>
      </c>
      <c r="E1801" s="3">
        <v>4680115885646</v>
      </c>
      <c r="F1801" s="5" t="s">
        <v>2176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5">J1801*I1801</f>
        <v>86.4</v>
      </c>
    </row>
    <row r="1802" spans="1:11" ht="22.5" x14ac:dyDescent="0.25">
      <c r="A1802" s="6" t="s">
        <v>2173</v>
      </c>
      <c r="B1802" s="3" t="s">
        <v>2174</v>
      </c>
      <c r="C1802" s="3" t="s">
        <v>2175</v>
      </c>
      <c r="D1802" s="4">
        <v>4301011858</v>
      </c>
      <c r="E1802" s="3">
        <v>4680115885646</v>
      </c>
      <c r="F1802" s="5" t="s">
        <v>2176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6" si="256">J1802*I1802</f>
        <v>86.4</v>
      </c>
    </row>
    <row r="1803" spans="1:11" ht="22.5" x14ac:dyDescent="0.25">
      <c r="A1803" s="6" t="s">
        <v>2453</v>
      </c>
      <c r="B1803" s="3" t="s">
        <v>2178</v>
      </c>
      <c r="C1803" s="3" t="s">
        <v>2179</v>
      </c>
      <c r="D1803" s="4">
        <v>4301011853</v>
      </c>
      <c r="E1803" s="3">
        <v>4680115885851</v>
      </c>
      <c r="F1803" s="5" t="s">
        <v>2180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ref="K1803" si="257">J1803*I1803</f>
        <v>86.4</v>
      </c>
    </row>
    <row r="1804" spans="1:11" ht="22.5" x14ac:dyDescent="0.25">
      <c r="A1804" s="6" t="s">
        <v>2271</v>
      </c>
      <c r="B1804" s="3" t="s">
        <v>2178</v>
      </c>
      <c r="C1804" s="3" t="s">
        <v>2179</v>
      </c>
      <c r="D1804" s="4">
        <v>4301011853</v>
      </c>
      <c r="E1804" s="3">
        <v>4680115885851</v>
      </c>
      <c r="F1804" s="5" t="s">
        <v>2180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si="256"/>
        <v>86.4</v>
      </c>
    </row>
    <row r="1805" spans="1:11" ht="22.5" x14ac:dyDescent="0.25">
      <c r="A1805" s="6" t="s">
        <v>2394</v>
      </c>
      <c r="B1805" s="3" t="s">
        <v>2178</v>
      </c>
      <c r="C1805" s="3" t="s">
        <v>2179</v>
      </c>
      <c r="D1805" s="4">
        <v>4301011853</v>
      </c>
      <c r="E1805" s="3">
        <v>4680115885851</v>
      </c>
      <c r="F1805" s="5" t="s">
        <v>2180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" si="258">J1805*I1805</f>
        <v>86.4</v>
      </c>
    </row>
    <row r="1806" spans="1:11" ht="22.5" x14ac:dyDescent="0.25">
      <c r="A1806" s="6" t="s">
        <v>2356</v>
      </c>
      <c r="B1806" s="3" t="s">
        <v>2178</v>
      </c>
      <c r="C1806" s="3" t="s">
        <v>2179</v>
      </c>
      <c r="D1806" s="4">
        <v>4301011853</v>
      </c>
      <c r="E1806" s="3">
        <v>4680115885851</v>
      </c>
      <c r="F1806" s="5" t="s">
        <v>2180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si="256"/>
        <v>86.4</v>
      </c>
    </row>
    <row r="1807" spans="1:11" ht="22.5" x14ac:dyDescent="0.25">
      <c r="A1807" s="6" t="s">
        <v>2331</v>
      </c>
      <c r="B1807" s="3" t="s">
        <v>2178</v>
      </c>
      <c r="C1807" s="3" t="s">
        <v>2179</v>
      </c>
      <c r="D1807" s="4">
        <v>4301011853</v>
      </c>
      <c r="E1807" s="3">
        <v>4680115885851</v>
      </c>
      <c r="F1807" s="5" t="s">
        <v>2180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59">J1807*I1807</f>
        <v>86.4</v>
      </c>
    </row>
    <row r="1808" spans="1:11" ht="22.5" x14ac:dyDescent="0.25">
      <c r="A1808" s="6" t="s">
        <v>2537</v>
      </c>
      <c r="B1808" s="3" t="s">
        <v>2178</v>
      </c>
      <c r="C1808" s="3" t="s">
        <v>2179</v>
      </c>
      <c r="D1808" s="4">
        <v>4301011853</v>
      </c>
      <c r="E1808" s="3">
        <v>4680115885851</v>
      </c>
      <c r="F1808" s="5" t="s">
        <v>2180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0">J1808*I1808</f>
        <v>86.4</v>
      </c>
    </row>
    <row r="1809" spans="1:11" ht="22.5" x14ac:dyDescent="0.25">
      <c r="A1809" s="6" t="s">
        <v>2177</v>
      </c>
      <c r="B1809" s="3" t="s">
        <v>2178</v>
      </c>
      <c r="C1809" s="3" t="s">
        <v>2179</v>
      </c>
      <c r="D1809" s="4">
        <v>4301011853</v>
      </c>
      <c r="E1809" s="3">
        <v>4680115885851</v>
      </c>
      <c r="F1809" s="5" t="s">
        <v>2180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ref="K1809:K1812" si="261">J1809*I1809</f>
        <v>86.4</v>
      </c>
    </row>
    <row r="1810" spans="1:11" ht="22.5" x14ac:dyDescent="0.25">
      <c r="A1810" s="6" t="s">
        <v>2623</v>
      </c>
      <c r="B1810" s="3" t="s">
        <v>2178</v>
      </c>
      <c r="C1810" s="3" t="s">
        <v>2179</v>
      </c>
      <c r="D1810" s="4">
        <v>4301011853</v>
      </c>
      <c r="E1810" s="3">
        <v>4680115885851</v>
      </c>
      <c r="F1810" s="5" t="s">
        <v>2180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2521</v>
      </c>
      <c r="B1811" s="3" t="s">
        <v>2178</v>
      </c>
      <c r="C1811" s="3" t="s">
        <v>2179</v>
      </c>
      <c r="D1811" s="4">
        <v>4301011853</v>
      </c>
      <c r="E1811" s="3">
        <v>4680115885851</v>
      </c>
      <c r="F1811" s="5" t="s">
        <v>2180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2072</v>
      </c>
      <c r="B1812" s="3" t="s">
        <v>2182</v>
      </c>
      <c r="C1812" s="3" t="s">
        <v>2183</v>
      </c>
      <c r="D1812" s="4">
        <v>4301011857</v>
      </c>
      <c r="E1812" s="3">
        <v>4680115885622</v>
      </c>
      <c r="F1812" s="5" t="s">
        <v>2184</v>
      </c>
      <c r="G1812" s="16" t="s">
        <v>1705</v>
      </c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si="261"/>
        <v>48</v>
      </c>
    </row>
    <row r="1813" spans="1:11" ht="22.5" x14ac:dyDescent="0.25">
      <c r="A1813" s="6" t="s">
        <v>2379</v>
      </c>
      <c r="B1813" s="3" t="s">
        <v>2182</v>
      </c>
      <c r="C1813" s="3" t="s">
        <v>2183</v>
      </c>
      <c r="D1813" s="4">
        <v>4301011857</v>
      </c>
      <c r="E1813" s="3">
        <v>4680115885622</v>
      </c>
      <c r="F1813" s="5" t="s">
        <v>2184</v>
      </c>
      <c r="G1813" s="16" t="s">
        <v>1705</v>
      </c>
      <c r="H1813" s="1"/>
      <c r="I1813" s="20">
        <f>VLOOKUP(B1813,'[2]Бланк заказа'!$A:$Y,8,0)</f>
        <v>4</v>
      </c>
      <c r="J1813" s="1">
        <f>VLOOKUP(B1813,'[2]Бланк заказа'!$A:$Y,11,0)*1</f>
        <v>12</v>
      </c>
      <c r="K1813" s="20">
        <f t="shared" ref="K1813" si="264">J1813*I1813</f>
        <v>48</v>
      </c>
    </row>
    <row r="1814" spans="1:11" ht="22.5" x14ac:dyDescent="0.25">
      <c r="A1814" s="6" t="s">
        <v>2384</v>
      </c>
      <c r="B1814" s="3" t="s">
        <v>2182</v>
      </c>
      <c r="C1814" s="3" t="s">
        <v>2183</v>
      </c>
      <c r="D1814" s="4">
        <v>4301011857</v>
      </c>
      <c r="E1814" s="3">
        <v>4680115885622</v>
      </c>
      <c r="F1814" s="5" t="s">
        <v>2184</v>
      </c>
      <c r="G1814" s="16"/>
      <c r="H1814" s="1"/>
      <c r="I1814" s="20">
        <f>VLOOKUP(B1814,'[2]Бланк заказа'!$A:$Y,8,0)</f>
        <v>4</v>
      </c>
      <c r="J1814" s="1">
        <f>VLOOKUP(B1814,'[2]Бланк заказа'!$A:$Y,11,0)*1</f>
        <v>12</v>
      </c>
      <c r="K1814" s="20">
        <f t="shared" ref="K1814:K1815" si="265">J1814*I1814</f>
        <v>48</v>
      </c>
    </row>
    <row r="1815" spans="1:11" ht="22.5" x14ac:dyDescent="0.25">
      <c r="A1815" s="6" t="s">
        <v>2559</v>
      </c>
      <c r="B1815" s="3" t="s">
        <v>2182</v>
      </c>
      <c r="C1815" s="3" t="s">
        <v>2183</v>
      </c>
      <c r="D1815" s="4">
        <v>4301011857</v>
      </c>
      <c r="E1815" s="3">
        <v>4680115885622</v>
      </c>
      <c r="F1815" s="5" t="s">
        <v>2184</v>
      </c>
      <c r="G1815" s="16"/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5"/>
        <v>48</v>
      </c>
    </row>
    <row r="1816" spans="1:11" ht="22.5" x14ac:dyDescent="0.25">
      <c r="A1816" s="6" t="s">
        <v>2181</v>
      </c>
      <c r="B1816" s="3" t="s">
        <v>2182</v>
      </c>
      <c r="C1816" s="3" t="s">
        <v>2183</v>
      </c>
      <c r="D1816" s="4">
        <v>4301011857</v>
      </c>
      <c r="E1816" s="3">
        <v>4680115885622</v>
      </c>
      <c r="F1816" s="5" t="s">
        <v>2184</v>
      </c>
      <c r="G1816" s="16"/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6">J1816*I1816</f>
        <v>48</v>
      </c>
    </row>
    <row r="1817" spans="1:11" ht="22.5" x14ac:dyDescent="0.25">
      <c r="A1817" s="6" t="s">
        <v>2248</v>
      </c>
      <c r="B1817" s="3" t="s">
        <v>2234</v>
      </c>
      <c r="C1817" s="3" t="s">
        <v>2235</v>
      </c>
      <c r="D1817" s="4">
        <v>4301011875</v>
      </c>
      <c r="E1817" s="3">
        <v>4680115884885</v>
      </c>
      <c r="F1817" s="5" t="s">
        <v>2236</v>
      </c>
      <c r="G1817" s="16"/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ref="K1817:K1818" si="267">J1817*I1817</f>
        <v>96</v>
      </c>
    </row>
    <row r="1818" spans="1:11" ht="22.5" x14ac:dyDescent="0.25">
      <c r="A1818" s="6" t="s">
        <v>2404</v>
      </c>
      <c r="B1818" s="3" t="s">
        <v>2234</v>
      </c>
      <c r="C1818" s="3" t="s">
        <v>2235</v>
      </c>
      <c r="D1818" s="4">
        <v>4301011875</v>
      </c>
      <c r="E1818" s="3">
        <v>4680115884885</v>
      </c>
      <c r="F1818" s="5" t="s">
        <v>2236</v>
      </c>
      <c r="G1818" s="16" t="s">
        <v>2358</v>
      </c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si="267"/>
        <v>96</v>
      </c>
    </row>
    <row r="1819" spans="1:11" ht="22.5" x14ac:dyDescent="0.25">
      <c r="A1819" s="6" t="s">
        <v>1108</v>
      </c>
      <c r="B1819" s="3" t="s">
        <v>2234</v>
      </c>
      <c r="C1819" s="3" t="s">
        <v>2235</v>
      </c>
      <c r="D1819" s="4">
        <v>4301011875</v>
      </c>
      <c r="E1819" s="3">
        <v>4680115884885</v>
      </c>
      <c r="F1819" s="5" t="s">
        <v>2236</v>
      </c>
      <c r="G1819" s="16" t="s">
        <v>2358</v>
      </c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68">J1819*I1819</f>
        <v>96</v>
      </c>
    </row>
    <row r="1820" spans="1:11" ht="22.5" x14ac:dyDescent="0.25">
      <c r="A1820" s="6" t="s">
        <v>2633</v>
      </c>
      <c r="B1820" s="3" t="s">
        <v>2234</v>
      </c>
      <c r="C1820" s="3" t="s">
        <v>2235</v>
      </c>
      <c r="D1820" s="4">
        <v>4301011875</v>
      </c>
      <c r="E1820" s="3">
        <v>4680115884885</v>
      </c>
      <c r="F1820" s="5" t="s">
        <v>2236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" si="269">J1820*I1820</f>
        <v>96</v>
      </c>
    </row>
    <row r="1821" spans="1:11" ht="22.5" x14ac:dyDescent="0.25">
      <c r="A1821" s="6" t="s">
        <v>2258</v>
      </c>
      <c r="B1821" s="3" t="s">
        <v>2234</v>
      </c>
      <c r="C1821" s="3" t="s">
        <v>2235</v>
      </c>
      <c r="D1821" s="4">
        <v>4301011875</v>
      </c>
      <c r="E1821" s="3">
        <v>4680115884885</v>
      </c>
      <c r="F1821" s="5" t="s">
        <v>2236</v>
      </c>
      <c r="G1821" s="16"/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ref="K1821" si="270">J1821*I1821</f>
        <v>96</v>
      </c>
    </row>
    <row r="1822" spans="1:11" ht="22.5" x14ac:dyDescent="0.25">
      <c r="A1822" s="6" t="s">
        <v>2292</v>
      </c>
      <c r="B1822" s="3" t="s">
        <v>2234</v>
      </c>
      <c r="C1822" s="3" t="s">
        <v>2235</v>
      </c>
      <c r="D1822" s="4">
        <v>4301011875</v>
      </c>
      <c r="E1822" s="3">
        <v>4680115884885</v>
      </c>
      <c r="F1822" s="5" t="s">
        <v>2236</v>
      </c>
      <c r="G1822" s="16"/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45" x14ac:dyDescent="0.25">
      <c r="A1823" s="6" t="s">
        <v>2003</v>
      </c>
      <c r="B1823" s="3" t="s">
        <v>2234</v>
      </c>
      <c r="C1823" s="3" t="s">
        <v>2235</v>
      </c>
      <c r="D1823" s="4">
        <v>4301011875</v>
      </c>
      <c r="E1823" s="3">
        <v>4680115884885</v>
      </c>
      <c r="F1823" s="5" t="s">
        <v>2236</v>
      </c>
      <c r="G1823" s="16" t="s">
        <v>2237</v>
      </c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2272</v>
      </c>
      <c r="B1824" s="3" t="s">
        <v>2273</v>
      </c>
      <c r="C1824" s="3" t="s">
        <v>2274</v>
      </c>
      <c r="D1824" s="4">
        <v>4301031261</v>
      </c>
      <c r="E1824" s="3">
        <v>4680115885103</v>
      </c>
      <c r="F1824" s="5" t="s">
        <v>2275</v>
      </c>
      <c r="G1824" s="16"/>
      <c r="H1824" s="1"/>
      <c r="I1824" s="20">
        <f>VLOOKUP(B1824,'[2]Бланк заказа'!$A:$Y,8,0)</f>
        <v>1.62</v>
      </c>
      <c r="J1824" s="1">
        <f>VLOOKUP(B1824,'[2]Бланк заказа'!$A:$Y,11,0)*1</f>
        <v>12</v>
      </c>
      <c r="K1824" s="20">
        <f t="shared" ref="K1824" si="273">J1824*I1824</f>
        <v>19.440000000000001</v>
      </c>
    </row>
    <row r="1825" spans="1:11" ht="22.5" x14ac:dyDescent="0.25">
      <c r="A1825" s="6" t="s">
        <v>2288</v>
      </c>
      <c r="B1825" s="3" t="s">
        <v>2289</v>
      </c>
      <c r="C1825" s="3" t="s">
        <v>2290</v>
      </c>
      <c r="D1825" s="4">
        <v>4301060355</v>
      </c>
      <c r="E1825" s="3">
        <v>4640242180137</v>
      </c>
      <c r="F1825" s="5" t="s">
        <v>2291</v>
      </c>
      <c r="G1825" s="16"/>
      <c r="H1825" s="1"/>
      <c r="I1825" s="20">
        <f>VLOOKUP(B1825,'[2]Бланк заказа'!$A:$Y,8,0)</f>
        <v>7.8</v>
      </c>
      <c r="J1825" s="1">
        <f>VLOOKUP(B1825,'[2]Бланк заказа'!$A:$Y,11,0)*1</f>
        <v>8</v>
      </c>
      <c r="K1825" s="20">
        <f t="shared" ref="K1825:K1826" si="274">J1825*I1825</f>
        <v>62.4</v>
      </c>
    </row>
    <row r="1826" spans="1:11" ht="22.5" x14ac:dyDescent="0.25">
      <c r="A1826" s="6" t="s">
        <v>2298</v>
      </c>
      <c r="B1826" s="3" t="s">
        <v>2299</v>
      </c>
      <c r="C1826" s="3" t="s">
        <v>2300</v>
      </c>
      <c r="D1826" s="4">
        <v>4301011764</v>
      </c>
      <c r="E1826" s="3">
        <v>4640242181189</v>
      </c>
      <c r="F1826" s="5" t="s">
        <v>2301</v>
      </c>
      <c r="G1826" s="16"/>
      <c r="H1826" s="1"/>
      <c r="I1826" s="20">
        <f>VLOOKUP(B1826,'[2]Бланк заказа'!$A:$Y,8,0)</f>
        <v>4</v>
      </c>
      <c r="J1826" s="1">
        <f>VLOOKUP(B1826,'[2]Бланк заказа'!$A:$Y,11,0)*1</f>
        <v>12</v>
      </c>
      <c r="K1826" s="20">
        <f t="shared" si="274"/>
        <v>48</v>
      </c>
    </row>
    <row r="1827" spans="1:11" x14ac:dyDescent="0.25">
      <c r="A1827" s="6" t="s">
        <v>2302</v>
      </c>
      <c r="B1827" s="3" t="s">
        <v>2303</v>
      </c>
      <c r="C1827" s="3" t="s">
        <v>2304</v>
      </c>
      <c r="D1827" s="4">
        <v>4301011551</v>
      </c>
      <c r="E1827" s="3">
        <v>4640242180038</v>
      </c>
      <c r="F1827" s="5" t="s">
        <v>2305</v>
      </c>
      <c r="G1827" s="16"/>
      <c r="H1827" s="1"/>
      <c r="I1827" s="20">
        <f>VLOOKUP(B1827,'[2]Бланк заказа'!$A:$Y,8,0)</f>
        <v>4</v>
      </c>
      <c r="J1827" s="1">
        <f>VLOOKUP(B1827,'[2]Бланк заказа'!$A:$Y,11,0)*1</f>
        <v>12</v>
      </c>
      <c r="K1827" s="20">
        <f t="shared" ref="K1827" si="275">J1827*I1827</f>
        <v>48</v>
      </c>
    </row>
    <row r="1828" spans="1:11" ht="22.5" x14ac:dyDescent="0.25">
      <c r="A1828" s="6" t="s">
        <v>2306</v>
      </c>
      <c r="B1828" s="3" t="s">
        <v>2307</v>
      </c>
      <c r="C1828" s="3" t="s">
        <v>2308</v>
      </c>
      <c r="D1828" s="4">
        <v>4301011765</v>
      </c>
      <c r="E1828" s="3">
        <v>4640242181172</v>
      </c>
      <c r="F1828" s="5" t="s">
        <v>2309</v>
      </c>
      <c r="G1828" s="16"/>
      <c r="H1828" s="1"/>
      <c r="I1828" s="20">
        <f>VLOOKUP(B1828,'[2]Бланк заказа'!$A:$Y,8,0)</f>
        <v>4</v>
      </c>
      <c r="J1828" s="1">
        <f>VLOOKUP(B1828,'[2]Бланк заказа'!$A:$Y,11,0)*1</f>
        <v>12</v>
      </c>
      <c r="K1828" s="20">
        <f t="shared" ref="K1828:K1829" si="276">J1828*I1828</f>
        <v>48</v>
      </c>
    </row>
    <row r="1829" spans="1:11" x14ac:dyDescent="0.25">
      <c r="A1829" s="6" t="s">
        <v>2310</v>
      </c>
      <c r="B1829" s="3" t="s">
        <v>2311</v>
      </c>
      <c r="C1829" s="3" t="s">
        <v>2312</v>
      </c>
      <c r="D1829" s="4">
        <v>4301020295</v>
      </c>
      <c r="E1829" s="3">
        <v>4640242181363</v>
      </c>
      <c r="F1829" s="5" t="s">
        <v>2313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6"/>
        <v>48</v>
      </c>
    </row>
    <row r="1830" spans="1:11" ht="22.5" x14ac:dyDescent="0.25">
      <c r="A1830" s="6" t="s">
        <v>2316</v>
      </c>
      <c r="B1830" s="3" t="s">
        <v>2317</v>
      </c>
      <c r="C1830" s="3" t="s">
        <v>2318</v>
      </c>
      <c r="D1830" s="4">
        <v>4301011763</v>
      </c>
      <c r="E1830" s="3">
        <v>4640242181011</v>
      </c>
      <c r="F1830" s="5" t="s">
        <v>2319</v>
      </c>
      <c r="G1830" s="16"/>
      <c r="H1830" s="1"/>
      <c r="I1830" s="20">
        <f>VLOOKUP(B1830,'[2]Бланк заказа'!$A:$Y,8,0)</f>
        <v>10.8</v>
      </c>
      <c r="J1830" s="1">
        <f>VLOOKUP(B1830,'[2]Бланк заказа'!$A:$Y,11,0)*1</f>
        <v>8</v>
      </c>
      <c r="K1830" s="20">
        <f t="shared" ref="K1830:K1831" si="277">J1830*I1830</f>
        <v>86.4</v>
      </c>
    </row>
    <row r="1831" spans="1:11" x14ac:dyDescent="0.25">
      <c r="A1831" s="6" t="s">
        <v>2320</v>
      </c>
      <c r="B1831" s="3" t="s">
        <v>2321</v>
      </c>
      <c r="C1831" s="3" t="s">
        <v>2322</v>
      </c>
      <c r="D1831" s="4">
        <v>4301020309</v>
      </c>
      <c r="E1831" s="3">
        <v>4640242180090</v>
      </c>
      <c r="F1831" s="5" t="s">
        <v>2323</v>
      </c>
      <c r="G1831" s="16"/>
      <c r="H1831" s="1"/>
      <c r="I1831" s="20">
        <f>VLOOKUP(B1831,'[2]Бланк заказа'!$A:$Y,8,0)</f>
        <v>10.8</v>
      </c>
      <c r="J1831" s="1">
        <f>VLOOKUP(B1831,'[2]Бланк заказа'!$A:$Y,11,0)*1</f>
        <v>8</v>
      </c>
      <c r="K1831" s="20">
        <f t="shared" si="277"/>
        <v>86.4</v>
      </c>
    </row>
    <row r="1832" spans="1:11" ht="22.5" x14ac:dyDescent="0.25">
      <c r="A1832" s="6" t="s">
        <v>2386</v>
      </c>
      <c r="B1832" s="3" t="s">
        <v>2361</v>
      </c>
      <c r="C1832" s="3" t="s">
        <v>2362</v>
      </c>
      <c r="D1832" s="4">
        <v>4301031241</v>
      </c>
      <c r="E1832" s="3">
        <v>4680115885059</v>
      </c>
      <c r="F1832" s="5" t="s">
        <v>2360</v>
      </c>
      <c r="G1832" s="16"/>
      <c r="H1832" s="1"/>
      <c r="I1832" s="20"/>
      <c r="J1832" s="1"/>
      <c r="K1832" s="20"/>
    </row>
    <row r="1833" spans="1:11" ht="22.5" x14ac:dyDescent="0.25">
      <c r="A1833" s="6" t="s">
        <v>2360</v>
      </c>
      <c r="B1833" s="3" t="s">
        <v>2361</v>
      </c>
      <c r="C1833" s="3" t="s">
        <v>2362</v>
      </c>
      <c r="D1833" s="4">
        <v>4301031241</v>
      </c>
      <c r="E1833" s="3">
        <v>4680115885059</v>
      </c>
      <c r="F1833" s="5" t="s">
        <v>2360</v>
      </c>
      <c r="G1833" s="16"/>
      <c r="H1833" s="1"/>
      <c r="I1833" s="20"/>
      <c r="J1833" s="1"/>
      <c r="K1833" s="20"/>
    </row>
    <row r="1834" spans="1:11" ht="22.5" x14ac:dyDescent="0.25">
      <c r="A1834" s="6" t="s">
        <v>2387</v>
      </c>
      <c r="B1834" s="3" t="s">
        <v>2364</v>
      </c>
      <c r="C1834" s="3" t="s">
        <v>2365</v>
      </c>
      <c r="D1834" s="4">
        <v>4301031316</v>
      </c>
      <c r="E1834" s="3">
        <v>4680115885097</v>
      </c>
      <c r="F1834" s="5" t="s">
        <v>2363</v>
      </c>
      <c r="G1834" s="16"/>
      <c r="H1834" s="1"/>
      <c r="I1834" s="20"/>
      <c r="J1834" s="1"/>
      <c r="K1834" s="20"/>
    </row>
    <row r="1835" spans="1:11" ht="22.5" x14ac:dyDescent="0.25">
      <c r="A1835" s="6" t="s">
        <v>2363</v>
      </c>
      <c r="B1835" s="3" t="s">
        <v>2364</v>
      </c>
      <c r="C1835" s="3" t="s">
        <v>2365</v>
      </c>
      <c r="D1835" s="4">
        <v>4301031316</v>
      </c>
      <c r="E1835" s="3">
        <v>4680115885097</v>
      </c>
      <c r="F1835" s="5" t="s">
        <v>2363</v>
      </c>
      <c r="G1835" s="16"/>
      <c r="H1835" s="1"/>
      <c r="I1835" s="20"/>
      <c r="J1835" s="1"/>
      <c r="K1835" s="20"/>
    </row>
    <row r="1836" spans="1:11" ht="22.5" x14ac:dyDescent="0.25">
      <c r="A1836" s="6" t="s">
        <v>2396</v>
      </c>
      <c r="B1836" s="3" t="s">
        <v>2397</v>
      </c>
      <c r="C1836" s="3" t="s">
        <v>2398</v>
      </c>
      <c r="D1836" s="4">
        <v>4301031243</v>
      </c>
      <c r="E1836" s="3">
        <v>4680115885073</v>
      </c>
      <c r="F1836" s="5" t="s">
        <v>2399</v>
      </c>
      <c r="G1836" s="16"/>
      <c r="H1836" s="1"/>
      <c r="I1836" s="20"/>
      <c r="J1836" s="1"/>
      <c r="K1836" s="20"/>
    </row>
    <row r="1837" spans="1:11" ht="22.5" x14ac:dyDescent="0.25">
      <c r="A1837" s="6" t="s">
        <v>2503</v>
      </c>
      <c r="B1837" s="3" t="s">
        <v>2411</v>
      </c>
      <c r="C1837" s="3" t="s">
        <v>2412</v>
      </c>
      <c r="D1837" s="4">
        <v>4301031223</v>
      </c>
      <c r="E1837" s="3">
        <v>4680115884014</v>
      </c>
      <c r="F1837" s="5" t="s">
        <v>2413</v>
      </c>
      <c r="G1837" s="16"/>
      <c r="H1837" s="1"/>
      <c r="I1837" s="20"/>
      <c r="J1837" s="1"/>
      <c r="K1837" s="20"/>
    </row>
    <row r="1838" spans="1:11" ht="22.5" x14ac:dyDescent="0.25">
      <c r="A1838" s="6" t="s">
        <v>2581</v>
      </c>
      <c r="B1838" s="3" t="s">
        <v>2411</v>
      </c>
      <c r="C1838" s="3" t="s">
        <v>2412</v>
      </c>
      <c r="D1838" s="4">
        <v>4301031223</v>
      </c>
      <c r="E1838" s="3">
        <v>4680115884014</v>
      </c>
      <c r="F1838" s="5" t="s">
        <v>2413</v>
      </c>
      <c r="G1838" s="16"/>
      <c r="H1838" s="1"/>
      <c r="I1838" s="20"/>
      <c r="J1838" s="1"/>
      <c r="K1838" s="20"/>
    </row>
    <row r="1839" spans="1:11" ht="22.5" x14ac:dyDescent="0.25">
      <c r="A1839" s="6" t="s">
        <v>2410</v>
      </c>
      <c r="B1839" s="3" t="s">
        <v>2411</v>
      </c>
      <c r="C1839" s="3" t="s">
        <v>2412</v>
      </c>
      <c r="D1839" s="4">
        <v>4301031223</v>
      </c>
      <c r="E1839" s="3">
        <v>4680115884014</v>
      </c>
      <c r="F1839" s="5" t="s">
        <v>2413</v>
      </c>
      <c r="G1839" s="16"/>
      <c r="H1839" s="1"/>
      <c r="I1839" s="20"/>
      <c r="J1839" s="1"/>
      <c r="K1839" s="20"/>
    </row>
    <row r="1840" spans="1:11" ht="22.5" x14ac:dyDescent="0.25">
      <c r="A1840" s="6" t="s">
        <v>2493</v>
      </c>
      <c r="B1840" s="3" t="s">
        <v>2415</v>
      </c>
      <c r="C1840" s="3" t="s">
        <v>2416</v>
      </c>
      <c r="D1840" s="4">
        <v>4301031222</v>
      </c>
      <c r="E1840" s="3">
        <v>4680115884007</v>
      </c>
      <c r="F1840" s="5" t="s">
        <v>2417</v>
      </c>
      <c r="G1840" s="16"/>
      <c r="H1840" s="1"/>
      <c r="I1840" s="20"/>
      <c r="J1840" s="1"/>
      <c r="K1840" s="20"/>
    </row>
    <row r="1841" spans="1:11" ht="22.5" x14ac:dyDescent="0.25">
      <c r="A1841" s="6" t="s">
        <v>2504</v>
      </c>
      <c r="B1841" s="3" t="s">
        <v>2415</v>
      </c>
      <c r="C1841" s="3" t="s">
        <v>2416</v>
      </c>
      <c r="D1841" s="4">
        <v>4301031222</v>
      </c>
      <c r="E1841" s="3">
        <v>4680115884007</v>
      </c>
      <c r="F1841" s="5" t="s">
        <v>2417</v>
      </c>
      <c r="G1841" s="16"/>
      <c r="H1841" s="1"/>
      <c r="I1841" s="20"/>
      <c r="J1841" s="1"/>
      <c r="K1841" s="20"/>
    </row>
    <row r="1842" spans="1:11" ht="22.5" x14ac:dyDescent="0.25">
      <c r="A1842" s="6" t="s">
        <v>2515</v>
      </c>
      <c r="B1842" s="3" t="s">
        <v>2415</v>
      </c>
      <c r="C1842" s="3" t="s">
        <v>2416</v>
      </c>
      <c r="D1842" s="4">
        <v>4301031222</v>
      </c>
      <c r="E1842" s="3">
        <v>4680115884007</v>
      </c>
      <c r="F1842" s="5" t="s">
        <v>2417</v>
      </c>
      <c r="G1842" s="16"/>
      <c r="H1842" s="1"/>
      <c r="I1842" s="20"/>
      <c r="J1842" s="1"/>
      <c r="K1842" s="20"/>
    </row>
    <row r="1843" spans="1:11" ht="22.5" x14ac:dyDescent="0.25">
      <c r="A1843" s="6" t="s">
        <v>2414</v>
      </c>
      <c r="B1843" s="3" t="s">
        <v>2415</v>
      </c>
      <c r="C1843" s="3" t="s">
        <v>2416</v>
      </c>
      <c r="D1843" s="4">
        <v>4301031222</v>
      </c>
      <c r="E1843" s="3">
        <v>4680115884007</v>
      </c>
      <c r="F1843" s="5" t="s">
        <v>2417</v>
      </c>
      <c r="G1843" s="16"/>
      <c r="H1843" s="1"/>
      <c r="I1843" s="20"/>
      <c r="J1843" s="1"/>
      <c r="K1843" s="20"/>
    </row>
    <row r="1844" spans="1:11" ht="22.5" x14ac:dyDescent="0.25">
      <c r="A1844" s="6" t="s">
        <v>2418</v>
      </c>
      <c r="B1844" s="3" t="s">
        <v>2419</v>
      </c>
      <c r="C1844" s="3" t="s">
        <v>2420</v>
      </c>
      <c r="D1844" s="4">
        <v>4301031229</v>
      </c>
      <c r="E1844" s="3">
        <v>4680115884038</v>
      </c>
      <c r="F1844" s="5" t="s">
        <v>2421</v>
      </c>
      <c r="G1844" s="16"/>
      <c r="H1844" s="1"/>
      <c r="I1844" s="20"/>
      <c r="J1844" s="1"/>
      <c r="K1844" s="20"/>
    </row>
    <row r="1845" spans="1:11" ht="22.5" x14ac:dyDescent="0.25">
      <c r="A1845" s="6" t="s">
        <v>2505</v>
      </c>
      <c r="B1845" s="3" t="s">
        <v>2423</v>
      </c>
      <c r="C1845" s="3" t="s">
        <v>2424</v>
      </c>
      <c r="D1845" s="4">
        <v>4301031225</v>
      </c>
      <c r="E1845" s="3">
        <v>4680115884021</v>
      </c>
      <c r="F1845" s="5" t="s">
        <v>2425</v>
      </c>
      <c r="G1845" s="16"/>
      <c r="H1845" s="1"/>
      <c r="I1845" s="20"/>
      <c r="J1845" s="1"/>
      <c r="K1845" s="20"/>
    </row>
    <row r="1846" spans="1:11" ht="22.5" x14ac:dyDescent="0.25">
      <c r="A1846" s="6" t="s">
        <v>2422</v>
      </c>
      <c r="B1846" s="3" t="s">
        <v>2423</v>
      </c>
      <c r="C1846" s="3" t="s">
        <v>2424</v>
      </c>
      <c r="D1846" s="4">
        <v>4301031225</v>
      </c>
      <c r="E1846" s="3">
        <v>4680115884021</v>
      </c>
      <c r="F1846" s="5" t="s">
        <v>2425</v>
      </c>
      <c r="G1846" s="16"/>
      <c r="H1846" s="1"/>
      <c r="I1846" s="20"/>
      <c r="J1846" s="1"/>
      <c r="K1846" s="20"/>
    </row>
    <row r="1847" spans="1:11" x14ac:dyDescent="0.25">
      <c r="A1847" s="6" t="s">
        <v>2426</v>
      </c>
      <c r="B1847" s="3" t="s">
        <v>2427</v>
      </c>
      <c r="C1847" s="3" t="s">
        <v>2428</v>
      </c>
      <c r="D1847" s="4">
        <v>4301060436</v>
      </c>
      <c r="E1847" s="3">
        <v>4680115885936</v>
      </c>
      <c r="F1847" s="5" t="s">
        <v>2429</v>
      </c>
      <c r="G1847" s="16"/>
      <c r="H1847" s="1"/>
      <c r="I1847" s="20"/>
      <c r="J1847" s="1"/>
      <c r="K1847" s="20"/>
    </row>
    <row r="1848" spans="1:11" ht="22.5" x14ac:dyDescent="0.25">
      <c r="A1848" s="6" t="s">
        <v>2430</v>
      </c>
      <c r="B1848" s="3" t="s">
        <v>2431</v>
      </c>
      <c r="C1848" s="3" t="s">
        <v>2432</v>
      </c>
      <c r="D1848" s="4">
        <v>4301031242</v>
      </c>
      <c r="E1848" s="3">
        <v>4680115885066</v>
      </c>
      <c r="F1848" s="5" t="s">
        <v>2433</v>
      </c>
      <c r="G1848" s="16"/>
      <c r="H1848" s="1"/>
      <c r="I1848" s="20"/>
      <c r="J1848" s="1"/>
      <c r="K1848" s="20"/>
    </row>
    <row r="1849" spans="1:11" ht="22.5" x14ac:dyDescent="0.25">
      <c r="A1849" s="6" t="s">
        <v>2434</v>
      </c>
      <c r="B1849" s="3" t="s">
        <v>2435</v>
      </c>
      <c r="C1849" s="3" t="s">
        <v>2436</v>
      </c>
      <c r="D1849" s="4">
        <v>4301031315</v>
      </c>
      <c r="E1849" s="3">
        <v>4680115885080</v>
      </c>
      <c r="F1849" s="5" t="s">
        <v>2437</v>
      </c>
      <c r="G1849" s="16"/>
      <c r="H1849" s="1"/>
      <c r="I1849" s="20"/>
      <c r="J1849" s="1"/>
      <c r="K1849" s="20"/>
    </row>
    <row r="1850" spans="1:11" ht="22.5" x14ac:dyDescent="0.25">
      <c r="A1850" s="6" t="s">
        <v>2460</v>
      </c>
      <c r="B1850" s="3" t="s">
        <v>2440</v>
      </c>
      <c r="C1850" s="3" t="s">
        <v>2441</v>
      </c>
      <c r="D1850" s="4">
        <v>4301051846</v>
      </c>
      <c r="E1850" s="3">
        <v>4680115885769</v>
      </c>
      <c r="F1850" s="5" t="s">
        <v>2442</v>
      </c>
      <c r="G1850" s="16"/>
      <c r="H1850" s="1"/>
      <c r="I1850" s="20"/>
      <c r="J1850" s="1"/>
      <c r="K1850" s="20"/>
    </row>
    <row r="1851" spans="1:11" ht="22.5" x14ac:dyDescent="0.25">
      <c r="A1851" s="6" t="s">
        <v>2439</v>
      </c>
      <c r="B1851" s="3" t="s">
        <v>2440</v>
      </c>
      <c r="C1851" s="3" t="s">
        <v>2441</v>
      </c>
      <c r="D1851" s="4">
        <v>4301051846</v>
      </c>
      <c r="E1851" s="3">
        <v>4680115885769</v>
      </c>
      <c r="F1851" s="5" t="s">
        <v>2442</v>
      </c>
      <c r="G1851" s="16"/>
      <c r="H1851" s="1"/>
      <c r="I1851" s="20"/>
      <c r="J1851" s="1"/>
      <c r="K1851" s="20"/>
    </row>
    <row r="1852" spans="1:11" x14ac:dyDescent="0.25">
      <c r="A1852" s="6" t="s">
        <v>2443</v>
      </c>
      <c r="B1852" s="3" t="s">
        <v>2444</v>
      </c>
      <c r="C1852" s="3" t="s">
        <v>2445</v>
      </c>
      <c r="D1852" s="4">
        <v>4301051742</v>
      </c>
      <c r="E1852" s="3">
        <v>4680115884540</v>
      </c>
      <c r="F1852" s="5" t="s">
        <v>2446</v>
      </c>
      <c r="G1852" s="16"/>
      <c r="H1852" s="1"/>
      <c r="I1852" s="20"/>
      <c r="J1852" s="1"/>
      <c r="K1852" s="20"/>
    </row>
    <row r="1853" spans="1:11" ht="22.5" x14ac:dyDescent="0.25">
      <c r="A1853" s="6" t="s">
        <v>2499</v>
      </c>
      <c r="B1853" s="3" t="s">
        <v>2467</v>
      </c>
      <c r="C1853" s="3" t="s">
        <v>2468</v>
      </c>
      <c r="D1853" s="4">
        <v>4301020323</v>
      </c>
      <c r="E1853" s="3">
        <v>4680115886223</v>
      </c>
      <c r="F1853" s="5" t="s">
        <v>2466</v>
      </c>
      <c r="G1853" s="16"/>
      <c r="H1853" s="1"/>
      <c r="I1853" s="20"/>
      <c r="J1853" s="1"/>
      <c r="K1853" s="20"/>
    </row>
    <row r="1854" spans="1:11" ht="22.5" x14ac:dyDescent="0.25">
      <c r="A1854" s="6" t="s">
        <v>2466</v>
      </c>
      <c r="B1854" s="3" t="s">
        <v>2467</v>
      </c>
      <c r="C1854" s="3" t="s">
        <v>2468</v>
      </c>
      <c r="D1854" s="4">
        <v>4301020323</v>
      </c>
      <c r="E1854" s="3">
        <v>4680115886223</v>
      </c>
      <c r="F1854" s="5" t="s">
        <v>2466</v>
      </c>
      <c r="G1854" s="16"/>
      <c r="H1854" s="1"/>
      <c r="I1854" s="20"/>
      <c r="J1854" s="1"/>
      <c r="K1854" s="20"/>
    </row>
    <row r="1855" spans="1:11" x14ac:dyDescent="0.25">
      <c r="A1855" s="6" t="s">
        <v>2469</v>
      </c>
      <c r="B1855" s="3" t="s">
        <v>2470</v>
      </c>
      <c r="C1855" s="3" t="s">
        <v>2471</v>
      </c>
      <c r="D1855" s="4">
        <v>4301020340</v>
      </c>
      <c r="E1855" s="3">
        <v>4680115885721</v>
      </c>
      <c r="F1855" s="5" t="s">
        <v>2469</v>
      </c>
      <c r="G1855" s="16"/>
      <c r="H1855" s="1"/>
      <c r="I1855" s="20"/>
      <c r="J1855" s="1"/>
      <c r="K1855" s="20"/>
    </row>
    <row r="1856" spans="1:11" x14ac:dyDescent="0.25">
      <c r="A1856" s="6" t="s">
        <v>2500</v>
      </c>
      <c r="B1856" s="3" t="s">
        <v>2470</v>
      </c>
      <c r="C1856" s="3" t="s">
        <v>2471</v>
      </c>
      <c r="D1856" s="4">
        <v>4301020340</v>
      </c>
      <c r="E1856" s="3">
        <v>4680115885721</v>
      </c>
      <c r="F1856" s="5" t="s">
        <v>2469</v>
      </c>
      <c r="G1856" s="16"/>
      <c r="H1856" s="1"/>
      <c r="I1856" s="20"/>
      <c r="J1856" s="1"/>
      <c r="K1856" s="20"/>
    </row>
    <row r="1857" spans="1:11" ht="22.5" x14ac:dyDescent="0.25">
      <c r="A1857" s="6" t="s">
        <v>2482</v>
      </c>
      <c r="B1857" s="3" t="s">
        <v>2483</v>
      </c>
      <c r="C1857" s="3" t="s">
        <v>2591</v>
      </c>
      <c r="D1857" s="4">
        <v>4301031416</v>
      </c>
      <c r="E1857" s="3">
        <v>4680115885219</v>
      </c>
      <c r="F1857" s="5" t="s">
        <v>2484</v>
      </c>
      <c r="G1857" s="16"/>
      <c r="H1857" s="1"/>
      <c r="I1857" s="20"/>
      <c r="J1857" s="1"/>
      <c r="K1857" s="20"/>
    </row>
    <row r="1858" spans="1:11" x14ac:dyDescent="0.25">
      <c r="A1858" s="6" t="s">
        <v>2495</v>
      </c>
      <c r="B1858" s="3" t="s">
        <v>2496</v>
      </c>
      <c r="C1858" s="3" t="s">
        <v>2497</v>
      </c>
      <c r="D1858" s="4">
        <v>4301060360</v>
      </c>
      <c r="E1858" s="3">
        <v>4680115882874</v>
      </c>
      <c r="F1858" s="5" t="s">
        <v>2498</v>
      </c>
      <c r="G1858" s="16"/>
      <c r="H1858" s="1">
        <v>30</v>
      </c>
      <c r="I1858" s="20"/>
      <c r="J1858" s="1"/>
      <c r="K1858" s="20"/>
    </row>
    <row r="1859" spans="1:11" ht="22.5" x14ac:dyDescent="0.25">
      <c r="A1859" s="6" t="s">
        <v>2517</v>
      </c>
      <c r="B1859" s="3" t="s">
        <v>2518</v>
      </c>
      <c r="C1859" s="3" t="s">
        <v>2718</v>
      </c>
      <c r="D1859" s="4">
        <v>4301012215</v>
      </c>
      <c r="E1859" s="3">
        <v>4680115887046</v>
      </c>
      <c r="F1859" s="5" t="s">
        <v>2719</v>
      </c>
      <c r="G1859" s="16"/>
      <c r="H1859" s="1"/>
      <c r="I1859" s="20"/>
      <c r="J1859" s="1"/>
      <c r="K1859" s="20"/>
    </row>
    <row r="1860" spans="1:11" ht="22.5" x14ac:dyDescent="0.25">
      <c r="A1860" s="6" t="s">
        <v>1442</v>
      </c>
      <c r="B1860" s="3" t="s">
        <v>2518</v>
      </c>
      <c r="C1860" s="3" t="s">
        <v>2718</v>
      </c>
      <c r="D1860" s="4">
        <v>4301012215</v>
      </c>
      <c r="E1860" s="3">
        <v>4680115887046</v>
      </c>
      <c r="F1860" s="5" t="s">
        <v>2719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516</v>
      </c>
      <c r="B1861" s="3" t="s">
        <v>2518</v>
      </c>
      <c r="C1861" s="3" t="s">
        <v>2718</v>
      </c>
      <c r="D1861" s="4">
        <v>4301012215</v>
      </c>
      <c r="E1861" s="3">
        <v>4680115887046</v>
      </c>
      <c r="F1861" s="5" t="s">
        <v>2719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546</v>
      </c>
      <c r="B1862" s="3" t="s">
        <v>2518</v>
      </c>
      <c r="C1862" s="3" t="s">
        <v>2718</v>
      </c>
      <c r="D1862" s="4">
        <v>4301012215</v>
      </c>
      <c r="E1862" s="3">
        <v>4680115887046</v>
      </c>
      <c r="F1862" s="5" t="s">
        <v>2719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1063</v>
      </c>
      <c r="B1863" s="3" t="s">
        <v>2518</v>
      </c>
      <c r="C1863" s="3" t="s">
        <v>2718</v>
      </c>
      <c r="D1863" s="4">
        <v>4301012215</v>
      </c>
      <c r="E1863" s="3">
        <v>4680115887046</v>
      </c>
      <c r="F1863" s="5" t="s">
        <v>2719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572</v>
      </c>
      <c r="B1864" s="3" t="s">
        <v>2518</v>
      </c>
      <c r="C1864" s="3" t="s">
        <v>2718</v>
      </c>
      <c r="D1864" s="4">
        <v>4301012215</v>
      </c>
      <c r="E1864" s="3">
        <v>4680115887046</v>
      </c>
      <c r="F1864" s="5" t="s">
        <v>2719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326</v>
      </c>
      <c r="B1865" s="3" t="s">
        <v>2518</v>
      </c>
      <c r="C1865" s="3" t="s">
        <v>2718</v>
      </c>
      <c r="D1865" s="4">
        <v>4301012215</v>
      </c>
      <c r="E1865" s="3">
        <v>4680115887046</v>
      </c>
      <c r="F1865" s="5" t="s">
        <v>2719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1733</v>
      </c>
      <c r="B1866" s="3" t="s">
        <v>2518</v>
      </c>
      <c r="C1866" s="3" t="s">
        <v>2718</v>
      </c>
      <c r="D1866" s="4">
        <v>4301012215</v>
      </c>
      <c r="E1866" s="3">
        <v>4680115887046</v>
      </c>
      <c r="F1866" s="5" t="s">
        <v>2719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585</v>
      </c>
      <c r="B1867" s="3" t="s">
        <v>2518</v>
      </c>
      <c r="C1867" s="3" t="s">
        <v>2718</v>
      </c>
      <c r="D1867" s="4">
        <v>4301012215</v>
      </c>
      <c r="E1867" s="3">
        <v>4680115887046</v>
      </c>
      <c r="F1867" s="5" t="s">
        <v>2719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786</v>
      </c>
      <c r="B1868" s="3" t="s">
        <v>2518</v>
      </c>
      <c r="C1868" s="3" t="s">
        <v>2718</v>
      </c>
      <c r="D1868" s="4">
        <v>4301012215</v>
      </c>
      <c r="E1868" s="3">
        <v>4680115887046</v>
      </c>
      <c r="F1868" s="5" t="s">
        <v>2719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1230</v>
      </c>
      <c r="B1869" s="3" t="s">
        <v>2518</v>
      </c>
      <c r="C1869" s="3" t="s">
        <v>2718</v>
      </c>
      <c r="D1869" s="4">
        <v>4301012215</v>
      </c>
      <c r="E1869" s="3">
        <v>4680115887046</v>
      </c>
      <c r="F1869" s="5" t="s">
        <v>2719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946</v>
      </c>
      <c r="B1870" s="3" t="s">
        <v>2518</v>
      </c>
      <c r="C1870" s="3" t="s">
        <v>2718</v>
      </c>
      <c r="D1870" s="4">
        <v>4301012215</v>
      </c>
      <c r="E1870" s="3">
        <v>4680115887046</v>
      </c>
      <c r="F1870" s="5" t="s">
        <v>2719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1456</v>
      </c>
      <c r="B1871" s="3" t="s">
        <v>2518</v>
      </c>
      <c r="C1871" s="3" t="s">
        <v>2718</v>
      </c>
      <c r="D1871" s="4">
        <v>4301012215</v>
      </c>
      <c r="E1871" s="3">
        <v>4680115887046</v>
      </c>
      <c r="F1871" s="5" t="s">
        <v>2719</v>
      </c>
      <c r="G1871" s="16" t="s">
        <v>2358</v>
      </c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2485</v>
      </c>
      <c r="B1872" s="3" t="s">
        <v>2518</v>
      </c>
      <c r="C1872" s="3" t="s">
        <v>2718</v>
      </c>
      <c r="D1872" s="4">
        <v>4301012215</v>
      </c>
      <c r="E1872" s="3">
        <v>4680115887046</v>
      </c>
      <c r="F1872" s="5" t="s">
        <v>2719</v>
      </c>
      <c r="G1872" s="16" t="s">
        <v>2358</v>
      </c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1622</v>
      </c>
      <c r="B1873" s="3" t="s">
        <v>2518</v>
      </c>
      <c r="C1873" s="3" t="s">
        <v>2718</v>
      </c>
      <c r="D1873" s="4">
        <v>4301012215</v>
      </c>
      <c r="E1873" s="3">
        <v>4680115887046</v>
      </c>
      <c r="F1873" s="5" t="s">
        <v>2719</v>
      </c>
      <c r="G1873" s="16" t="s">
        <v>2358</v>
      </c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2507</v>
      </c>
      <c r="B1874" s="3" t="s">
        <v>2518</v>
      </c>
      <c r="C1874" s="3" t="s">
        <v>2718</v>
      </c>
      <c r="D1874" s="4">
        <v>4301012215</v>
      </c>
      <c r="E1874" s="3">
        <v>4680115887046</v>
      </c>
      <c r="F1874" s="5" t="s">
        <v>2719</v>
      </c>
      <c r="G1874" s="16" t="s">
        <v>2358</v>
      </c>
      <c r="H1874" s="1">
        <v>60</v>
      </c>
      <c r="I1874" s="20">
        <v>15</v>
      </c>
      <c r="J1874" s="1">
        <v>8</v>
      </c>
      <c r="K1874" s="20">
        <v>48</v>
      </c>
    </row>
    <row r="1875" spans="1:11" ht="22.5" x14ac:dyDescent="0.25">
      <c r="A1875" s="6" t="s">
        <v>813</v>
      </c>
      <c r="B1875" s="3" t="s">
        <v>2518</v>
      </c>
      <c r="C1875" s="3" t="s">
        <v>2718</v>
      </c>
      <c r="D1875" s="4">
        <v>4301012215</v>
      </c>
      <c r="E1875" s="3">
        <v>4680115887046</v>
      </c>
      <c r="F1875" s="5" t="s">
        <v>2719</v>
      </c>
      <c r="G1875" s="16" t="s">
        <v>2358</v>
      </c>
      <c r="H1875" s="1">
        <v>60</v>
      </c>
      <c r="I1875" s="20">
        <v>15</v>
      </c>
      <c r="J1875" s="1">
        <v>8</v>
      </c>
      <c r="K1875" s="20">
        <v>48</v>
      </c>
    </row>
    <row r="1876" spans="1:11" x14ac:dyDescent="0.25">
      <c r="A1876" s="6" t="s">
        <v>2575</v>
      </c>
      <c r="B1876" s="3" t="s">
        <v>2576</v>
      </c>
      <c r="C1876" s="3" t="s">
        <v>2577</v>
      </c>
      <c r="D1876" s="4">
        <v>4301051817</v>
      </c>
      <c r="E1876" s="3">
        <v>4680115885585</v>
      </c>
      <c r="F1876" s="5" t="s">
        <v>2578</v>
      </c>
      <c r="G1876" s="16"/>
      <c r="H1876" s="1"/>
      <c r="I1876" s="20"/>
      <c r="J1876" s="1"/>
      <c r="K1876" s="20"/>
    </row>
    <row r="1877" spans="1:11" ht="22.5" x14ac:dyDescent="0.25">
      <c r="A1877" s="6" t="s">
        <v>2592</v>
      </c>
      <c r="B1877" s="3" t="s">
        <v>2593</v>
      </c>
      <c r="C1877" s="3" t="s">
        <v>2594</v>
      </c>
      <c r="D1877" s="4">
        <v>4301031309</v>
      </c>
      <c r="E1877" s="3">
        <v>4680115885530</v>
      </c>
      <c r="F1877" s="5" t="s">
        <v>2595</v>
      </c>
      <c r="G1877" s="16"/>
      <c r="H1877" s="1"/>
      <c r="I1877" s="20"/>
      <c r="J1877" s="1"/>
      <c r="K1877" s="20"/>
    </row>
    <row r="1878" spans="1:11" ht="22.5" x14ac:dyDescent="0.25">
      <c r="A1878" s="6" t="s">
        <v>2603</v>
      </c>
      <c r="B1878" s="3" t="s">
        <v>2604</v>
      </c>
      <c r="C1878" s="3" t="s">
        <v>2605</v>
      </c>
      <c r="D1878" s="4">
        <v>4301011988</v>
      </c>
      <c r="E1878" s="3">
        <v>4680115885561</v>
      </c>
      <c r="F1878" s="5" t="s">
        <v>2606</v>
      </c>
      <c r="G1878" s="16"/>
      <c r="H1878" s="1"/>
      <c r="I1878" s="20"/>
      <c r="J1878" s="1"/>
      <c r="K1878" s="20"/>
    </row>
    <row r="1879" spans="1:11" x14ac:dyDescent="0.25">
      <c r="A1879" s="6" t="s">
        <v>2610</v>
      </c>
      <c r="B1879" s="3" t="s">
        <v>2611</v>
      </c>
      <c r="C1879" s="3" t="s">
        <v>2612</v>
      </c>
      <c r="D1879" s="4">
        <v>4301051731</v>
      </c>
      <c r="E1879" s="3">
        <v>4680115884618</v>
      </c>
      <c r="F1879" s="5" t="s">
        <v>2613</v>
      </c>
      <c r="G1879" s="16"/>
      <c r="H1879" s="1"/>
      <c r="I1879" s="20"/>
      <c r="J1879" s="1"/>
      <c r="K1879" s="20"/>
    </row>
    <row r="1880" spans="1:11" ht="22.5" x14ac:dyDescent="0.25">
      <c r="A1880" s="6" t="s">
        <v>2652</v>
      </c>
      <c r="B1880" s="3" t="s">
        <v>2649</v>
      </c>
      <c r="C1880" s="3" t="s">
        <v>2650</v>
      </c>
      <c r="D1880" s="4">
        <v>4301031399</v>
      </c>
      <c r="E1880" s="3">
        <v>4680115886537</v>
      </c>
      <c r="F1880" s="5" t="s">
        <v>2648</v>
      </c>
      <c r="G1880" s="16"/>
      <c r="H1880" s="1"/>
      <c r="I1880" s="20"/>
      <c r="J1880" s="1"/>
      <c r="K1880" s="20"/>
    </row>
    <row r="1881" spans="1:11" ht="22.5" x14ac:dyDescent="0.25">
      <c r="A1881" s="6" t="s">
        <v>2648</v>
      </c>
      <c r="B1881" s="3" t="s">
        <v>2649</v>
      </c>
      <c r="C1881" s="3" t="s">
        <v>2650</v>
      </c>
      <c r="D1881" s="4">
        <v>4301031399</v>
      </c>
      <c r="E1881" s="3">
        <v>4680115886537</v>
      </c>
      <c r="F1881" s="5" t="s">
        <v>2648</v>
      </c>
      <c r="G1881" s="16"/>
      <c r="H1881" s="1"/>
      <c r="I1881" s="20"/>
      <c r="J1881" s="1"/>
      <c r="K1881" s="20"/>
    </row>
    <row r="1882" spans="1:11" ht="22.5" x14ac:dyDescent="0.25">
      <c r="A1882" s="6" t="s">
        <v>2653</v>
      </c>
      <c r="B1882" s="3" t="s">
        <v>2654</v>
      </c>
      <c r="C1882" s="3" t="s">
        <v>2655</v>
      </c>
      <c r="D1882" s="4">
        <v>4301012030</v>
      </c>
      <c r="E1882" s="3">
        <v>4680115885882</v>
      </c>
      <c r="F1882" s="5" t="s">
        <v>2653</v>
      </c>
      <c r="G1882" s="16"/>
      <c r="H1882" s="1"/>
      <c r="I1882" s="20"/>
      <c r="J1882" s="1"/>
      <c r="K1882" s="20"/>
    </row>
    <row r="1883" spans="1:11" ht="22.5" x14ac:dyDescent="0.25">
      <c r="A1883" s="6" t="s">
        <v>2658</v>
      </c>
      <c r="B1883" s="3" t="s">
        <v>2654</v>
      </c>
      <c r="C1883" s="3" t="s">
        <v>2655</v>
      </c>
      <c r="D1883" s="4">
        <v>4301012030</v>
      </c>
      <c r="E1883" s="3">
        <v>4680115885882</v>
      </c>
      <c r="F1883" s="5" t="s">
        <v>2653</v>
      </c>
      <c r="G1883" s="16"/>
      <c r="H1883" s="1"/>
      <c r="I1883" s="20"/>
      <c r="J1883" s="1"/>
      <c r="K1883" s="20"/>
    </row>
    <row r="1884" spans="1:11" ht="22.5" x14ac:dyDescent="0.25">
      <c r="A1884" s="6" t="s">
        <v>2661</v>
      </c>
      <c r="B1884" s="3" t="s">
        <v>2660</v>
      </c>
      <c r="C1884" s="3" t="s">
        <v>2676</v>
      </c>
      <c r="D1884" s="4">
        <v>4301040362</v>
      </c>
      <c r="E1884" s="3">
        <v>4680115886803</v>
      </c>
      <c r="F1884" s="5" t="s">
        <v>2659</v>
      </c>
      <c r="G1884" s="16"/>
      <c r="H1884" s="1"/>
      <c r="I1884" s="20"/>
      <c r="J1884" s="1"/>
      <c r="K1884" s="20"/>
    </row>
    <row r="1885" spans="1:11" ht="22.5" x14ac:dyDescent="0.25">
      <c r="A1885" s="6" t="s">
        <v>2659</v>
      </c>
      <c r="B1885" s="3" t="s">
        <v>2660</v>
      </c>
      <c r="C1885" s="3" t="s">
        <v>2676</v>
      </c>
      <c r="D1885" s="4">
        <v>4301040362</v>
      </c>
      <c r="E1885" s="3">
        <v>4680115886803</v>
      </c>
      <c r="F1885" s="5" t="s">
        <v>2659</v>
      </c>
      <c r="G1885" s="16"/>
      <c r="H1885" s="1"/>
      <c r="I1885" s="20"/>
      <c r="J1885" s="1"/>
      <c r="K1885" s="20"/>
    </row>
    <row r="1886" spans="1:11" x14ac:dyDescent="0.25">
      <c r="A1886" s="6" t="s">
        <v>2671</v>
      </c>
      <c r="B1886" s="3" t="s">
        <v>2665</v>
      </c>
      <c r="C1886" s="3" t="s">
        <v>2666</v>
      </c>
      <c r="D1886" s="4">
        <v>4301032055</v>
      </c>
      <c r="E1886" s="3">
        <v>4680115886476</v>
      </c>
      <c r="F1886" s="5" t="s">
        <v>2664</v>
      </c>
      <c r="G1886" s="16"/>
      <c r="H1886" s="1"/>
      <c r="I1886" s="20"/>
      <c r="J1886" s="1"/>
      <c r="K1886" s="20"/>
    </row>
    <row r="1887" spans="1:11" x14ac:dyDescent="0.25">
      <c r="A1887" s="6" t="s">
        <v>2664</v>
      </c>
      <c r="B1887" s="3" t="s">
        <v>2665</v>
      </c>
      <c r="C1887" s="3" t="s">
        <v>2666</v>
      </c>
      <c r="D1887" s="4">
        <v>4301032055</v>
      </c>
      <c r="E1887" s="3">
        <v>4680115886476</v>
      </c>
      <c r="F1887" s="5" t="s">
        <v>2664</v>
      </c>
      <c r="G1887" s="16"/>
      <c r="H1887" s="1"/>
      <c r="I1887" s="20"/>
      <c r="J1887" s="1"/>
      <c r="K1887" s="20"/>
    </row>
    <row r="1888" spans="1:11" ht="22.5" x14ac:dyDescent="0.25">
      <c r="A1888" s="6" t="s">
        <v>2707</v>
      </c>
      <c r="B1888" s="3" t="s">
        <v>2687</v>
      </c>
      <c r="C1888" s="3" t="s">
        <v>2688</v>
      </c>
      <c r="D1888" s="4">
        <v>4301032051</v>
      </c>
      <c r="E1888" s="3">
        <v>4680115886742</v>
      </c>
      <c r="F1888" s="5" t="s">
        <v>2693</v>
      </c>
      <c r="G1888" s="16"/>
      <c r="H1888" s="1"/>
      <c r="I1888" s="20"/>
      <c r="J1888" s="1"/>
      <c r="K1888" s="20"/>
    </row>
    <row r="1889" spans="1:11" ht="22.5" x14ac:dyDescent="0.25">
      <c r="A1889" s="6" t="s">
        <v>2684</v>
      </c>
      <c r="B1889" s="3" t="s">
        <v>2687</v>
      </c>
      <c r="C1889" s="3" t="s">
        <v>2688</v>
      </c>
      <c r="D1889" s="4">
        <v>4301032051</v>
      </c>
      <c r="E1889" s="3">
        <v>4680115886742</v>
      </c>
      <c r="F1889" s="5" t="s">
        <v>2693</v>
      </c>
      <c r="G1889" s="16"/>
      <c r="H1889" s="1"/>
      <c r="I1889" s="20"/>
      <c r="J1889" s="1"/>
      <c r="K1889" s="20"/>
    </row>
    <row r="1890" spans="1:11" ht="22.5" x14ac:dyDescent="0.25">
      <c r="A1890" s="6" t="s">
        <v>2709</v>
      </c>
      <c r="B1890" s="3" t="s">
        <v>2689</v>
      </c>
      <c r="C1890" s="3" t="s">
        <v>2690</v>
      </c>
      <c r="D1890" s="4">
        <v>4301032052</v>
      </c>
      <c r="E1890" s="3">
        <v>4680115886766</v>
      </c>
      <c r="F1890" s="5" t="s">
        <v>2694</v>
      </c>
      <c r="G1890" s="16"/>
      <c r="H1890" s="1"/>
      <c r="I1890" s="20"/>
      <c r="J1890" s="1"/>
      <c r="K1890" s="20"/>
    </row>
    <row r="1891" spans="1:11" ht="22.5" x14ac:dyDescent="0.25">
      <c r="A1891" s="6" t="s">
        <v>2685</v>
      </c>
      <c r="B1891" s="3" t="s">
        <v>2689</v>
      </c>
      <c r="C1891" s="3" t="s">
        <v>2690</v>
      </c>
      <c r="D1891" s="4">
        <v>4301032052</v>
      </c>
      <c r="E1891" s="3">
        <v>4680115886766</v>
      </c>
      <c r="F1891" s="5" t="s">
        <v>2694</v>
      </c>
      <c r="G1891" s="16"/>
      <c r="H1891" s="1"/>
      <c r="I1891" s="20"/>
      <c r="J1891" s="1"/>
      <c r="K1891" s="20"/>
    </row>
    <row r="1892" spans="1:11" ht="22.5" x14ac:dyDescent="0.25">
      <c r="A1892" s="6" t="s">
        <v>2708</v>
      </c>
      <c r="B1892" s="3" t="s">
        <v>2691</v>
      </c>
      <c r="C1892" s="3" t="s">
        <v>2692</v>
      </c>
      <c r="D1892" s="4">
        <v>4301041005</v>
      </c>
      <c r="E1892" s="3">
        <v>4680115886711</v>
      </c>
      <c r="F1892" s="5" t="s">
        <v>2695</v>
      </c>
      <c r="G1892" s="16"/>
      <c r="H1892" s="1"/>
      <c r="I1892" s="20"/>
      <c r="J1892" s="1"/>
      <c r="K1892" s="20"/>
    </row>
    <row r="1893" spans="1:11" ht="22.5" x14ac:dyDescent="0.25">
      <c r="A1893" s="6" t="s">
        <v>2686</v>
      </c>
      <c r="B1893" s="3" t="s">
        <v>2691</v>
      </c>
      <c r="C1893" s="3" t="s">
        <v>2692</v>
      </c>
      <c r="D1893" s="4">
        <v>4301041005</v>
      </c>
      <c r="E1893" s="3">
        <v>4680115886711</v>
      </c>
      <c r="F1893" s="5" t="s">
        <v>2695</v>
      </c>
      <c r="G1893" s="16"/>
      <c r="H1893" s="1"/>
      <c r="I1893" s="20"/>
      <c r="J1893" s="1"/>
      <c r="K1893" s="20"/>
    </row>
    <row r="1894" spans="1:11" ht="22.5" x14ac:dyDescent="0.25">
      <c r="A1894" s="6" t="s">
        <v>2705</v>
      </c>
      <c r="B1894" s="3" t="s">
        <v>2699</v>
      </c>
      <c r="C1894" s="3" t="s">
        <v>2700</v>
      </c>
      <c r="D1894" s="4">
        <v>4301170013</v>
      </c>
      <c r="E1894" s="3">
        <v>4680115886797</v>
      </c>
      <c r="F1894" s="5" t="s">
        <v>2696</v>
      </c>
      <c r="G1894" s="16"/>
      <c r="H1894" s="1"/>
      <c r="I1894" s="20"/>
      <c r="J1894" s="1"/>
      <c r="K1894" s="20"/>
    </row>
    <row r="1895" spans="1:11" ht="22.5" x14ac:dyDescent="0.25">
      <c r="A1895" s="6" t="s">
        <v>2696</v>
      </c>
      <c r="B1895" s="3" t="s">
        <v>2699</v>
      </c>
      <c r="C1895" s="3" t="s">
        <v>2700</v>
      </c>
      <c r="D1895" s="4">
        <v>4301170013</v>
      </c>
      <c r="E1895" s="3">
        <v>4680115886797</v>
      </c>
      <c r="F1895" s="5" t="s">
        <v>2696</v>
      </c>
      <c r="G1895" s="16"/>
      <c r="H1895" s="1"/>
      <c r="I1895" s="20"/>
      <c r="J1895" s="1"/>
      <c r="K1895" s="20"/>
    </row>
    <row r="1896" spans="1:11" ht="22.5" x14ac:dyDescent="0.25">
      <c r="A1896" s="6" t="s">
        <v>2706</v>
      </c>
      <c r="B1896" s="3" t="s">
        <v>2701</v>
      </c>
      <c r="C1896" s="3" t="s">
        <v>2702</v>
      </c>
      <c r="D1896" s="4">
        <v>4301041007</v>
      </c>
      <c r="E1896" s="3">
        <v>4680115886735</v>
      </c>
      <c r="F1896" s="5" t="s">
        <v>2697</v>
      </c>
      <c r="G1896" s="16"/>
      <c r="H1896" s="1"/>
      <c r="I1896" s="20"/>
      <c r="J1896" s="1"/>
      <c r="K1896" s="20"/>
    </row>
    <row r="1897" spans="1:11" ht="22.5" x14ac:dyDescent="0.25">
      <c r="A1897" s="6" t="s">
        <v>2697</v>
      </c>
      <c r="B1897" s="3" t="s">
        <v>2701</v>
      </c>
      <c r="C1897" s="3" t="s">
        <v>2702</v>
      </c>
      <c r="D1897" s="4">
        <v>4301041007</v>
      </c>
      <c r="E1897" s="3">
        <v>4680115886735</v>
      </c>
      <c r="F1897" s="5" t="s">
        <v>2697</v>
      </c>
      <c r="G1897" s="16"/>
      <c r="H1897" s="1"/>
      <c r="I1897" s="20"/>
      <c r="J1897" s="1"/>
      <c r="K1897" s="20"/>
    </row>
    <row r="1898" spans="1:11" ht="22.5" x14ac:dyDescent="0.25">
      <c r="A1898" s="6" t="s">
        <v>2698</v>
      </c>
      <c r="B1898" s="3" t="s">
        <v>2703</v>
      </c>
      <c r="C1898" s="3" t="s">
        <v>2704</v>
      </c>
      <c r="D1898" s="4">
        <v>4301041006</v>
      </c>
      <c r="E1898" s="3">
        <v>4680115886728</v>
      </c>
      <c r="F1898" s="5" t="s">
        <v>2698</v>
      </c>
      <c r="G1898" s="16"/>
      <c r="H1898" s="1"/>
      <c r="I1898" s="20"/>
      <c r="J1898" s="1"/>
      <c r="K1898" s="20"/>
    </row>
    <row r="1899" spans="1:11" ht="22.5" x14ac:dyDescent="0.25">
      <c r="A1899" s="6" t="s">
        <v>2711</v>
      </c>
      <c r="B1899" s="3" t="s">
        <v>2703</v>
      </c>
      <c r="C1899" s="3" t="s">
        <v>2704</v>
      </c>
      <c r="D1899" s="4">
        <v>4301041006</v>
      </c>
      <c r="E1899" s="3">
        <v>4680115886728</v>
      </c>
      <c r="F1899" s="5" t="s">
        <v>2698</v>
      </c>
      <c r="G1899" s="16"/>
      <c r="H1899" s="1"/>
      <c r="I1899" s="20"/>
      <c r="J1899" s="1"/>
      <c r="K1899" s="20"/>
    </row>
    <row r="1900" spans="1:11" ht="22.5" x14ac:dyDescent="0.25">
      <c r="A1900" s="6" t="s">
        <v>2710</v>
      </c>
      <c r="B1900" s="3" t="s">
        <v>2703</v>
      </c>
      <c r="C1900" s="3" t="s">
        <v>2704</v>
      </c>
      <c r="D1900" s="4">
        <v>4301041006</v>
      </c>
      <c r="E1900" s="3">
        <v>4680115886728</v>
      </c>
      <c r="F1900" s="5" t="s">
        <v>2698</v>
      </c>
      <c r="G1900" s="16"/>
      <c r="H1900" s="1"/>
      <c r="I1900" s="20"/>
      <c r="J1900" s="1"/>
      <c r="K1900" s="20"/>
    </row>
    <row r="1901" spans="1:11" x14ac:dyDescent="0.25">
      <c r="A1901" s="6"/>
      <c r="B1901" s="3"/>
      <c r="C1901" s="3"/>
      <c r="D1901" s="4"/>
      <c r="E1901" s="3"/>
      <c r="F1901" s="5"/>
      <c r="G1901" s="16"/>
      <c r="H1901" s="1"/>
      <c r="I1901" s="20"/>
      <c r="J1901" s="1"/>
      <c r="K1901" s="20"/>
    </row>
    <row r="1902" spans="1:11" x14ac:dyDescent="0.25">
      <c r="A1902" s="6"/>
      <c r="B1902" s="3"/>
      <c r="C1902" s="3"/>
      <c r="D1902" s="4"/>
      <c r="E1902" s="3"/>
      <c r="F1902" s="5"/>
      <c r="G1902" s="16"/>
      <c r="H1902" s="1"/>
      <c r="I1902" s="20"/>
      <c r="J1902" s="1"/>
      <c r="K1902" s="20"/>
    </row>
  </sheetData>
  <autoFilter ref="A1:K1900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2025-12-26T08:51:58Z</dcterms:modified>
</cp:coreProperties>
</file>