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60DE800-555B-461B-874C-41A03B0595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заказа'!$X$477:$X$477</definedName>
    <definedName name="GrossWeightTotalR">'Бланк заказа'!$Y$477:$Y$477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заказа'!$X$478:$X$478</definedName>
    <definedName name="PalletQtyTotalR">'Бланк заказа'!$Y$478:$Y$478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заказа'!$B$234:$B$234</definedName>
    <definedName name="ProductId111">'Бланк заказа'!$B$235:$B$235</definedName>
    <definedName name="ProductId112">'Бланк заказа'!$B$236:$B$236</definedName>
    <definedName name="ProductId113">'Бланк заказа'!$B$237:$B$237</definedName>
    <definedName name="ProductId114">'Бланк заказа'!$B$238:$B$238</definedName>
    <definedName name="ProductId115">'Бланк заказа'!$B$243:$B$243</definedName>
    <definedName name="ProductId116">'Бланк заказа'!$B$244:$B$244</definedName>
    <definedName name="ProductId117">'Бланк заказа'!$B$245:$B$245</definedName>
    <definedName name="ProductId118">'Бланк заказа'!$B$246:$B$246</definedName>
    <definedName name="ProductId119">'Бланк заказа'!$B$247:$B$247</definedName>
    <definedName name="ProductId12">'Бланк заказа'!$B$47:$B$47</definedName>
    <definedName name="ProductId120">'Бланк заказа'!$B$252:$B$252</definedName>
    <definedName name="ProductId121">'Бланк заказа'!$B$253:$B$253</definedName>
    <definedName name="ProductId122">'Бланк заказа'!$B$254:$B$254</definedName>
    <definedName name="ProductId123">'Бланк заказа'!$B$255:$B$255</definedName>
    <definedName name="ProductId124">'Бланк заказа'!$B$260:$B$260</definedName>
    <definedName name="ProductId125">'Бланк заказа'!$B$261:$B$261</definedName>
    <definedName name="ProductId126">'Бланк заказа'!$B$262:$B$262</definedName>
    <definedName name="ProductId127">'Бланк заказа'!$B$267:$B$267</definedName>
    <definedName name="ProductId128">'Бланк заказа'!$B$268:$B$268</definedName>
    <definedName name="ProductId129">'Бланк заказа'!$B$272:$B$272</definedName>
    <definedName name="ProductId13">'Бланк заказа'!$B$52:$B$52</definedName>
    <definedName name="ProductId130">'Бланк заказа'!$B$273:$B$273</definedName>
    <definedName name="ProductId131">'Бланк заказа'!$B$278:$B$278</definedName>
    <definedName name="ProductId132">'Бланк заказа'!$B$279:$B$279</definedName>
    <definedName name="ProductId133">'Бланк заказа'!$B$280:$B$280</definedName>
    <definedName name="ProductId134">'Бланк заказа'!$B$281:$B$281</definedName>
    <definedName name="ProductId135">'Бланк заказа'!$B$282:$B$282</definedName>
    <definedName name="ProductId136">'Бланк заказа'!$B$283:$B$283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заказа'!$B$53:$B$53</definedName>
    <definedName name="ProductId140">'Бланк заказа'!$B$290:$B$290</definedName>
    <definedName name="ProductId141">'Бланк заказа'!$B$291:$B$291</definedName>
    <definedName name="ProductId142">'Бланк заказа'!$B$292:$B$292</definedName>
    <definedName name="ProductId143">'Бланк заказа'!$B$296:$B$296</definedName>
    <definedName name="ProductId144">'Бланк заказа'!$B$297:$B$297</definedName>
    <definedName name="ProductId145">'Бланк заказа'!$B$298:$B$298</definedName>
    <definedName name="ProductId146">'Бланк заказа'!$B$299:$B$299</definedName>
    <definedName name="ProductId147">'Бланк заказа'!$B$303:$B$303</definedName>
    <definedName name="ProductId148">'Бланк заказа'!$B$304:$B$304</definedName>
    <definedName name="ProductId149">'Бланк заказа'!$B$305:$B$305</definedName>
    <definedName name="ProductId15">'Бланк заказа'!$B$54:$B$54</definedName>
    <definedName name="ProductId150">'Бланк заказа'!$B$309:$B$309</definedName>
    <definedName name="ProductId151">'Бланк заказа'!$B$310:$B$310</definedName>
    <definedName name="ProductId152">'Бланк заказа'!$B$311:$B$311</definedName>
    <definedName name="ProductId153">'Бланк заказа'!$B$312:$B$312</definedName>
    <definedName name="ProductId154">'Бланк заказа'!$B$316:$B$316</definedName>
    <definedName name="ProductId155">'Бланк заказа'!$B$317:$B$317</definedName>
    <definedName name="ProductId156">'Бланк заказа'!$B$318:$B$318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заказа'!$B$331:$B$331</definedName>
    <definedName name="ProductId161">'Бланк заказа'!$B$332:$B$332</definedName>
    <definedName name="ProductId162">'Бланк заказа'!$B$333:$B$333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заказа'!$B$346:$B$346</definedName>
    <definedName name="ProductId17">'Бланк заказа'!$B$56:$B$56</definedName>
    <definedName name="ProductId170">'Бланк заказа'!$B$347:$B$347</definedName>
    <definedName name="ProductId171">'Бланк заказа'!$B$351:$B$351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заказа'!$B$367:$B$367</definedName>
    <definedName name="ProductId178">'Бланк заказа'!$B$368:$B$368</definedName>
    <definedName name="ProductId179">'Бланк заказа'!$B$374:$B$374</definedName>
    <definedName name="ProductId18">'Бланк заказа'!$B$57:$B$57</definedName>
    <definedName name="ProductId180">'Бланк заказа'!$B$375:$B$375</definedName>
    <definedName name="ProductId181">'Бланк заказа'!$B$376:$B$376</definedName>
    <definedName name="ProductId182">'Бланк заказа'!$B$377:$B$377</definedName>
    <definedName name="ProductId183">'Бланк заказа'!$B$378:$B$378</definedName>
    <definedName name="ProductId184">'Бланк заказа'!$B$379:$B$379</definedName>
    <definedName name="ProductId185">'Бланк заказа'!$B$380:$B$380</definedName>
    <definedName name="ProductId186">'Бланк заказа'!$B$381:$B$381</definedName>
    <definedName name="ProductId187">'Бланк заказа'!$B$382:$B$382</definedName>
    <definedName name="ProductId188">'Бланк заказа'!$B$386:$B$386</definedName>
    <definedName name="ProductId189">'Бланк заказа'!$B$387:$B$387</definedName>
    <definedName name="ProductId19">'Бланк заказа'!$B$61:$B$61</definedName>
    <definedName name="ProductId190">'Бланк заказа'!$B$392:$B$392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заказа'!$B$404:$B$404</definedName>
    <definedName name="ProductId196">'Бланк заказа'!$B$410:$B$410</definedName>
    <definedName name="ProductId197">'Бланк заказа'!$B$411:$B$411</definedName>
    <definedName name="ProductId198">'Бланк заказа'!$B$412:$B$412</definedName>
    <definedName name="ProductId199">'Бланк заказа'!$B$413:$B$413</definedName>
    <definedName name="ProductId2">'Бланк заказа'!$B$23:$B$23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заказа'!$B$417:$B$417</definedName>
    <definedName name="ProductId204">'Бланк заказа'!$B$418:$B$418</definedName>
    <definedName name="ProductId205">'Бланк заказа'!$B$419:$B$419</definedName>
    <definedName name="ProductId206">'Бланк заказа'!$B$420:$B$420</definedName>
    <definedName name="ProductId207">'Бланк заказа'!$B$421:$B$421</definedName>
    <definedName name="ProductId208">'Бланк заказа'!$B$425:$B$425</definedName>
    <definedName name="ProductId209">'Бланк заказа'!$B$426:$B$426</definedName>
    <definedName name="ProductId21">'Бланк заказа'!$B$63:$B$63</definedName>
    <definedName name="ProductId210">'Бланк заказа'!$B$427:$B$427</definedName>
    <definedName name="ProductId211">'Бланк заказа'!$B$431:$B$431</definedName>
    <definedName name="ProductId212">'Бланк заказа'!$B$432:$B$432</definedName>
    <definedName name="ProductId213">'Бланк заказа'!$B$433:$B$433</definedName>
    <definedName name="ProductId214">'Бланк заказа'!$B$434:$B$434</definedName>
    <definedName name="ProductId215">'Бланк заказа'!$B$435:$B$435</definedName>
    <definedName name="ProductId216">'Бланк заказа'!$B$436:$B$436</definedName>
    <definedName name="ProductId217">'Бланк заказа'!$B$440:$B$440</definedName>
    <definedName name="ProductId218">'Бланк заказа'!$B$446:$B$446</definedName>
    <definedName name="ProductId219">'Бланк заказа'!$B$447:$B$447</definedName>
    <definedName name="ProductId22">'Бланк заказа'!$B$67:$B$67</definedName>
    <definedName name="ProductId220">'Бланк заказа'!$B$448:$B$448</definedName>
    <definedName name="ProductId221">'Бланк заказа'!$B$449:$B$449</definedName>
    <definedName name="ProductId222">'Бланк заказа'!$B$453:$B$453</definedName>
    <definedName name="ProductId223">'Бланк заказа'!$B$454:$B$454</definedName>
    <definedName name="ProductId224">'Бланк заказа'!$B$458:$B$458</definedName>
    <definedName name="ProductId225">'Бланк заказа'!$B$459:$B$459</definedName>
    <definedName name="ProductId226">'Бланк заказа'!$B$463:$B$463</definedName>
    <definedName name="ProductId227">'Бланк заказа'!$B$467:$B$467</definedName>
    <definedName name="ProductId228">'Бланк заказа'!$B$468:$B$468</definedName>
    <definedName name="ProductId229">'Бланк заказа'!$B$473:$B$473</definedName>
    <definedName name="ProductId23">'Бланк заказа'!$B$68:$B$68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заказа'!$B$135:$B$135</definedName>
    <definedName name="ProductId58">'Бланк заказа'!$B$139:$B$139</definedName>
    <definedName name="ProductId59">'Бланк заказа'!$B$145:$B$145</definedName>
    <definedName name="ProductId6">'Бланк заказа'!$B$30:$B$30</definedName>
    <definedName name="ProductId60">'Бланк заказа'!$B$149:$B$149</definedName>
    <definedName name="ProductId61">'Бланк заказа'!$B$150:$B$150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заказа'!$B$156:$B$156</definedName>
    <definedName name="ProductId68">'Бланк заказа'!$B$157:$B$157</definedName>
    <definedName name="ProductId69">'Бланк заказа'!$B$158:$B$158</definedName>
    <definedName name="ProductId7">'Бланк заказа'!$B$31:$B$31</definedName>
    <definedName name="ProductId70">'Бланк заказа'!$B$159:$B$159</definedName>
    <definedName name="ProductId71">'Бланк заказа'!$B$160:$B$160</definedName>
    <definedName name="ProductId72">'Бланк заказа'!$B$164:$B$164</definedName>
    <definedName name="ProductId73">'Бланк заказа'!$B$165:$B$165</definedName>
    <definedName name="ProductId74">'Бланк заказа'!$B$166:$B$166</definedName>
    <definedName name="ProductId75">'Бланк заказа'!$B$170:$B$170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заказа'!$B$185:$B$185</definedName>
    <definedName name="ProductId81">'Бланк заказа'!$B$186:$B$186</definedName>
    <definedName name="ProductId82">'Бланк заказа'!$B$187:$B$187</definedName>
    <definedName name="ProductId83">'Бланк заказа'!$B$188:$B$188</definedName>
    <definedName name="ProductId84">'Бланк заказа'!$B$189:$B$189</definedName>
    <definedName name="ProductId85">'Бланк заказа'!$B$190:$B$190</definedName>
    <definedName name="ProductId86">'Бланк заказа'!$B$191:$B$191</definedName>
    <definedName name="ProductId87">'Бланк заказа'!$B$192:$B$192</definedName>
    <definedName name="ProductId88">'Бланк заказа'!$B$196:$B$196</definedName>
    <definedName name="ProductId89">'Бланк заказа'!$B$197:$B$197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заказа'!$X$234:$X$234</definedName>
    <definedName name="SalesQty111">'Бланк заказа'!$X$235:$X$235</definedName>
    <definedName name="SalesQty112">'Бланк заказа'!$X$236:$X$236</definedName>
    <definedName name="SalesQty113">'Бланк заказа'!$X$237:$X$237</definedName>
    <definedName name="SalesQty114">'Бланк заказа'!$X$238:$X$238</definedName>
    <definedName name="SalesQty115">'Бланк заказа'!$X$243:$X$243</definedName>
    <definedName name="SalesQty116">'Бланк заказа'!$X$244:$X$244</definedName>
    <definedName name="SalesQty117">'Бланк заказа'!$X$245:$X$245</definedName>
    <definedName name="SalesQty118">'Бланк заказа'!$X$246:$X$246</definedName>
    <definedName name="SalesQty119">'Бланк заказа'!$X$247:$X$247</definedName>
    <definedName name="SalesQty12">'Бланк заказа'!$X$47:$X$47</definedName>
    <definedName name="SalesQty120">'Бланк заказа'!$X$252:$X$252</definedName>
    <definedName name="SalesQty121">'Бланк заказа'!$X$253:$X$253</definedName>
    <definedName name="SalesQty122">'Бланк заказа'!$X$254:$X$254</definedName>
    <definedName name="SalesQty123">'Бланк заказа'!$X$255:$X$255</definedName>
    <definedName name="SalesQty124">'Бланк заказа'!$X$260:$X$260</definedName>
    <definedName name="SalesQty125">'Бланк заказа'!$X$261:$X$261</definedName>
    <definedName name="SalesQty126">'Бланк заказа'!$X$262:$X$262</definedName>
    <definedName name="SalesQty127">'Бланк заказа'!$X$267:$X$267</definedName>
    <definedName name="SalesQty128">'Бланк заказа'!$X$268:$X$268</definedName>
    <definedName name="SalesQty129">'Бланк заказа'!$X$272:$X$272</definedName>
    <definedName name="SalesQty13">'Бланк заказа'!$X$52:$X$52</definedName>
    <definedName name="SalesQty130">'Бланк заказа'!$X$273:$X$273</definedName>
    <definedName name="SalesQty131">'Бланк заказа'!$X$278:$X$278</definedName>
    <definedName name="SalesQty132">'Бланк заказа'!$X$279:$X$279</definedName>
    <definedName name="SalesQty133">'Бланк заказа'!$X$280:$X$280</definedName>
    <definedName name="SalesQty134">'Бланк заказа'!$X$281:$X$281</definedName>
    <definedName name="SalesQty135">'Бланк заказа'!$X$282:$X$282</definedName>
    <definedName name="SalesQty136">'Бланк заказа'!$X$283:$X$283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заказа'!$X$53:$X$53</definedName>
    <definedName name="SalesQty140">'Бланк заказа'!$X$290:$X$290</definedName>
    <definedName name="SalesQty141">'Бланк заказа'!$X$291:$X$291</definedName>
    <definedName name="SalesQty142">'Бланк заказа'!$X$292:$X$292</definedName>
    <definedName name="SalesQty143">'Бланк заказа'!$X$296:$X$296</definedName>
    <definedName name="SalesQty144">'Бланк заказа'!$X$297:$X$297</definedName>
    <definedName name="SalesQty145">'Бланк заказа'!$X$298:$X$298</definedName>
    <definedName name="SalesQty146">'Бланк заказа'!$X$299:$X$299</definedName>
    <definedName name="SalesQty147">'Бланк заказа'!$X$303:$X$303</definedName>
    <definedName name="SalesQty148">'Бланк заказа'!$X$304:$X$304</definedName>
    <definedName name="SalesQty149">'Бланк заказа'!$X$305:$X$305</definedName>
    <definedName name="SalesQty15">'Бланк заказа'!$X$54:$X$54</definedName>
    <definedName name="SalesQty150">'Бланк заказа'!$X$309:$X$309</definedName>
    <definedName name="SalesQty151">'Бланк заказа'!$X$310:$X$310</definedName>
    <definedName name="SalesQty152">'Бланк заказа'!$X$311:$X$311</definedName>
    <definedName name="SalesQty153">'Бланк заказа'!$X$312:$X$312</definedName>
    <definedName name="SalesQty154">'Бланк заказа'!$X$316:$X$316</definedName>
    <definedName name="SalesQty155">'Бланк заказа'!$X$317:$X$317</definedName>
    <definedName name="SalesQty156">'Бланк заказа'!$X$318:$X$318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заказа'!$X$331:$X$331</definedName>
    <definedName name="SalesQty161">'Бланк заказа'!$X$332:$X$332</definedName>
    <definedName name="SalesQty162">'Бланк заказа'!$X$333:$X$333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заказа'!$X$346:$X$346</definedName>
    <definedName name="SalesQty17">'Бланк заказа'!$X$56:$X$56</definedName>
    <definedName name="SalesQty170">'Бланк заказа'!$X$347:$X$347</definedName>
    <definedName name="SalesQty171">'Бланк заказа'!$X$351:$X$351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заказа'!$X$367:$X$367</definedName>
    <definedName name="SalesQty178">'Бланк заказа'!$X$368:$X$368</definedName>
    <definedName name="SalesQty179">'Бланк заказа'!$X$374:$X$374</definedName>
    <definedName name="SalesQty18">'Бланк заказа'!$X$57:$X$57</definedName>
    <definedName name="SalesQty180">'Бланк заказа'!$X$375:$X$375</definedName>
    <definedName name="SalesQty181">'Бланк заказа'!$X$376:$X$376</definedName>
    <definedName name="SalesQty182">'Бланк заказа'!$X$377:$X$377</definedName>
    <definedName name="SalesQty183">'Бланк заказа'!$X$378:$X$378</definedName>
    <definedName name="SalesQty184">'Бланк заказа'!$X$379:$X$379</definedName>
    <definedName name="SalesQty185">'Бланк заказа'!$X$380:$X$380</definedName>
    <definedName name="SalesQty186">'Бланк заказа'!$X$381:$X$381</definedName>
    <definedName name="SalesQty187">'Бланк заказа'!$X$382:$X$382</definedName>
    <definedName name="SalesQty188">'Бланк заказа'!$X$386:$X$386</definedName>
    <definedName name="SalesQty189">'Бланк заказа'!$X$387:$X$387</definedName>
    <definedName name="SalesQty19">'Бланк заказа'!$X$61:$X$61</definedName>
    <definedName name="SalesQty190">'Бланк заказа'!$X$392:$X$392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заказа'!$X$404:$X$404</definedName>
    <definedName name="SalesQty196">'Бланк заказа'!$X$410:$X$410</definedName>
    <definedName name="SalesQty197">'Бланк заказа'!$X$411:$X$411</definedName>
    <definedName name="SalesQty198">'Бланк заказа'!$X$412:$X$412</definedName>
    <definedName name="SalesQty199">'Бланк заказа'!$X$413:$X$413</definedName>
    <definedName name="SalesQty2">'Бланк заказа'!$X$23:$X$23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заказа'!$X$417:$X$417</definedName>
    <definedName name="SalesQty204">'Бланк заказа'!$X$418:$X$418</definedName>
    <definedName name="SalesQty205">'Бланк заказа'!$X$419:$X$419</definedName>
    <definedName name="SalesQty206">'Бланк заказа'!$X$420:$X$420</definedName>
    <definedName name="SalesQty207">'Бланк заказа'!$X$421:$X$421</definedName>
    <definedName name="SalesQty208">'Бланк заказа'!$X$425:$X$425</definedName>
    <definedName name="SalesQty209">'Бланк заказа'!$X$426:$X$426</definedName>
    <definedName name="SalesQty21">'Бланк заказа'!$X$63:$X$63</definedName>
    <definedName name="SalesQty210">'Бланк заказа'!$X$427:$X$427</definedName>
    <definedName name="SalesQty211">'Бланк заказа'!$X$431:$X$431</definedName>
    <definedName name="SalesQty212">'Бланк заказа'!$X$432:$X$432</definedName>
    <definedName name="SalesQty213">'Бланк заказа'!$X$433:$X$433</definedName>
    <definedName name="SalesQty214">'Бланк заказа'!$X$434:$X$434</definedName>
    <definedName name="SalesQty215">'Бланк заказа'!$X$435:$X$435</definedName>
    <definedName name="SalesQty216">'Бланк заказа'!$X$436:$X$436</definedName>
    <definedName name="SalesQty217">'Бланк заказа'!$X$440:$X$440</definedName>
    <definedName name="SalesQty218">'Бланк заказа'!$X$446:$X$446</definedName>
    <definedName name="SalesQty219">'Бланк заказа'!$X$447:$X$447</definedName>
    <definedName name="SalesQty22">'Бланк заказа'!$X$67:$X$67</definedName>
    <definedName name="SalesQty220">'Бланк заказа'!$X$448:$X$448</definedName>
    <definedName name="SalesQty221">'Бланк заказа'!$X$449:$X$449</definedName>
    <definedName name="SalesQty222">'Бланк заказа'!$X$453:$X$453</definedName>
    <definedName name="SalesQty223">'Бланк заказа'!$X$454:$X$454</definedName>
    <definedName name="SalesQty224">'Бланк заказа'!$X$458:$X$458</definedName>
    <definedName name="SalesQty225">'Бланк заказа'!$X$459:$X$459</definedName>
    <definedName name="SalesQty226">'Бланк заказа'!$X$463:$X$463</definedName>
    <definedName name="SalesQty227">'Бланк заказа'!$X$467:$X$467</definedName>
    <definedName name="SalesQty228">'Бланк заказа'!$X$468:$X$468</definedName>
    <definedName name="SalesQty229">'Бланк заказа'!$X$473:$X$473</definedName>
    <definedName name="SalesQty23">'Бланк заказа'!$X$68:$X$68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заказа'!$X$135:$X$135</definedName>
    <definedName name="SalesQty58">'Бланк заказа'!$X$139:$X$139</definedName>
    <definedName name="SalesQty59">'Бланк заказа'!$X$145:$X$145</definedName>
    <definedName name="SalesQty6">'Бланк заказа'!$X$30:$X$30</definedName>
    <definedName name="SalesQty60">'Бланк заказа'!$X$149:$X$149</definedName>
    <definedName name="SalesQty61">'Бланк заказа'!$X$150:$X$150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заказа'!$X$156:$X$156</definedName>
    <definedName name="SalesQty68">'Бланк заказа'!$X$157:$X$157</definedName>
    <definedName name="SalesQty69">'Бланк заказа'!$X$158:$X$158</definedName>
    <definedName name="SalesQty7">'Бланк заказа'!$X$31:$X$31</definedName>
    <definedName name="SalesQty70">'Бланк заказа'!$X$159:$X$159</definedName>
    <definedName name="SalesQty71">'Бланк заказа'!$X$160:$X$160</definedName>
    <definedName name="SalesQty72">'Бланк заказа'!$X$164:$X$164</definedName>
    <definedName name="SalesQty73">'Бланк заказа'!$X$165:$X$165</definedName>
    <definedName name="SalesQty74">'Бланк заказа'!$X$166:$X$166</definedName>
    <definedName name="SalesQty75">'Бланк заказа'!$X$170:$X$170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заказа'!$X$185:$X$185</definedName>
    <definedName name="SalesQty81">'Бланк заказа'!$X$186:$X$186</definedName>
    <definedName name="SalesQty82">'Бланк заказа'!$X$187:$X$187</definedName>
    <definedName name="SalesQty83">'Бланк заказа'!$X$188:$X$188</definedName>
    <definedName name="SalesQty84">'Бланк заказа'!$X$189:$X$189</definedName>
    <definedName name="SalesQty85">'Бланк заказа'!$X$190:$X$190</definedName>
    <definedName name="SalesQty86">'Бланк заказа'!$X$191:$X$191</definedName>
    <definedName name="SalesQty87">'Бланк заказа'!$X$192:$X$192</definedName>
    <definedName name="SalesQty88">'Бланк заказа'!$X$196:$X$196</definedName>
    <definedName name="SalesQty89">'Бланк заказа'!$X$197:$X$197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заказа'!$Y$234:$Y$234</definedName>
    <definedName name="SalesRoundBox111">'Бланк заказа'!$Y$235:$Y$235</definedName>
    <definedName name="SalesRoundBox112">'Бланк заказа'!$Y$236:$Y$236</definedName>
    <definedName name="SalesRoundBox113">'Бланк заказа'!$Y$237:$Y$237</definedName>
    <definedName name="SalesRoundBox114">'Бланк заказа'!$Y$238:$Y$238</definedName>
    <definedName name="SalesRoundBox115">'Бланк заказа'!$Y$243:$Y$243</definedName>
    <definedName name="SalesRoundBox116">'Бланк заказа'!$Y$244:$Y$244</definedName>
    <definedName name="SalesRoundBox117">'Бланк заказа'!$Y$245:$Y$245</definedName>
    <definedName name="SalesRoundBox118">'Бланк заказа'!$Y$246:$Y$246</definedName>
    <definedName name="SalesRoundBox119">'Бланк заказа'!$Y$247:$Y$247</definedName>
    <definedName name="SalesRoundBox12">'Бланк заказа'!$Y$47:$Y$47</definedName>
    <definedName name="SalesRoundBox120">'Бланк заказа'!$Y$252:$Y$252</definedName>
    <definedName name="SalesRoundBox121">'Бланк заказа'!$Y$253:$Y$253</definedName>
    <definedName name="SalesRoundBox122">'Бланк заказа'!$Y$254:$Y$254</definedName>
    <definedName name="SalesRoundBox123">'Бланк заказа'!$Y$255:$Y$255</definedName>
    <definedName name="SalesRoundBox124">'Бланк заказа'!$Y$260:$Y$260</definedName>
    <definedName name="SalesRoundBox125">'Бланк заказа'!$Y$261:$Y$261</definedName>
    <definedName name="SalesRoundBox126">'Бланк заказа'!$Y$262:$Y$262</definedName>
    <definedName name="SalesRoundBox127">'Бланк заказа'!$Y$267:$Y$267</definedName>
    <definedName name="SalesRoundBox128">'Бланк заказа'!$Y$268:$Y$268</definedName>
    <definedName name="SalesRoundBox129">'Бланк заказа'!$Y$272:$Y$272</definedName>
    <definedName name="SalesRoundBox13">'Бланк заказа'!$Y$52:$Y$52</definedName>
    <definedName name="SalesRoundBox130">'Бланк заказа'!$Y$273:$Y$273</definedName>
    <definedName name="SalesRoundBox131">'Бланк заказа'!$Y$278:$Y$278</definedName>
    <definedName name="SalesRoundBox132">'Бланк заказа'!$Y$279:$Y$279</definedName>
    <definedName name="SalesRoundBox133">'Бланк заказа'!$Y$280:$Y$280</definedName>
    <definedName name="SalesRoundBox134">'Бланк заказа'!$Y$281:$Y$281</definedName>
    <definedName name="SalesRoundBox135">'Бланк заказа'!$Y$282:$Y$282</definedName>
    <definedName name="SalesRoundBox136">'Бланк заказа'!$Y$283:$Y$283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заказа'!$Y$53:$Y$53</definedName>
    <definedName name="SalesRoundBox140">'Бланк заказа'!$Y$290:$Y$290</definedName>
    <definedName name="SalesRoundBox141">'Бланк заказа'!$Y$291:$Y$291</definedName>
    <definedName name="SalesRoundBox142">'Бланк заказа'!$Y$292:$Y$292</definedName>
    <definedName name="SalesRoundBox143">'Бланк заказа'!$Y$296:$Y$296</definedName>
    <definedName name="SalesRoundBox144">'Бланк заказа'!$Y$297:$Y$297</definedName>
    <definedName name="SalesRoundBox145">'Бланк заказа'!$Y$298:$Y$298</definedName>
    <definedName name="SalesRoundBox146">'Бланк заказа'!$Y$299:$Y$299</definedName>
    <definedName name="SalesRoundBox147">'Бланк заказа'!$Y$303:$Y$303</definedName>
    <definedName name="SalesRoundBox148">'Бланк заказа'!$Y$304:$Y$304</definedName>
    <definedName name="SalesRoundBox149">'Бланк заказа'!$Y$305:$Y$305</definedName>
    <definedName name="SalesRoundBox15">'Бланк заказа'!$Y$54:$Y$54</definedName>
    <definedName name="SalesRoundBox150">'Бланк заказа'!$Y$309:$Y$309</definedName>
    <definedName name="SalesRoundBox151">'Бланк заказа'!$Y$310:$Y$310</definedName>
    <definedName name="SalesRoundBox152">'Бланк заказа'!$Y$311:$Y$311</definedName>
    <definedName name="SalesRoundBox153">'Бланк заказа'!$Y$312:$Y$312</definedName>
    <definedName name="SalesRoundBox154">'Бланк заказа'!$Y$316:$Y$316</definedName>
    <definedName name="SalesRoundBox155">'Бланк заказа'!$Y$317:$Y$317</definedName>
    <definedName name="SalesRoundBox156">'Бланк заказа'!$Y$318:$Y$318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заказа'!$Y$331:$Y$331</definedName>
    <definedName name="SalesRoundBox161">'Бланк заказа'!$Y$332:$Y$332</definedName>
    <definedName name="SalesRoundBox162">'Бланк заказа'!$Y$333:$Y$333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заказа'!$Y$346:$Y$346</definedName>
    <definedName name="SalesRoundBox17">'Бланк заказа'!$Y$56:$Y$56</definedName>
    <definedName name="SalesRoundBox170">'Бланк заказа'!$Y$347:$Y$347</definedName>
    <definedName name="SalesRoundBox171">'Бланк заказа'!$Y$351:$Y$351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заказа'!$Y$367:$Y$367</definedName>
    <definedName name="SalesRoundBox178">'Бланк заказа'!$Y$368:$Y$368</definedName>
    <definedName name="SalesRoundBox179">'Бланк заказа'!$Y$374:$Y$374</definedName>
    <definedName name="SalesRoundBox18">'Бланк заказа'!$Y$57:$Y$57</definedName>
    <definedName name="SalesRoundBox180">'Бланк заказа'!$Y$375:$Y$375</definedName>
    <definedName name="SalesRoundBox181">'Бланк заказа'!$Y$376:$Y$376</definedName>
    <definedName name="SalesRoundBox182">'Бланк заказа'!$Y$377:$Y$377</definedName>
    <definedName name="SalesRoundBox183">'Бланк заказа'!$Y$378:$Y$378</definedName>
    <definedName name="SalesRoundBox184">'Бланк заказа'!$Y$379:$Y$379</definedName>
    <definedName name="SalesRoundBox185">'Бланк заказа'!$Y$380:$Y$380</definedName>
    <definedName name="SalesRoundBox186">'Бланк заказа'!$Y$381:$Y$381</definedName>
    <definedName name="SalesRoundBox187">'Бланк заказа'!$Y$382:$Y$382</definedName>
    <definedName name="SalesRoundBox188">'Бланк заказа'!$Y$386:$Y$386</definedName>
    <definedName name="SalesRoundBox189">'Бланк заказа'!$Y$387:$Y$387</definedName>
    <definedName name="SalesRoundBox19">'Бланк заказа'!$Y$61:$Y$61</definedName>
    <definedName name="SalesRoundBox190">'Бланк заказа'!$Y$392:$Y$392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заказа'!$Y$404:$Y$404</definedName>
    <definedName name="SalesRoundBox196">'Бланк заказа'!$Y$410:$Y$410</definedName>
    <definedName name="SalesRoundBox197">'Бланк заказа'!$Y$411:$Y$411</definedName>
    <definedName name="SalesRoundBox198">'Бланк заказа'!$Y$412:$Y$412</definedName>
    <definedName name="SalesRoundBox199">'Бланк заказа'!$Y$413:$Y$413</definedName>
    <definedName name="SalesRoundBox2">'Бланк заказа'!$Y$23:$Y$23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заказа'!$Y$417:$Y$417</definedName>
    <definedName name="SalesRoundBox204">'Бланк заказа'!$Y$418:$Y$418</definedName>
    <definedName name="SalesRoundBox205">'Бланк заказа'!$Y$419:$Y$419</definedName>
    <definedName name="SalesRoundBox206">'Бланк заказа'!$Y$420:$Y$420</definedName>
    <definedName name="SalesRoundBox207">'Бланк заказа'!$Y$421:$Y$421</definedName>
    <definedName name="SalesRoundBox208">'Бланк заказа'!$Y$425:$Y$425</definedName>
    <definedName name="SalesRoundBox209">'Бланк заказа'!$Y$426:$Y$426</definedName>
    <definedName name="SalesRoundBox21">'Бланк заказа'!$Y$63:$Y$63</definedName>
    <definedName name="SalesRoundBox210">'Бланк заказа'!$Y$427:$Y$427</definedName>
    <definedName name="SalesRoundBox211">'Бланк заказа'!$Y$431:$Y$431</definedName>
    <definedName name="SalesRoundBox212">'Бланк заказа'!$Y$432:$Y$432</definedName>
    <definedName name="SalesRoundBox213">'Бланк заказа'!$Y$433:$Y$433</definedName>
    <definedName name="SalesRoundBox214">'Бланк заказа'!$Y$434:$Y$434</definedName>
    <definedName name="SalesRoundBox215">'Бланк заказа'!$Y$435:$Y$435</definedName>
    <definedName name="SalesRoundBox216">'Бланк заказа'!$Y$436:$Y$436</definedName>
    <definedName name="SalesRoundBox217">'Бланк заказа'!$Y$440:$Y$440</definedName>
    <definedName name="SalesRoundBox218">'Бланк заказа'!$Y$446:$Y$446</definedName>
    <definedName name="SalesRoundBox219">'Бланк заказа'!$Y$447:$Y$447</definedName>
    <definedName name="SalesRoundBox22">'Бланк заказа'!$Y$67:$Y$67</definedName>
    <definedName name="SalesRoundBox220">'Бланк заказа'!$Y$448:$Y$448</definedName>
    <definedName name="SalesRoundBox221">'Бланк заказа'!$Y$449:$Y$449</definedName>
    <definedName name="SalesRoundBox222">'Бланк заказа'!$Y$453:$Y$453</definedName>
    <definedName name="SalesRoundBox223">'Бланк заказа'!$Y$454:$Y$454</definedName>
    <definedName name="SalesRoundBox224">'Бланк заказа'!$Y$458:$Y$458</definedName>
    <definedName name="SalesRoundBox225">'Бланк заказа'!$Y$459:$Y$459</definedName>
    <definedName name="SalesRoundBox226">'Бланк заказа'!$Y$463:$Y$463</definedName>
    <definedName name="SalesRoundBox227">'Бланк заказа'!$Y$467:$Y$467</definedName>
    <definedName name="SalesRoundBox228">'Бланк заказа'!$Y$468:$Y$468</definedName>
    <definedName name="SalesRoundBox229">'Бланк заказа'!$Y$473:$Y$473</definedName>
    <definedName name="SalesRoundBox23">'Бланк заказа'!$Y$68:$Y$68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заказа'!$Y$135:$Y$135</definedName>
    <definedName name="SalesRoundBox58">'Бланк заказа'!$Y$139:$Y$139</definedName>
    <definedName name="SalesRoundBox59">'Бланк заказа'!$Y$145:$Y$145</definedName>
    <definedName name="SalesRoundBox6">'Бланк заказа'!$Y$30:$Y$30</definedName>
    <definedName name="SalesRoundBox60">'Бланк заказа'!$Y$149:$Y$149</definedName>
    <definedName name="SalesRoundBox61">'Бланк заказа'!$Y$150:$Y$150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заказа'!$Y$156:$Y$156</definedName>
    <definedName name="SalesRoundBox68">'Бланк заказа'!$Y$157:$Y$157</definedName>
    <definedName name="SalesRoundBox69">'Бланк заказа'!$Y$158:$Y$158</definedName>
    <definedName name="SalesRoundBox7">'Бланк заказа'!$Y$31:$Y$31</definedName>
    <definedName name="SalesRoundBox70">'Бланк заказа'!$Y$159:$Y$159</definedName>
    <definedName name="SalesRoundBox71">'Бланк заказа'!$Y$160:$Y$160</definedName>
    <definedName name="SalesRoundBox72">'Бланк заказа'!$Y$164:$Y$164</definedName>
    <definedName name="SalesRoundBox73">'Бланк заказа'!$Y$165:$Y$165</definedName>
    <definedName name="SalesRoundBox74">'Бланк заказа'!$Y$166:$Y$166</definedName>
    <definedName name="SalesRoundBox75">'Бланк заказа'!$Y$170:$Y$170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заказа'!$Y$185:$Y$185</definedName>
    <definedName name="SalesRoundBox81">'Бланк заказа'!$Y$186:$Y$186</definedName>
    <definedName name="SalesRoundBox82">'Бланк заказа'!$Y$187:$Y$187</definedName>
    <definedName name="SalesRoundBox83">'Бланк заказа'!$Y$188:$Y$188</definedName>
    <definedName name="SalesRoundBox84">'Бланк заказа'!$Y$189:$Y$189</definedName>
    <definedName name="SalesRoundBox85">'Бланк заказа'!$Y$190:$Y$190</definedName>
    <definedName name="SalesRoundBox86">'Бланк заказа'!$Y$191:$Y$191</definedName>
    <definedName name="SalesRoundBox87">'Бланк заказа'!$Y$192:$Y$192</definedName>
    <definedName name="SalesRoundBox88">'Бланк заказа'!$Y$196:$Y$196</definedName>
    <definedName name="SalesRoundBox89">'Бланк заказа'!$Y$197:$Y$197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заказа'!$W$234:$W$234</definedName>
    <definedName name="UnitOfMeasure111">'Бланк заказа'!$W$235:$W$235</definedName>
    <definedName name="UnitOfMeasure112">'Бланк заказа'!$W$236:$W$236</definedName>
    <definedName name="UnitOfMeasure113">'Бланк заказа'!$W$237:$W$237</definedName>
    <definedName name="UnitOfMeasure114">'Бланк заказа'!$W$238:$W$238</definedName>
    <definedName name="UnitOfMeasure115">'Бланк заказа'!$W$243:$W$243</definedName>
    <definedName name="UnitOfMeasure116">'Бланк заказа'!$W$244:$W$244</definedName>
    <definedName name="UnitOfMeasure117">'Бланк заказа'!$W$245:$W$245</definedName>
    <definedName name="UnitOfMeasure118">'Бланк заказа'!$W$246:$W$246</definedName>
    <definedName name="UnitOfMeasure119">'Бланк заказа'!$W$247:$W$247</definedName>
    <definedName name="UnitOfMeasure12">'Бланк заказа'!$W$47:$W$47</definedName>
    <definedName name="UnitOfMeasure120">'Бланк заказа'!$W$252:$W$252</definedName>
    <definedName name="UnitOfMeasure121">'Бланк заказа'!$W$253:$W$253</definedName>
    <definedName name="UnitOfMeasure122">'Бланк заказа'!$W$254:$W$254</definedName>
    <definedName name="UnitOfMeasure123">'Бланк заказа'!$W$255:$W$255</definedName>
    <definedName name="UnitOfMeasure124">'Бланк заказа'!$W$260:$W$260</definedName>
    <definedName name="UnitOfMeasure125">'Бланк заказа'!$W$261:$W$261</definedName>
    <definedName name="UnitOfMeasure126">'Бланк заказа'!$W$262:$W$262</definedName>
    <definedName name="UnitOfMeasure127">'Бланк заказа'!$W$267:$W$267</definedName>
    <definedName name="UnitOfMeasure128">'Бланк заказа'!$W$268:$W$268</definedName>
    <definedName name="UnitOfMeasure129">'Бланк заказа'!$W$272:$W$272</definedName>
    <definedName name="UnitOfMeasure13">'Бланк заказа'!$W$52:$W$52</definedName>
    <definedName name="UnitOfMeasure130">'Бланк заказа'!$W$273:$W$273</definedName>
    <definedName name="UnitOfMeasure131">'Бланк заказа'!$W$278:$W$278</definedName>
    <definedName name="UnitOfMeasure132">'Бланк заказа'!$W$279:$W$279</definedName>
    <definedName name="UnitOfMeasure133">'Бланк заказа'!$W$280:$W$280</definedName>
    <definedName name="UnitOfMeasure134">'Бланк заказа'!$W$281:$W$281</definedName>
    <definedName name="UnitOfMeasure135">'Бланк заказа'!$W$282:$W$282</definedName>
    <definedName name="UnitOfMeasure136">'Бланк заказа'!$W$283:$W$283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заказа'!$W$53:$W$53</definedName>
    <definedName name="UnitOfMeasure140">'Бланк заказа'!$W$290:$W$290</definedName>
    <definedName name="UnitOfMeasure141">'Бланк заказа'!$W$291:$W$291</definedName>
    <definedName name="UnitOfMeasure142">'Бланк заказа'!$W$292:$W$292</definedName>
    <definedName name="UnitOfMeasure143">'Бланк заказа'!$W$296:$W$296</definedName>
    <definedName name="UnitOfMeasure144">'Бланк заказа'!$W$297:$W$297</definedName>
    <definedName name="UnitOfMeasure145">'Бланк заказа'!$W$298:$W$298</definedName>
    <definedName name="UnitOfMeasure146">'Бланк заказа'!$W$299:$W$299</definedName>
    <definedName name="UnitOfMeasure147">'Бланк заказа'!$W$303:$W$303</definedName>
    <definedName name="UnitOfMeasure148">'Бланк заказа'!$W$304:$W$304</definedName>
    <definedName name="UnitOfMeasure149">'Бланк заказа'!$W$305:$W$305</definedName>
    <definedName name="UnitOfMeasure15">'Бланк заказа'!$W$54:$W$54</definedName>
    <definedName name="UnitOfMeasure150">'Бланк заказа'!$W$309:$W$309</definedName>
    <definedName name="UnitOfMeasure151">'Бланк заказа'!$W$310:$W$310</definedName>
    <definedName name="UnitOfMeasure152">'Бланк заказа'!$W$311:$W$311</definedName>
    <definedName name="UnitOfMeasure153">'Бланк заказа'!$W$312:$W$312</definedName>
    <definedName name="UnitOfMeasure154">'Бланк заказа'!$W$316:$W$316</definedName>
    <definedName name="UnitOfMeasure155">'Бланк заказа'!$W$317:$W$317</definedName>
    <definedName name="UnitOfMeasure156">'Бланк заказа'!$W$318:$W$318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заказа'!$W$331:$W$331</definedName>
    <definedName name="UnitOfMeasure161">'Бланк заказа'!$W$332:$W$332</definedName>
    <definedName name="UnitOfMeasure162">'Бланк заказа'!$W$333:$W$333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заказа'!$W$346:$W$346</definedName>
    <definedName name="UnitOfMeasure17">'Бланк заказа'!$W$56:$W$56</definedName>
    <definedName name="UnitOfMeasure170">'Бланк заказа'!$W$347:$W$347</definedName>
    <definedName name="UnitOfMeasure171">'Бланк заказа'!$W$351:$W$351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заказа'!$W$367:$W$367</definedName>
    <definedName name="UnitOfMeasure178">'Бланк заказа'!$W$368:$W$368</definedName>
    <definedName name="UnitOfMeasure179">'Бланк заказа'!$W$374:$W$374</definedName>
    <definedName name="UnitOfMeasure18">'Бланк заказа'!$W$57:$W$57</definedName>
    <definedName name="UnitOfMeasure180">'Бланк заказа'!$W$375:$W$375</definedName>
    <definedName name="UnitOfMeasure181">'Бланк заказа'!$W$376:$W$376</definedName>
    <definedName name="UnitOfMeasure182">'Бланк заказа'!$W$377:$W$377</definedName>
    <definedName name="UnitOfMeasure183">'Бланк заказа'!$W$378:$W$378</definedName>
    <definedName name="UnitOfMeasure184">'Бланк заказа'!$W$379:$W$379</definedName>
    <definedName name="UnitOfMeasure185">'Бланк заказа'!$W$380:$W$380</definedName>
    <definedName name="UnitOfMeasure186">'Бланк заказа'!$W$381:$W$381</definedName>
    <definedName name="UnitOfMeasure187">'Бланк заказа'!$W$382:$W$382</definedName>
    <definedName name="UnitOfMeasure188">'Бланк заказа'!$W$386:$W$386</definedName>
    <definedName name="UnitOfMeasure189">'Бланк заказа'!$W$387:$W$387</definedName>
    <definedName name="UnitOfMeasure19">'Бланк заказа'!$W$61:$W$61</definedName>
    <definedName name="UnitOfMeasure190">'Бланк заказа'!$W$392:$W$392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заказа'!$W$404:$W$404</definedName>
    <definedName name="UnitOfMeasure196">'Бланк заказа'!$W$410:$W$410</definedName>
    <definedName name="UnitOfMeasure197">'Бланк заказа'!$W$411:$W$411</definedName>
    <definedName name="UnitOfMeasure198">'Бланк заказа'!$W$412:$W$412</definedName>
    <definedName name="UnitOfMeasure199">'Бланк заказа'!$W$413:$W$413</definedName>
    <definedName name="UnitOfMeasure2">'Бланк заказа'!$W$23:$W$23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заказа'!$W$417:$W$417</definedName>
    <definedName name="UnitOfMeasure204">'Бланк заказа'!$W$418:$W$418</definedName>
    <definedName name="UnitOfMeasure205">'Бланк заказа'!$W$419:$W$419</definedName>
    <definedName name="UnitOfMeasure206">'Бланк заказа'!$W$420:$W$420</definedName>
    <definedName name="UnitOfMeasure207">'Бланк заказа'!$W$421:$W$421</definedName>
    <definedName name="UnitOfMeasure208">'Бланк заказа'!$W$425:$W$425</definedName>
    <definedName name="UnitOfMeasure209">'Бланк заказа'!$W$426:$W$426</definedName>
    <definedName name="UnitOfMeasure21">'Бланк заказа'!$W$63:$W$63</definedName>
    <definedName name="UnitOfMeasure210">'Бланк заказа'!$W$427:$W$427</definedName>
    <definedName name="UnitOfMeasure211">'Бланк заказа'!$W$431:$W$431</definedName>
    <definedName name="UnitOfMeasure212">'Бланк заказа'!$W$432:$W$432</definedName>
    <definedName name="UnitOfMeasure213">'Бланк заказа'!$W$433:$W$433</definedName>
    <definedName name="UnitOfMeasure214">'Бланк заказа'!$W$434:$W$434</definedName>
    <definedName name="UnitOfMeasure215">'Бланк заказа'!$W$435:$W$435</definedName>
    <definedName name="UnitOfMeasure216">'Бланк заказа'!$W$436:$W$436</definedName>
    <definedName name="UnitOfMeasure217">'Бланк заказа'!$W$440:$W$440</definedName>
    <definedName name="UnitOfMeasure218">'Бланк заказа'!$W$446:$W$446</definedName>
    <definedName name="UnitOfMeasure219">'Бланк заказа'!$W$447:$W$447</definedName>
    <definedName name="UnitOfMeasure22">'Бланк заказа'!$W$67:$W$67</definedName>
    <definedName name="UnitOfMeasure220">'Бланк заказа'!$W$448:$W$448</definedName>
    <definedName name="UnitOfMeasure221">'Бланк заказа'!$W$449:$W$449</definedName>
    <definedName name="UnitOfMeasure222">'Бланк заказа'!$W$453:$W$453</definedName>
    <definedName name="UnitOfMeasure223">'Бланк заказа'!$W$454:$W$454</definedName>
    <definedName name="UnitOfMeasure224">'Бланк заказа'!$W$458:$W$458</definedName>
    <definedName name="UnitOfMeasure225">'Бланк заказа'!$W$459:$W$459</definedName>
    <definedName name="UnitOfMeasure226">'Бланк заказа'!$W$463:$W$463</definedName>
    <definedName name="UnitOfMeasure227">'Бланк заказа'!$W$467:$W$467</definedName>
    <definedName name="UnitOfMeasure228">'Бланк заказа'!$W$468:$W$468</definedName>
    <definedName name="UnitOfMeasure229">'Бланк заказа'!$W$473:$W$473</definedName>
    <definedName name="UnitOfMeasure23">'Бланк заказа'!$W$68:$W$68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заказа'!$W$135:$W$135</definedName>
    <definedName name="UnitOfMeasure58">'Бланк заказа'!$W$139:$W$139</definedName>
    <definedName name="UnitOfMeasure59">'Бланк заказа'!$W$145:$W$145</definedName>
    <definedName name="UnitOfMeasure6">'Бланк заказа'!$W$30:$W$30</definedName>
    <definedName name="UnitOfMeasure60">'Бланк заказа'!$W$149:$W$149</definedName>
    <definedName name="UnitOfMeasure61">'Бланк заказа'!$W$150:$W$150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заказа'!$W$156:$W$156</definedName>
    <definedName name="UnitOfMeasure68">'Бланк заказа'!$W$157:$W$157</definedName>
    <definedName name="UnitOfMeasure69">'Бланк заказа'!$W$158:$W$158</definedName>
    <definedName name="UnitOfMeasure7">'Бланк заказа'!$W$31:$W$31</definedName>
    <definedName name="UnitOfMeasure70">'Бланк заказа'!$W$159:$W$159</definedName>
    <definedName name="UnitOfMeasure71">'Бланк заказа'!$W$160:$W$160</definedName>
    <definedName name="UnitOfMeasure72">'Бланк заказа'!$W$164:$W$164</definedName>
    <definedName name="UnitOfMeasure73">'Бланк заказа'!$W$165:$W$165</definedName>
    <definedName name="UnitOfMeasure74">'Бланк заказа'!$W$166:$W$166</definedName>
    <definedName name="UnitOfMeasure75">'Бланк заказа'!$W$170:$W$170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заказа'!$W$185:$W$185</definedName>
    <definedName name="UnitOfMeasure81">'Бланк заказа'!$W$186:$W$186</definedName>
    <definedName name="UnitOfMeasure82">'Бланк заказа'!$W$187:$W$187</definedName>
    <definedName name="UnitOfMeasure83">'Бланк заказа'!$W$188:$W$188</definedName>
    <definedName name="UnitOfMeasure84">'Бланк заказа'!$W$189:$W$189</definedName>
    <definedName name="UnitOfMeasure85">'Бланк заказа'!$W$190:$W$190</definedName>
    <definedName name="UnitOfMeasure86">'Бланк заказа'!$W$191:$W$191</definedName>
    <definedName name="UnitOfMeasure87">'Бланк заказа'!$W$192:$W$192</definedName>
    <definedName name="UnitOfMeasure88">'Бланк заказа'!$W$196:$W$196</definedName>
    <definedName name="UnitOfMeasure89">'Бланк заказа'!$W$197:$W$197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5" i="2" l="1"/>
  <c r="X474" i="2"/>
  <c r="BO473" i="2"/>
  <c r="BM473" i="2"/>
  <c r="Y473" i="2"/>
  <c r="Y486" i="2" s="1"/>
  <c r="P473" i="2"/>
  <c r="X470" i="2"/>
  <c r="X469" i="2"/>
  <c r="BO468" i="2"/>
  <c r="BM468" i="2"/>
  <c r="Y468" i="2"/>
  <c r="Z468" i="2" s="1"/>
  <c r="P468" i="2"/>
  <c r="BO467" i="2"/>
  <c r="BM467" i="2"/>
  <c r="Y467" i="2"/>
  <c r="P467" i="2"/>
  <c r="X465" i="2"/>
  <c r="X464" i="2"/>
  <c r="BO463" i="2"/>
  <c r="BN463" i="2"/>
  <c r="BM463" i="2"/>
  <c r="Z463" i="2"/>
  <c r="Z464" i="2" s="1"/>
  <c r="Y463" i="2"/>
  <c r="Y465" i="2" s="1"/>
  <c r="P463" i="2"/>
  <c r="X461" i="2"/>
  <c r="X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BP454" i="2" s="1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P447" i="2" s="1"/>
  <c r="P447" i="2"/>
  <c r="BO446" i="2"/>
  <c r="BM446" i="2"/>
  <c r="Y446" i="2"/>
  <c r="P446" i="2"/>
  <c r="X442" i="2"/>
  <c r="X441" i="2"/>
  <c r="BO440" i="2"/>
  <c r="BM440" i="2"/>
  <c r="Y440" i="2"/>
  <c r="P440" i="2"/>
  <c r="X438" i="2"/>
  <c r="X437" i="2"/>
  <c r="BO436" i="2"/>
  <c r="BM436" i="2"/>
  <c r="Y436" i="2"/>
  <c r="Z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P432" i="2" s="1"/>
  <c r="P432" i="2"/>
  <c r="BP431" i="2"/>
  <c r="BO431" i="2"/>
  <c r="BN431" i="2"/>
  <c r="BM431" i="2"/>
  <c r="Z431" i="2"/>
  <c r="Y431" i="2"/>
  <c r="Y437" i="2" s="1"/>
  <c r="P431" i="2"/>
  <c r="X429" i="2"/>
  <c r="X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P425" i="2"/>
  <c r="X423" i="2"/>
  <c r="X422" i="2"/>
  <c r="BO421" i="2"/>
  <c r="BM421" i="2"/>
  <c r="Y421" i="2"/>
  <c r="Z421" i="2" s="1"/>
  <c r="P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BP415" i="2"/>
  <c r="BO415" i="2"/>
  <c r="BN415" i="2"/>
  <c r="BM415" i="2"/>
  <c r="Z415" i="2"/>
  <c r="Y415" i="2"/>
  <c r="P415" i="2"/>
  <c r="BO414" i="2"/>
  <c r="BM414" i="2"/>
  <c r="Y414" i="2"/>
  <c r="Z414" i="2" s="1"/>
  <c r="P414" i="2"/>
  <c r="BP413" i="2"/>
  <c r="BO413" i="2"/>
  <c r="BN413" i="2"/>
  <c r="BM413" i="2"/>
  <c r="Z413" i="2"/>
  <c r="Y413" i="2"/>
  <c r="P413" i="2"/>
  <c r="BO412" i="2"/>
  <c r="BM412" i="2"/>
  <c r="Y412" i="2"/>
  <c r="BP412" i="2" s="1"/>
  <c r="P412" i="2"/>
  <c r="BO411" i="2"/>
  <c r="BM411" i="2"/>
  <c r="Y411" i="2"/>
  <c r="BO410" i="2"/>
  <c r="BM410" i="2"/>
  <c r="Y410" i="2"/>
  <c r="P410" i="2"/>
  <c r="Y406" i="2"/>
  <c r="X406" i="2"/>
  <c r="Y405" i="2"/>
  <c r="X405" i="2"/>
  <c r="BP404" i="2"/>
  <c r="BO404" i="2"/>
  <c r="BN404" i="2"/>
  <c r="BM404" i="2"/>
  <c r="Z404" i="2"/>
  <c r="Z405" i="2" s="1"/>
  <c r="Y404" i="2"/>
  <c r="V486" i="2" s="1"/>
  <c r="P404" i="2"/>
  <c r="X401" i="2"/>
  <c r="X400" i="2"/>
  <c r="BO399" i="2"/>
  <c r="BM399" i="2"/>
  <c r="Y399" i="2"/>
  <c r="Z399" i="2" s="1"/>
  <c r="P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Z396" i="2" s="1"/>
  <c r="P396" i="2"/>
  <c r="X394" i="2"/>
  <c r="X393" i="2"/>
  <c r="BO392" i="2"/>
  <c r="BM392" i="2"/>
  <c r="Y392" i="2"/>
  <c r="P392" i="2"/>
  <c r="X389" i="2"/>
  <c r="X388" i="2"/>
  <c r="BP387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P380" i="2"/>
  <c r="BO380" i="2"/>
  <c r="BN380" i="2"/>
  <c r="BM380" i="2"/>
  <c r="Z380" i="2"/>
  <c r="Y380" i="2"/>
  <c r="P380" i="2"/>
  <c r="BO379" i="2"/>
  <c r="BM379" i="2"/>
  <c r="Y379" i="2"/>
  <c r="BP379" i="2" s="1"/>
  <c r="P379" i="2"/>
  <c r="BO378" i="2"/>
  <c r="BM378" i="2"/>
  <c r="Y378" i="2"/>
  <c r="P378" i="2"/>
  <c r="BP377" i="2"/>
  <c r="BO377" i="2"/>
  <c r="BM377" i="2"/>
  <c r="Y377" i="2"/>
  <c r="BN377" i="2" s="1"/>
  <c r="P377" i="2"/>
  <c r="BO376" i="2"/>
  <c r="BM376" i="2"/>
  <c r="Y376" i="2"/>
  <c r="P376" i="2"/>
  <c r="BO375" i="2"/>
  <c r="BM375" i="2"/>
  <c r="Y375" i="2"/>
  <c r="Y384" i="2" s="1"/>
  <c r="P375" i="2"/>
  <c r="BO374" i="2"/>
  <c r="BM374" i="2"/>
  <c r="Y374" i="2"/>
  <c r="P374" i="2"/>
  <c r="X370" i="2"/>
  <c r="X369" i="2"/>
  <c r="BP368" i="2"/>
  <c r="BO368" i="2"/>
  <c r="BN368" i="2"/>
  <c r="BM368" i="2"/>
  <c r="Z368" i="2"/>
  <c r="Y368" i="2"/>
  <c r="P368" i="2"/>
  <c r="BO367" i="2"/>
  <c r="BM367" i="2"/>
  <c r="Y367" i="2"/>
  <c r="BP367" i="2" s="1"/>
  <c r="P367" i="2"/>
  <c r="BO366" i="2"/>
  <c r="BM366" i="2"/>
  <c r="Y366" i="2"/>
  <c r="P366" i="2"/>
  <c r="X364" i="2"/>
  <c r="X363" i="2"/>
  <c r="BO362" i="2"/>
  <c r="BM362" i="2"/>
  <c r="Y362" i="2"/>
  <c r="P362" i="2"/>
  <c r="BO361" i="2"/>
  <c r="BM361" i="2"/>
  <c r="Y361" i="2"/>
  <c r="Z361" i="2" s="1"/>
  <c r="P361" i="2"/>
  <c r="X359" i="2"/>
  <c r="X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P351" i="2"/>
  <c r="X349" i="2"/>
  <c r="X348" i="2"/>
  <c r="BP347" i="2"/>
  <c r="BO347" i="2"/>
  <c r="BN347" i="2"/>
  <c r="BM347" i="2"/>
  <c r="Z347" i="2"/>
  <c r="Y347" i="2"/>
  <c r="P347" i="2"/>
  <c r="BO346" i="2"/>
  <c r="BM346" i="2"/>
  <c r="Y346" i="2"/>
  <c r="Y349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X339" i="2"/>
  <c r="X338" i="2"/>
  <c r="BO337" i="2"/>
  <c r="BM337" i="2"/>
  <c r="Y337" i="2"/>
  <c r="Z337" i="2" s="1"/>
  <c r="P337" i="2"/>
  <c r="BO336" i="2"/>
  <c r="BM336" i="2"/>
  <c r="Y336" i="2"/>
  <c r="Z336" i="2" s="1"/>
  <c r="P336" i="2"/>
  <c r="BP335" i="2"/>
  <c r="BO335" i="2"/>
  <c r="BN335" i="2"/>
  <c r="BM335" i="2"/>
  <c r="Z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Y339" i="2" s="1"/>
  <c r="P331" i="2"/>
  <c r="X327" i="2"/>
  <c r="X326" i="2"/>
  <c r="BO325" i="2"/>
  <c r="BM325" i="2"/>
  <c r="Y325" i="2"/>
  <c r="Z325" i="2" s="1"/>
  <c r="P325" i="2"/>
  <c r="BO324" i="2"/>
  <c r="BM324" i="2"/>
  <c r="Y324" i="2"/>
  <c r="Z324" i="2" s="1"/>
  <c r="P324" i="2"/>
  <c r="BP323" i="2"/>
  <c r="BO323" i="2"/>
  <c r="BN323" i="2"/>
  <c r="BM323" i="2"/>
  <c r="Z323" i="2"/>
  <c r="Y323" i="2"/>
  <c r="P323" i="2"/>
  <c r="X320" i="2"/>
  <c r="Y319" i="2"/>
  <c r="X319" i="2"/>
  <c r="BP318" i="2"/>
  <c r="BO318" i="2"/>
  <c r="BN318" i="2"/>
  <c r="BM318" i="2"/>
  <c r="Z318" i="2"/>
  <c r="Y318" i="2"/>
  <c r="P318" i="2"/>
  <c r="BO317" i="2"/>
  <c r="BM317" i="2"/>
  <c r="Y317" i="2"/>
  <c r="BP317" i="2" s="1"/>
  <c r="P317" i="2"/>
  <c r="BO316" i="2"/>
  <c r="BN316" i="2"/>
  <c r="BM316" i="2"/>
  <c r="Z316" i="2"/>
  <c r="Y316" i="2"/>
  <c r="Y320" i="2" s="1"/>
  <c r="P316" i="2"/>
  <c r="X314" i="2"/>
  <c r="X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X301" i="2"/>
  <c r="X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Z297" i="2"/>
  <c r="Y297" i="2"/>
  <c r="BP297" i="2" s="1"/>
  <c r="P297" i="2"/>
  <c r="BO296" i="2"/>
  <c r="BN296" i="2"/>
  <c r="BM296" i="2"/>
  <c r="Z296" i="2"/>
  <c r="Y296" i="2"/>
  <c r="P296" i="2"/>
  <c r="X294" i="2"/>
  <c r="X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Z287" i="2"/>
  <c r="Y287" i="2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P280" i="2"/>
  <c r="BO280" i="2"/>
  <c r="BN280" i="2"/>
  <c r="BM280" i="2"/>
  <c r="Z280" i="2"/>
  <c r="Y280" i="2"/>
  <c r="P280" i="2"/>
  <c r="BO279" i="2"/>
  <c r="BM279" i="2"/>
  <c r="Y279" i="2"/>
  <c r="BP279" i="2" s="1"/>
  <c r="P279" i="2"/>
  <c r="BO278" i="2"/>
  <c r="BM278" i="2"/>
  <c r="Y278" i="2"/>
  <c r="Z278" i="2" s="1"/>
  <c r="P278" i="2"/>
  <c r="X275" i="2"/>
  <c r="X274" i="2"/>
  <c r="BO273" i="2"/>
  <c r="BN273" i="2"/>
  <c r="BM273" i="2"/>
  <c r="Z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P267" i="2"/>
  <c r="BO267" i="2"/>
  <c r="BN267" i="2"/>
  <c r="BM267" i="2"/>
  <c r="Z267" i="2"/>
  <c r="Y267" i="2"/>
  <c r="P267" i="2"/>
  <c r="X264" i="2"/>
  <c r="X263" i="2"/>
  <c r="BO262" i="2"/>
  <c r="BN262" i="2"/>
  <c r="BM262" i="2"/>
  <c r="Z262" i="2"/>
  <c r="Y262" i="2"/>
  <c r="BP262" i="2" s="1"/>
  <c r="P262" i="2"/>
  <c r="BO261" i="2"/>
  <c r="BM261" i="2"/>
  <c r="Y261" i="2"/>
  <c r="BN261" i="2" s="1"/>
  <c r="P261" i="2"/>
  <c r="BO260" i="2"/>
  <c r="BM260" i="2"/>
  <c r="Y260" i="2"/>
  <c r="M486" i="2" s="1"/>
  <c r="P260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Z253" i="2" s="1"/>
  <c r="P253" i="2"/>
  <c r="BO252" i="2"/>
  <c r="BM252" i="2"/>
  <c r="Z252" i="2"/>
  <c r="Y252" i="2"/>
  <c r="BP252" i="2" s="1"/>
  <c r="P252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Z245" i="2" s="1"/>
  <c r="P245" i="2"/>
  <c r="BP244" i="2"/>
  <c r="BO244" i="2"/>
  <c r="BN244" i="2"/>
  <c r="BM244" i="2"/>
  <c r="Z244" i="2"/>
  <c r="Y244" i="2"/>
  <c r="P244" i="2"/>
  <c r="BO243" i="2"/>
  <c r="BM243" i="2"/>
  <c r="Y243" i="2"/>
  <c r="BP243" i="2" s="1"/>
  <c r="P243" i="2"/>
  <c r="X240" i="2"/>
  <c r="X239" i="2"/>
  <c r="BP238" i="2"/>
  <c r="BO238" i="2"/>
  <c r="BM238" i="2"/>
  <c r="Y238" i="2"/>
  <c r="BN238" i="2" s="1"/>
  <c r="P238" i="2"/>
  <c r="BO237" i="2"/>
  <c r="BN237" i="2"/>
  <c r="BM237" i="2"/>
  <c r="Z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Y240" i="2" s="1"/>
  <c r="P234" i="2"/>
  <c r="X232" i="2"/>
  <c r="X231" i="2"/>
  <c r="BO230" i="2"/>
  <c r="BM230" i="2"/>
  <c r="Y230" i="2"/>
  <c r="Y232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P215" i="2"/>
  <c r="BO215" i="2"/>
  <c r="BN215" i="2"/>
  <c r="BM215" i="2"/>
  <c r="Z215" i="2"/>
  <c r="Y215" i="2"/>
  <c r="P215" i="2"/>
  <c r="BO214" i="2"/>
  <c r="BM214" i="2"/>
  <c r="Y214" i="2"/>
  <c r="Y224" i="2" s="1"/>
  <c r="P214" i="2"/>
  <c r="Y211" i="2"/>
  <c r="X211" i="2"/>
  <c r="X210" i="2"/>
  <c r="BO209" i="2"/>
  <c r="BM209" i="2"/>
  <c r="Y209" i="2"/>
  <c r="BP209" i="2" s="1"/>
  <c r="P209" i="2"/>
  <c r="BO208" i="2"/>
  <c r="BM208" i="2"/>
  <c r="Y208" i="2"/>
  <c r="Z208" i="2" s="1"/>
  <c r="P208" i="2"/>
  <c r="X206" i="2"/>
  <c r="X205" i="2"/>
  <c r="BO204" i="2"/>
  <c r="BN204" i="2"/>
  <c r="BM204" i="2"/>
  <c r="Z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P200" i="2"/>
  <c r="BO200" i="2"/>
  <c r="BN200" i="2"/>
  <c r="BM200" i="2"/>
  <c r="Z200" i="2"/>
  <c r="Y200" i="2"/>
  <c r="P200" i="2"/>
  <c r="BO199" i="2"/>
  <c r="BM199" i="2"/>
  <c r="Y199" i="2"/>
  <c r="BP199" i="2" s="1"/>
  <c r="P199" i="2"/>
  <c r="BO198" i="2"/>
  <c r="BM198" i="2"/>
  <c r="Y198" i="2"/>
  <c r="Z198" i="2" s="1"/>
  <c r="P198" i="2"/>
  <c r="BO197" i="2"/>
  <c r="BM197" i="2"/>
  <c r="Z197" i="2"/>
  <c r="Y197" i="2"/>
  <c r="BN197" i="2" s="1"/>
  <c r="P197" i="2"/>
  <c r="BO196" i="2"/>
  <c r="BN196" i="2"/>
  <c r="BM196" i="2"/>
  <c r="Z196" i="2"/>
  <c r="Y196" i="2"/>
  <c r="P196" i="2"/>
  <c r="X194" i="2"/>
  <c r="X193" i="2"/>
  <c r="BO192" i="2"/>
  <c r="BM192" i="2"/>
  <c r="Y192" i="2"/>
  <c r="Z192" i="2" s="1"/>
  <c r="P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Z188" i="2" s="1"/>
  <c r="P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Y194" i="2" s="1"/>
  <c r="P185" i="2"/>
  <c r="X183" i="2"/>
  <c r="X182" i="2"/>
  <c r="BO181" i="2"/>
  <c r="BM181" i="2"/>
  <c r="Y181" i="2"/>
  <c r="Z181" i="2" s="1"/>
  <c r="P181" i="2"/>
  <c r="BP180" i="2"/>
  <c r="BO180" i="2"/>
  <c r="BN180" i="2"/>
  <c r="BM180" i="2"/>
  <c r="Z180" i="2"/>
  <c r="Z182" i="2" s="1"/>
  <c r="Y180" i="2"/>
  <c r="P180" i="2"/>
  <c r="X178" i="2"/>
  <c r="X177" i="2"/>
  <c r="BO176" i="2"/>
  <c r="BM176" i="2"/>
  <c r="Y176" i="2"/>
  <c r="BN176" i="2" s="1"/>
  <c r="P176" i="2"/>
  <c r="BO175" i="2"/>
  <c r="BM175" i="2"/>
  <c r="Y175" i="2"/>
  <c r="Z175" i="2" s="1"/>
  <c r="P175" i="2"/>
  <c r="X172" i="2"/>
  <c r="X171" i="2"/>
  <c r="BO170" i="2"/>
  <c r="BM170" i="2"/>
  <c r="Y170" i="2"/>
  <c r="Y172" i="2" s="1"/>
  <c r="P170" i="2"/>
  <c r="Y168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Z164" i="2"/>
  <c r="Y164" i="2"/>
  <c r="Y167" i="2" s="1"/>
  <c r="P164" i="2"/>
  <c r="X162" i="2"/>
  <c r="X161" i="2"/>
  <c r="BO160" i="2"/>
  <c r="BM160" i="2"/>
  <c r="Y160" i="2"/>
  <c r="BP160" i="2" s="1"/>
  <c r="P160" i="2"/>
  <c r="BO159" i="2"/>
  <c r="BM159" i="2"/>
  <c r="Y159" i="2"/>
  <c r="Z159" i="2" s="1"/>
  <c r="P159" i="2"/>
  <c r="BO158" i="2"/>
  <c r="BM158" i="2"/>
  <c r="Y158" i="2"/>
  <c r="Z158" i="2" s="1"/>
  <c r="P158" i="2"/>
  <c r="BP157" i="2"/>
  <c r="BO157" i="2"/>
  <c r="BN157" i="2"/>
  <c r="BM157" i="2"/>
  <c r="Z157" i="2"/>
  <c r="Y157" i="2"/>
  <c r="BP156" i="2"/>
  <c r="BO156" i="2"/>
  <c r="BN156" i="2"/>
  <c r="BM156" i="2"/>
  <c r="Z156" i="2"/>
  <c r="Y156" i="2"/>
  <c r="P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Z149" i="2" s="1"/>
  <c r="X147" i="2"/>
  <c r="X146" i="2"/>
  <c r="BO145" i="2"/>
  <c r="BM145" i="2"/>
  <c r="Y145" i="2"/>
  <c r="BN145" i="2" s="1"/>
  <c r="P145" i="2"/>
  <c r="Y141" i="2"/>
  <c r="X141" i="2"/>
  <c r="Y140" i="2"/>
  <c r="X140" i="2"/>
  <c r="BP139" i="2"/>
  <c r="BO139" i="2"/>
  <c r="BN139" i="2"/>
  <c r="BM139" i="2"/>
  <c r="Z139" i="2"/>
  <c r="Z140" i="2" s="1"/>
  <c r="Y139" i="2"/>
  <c r="P139" i="2"/>
  <c r="X137" i="2"/>
  <c r="Y136" i="2"/>
  <c r="X136" i="2"/>
  <c r="BP135" i="2"/>
  <c r="BO135" i="2"/>
  <c r="BN135" i="2"/>
  <c r="BM135" i="2"/>
  <c r="Z135" i="2"/>
  <c r="Y135" i="2"/>
  <c r="P135" i="2"/>
  <c r="BO134" i="2"/>
  <c r="BM134" i="2"/>
  <c r="Y134" i="2"/>
  <c r="BP134" i="2" s="1"/>
  <c r="P134" i="2"/>
  <c r="BO133" i="2"/>
  <c r="BM133" i="2"/>
  <c r="Y133" i="2"/>
  <c r="Z133" i="2" s="1"/>
  <c r="P133" i="2"/>
  <c r="X131" i="2"/>
  <c r="X130" i="2"/>
  <c r="BO129" i="2"/>
  <c r="BN129" i="2"/>
  <c r="BM129" i="2"/>
  <c r="Z129" i="2"/>
  <c r="Y129" i="2"/>
  <c r="BP129" i="2" s="1"/>
  <c r="P129" i="2"/>
  <c r="BO128" i="2"/>
  <c r="BM128" i="2"/>
  <c r="Y128" i="2"/>
  <c r="BP128" i="2" s="1"/>
  <c r="P128" i="2"/>
  <c r="Y125" i="2"/>
  <c r="X125" i="2"/>
  <c r="X124" i="2"/>
  <c r="BO123" i="2"/>
  <c r="BM123" i="2"/>
  <c r="Y123" i="2"/>
  <c r="Y124" i="2" s="1"/>
  <c r="P123" i="2"/>
  <c r="X121" i="2"/>
  <c r="X120" i="2"/>
  <c r="BO119" i="2"/>
  <c r="BM119" i="2"/>
  <c r="Z119" i="2"/>
  <c r="Y119" i="2"/>
  <c r="BN119" i="2" s="1"/>
  <c r="P119" i="2"/>
  <c r="BO118" i="2"/>
  <c r="BN118" i="2"/>
  <c r="BM118" i="2"/>
  <c r="Z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Z110" i="2" s="1"/>
  <c r="BO109" i="2"/>
  <c r="BM109" i="2"/>
  <c r="Y109" i="2"/>
  <c r="Z109" i="2" s="1"/>
  <c r="P109" i="2"/>
  <c r="X107" i="2"/>
  <c r="X106" i="2"/>
  <c r="BO105" i="2"/>
  <c r="BM105" i="2"/>
  <c r="Y105" i="2"/>
  <c r="Z105" i="2" s="1"/>
  <c r="P105" i="2"/>
  <c r="BO104" i="2"/>
  <c r="BM104" i="2"/>
  <c r="Z104" i="2"/>
  <c r="Y104" i="2"/>
  <c r="BN104" i="2" s="1"/>
  <c r="P104" i="2"/>
  <c r="BO103" i="2"/>
  <c r="BN103" i="2"/>
  <c r="BM103" i="2"/>
  <c r="Z103" i="2"/>
  <c r="Y103" i="2"/>
  <c r="BP103" i="2" s="1"/>
  <c r="P103" i="2"/>
  <c r="BO102" i="2"/>
  <c r="BM102" i="2"/>
  <c r="Y102" i="2"/>
  <c r="BN102" i="2" s="1"/>
  <c r="BO101" i="2"/>
  <c r="BM101" i="2"/>
  <c r="Y101" i="2"/>
  <c r="P101" i="2"/>
  <c r="X98" i="2"/>
  <c r="X97" i="2"/>
  <c r="BO96" i="2"/>
  <c r="BM96" i="2"/>
  <c r="Y96" i="2"/>
  <c r="BN96" i="2" s="1"/>
  <c r="P96" i="2"/>
  <c r="BO95" i="2"/>
  <c r="BM95" i="2"/>
  <c r="Y95" i="2"/>
  <c r="BP95" i="2" s="1"/>
  <c r="P95" i="2"/>
  <c r="BP94" i="2"/>
  <c r="BO94" i="2"/>
  <c r="BN94" i="2"/>
  <c r="BM94" i="2"/>
  <c r="Z94" i="2"/>
  <c r="Y94" i="2"/>
  <c r="P94" i="2"/>
  <c r="BO93" i="2"/>
  <c r="BM93" i="2"/>
  <c r="Y93" i="2"/>
  <c r="P93" i="2"/>
  <c r="X91" i="2"/>
  <c r="X90" i="2"/>
  <c r="BO89" i="2"/>
  <c r="BM89" i="2"/>
  <c r="Y89" i="2"/>
  <c r="Z89" i="2" s="1"/>
  <c r="P89" i="2"/>
  <c r="BO88" i="2"/>
  <c r="BM88" i="2"/>
  <c r="Y88" i="2"/>
  <c r="BN88" i="2" s="1"/>
  <c r="P88" i="2"/>
  <c r="BO87" i="2"/>
  <c r="BM87" i="2"/>
  <c r="Y87" i="2"/>
  <c r="BP87" i="2" s="1"/>
  <c r="BO86" i="2"/>
  <c r="BM86" i="2"/>
  <c r="Z86" i="2"/>
  <c r="Y86" i="2"/>
  <c r="P86" i="2"/>
  <c r="X83" i="2"/>
  <c r="X82" i="2"/>
  <c r="BO81" i="2"/>
  <c r="BN81" i="2"/>
  <c r="BM81" i="2"/>
  <c r="Z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N61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X49" i="2"/>
  <c r="X48" i="2"/>
  <c r="BO47" i="2"/>
  <c r="BM47" i="2"/>
  <c r="Y47" i="2"/>
  <c r="BP47" i="2" s="1"/>
  <c r="P47" i="2"/>
  <c r="X45" i="2"/>
  <c r="X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C486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X480" i="2" s="1"/>
  <c r="BO23" i="2"/>
  <c r="BM23" i="2"/>
  <c r="Y23" i="2"/>
  <c r="BP23" i="2" s="1"/>
  <c r="P23" i="2"/>
  <c r="BO22" i="2"/>
  <c r="X478" i="2" s="1"/>
  <c r="BM22" i="2"/>
  <c r="X477" i="2" s="1"/>
  <c r="Y22" i="2"/>
  <c r="B486" i="2" s="1"/>
  <c r="P22" i="2"/>
  <c r="H10" i="2"/>
  <c r="A9" i="2"/>
  <c r="A10" i="2" s="1"/>
  <c r="D7" i="2"/>
  <c r="Q6" i="2"/>
  <c r="P2" i="2"/>
  <c r="BN30" i="2" l="1"/>
  <c r="BP30" i="2"/>
  <c r="BN35" i="2"/>
  <c r="BP35" i="2"/>
  <c r="Y36" i="2"/>
  <c r="Y37" i="2"/>
  <c r="Y58" i="2"/>
  <c r="BN73" i="2"/>
  <c r="BP73" i="2"/>
  <c r="BP88" i="2"/>
  <c r="BN89" i="2"/>
  <c r="BN110" i="2"/>
  <c r="BP110" i="2"/>
  <c r="BN128" i="2"/>
  <c r="BP152" i="2"/>
  <c r="BP159" i="2"/>
  <c r="BN160" i="2"/>
  <c r="BP187" i="2"/>
  <c r="BN219" i="2"/>
  <c r="BP219" i="2"/>
  <c r="BN235" i="2"/>
  <c r="BP235" i="2"/>
  <c r="BN253" i="2"/>
  <c r="BP253" i="2"/>
  <c r="Y269" i="2"/>
  <c r="Y270" i="2"/>
  <c r="BN272" i="2"/>
  <c r="BN282" i="2"/>
  <c r="BP282" i="2"/>
  <c r="BN283" i="2"/>
  <c r="BN288" i="2"/>
  <c r="BP288" i="2"/>
  <c r="BN298" i="2"/>
  <c r="BP298" i="2"/>
  <c r="BN325" i="2"/>
  <c r="BP325" i="2"/>
  <c r="BP333" i="2"/>
  <c r="BN333" i="2"/>
  <c r="Z333" i="2"/>
  <c r="Y353" i="2"/>
  <c r="Y352" i="2"/>
  <c r="BP351" i="2"/>
  <c r="BN351" i="2"/>
  <c r="Z351" i="2"/>
  <c r="Z352" i="2" s="1"/>
  <c r="S486" i="2"/>
  <c r="BP356" i="2"/>
  <c r="BN356" i="2"/>
  <c r="Z356" i="2"/>
  <c r="BP362" i="2"/>
  <c r="BN362" i="2"/>
  <c r="Z362" i="2"/>
  <c r="Y370" i="2"/>
  <c r="BP366" i="2"/>
  <c r="BN366" i="2"/>
  <c r="Z366" i="2"/>
  <c r="BP376" i="2"/>
  <c r="BN376" i="2"/>
  <c r="Z376" i="2"/>
  <c r="BN382" i="2"/>
  <c r="Z382" i="2"/>
  <c r="BP397" i="2"/>
  <c r="BN397" i="2"/>
  <c r="Z397" i="2"/>
  <c r="BN414" i="2"/>
  <c r="BN416" i="2"/>
  <c r="BP416" i="2"/>
  <c r="BP419" i="2"/>
  <c r="BN419" i="2"/>
  <c r="Z419" i="2"/>
  <c r="BP425" i="2"/>
  <c r="BN425" i="2"/>
  <c r="Z425" i="2"/>
  <c r="Z428" i="2" s="1"/>
  <c r="BN55" i="2"/>
  <c r="BP55" i="2"/>
  <c r="BP89" i="2"/>
  <c r="Y90" i="2"/>
  <c r="BN154" i="2"/>
  <c r="BP154" i="2"/>
  <c r="BN159" i="2"/>
  <c r="BN188" i="2"/>
  <c r="BP188" i="2"/>
  <c r="BN202" i="2"/>
  <c r="BP202" i="2"/>
  <c r="BN203" i="2"/>
  <c r="BP218" i="2"/>
  <c r="BN236" i="2"/>
  <c r="Y239" i="2"/>
  <c r="BN246" i="2"/>
  <c r="BP246" i="2"/>
  <c r="BN247" i="2"/>
  <c r="Z22" i="2"/>
  <c r="BN22" i="2"/>
  <c r="BP22" i="2"/>
  <c r="X476" i="2"/>
  <c r="BN27" i="2"/>
  <c r="Z31" i="2"/>
  <c r="BN31" i="2"/>
  <c r="Z42" i="2"/>
  <c r="BN42" i="2"/>
  <c r="D486" i="2"/>
  <c r="BN52" i="2"/>
  <c r="Z56" i="2"/>
  <c r="BN56" i="2"/>
  <c r="BN62" i="2"/>
  <c r="Z67" i="2"/>
  <c r="BN67" i="2"/>
  <c r="BN68" i="2"/>
  <c r="Z69" i="2"/>
  <c r="BN69" i="2"/>
  <c r="Z75" i="2"/>
  <c r="BN75" i="2"/>
  <c r="E486" i="2"/>
  <c r="BP86" i="2"/>
  <c r="Z87" i="2"/>
  <c r="Z90" i="2" s="1"/>
  <c r="BN87" i="2"/>
  <c r="Z88" i="2"/>
  <c r="Y97" i="2"/>
  <c r="BN93" i="2"/>
  <c r="BP93" i="2"/>
  <c r="Z95" i="2"/>
  <c r="BN95" i="2"/>
  <c r="F486" i="2"/>
  <c r="BN101" i="2"/>
  <c r="BP104" i="2"/>
  <c r="BN105" i="2"/>
  <c r="BP105" i="2"/>
  <c r="BN109" i="2"/>
  <c r="BP109" i="2"/>
  <c r="Z112" i="2"/>
  <c r="BN112" i="2"/>
  <c r="Y113" i="2"/>
  <c r="Z116" i="2"/>
  <c r="BN116" i="2"/>
  <c r="Y121" i="2"/>
  <c r="BP119" i="2"/>
  <c r="BN133" i="2"/>
  <c r="BP133" i="2"/>
  <c r="BN149" i="2"/>
  <c r="BP149" i="2"/>
  <c r="BN151" i="2"/>
  <c r="Z152" i="2"/>
  <c r="Z155" i="2"/>
  <c r="BN155" i="2"/>
  <c r="BP164" i="2"/>
  <c r="BN165" i="2"/>
  <c r="BP165" i="2"/>
  <c r="Z170" i="2"/>
  <c r="Z171" i="2" s="1"/>
  <c r="BN170" i="2"/>
  <c r="BP170" i="2"/>
  <c r="BN175" i="2"/>
  <c r="BP175" i="2"/>
  <c r="Z186" i="2"/>
  <c r="BN186" i="2"/>
  <c r="Z187" i="2"/>
  <c r="Z190" i="2"/>
  <c r="BN190" i="2"/>
  <c r="BN192" i="2"/>
  <c r="BP192" i="2"/>
  <c r="Y206" i="2"/>
  <c r="BP197" i="2"/>
  <c r="BN198" i="2"/>
  <c r="BP198" i="2"/>
  <c r="BN208" i="2"/>
  <c r="BP208" i="2"/>
  <c r="Z214" i="2"/>
  <c r="BN214" i="2"/>
  <c r="BP214" i="2"/>
  <c r="Z217" i="2"/>
  <c r="BN217" i="2"/>
  <c r="Z218" i="2"/>
  <c r="Z221" i="2"/>
  <c r="BN221" i="2"/>
  <c r="BN230" i="2"/>
  <c r="Z255" i="2"/>
  <c r="BN255" i="2"/>
  <c r="Y256" i="2"/>
  <c r="Z260" i="2"/>
  <c r="BN260" i="2"/>
  <c r="BP260" i="2"/>
  <c r="O486" i="2"/>
  <c r="BN278" i="2"/>
  <c r="BP278" i="2"/>
  <c r="Y294" i="2"/>
  <c r="Z290" i="2"/>
  <c r="BN290" i="2"/>
  <c r="BN292" i="2"/>
  <c r="BP292" i="2"/>
  <c r="Y300" i="2"/>
  <c r="Y301" i="2"/>
  <c r="BN303" i="2"/>
  <c r="Z304" i="2"/>
  <c r="BN304" i="2"/>
  <c r="Y306" i="2"/>
  <c r="Y313" i="2"/>
  <c r="BN309" i="2"/>
  <c r="Z310" i="2"/>
  <c r="BN310" i="2"/>
  <c r="Y314" i="2"/>
  <c r="BN312" i="2"/>
  <c r="BP312" i="2"/>
  <c r="Q486" i="2"/>
  <c r="Z331" i="2"/>
  <c r="BN331" i="2"/>
  <c r="BN337" i="2"/>
  <c r="BP337" i="2"/>
  <c r="Y343" i="2"/>
  <c r="Y344" i="2"/>
  <c r="BN341" i="2"/>
  <c r="Z341" i="2"/>
  <c r="Y369" i="2"/>
  <c r="BP378" i="2"/>
  <c r="BN378" i="2"/>
  <c r="Z378" i="2"/>
  <c r="BP382" i="2"/>
  <c r="Y389" i="2"/>
  <c r="BP386" i="2"/>
  <c r="BN386" i="2"/>
  <c r="Z386" i="2"/>
  <c r="BP410" i="2"/>
  <c r="W486" i="2"/>
  <c r="Y422" i="2"/>
  <c r="BN410" i="2"/>
  <c r="BP411" i="2"/>
  <c r="BN411" i="2"/>
  <c r="Z411" i="2"/>
  <c r="BP433" i="2"/>
  <c r="Z433" i="2"/>
  <c r="BP435" i="2"/>
  <c r="BN435" i="2"/>
  <c r="Z435" i="2"/>
  <c r="Y441" i="2"/>
  <c r="Y442" i="2"/>
  <c r="BP448" i="2"/>
  <c r="BN448" i="2"/>
  <c r="Z448" i="2"/>
  <c r="Y456" i="2"/>
  <c r="BP453" i="2"/>
  <c r="BN453" i="2"/>
  <c r="Z453" i="2"/>
  <c r="BP459" i="2"/>
  <c r="BN459" i="2"/>
  <c r="Z459" i="2"/>
  <c r="BN467" i="2"/>
  <c r="BP467" i="2"/>
  <c r="Y359" i="2"/>
  <c r="Z363" i="2"/>
  <c r="BN361" i="2"/>
  <c r="Y363" i="2"/>
  <c r="T486" i="2"/>
  <c r="BN374" i="2"/>
  <c r="Y388" i="2"/>
  <c r="U486" i="2"/>
  <c r="BN396" i="2"/>
  <c r="BN398" i="2"/>
  <c r="BP398" i="2"/>
  <c r="BN421" i="2"/>
  <c r="BP421" i="2"/>
  <c r="BN426" i="2"/>
  <c r="BP426" i="2"/>
  <c r="BN434" i="2"/>
  <c r="BN436" i="2"/>
  <c r="BP436" i="2"/>
  <c r="X486" i="2"/>
  <c r="BN447" i="2"/>
  <c r="BN449" i="2"/>
  <c r="Z460" i="2"/>
  <c r="BN458" i="2"/>
  <c r="Y464" i="2"/>
  <c r="Y474" i="2"/>
  <c r="H9" i="2"/>
  <c r="J9" i="2"/>
  <c r="X479" i="2"/>
  <c r="Z437" i="2"/>
  <c r="Z400" i="2"/>
  <c r="Z326" i="2"/>
  <c r="Z176" i="2"/>
  <c r="Z177" i="2" s="1"/>
  <c r="Z29" i="2"/>
  <c r="BN43" i="2"/>
  <c r="Z54" i="2"/>
  <c r="BN76" i="2"/>
  <c r="Y114" i="2"/>
  <c r="Z123" i="2"/>
  <c r="Z124" i="2" s="1"/>
  <c r="Y137" i="2"/>
  <c r="Z153" i="2"/>
  <c r="BN158" i="2"/>
  <c r="Y161" i="2"/>
  <c r="BN181" i="2"/>
  <c r="BN191" i="2"/>
  <c r="BN201" i="2"/>
  <c r="BN222" i="2"/>
  <c r="BN234" i="2"/>
  <c r="BN245" i="2"/>
  <c r="Y248" i="2"/>
  <c r="Y257" i="2"/>
  <c r="Z268" i="2"/>
  <c r="Z269" i="2" s="1"/>
  <c r="BN281" i="2"/>
  <c r="Y284" i="2"/>
  <c r="BN291" i="2"/>
  <c r="BP303" i="2"/>
  <c r="Z311" i="2"/>
  <c r="BN324" i="2"/>
  <c r="BN336" i="2"/>
  <c r="Z346" i="2"/>
  <c r="Z348" i="2" s="1"/>
  <c r="BP361" i="2"/>
  <c r="Z381" i="2"/>
  <c r="BP396" i="2"/>
  <c r="Z412" i="2"/>
  <c r="BP414" i="2"/>
  <c r="Y423" i="2"/>
  <c r="Z432" i="2"/>
  <c r="BP434" i="2"/>
  <c r="BN446" i="2"/>
  <c r="BP458" i="2"/>
  <c r="BN468" i="2"/>
  <c r="G486" i="2"/>
  <c r="Y106" i="2"/>
  <c r="Y307" i="2"/>
  <c r="BN399" i="2"/>
  <c r="BN417" i="2"/>
  <c r="BN427" i="2"/>
  <c r="Y438" i="2"/>
  <c r="Z449" i="2"/>
  <c r="BP463" i="2"/>
  <c r="Y475" i="2"/>
  <c r="H486" i="2"/>
  <c r="BN29" i="2"/>
  <c r="Y32" i="2"/>
  <c r="Z41" i="2"/>
  <c r="Z44" i="2" s="1"/>
  <c r="BP43" i="2"/>
  <c r="BN54" i="2"/>
  <c r="Y65" i="2"/>
  <c r="Z74" i="2"/>
  <c r="Z77" i="2" s="1"/>
  <c r="BP76" i="2"/>
  <c r="Z111" i="2"/>
  <c r="Z113" i="2" s="1"/>
  <c r="BN123" i="2"/>
  <c r="Z134" i="2"/>
  <c r="Z136" i="2" s="1"/>
  <c r="BN153" i="2"/>
  <c r="BP158" i="2"/>
  <c r="Z166" i="2"/>
  <c r="Z167" i="2" s="1"/>
  <c r="Y171" i="2"/>
  <c r="BP181" i="2"/>
  <c r="Z189" i="2"/>
  <c r="BP191" i="2"/>
  <c r="Z199" i="2"/>
  <c r="BP201" i="2"/>
  <c r="Z209" i="2"/>
  <c r="Z210" i="2" s="1"/>
  <c r="Z220" i="2"/>
  <c r="BP222" i="2"/>
  <c r="BP234" i="2"/>
  <c r="Z243" i="2"/>
  <c r="BP245" i="2"/>
  <c r="Z254" i="2"/>
  <c r="Z256" i="2" s="1"/>
  <c r="BN268" i="2"/>
  <c r="Z279" i="2"/>
  <c r="BP281" i="2"/>
  <c r="Z289" i="2"/>
  <c r="Z293" i="2" s="1"/>
  <c r="BP291" i="2"/>
  <c r="Z299" i="2"/>
  <c r="Z300" i="2" s="1"/>
  <c r="BN311" i="2"/>
  <c r="BP324" i="2"/>
  <c r="Z334" i="2"/>
  <c r="BP336" i="2"/>
  <c r="BN346" i="2"/>
  <c r="Z357" i="2"/>
  <c r="Z358" i="2" s="1"/>
  <c r="BN381" i="2"/>
  <c r="Z392" i="2"/>
  <c r="Z393" i="2" s="1"/>
  <c r="BN412" i="2"/>
  <c r="Z420" i="2"/>
  <c r="BN432" i="2"/>
  <c r="BP446" i="2"/>
  <c r="Z454" i="2"/>
  <c r="Z455" i="2" s="1"/>
  <c r="BP468" i="2"/>
  <c r="I486" i="2"/>
  <c r="BP102" i="2"/>
  <c r="BP226" i="2"/>
  <c r="Y49" i="2"/>
  <c r="BP145" i="2"/>
  <c r="Y228" i="2"/>
  <c r="Y249" i="2"/>
  <c r="Y285" i="2"/>
  <c r="BP296" i="2"/>
  <c r="BP331" i="2"/>
  <c r="BP341" i="2"/>
  <c r="BP399" i="2"/>
  <c r="BP417" i="2"/>
  <c r="BP427" i="2"/>
  <c r="J486" i="2"/>
  <c r="BP63" i="2"/>
  <c r="F10" i="2"/>
  <c r="BP176" i="2"/>
  <c r="Y146" i="2"/>
  <c r="Y162" i="2"/>
  <c r="BP196" i="2"/>
  <c r="Z27" i="2"/>
  <c r="BN41" i="2"/>
  <c r="Y44" i="2"/>
  <c r="Z52" i="2"/>
  <c r="Z62" i="2"/>
  <c r="BN74" i="2"/>
  <c r="Y77" i="2"/>
  <c r="Y91" i="2"/>
  <c r="Z101" i="2"/>
  <c r="Y107" i="2"/>
  <c r="BN111" i="2"/>
  <c r="BP123" i="2"/>
  <c r="BN134" i="2"/>
  <c r="Z151" i="2"/>
  <c r="BN166" i="2"/>
  <c r="Y182" i="2"/>
  <c r="BN189" i="2"/>
  <c r="BN199" i="2"/>
  <c r="BN209" i="2"/>
  <c r="BN220" i="2"/>
  <c r="Y223" i="2"/>
  <c r="Z230" i="2"/>
  <c r="Z231" i="2" s="1"/>
  <c r="BN243" i="2"/>
  <c r="BN254" i="2"/>
  <c r="BN279" i="2"/>
  <c r="BN289" i="2"/>
  <c r="BN299" i="2"/>
  <c r="Z309" i="2"/>
  <c r="BP311" i="2"/>
  <c r="BN334" i="2"/>
  <c r="BP346" i="2"/>
  <c r="BN357" i="2"/>
  <c r="Z367" i="2"/>
  <c r="Z369" i="2" s="1"/>
  <c r="Z379" i="2"/>
  <c r="BN392" i="2"/>
  <c r="BN420" i="2"/>
  <c r="Z440" i="2"/>
  <c r="Z441" i="2" s="1"/>
  <c r="BN454" i="2"/>
  <c r="Y469" i="2"/>
  <c r="K486" i="2"/>
  <c r="BP61" i="2"/>
  <c r="Y98" i="2"/>
  <c r="BP150" i="2"/>
  <c r="Y177" i="2"/>
  <c r="Y33" i="2"/>
  <c r="Y82" i="2"/>
  <c r="Y263" i="2"/>
  <c r="BP316" i="2"/>
  <c r="Z374" i="2"/>
  <c r="Y400" i="2"/>
  <c r="Z410" i="2"/>
  <c r="Y428" i="2"/>
  <c r="Z447" i="2"/>
  <c r="L486" i="2"/>
  <c r="BP117" i="2"/>
  <c r="Z332" i="2"/>
  <c r="Z338" i="2" s="1"/>
  <c r="Z342" i="2"/>
  <c r="Z343" i="2" s="1"/>
  <c r="BP357" i="2"/>
  <c r="BN367" i="2"/>
  <c r="BN379" i="2"/>
  <c r="BP392" i="2"/>
  <c r="Z418" i="2"/>
  <c r="BN440" i="2"/>
  <c r="BP185" i="2"/>
  <c r="BP216" i="2"/>
  <c r="BP28" i="2"/>
  <c r="Y64" i="2"/>
  <c r="BP41" i="2"/>
  <c r="Y147" i="2"/>
  <c r="Y178" i="2"/>
  <c r="Y45" i="2"/>
  <c r="Y70" i="2"/>
  <c r="Y78" i="2"/>
  <c r="Z93" i="2"/>
  <c r="Y130" i="2"/>
  <c r="Y183" i="2"/>
  <c r="Y205" i="2"/>
  <c r="Y274" i="2"/>
  <c r="Y450" i="2"/>
  <c r="Y470" i="2"/>
  <c r="BP96" i="2"/>
  <c r="BP261" i="2"/>
  <c r="BP53" i="2"/>
  <c r="Z150" i="2"/>
  <c r="Y25" i="2"/>
  <c r="BP52" i="2"/>
  <c r="Y83" i="2"/>
  <c r="BP101" i="2"/>
  <c r="BN164" i="2"/>
  <c r="Y210" i="2"/>
  <c r="BP230" i="2"/>
  <c r="Z238" i="2"/>
  <c r="BN252" i="2"/>
  <c r="Y264" i="2"/>
  <c r="BN287" i="2"/>
  <c r="BN297" i="2"/>
  <c r="BP309" i="2"/>
  <c r="Z317" i="2"/>
  <c r="Z319" i="2" s="1"/>
  <c r="BN332" i="2"/>
  <c r="BN342" i="2"/>
  <c r="Y358" i="2"/>
  <c r="Z377" i="2"/>
  <c r="Z387" i="2"/>
  <c r="Z388" i="2" s="1"/>
  <c r="Y393" i="2"/>
  <c r="Y401" i="2"/>
  <c r="BN418" i="2"/>
  <c r="Y429" i="2"/>
  <c r="BP440" i="2"/>
  <c r="Y455" i="2"/>
  <c r="P486" i="2"/>
  <c r="BP374" i="2"/>
  <c r="BN433" i="2"/>
  <c r="Y460" i="2"/>
  <c r="Z467" i="2"/>
  <c r="Z469" i="2" s="1"/>
  <c r="Y71" i="2"/>
  <c r="Z80" i="2"/>
  <c r="Z82" i="2" s="1"/>
  <c r="Z96" i="2"/>
  <c r="Z102" i="2"/>
  <c r="Z117" i="2"/>
  <c r="Z120" i="2" s="1"/>
  <c r="Y131" i="2"/>
  <c r="Z185" i="2"/>
  <c r="Z193" i="2" s="1"/>
  <c r="Z216" i="2"/>
  <c r="Z223" i="2" s="1"/>
  <c r="Z226" i="2"/>
  <c r="Z227" i="2" s="1"/>
  <c r="Y231" i="2"/>
  <c r="Z261" i="2"/>
  <c r="Z263" i="2" s="1"/>
  <c r="Y275" i="2"/>
  <c r="BP287" i="2"/>
  <c r="Z305" i="2"/>
  <c r="Z306" i="2" s="1"/>
  <c r="BN317" i="2"/>
  <c r="BN387" i="2"/>
  <c r="Y451" i="2"/>
  <c r="Z473" i="2"/>
  <c r="Z474" i="2" s="1"/>
  <c r="R486" i="2"/>
  <c r="Y394" i="2"/>
  <c r="Z28" i="2"/>
  <c r="Z53" i="2"/>
  <c r="Z63" i="2"/>
  <c r="Y193" i="2"/>
  <c r="Y293" i="2"/>
  <c r="Y326" i="2"/>
  <c r="Y338" i="2"/>
  <c r="BN23" i="2"/>
  <c r="Y59" i="2"/>
  <c r="BN80" i="2"/>
  <c r="Y120" i="2"/>
  <c r="Z128" i="2"/>
  <c r="Z130" i="2" s="1"/>
  <c r="Z160" i="2"/>
  <c r="BN226" i="2"/>
  <c r="Z236" i="2"/>
  <c r="Z247" i="2"/>
  <c r="Z272" i="2"/>
  <c r="Z274" i="2" s="1"/>
  <c r="Z283" i="2"/>
  <c r="BN305" i="2"/>
  <c r="Y364" i="2"/>
  <c r="Z375" i="2"/>
  <c r="Y461" i="2"/>
  <c r="BN473" i="2"/>
  <c r="Z23" i="2"/>
  <c r="Z24" i="2" s="1"/>
  <c r="Z47" i="2"/>
  <c r="Z48" i="2" s="1"/>
  <c r="BN47" i="2"/>
  <c r="Z68" i="2"/>
  <c r="Z70" i="2" s="1"/>
  <c r="BN117" i="2"/>
  <c r="BN185" i="2"/>
  <c r="Z203" i="2"/>
  <c r="F9" i="2"/>
  <c r="BN86" i="2"/>
  <c r="Y348" i="2"/>
  <c r="Y383" i="2"/>
  <c r="BP305" i="2"/>
  <c r="Y327" i="2"/>
  <c r="BN375" i="2"/>
  <c r="BP473" i="2"/>
  <c r="Z61" i="2"/>
  <c r="Z145" i="2"/>
  <c r="Z146" i="2" s="1"/>
  <c r="Y24" i="2"/>
  <c r="Y48" i="2"/>
  <c r="Z234" i="2"/>
  <c r="Z239" i="2" s="1"/>
  <c r="BP375" i="2"/>
  <c r="Z446" i="2"/>
  <c r="Z450" i="2" s="1"/>
  <c r="Y477" i="2" l="1"/>
  <c r="Y479" i="2" s="1"/>
  <c r="Z422" i="2"/>
  <c r="Z284" i="2"/>
  <c r="Z248" i="2"/>
  <c r="Z205" i="2"/>
  <c r="Z161" i="2"/>
  <c r="Y478" i="2"/>
  <c r="Z383" i="2"/>
  <c r="Z313" i="2"/>
  <c r="Y480" i="2"/>
  <c r="Z64" i="2"/>
  <c r="Z58" i="2"/>
  <c r="Y476" i="2"/>
  <c r="Z97" i="2"/>
  <c r="Z32" i="2"/>
  <c r="Z106" i="2"/>
  <c r="Z481" i="2" l="1"/>
</calcChain>
</file>

<file path=xl/sharedStrings.xml><?xml version="1.0" encoding="utf-8"?>
<sst xmlns="http://schemas.openxmlformats.org/spreadsheetml/2006/main" count="3537" uniqueCount="766">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</sst>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6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4" t="s">
        <v>26</v>
      </c>
      <c r="E1" s="544"/>
      <c r="F1" s="544"/>
      <c r="G1" s="14" t="s">
        <v>66</v>
      </c>
      <c r="H1" s="544" t="s">
        <v>46</v>
      </c>
      <c r="I1" s="544"/>
      <c r="J1" s="544"/>
      <c r="K1" s="544"/>
      <c r="L1" s="544"/>
      <c r="M1" s="544"/>
      <c r="N1" s="544"/>
      <c r="O1" s="544"/>
      <c r="P1" s="544"/>
      <c r="Q1" s="544"/>
      <c r="R1" s="545" t="s">
        <v>67</v>
      </c>
      <c r="S1" s="546"/>
      <c r="T1" s="5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7"/>
      <c r="R2" s="547"/>
      <c r="S2" s="547"/>
      <c r="T2" s="547"/>
      <c r="U2" s="547"/>
      <c r="V2" s="547"/>
      <c r="W2" s="5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7"/>
      <c r="Q3" s="547"/>
      <c r="R3" s="547"/>
      <c r="S3" s="547"/>
      <c r="T3" s="547"/>
      <c r="U3" s="547"/>
      <c r="V3" s="547"/>
      <c r="W3" s="5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48" t="s">
        <v>8</v>
      </c>
      <c r="B5" s="548"/>
      <c r="C5" s="548"/>
      <c r="D5" s="549"/>
      <c r="E5" s="549"/>
      <c r="F5" s="550" t="s">
        <v>14</v>
      </c>
      <c r="G5" s="550"/>
      <c r="H5" s="549"/>
      <c r="I5" s="549"/>
      <c r="J5" s="549"/>
      <c r="K5" s="549"/>
      <c r="L5" s="549"/>
      <c r="M5" s="549"/>
      <c r="N5" s="72"/>
      <c r="P5" s="27" t="s">
        <v>4</v>
      </c>
      <c r="Q5" s="551">
        <v>46009</v>
      </c>
      <c r="R5" s="551"/>
      <c r="T5" s="552" t="s">
        <v>3</v>
      </c>
      <c r="U5" s="553"/>
      <c r="V5" s="554" t="s">
        <v>746</v>
      </c>
      <c r="W5" s="555"/>
      <c r="AB5" s="59"/>
      <c r="AC5" s="59"/>
      <c r="AD5" s="59"/>
      <c r="AE5" s="59"/>
    </row>
    <row r="6" spans="1:32" s="17" customFormat="1" ht="24" customHeight="1" x14ac:dyDescent="0.2">
      <c r="A6" s="548" t="s">
        <v>1</v>
      </c>
      <c r="B6" s="548"/>
      <c r="C6" s="548"/>
      <c r="D6" s="556" t="s">
        <v>747</v>
      </c>
      <c r="E6" s="556"/>
      <c r="F6" s="556"/>
      <c r="G6" s="556"/>
      <c r="H6" s="556"/>
      <c r="I6" s="556"/>
      <c r="J6" s="556"/>
      <c r="K6" s="556"/>
      <c r="L6" s="556"/>
      <c r="M6" s="556"/>
      <c r="N6" s="73"/>
      <c r="P6" s="27" t="s">
        <v>27</v>
      </c>
      <c r="Q6" s="557" t="str">
        <f>IF(Q5=0," ",CHOOSE(WEEKDAY(Q5,2),"Понедельник","Вторник","Среда","Четверг","Пятница","Суббота","Воскресенье"))</f>
        <v>Четверг</v>
      </c>
      <c r="R6" s="557"/>
      <c r="T6" s="558" t="s">
        <v>5</v>
      </c>
      <c r="U6" s="559"/>
      <c r="V6" s="560" t="s">
        <v>69</v>
      </c>
      <c r="W6" s="5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6" t="str">
        <f>IFERROR(VLOOKUP(DeliveryAddress,Table,3,0),1)</f>
        <v>1</v>
      </c>
      <c r="E7" s="567"/>
      <c r="F7" s="567"/>
      <c r="G7" s="567"/>
      <c r="H7" s="567"/>
      <c r="I7" s="567"/>
      <c r="J7" s="567"/>
      <c r="K7" s="567"/>
      <c r="L7" s="567"/>
      <c r="M7" s="568"/>
      <c r="N7" s="74"/>
      <c r="P7" s="29"/>
      <c r="Q7" s="48"/>
      <c r="R7" s="48"/>
      <c r="T7" s="558"/>
      <c r="U7" s="559"/>
      <c r="V7" s="562"/>
      <c r="W7" s="563"/>
      <c r="AB7" s="59"/>
      <c r="AC7" s="59"/>
      <c r="AD7" s="59"/>
      <c r="AE7" s="59"/>
    </row>
    <row r="8" spans="1:32" s="17" customFormat="1" ht="25.5" customHeight="1" x14ac:dyDescent="0.2">
      <c r="A8" s="569" t="s">
        <v>57</v>
      </c>
      <c r="B8" s="569"/>
      <c r="C8" s="569"/>
      <c r="D8" s="570"/>
      <c r="E8" s="570"/>
      <c r="F8" s="570"/>
      <c r="G8" s="570"/>
      <c r="H8" s="570"/>
      <c r="I8" s="570"/>
      <c r="J8" s="570"/>
      <c r="K8" s="570"/>
      <c r="L8" s="570"/>
      <c r="M8" s="570"/>
      <c r="N8" s="75"/>
      <c r="P8" s="27" t="s">
        <v>11</v>
      </c>
      <c r="Q8" s="571">
        <v>0.41666666666666669</v>
      </c>
      <c r="R8" s="571"/>
      <c r="T8" s="558"/>
      <c r="U8" s="559"/>
      <c r="V8" s="562"/>
      <c r="W8" s="563"/>
      <c r="AB8" s="59"/>
      <c r="AC8" s="59"/>
      <c r="AD8" s="59"/>
      <c r="AE8" s="59"/>
    </row>
    <row r="9" spans="1:32" s="17" customFormat="1" ht="39.950000000000003" customHeight="1" x14ac:dyDescent="0.2">
      <c r="A9" s="5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2"/>
      <c r="C9" s="572"/>
      <c r="D9" s="573" t="s">
        <v>45</v>
      </c>
      <c r="E9" s="574"/>
      <c r="F9" s="5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2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5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5"/>
      <c r="L9" s="575"/>
      <c r="M9" s="575"/>
      <c r="N9" s="70"/>
      <c r="P9" s="31" t="s">
        <v>15</v>
      </c>
      <c r="Q9" s="576"/>
      <c r="R9" s="576"/>
      <c r="T9" s="558"/>
      <c r="U9" s="559"/>
      <c r="V9" s="564"/>
      <c r="W9" s="5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2"/>
      <c r="C10" s="572"/>
      <c r="D10" s="573"/>
      <c r="E10" s="574"/>
      <c r="F10" s="5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2"/>
      <c r="H10" s="577" t="str">
        <f>IFERROR(VLOOKUP($D$10,Proxy,2,FALSE),"")</f>
        <v/>
      </c>
      <c r="I10" s="577"/>
      <c r="J10" s="577"/>
      <c r="K10" s="577"/>
      <c r="L10" s="577"/>
      <c r="M10" s="577"/>
      <c r="N10" s="71"/>
      <c r="P10" s="31" t="s">
        <v>32</v>
      </c>
      <c r="Q10" s="578"/>
      <c r="R10" s="578"/>
      <c r="U10" s="29" t="s">
        <v>12</v>
      </c>
      <c r="V10" s="579" t="s">
        <v>70</v>
      </c>
      <c r="W10" s="5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1"/>
      <c r="R11" s="581"/>
      <c r="U11" s="29" t="s">
        <v>28</v>
      </c>
      <c r="V11" s="582" t="s">
        <v>54</v>
      </c>
      <c r="W11" s="5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3" t="s">
        <v>71</v>
      </c>
      <c r="B12" s="583"/>
      <c r="C12" s="583"/>
      <c r="D12" s="583"/>
      <c r="E12" s="583"/>
      <c r="F12" s="583"/>
      <c r="G12" s="583"/>
      <c r="H12" s="583"/>
      <c r="I12" s="583"/>
      <c r="J12" s="583"/>
      <c r="K12" s="583"/>
      <c r="L12" s="583"/>
      <c r="M12" s="583"/>
      <c r="N12" s="76"/>
      <c r="P12" s="27" t="s">
        <v>30</v>
      </c>
      <c r="Q12" s="571"/>
      <c r="R12" s="571"/>
      <c r="S12" s="28"/>
      <c r="T12"/>
      <c r="U12" s="29" t="s">
        <v>45</v>
      </c>
      <c r="V12" s="584"/>
      <c r="W12" s="584"/>
      <c r="X12"/>
      <c r="AB12" s="59"/>
      <c r="AC12" s="59"/>
      <c r="AD12" s="59"/>
      <c r="AE12" s="59"/>
    </row>
    <row r="13" spans="1:32" s="17" customFormat="1" ht="23.25" customHeight="1" x14ac:dyDescent="0.2">
      <c r="A13" s="583" t="s">
        <v>72</v>
      </c>
      <c r="B13" s="583"/>
      <c r="C13" s="583"/>
      <c r="D13" s="583"/>
      <c r="E13" s="583"/>
      <c r="F13" s="583"/>
      <c r="G13" s="583"/>
      <c r="H13" s="583"/>
      <c r="I13" s="583"/>
      <c r="J13" s="583"/>
      <c r="K13" s="583"/>
      <c r="L13" s="583"/>
      <c r="M13" s="583"/>
      <c r="N13" s="76"/>
      <c r="O13" s="31"/>
      <c r="P13" s="31" t="s">
        <v>31</v>
      </c>
      <c r="Q13" s="582"/>
      <c r="R13" s="5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3" t="s">
        <v>73</v>
      </c>
      <c r="B14" s="583"/>
      <c r="C14" s="583"/>
      <c r="D14" s="583"/>
      <c r="E14" s="583"/>
      <c r="F14" s="583"/>
      <c r="G14" s="583"/>
      <c r="H14" s="583"/>
      <c r="I14" s="583"/>
      <c r="J14" s="583"/>
      <c r="K14" s="583"/>
      <c r="L14" s="583"/>
      <c r="M14" s="5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5" t="s">
        <v>74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77"/>
      <c r="O15"/>
      <c r="P15" s="586" t="s">
        <v>60</v>
      </c>
      <c r="Q15" s="586"/>
      <c r="R15" s="586"/>
      <c r="S15" s="586"/>
      <c r="T15" s="5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7"/>
      <c r="Q16" s="587"/>
      <c r="R16" s="587"/>
      <c r="S16" s="587"/>
      <c r="T16" s="5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0" t="s">
        <v>58</v>
      </c>
      <c r="B17" s="590" t="s">
        <v>48</v>
      </c>
      <c r="C17" s="592" t="s">
        <v>47</v>
      </c>
      <c r="D17" s="594" t="s">
        <v>49</v>
      </c>
      <c r="E17" s="595"/>
      <c r="F17" s="590" t="s">
        <v>21</v>
      </c>
      <c r="G17" s="590" t="s">
        <v>24</v>
      </c>
      <c r="H17" s="590" t="s">
        <v>22</v>
      </c>
      <c r="I17" s="590" t="s">
        <v>23</v>
      </c>
      <c r="J17" s="590" t="s">
        <v>16</v>
      </c>
      <c r="K17" s="590" t="s">
        <v>65</v>
      </c>
      <c r="L17" s="590" t="s">
        <v>63</v>
      </c>
      <c r="M17" s="590" t="s">
        <v>2</v>
      </c>
      <c r="N17" s="590" t="s">
        <v>62</v>
      </c>
      <c r="O17" s="590" t="s">
        <v>25</v>
      </c>
      <c r="P17" s="594" t="s">
        <v>17</v>
      </c>
      <c r="Q17" s="598"/>
      <c r="R17" s="598"/>
      <c r="S17" s="598"/>
      <c r="T17" s="595"/>
      <c r="U17" s="588" t="s">
        <v>55</v>
      </c>
      <c r="V17" s="589"/>
      <c r="W17" s="590" t="s">
        <v>6</v>
      </c>
      <c r="X17" s="590" t="s">
        <v>41</v>
      </c>
      <c r="Y17" s="600" t="s">
        <v>53</v>
      </c>
      <c r="Z17" s="602" t="s">
        <v>18</v>
      </c>
      <c r="AA17" s="604" t="s">
        <v>59</v>
      </c>
      <c r="AB17" s="604" t="s">
        <v>19</v>
      </c>
      <c r="AC17" s="604" t="s">
        <v>64</v>
      </c>
      <c r="AD17" s="606" t="s">
        <v>56</v>
      </c>
      <c r="AE17" s="607"/>
      <c r="AF17" s="608"/>
      <c r="AG17" s="82"/>
      <c r="BD17" s="81" t="s">
        <v>61</v>
      </c>
    </row>
    <row r="18" spans="1:68" ht="14.25" customHeight="1" x14ac:dyDescent="0.2">
      <c r="A18" s="591"/>
      <c r="B18" s="591"/>
      <c r="C18" s="593"/>
      <c r="D18" s="596"/>
      <c r="E18" s="597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596"/>
      <c r="Q18" s="599"/>
      <c r="R18" s="599"/>
      <c r="S18" s="599"/>
      <c r="T18" s="597"/>
      <c r="U18" s="83" t="s">
        <v>44</v>
      </c>
      <c r="V18" s="83" t="s">
        <v>43</v>
      </c>
      <c r="W18" s="591"/>
      <c r="X18" s="591"/>
      <c r="Y18" s="601"/>
      <c r="Z18" s="603"/>
      <c r="AA18" s="605"/>
      <c r="AB18" s="605"/>
      <c r="AC18" s="605"/>
      <c r="AD18" s="609"/>
      <c r="AE18" s="610"/>
      <c r="AF18" s="611"/>
      <c r="AG18" s="82"/>
      <c r="BD18" s="81"/>
    </row>
    <row r="19" spans="1:68" ht="27.75" customHeight="1" x14ac:dyDescent="0.2">
      <c r="A19" s="612" t="s">
        <v>75</v>
      </c>
      <c r="B19" s="612"/>
      <c r="C19" s="612"/>
      <c r="D19" s="612"/>
      <c r="E19" s="612"/>
      <c r="F19" s="612"/>
      <c r="G19" s="612"/>
      <c r="H19" s="612"/>
      <c r="I19" s="612"/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2"/>
      <c r="AA19" s="54"/>
      <c r="AB19" s="54"/>
      <c r="AC19" s="54"/>
    </row>
    <row r="20" spans="1:68" ht="16.5" customHeight="1" x14ac:dyDescent="0.25">
      <c r="A20" s="613" t="s">
        <v>75</v>
      </c>
      <c r="B20" s="613"/>
      <c r="C20" s="613"/>
      <c r="D20" s="613"/>
      <c r="E20" s="613"/>
      <c r="F20" s="613"/>
      <c r="G20" s="613"/>
      <c r="H20" s="613"/>
      <c r="I20" s="613"/>
      <c r="J20" s="613"/>
      <c r="K20" s="613"/>
      <c r="L20" s="613"/>
      <c r="M20" s="613"/>
      <c r="N20" s="613"/>
      <c r="O20" s="613"/>
      <c r="P20" s="613"/>
      <c r="Q20" s="613"/>
      <c r="R20" s="613"/>
      <c r="S20" s="613"/>
      <c r="T20" s="613"/>
      <c r="U20" s="613"/>
      <c r="V20" s="613"/>
      <c r="W20" s="613"/>
      <c r="X20" s="613"/>
      <c r="Y20" s="613"/>
      <c r="Z20" s="613"/>
      <c r="AA20" s="65"/>
      <c r="AB20" s="65"/>
      <c r="AC20" s="79"/>
    </row>
    <row r="21" spans="1:68" ht="14.25" customHeight="1" x14ac:dyDescent="0.25">
      <c r="A21" s="614" t="s">
        <v>76</v>
      </c>
      <c r="B21" s="614"/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614"/>
      <c r="W21" s="614"/>
      <c r="X21" s="614"/>
      <c r="Y21" s="614"/>
      <c r="Z21" s="61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15">
        <v>4680115887510</v>
      </c>
      <c r="E22" s="61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7"/>
      <c r="R22" s="617"/>
      <c r="S22" s="617"/>
      <c r="T22" s="61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15">
        <v>4680115886643</v>
      </c>
      <c r="E23" s="61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7"/>
      <c r="R23" s="617"/>
      <c r="S23" s="617"/>
      <c r="T23" s="61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3"/>
      <c r="B25" s="623"/>
      <c r="C25" s="623"/>
      <c r="D25" s="623"/>
      <c r="E25" s="623"/>
      <c r="F25" s="623"/>
      <c r="G25" s="623"/>
      <c r="H25" s="623"/>
      <c r="I25" s="623"/>
      <c r="J25" s="623"/>
      <c r="K25" s="623"/>
      <c r="L25" s="623"/>
      <c r="M25" s="623"/>
      <c r="N25" s="623"/>
      <c r="O25" s="624"/>
      <c r="P25" s="620" t="s">
        <v>40</v>
      </c>
      <c r="Q25" s="621"/>
      <c r="R25" s="621"/>
      <c r="S25" s="621"/>
      <c r="T25" s="621"/>
      <c r="U25" s="621"/>
      <c r="V25" s="6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4" t="s">
        <v>86</v>
      </c>
      <c r="B26" s="614"/>
      <c r="C26" s="614"/>
      <c r="D26" s="614"/>
      <c r="E26" s="614"/>
      <c r="F26" s="614"/>
      <c r="G26" s="614"/>
      <c r="H26" s="614"/>
      <c r="I26" s="614"/>
      <c r="J26" s="614"/>
      <c r="K26" s="614"/>
      <c r="L26" s="614"/>
      <c r="M26" s="614"/>
      <c r="N26" s="614"/>
      <c r="O26" s="614"/>
      <c r="P26" s="614"/>
      <c r="Q26" s="614"/>
      <c r="R26" s="614"/>
      <c r="S26" s="614"/>
      <c r="T26" s="614"/>
      <c r="U26" s="614"/>
      <c r="V26" s="614"/>
      <c r="W26" s="614"/>
      <c r="X26" s="614"/>
      <c r="Y26" s="614"/>
      <c r="Z26" s="6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5">
        <v>4680115885912</v>
      </c>
      <c r="E27" s="6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7"/>
      <c r="R27" s="617"/>
      <c r="S27" s="617"/>
      <c r="T27" s="61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15">
        <v>4607091388237</v>
      </c>
      <c r="E28" s="6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7"/>
      <c r="R28" s="617"/>
      <c r="S28" s="617"/>
      <c r="T28" s="61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15">
        <v>4680115887350</v>
      </c>
      <c r="E29" s="6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97</v>
      </c>
      <c r="N29" s="38"/>
      <c r="O29" s="37">
        <v>40</v>
      </c>
      <c r="P29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7"/>
      <c r="R29" s="617"/>
      <c r="S29" s="617"/>
      <c r="T29" s="61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96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15">
        <v>4680115885905</v>
      </c>
      <c r="E30" s="6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97</v>
      </c>
      <c r="N30" s="38"/>
      <c r="O30" s="37">
        <v>40</v>
      </c>
      <c r="P30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7"/>
      <c r="R30" s="617"/>
      <c r="S30" s="617"/>
      <c r="T30" s="61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100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4301051851</v>
      </c>
      <c r="D31" s="615">
        <v>4607091388244</v>
      </c>
      <c r="E31" s="615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81</v>
      </c>
      <c r="L31" s="37" t="s">
        <v>45</v>
      </c>
      <c r="M31" s="38" t="s">
        <v>97</v>
      </c>
      <c r="N31" s="38"/>
      <c r="O31" s="37">
        <v>40</v>
      </c>
      <c r="P31" s="62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17"/>
      <c r="R31" s="617"/>
      <c r="S31" s="617"/>
      <c r="T31" s="618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100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3"/>
      <c r="B33" s="623"/>
      <c r="C33" s="623"/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623"/>
      <c r="O33" s="624"/>
      <c r="P33" s="620" t="s">
        <v>40</v>
      </c>
      <c r="Q33" s="621"/>
      <c r="R33" s="621"/>
      <c r="S33" s="621"/>
      <c r="T33" s="621"/>
      <c r="U33" s="621"/>
      <c r="V33" s="6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14" t="s">
        <v>103</v>
      </c>
      <c r="B34" s="614"/>
      <c r="C34" s="614"/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4"/>
      <c r="P34" s="614"/>
      <c r="Q34" s="614"/>
      <c r="R34" s="614"/>
      <c r="S34" s="614"/>
      <c r="T34" s="614"/>
      <c r="U34" s="614"/>
      <c r="V34" s="614"/>
      <c r="W34" s="614"/>
      <c r="X34" s="614"/>
      <c r="Y34" s="614"/>
      <c r="Z34" s="614"/>
      <c r="AA34" s="66"/>
      <c r="AB34" s="66"/>
      <c r="AC34" s="80"/>
    </row>
    <row r="35" spans="1:68" ht="27" customHeight="1" x14ac:dyDescent="0.25">
      <c r="A35" s="63" t="s">
        <v>104</v>
      </c>
      <c r="B35" s="63" t="s">
        <v>105</v>
      </c>
      <c r="C35" s="36">
        <v>4301032013</v>
      </c>
      <c r="D35" s="615">
        <v>4607091388503</v>
      </c>
      <c r="E35" s="61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81</v>
      </c>
      <c r="L35" s="37" t="s">
        <v>45</v>
      </c>
      <c r="M35" s="38" t="s">
        <v>108</v>
      </c>
      <c r="N35" s="38"/>
      <c r="O35" s="37">
        <v>120</v>
      </c>
      <c r="P35" s="63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7"/>
      <c r="R35" s="617"/>
      <c r="S35" s="617"/>
      <c r="T35" s="618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106</v>
      </c>
      <c r="AG35" s="78"/>
      <c r="AJ35" s="84" t="s">
        <v>45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3"/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4"/>
      <c r="P37" s="620" t="s">
        <v>40</v>
      </c>
      <c r="Q37" s="621"/>
      <c r="R37" s="621"/>
      <c r="S37" s="621"/>
      <c r="T37" s="621"/>
      <c r="U37" s="621"/>
      <c r="V37" s="62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12" t="s">
        <v>109</v>
      </c>
      <c r="B38" s="612"/>
      <c r="C38" s="612"/>
      <c r="D38" s="612"/>
      <c r="E38" s="612"/>
      <c r="F38" s="612"/>
      <c r="G38" s="612"/>
      <c r="H38" s="612"/>
      <c r="I38" s="612"/>
      <c r="J38" s="612"/>
      <c r="K38" s="612"/>
      <c r="L38" s="612"/>
      <c r="M38" s="612"/>
      <c r="N38" s="612"/>
      <c r="O38" s="612"/>
      <c r="P38" s="612"/>
      <c r="Q38" s="612"/>
      <c r="R38" s="612"/>
      <c r="S38" s="612"/>
      <c r="T38" s="612"/>
      <c r="U38" s="612"/>
      <c r="V38" s="612"/>
      <c r="W38" s="612"/>
      <c r="X38" s="612"/>
      <c r="Y38" s="612"/>
      <c r="Z38" s="612"/>
      <c r="AA38" s="54"/>
      <c r="AB38" s="54"/>
      <c r="AC38" s="54"/>
    </row>
    <row r="39" spans="1:68" ht="16.5" customHeight="1" x14ac:dyDescent="0.25">
      <c r="A39" s="613" t="s">
        <v>110</v>
      </c>
      <c r="B39" s="613"/>
      <c r="C39" s="613"/>
      <c r="D39" s="613"/>
      <c r="E39" s="613"/>
      <c r="F39" s="613"/>
      <c r="G39" s="613"/>
      <c r="H39" s="613"/>
      <c r="I39" s="613"/>
      <c r="J39" s="613"/>
      <c r="K39" s="613"/>
      <c r="L39" s="613"/>
      <c r="M39" s="613"/>
      <c r="N39" s="613"/>
      <c r="O39" s="613"/>
      <c r="P39" s="613"/>
      <c r="Q39" s="613"/>
      <c r="R39" s="613"/>
      <c r="S39" s="613"/>
      <c r="T39" s="613"/>
      <c r="U39" s="613"/>
      <c r="V39" s="613"/>
      <c r="W39" s="613"/>
      <c r="X39" s="613"/>
      <c r="Y39" s="613"/>
      <c r="Z39" s="613"/>
      <c r="AA39" s="65"/>
      <c r="AB39" s="65"/>
      <c r="AC39" s="79"/>
    </row>
    <row r="40" spans="1:68" ht="14.25" customHeight="1" x14ac:dyDescent="0.25">
      <c r="A40" s="614" t="s">
        <v>111</v>
      </c>
      <c r="B40" s="614"/>
      <c r="C40" s="614"/>
      <c r="D40" s="614"/>
      <c r="E40" s="614"/>
      <c r="F40" s="614"/>
      <c r="G40" s="614"/>
      <c r="H40" s="614"/>
      <c r="I40" s="614"/>
      <c r="J40" s="614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/>
      <c r="V40" s="614"/>
      <c r="W40" s="614"/>
      <c r="X40" s="614"/>
      <c r="Y40" s="614"/>
      <c r="Z40" s="614"/>
      <c r="AA40" s="66"/>
      <c r="AB40" s="66"/>
      <c r="AC40" s="80"/>
    </row>
    <row r="41" spans="1:68" ht="16.5" customHeight="1" x14ac:dyDescent="0.25">
      <c r="A41" s="63" t="s">
        <v>112</v>
      </c>
      <c r="B41" s="63" t="s">
        <v>113</v>
      </c>
      <c r="C41" s="36">
        <v>4301011380</v>
      </c>
      <c r="D41" s="615">
        <v>4607091385670</v>
      </c>
      <c r="E41" s="615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116</v>
      </c>
      <c r="L41" s="37" t="s">
        <v>45</v>
      </c>
      <c r="M41" s="38" t="s">
        <v>115</v>
      </c>
      <c r="N41" s="38"/>
      <c r="O41" s="37">
        <v>50</v>
      </c>
      <c r="P41" s="6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17"/>
      <c r="R41" s="617"/>
      <c r="S41" s="617"/>
      <c r="T41" s="61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114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4301011382</v>
      </c>
      <c r="D42" s="615">
        <v>4607091385687</v>
      </c>
      <c r="E42" s="615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119</v>
      </c>
      <c r="L42" s="37" t="s">
        <v>45</v>
      </c>
      <c r="M42" s="38" t="s">
        <v>90</v>
      </c>
      <c r="N42" s="38"/>
      <c r="O42" s="37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17"/>
      <c r="R42" s="617"/>
      <c r="S42" s="617"/>
      <c r="T42" s="61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114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615">
        <v>4680115882539</v>
      </c>
      <c r="E43" s="61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119</v>
      </c>
      <c r="L43" s="37" t="s">
        <v>45</v>
      </c>
      <c r="M43" s="38" t="s">
        <v>90</v>
      </c>
      <c r="N43" s="38"/>
      <c r="O43" s="37">
        <v>50</v>
      </c>
      <c r="P43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17"/>
      <c r="R43" s="617"/>
      <c r="S43" s="617"/>
      <c r="T43" s="61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114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23"/>
      <c r="B45" s="623"/>
      <c r="C45" s="623"/>
      <c r="D45" s="623"/>
      <c r="E45" s="623"/>
      <c r="F45" s="623"/>
      <c r="G45" s="623"/>
      <c r="H45" s="623"/>
      <c r="I45" s="623"/>
      <c r="J45" s="623"/>
      <c r="K45" s="623"/>
      <c r="L45" s="623"/>
      <c r="M45" s="623"/>
      <c r="N45" s="623"/>
      <c r="O45" s="624"/>
      <c r="P45" s="620" t="s">
        <v>40</v>
      </c>
      <c r="Q45" s="621"/>
      <c r="R45" s="621"/>
      <c r="S45" s="621"/>
      <c r="T45" s="621"/>
      <c r="U45" s="621"/>
      <c r="V45" s="622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14" t="s">
        <v>86</v>
      </c>
      <c r="B46" s="614"/>
      <c r="C46" s="614"/>
      <c r="D46" s="614"/>
      <c r="E46" s="614"/>
      <c r="F46" s="614"/>
      <c r="G46" s="614"/>
      <c r="H46" s="614"/>
      <c r="I46" s="614"/>
      <c r="J46" s="614"/>
      <c r="K46" s="614"/>
      <c r="L46" s="614"/>
      <c r="M46" s="614"/>
      <c r="N46" s="614"/>
      <c r="O46" s="614"/>
      <c r="P46" s="614"/>
      <c r="Q46" s="614"/>
      <c r="R46" s="614"/>
      <c r="S46" s="614"/>
      <c r="T46" s="614"/>
      <c r="U46" s="614"/>
      <c r="V46" s="614"/>
      <c r="W46" s="614"/>
      <c r="X46" s="614"/>
      <c r="Y46" s="614"/>
      <c r="Z46" s="614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4301051820</v>
      </c>
      <c r="D47" s="615">
        <v>4680115884915</v>
      </c>
      <c r="E47" s="615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81</v>
      </c>
      <c r="L47" s="37" t="s">
        <v>45</v>
      </c>
      <c r="M47" s="38" t="s">
        <v>90</v>
      </c>
      <c r="N47" s="38"/>
      <c r="O47" s="37">
        <v>40</v>
      </c>
      <c r="P47" s="6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17"/>
      <c r="R47" s="617"/>
      <c r="S47" s="617"/>
      <c r="T47" s="618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124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23"/>
      <c r="B49" s="623"/>
      <c r="C49" s="623"/>
      <c r="D49" s="623"/>
      <c r="E49" s="623"/>
      <c r="F49" s="623"/>
      <c r="G49" s="623"/>
      <c r="H49" s="623"/>
      <c r="I49" s="623"/>
      <c r="J49" s="623"/>
      <c r="K49" s="623"/>
      <c r="L49" s="623"/>
      <c r="M49" s="623"/>
      <c r="N49" s="623"/>
      <c r="O49" s="624"/>
      <c r="P49" s="620" t="s">
        <v>40</v>
      </c>
      <c r="Q49" s="621"/>
      <c r="R49" s="621"/>
      <c r="S49" s="621"/>
      <c r="T49" s="621"/>
      <c r="U49" s="621"/>
      <c r="V49" s="622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13" t="s">
        <v>125</v>
      </c>
      <c r="B50" s="613"/>
      <c r="C50" s="613"/>
      <c r="D50" s="613"/>
      <c r="E50" s="613"/>
      <c r="F50" s="613"/>
      <c r="G50" s="613"/>
      <c r="H50" s="613"/>
      <c r="I50" s="613"/>
      <c r="J50" s="613"/>
      <c r="K50" s="613"/>
      <c r="L50" s="613"/>
      <c r="M50" s="613"/>
      <c r="N50" s="613"/>
      <c r="O50" s="613"/>
      <c r="P50" s="613"/>
      <c r="Q50" s="613"/>
      <c r="R50" s="613"/>
      <c r="S50" s="613"/>
      <c r="T50" s="613"/>
      <c r="U50" s="613"/>
      <c r="V50" s="613"/>
      <c r="W50" s="613"/>
      <c r="X50" s="613"/>
      <c r="Y50" s="613"/>
      <c r="Z50" s="613"/>
      <c r="AA50" s="65"/>
      <c r="AB50" s="65"/>
      <c r="AC50" s="79"/>
    </row>
    <row r="51" spans="1:68" ht="14.25" customHeight="1" x14ac:dyDescent="0.25">
      <c r="A51" s="614" t="s">
        <v>111</v>
      </c>
      <c r="B51" s="614"/>
      <c r="C51" s="614"/>
      <c r="D51" s="614"/>
      <c r="E51" s="614"/>
      <c r="F51" s="614"/>
      <c r="G51" s="614"/>
      <c r="H51" s="614"/>
      <c r="I51" s="614"/>
      <c r="J51" s="614"/>
      <c r="K51" s="614"/>
      <c r="L51" s="614"/>
      <c r="M51" s="614"/>
      <c r="N51" s="614"/>
      <c r="O51" s="614"/>
      <c r="P51" s="614"/>
      <c r="Q51" s="614"/>
      <c r="R51" s="614"/>
      <c r="S51" s="614"/>
      <c r="T51" s="614"/>
      <c r="U51" s="614"/>
      <c r="V51" s="614"/>
      <c r="W51" s="614"/>
      <c r="X51" s="614"/>
      <c r="Y51" s="614"/>
      <c r="Z51" s="614"/>
      <c r="AA51" s="66"/>
      <c r="AB51" s="66"/>
      <c r="AC51" s="80"/>
    </row>
    <row r="52" spans="1:68" ht="27" customHeight="1" x14ac:dyDescent="0.25">
      <c r="A52" s="63" t="s">
        <v>126</v>
      </c>
      <c r="B52" s="63" t="s">
        <v>127</v>
      </c>
      <c r="C52" s="36">
        <v>4301012030</v>
      </c>
      <c r="D52" s="615">
        <v>4680115885882</v>
      </c>
      <c r="E52" s="615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116</v>
      </c>
      <c r="L52" s="37" t="s">
        <v>45</v>
      </c>
      <c r="M52" s="38" t="s">
        <v>90</v>
      </c>
      <c r="N52" s="38"/>
      <c r="O52" s="37">
        <v>50</v>
      </c>
      <c r="P52" s="6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17"/>
      <c r="R52" s="617"/>
      <c r="S52" s="617"/>
      <c r="T52" s="61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4301011816</v>
      </c>
      <c r="D53" s="615">
        <v>4680115881426</v>
      </c>
      <c r="E53" s="615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116</v>
      </c>
      <c r="L53" s="37" t="s">
        <v>45</v>
      </c>
      <c r="M53" s="38" t="s">
        <v>115</v>
      </c>
      <c r="N53" s="38"/>
      <c r="O53" s="37">
        <v>50</v>
      </c>
      <c r="P53" s="6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17"/>
      <c r="R53" s="617"/>
      <c r="S53" s="617"/>
      <c r="T53" s="61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4301011386</v>
      </c>
      <c r="D54" s="615">
        <v>4680115880283</v>
      </c>
      <c r="E54" s="615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119</v>
      </c>
      <c r="L54" s="37" t="s">
        <v>45</v>
      </c>
      <c r="M54" s="38" t="s">
        <v>115</v>
      </c>
      <c r="N54" s="38"/>
      <c r="O54" s="37">
        <v>45</v>
      </c>
      <c r="P54" s="6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17"/>
      <c r="R54" s="617"/>
      <c r="S54" s="617"/>
      <c r="T54" s="61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135</v>
      </c>
      <c r="B55" s="63" t="s">
        <v>136</v>
      </c>
      <c r="C55" s="36">
        <v>4301011806</v>
      </c>
      <c r="D55" s="615">
        <v>4680115881525</v>
      </c>
      <c r="E55" s="615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119</v>
      </c>
      <c r="L55" s="37" t="s">
        <v>45</v>
      </c>
      <c r="M55" s="38" t="s">
        <v>115</v>
      </c>
      <c r="N55" s="38"/>
      <c r="O55" s="37">
        <v>50</v>
      </c>
      <c r="P55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17"/>
      <c r="R55" s="617"/>
      <c r="S55" s="617"/>
      <c r="T55" s="61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4301011589</v>
      </c>
      <c r="D56" s="615">
        <v>4680115885899</v>
      </c>
      <c r="E56" s="615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81</v>
      </c>
      <c r="L56" s="37" t="s">
        <v>45</v>
      </c>
      <c r="M56" s="38" t="s">
        <v>97</v>
      </c>
      <c r="N56" s="38"/>
      <c r="O56" s="37">
        <v>50</v>
      </c>
      <c r="P56" s="6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17"/>
      <c r="R56" s="617"/>
      <c r="S56" s="617"/>
      <c r="T56" s="61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4301011801</v>
      </c>
      <c r="D57" s="615">
        <v>4680115881419</v>
      </c>
      <c r="E57" s="615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119</v>
      </c>
      <c r="L57" s="37" t="s">
        <v>45</v>
      </c>
      <c r="M57" s="38" t="s">
        <v>115</v>
      </c>
      <c r="N57" s="38"/>
      <c r="O57" s="37">
        <v>50</v>
      </c>
      <c r="P57" s="6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17"/>
      <c r="R57" s="617"/>
      <c r="S57" s="617"/>
      <c r="T57" s="61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23"/>
      <c r="B59" s="623"/>
      <c r="C59" s="623"/>
      <c r="D59" s="623"/>
      <c r="E59" s="623"/>
      <c r="F59" s="623"/>
      <c r="G59" s="623"/>
      <c r="H59" s="623"/>
      <c r="I59" s="623"/>
      <c r="J59" s="623"/>
      <c r="K59" s="623"/>
      <c r="L59" s="623"/>
      <c r="M59" s="623"/>
      <c r="N59" s="623"/>
      <c r="O59" s="624"/>
      <c r="P59" s="620" t="s">
        <v>40</v>
      </c>
      <c r="Q59" s="621"/>
      <c r="R59" s="621"/>
      <c r="S59" s="621"/>
      <c r="T59" s="621"/>
      <c r="U59" s="621"/>
      <c r="V59" s="622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14" t="s">
        <v>144</v>
      </c>
      <c r="B60" s="614"/>
      <c r="C60" s="614"/>
      <c r="D60" s="614"/>
      <c r="E60" s="614"/>
      <c r="F60" s="614"/>
      <c r="G60" s="614"/>
      <c r="H60" s="614"/>
      <c r="I60" s="614"/>
      <c r="J60" s="614"/>
      <c r="K60" s="614"/>
      <c r="L60" s="614"/>
      <c r="M60" s="614"/>
      <c r="N60" s="614"/>
      <c r="O60" s="614"/>
      <c r="P60" s="614"/>
      <c r="Q60" s="614"/>
      <c r="R60" s="614"/>
      <c r="S60" s="614"/>
      <c r="T60" s="614"/>
      <c r="U60" s="614"/>
      <c r="V60" s="614"/>
      <c r="W60" s="614"/>
      <c r="X60" s="614"/>
      <c r="Y60" s="614"/>
      <c r="Z60" s="614"/>
      <c r="AA60" s="66"/>
      <c r="AB60" s="66"/>
      <c r="AC60" s="80"/>
    </row>
    <row r="61" spans="1:68" ht="16.5" customHeight="1" x14ac:dyDescent="0.25">
      <c r="A61" s="63" t="s">
        <v>145</v>
      </c>
      <c r="B61" s="63" t="s">
        <v>146</v>
      </c>
      <c r="C61" s="36">
        <v>4301020298</v>
      </c>
      <c r="D61" s="615">
        <v>4680115881440</v>
      </c>
      <c r="E61" s="6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116</v>
      </c>
      <c r="L61" s="37" t="s">
        <v>45</v>
      </c>
      <c r="M61" s="38" t="s">
        <v>115</v>
      </c>
      <c r="N61" s="38"/>
      <c r="O61" s="37">
        <v>50</v>
      </c>
      <c r="P61" s="6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17"/>
      <c r="R61" s="617"/>
      <c r="S61" s="617"/>
      <c r="T61" s="61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147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148</v>
      </c>
      <c r="B62" s="63" t="s">
        <v>149</v>
      </c>
      <c r="C62" s="36">
        <v>4301020358</v>
      </c>
      <c r="D62" s="615">
        <v>4680115885950</v>
      </c>
      <c r="E62" s="615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81</v>
      </c>
      <c r="L62" s="37" t="s">
        <v>45</v>
      </c>
      <c r="M62" s="38" t="s">
        <v>90</v>
      </c>
      <c r="N62" s="38"/>
      <c r="O62" s="37">
        <v>50</v>
      </c>
      <c r="P62" s="6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17"/>
      <c r="R62" s="617"/>
      <c r="S62" s="617"/>
      <c r="T62" s="61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147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150</v>
      </c>
      <c r="B63" s="63" t="s">
        <v>151</v>
      </c>
      <c r="C63" s="36">
        <v>4301020296</v>
      </c>
      <c r="D63" s="615">
        <v>4680115881433</v>
      </c>
      <c r="E63" s="615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81</v>
      </c>
      <c r="L63" s="37" t="s">
        <v>45</v>
      </c>
      <c r="M63" s="38" t="s">
        <v>115</v>
      </c>
      <c r="N63" s="38"/>
      <c r="O63" s="37">
        <v>50</v>
      </c>
      <c r="P63" s="6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17"/>
      <c r="R63" s="617"/>
      <c r="S63" s="617"/>
      <c r="T63" s="61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147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23"/>
      <c r="B65" s="623"/>
      <c r="C65" s="623"/>
      <c r="D65" s="623"/>
      <c r="E65" s="623"/>
      <c r="F65" s="623"/>
      <c r="G65" s="623"/>
      <c r="H65" s="623"/>
      <c r="I65" s="623"/>
      <c r="J65" s="623"/>
      <c r="K65" s="623"/>
      <c r="L65" s="623"/>
      <c r="M65" s="623"/>
      <c r="N65" s="623"/>
      <c r="O65" s="624"/>
      <c r="P65" s="620" t="s">
        <v>40</v>
      </c>
      <c r="Q65" s="621"/>
      <c r="R65" s="621"/>
      <c r="S65" s="621"/>
      <c r="T65" s="621"/>
      <c r="U65" s="621"/>
      <c r="V65" s="622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14" t="s">
        <v>76</v>
      </c>
      <c r="B66" s="614"/>
      <c r="C66" s="614"/>
      <c r="D66" s="614"/>
      <c r="E66" s="614"/>
      <c r="F66" s="614"/>
      <c r="G66" s="614"/>
      <c r="H66" s="614"/>
      <c r="I66" s="614"/>
      <c r="J66" s="614"/>
      <c r="K66" s="614"/>
      <c r="L66" s="614"/>
      <c r="M66" s="614"/>
      <c r="N66" s="614"/>
      <c r="O66" s="614"/>
      <c r="P66" s="614"/>
      <c r="Q66" s="614"/>
      <c r="R66" s="614"/>
      <c r="S66" s="614"/>
      <c r="T66" s="614"/>
      <c r="U66" s="614"/>
      <c r="V66" s="614"/>
      <c r="W66" s="614"/>
      <c r="X66" s="614"/>
      <c r="Y66" s="614"/>
      <c r="Z66" s="614"/>
      <c r="AA66" s="66"/>
      <c r="AB66" s="66"/>
      <c r="AC66" s="80"/>
    </row>
    <row r="67" spans="1:68" ht="27" customHeight="1" x14ac:dyDescent="0.25">
      <c r="A67" s="63" t="s">
        <v>152</v>
      </c>
      <c r="B67" s="63" t="s">
        <v>153</v>
      </c>
      <c r="C67" s="36">
        <v>4301031243</v>
      </c>
      <c r="D67" s="615">
        <v>4680115885073</v>
      </c>
      <c r="E67" s="61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17"/>
      <c r="R67" s="617"/>
      <c r="S67" s="617"/>
      <c r="T67" s="61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4301031241</v>
      </c>
      <c r="D68" s="615">
        <v>4680115885059</v>
      </c>
      <c r="E68" s="61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85</v>
      </c>
      <c r="L68" s="37" t="s">
        <v>45</v>
      </c>
      <c r="M68" s="38" t="s">
        <v>80</v>
      </c>
      <c r="N68" s="38"/>
      <c r="O68" s="37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17"/>
      <c r="R68" s="617"/>
      <c r="S68" s="617"/>
      <c r="T68" s="61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158</v>
      </c>
      <c r="B69" s="63" t="s">
        <v>159</v>
      </c>
      <c r="C69" s="36">
        <v>4301031316</v>
      </c>
      <c r="D69" s="615">
        <v>4680115885097</v>
      </c>
      <c r="E69" s="61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17"/>
      <c r="R69" s="617"/>
      <c r="S69" s="617"/>
      <c r="T69" s="61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160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23"/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4"/>
      <c r="P70" s="620" t="s">
        <v>40</v>
      </c>
      <c r="Q70" s="621"/>
      <c r="R70" s="621"/>
      <c r="S70" s="621"/>
      <c r="T70" s="621"/>
      <c r="U70" s="621"/>
      <c r="V70" s="622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23"/>
      <c r="B71" s="623"/>
      <c r="C71" s="623"/>
      <c r="D71" s="623"/>
      <c r="E71" s="623"/>
      <c r="F71" s="623"/>
      <c r="G71" s="623"/>
      <c r="H71" s="623"/>
      <c r="I71" s="623"/>
      <c r="J71" s="623"/>
      <c r="K71" s="623"/>
      <c r="L71" s="623"/>
      <c r="M71" s="623"/>
      <c r="N71" s="623"/>
      <c r="O71" s="624"/>
      <c r="P71" s="620" t="s">
        <v>40</v>
      </c>
      <c r="Q71" s="621"/>
      <c r="R71" s="621"/>
      <c r="S71" s="621"/>
      <c r="T71" s="621"/>
      <c r="U71" s="621"/>
      <c r="V71" s="622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14" t="s">
        <v>86</v>
      </c>
      <c r="B72" s="614"/>
      <c r="C72" s="614"/>
      <c r="D72" s="614"/>
      <c r="E72" s="614"/>
      <c r="F72" s="614"/>
      <c r="G72" s="614"/>
      <c r="H72" s="614"/>
      <c r="I72" s="614"/>
      <c r="J72" s="614"/>
      <c r="K72" s="614"/>
      <c r="L72" s="614"/>
      <c r="M72" s="614"/>
      <c r="N72" s="614"/>
      <c r="O72" s="614"/>
      <c r="P72" s="614"/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6"/>
      <c r="AB72" s="66"/>
      <c r="AC72" s="80"/>
    </row>
    <row r="73" spans="1:68" ht="27" customHeight="1" x14ac:dyDescent="0.25">
      <c r="A73" s="63" t="s">
        <v>161</v>
      </c>
      <c r="B73" s="63" t="s">
        <v>162</v>
      </c>
      <c r="C73" s="36">
        <v>4301051846</v>
      </c>
      <c r="D73" s="615">
        <v>4680115885769</v>
      </c>
      <c r="E73" s="61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116</v>
      </c>
      <c r="L73" s="37" t="s">
        <v>45</v>
      </c>
      <c r="M73" s="38" t="s">
        <v>90</v>
      </c>
      <c r="N73" s="38"/>
      <c r="O73" s="37">
        <v>45</v>
      </c>
      <c r="P73" s="6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7"/>
      <c r="R73" s="617"/>
      <c r="S73" s="617"/>
      <c r="T73" s="61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164</v>
      </c>
      <c r="B74" s="63" t="s">
        <v>165</v>
      </c>
      <c r="C74" s="36">
        <v>4301051837</v>
      </c>
      <c r="D74" s="615">
        <v>4680115884311</v>
      </c>
      <c r="E74" s="61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7"/>
      <c r="R74" s="617"/>
      <c r="S74" s="617"/>
      <c r="T74" s="61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167</v>
      </c>
      <c r="B75" s="63" t="s">
        <v>168</v>
      </c>
      <c r="C75" s="36">
        <v>4301051844</v>
      </c>
      <c r="D75" s="615">
        <v>4680115885929</v>
      </c>
      <c r="E75" s="61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7"/>
      <c r="R75" s="617"/>
      <c r="S75" s="617"/>
      <c r="T75" s="61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169</v>
      </c>
      <c r="B76" s="63" t="s">
        <v>170</v>
      </c>
      <c r="C76" s="36">
        <v>4301051929</v>
      </c>
      <c r="D76" s="615">
        <v>4680115884403</v>
      </c>
      <c r="E76" s="61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7"/>
      <c r="R76" s="617"/>
      <c r="S76" s="617"/>
      <c r="T76" s="61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171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23"/>
      <c r="B77" s="623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4"/>
      <c r="P77" s="620" t="s">
        <v>40</v>
      </c>
      <c r="Q77" s="621"/>
      <c r="R77" s="621"/>
      <c r="S77" s="621"/>
      <c r="T77" s="621"/>
      <c r="U77" s="621"/>
      <c r="V77" s="62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23"/>
      <c r="B78" s="623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4"/>
      <c r="P78" s="620" t="s">
        <v>40</v>
      </c>
      <c r="Q78" s="621"/>
      <c r="R78" s="621"/>
      <c r="S78" s="621"/>
      <c r="T78" s="621"/>
      <c r="U78" s="621"/>
      <c r="V78" s="62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14" t="s">
        <v>172</v>
      </c>
      <c r="B79" s="614"/>
      <c r="C79" s="614"/>
      <c r="D79" s="614"/>
      <c r="E79" s="614"/>
      <c r="F79" s="614"/>
      <c r="G79" s="614"/>
      <c r="H79" s="614"/>
      <c r="I79" s="614"/>
      <c r="J79" s="614"/>
      <c r="K79" s="614"/>
      <c r="L79" s="614"/>
      <c r="M79" s="614"/>
      <c r="N79" s="614"/>
      <c r="O79" s="614"/>
      <c r="P79" s="614"/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6"/>
      <c r="AB79" s="66"/>
      <c r="AC79" s="80"/>
    </row>
    <row r="80" spans="1:68" ht="27" customHeight="1" x14ac:dyDescent="0.25">
      <c r="A80" s="63" t="s">
        <v>173</v>
      </c>
      <c r="B80" s="63" t="s">
        <v>174</v>
      </c>
      <c r="C80" s="36">
        <v>4301060455</v>
      </c>
      <c r="D80" s="615">
        <v>4680115881532</v>
      </c>
      <c r="E80" s="61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116</v>
      </c>
      <c r="L80" s="37" t="s">
        <v>45</v>
      </c>
      <c r="M80" s="38" t="s">
        <v>97</v>
      </c>
      <c r="N80" s="38"/>
      <c r="O80" s="37">
        <v>30</v>
      </c>
      <c r="P80" s="6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7"/>
      <c r="R80" s="617"/>
      <c r="S80" s="617"/>
      <c r="T80" s="61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176</v>
      </c>
      <c r="B81" s="63" t="s">
        <v>177</v>
      </c>
      <c r="C81" s="36">
        <v>4301060351</v>
      </c>
      <c r="D81" s="615">
        <v>4680115881464</v>
      </c>
      <c r="E81" s="61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119</v>
      </c>
      <c r="L81" s="37" t="s">
        <v>45</v>
      </c>
      <c r="M81" s="38" t="s">
        <v>90</v>
      </c>
      <c r="N81" s="38"/>
      <c r="O81" s="37">
        <v>30</v>
      </c>
      <c r="P81" s="6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7"/>
      <c r="R81" s="617"/>
      <c r="S81" s="617"/>
      <c r="T81" s="61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178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23"/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4"/>
      <c r="P82" s="620" t="s">
        <v>40</v>
      </c>
      <c r="Q82" s="621"/>
      <c r="R82" s="621"/>
      <c r="S82" s="621"/>
      <c r="T82" s="621"/>
      <c r="U82" s="621"/>
      <c r="V82" s="62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23"/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4"/>
      <c r="P83" s="620" t="s">
        <v>40</v>
      </c>
      <c r="Q83" s="621"/>
      <c r="R83" s="621"/>
      <c r="S83" s="621"/>
      <c r="T83" s="621"/>
      <c r="U83" s="621"/>
      <c r="V83" s="62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13" t="s">
        <v>179</v>
      </c>
      <c r="B84" s="613"/>
      <c r="C84" s="613"/>
      <c r="D84" s="613"/>
      <c r="E84" s="613"/>
      <c r="F84" s="613"/>
      <c r="G84" s="613"/>
      <c r="H84" s="613"/>
      <c r="I84" s="613"/>
      <c r="J84" s="613"/>
      <c r="K84" s="613"/>
      <c r="L84" s="613"/>
      <c r="M84" s="613"/>
      <c r="N84" s="613"/>
      <c r="O84" s="613"/>
      <c r="P84" s="613"/>
      <c r="Q84" s="613"/>
      <c r="R84" s="613"/>
      <c r="S84" s="613"/>
      <c r="T84" s="613"/>
      <c r="U84" s="613"/>
      <c r="V84" s="613"/>
      <c r="W84" s="613"/>
      <c r="X84" s="613"/>
      <c r="Y84" s="613"/>
      <c r="Z84" s="613"/>
      <c r="AA84" s="65"/>
      <c r="AB84" s="65"/>
      <c r="AC84" s="79"/>
    </row>
    <row r="85" spans="1:68" ht="14.25" customHeight="1" x14ac:dyDescent="0.25">
      <c r="A85" s="614" t="s">
        <v>111</v>
      </c>
      <c r="B85" s="614"/>
      <c r="C85" s="614"/>
      <c r="D85" s="614"/>
      <c r="E85" s="614"/>
      <c r="F85" s="614"/>
      <c r="G85" s="614"/>
      <c r="H85" s="614"/>
      <c r="I85" s="614"/>
      <c r="J85" s="614"/>
      <c r="K85" s="614"/>
      <c r="L85" s="614"/>
      <c r="M85" s="614"/>
      <c r="N85" s="614"/>
      <c r="O85" s="614"/>
      <c r="P85" s="614"/>
      <c r="Q85" s="614"/>
      <c r="R85" s="614"/>
      <c r="S85" s="614"/>
      <c r="T85" s="614"/>
      <c r="U85" s="614"/>
      <c r="V85" s="614"/>
      <c r="W85" s="614"/>
      <c r="X85" s="614"/>
      <c r="Y85" s="614"/>
      <c r="Z85" s="614"/>
      <c r="AA85" s="66"/>
      <c r="AB85" s="66"/>
      <c r="AC85" s="80"/>
    </row>
    <row r="86" spans="1:68" ht="27" customHeight="1" x14ac:dyDescent="0.25">
      <c r="A86" s="63" t="s">
        <v>180</v>
      </c>
      <c r="B86" s="63" t="s">
        <v>181</v>
      </c>
      <c r="C86" s="36">
        <v>4301011468</v>
      </c>
      <c r="D86" s="615">
        <v>4680115881327</v>
      </c>
      <c r="E86" s="61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116</v>
      </c>
      <c r="L86" s="37" t="s">
        <v>45</v>
      </c>
      <c r="M86" s="38" t="s">
        <v>97</v>
      </c>
      <c r="N86" s="38"/>
      <c r="O86" s="37">
        <v>50</v>
      </c>
      <c r="P86" s="6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7"/>
      <c r="R86" s="617"/>
      <c r="S86" s="617"/>
      <c r="T86" s="61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4301011261</v>
      </c>
      <c r="D87" s="615">
        <v>4680115887732</v>
      </c>
      <c r="E87" s="61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187</v>
      </c>
      <c r="L87" s="37" t="s">
        <v>45</v>
      </c>
      <c r="M87" s="38" t="s">
        <v>80</v>
      </c>
      <c r="N87" s="38"/>
      <c r="O87" s="37">
        <v>30</v>
      </c>
      <c r="P87" s="654" t="s">
        <v>185</v>
      </c>
      <c r="Q87" s="617"/>
      <c r="R87" s="617"/>
      <c r="S87" s="617"/>
      <c r="T87" s="61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188</v>
      </c>
      <c r="B88" s="63" t="s">
        <v>189</v>
      </c>
      <c r="C88" s="36">
        <v>4301011476</v>
      </c>
      <c r="D88" s="615">
        <v>4680115881518</v>
      </c>
      <c r="E88" s="61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119</v>
      </c>
      <c r="L88" s="37" t="s">
        <v>45</v>
      </c>
      <c r="M88" s="38" t="s">
        <v>90</v>
      </c>
      <c r="N88" s="38"/>
      <c r="O88" s="37">
        <v>50</v>
      </c>
      <c r="P88" s="6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17"/>
      <c r="R88" s="617"/>
      <c r="S88" s="617"/>
      <c r="T88" s="61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182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190</v>
      </c>
      <c r="B89" s="63" t="s">
        <v>191</v>
      </c>
      <c r="C89" s="36">
        <v>4301011443</v>
      </c>
      <c r="D89" s="615">
        <v>4680115881303</v>
      </c>
      <c r="E89" s="61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119</v>
      </c>
      <c r="L89" s="37" t="s">
        <v>45</v>
      </c>
      <c r="M89" s="38" t="s">
        <v>97</v>
      </c>
      <c r="N89" s="38"/>
      <c r="O89" s="37">
        <v>50</v>
      </c>
      <c r="P89" s="6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17"/>
      <c r="R89" s="617"/>
      <c r="S89" s="617"/>
      <c r="T89" s="61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182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23"/>
      <c r="B90" s="623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4"/>
      <c r="P90" s="620" t="s">
        <v>40</v>
      </c>
      <c r="Q90" s="621"/>
      <c r="R90" s="621"/>
      <c r="S90" s="621"/>
      <c r="T90" s="621"/>
      <c r="U90" s="621"/>
      <c r="V90" s="62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23"/>
      <c r="B91" s="623"/>
      <c r="C91" s="623"/>
      <c r="D91" s="623"/>
      <c r="E91" s="623"/>
      <c r="F91" s="623"/>
      <c r="G91" s="623"/>
      <c r="H91" s="623"/>
      <c r="I91" s="623"/>
      <c r="J91" s="623"/>
      <c r="K91" s="623"/>
      <c r="L91" s="623"/>
      <c r="M91" s="623"/>
      <c r="N91" s="623"/>
      <c r="O91" s="624"/>
      <c r="P91" s="620" t="s">
        <v>40</v>
      </c>
      <c r="Q91" s="621"/>
      <c r="R91" s="621"/>
      <c r="S91" s="621"/>
      <c r="T91" s="621"/>
      <c r="U91" s="621"/>
      <c r="V91" s="62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14" t="s">
        <v>86</v>
      </c>
      <c r="B92" s="614"/>
      <c r="C92" s="614"/>
      <c r="D92" s="614"/>
      <c r="E92" s="614"/>
      <c r="F92" s="614"/>
      <c r="G92" s="614"/>
      <c r="H92" s="614"/>
      <c r="I92" s="614"/>
      <c r="J92" s="614"/>
      <c r="K92" s="614"/>
      <c r="L92" s="614"/>
      <c r="M92" s="614"/>
      <c r="N92" s="614"/>
      <c r="O92" s="614"/>
      <c r="P92" s="614"/>
      <c r="Q92" s="614"/>
      <c r="R92" s="614"/>
      <c r="S92" s="614"/>
      <c r="T92" s="614"/>
      <c r="U92" s="614"/>
      <c r="V92" s="614"/>
      <c r="W92" s="614"/>
      <c r="X92" s="614"/>
      <c r="Y92" s="614"/>
      <c r="Z92" s="614"/>
      <c r="AA92" s="66"/>
      <c r="AB92" s="66"/>
      <c r="AC92" s="80"/>
    </row>
    <row r="93" spans="1:68" ht="27" customHeight="1" x14ac:dyDescent="0.25">
      <c r="A93" s="63" t="s">
        <v>192</v>
      </c>
      <c r="B93" s="63" t="s">
        <v>193</v>
      </c>
      <c r="C93" s="36">
        <v>4301051712</v>
      </c>
      <c r="D93" s="615">
        <v>4607091386967</v>
      </c>
      <c r="E93" s="61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116</v>
      </c>
      <c r="L93" s="37" t="s">
        <v>45</v>
      </c>
      <c r="M93" s="38" t="s">
        <v>97</v>
      </c>
      <c r="N93" s="38"/>
      <c r="O93" s="37">
        <v>45</v>
      </c>
      <c r="P93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17"/>
      <c r="R93" s="617"/>
      <c r="S93" s="617"/>
      <c r="T93" s="61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195</v>
      </c>
      <c r="B94" s="63" t="s">
        <v>196</v>
      </c>
      <c r="C94" s="36">
        <v>4301051788</v>
      </c>
      <c r="D94" s="615">
        <v>4680115884953</v>
      </c>
      <c r="E94" s="61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17"/>
      <c r="R94" s="617"/>
      <c r="S94" s="617"/>
      <c r="T94" s="61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197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198</v>
      </c>
      <c r="B95" s="63" t="s">
        <v>199</v>
      </c>
      <c r="C95" s="36">
        <v>4301051718</v>
      </c>
      <c r="D95" s="615">
        <v>4607091385731</v>
      </c>
      <c r="E95" s="61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97</v>
      </c>
      <c r="N95" s="38"/>
      <c r="O95" s="37">
        <v>45</v>
      </c>
      <c r="P95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17"/>
      <c r="R95" s="617"/>
      <c r="S95" s="617"/>
      <c r="T95" s="61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194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200</v>
      </c>
      <c r="B96" s="63" t="s">
        <v>201</v>
      </c>
      <c r="C96" s="36">
        <v>4301051438</v>
      </c>
      <c r="D96" s="615">
        <v>4680115880894</v>
      </c>
      <c r="E96" s="61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6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17"/>
      <c r="R96" s="617"/>
      <c r="S96" s="617"/>
      <c r="T96" s="61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202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23"/>
      <c r="B97" s="623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4"/>
      <c r="P97" s="620" t="s">
        <v>40</v>
      </c>
      <c r="Q97" s="621"/>
      <c r="R97" s="621"/>
      <c r="S97" s="621"/>
      <c r="T97" s="621"/>
      <c r="U97" s="621"/>
      <c r="V97" s="62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23"/>
      <c r="B98" s="623"/>
      <c r="C98" s="623"/>
      <c r="D98" s="623"/>
      <c r="E98" s="623"/>
      <c r="F98" s="623"/>
      <c r="G98" s="623"/>
      <c r="H98" s="623"/>
      <c r="I98" s="623"/>
      <c r="J98" s="623"/>
      <c r="K98" s="623"/>
      <c r="L98" s="623"/>
      <c r="M98" s="623"/>
      <c r="N98" s="623"/>
      <c r="O98" s="624"/>
      <c r="P98" s="620" t="s">
        <v>40</v>
      </c>
      <c r="Q98" s="621"/>
      <c r="R98" s="621"/>
      <c r="S98" s="621"/>
      <c r="T98" s="621"/>
      <c r="U98" s="621"/>
      <c r="V98" s="62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13" t="s">
        <v>203</v>
      </c>
      <c r="B99" s="613"/>
      <c r="C99" s="613"/>
      <c r="D99" s="613"/>
      <c r="E99" s="613"/>
      <c r="F99" s="613"/>
      <c r="G99" s="613"/>
      <c r="H99" s="613"/>
      <c r="I99" s="613"/>
      <c r="J99" s="613"/>
      <c r="K99" s="613"/>
      <c r="L99" s="613"/>
      <c r="M99" s="613"/>
      <c r="N99" s="613"/>
      <c r="O99" s="613"/>
      <c r="P99" s="613"/>
      <c r="Q99" s="613"/>
      <c r="R99" s="613"/>
      <c r="S99" s="613"/>
      <c r="T99" s="613"/>
      <c r="U99" s="613"/>
      <c r="V99" s="613"/>
      <c r="W99" s="613"/>
      <c r="X99" s="613"/>
      <c r="Y99" s="613"/>
      <c r="Z99" s="613"/>
      <c r="AA99" s="65"/>
      <c r="AB99" s="65"/>
      <c r="AC99" s="79"/>
    </row>
    <row r="100" spans="1:68" ht="14.25" customHeight="1" x14ac:dyDescent="0.25">
      <c r="A100" s="614" t="s">
        <v>111</v>
      </c>
      <c r="B100" s="614"/>
      <c r="C100" s="614"/>
      <c r="D100" s="614"/>
      <c r="E100" s="614"/>
      <c r="F100" s="614"/>
      <c r="G100" s="614"/>
      <c r="H100" s="614"/>
      <c r="I100" s="614"/>
      <c r="J100" s="614"/>
      <c r="K100" s="614"/>
      <c r="L100" s="614"/>
      <c r="M100" s="614"/>
      <c r="N100" s="614"/>
      <c r="O100" s="614"/>
      <c r="P100" s="614"/>
      <c r="Q100" s="614"/>
      <c r="R100" s="614"/>
      <c r="S100" s="614"/>
      <c r="T100" s="614"/>
      <c r="U100" s="614"/>
      <c r="V100" s="614"/>
      <c r="W100" s="614"/>
      <c r="X100" s="614"/>
      <c r="Y100" s="614"/>
      <c r="Z100" s="614"/>
      <c r="AA100" s="66"/>
      <c r="AB100" s="66"/>
      <c r="AC100" s="80"/>
    </row>
    <row r="101" spans="1:68" ht="37.5" customHeight="1" x14ac:dyDescent="0.25">
      <c r="A101" s="63" t="s">
        <v>204</v>
      </c>
      <c r="B101" s="63" t="s">
        <v>205</v>
      </c>
      <c r="C101" s="36">
        <v>4301011514</v>
      </c>
      <c r="D101" s="615">
        <v>4680115882133</v>
      </c>
      <c r="E101" s="61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116</v>
      </c>
      <c r="L101" s="37" t="s">
        <v>45</v>
      </c>
      <c r="M101" s="38" t="s">
        <v>115</v>
      </c>
      <c r="N101" s="38"/>
      <c r="O101" s="37">
        <v>50</v>
      </c>
      <c r="P101" s="6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17"/>
      <c r="R101" s="617"/>
      <c r="S101" s="617"/>
      <c r="T101" s="61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207</v>
      </c>
      <c r="B102" s="63" t="s">
        <v>208</v>
      </c>
      <c r="C102" s="36">
        <v>4301012051</v>
      </c>
      <c r="D102" s="615">
        <v>4680115887718</v>
      </c>
      <c r="E102" s="61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187</v>
      </c>
      <c r="L102" s="37" t="s">
        <v>45</v>
      </c>
      <c r="M102" s="38" t="s">
        <v>80</v>
      </c>
      <c r="N102" s="38"/>
      <c r="O102" s="37">
        <v>30</v>
      </c>
      <c r="P102" s="662" t="s">
        <v>209</v>
      </c>
      <c r="Q102" s="617"/>
      <c r="R102" s="617"/>
      <c r="S102" s="617"/>
      <c r="T102" s="61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4301011417</v>
      </c>
      <c r="D103" s="615">
        <v>4680115880269</v>
      </c>
      <c r="E103" s="6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119</v>
      </c>
      <c r="L103" s="37" t="s">
        <v>45</v>
      </c>
      <c r="M103" s="38" t="s">
        <v>90</v>
      </c>
      <c r="N103" s="38"/>
      <c r="O103" s="37">
        <v>50</v>
      </c>
      <c r="P103" s="66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17"/>
      <c r="R103" s="617"/>
      <c r="S103" s="617"/>
      <c r="T103" s="61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4301011415</v>
      </c>
      <c r="D104" s="615">
        <v>4680115880429</v>
      </c>
      <c r="E104" s="6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119</v>
      </c>
      <c r="L104" s="37" t="s">
        <v>45</v>
      </c>
      <c r="M104" s="38" t="s">
        <v>90</v>
      </c>
      <c r="N104" s="38"/>
      <c r="O104" s="37">
        <v>50</v>
      </c>
      <c r="P104" s="66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17"/>
      <c r="R104" s="617"/>
      <c r="S104" s="617"/>
      <c r="T104" s="61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215</v>
      </c>
      <c r="B105" s="63" t="s">
        <v>216</v>
      </c>
      <c r="C105" s="36">
        <v>4301011462</v>
      </c>
      <c r="D105" s="615">
        <v>4680115881457</v>
      </c>
      <c r="E105" s="6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119</v>
      </c>
      <c r="L105" s="37" t="s">
        <v>45</v>
      </c>
      <c r="M105" s="38" t="s">
        <v>90</v>
      </c>
      <c r="N105" s="38"/>
      <c r="O105" s="37">
        <v>50</v>
      </c>
      <c r="P105" s="66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17"/>
      <c r="R105" s="617"/>
      <c r="S105" s="617"/>
      <c r="T105" s="61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206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23"/>
      <c r="B106" s="623"/>
      <c r="C106" s="623"/>
      <c r="D106" s="623"/>
      <c r="E106" s="623"/>
      <c r="F106" s="623"/>
      <c r="G106" s="623"/>
      <c r="H106" s="623"/>
      <c r="I106" s="623"/>
      <c r="J106" s="623"/>
      <c r="K106" s="623"/>
      <c r="L106" s="623"/>
      <c r="M106" s="623"/>
      <c r="N106" s="623"/>
      <c r="O106" s="624"/>
      <c r="P106" s="620" t="s">
        <v>40</v>
      </c>
      <c r="Q106" s="621"/>
      <c r="R106" s="621"/>
      <c r="S106" s="621"/>
      <c r="T106" s="621"/>
      <c r="U106" s="621"/>
      <c r="V106" s="62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23"/>
      <c r="B107" s="623"/>
      <c r="C107" s="623"/>
      <c r="D107" s="623"/>
      <c r="E107" s="623"/>
      <c r="F107" s="623"/>
      <c r="G107" s="623"/>
      <c r="H107" s="623"/>
      <c r="I107" s="623"/>
      <c r="J107" s="623"/>
      <c r="K107" s="623"/>
      <c r="L107" s="623"/>
      <c r="M107" s="623"/>
      <c r="N107" s="623"/>
      <c r="O107" s="624"/>
      <c r="P107" s="620" t="s">
        <v>40</v>
      </c>
      <c r="Q107" s="621"/>
      <c r="R107" s="621"/>
      <c r="S107" s="621"/>
      <c r="T107" s="621"/>
      <c r="U107" s="621"/>
      <c r="V107" s="62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14" t="s">
        <v>144</v>
      </c>
      <c r="B108" s="614"/>
      <c r="C108" s="614"/>
      <c r="D108" s="614"/>
      <c r="E108" s="614"/>
      <c r="F108" s="614"/>
      <c r="G108" s="614"/>
      <c r="H108" s="614"/>
      <c r="I108" s="614"/>
      <c r="J108" s="614"/>
      <c r="K108" s="614"/>
      <c r="L108" s="614"/>
      <c r="M108" s="614"/>
      <c r="N108" s="614"/>
      <c r="O108" s="614"/>
      <c r="P108" s="614"/>
      <c r="Q108" s="614"/>
      <c r="R108" s="614"/>
      <c r="S108" s="614"/>
      <c r="T108" s="614"/>
      <c r="U108" s="614"/>
      <c r="V108" s="614"/>
      <c r="W108" s="614"/>
      <c r="X108" s="614"/>
      <c r="Y108" s="614"/>
      <c r="Z108" s="614"/>
      <c r="AA108" s="66"/>
      <c r="AB108" s="66"/>
      <c r="AC108" s="80"/>
    </row>
    <row r="109" spans="1:68" ht="16.5" customHeight="1" x14ac:dyDescent="0.25">
      <c r="A109" s="63" t="s">
        <v>217</v>
      </c>
      <c r="B109" s="63" t="s">
        <v>218</v>
      </c>
      <c r="C109" s="36">
        <v>4301020345</v>
      </c>
      <c r="D109" s="615">
        <v>4680115881488</v>
      </c>
      <c r="E109" s="6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116</v>
      </c>
      <c r="L109" s="37" t="s">
        <v>45</v>
      </c>
      <c r="M109" s="38" t="s">
        <v>115</v>
      </c>
      <c r="N109" s="38"/>
      <c r="O109" s="37">
        <v>55</v>
      </c>
      <c r="P109" s="66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17"/>
      <c r="R109" s="617"/>
      <c r="S109" s="617"/>
      <c r="T109" s="61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220</v>
      </c>
      <c r="B110" s="63" t="s">
        <v>221</v>
      </c>
      <c r="C110" s="36">
        <v>4301020186</v>
      </c>
      <c r="D110" s="615">
        <v>4680115887664</v>
      </c>
      <c r="E110" s="6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45</v>
      </c>
      <c r="M110" s="38" t="s">
        <v>80</v>
      </c>
      <c r="N110" s="38"/>
      <c r="O110" s="37">
        <v>30</v>
      </c>
      <c r="P110" s="667" t="s">
        <v>222</v>
      </c>
      <c r="Q110" s="617"/>
      <c r="R110" s="617"/>
      <c r="S110" s="617"/>
      <c r="T110" s="61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223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4301020346</v>
      </c>
      <c r="D111" s="615">
        <v>4680115882775</v>
      </c>
      <c r="E111" s="61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115</v>
      </c>
      <c r="N111" s="38"/>
      <c r="O111" s="37">
        <v>55</v>
      </c>
      <c r="P111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17"/>
      <c r="R111" s="617"/>
      <c r="S111" s="617"/>
      <c r="T111" s="61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219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227</v>
      </c>
      <c r="B112" s="63" t="s">
        <v>228</v>
      </c>
      <c r="C112" s="36">
        <v>4301020344</v>
      </c>
      <c r="D112" s="615">
        <v>4680115880658</v>
      </c>
      <c r="E112" s="6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115</v>
      </c>
      <c r="N112" s="38"/>
      <c r="O112" s="37">
        <v>55</v>
      </c>
      <c r="P112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17"/>
      <c r="R112" s="617"/>
      <c r="S112" s="617"/>
      <c r="T112" s="61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219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23"/>
      <c r="B113" s="623"/>
      <c r="C113" s="623"/>
      <c r="D113" s="623"/>
      <c r="E113" s="623"/>
      <c r="F113" s="623"/>
      <c r="G113" s="623"/>
      <c r="H113" s="623"/>
      <c r="I113" s="623"/>
      <c r="J113" s="623"/>
      <c r="K113" s="623"/>
      <c r="L113" s="623"/>
      <c r="M113" s="623"/>
      <c r="N113" s="623"/>
      <c r="O113" s="624"/>
      <c r="P113" s="620" t="s">
        <v>40</v>
      </c>
      <c r="Q113" s="621"/>
      <c r="R113" s="621"/>
      <c r="S113" s="621"/>
      <c r="T113" s="621"/>
      <c r="U113" s="621"/>
      <c r="V113" s="62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23"/>
      <c r="B114" s="623"/>
      <c r="C114" s="623"/>
      <c r="D114" s="623"/>
      <c r="E114" s="623"/>
      <c r="F114" s="623"/>
      <c r="G114" s="623"/>
      <c r="H114" s="623"/>
      <c r="I114" s="623"/>
      <c r="J114" s="623"/>
      <c r="K114" s="623"/>
      <c r="L114" s="623"/>
      <c r="M114" s="623"/>
      <c r="N114" s="623"/>
      <c r="O114" s="624"/>
      <c r="P114" s="620" t="s">
        <v>40</v>
      </c>
      <c r="Q114" s="621"/>
      <c r="R114" s="621"/>
      <c r="S114" s="621"/>
      <c r="T114" s="621"/>
      <c r="U114" s="621"/>
      <c r="V114" s="62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14" t="s">
        <v>86</v>
      </c>
      <c r="B115" s="614"/>
      <c r="C115" s="614"/>
      <c r="D115" s="614"/>
      <c r="E115" s="614"/>
      <c r="F115" s="614"/>
      <c r="G115" s="614"/>
      <c r="H115" s="614"/>
      <c r="I115" s="614"/>
      <c r="J115" s="614"/>
      <c r="K115" s="614"/>
      <c r="L115" s="614"/>
      <c r="M115" s="614"/>
      <c r="N115" s="614"/>
      <c r="O115" s="614"/>
      <c r="P115" s="614"/>
      <c r="Q115" s="614"/>
      <c r="R115" s="614"/>
      <c r="S115" s="614"/>
      <c r="T115" s="614"/>
      <c r="U115" s="614"/>
      <c r="V115" s="614"/>
      <c r="W115" s="614"/>
      <c r="X115" s="614"/>
      <c r="Y115" s="614"/>
      <c r="Z115" s="614"/>
      <c r="AA115" s="66"/>
      <c r="AB115" s="66"/>
      <c r="AC115" s="80"/>
    </row>
    <row r="116" spans="1:68" ht="27" customHeight="1" x14ac:dyDescent="0.25">
      <c r="A116" s="63" t="s">
        <v>229</v>
      </c>
      <c r="B116" s="63" t="s">
        <v>230</v>
      </c>
      <c r="C116" s="36">
        <v>4301051724</v>
      </c>
      <c r="D116" s="615">
        <v>4607091385168</v>
      </c>
      <c r="E116" s="61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116</v>
      </c>
      <c r="L116" s="37" t="s">
        <v>45</v>
      </c>
      <c r="M116" s="38" t="s">
        <v>97</v>
      </c>
      <c r="N116" s="38"/>
      <c r="O116" s="37">
        <v>45</v>
      </c>
      <c r="P116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17"/>
      <c r="R116" s="617"/>
      <c r="S116" s="617"/>
      <c r="T116" s="61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4301051730</v>
      </c>
      <c r="D117" s="615">
        <v>4607091383256</v>
      </c>
      <c r="E117" s="61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97</v>
      </c>
      <c r="N117" s="38"/>
      <c r="O117" s="37">
        <v>45</v>
      </c>
      <c r="P117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17"/>
      <c r="R117" s="617"/>
      <c r="S117" s="617"/>
      <c r="T117" s="61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231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234</v>
      </c>
      <c r="B118" s="63" t="s">
        <v>235</v>
      </c>
      <c r="C118" s="36">
        <v>4301051721</v>
      </c>
      <c r="D118" s="615">
        <v>4607091385748</v>
      </c>
      <c r="E118" s="61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97</v>
      </c>
      <c r="N118" s="38"/>
      <c r="O118" s="37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17"/>
      <c r="R118" s="617"/>
      <c r="S118" s="617"/>
      <c r="T118" s="61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231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236</v>
      </c>
      <c r="B119" s="63" t="s">
        <v>237</v>
      </c>
      <c r="C119" s="36">
        <v>4301051740</v>
      </c>
      <c r="D119" s="615">
        <v>4680115884533</v>
      </c>
      <c r="E119" s="61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17"/>
      <c r="R119" s="617"/>
      <c r="S119" s="617"/>
      <c r="T119" s="61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238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3"/>
      <c r="B120" s="623"/>
      <c r="C120" s="623"/>
      <c r="D120" s="623"/>
      <c r="E120" s="623"/>
      <c r="F120" s="623"/>
      <c r="G120" s="623"/>
      <c r="H120" s="623"/>
      <c r="I120" s="623"/>
      <c r="J120" s="623"/>
      <c r="K120" s="623"/>
      <c r="L120" s="623"/>
      <c r="M120" s="623"/>
      <c r="N120" s="623"/>
      <c r="O120" s="624"/>
      <c r="P120" s="620" t="s">
        <v>40</v>
      </c>
      <c r="Q120" s="621"/>
      <c r="R120" s="621"/>
      <c r="S120" s="621"/>
      <c r="T120" s="621"/>
      <c r="U120" s="621"/>
      <c r="V120" s="62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23"/>
      <c r="B121" s="623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4"/>
      <c r="P121" s="620" t="s">
        <v>40</v>
      </c>
      <c r="Q121" s="621"/>
      <c r="R121" s="621"/>
      <c r="S121" s="621"/>
      <c r="T121" s="621"/>
      <c r="U121" s="621"/>
      <c r="V121" s="62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14" t="s">
        <v>172</v>
      </c>
      <c r="B122" s="614"/>
      <c r="C122" s="614"/>
      <c r="D122" s="614"/>
      <c r="E122" s="614"/>
      <c r="F122" s="614"/>
      <c r="G122" s="614"/>
      <c r="H122" s="614"/>
      <c r="I122" s="614"/>
      <c r="J122" s="614"/>
      <c r="K122" s="614"/>
      <c r="L122" s="614"/>
      <c r="M122" s="614"/>
      <c r="N122" s="614"/>
      <c r="O122" s="614"/>
      <c r="P122" s="614"/>
      <c r="Q122" s="614"/>
      <c r="R122" s="614"/>
      <c r="S122" s="614"/>
      <c r="T122" s="614"/>
      <c r="U122" s="614"/>
      <c r="V122" s="614"/>
      <c r="W122" s="614"/>
      <c r="X122" s="614"/>
      <c r="Y122" s="614"/>
      <c r="Z122" s="614"/>
      <c r="AA122" s="66"/>
      <c r="AB122" s="66"/>
      <c r="AC122" s="80"/>
    </row>
    <row r="123" spans="1:68" ht="16.5" customHeight="1" x14ac:dyDescent="0.25">
      <c r="A123" s="63" t="s">
        <v>239</v>
      </c>
      <c r="B123" s="63" t="s">
        <v>240</v>
      </c>
      <c r="C123" s="36">
        <v>4301060317</v>
      </c>
      <c r="D123" s="615">
        <v>4680115880238</v>
      </c>
      <c r="E123" s="61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17"/>
      <c r="R123" s="617"/>
      <c r="S123" s="617"/>
      <c r="T123" s="61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241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23"/>
      <c r="B124" s="623"/>
      <c r="C124" s="623"/>
      <c r="D124" s="623"/>
      <c r="E124" s="623"/>
      <c r="F124" s="623"/>
      <c r="G124" s="623"/>
      <c r="H124" s="623"/>
      <c r="I124" s="623"/>
      <c r="J124" s="623"/>
      <c r="K124" s="623"/>
      <c r="L124" s="623"/>
      <c r="M124" s="623"/>
      <c r="N124" s="623"/>
      <c r="O124" s="624"/>
      <c r="P124" s="620" t="s">
        <v>40</v>
      </c>
      <c r="Q124" s="621"/>
      <c r="R124" s="621"/>
      <c r="S124" s="621"/>
      <c r="T124" s="621"/>
      <c r="U124" s="621"/>
      <c r="V124" s="62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23"/>
      <c r="B125" s="623"/>
      <c r="C125" s="623"/>
      <c r="D125" s="623"/>
      <c r="E125" s="623"/>
      <c r="F125" s="623"/>
      <c r="G125" s="623"/>
      <c r="H125" s="623"/>
      <c r="I125" s="623"/>
      <c r="J125" s="623"/>
      <c r="K125" s="623"/>
      <c r="L125" s="623"/>
      <c r="M125" s="623"/>
      <c r="N125" s="623"/>
      <c r="O125" s="624"/>
      <c r="P125" s="620" t="s">
        <v>40</v>
      </c>
      <c r="Q125" s="621"/>
      <c r="R125" s="621"/>
      <c r="S125" s="621"/>
      <c r="T125" s="621"/>
      <c r="U125" s="621"/>
      <c r="V125" s="62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13" t="s">
        <v>109</v>
      </c>
      <c r="B126" s="613"/>
      <c r="C126" s="613"/>
      <c r="D126" s="613"/>
      <c r="E126" s="613"/>
      <c r="F126" s="613"/>
      <c r="G126" s="613"/>
      <c r="H126" s="613"/>
      <c r="I126" s="613"/>
      <c r="J126" s="613"/>
      <c r="K126" s="613"/>
      <c r="L126" s="613"/>
      <c r="M126" s="613"/>
      <c r="N126" s="613"/>
      <c r="O126" s="613"/>
      <c r="P126" s="613"/>
      <c r="Q126" s="613"/>
      <c r="R126" s="613"/>
      <c r="S126" s="613"/>
      <c r="T126" s="613"/>
      <c r="U126" s="613"/>
      <c r="V126" s="613"/>
      <c r="W126" s="613"/>
      <c r="X126" s="613"/>
      <c r="Y126" s="613"/>
      <c r="Z126" s="613"/>
      <c r="AA126" s="65"/>
      <c r="AB126" s="65"/>
      <c r="AC126" s="79"/>
    </row>
    <row r="127" spans="1:68" ht="14.25" customHeight="1" x14ac:dyDescent="0.25">
      <c r="A127" s="614" t="s">
        <v>111</v>
      </c>
      <c r="B127" s="614"/>
      <c r="C127" s="614"/>
      <c r="D127" s="614"/>
      <c r="E127" s="614"/>
      <c r="F127" s="614"/>
      <c r="G127" s="614"/>
      <c r="H127" s="614"/>
      <c r="I127" s="614"/>
      <c r="J127" s="614"/>
      <c r="K127" s="614"/>
      <c r="L127" s="614"/>
      <c r="M127" s="614"/>
      <c r="N127" s="614"/>
      <c r="O127" s="614"/>
      <c r="P127" s="614"/>
      <c r="Q127" s="614"/>
      <c r="R127" s="614"/>
      <c r="S127" s="614"/>
      <c r="T127" s="614"/>
      <c r="U127" s="614"/>
      <c r="V127" s="614"/>
      <c r="W127" s="614"/>
      <c r="X127" s="614"/>
      <c r="Y127" s="614"/>
      <c r="Z127" s="614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4301012244</v>
      </c>
      <c r="D128" s="615">
        <v>4680115887374</v>
      </c>
      <c r="E128" s="615"/>
      <c r="F128" s="62">
        <v>1.6</v>
      </c>
      <c r="G128" s="37">
        <v>8</v>
      </c>
      <c r="H128" s="62">
        <v>12.8</v>
      </c>
      <c r="I128" s="62">
        <v>13.21</v>
      </c>
      <c r="J128" s="37">
        <v>64</v>
      </c>
      <c r="K128" s="37" t="s">
        <v>116</v>
      </c>
      <c r="L128" s="37" t="s">
        <v>45</v>
      </c>
      <c r="M128" s="38" t="s">
        <v>115</v>
      </c>
      <c r="N128" s="38"/>
      <c r="O128" s="37">
        <v>55</v>
      </c>
      <c r="P128" s="67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8" s="617"/>
      <c r="R128" s="617"/>
      <c r="S128" s="617"/>
      <c r="T128" s="61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IFERROR(IF(Y128=0,"",ROUNDUP(Y128/H128,0)*0.01898),"")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245</v>
      </c>
      <c r="B129" s="63" t="s">
        <v>246</v>
      </c>
      <c r="C129" s="36">
        <v>4301011705</v>
      </c>
      <c r="D129" s="615">
        <v>4607091384604</v>
      </c>
      <c r="E129" s="615"/>
      <c r="F129" s="62">
        <v>0.4</v>
      </c>
      <c r="G129" s="37">
        <v>10</v>
      </c>
      <c r="H129" s="62">
        <v>4</v>
      </c>
      <c r="I129" s="62">
        <v>4.1900000000000004</v>
      </c>
      <c r="J129" s="37">
        <v>132</v>
      </c>
      <c r="K129" s="37" t="s">
        <v>119</v>
      </c>
      <c r="L129" s="37" t="s">
        <v>45</v>
      </c>
      <c r="M129" s="38" t="s">
        <v>115</v>
      </c>
      <c r="N129" s="38"/>
      <c r="O129" s="37">
        <v>50</v>
      </c>
      <c r="P129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9" s="617"/>
      <c r="R129" s="617"/>
      <c r="S129" s="617"/>
      <c r="T129" s="61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IFERROR(IF(Y129=0,"",ROUNDUP(Y129/H129,0)*0.00902),"")</f>
        <v/>
      </c>
      <c r="AA129" s="68" t="s">
        <v>45</v>
      </c>
      <c r="AB129" s="69" t="s">
        <v>45</v>
      </c>
      <c r="AC129" s="192" t="s">
        <v>247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23"/>
      <c r="B130" s="623"/>
      <c r="C130" s="623"/>
      <c r="D130" s="623"/>
      <c r="E130" s="623"/>
      <c r="F130" s="623"/>
      <c r="G130" s="623"/>
      <c r="H130" s="623"/>
      <c r="I130" s="623"/>
      <c r="J130" s="623"/>
      <c r="K130" s="623"/>
      <c r="L130" s="623"/>
      <c r="M130" s="623"/>
      <c r="N130" s="623"/>
      <c r="O130" s="624"/>
      <c r="P130" s="620" t="s">
        <v>40</v>
      </c>
      <c r="Q130" s="621"/>
      <c r="R130" s="621"/>
      <c r="S130" s="621"/>
      <c r="T130" s="621"/>
      <c r="U130" s="621"/>
      <c r="V130" s="62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23"/>
      <c r="B131" s="623"/>
      <c r="C131" s="623"/>
      <c r="D131" s="623"/>
      <c r="E131" s="623"/>
      <c r="F131" s="623"/>
      <c r="G131" s="623"/>
      <c r="H131" s="623"/>
      <c r="I131" s="623"/>
      <c r="J131" s="623"/>
      <c r="K131" s="623"/>
      <c r="L131" s="623"/>
      <c r="M131" s="623"/>
      <c r="N131" s="623"/>
      <c r="O131" s="624"/>
      <c r="P131" s="620" t="s">
        <v>40</v>
      </c>
      <c r="Q131" s="621"/>
      <c r="R131" s="621"/>
      <c r="S131" s="621"/>
      <c r="T131" s="621"/>
      <c r="U131" s="621"/>
      <c r="V131" s="62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14" t="s">
        <v>76</v>
      </c>
      <c r="B132" s="614"/>
      <c r="C132" s="614"/>
      <c r="D132" s="614"/>
      <c r="E132" s="614"/>
      <c r="F132" s="614"/>
      <c r="G132" s="614"/>
      <c r="H132" s="614"/>
      <c r="I132" s="614"/>
      <c r="J132" s="614"/>
      <c r="K132" s="614"/>
      <c r="L132" s="614"/>
      <c r="M132" s="614"/>
      <c r="N132" s="614"/>
      <c r="O132" s="614"/>
      <c r="P132" s="614"/>
      <c r="Q132" s="614"/>
      <c r="R132" s="614"/>
      <c r="S132" s="614"/>
      <c r="T132" s="614"/>
      <c r="U132" s="614"/>
      <c r="V132" s="614"/>
      <c r="W132" s="614"/>
      <c r="X132" s="614"/>
      <c r="Y132" s="614"/>
      <c r="Z132" s="614"/>
      <c r="AA132" s="66"/>
      <c r="AB132" s="66"/>
      <c r="AC132" s="80"/>
    </row>
    <row r="133" spans="1:68" ht="16.5" customHeight="1" x14ac:dyDescent="0.25">
      <c r="A133" s="63" t="s">
        <v>248</v>
      </c>
      <c r="B133" s="63" t="s">
        <v>249</v>
      </c>
      <c r="C133" s="36">
        <v>4301030895</v>
      </c>
      <c r="D133" s="615">
        <v>4607091387667</v>
      </c>
      <c r="E133" s="615"/>
      <c r="F133" s="62">
        <v>0.9</v>
      </c>
      <c r="G133" s="37">
        <v>10</v>
      </c>
      <c r="H133" s="62">
        <v>9</v>
      </c>
      <c r="I133" s="62">
        <v>9.56</v>
      </c>
      <c r="J133" s="37">
        <v>64</v>
      </c>
      <c r="K133" s="37" t="s">
        <v>116</v>
      </c>
      <c r="L133" s="37" t="s">
        <v>45</v>
      </c>
      <c r="M133" s="38" t="s">
        <v>115</v>
      </c>
      <c r="N133" s="38"/>
      <c r="O133" s="37">
        <v>40</v>
      </c>
      <c r="P133" s="6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3" s="617"/>
      <c r="R133" s="617"/>
      <c r="S133" s="617"/>
      <c r="T133" s="61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IFERROR(IF(Y133=0,"",ROUNDUP(Y133/H133,0)*0.01898),"")</f>
        <v/>
      </c>
      <c r="AA133" s="68" t="s">
        <v>45</v>
      </c>
      <c r="AB133" s="69" t="s">
        <v>45</v>
      </c>
      <c r="AC133" s="194" t="s">
        <v>250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16.5" customHeight="1" x14ac:dyDescent="0.25">
      <c r="A134" s="63" t="s">
        <v>251</v>
      </c>
      <c r="B134" s="63" t="s">
        <v>252</v>
      </c>
      <c r="C134" s="36">
        <v>4301030961</v>
      </c>
      <c r="D134" s="615">
        <v>4607091387636</v>
      </c>
      <c r="E134" s="615"/>
      <c r="F134" s="62">
        <v>0.7</v>
      </c>
      <c r="G134" s="37">
        <v>6</v>
      </c>
      <c r="H134" s="62">
        <v>4.2</v>
      </c>
      <c r="I134" s="62">
        <v>4.47</v>
      </c>
      <c r="J134" s="37">
        <v>182</v>
      </c>
      <c r="K134" s="37" t="s">
        <v>81</v>
      </c>
      <c r="L134" s="37" t="s">
        <v>45</v>
      </c>
      <c r="M134" s="38" t="s">
        <v>80</v>
      </c>
      <c r="N134" s="38"/>
      <c r="O134" s="37">
        <v>40</v>
      </c>
      <c r="P134" s="6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4" s="617"/>
      <c r="R134" s="617"/>
      <c r="S134" s="617"/>
      <c r="T134" s="61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253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4301030963</v>
      </c>
      <c r="D135" s="615">
        <v>4607091382426</v>
      </c>
      <c r="E135" s="615"/>
      <c r="F135" s="62">
        <v>0.9</v>
      </c>
      <c r="G135" s="37">
        <v>10</v>
      </c>
      <c r="H135" s="62">
        <v>9</v>
      </c>
      <c r="I135" s="62">
        <v>9.56</v>
      </c>
      <c r="J135" s="37">
        <v>64</v>
      </c>
      <c r="K135" s="37" t="s">
        <v>116</v>
      </c>
      <c r="L135" s="37" t="s">
        <v>45</v>
      </c>
      <c r="M135" s="38" t="s">
        <v>80</v>
      </c>
      <c r="N135" s="38"/>
      <c r="O135" s="37">
        <v>40</v>
      </c>
      <c r="P135" s="6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5" s="617"/>
      <c r="R135" s="617"/>
      <c r="S135" s="617"/>
      <c r="T135" s="61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IFERROR(IF(Y135=0,"",ROUNDUP(Y135/H135,0)*0.01898),"")</f>
        <v/>
      </c>
      <c r="AA135" s="68" t="s">
        <v>45</v>
      </c>
      <c r="AB135" s="69" t="s">
        <v>45</v>
      </c>
      <c r="AC135" s="198" t="s">
        <v>256</v>
      </c>
      <c r="AG135" s="78"/>
      <c r="AJ135" s="84" t="s">
        <v>45</v>
      </c>
      <c r="AK135" s="84">
        <v>0</v>
      </c>
      <c r="BB135" s="199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3"/>
      <c r="B136" s="623"/>
      <c r="C136" s="623"/>
      <c r="D136" s="623"/>
      <c r="E136" s="623"/>
      <c r="F136" s="623"/>
      <c r="G136" s="623"/>
      <c r="H136" s="623"/>
      <c r="I136" s="623"/>
      <c r="J136" s="623"/>
      <c r="K136" s="623"/>
      <c r="L136" s="623"/>
      <c r="M136" s="623"/>
      <c r="N136" s="623"/>
      <c r="O136" s="624"/>
      <c r="P136" s="620" t="s">
        <v>40</v>
      </c>
      <c r="Q136" s="621"/>
      <c r="R136" s="621"/>
      <c r="S136" s="621"/>
      <c r="T136" s="621"/>
      <c r="U136" s="621"/>
      <c r="V136" s="622"/>
      <c r="W136" s="42" t="s">
        <v>39</v>
      </c>
      <c r="X136" s="43">
        <f>IFERROR(X133/H133,"0")+IFERROR(X134/H134,"0")+IFERROR(X135/H135,"0")</f>
        <v>0</v>
      </c>
      <c r="Y136" s="43">
        <f>IFERROR(Y133/H133,"0")+IFERROR(Y134/H134,"0")+IFERROR(Y135/H135,"0")</f>
        <v>0</v>
      </c>
      <c r="Z136" s="43">
        <f>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2" t="s">
        <v>0</v>
      </c>
      <c r="X137" s="43">
        <f>IFERROR(SUM(X133:X135),"0")</f>
        <v>0</v>
      </c>
      <c r="Y137" s="43">
        <f>IFERROR(SUM(Y133:Y135),"0")</f>
        <v>0</v>
      </c>
      <c r="Z137" s="42"/>
      <c r="AA137" s="67"/>
      <c r="AB137" s="67"/>
      <c r="AC137" s="67"/>
    </row>
    <row r="138" spans="1:68" ht="14.25" customHeight="1" x14ac:dyDescent="0.25">
      <c r="A138" s="614" t="s">
        <v>86</v>
      </c>
      <c r="B138" s="614"/>
      <c r="C138" s="614"/>
      <c r="D138" s="614"/>
      <c r="E138" s="614"/>
      <c r="F138" s="614"/>
      <c r="G138" s="614"/>
      <c r="H138" s="614"/>
      <c r="I138" s="614"/>
      <c r="J138" s="614"/>
      <c r="K138" s="614"/>
      <c r="L138" s="614"/>
      <c r="M138" s="614"/>
      <c r="N138" s="614"/>
      <c r="O138" s="614"/>
      <c r="P138" s="614"/>
      <c r="Q138" s="614"/>
      <c r="R138" s="614"/>
      <c r="S138" s="614"/>
      <c r="T138" s="614"/>
      <c r="U138" s="614"/>
      <c r="V138" s="614"/>
      <c r="W138" s="614"/>
      <c r="X138" s="614"/>
      <c r="Y138" s="614"/>
      <c r="Z138" s="614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4301052064</v>
      </c>
      <c r="D139" s="615">
        <v>4680115887459</v>
      </c>
      <c r="E139" s="615"/>
      <c r="F139" s="62">
        <v>0.3</v>
      </c>
      <c r="G139" s="37">
        <v>6</v>
      </c>
      <c r="H139" s="62">
        <v>1.8</v>
      </c>
      <c r="I139" s="62">
        <v>2.0579999999999998</v>
      </c>
      <c r="J139" s="37">
        <v>182</v>
      </c>
      <c r="K139" s="37" t="s">
        <v>81</v>
      </c>
      <c r="L139" s="37" t="s">
        <v>45</v>
      </c>
      <c r="M139" s="38" t="s">
        <v>90</v>
      </c>
      <c r="N139" s="38"/>
      <c r="O139" s="37">
        <v>45</v>
      </c>
      <c r="P139" s="6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39" s="617"/>
      <c r="R139" s="617"/>
      <c r="S139" s="617"/>
      <c r="T139" s="61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259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23"/>
      <c r="B140" s="623"/>
      <c r="C140" s="623"/>
      <c r="D140" s="623"/>
      <c r="E140" s="623"/>
      <c r="F140" s="623"/>
      <c r="G140" s="623"/>
      <c r="H140" s="623"/>
      <c r="I140" s="623"/>
      <c r="J140" s="623"/>
      <c r="K140" s="623"/>
      <c r="L140" s="623"/>
      <c r="M140" s="623"/>
      <c r="N140" s="623"/>
      <c r="O140" s="624"/>
      <c r="P140" s="620" t="s">
        <v>40</v>
      </c>
      <c r="Q140" s="621"/>
      <c r="R140" s="621"/>
      <c r="S140" s="621"/>
      <c r="T140" s="621"/>
      <c r="U140" s="621"/>
      <c r="V140" s="622"/>
      <c r="W140" s="42" t="s">
        <v>39</v>
      </c>
      <c r="X140" s="43">
        <f>IFERROR(X139/H139,"0")</f>
        <v>0</v>
      </c>
      <c r="Y140" s="43">
        <f>IFERROR(Y139/H139,"0")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623"/>
      <c r="B141" s="623"/>
      <c r="C141" s="623"/>
      <c r="D141" s="623"/>
      <c r="E141" s="623"/>
      <c r="F141" s="623"/>
      <c r="G141" s="623"/>
      <c r="H141" s="623"/>
      <c r="I141" s="623"/>
      <c r="J141" s="623"/>
      <c r="K141" s="623"/>
      <c r="L141" s="623"/>
      <c r="M141" s="623"/>
      <c r="N141" s="623"/>
      <c r="O141" s="624"/>
      <c r="P141" s="620" t="s">
        <v>40</v>
      </c>
      <c r="Q141" s="621"/>
      <c r="R141" s="621"/>
      <c r="S141" s="621"/>
      <c r="T141" s="621"/>
      <c r="U141" s="621"/>
      <c r="V141" s="622"/>
      <c r="W141" s="42" t="s">
        <v>0</v>
      </c>
      <c r="X141" s="43">
        <f>IFERROR(SUM(X139:X139),"0")</f>
        <v>0</v>
      </c>
      <c r="Y141" s="43">
        <f>IFERROR(SUM(Y139:Y139),"0")</f>
        <v>0</v>
      </c>
      <c r="Z141" s="42"/>
      <c r="AA141" s="67"/>
      <c r="AB141" s="67"/>
      <c r="AC141" s="67"/>
    </row>
    <row r="142" spans="1:68" ht="27.75" customHeight="1" x14ac:dyDescent="0.2">
      <c r="A142" s="612" t="s">
        <v>260</v>
      </c>
      <c r="B142" s="612"/>
      <c r="C142" s="612"/>
      <c r="D142" s="612"/>
      <c r="E142" s="612"/>
      <c r="F142" s="612"/>
      <c r="G142" s="612"/>
      <c r="H142" s="612"/>
      <c r="I142" s="612"/>
      <c r="J142" s="612"/>
      <c r="K142" s="612"/>
      <c r="L142" s="612"/>
      <c r="M142" s="612"/>
      <c r="N142" s="612"/>
      <c r="O142" s="612"/>
      <c r="P142" s="612"/>
      <c r="Q142" s="612"/>
      <c r="R142" s="612"/>
      <c r="S142" s="612"/>
      <c r="T142" s="612"/>
      <c r="U142" s="612"/>
      <c r="V142" s="612"/>
      <c r="W142" s="612"/>
      <c r="X142" s="612"/>
      <c r="Y142" s="612"/>
      <c r="Z142" s="612"/>
      <c r="AA142" s="54"/>
      <c r="AB142" s="54"/>
      <c r="AC142" s="54"/>
    </row>
    <row r="143" spans="1:68" ht="16.5" customHeight="1" x14ac:dyDescent="0.25">
      <c r="A143" s="613" t="s">
        <v>261</v>
      </c>
      <c r="B143" s="613"/>
      <c r="C143" s="613"/>
      <c r="D143" s="613"/>
      <c r="E143" s="613"/>
      <c r="F143" s="613"/>
      <c r="G143" s="613"/>
      <c r="H143" s="613"/>
      <c r="I143" s="613"/>
      <c r="J143" s="613"/>
      <c r="K143" s="613"/>
      <c r="L143" s="613"/>
      <c r="M143" s="613"/>
      <c r="N143" s="613"/>
      <c r="O143" s="613"/>
      <c r="P143" s="613"/>
      <c r="Q143" s="613"/>
      <c r="R143" s="613"/>
      <c r="S143" s="613"/>
      <c r="T143" s="613"/>
      <c r="U143" s="613"/>
      <c r="V143" s="613"/>
      <c r="W143" s="613"/>
      <c r="X143" s="613"/>
      <c r="Y143" s="613"/>
      <c r="Z143" s="613"/>
      <c r="AA143" s="65"/>
      <c r="AB143" s="65"/>
      <c r="AC143" s="79"/>
    </row>
    <row r="144" spans="1:68" ht="14.25" customHeight="1" x14ac:dyDescent="0.25">
      <c r="A144" s="614" t="s">
        <v>144</v>
      </c>
      <c r="B144" s="614"/>
      <c r="C144" s="614"/>
      <c r="D144" s="614"/>
      <c r="E144" s="614"/>
      <c r="F144" s="614"/>
      <c r="G144" s="614"/>
      <c r="H144" s="614"/>
      <c r="I144" s="614"/>
      <c r="J144" s="614"/>
      <c r="K144" s="614"/>
      <c r="L144" s="614"/>
      <c r="M144" s="614"/>
      <c r="N144" s="614"/>
      <c r="O144" s="614"/>
      <c r="P144" s="614"/>
      <c r="Q144" s="614"/>
      <c r="R144" s="614"/>
      <c r="S144" s="614"/>
      <c r="T144" s="614"/>
      <c r="U144" s="614"/>
      <c r="V144" s="614"/>
      <c r="W144" s="614"/>
      <c r="X144" s="614"/>
      <c r="Y144" s="614"/>
      <c r="Z144" s="614"/>
      <c r="AA144" s="66"/>
      <c r="AB144" s="66"/>
      <c r="AC144" s="80"/>
    </row>
    <row r="145" spans="1:68" ht="27" customHeight="1" x14ac:dyDescent="0.25">
      <c r="A145" s="63" t="s">
        <v>262</v>
      </c>
      <c r="B145" s="63" t="s">
        <v>263</v>
      </c>
      <c r="C145" s="36">
        <v>4301020323</v>
      </c>
      <c r="D145" s="615">
        <v>4680115886223</v>
      </c>
      <c r="E145" s="615"/>
      <c r="F145" s="62">
        <v>0.33</v>
      </c>
      <c r="G145" s="37">
        <v>6</v>
      </c>
      <c r="H145" s="62">
        <v>1.98</v>
      </c>
      <c r="I145" s="62">
        <v>2.08</v>
      </c>
      <c r="J145" s="37">
        <v>234</v>
      </c>
      <c r="K145" s="37" t="s">
        <v>85</v>
      </c>
      <c r="L145" s="37" t="s">
        <v>45</v>
      </c>
      <c r="M145" s="38" t="s">
        <v>80</v>
      </c>
      <c r="N145" s="38"/>
      <c r="O145" s="37">
        <v>40</v>
      </c>
      <c r="P145" s="6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5" s="617"/>
      <c r="R145" s="617"/>
      <c r="S145" s="617"/>
      <c r="T145" s="61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IFERROR(IF(Y145=0,"",ROUNDUP(Y145/H145,0)*0.00502),"")</f>
        <v/>
      </c>
      <c r="AA145" s="68" t="s">
        <v>45</v>
      </c>
      <c r="AB145" s="69" t="s">
        <v>45</v>
      </c>
      <c r="AC145" s="202" t="s">
        <v>264</v>
      </c>
      <c r="AG145" s="78"/>
      <c r="AJ145" s="84" t="s">
        <v>45</v>
      </c>
      <c r="AK145" s="84">
        <v>0</v>
      </c>
      <c r="BB145" s="203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3"/>
      <c r="B146" s="623"/>
      <c r="C146" s="623"/>
      <c r="D146" s="623"/>
      <c r="E146" s="623"/>
      <c r="F146" s="623"/>
      <c r="G146" s="623"/>
      <c r="H146" s="623"/>
      <c r="I146" s="623"/>
      <c r="J146" s="623"/>
      <c r="K146" s="623"/>
      <c r="L146" s="623"/>
      <c r="M146" s="623"/>
      <c r="N146" s="623"/>
      <c r="O146" s="624"/>
      <c r="P146" s="620" t="s">
        <v>40</v>
      </c>
      <c r="Q146" s="621"/>
      <c r="R146" s="621"/>
      <c r="S146" s="621"/>
      <c r="T146" s="621"/>
      <c r="U146" s="621"/>
      <c r="V146" s="622"/>
      <c r="W146" s="42" t="s">
        <v>39</v>
      </c>
      <c r="X146" s="43">
        <f>IFERROR(X145/H145,"0")</f>
        <v>0</v>
      </c>
      <c r="Y146" s="43">
        <f>IFERROR(Y145/H145,"0")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623"/>
      <c r="B147" s="623"/>
      <c r="C147" s="623"/>
      <c r="D147" s="623"/>
      <c r="E147" s="623"/>
      <c r="F147" s="623"/>
      <c r="G147" s="623"/>
      <c r="H147" s="623"/>
      <c r="I147" s="623"/>
      <c r="J147" s="623"/>
      <c r="K147" s="623"/>
      <c r="L147" s="623"/>
      <c r="M147" s="623"/>
      <c r="N147" s="623"/>
      <c r="O147" s="624"/>
      <c r="P147" s="620" t="s">
        <v>40</v>
      </c>
      <c r="Q147" s="621"/>
      <c r="R147" s="621"/>
      <c r="S147" s="621"/>
      <c r="T147" s="621"/>
      <c r="U147" s="621"/>
      <c r="V147" s="622"/>
      <c r="W147" s="42" t="s">
        <v>0</v>
      </c>
      <c r="X147" s="43">
        <f>IFERROR(SUM(X145:X145),"0")</f>
        <v>0</v>
      </c>
      <c r="Y147" s="43">
        <f>IFERROR(SUM(Y145:Y145),"0")</f>
        <v>0</v>
      </c>
      <c r="Z147" s="42"/>
      <c r="AA147" s="67"/>
      <c r="AB147" s="67"/>
      <c r="AC147" s="67"/>
    </row>
    <row r="148" spans="1:68" ht="14.25" customHeight="1" x14ac:dyDescent="0.25">
      <c r="A148" s="614" t="s">
        <v>76</v>
      </c>
      <c r="B148" s="614"/>
      <c r="C148" s="614"/>
      <c r="D148" s="614"/>
      <c r="E148" s="614"/>
      <c r="F148" s="614"/>
      <c r="G148" s="614"/>
      <c r="H148" s="614"/>
      <c r="I148" s="614"/>
      <c r="J148" s="614"/>
      <c r="K148" s="614"/>
      <c r="L148" s="614"/>
      <c r="M148" s="614"/>
      <c r="N148" s="614"/>
      <c r="O148" s="614"/>
      <c r="P148" s="614"/>
      <c r="Q148" s="614"/>
      <c r="R148" s="614"/>
      <c r="S148" s="614"/>
      <c r="T148" s="614"/>
      <c r="U148" s="614"/>
      <c r="V148" s="614"/>
      <c r="W148" s="614"/>
      <c r="X148" s="614"/>
      <c r="Y148" s="614"/>
      <c r="Z148" s="614"/>
      <c r="AA148" s="66"/>
      <c r="AB148" s="66"/>
      <c r="AC148" s="80"/>
    </row>
    <row r="149" spans="1:68" ht="37.5" customHeight="1" x14ac:dyDescent="0.25">
      <c r="A149" s="63" t="s">
        <v>265</v>
      </c>
      <c r="B149" s="63" t="s">
        <v>266</v>
      </c>
      <c r="C149" s="36">
        <v>4301031447</v>
      </c>
      <c r="D149" s="615">
        <v>4680115887565</v>
      </c>
      <c r="E149" s="615"/>
      <c r="F149" s="62">
        <v>0.08</v>
      </c>
      <c r="G149" s="37">
        <v>10</v>
      </c>
      <c r="H149" s="62">
        <v>0.8</v>
      </c>
      <c r="I149" s="62">
        <v>0.93</v>
      </c>
      <c r="J149" s="37">
        <v>216</v>
      </c>
      <c r="K149" s="37" t="s">
        <v>85</v>
      </c>
      <c r="L149" s="37" t="s">
        <v>45</v>
      </c>
      <c r="M149" s="38" t="s">
        <v>80</v>
      </c>
      <c r="N149" s="38"/>
      <c r="O149" s="37">
        <v>45</v>
      </c>
      <c r="P149" s="682" t="s">
        <v>267</v>
      </c>
      <c r="Q149" s="617"/>
      <c r="R149" s="617"/>
      <c r="S149" s="617"/>
      <c r="T149" s="618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ref="Y149:Y160" si="5">IFERROR(IF(X149="",0,CEILING((X149/$H149),1)*$H149),"")</f>
        <v>0</v>
      </c>
      <c r="Z149" s="41" t="str">
        <f>IFERROR(IF(Y149=0,"",ROUNDUP(Y149/H149,0)*0.00556),"")</f>
        <v/>
      </c>
      <c r="AA149" s="68" t="s">
        <v>45</v>
      </c>
      <c r="AB149" s="69" t="s">
        <v>269</v>
      </c>
      <c r="AC149" s="204" t="s">
        <v>268</v>
      </c>
      <c r="AG149" s="78"/>
      <c r="AJ149" s="84" t="s">
        <v>45</v>
      </c>
      <c r="AK149" s="84">
        <v>0</v>
      </c>
      <c r="BB149" s="205" t="s">
        <v>66</v>
      </c>
      <c r="BM149" s="78">
        <f t="shared" ref="BM149:BM160" si="6">IFERROR(X149*I149/H149,"0")</f>
        <v>0</v>
      </c>
      <c r="BN149" s="78">
        <f t="shared" ref="BN149:BN160" si="7">IFERROR(Y149*I149/H149,"0")</f>
        <v>0</v>
      </c>
      <c r="BO149" s="78">
        <f t="shared" ref="BO149:BO160" si="8">IFERROR(1/J149*(X149/H149),"0")</f>
        <v>0</v>
      </c>
      <c r="BP149" s="78">
        <f t="shared" ref="BP149:BP160" si="9">IFERROR(1/J149*(Y149/H149),"0")</f>
        <v>0</v>
      </c>
    </row>
    <row r="150" spans="1:68" ht="27" customHeight="1" x14ac:dyDescent="0.25">
      <c r="A150" s="63" t="s">
        <v>270</v>
      </c>
      <c r="B150" s="63" t="s">
        <v>271</v>
      </c>
      <c r="C150" s="36">
        <v>4301031191</v>
      </c>
      <c r="D150" s="615">
        <v>4680115880993</v>
      </c>
      <c r="E150" s="615"/>
      <c r="F150" s="62">
        <v>0.7</v>
      </c>
      <c r="G150" s="37">
        <v>6</v>
      </c>
      <c r="H150" s="62">
        <v>4.2</v>
      </c>
      <c r="I150" s="62">
        <v>4.45</v>
      </c>
      <c r="J150" s="37">
        <v>132</v>
      </c>
      <c r="K150" s="37" t="s">
        <v>119</v>
      </c>
      <c r="L150" s="37" t="s">
        <v>45</v>
      </c>
      <c r="M150" s="38" t="s">
        <v>80</v>
      </c>
      <c r="N150" s="38"/>
      <c r="O150" s="37">
        <v>40</v>
      </c>
      <c r="P150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50" s="617"/>
      <c r="R150" s="617"/>
      <c r="S150" s="617"/>
      <c r="T150" s="618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6" t="s">
        <v>272</v>
      </c>
      <c r="AG150" s="78"/>
      <c r="AJ150" s="84" t="s">
        <v>45</v>
      </c>
      <c r="AK150" s="84">
        <v>0</v>
      </c>
      <c r="BB150" s="207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4301031204</v>
      </c>
      <c r="D151" s="615">
        <v>4680115881761</v>
      </c>
      <c r="E151" s="615"/>
      <c r="F151" s="62">
        <v>0.7</v>
      </c>
      <c r="G151" s="37">
        <v>6</v>
      </c>
      <c r="H151" s="62">
        <v>4.2</v>
      </c>
      <c r="I151" s="62">
        <v>4.45</v>
      </c>
      <c r="J151" s="37">
        <v>132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8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51" s="617"/>
      <c r="R151" s="617"/>
      <c r="S151" s="617"/>
      <c r="T151" s="618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08" t="s">
        <v>275</v>
      </c>
      <c r="AG151" s="78"/>
      <c r="AJ151" s="84" t="s">
        <v>45</v>
      </c>
      <c r="AK151" s="84">
        <v>0</v>
      </c>
      <c r="BB151" s="209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276</v>
      </c>
      <c r="B152" s="63" t="s">
        <v>277</v>
      </c>
      <c r="C152" s="36">
        <v>4301031201</v>
      </c>
      <c r="D152" s="615">
        <v>4680115881563</v>
      </c>
      <c r="E152" s="61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119</v>
      </c>
      <c r="L152" s="37" t="s">
        <v>45</v>
      </c>
      <c r="M152" s="38" t="s">
        <v>80</v>
      </c>
      <c r="N152" s="38"/>
      <c r="O152" s="37">
        <v>40</v>
      </c>
      <c r="P152" s="6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52" s="617"/>
      <c r="R152" s="617"/>
      <c r="S152" s="617"/>
      <c r="T152" s="618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0" t="s">
        <v>278</v>
      </c>
      <c r="AG152" s="78"/>
      <c r="AJ152" s="84" t="s">
        <v>45</v>
      </c>
      <c r="AK152" s="84">
        <v>0</v>
      </c>
      <c r="BB152" s="211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4301031199</v>
      </c>
      <c r="D153" s="615">
        <v>4680115880986</v>
      </c>
      <c r="E153" s="615"/>
      <c r="F153" s="62">
        <v>0.35</v>
      </c>
      <c r="G153" s="37">
        <v>6</v>
      </c>
      <c r="H153" s="62">
        <v>2.1</v>
      </c>
      <c r="I153" s="62">
        <v>2.23</v>
      </c>
      <c r="J153" s="37">
        <v>234</v>
      </c>
      <c r="K153" s="37" t="s">
        <v>85</v>
      </c>
      <c r="L153" s="37" t="s">
        <v>45</v>
      </c>
      <c r="M153" s="38" t="s">
        <v>80</v>
      </c>
      <c r="N153" s="38"/>
      <c r="O153" s="37">
        <v>40</v>
      </c>
      <c r="P153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53" s="617"/>
      <c r="R153" s="617"/>
      <c r="S153" s="617"/>
      <c r="T153" s="618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IFERROR(IF(Y153=0,"",ROUNDUP(Y153/H153,0)*0.00502),"")</f>
        <v/>
      </c>
      <c r="AA153" s="68" t="s">
        <v>45</v>
      </c>
      <c r="AB153" s="69" t="s">
        <v>45</v>
      </c>
      <c r="AC153" s="212" t="s">
        <v>272</v>
      </c>
      <c r="AG153" s="78"/>
      <c r="AJ153" s="84" t="s">
        <v>45</v>
      </c>
      <c r="AK153" s="84">
        <v>0</v>
      </c>
      <c r="BB153" s="213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t="27" customHeight="1" x14ac:dyDescent="0.25">
      <c r="A154" s="63" t="s">
        <v>281</v>
      </c>
      <c r="B154" s="63" t="s">
        <v>282</v>
      </c>
      <c r="C154" s="36">
        <v>4301031443</v>
      </c>
      <c r="D154" s="615">
        <v>4680115887213</v>
      </c>
      <c r="E154" s="615"/>
      <c r="F154" s="62">
        <v>0.3</v>
      </c>
      <c r="G154" s="37">
        <v>6</v>
      </c>
      <c r="H154" s="62">
        <v>1.8</v>
      </c>
      <c r="I154" s="62">
        <v>1.9</v>
      </c>
      <c r="J154" s="37">
        <v>234</v>
      </c>
      <c r="K154" s="37" t="s">
        <v>85</v>
      </c>
      <c r="L154" s="37" t="s">
        <v>45</v>
      </c>
      <c r="M154" s="38" t="s">
        <v>80</v>
      </c>
      <c r="N154" s="38"/>
      <c r="O154" s="37">
        <v>45</v>
      </c>
      <c r="P154" s="6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54" s="617"/>
      <c r="R154" s="617"/>
      <c r="S154" s="617"/>
      <c r="T154" s="618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5"/>
        <v>0</v>
      </c>
      <c r="Z154" s="41" t="str">
        <f>IFERROR(IF(Y154=0,"",ROUNDUP(Y154/H154,0)*0.00502),"")</f>
        <v/>
      </c>
      <c r="AA154" s="68" t="s">
        <v>45</v>
      </c>
      <c r="AB154" s="69" t="s">
        <v>45</v>
      </c>
      <c r="AC154" s="214" t="s">
        <v>283</v>
      </c>
      <c r="AG154" s="78"/>
      <c r="AJ154" s="84" t="s">
        <v>45</v>
      </c>
      <c r="AK154" s="84">
        <v>0</v>
      </c>
      <c r="BB154" s="215" t="s">
        <v>66</v>
      </c>
      <c r="BM154" s="78">
        <f t="shared" si="6"/>
        <v>0</v>
      </c>
      <c r="BN154" s="78">
        <f t="shared" si="7"/>
        <v>0</v>
      </c>
      <c r="BO154" s="78">
        <f t="shared" si="8"/>
        <v>0</v>
      </c>
      <c r="BP154" s="78">
        <f t="shared" si="9"/>
        <v>0</v>
      </c>
    </row>
    <row r="155" spans="1:68" ht="27" customHeight="1" x14ac:dyDescent="0.25">
      <c r="A155" s="63" t="s">
        <v>284</v>
      </c>
      <c r="B155" s="63" t="s">
        <v>285</v>
      </c>
      <c r="C155" s="36">
        <v>4301031205</v>
      </c>
      <c r="D155" s="615">
        <v>4680115881785</v>
      </c>
      <c r="E155" s="615"/>
      <c r="F155" s="62">
        <v>0.35</v>
      </c>
      <c r="G155" s="37">
        <v>6</v>
      </c>
      <c r="H155" s="62">
        <v>2.1</v>
      </c>
      <c r="I155" s="62">
        <v>2.23</v>
      </c>
      <c r="J155" s="37">
        <v>234</v>
      </c>
      <c r="K155" s="37" t="s">
        <v>85</v>
      </c>
      <c r="L155" s="37" t="s">
        <v>45</v>
      </c>
      <c r="M155" s="38" t="s">
        <v>80</v>
      </c>
      <c r="N155" s="38"/>
      <c r="O155" s="37">
        <v>40</v>
      </c>
      <c r="P155" s="68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5" s="617"/>
      <c r="R155" s="617"/>
      <c r="S155" s="617"/>
      <c r="T155" s="618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5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275</v>
      </c>
      <c r="AG155" s="78"/>
      <c r="AJ155" s="84" t="s">
        <v>45</v>
      </c>
      <c r="AK155" s="84">
        <v>0</v>
      </c>
      <c r="BB155" s="217" t="s">
        <v>66</v>
      </c>
      <c r="BM155" s="78">
        <f t="shared" si="6"/>
        <v>0</v>
      </c>
      <c r="BN155" s="78">
        <f t="shared" si="7"/>
        <v>0</v>
      </c>
      <c r="BO155" s="78">
        <f t="shared" si="8"/>
        <v>0</v>
      </c>
      <c r="BP155" s="78">
        <f t="shared" si="9"/>
        <v>0</v>
      </c>
    </row>
    <row r="156" spans="1:68" ht="27" customHeight="1" x14ac:dyDescent="0.25">
      <c r="A156" s="63" t="s">
        <v>286</v>
      </c>
      <c r="B156" s="63" t="s">
        <v>287</v>
      </c>
      <c r="C156" s="36">
        <v>4301031399</v>
      </c>
      <c r="D156" s="615">
        <v>4680115886537</v>
      </c>
      <c r="E156" s="615"/>
      <c r="F156" s="62">
        <v>0.3</v>
      </c>
      <c r="G156" s="37">
        <v>6</v>
      </c>
      <c r="H156" s="62">
        <v>1.8</v>
      </c>
      <c r="I156" s="62">
        <v>1.93</v>
      </c>
      <c r="J156" s="37">
        <v>234</v>
      </c>
      <c r="K156" s="37" t="s">
        <v>85</v>
      </c>
      <c r="L156" s="37" t="s">
        <v>45</v>
      </c>
      <c r="M156" s="38" t="s">
        <v>80</v>
      </c>
      <c r="N156" s="38"/>
      <c r="O156" s="37">
        <v>40</v>
      </c>
      <c r="P156" s="68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6" s="617"/>
      <c r="R156" s="617"/>
      <c r="S156" s="617"/>
      <c r="T156" s="618"/>
      <c r="U156" s="39" t="s">
        <v>45</v>
      </c>
      <c r="V156" s="39" t="s">
        <v>45</v>
      </c>
      <c r="W156" s="40" t="s">
        <v>0</v>
      </c>
      <c r="X156" s="58">
        <v>0</v>
      </c>
      <c r="Y156" s="55">
        <f t="shared" si="5"/>
        <v>0</v>
      </c>
      <c r="Z156" s="41" t="str">
        <f>IFERROR(IF(Y156=0,"",ROUNDUP(Y156/H156,0)*0.00502),"")</f>
        <v/>
      </c>
      <c r="AA156" s="68" t="s">
        <v>45</v>
      </c>
      <c r="AB156" s="69" t="s">
        <v>45</v>
      </c>
      <c r="AC156" s="218" t="s">
        <v>288</v>
      </c>
      <c r="AG156" s="78"/>
      <c r="AJ156" s="84" t="s">
        <v>45</v>
      </c>
      <c r="AK156" s="84">
        <v>0</v>
      </c>
      <c r="BB156" s="219" t="s">
        <v>66</v>
      </c>
      <c r="BM156" s="78">
        <f t="shared" si="6"/>
        <v>0</v>
      </c>
      <c r="BN156" s="78">
        <f t="shared" si="7"/>
        <v>0</v>
      </c>
      <c r="BO156" s="78">
        <f t="shared" si="8"/>
        <v>0</v>
      </c>
      <c r="BP156" s="78">
        <f t="shared" si="9"/>
        <v>0</v>
      </c>
    </row>
    <row r="157" spans="1:68" ht="27" customHeight="1" x14ac:dyDescent="0.25">
      <c r="A157" s="63" t="s">
        <v>289</v>
      </c>
      <c r="B157" s="63" t="s">
        <v>290</v>
      </c>
      <c r="C157" s="36">
        <v>4301031279</v>
      </c>
      <c r="D157" s="615">
        <v>4680115887596</v>
      </c>
      <c r="E157" s="615"/>
      <c r="F157" s="62">
        <v>0.08</v>
      </c>
      <c r="G157" s="37">
        <v>10</v>
      </c>
      <c r="H157" s="62">
        <v>0.8</v>
      </c>
      <c r="I157" s="62">
        <v>1.01</v>
      </c>
      <c r="J157" s="37">
        <v>336</v>
      </c>
      <c r="K157" s="37" t="s">
        <v>187</v>
      </c>
      <c r="L157" s="37" t="s">
        <v>45</v>
      </c>
      <c r="M157" s="38" t="s">
        <v>80</v>
      </c>
      <c r="N157" s="38"/>
      <c r="O157" s="37">
        <v>45</v>
      </c>
      <c r="P157" s="690" t="s">
        <v>291</v>
      </c>
      <c r="Q157" s="617"/>
      <c r="R157" s="617"/>
      <c r="S157" s="617"/>
      <c r="T157" s="618"/>
      <c r="U157" s="39" t="s">
        <v>45</v>
      </c>
      <c r="V157" s="39" t="s">
        <v>45</v>
      </c>
      <c r="W157" s="40" t="s">
        <v>0</v>
      </c>
      <c r="X157" s="58">
        <v>0</v>
      </c>
      <c r="Y157" s="55">
        <f t="shared" si="5"/>
        <v>0</v>
      </c>
      <c r="Z157" s="41" t="str">
        <f>IFERROR(IF(Y157=0,"",ROUNDUP(Y157/H157,0)*0.00417),"")</f>
        <v/>
      </c>
      <c r="AA157" s="68" t="s">
        <v>45</v>
      </c>
      <c r="AB157" s="69" t="s">
        <v>45</v>
      </c>
      <c r="AC157" s="220" t="s">
        <v>292</v>
      </c>
      <c r="AG157" s="78"/>
      <c r="AJ157" s="84" t="s">
        <v>45</v>
      </c>
      <c r="AK157" s="84">
        <v>0</v>
      </c>
      <c r="BB157" s="221" t="s">
        <v>66</v>
      </c>
      <c r="BM157" s="78">
        <f t="shared" si="6"/>
        <v>0</v>
      </c>
      <c r="BN157" s="78">
        <f t="shared" si="7"/>
        <v>0</v>
      </c>
      <c r="BO157" s="78">
        <f t="shared" si="8"/>
        <v>0</v>
      </c>
      <c r="BP157" s="78">
        <f t="shared" si="9"/>
        <v>0</v>
      </c>
    </row>
    <row r="158" spans="1:68" ht="37.5" customHeight="1" x14ac:dyDescent="0.25">
      <c r="A158" s="63" t="s">
        <v>293</v>
      </c>
      <c r="B158" s="63" t="s">
        <v>294</v>
      </c>
      <c r="C158" s="36">
        <v>4301031202</v>
      </c>
      <c r="D158" s="615">
        <v>4680115881679</v>
      </c>
      <c r="E158" s="615"/>
      <c r="F158" s="62">
        <v>0.35</v>
      </c>
      <c r="G158" s="37">
        <v>6</v>
      </c>
      <c r="H158" s="62">
        <v>2.1</v>
      </c>
      <c r="I158" s="62">
        <v>2.2000000000000002</v>
      </c>
      <c r="J158" s="37">
        <v>234</v>
      </c>
      <c r="K158" s="37" t="s">
        <v>85</v>
      </c>
      <c r="L158" s="37" t="s">
        <v>45</v>
      </c>
      <c r="M158" s="38" t="s">
        <v>80</v>
      </c>
      <c r="N158" s="38"/>
      <c r="O158" s="37">
        <v>40</v>
      </c>
      <c r="P158" s="6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58" s="617"/>
      <c r="R158" s="617"/>
      <c r="S158" s="617"/>
      <c r="T158" s="618"/>
      <c r="U158" s="39" t="s">
        <v>45</v>
      </c>
      <c r="V158" s="39" t="s">
        <v>45</v>
      </c>
      <c r="W158" s="40" t="s">
        <v>0</v>
      </c>
      <c r="X158" s="58">
        <v>0</v>
      </c>
      <c r="Y158" s="55">
        <f t="shared" si="5"/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22" t="s">
        <v>278</v>
      </c>
      <c r="AG158" s="78"/>
      <c r="AJ158" s="84" t="s">
        <v>45</v>
      </c>
      <c r="AK158" s="84">
        <v>0</v>
      </c>
      <c r="BB158" s="223" t="s">
        <v>66</v>
      </c>
      <c r="BM158" s="78">
        <f t="shared" si="6"/>
        <v>0</v>
      </c>
      <c r="BN158" s="78">
        <f t="shared" si="7"/>
        <v>0</v>
      </c>
      <c r="BO158" s="78">
        <f t="shared" si="8"/>
        <v>0</v>
      </c>
      <c r="BP158" s="78">
        <f t="shared" si="9"/>
        <v>0</v>
      </c>
    </row>
    <row r="159" spans="1:68" ht="27" customHeight="1" x14ac:dyDescent="0.25">
      <c r="A159" s="63" t="s">
        <v>295</v>
      </c>
      <c r="B159" s="63" t="s">
        <v>296</v>
      </c>
      <c r="C159" s="36">
        <v>4301031158</v>
      </c>
      <c r="D159" s="615">
        <v>4680115880191</v>
      </c>
      <c r="E159" s="615"/>
      <c r="F159" s="62">
        <v>0.4</v>
      </c>
      <c r="G159" s="37">
        <v>6</v>
      </c>
      <c r="H159" s="62">
        <v>2.4</v>
      </c>
      <c r="I159" s="62">
        <v>2.58</v>
      </c>
      <c r="J159" s="37">
        <v>182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6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59" s="617"/>
      <c r="R159" s="617"/>
      <c r="S159" s="617"/>
      <c r="T159" s="618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si="5"/>
        <v>0</v>
      </c>
      <c r="Z159" s="41" t="str">
        <f>IFERROR(IF(Y159=0,"",ROUNDUP(Y159/H159,0)*0.00651),"")</f>
        <v/>
      </c>
      <c r="AA159" s="68" t="s">
        <v>45</v>
      </c>
      <c r="AB159" s="69" t="s">
        <v>45</v>
      </c>
      <c r="AC159" s="224" t="s">
        <v>278</v>
      </c>
      <c r="AG159" s="78"/>
      <c r="AJ159" s="84" t="s">
        <v>45</v>
      </c>
      <c r="AK159" s="84">
        <v>0</v>
      </c>
      <c r="BB159" s="225" t="s">
        <v>66</v>
      </c>
      <c r="BM159" s="78">
        <f t="shared" si="6"/>
        <v>0</v>
      </c>
      <c r="BN159" s="78">
        <f t="shared" si="7"/>
        <v>0</v>
      </c>
      <c r="BO159" s="78">
        <f t="shared" si="8"/>
        <v>0</v>
      </c>
      <c r="BP159" s="78">
        <f t="shared" si="9"/>
        <v>0</v>
      </c>
    </row>
    <row r="160" spans="1:68" ht="27" customHeight="1" x14ac:dyDescent="0.25">
      <c r="A160" s="63" t="s">
        <v>297</v>
      </c>
      <c r="B160" s="63" t="s">
        <v>298</v>
      </c>
      <c r="C160" s="36">
        <v>4301031245</v>
      </c>
      <c r="D160" s="615">
        <v>4680115883963</v>
      </c>
      <c r="E160" s="615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85</v>
      </c>
      <c r="L160" s="37" t="s">
        <v>45</v>
      </c>
      <c r="M160" s="38" t="s">
        <v>80</v>
      </c>
      <c r="N160" s="38"/>
      <c r="O160" s="37">
        <v>40</v>
      </c>
      <c r="P160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0" s="617"/>
      <c r="R160" s="617"/>
      <c r="S160" s="617"/>
      <c r="T160" s="618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5"/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26" t="s">
        <v>299</v>
      </c>
      <c r="AG160" s="78"/>
      <c r="AJ160" s="84" t="s">
        <v>45</v>
      </c>
      <c r="AK160" s="84">
        <v>0</v>
      </c>
      <c r="BB160" s="227" t="s">
        <v>66</v>
      </c>
      <c r="BM160" s="78">
        <f t="shared" si="6"/>
        <v>0</v>
      </c>
      <c r="BN160" s="78">
        <f t="shared" si="7"/>
        <v>0</v>
      </c>
      <c r="BO160" s="78">
        <f t="shared" si="8"/>
        <v>0</v>
      </c>
      <c r="BP160" s="78">
        <f t="shared" si="9"/>
        <v>0</v>
      </c>
    </row>
    <row r="161" spans="1:68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2" t="s">
        <v>39</v>
      </c>
      <c r="X161" s="43">
        <f>IFERROR(X149/H149,"0")+IFERROR(X150/H150,"0")+IFERROR(X151/H151,"0")+IFERROR(X152/H152,"0")+IFERROR(X153/H153,"0")+IFERROR(X154/H154,"0")+IFERROR(X155/H155,"0")+IFERROR(X156/H156,"0")+IFERROR(X157/H157,"0")+IFERROR(X158/H158,"0")+IFERROR(X159/H159,"0")+IFERROR(X160/H160,"0")</f>
        <v>0</v>
      </c>
      <c r="Y161" s="43">
        <f>IFERROR(Y149/H149,"0")+IFERROR(Y150/H150,"0")+IFERROR(Y151/H151,"0")+IFERROR(Y152/H152,"0")+IFERROR(Y153/H153,"0")+IFERROR(Y154/H154,"0")+IFERROR(Y155/H155,"0")+IFERROR(Y156/H156,"0")+IFERROR(Y157/H157,"0")+IFERROR(Y158/H158,"0")+IFERROR(Y159/H159,"0")+IFERROR(Y160/H160,"0")</f>
        <v>0</v>
      </c>
      <c r="Z161" s="43">
        <f>IFERROR(IF(Z149="",0,Z149),"0")+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23"/>
      <c r="B162" s="623"/>
      <c r="C162" s="623"/>
      <c r="D162" s="623"/>
      <c r="E162" s="623"/>
      <c r="F162" s="623"/>
      <c r="G162" s="623"/>
      <c r="H162" s="623"/>
      <c r="I162" s="623"/>
      <c r="J162" s="623"/>
      <c r="K162" s="623"/>
      <c r="L162" s="623"/>
      <c r="M162" s="623"/>
      <c r="N162" s="623"/>
      <c r="O162" s="624"/>
      <c r="P162" s="620" t="s">
        <v>40</v>
      </c>
      <c r="Q162" s="621"/>
      <c r="R162" s="621"/>
      <c r="S162" s="621"/>
      <c r="T162" s="621"/>
      <c r="U162" s="621"/>
      <c r="V162" s="622"/>
      <c r="W162" s="42" t="s">
        <v>0</v>
      </c>
      <c r="X162" s="43">
        <f>IFERROR(SUM(X149:X160),"0")</f>
        <v>0</v>
      </c>
      <c r="Y162" s="43">
        <f>IFERROR(SUM(Y149:Y160),"0")</f>
        <v>0</v>
      </c>
      <c r="Z162" s="42"/>
      <c r="AA162" s="67"/>
      <c r="AB162" s="67"/>
      <c r="AC162" s="67"/>
    </row>
    <row r="163" spans="1:68" ht="14.25" customHeight="1" x14ac:dyDescent="0.25">
      <c r="A163" s="614" t="s">
        <v>103</v>
      </c>
      <c r="B163" s="614"/>
      <c r="C163" s="614"/>
      <c r="D163" s="614"/>
      <c r="E163" s="614"/>
      <c r="F163" s="614"/>
      <c r="G163" s="614"/>
      <c r="H163" s="614"/>
      <c r="I163" s="614"/>
      <c r="J163" s="614"/>
      <c r="K163" s="614"/>
      <c r="L163" s="614"/>
      <c r="M163" s="614"/>
      <c r="N163" s="614"/>
      <c r="O163" s="614"/>
      <c r="P163" s="614"/>
      <c r="Q163" s="614"/>
      <c r="R163" s="614"/>
      <c r="S163" s="614"/>
      <c r="T163" s="614"/>
      <c r="U163" s="614"/>
      <c r="V163" s="614"/>
      <c r="W163" s="614"/>
      <c r="X163" s="614"/>
      <c r="Y163" s="614"/>
      <c r="Z163" s="614"/>
      <c r="AA163" s="66"/>
      <c r="AB163" s="66"/>
      <c r="AC163" s="80"/>
    </row>
    <row r="164" spans="1:68" ht="27" customHeight="1" x14ac:dyDescent="0.25">
      <c r="A164" s="63" t="s">
        <v>300</v>
      </c>
      <c r="B164" s="63" t="s">
        <v>301</v>
      </c>
      <c r="C164" s="36">
        <v>4301032053</v>
      </c>
      <c r="D164" s="615">
        <v>4680115886780</v>
      </c>
      <c r="E164" s="615"/>
      <c r="F164" s="62">
        <v>7.0000000000000007E-2</v>
      </c>
      <c r="G164" s="37">
        <v>18</v>
      </c>
      <c r="H164" s="62">
        <v>1.26</v>
      </c>
      <c r="I164" s="62">
        <v>1.45</v>
      </c>
      <c r="J164" s="37">
        <v>216</v>
      </c>
      <c r="K164" s="37" t="s">
        <v>304</v>
      </c>
      <c r="L164" s="37" t="s">
        <v>45</v>
      </c>
      <c r="M164" s="38" t="s">
        <v>303</v>
      </c>
      <c r="N164" s="38"/>
      <c r="O164" s="37">
        <v>60</v>
      </c>
      <c r="P164" s="69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64" s="617"/>
      <c r="R164" s="617"/>
      <c r="S164" s="617"/>
      <c r="T164" s="618"/>
      <c r="U164" s="39" t="s">
        <v>45</v>
      </c>
      <c r="V164" s="39" t="s">
        <v>45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IFERROR(IF(Y164=0,"",ROUNDUP(Y164/H164,0)*0.0059),"")</f>
        <v/>
      </c>
      <c r="AA164" s="68" t="s">
        <v>45</v>
      </c>
      <c r="AB164" s="69" t="s">
        <v>45</v>
      </c>
      <c r="AC164" s="228" t="s">
        <v>302</v>
      </c>
      <c r="AG164" s="78"/>
      <c r="AJ164" s="84" t="s">
        <v>45</v>
      </c>
      <c r="AK164" s="84">
        <v>0</v>
      </c>
      <c r="BB164" s="229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305</v>
      </c>
      <c r="B165" s="63" t="s">
        <v>306</v>
      </c>
      <c r="C165" s="36">
        <v>4301032051</v>
      </c>
      <c r="D165" s="615">
        <v>4680115886742</v>
      </c>
      <c r="E165" s="615"/>
      <c r="F165" s="62">
        <v>7.0000000000000007E-2</v>
      </c>
      <c r="G165" s="37">
        <v>18</v>
      </c>
      <c r="H165" s="62">
        <v>1.26</v>
      </c>
      <c r="I165" s="62">
        <v>1.45</v>
      </c>
      <c r="J165" s="37">
        <v>216</v>
      </c>
      <c r="K165" s="37" t="s">
        <v>304</v>
      </c>
      <c r="L165" s="37" t="s">
        <v>45</v>
      </c>
      <c r="M165" s="38" t="s">
        <v>303</v>
      </c>
      <c r="N165" s="38"/>
      <c r="O165" s="37">
        <v>90</v>
      </c>
      <c r="P165" s="6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5" s="617"/>
      <c r="R165" s="617"/>
      <c r="S165" s="617"/>
      <c r="T165" s="618"/>
      <c r="U165" s="39" t="s">
        <v>45</v>
      </c>
      <c r="V165" s="39" t="s">
        <v>45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IFERROR(IF(Y165=0,"",ROUNDUP(Y165/H165,0)*0.0059),"")</f>
        <v/>
      </c>
      <c r="AA165" s="68" t="s">
        <v>45</v>
      </c>
      <c r="AB165" s="69" t="s">
        <v>45</v>
      </c>
      <c r="AC165" s="230" t="s">
        <v>307</v>
      </c>
      <c r="AG165" s="78"/>
      <c r="AJ165" s="84" t="s">
        <v>45</v>
      </c>
      <c r="AK165" s="84">
        <v>0</v>
      </c>
      <c r="BB165" s="231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308</v>
      </c>
      <c r="B166" s="63" t="s">
        <v>309</v>
      </c>
      <c r="C166" s="36">
        <v>4301032052</v>
      </c>
      <c r="D166" s="615">
        <v>4680115886766</v>
      </c>
      <c r="E166" s="615"/>
      <c r="F166" s="62">
        <v>7.0000000000000007E-2</v>
      </c>
      <c r="G166" s="37">
        <v>18</v>
      </c>
      <c r="H166" s="62">
        <v>1.26</v>
      </c>
      <c r="I166" s="62">
        <v>1.45</v>
      </c>
      <c r="J166" s="37">
        <v>216</v>
      </c>
      <c r="K166" s="37" t="s">
        <v>304</v>
      </c>
      <c r="L166" s="37" t="s">
        <v>45</v>
      </c>
      <c r="M166" s="38" t="s">
        <v>303</v>
      </c>
      <c r="N166" s="38"/>
      <c r="O166" s="37">
        <v>90</v>
      </c>
      <c r="P166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6" s="617"/>
      <c r="R166" s="617"/>
      <c r="S166" s="617"/>
      <c r="T166" s="618"/>
      <c r="U166" s="39" t="s">
        <v>45</v>
      </c>
      <c r="V166" s="39" t="s">
        <v>45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IFERROR(IF(Y166=0,"",ROUNDUP(Y166/H166,0)*0.0059),"")</f>
        <v/>
      </c>
      <c r="AA166" s="68" t="s">
        <v>45</v>
      </c>
      <c r="AB166" s="69" t="s">
        <v>45</v>
      </c>
      <c r="AC166" s="232" t="s">
        <v>307</v>
      </c>
      <c r="AG166" s="78"/>
      <c r="AJ166" s="84" t="s">
        <v>45</v>
      </c>
      <c r="AK166" s="84">
        <v>0</v>
      </c>
      <c r="BB166" s="233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23"/>
      <c r="B167" s="623"/>
      <c r="C167" s="623"/>
      <c r="D167" s="623"/>
      <c r="E167" s="623"/>
      <c r="F167" s="623"/>
      <c r="G167" s="623"/>
      <c r="H167" s="623"/>
      <c r="I167" s="623"/>
      <c r="J167" s="623"/>
      <c r="K167" s="623"/>
      <c r="L167" s="623"/>
      <c r="M167" s="623"/>
      <c r="N167" s="623"/>
      <c r="O167" s="624"/>
      <c r="P167" s="620" t="s">
        <v>40</v>
      </c>
      <c r="Q167" s="621"/>
      <c r="R167" s="621"/>
      <c r="S167" s="621"/>
      <c r="T167" s="621"/>
      <c r="U167" s="621"/>
      <c r="V167" s="6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23"/>
      <c r="B168" s="623"/>
      <c r="C168" s="623"/>
      <c r="D168" s="623"/>
      <c r="E168" s="623"/>
      <c r="F168" s="623"/>
      <c r="G168" s="623"/>
      <c r="H168" s="623"/>
      <c r="I168" s="623"/>
      <c r="J168" s="623"/>
      <c r="K168" s="623"/>
      <c r="L168" s="623"/>
      <c r="M168" s="623"/>
      <c r="N168" s="623"/>
      <c r="O168" s="624"/>
      <c r="P168" s="620" t="s">
        <v>40</v>
      </c>
      <c r="Q168" s="621"/>
      <c r="R168" s="621"/>
      <c r="S168" s="621"/>
      <c r="T168" s="621"/>
      <c r="U168" s="621"/>
      <c r="V168" s="6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614" t="s">
        <v>310</v>
      </c>
      <c r="B169" s="614"/>
      <c r="C169" s="614"/>
      <c r="D169" s="614"/>
      <c r="E169" s="614"/>
      <c r="F169" s="614"/>
      <c r="G169" s="614"/>
      <c r="H169" s="614"/>
      <c r="I169" s="614"/>
      <c r="J169" s="614"/>
      <c r="K169" s="614"/>
      <c r="L169" s="614"/>
      <c r="M169" s="614"/>
      <c r="N169" s="614"/>
      <c r="O169" s="614"/>
      <c r="P169" s="614"/>
      <c r="Q169" s="614"/>
      <c r="R169" s="614"/>
      <c r="S169" s="614"/>
      <c r="T169" s="614"/>
      <c r="U169" s="614"/>
      <c r="V169" s="614"/>
      <c r="W169" s="614"/>
      <c r="X169" s="614"/>
      <c r="Y169" s="614"/>
      <c r="Z169" s="614"/>
      <c r="AA169" s="66"/>
      <c r="AB169" s="66"/>
      <c r="AC169" s="80"/>
    </row>
    <row r="170" spans="1:68" ht="27" customHeight="1" x14ac:dyDescent="0.25">
      <c r="A170" s="63" t="s">
        <v>311</v>
      </c>
      <c r="B170" s="63" t="s">
        <v>312</v>
      </c>
      <c r="C170" s="36">
        <v>4301170013</v>
      </c>
      <c r="D170" s="615">
        <v>4680115886797</v>
      </c>
      <c r="E170" s="615"/>
      <c r="F170" s="62">
        <v>7.0000000000000007E-2</v>
      </c>
      <c r="G170" s="37">
        <v>18</v>
      </c>
      <c r="H170" s="62">
        <v>1.26</v>
      </c>
      <c r="I170" s="62">
        <v>1.45</v>
      </c>
      <c r="J170" s="37">
        <v>216</v>
      </c>
      <c r="K170" s="37" t="s">
        <v>304</v>
      </c>
      <c r="L170" s="37" t="s">
        <v>45</v>
      </c>
      <c r="M170" s="38" t="s">
        <v>303</v>
      </c>
      <c r="N170" s="38"/>
      <c r="O170" s="37">
        <v>90</v>
      </c>
      <c r="P170" s="6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0" s="617"/>
      <c r="R170" s="617"/>
      <c r="S170" s="617"/>
      <c r="T170" s="618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IFERROR(IF(Y170=0,"",ROUNDUP(Y170/H170,0)*0.0059),"")</f>
        <v/>
      </c>
      <c r="AA170" s="68" t="s">
        <v>45</v>
      </c>
      <c r="AB170" s="69" t="s">
        <v>45</v>
      </c>
      <c r="AC170" s="234" t="s">
        <v>307</v>
      </c>
      <c r="AG170" s="78"/>
      <c r="AJ170" s="84" t="s">
        <v>45</v>
      </c>
      <c r="AK170" s="84">
        <v>0</v>
      </c>
      <c r="BB170" s="235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23"/>
      <c r="B171" s="623"/>
      <c r="C171" s="623"/>
      <c r="D171" s="623"/>
      <c r="E171" s="623"/>
      <c r="F171" s="623"/>
      <c r="G171" s="623"/>
      <c r="H171" s="623"/>
      <c r="I171" s="623"/>
      <c r="J171" s="623"/>
      <c r="K171" s="623"/>
      <c r="L171" s="623"/>
      <c r="M171" s="623"/>
      <c r="N171" s="623"/>
      <c r="O171" s="624"/>
      <c r="P171" s="620" t="s">
        <v>40</v>
      </c>
      <c r="Q171" s="621"/>
      <c r="R171" s="621"/>
      <c r="S171" s="621"/>
      <c r="T171" s="621"/>
      <c r="U171" s="621"/>
      <c r="V171" s="622"/>
      <c r="W171" s="42" t="s">
        <v>39</v>
      </c>
      <c r="X171" s="43">
        <f>IFERROR(X170/H170,"0")</f>
        <v>0</v>
      </c>
      <c r="Y171" s="43">
        <f>IFERROR(Y170/H170,"0")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623"/>
      <c r="B172" s="623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4"/>
      <c r="P172" s="620" t="s">
        <v>40</v>
      </c>
      <c r="Q172" s="621"/>
      <c r="R172" s="621"/>
      <c r="S172" s="621"/>
      <c r="T172" s="621"/>
      <c r="U172" s="621"/>
      <c r="V172" s="622"/>
      <c r="W172" s="42" t="s">
        <v>0</v>
      </c>
      <c r="X172" s="43">
        <f>IFERROR(SUM(X170:X170),"0")</f>
        <v>0</v>
      </c>
      <c r="Y172" s="43">
        <f>IFERROR(SUM(Y170:Y170),"0")</f>
        <v>0</v>
      </c>
      <c r="Z172" s="42"/>
      <c r="AA172" s="67"/>
      <c r="AB172" s="67"/>
      <c r="AC172" s="67"/>
    </row>
    <row r="173" spans="1:68" ht="16.5" customHeight="1" x14ac:dyDescent="0.25">
      <c r="A173" s="613" t="s">
        <v>313</v>
      </c>
      <c r="B173" s="613"/>
      <c r="C173" s="613"/>
      <c r="D173" s="613"/>
      <c r="E173" s="613"/>
      <c r="F173" s="613"/>
      <c r="G173" s="613"/>
      <c r="H173" s="613"/>
      <c r="I173" s="613"/>
      <c r="J173" s="613"/>
      <c r="K173" s="613"/>
      <c r="L173" s="613"/>
      <c r="M173" s="613"/>
      <c r="N173" s="613"/>
      <c r="O173" s="613"/>
      <c r="P173" s="613"/>
      <c r="Q173" s="613"/>
      <c r="R173" s="613"/>
      <c r="S173" s="613"/>
      <c r="T173" s="613"/>
      <c r="U173" s="613"/>
      <c r="V173" s="613"/>
      <c r="W173" s="613"/>
      <c r="X173" s="613"/>
      <c r="Y173" s="613"/>
      <c r="Z173" s="613"/>
      <c r="AA173" s="65"/>
      <c r="AB173" s="65"/>
      <c r="AC173" s="79"/>
    </row>
    <row r="174" spans="1:68" ht="14.25" customHeight="1" x14ac:dyDescent="0.25">
      <c r="A174" s="614" t="s">
        <v>111</v>
      </c>
      <c r="B174" s="614"/>
      <c r="C174" s="614"/>
      <c r="D174" s="614"/>
      <c r="E174" s="614"/>
      <c r="F174" s="614"/>
      <c r="G174" s="614"/>
      <c r="H174" s="614"/>
      <c r="I174" s="614"/>
      <c r="J174" s="614"/>
      <c r="K174" s="614"/>
      <c r="L174" s="614"/>
      <c r="M174" s="614"/>
      <c r="N174" s="614"/>
      <c r="O174" s="614"/>
      <c r="P174" s="614"/>
      <c r="Q174" s="614"/>
      <c r="R174" s="614"/>
      <c r="S174" s="614"/>
      <c r="T174" s="614"/>
      <c r="U174" s="614"/>
      <c r="V174" s="614"/>
      <c r="W174" s="614"/>
      <c r="X174" s="614"/>
      <c r="Y174" s="614"/>
      <c r="Z174" s="614"/>
      <c r="AA174" s="66"/>
      <c r="AB174" s="66"/>
      <c r="AC174" s="80"/>
    </row>
    <row r="175" spans="1:68" ht="27" customHeight="1" x14ac:dyDescent="0.25">
      <c r="A175" s="63" t="s">
        <v>314</v>
      </c>
      <c r="B175" s="63" t="s">
        <v>315</v>
      </c>
      <c r="C175" s="36">
        <v>4301011450</v>
      </c>
      <c r="D175" s="615">
        <v>4680115881402</v>
      </c>
      <c r="E175" s="615"/>
      <c r="F175" s="62">
        <v>1.35</v>
      </c>
      <c r="G175" s="37">
        <v>8</v>
      </c>
      <c r="H175" s="62">
        <v>10.8</v>
      </c>
      <c r="I175" s="62">
        <v>11.21</v>
      </c>
      <c r="J175" s="37">
        <v>64</v>
      </c>
      <c r="K175" s="37" t="s">
        <v>116</v>
      </c>
      <c r="L175" s="37" t="s">
        <v>45</v>
      </c>
      <c r="M175" s="38" t="s">
        <v>115</v>
      </c>
      <c r="N175" s="38"/>
      <c r="O175" s="37">
        <v>55</v>
      </c>
      <c r="P175" s="6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5" s="617"/>
      <c r="R175" s="617"/>
      <c r="S175" s="617"/>
      <c r="T175" s="61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IFERROR(IF(Y175=0,"",ROUNDUP(Y175/H175,0)*0.01898),"")</f>
        <v/>
      </c>
      <c r="AA175" s="68" t="s">
        <v>45</v>
      </c>
      <c r="AB175" s="69" t="s">
        <v>45</v>
      </c>
      <c r="AC175" s="236" t="s">
        <v>316</v>
      </c>
      <c r="AG175" s="78"/>
      <c r="AJ175" s="84" t="s">
        <v>45</v>
      </c>
      <c r="AK175" s="84">
        <v>0</v>
      </c>
      <c r="BB175" s="237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317</v>
      </c>
      <c r="B176" s="63" t="s">
        <v>318</v>
      </c>
      <c r="C176" s="36">
        <v>4301011768</v>
      </c>
      <c r="D176" s="615">
        <v>4680115881396</v>
      </c>
      <c r="E176" s="615"/>
      <c r="F176" s="62">
        <v>0.45</v>
      </c>
      <c r="G176" s="37">
        <v>6</v>
      </c>
      <c r="H176" s="62">
        <v>2.7</v>
      </c>
      <c r="I176" s="62">
        <v>2.88</v>
      </c>
      <c r="J176" s="37">
        <v>182</v>
      </c>
      <c r="K176" s="37" t="s">
        <v>81</v>
      </c>
      <c r="L176" s="37" t="s">
        <v>45</v>
      </c>
      <c r="M176" s="38" t="s">
        <v>115</v>
      </c>
      <c r="N176" s="38"/>
      <c r="O176" s="37">
        <v>55</v>
      </c>
      <c r="P176" s="6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6" s="617"/>
      <c r="R176" s="617"/>
      <c r="S176" s="617"/>
      <c r="T176" s="61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316</v>
      </c>
      <c r="AG176" s="78"/>
      <c r="AJ176" s="84" t="s">
        <v>45</v>
      </c>
      <c r="AK176" s="84">
        <v>0</v>
      </c>
      <c r="BB176" s="239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3"/>
      <c r="B177" s="623"/>
      <c r="C177" s="623"/>
      <c r="D177" s="623"/>
      <c r="E177" s="623"/>
      <c r="F177" s="623"/>
      <c r="G177" s="623"/>
      <c r="H177" s="623"/>
      <c r="I177" s="623"/>
      <c r="J177" s="623"/>
      <c r="K177" s="623"/>
      <c r="L177" s="623"/>
      <c r="M177" s="623"/>
      <c r="N177" s="623"/>
      <c r="O177" s="624"/>
      <c r="P177" s="620" t="s">
        <v>40</v>
      </c>
      <c r="Q177" s="621"/>
      <c r="R177" s="621"/>
      <c r="S177" s="621"/>
      <c r="T177" s="621"/>
      <c r="U177" s="621"/>
      <c r="V177" s="62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14" t="s">
        <v>144</v>
      </c>
      <c r="B179" s="614"/>
      <c r="C179" s="614"/>
      <c r="D179" s="614"/>
      <c r="E179" s="614"/>
      <c r="F179" s="614"/>
      <c r="G179" s="614"/>
      <c r="H179" s="614"/>
      <c r="I179" s="614"/>
      <c r="J179" s="614"/>
      <c r="K179" s="614"/>
      <c r="L179" s="614"/>
      <c r="M179" s="614"/>
      <c r="N179" s="614"/>
      <c r="O179" s="614"/>
      <c r="P179" s="614"/>
      <c r="Q179" s="614"/>
      <c r="R179" s="614"/>
      <c r="S179" s="614"/>
      <c r="T179" s="614"/>
      <c r="U179" s="614"/>
      <c r="V179" s="614"/>
      <c r="W179" s="614"/>
      <c r="X179" s="614"/>
      <c r="Y179" s="614"/>
      <c r="Z179" s="614"/>
      <c r="AA179" s="66"/>
      <c r="AB179" s="66"/>
      <c r="AC179" s="80"/>
    </row>
    <row r="180" spans="1:68" ht="16.5" customHeight="1" x14ac:dyDescent="0.25">
      <c r="A180" s="63" t="s">
        <v>319</v>
      </c>
      <c r="B180" s="63" t="s">
        <v>320</v>
      </c>
      <c r="C180" s="36">
        <v>4301020261</v>
      </c>
      <c r="D180" s="615">
        <v>4680115882935</v>
      </c>
      <c r="E180" s="615"/>
      <c r="F180" s="62">
        <v>1.35</v>
      </c>
      <c r="G180" s="37">
        <v>8</v>
      </c>
      <c r="H180" s="62">
        <v>10.8</v>
      </c>
      <c r="I180" s="62">
        <v>11.21</v>
      </c>
      <c r="J180" s="37">
        <v>64</v>
      </c>
      <c r="K180" s="37" t="s">
        <v>116</v>
      </c>
      <c r="L180" s="37" t="s">
        <v>45</v>
      </c>
      <c r="M180" s="38" t="s">
        <v>115</v>
      </c>
      <c r="N180" s="38"/>
      <c r="O180" s="37">
        <v>50</v>
      </c>
      <c r="P180" s="7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0" s="617"/>
      <c r="R180" s="617"/>
      <c r="S180" s="617"/>
      <c r="T180" s="61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IFERROR(IF(Y180=0,"",ROUNDUP(Y180/H180,0)*0.01898),"")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4301020220</v>
      </c>
      <c r="D181" s="615">
        <v>4680115880764</v>
      </c>
      <c r="E181" s="615"/>
      <c r="F181" s="62">
        <v>0.35</v>
      </c>
      <c r="G181" s="37">
        <v>6</v>
      </c>
      <c r="H181" s="62">
        <v>2.1</v>
      </c>
      <c r="I181" s="62">
        <v>2.2799999999999998</v>
      </c>
      <c r="J181" s="37">
        <v>182</v>
      </c>
      <c r="K181" s="37" t="s">
        <v>81</v>
      </c>
      <c r="L181" s="37" t="s">
        <v>45</v>
      </c>
      <c r="M181" s="38" t="s">
        <v>115</v>
      </c>
      <c r="N181" s="38"/>
      <c r="O181" s="37">
        <v>50</v>
      </c>
      <c r="P181" s="7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1" s="617"/>
      <c r="R181" s="617"/>
      <c r="S181" s="617"/>
      <c r="T181" s="61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45</v>
      </c>
      <c r="AB181" s="69" t="s">
        <v>45</v>
      </c>
      <c r="AC181" s="242" t="s">
        <v>321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3"/>
      <c r="B182" s="623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4"/>
      <c r="P182" s="620" t="s">
        <v>40</v>
      </c>
      <c r="Q182" s="621"/>
      <c r="R182" s="621"/>
      <c r="S182" s="621"/>
      <c r="T182" s="621"/>
      <c r="U182" s="621"/>
      <c r="V182" s="622"/>
      <c r="W182" s="42" t="s">
        <v>39</v>
      </c>
      <c r="X182" s="43">
        <f>IFERROR(X180/H180,"0")+IFERROR(X181/H181,"0")</f>
        <v>0</v>
      </c>
      <c r="Y182" s="43">
        <f>IFERROR(Y180/H180,"0")+IFERROR(Y181/H181,"0")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x14ac:dyDescent="0.2">
      <c r="A183" s="623"/>
      <c r="B183" s="623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4"/>
      <c r="P183" s="620" t="s">
        <v>40</v>
      </c>
      <c r="Q183" s="621"/>
      <c r="R183" s="621"/>
      <c r="S183" s="621"/>
      <c r="T183" s="621"/>
      <c r="U183" s="621"/>
      <c r="V183" s="622"/>
      <c r="W183" s="42" t="s">
        <v>0</v>
      </c>
      <c r="X183" s="43">
        <f>IFERROR(SUM(X180:X181),"0")</f>
        <v>0</v>
      </c>
      <c r="Y183" s="43">
        <f>IFERROR(SUM(Y180:Y181),"0")</f>
        <v>0</v>
      </c>
      <c r="Z183" s="42"/>
      <c r="AA183" s="67"/>
      <c r="AB183" s="67"/>
      <c r="AC183" s="67"/>
    </row>
    <row r="184" spans="1:68" ht="14.25" customHeight="1" x14ac:dyDescent="0.25">
      <c r="A184" s="614" t="s">
        <v>76</v>
      </c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6"/>
      <c r="AB184" s="66"/>
      <c r="AC184" s="80"/>
    </row>
    <row r="185" spans="1:68" ht="27" customHeight="1" x14ac:dyDescent="0.25">
      <c r="A185" s="63" t="s">
        <v>324</v>
      </c>
      <c r="B185" s="63" t="s">
        <v>325</v>
      </c>
      <c r="C185" s="36">
        <v>4301031224</v>
      </c>
      <c r="D185" s="615">
        <v>4680115882683</v>
      </c>
      <c r="E185" s="615"/>
      <c r="F185" s="62">
        <v>0.9</v>
      </c>
      <c r="G185" s="37">
        <v>6</v>
      </c>
      <c r="H185" s="62">
        <v>5.4</v>
      </c>
      <c r="I185" s="62">
        <v>5.59</v>
      </c>
      <c r="J185" s="37">
        <v>132</v>
      </c>
      <c r="K185" s="37" t="s">
        <v>119</v>
      </c>
      <c r="L185" s="37" t="s">
        <v>45</v>
      </c>
      <c r="M185" s="38" t="s">
        <v>80</v>
      </c>
      <c r="N185" s="38"/>
      <c r="O185" s="37">
        <v>40</v>
      </c>
      <c r="P18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5" s="617"/>
      <c r="R185" s="617"/>
      <c r="S185" s="617"/>
      <c r="T185" s="618"/>
      <c r="U185" s="39" t="s">
        <v>45</v>
      </c>
      <c r="V185" s="39" t="s">
        <v>45</v>
      </c>
      <c r="W185" s="40" t="s">
        <v>0</v>
      </c>
      <c r="X185" s="58">
        <v>0</v>
      </c>
      <c r="Y185" s="55">
        <f t="shared" ref="Y185:Y192" si="10">IFERROR(IF(X185="",0,CEILING((X185/$H185),1)*$H185),"")</f>
        <v>0</v>
      </c>
      <c r="Z185" s="41" t="str">
        <f>IFERROR(IF(Y185=0,"",ROUNDUP(Y185/H185,0)*0.00902),"")</f>
        <v/>
      </c>
      <c r="AA185" s="68" t="s">
        <v>45</v>
      </c>
      <c r="AB185" s="69" t="s">
        <v>45</v>
      </c>
      <c r="AC185" s="244" t="s">
        <v>326</v>
      </c>
      <c r="AG185" s="78"/>
      <c r="AJ185" s="84" t="s">
        <v>45</v>
      </c>
      <c r="AK185" s="84">
        <v>0</v>
      </c>
      <c r="BB185" s="245" t="s">
        <v>66</v>
      </c>
      <c r="BM185" s="78">
        <f t="shared" ref="BM185:BM192" si="11">IFERROR(X185*I185/H185,"0")</f>
        <v>0</v>
      </c>
      <c r="BN185" s="78">
        <f t="shared" ref="BN185:BN192" si="12">IFERROR(Y185*I185/H185,"0")</f>
        <v>0</v>
      </c>
      <c r="BO185" s="78">
        <f t="shared" ref="BO185:BO192" si="13">IFERROR(1/J185*(X185/H185),"0")</f>
        <v>0</v>
      </c>
      <c r="BP185" s="78">
        <f t="shared" ref="BP185:BP192" si="14">IFERROR(1/J185*(Y185/H185),"0")</f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4301031230</v>
      </c>
      <c r="D186" s="615">
        <v>4680115882690</v>
      </c>
      <c r="E186" s="615"/>
      <c r="F186" s="62">
        <v>0.9</v>
      </c>
      <c r="G186" s="37">
        <v>6</v>
      </c>
      <c r="H186" s="62">
        <v>5.4</v>
      </c>
      <c r="I186" s="62">
        <v>5.59</v>
      </c>
      <c r="J186" s="37">
        <v>132</v>
      </c>
      <c r="K186" s="37" t="s">
        <v>119</v>
      </c>
      <c r="L186" s="37" t="s">
        <v>45</v>
      </c>
      <c r="M186" s="38" t="s">
        <v>80</v>
      </c>
      <c r="N186" s="38"/>
      <c r="O186" s="37">
        <v>40</v>
      </c>
      <c r="P186" s="7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6" s="617"/>
      <c r="R186" s="617"/>
      <c r="S186" s="617"/>
      <c r="T186" s="618"/>
      <c r="U186" s="39" t="s">
        <v>45</v>
      </c>
      <c r="V186" s="39" t="s">
        <v>45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IFERROR(IF(Y186=0,"",ROUNDUP(Y186/H186,0)*0.00902),"")</f>
        <v/>
      </c>
      <c r="AA186" s="68" t="s">
        <v>45</v>
      </c>
      <c r="AB186" s="69" t="s">
        <v>45</v>
      </c>
      <c r="AC186" s="246" t="s">
        <v>329</v>
      </c>
      <c r="AG186" s="78"/>
      <c r="AJ186" s="84" t="s">
        <v>45</v>
      </c>
      <c r="AK186" s="84">
        <v>0</v>
      </c>
      <c r="BB186" s="247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330</v>
      </c>
      <c r="B187" s="63" t="s">
        <v>331</v>
      </c>
      <c r="C187" s="36">
        <v>4301031220</v>
      </c>
      <c r="D187" s="615">
        <v>4680115882669</v>
      </c>
      <c r="E187" s="615"/>
      <c r="F187" s="62">
        <v>0.9</v>
      </c>
      <c r="G187" s="37">
        <v>6</v>
      </c>
      <c r="H187" s="62">
        <v>5.4</v>
      </c>
      <c r="I187" s="62">
        <v>5.59</v>
      </c>
      <c r="J187" s="37">
        <v>132</v>
      </c>
      <c r="K187" s="37" t="s">
        <v>119</v>
      </c>
      <c r="L187" s="37" t="s">
        <v>45</v>
      </c>
      <c r="M187" s="38" t="s">
        <v>80</v>
      </c>
      <c r="N187" s="38"/>
      <c r="O187" s="37">
        <v>40</v>
      </c>
      <c r="P187" s="7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7" s="617"/>
      <c r="R187" s="617"/>
      <c r="S187" s="617"/>
      <c r="T187" s="618"/>
      <c r="U187" s="39" t="s">
        <v>45</v>
      </c>
      <c r="V187" s="39" t="s">
        <v>45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IFERROR(IF(Y187=0,"",ROUNDUP(Y187/H187,0)*0.00902),"")</f>
        <v/>
      </c>
      <c r="AA187" s="68" t="s">
        <v>45</v>
      </c>
      <c r="AB187" s="69" t="s">
        <v>45</v>
      </c>
      <c r="AC187" s="248" t="s">
        <v>332</v>
      </c>
      <c r="AG187" s="78"/>
      <c r="AJ187" s="84" t="s">
        <v>45</v>
      </c>
      <c r="AK187" s="84">
        <v>0</v>
      </c>
      <c r="BB187" s="249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t="27" customHeight="1" x14ac:dyDescent="0.25">
      <c r="A188" s="63" t="s">
        <v>333</v>
      </c>
      <c r="B188" s="63" t="s">
        <v>334</v>
      </c>
      <c r="C188" s="36">
        <v>4301031221</v>
      </c>
      <c r="D188" s="615">
        <v>4680115882676</v>
      </c>
      <c r="E188" s="615"/>
      <c r="F188" s="62">
        <v>0.9</v>
      </c>
      <c r="G188" s="37">
        <v>6</v>
      </c>
      <c r="H188" s="62">
        <v>5.4</v>
      </c>
      <c r="I188" s="62">
        <v>5.59</v>
      </c>
      <c r="J188" s="37">
        <v>132</v>
      </c>
      <c r="K188" s="37" t="s">
        <v>119</v>
      </c>
      <c r="L188" s="37" t="s">
        <v>45</v>
      </c>
      <c r="M188" s="38" t="s">
        <v>80</v>
      </c>
      <c r="N188" s="38"/>
      <c r="O188" s="37">
        <v>40</v>
      </c>
      <c r="P188" s="7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88" s="617"/>
      <c r="R188" s="617"/>
      <c r="S188" s="617"/>
      <c r="T188" s="618"/>
      <c r="U188" s="39" t="s">
        <v>45</v>
      </c>
      <c r="V188" s="39" t="s">
        <v>45</v>
      </c>
      <c r="W188" s="40" t="s">
        <v>0</v>
      </c>
      <c r="X188" s="58">
        <v>0</v>
      </c>
      <c r="Y188" s="55">
        <f t="shared" si="10"/>
        <v>0</v>
      </c>
      <c r="Z188" s="41" t="str">
        <f>IFERROR(IF(Y188=0,"",ROUNDUP(Y188/H188,0)*0.00902),"")</f>
        <v/>
      </c>
      <c r="AA188" s="68" t="s">
        <v>45</v>
      </c>
      <c r="AB188" s="69" t="s">
        <v>45</v>
      </c>
      <c r="AC188" s="250" t="s">
        <v>335</v>
      </c>
      <c r="AG188" s="78"/>
      <c r="AJ188" s="84" t="s">
        <v>45</v>
      </c>
      <c r="AK188" s="84">
        <v>0</v>
      </c>
      <c r="BB188" s="251" t="s">
        <v>66</v>
      </c>
      <c r="BM188" s="78">
        <f t="shared" si="11"/>
        <v>0</v>
      </c>
      <c r="BN188" s="78">
        <f t="shared" si="12"/>
        <v>0</v>
      </c>
      <c r="BO188" s="78">
        <f t="shared" si="13"/>
        <v>0</v>
      </c>
      <c r="BP188" s="78">
        <f t="shared" si="14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4301031223</v>
      </c>
      <c r="D189" s="615">
        <v>4680115884014</v>
      </c>
      <c r="E189" s="615"/>
      <c r="F189" s="62">
        <v>0.3</v>
      </c>
      <c r="G189" s="37">
        <v>6</v>
      </c>
      <c r="H189" s="62">
        <v>1.8</v>
      </c>
      <c r="I189" s="62">
        <v>1.93</v>
      </c>
      <c r="J189" s="37">
        <v>234</v>
      </c>
      <c r="K189" s="37" t="s">
        <v>85</v>
      </c>
      <c r="L189" s="37" t="s">
        <v>45</v>
      </c>
      <c r="M189" s="38" t="s">
        <v>80</v>
      </c>
      <c r="N189" s="38"/>
      <c r="O189" s="37">
        <v>40</v>
      </c>
      <c r="P189" s="7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89" s="617"/>
      <c r="R189" s="617"/>
      <c r="S189" s="617"/>
      <c r="T189" s="618"/>
      <c r="U189" s="39" t="s">
        <v>45</v>
      </c>
      <c r="V189" s="39" t="s">
        <v>45</v>
      </c>
      <c r="W189" s="40" t="s">
        <v>0</v>
      </c>
      <c r="X189" s="58">
        <v>0</v>
      </c>
      <c r="Y189" s="55">
        <f t="shared" si="10"/>
        <v>0</v>
      </c>
      <c r="Z189" s="41" t="str">
        <f>IFERROR(IF(Y189=0,"",ROUNDUP(Y189/H189,0)*0.00502),"")</f>
        <v/>
      </c>
      <c r="AA189" s="68" t="s">
        <v>45</v>
      </c>
      <c r="AB189" s="69" t="s">
        <v>45</v>
      </c>
      <c r="AC189" s="252" t="s">
        <v>326</v>
      </c>
      <c r="AG189" s="78"/>
      <c r="AJ189" s="84" t="s">
        <v>45</v>
      </c>
      <c r="AK189" s="84">
        <v>0</v>
      </c>
      <c r="BB189" s="253" t="s">
        <v>66</v>
      </c>
      <c r="BM189" s="78">
        <f t="shared" si="11"/>
        <v>0</v>
      </c>
      <c r="BN189" s="78">
        <f t="shared" si="12"/>
        <v>0</v>
      </c>
      <c r="BO189" s="78">
        <f t="shared" si="13"/>
        <v>0</v>
      </c>
      <c r="BP189" s="78">
        <f t="shared" si="14"/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4301031222</v>
      </c>
      <c r="D190" s="615">
        <v>4680115884007</v>
      </c>
      <c r="E190" s="615"/>
      <c r="F190" s="62">
        <v>0.3</v>
      </c>
      <c r="G190" s="37">
        <v>6</v>
      </c>
      <c r="H190" s="62">
        <v>1.8</v>
      </c>
      <c r="I190" s="62">
        <v>1.9</v>
      </c>
      <c r="J190" s="37">
        <v>234</v>
      </c>
      <c r="K190" s="37" t="s">
        <v>85</v>
      </c>
      <c r="L190" s="37" t="s">
        <v>45</v>
      </c>
      <c r="M190" s="38" t="s">
        <v>80</v>
      </c>
      <c r="N190" s="38"/>
      <c r="O190" s="37">
        <v>40</v>
      </c>
      <c r="P190" s="7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0" s="617"/>
      <c r="R190" s="617"/>
      <c r="S190" s="617"/>
      <c r="T190" s="618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si="10"/>
        <v>0</v>
      </c>
      <c r="Z190" s="41" t="str">
        <f>IFERROR(IF(Y190=0,"",ROUNDUP(Y190/H190,0)*0.00502),"")</f>
        <v/>
      </c>
      <c r="AA190" s="68" t="s">
        <v>45</v>
      </c>
      <c r="AB190" s="69" t="s">
        <v>45</v>
      </c>
      <c r="AC190" s="254" t="s">
        <v>329</v>
      </c>
      <c r="AG190" s="78"/>
      <c r="AJ190" s="84" t="s">
        <v>45</v>
      </c>
      <c r="AK190" s="84">
        <v>0</v>
      </c>
      <c r="BB190" s="255" t="s">
        <v>66</v>
      </c>
      <c r="BM190" s="78">
        <f t="shared" si="11"/>
        <v>0</v>
      </c>
      <c r="BN190" s="78">
        <f t="shared" si="12"/>
        <v>0</v>
      </c>
      <c r="BO190" s="78">
        <f t="shared" si="13"/>
        <v>0</v>
      </c>
      <c r="BP190" s="78">
        <f t="shared" si="14"/>
        <v>0</v>
      </c>
    </row>
    <row r="191" spans="1:68" ht="27" customHeight="1" x14ac:dyDescent="0.25">
      <c r="A191" s="63" t="s">
        <v>340</v>
      </c>
      <c r="B191" s="63" t="s">
        <v>341</v>
      </c>
      <c r="C191" s="36">
        <v>4301031229</v>
      </c>
      <c r="D191" s="615">
        <v>4680115884038</v>
      </c>
      <c r="E191" s="615"/>
      <c r="F191" s="62">
        <v>0.3</v>
      </c>
      <c r="G191" s="37">
        <v>6</v>
      </c>
      <c r="H191" s="62">
        <v>1.8</v>
      </c>
      <c r="I191" s="62">
        <v>1.9</v>
      </c>
      <c r="J191" s="37">
        <v>234</v>
      </c>
      <c r="K191" s="37" t="s">
        <v>85</v>
      </c>
      <c r="L191" s="37" t="s">
        <v>45</v>
      </c>
      <c r="M191" s="38" t="s">
        <v>80</v>
      </c>
      <c r="N191" s="38"/>
      <c r="O191" s="37">
        <v>40</v>
      </c>
      <c r="P19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1" s="617"/>
      <c r="R191" s="617"/>
      <c r="S191" s="617"/>
      <c r="T191" s="618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0"/>
        <v>0</v>
      </c>
      <c r="Z191" s="41" t="str">
        <f>IFERROR(IF(Y191=0,"",ROUNDUP(Y191/H191,0)*0.00502),"")</f>
        <v/>
      </c>
      <c r="AA191" s="68" t="s">
        <v>45</v>
      </c>
      <c r="AB191" s="69" t="s">
        <v>45</v>
      </c>
      <c r="AC191" s="256" t="s">
        <v>332</v>
      </c>
      <c r="AG191" s="78"/>
      <c r="AJ191" s="84" t="s">
        <v>45</v>
      </c>
      <c r="AK191" s="84">
        <v>0</v>
      </c>
      <c r="BB191" s="257" t="s">
        <v>66</v>
      </c>
      <c r="BM191" s="78">
        <f t="shared" si="11"/>
        <v>0</v>
      </c>
      <c r="BN191" s="78">
        <f t="shared" si="12"/>
        <v>0</v>
      </c>
      <c r="BO191" s="78">
        <f t="shared" si="13"/>
        <v>0</v>
      </c>
      <c r="BP191" s="78">
        <f t="shared" si="14"/>
        <v>0</v>
      </c>
    </row>
    <row r="192" spans="1:68" ht="27" customHeight="1" x14ac:dyDescent="0.25">
      <c r="A192" s="63" t="s">
        <v>342</v>
      </c>
      <c r="B192" s="63" t="s">
        <v>343</v>
      </c>
      <c r="C192" s="36">
        <v>4301031225</v>
      </c>
      <c r="D192" s="615">
        <v>4680115884021</v>
      </c>
      <c r="E192" s="615"/>
      <c r="F192" s="62">
        <v>0.3</v>
      </c>
      <c r="G192" s="37">
        <v>6</v>
      </c>
      <c r="H192" s="62">
        <v>1.8</v>
      </c>
      <c r="I192" s="62">
        <v>1.9</v>
      </c>
      <c r="J192" s="37">
        <v>234</v>
      </c>
      <c r="K192" s="37" t="s">
        <v>85</v>
      </c>
      <c r="L192" s="37" t="s">
        <v>45</v>
      </c>
      <c r="M192" s="38" t="s">
        <v>80</v>
      </c>
      <c r="N192" s="38"/>
      <c r="O192" s="37">
        <v>40</v>
      </c>
      <c r="P192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92" s="617"/>
      <c r="R192" s="617"/>
      <c r="S192" s="617"/>
      <c r="T192" s="618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0"/>
        <v>0</v>
      </c>
      <c r="Z192" s="41" t="str">
        <f>IFERROR(IF(Y192=0,"",ROUNDUP(Y192/H192,0)*0.00502),"")</f>
        <v/>
      </c>
      <c r="AA192" s="68" t="s">
        <v>45</v>
      </c>
      <c r="AB192" s="69" t="s">
        <v>45</v>
      </c>
      <c r="AC192" s="258" t="s">
        <v>335</v>
      </c>
      <c r="AG192" s="78"/>
      <c r="AJ192" s="84" t="s">
        <v>45</v>
      </c>
      <c r="AK192" s="84">
        <v>0</v>
      </c>
      <c r="BB192" s="259" t="s">
        <v>66</v>
      </c>
      <c r="BM192" s="78">
        <f t="shared" si="11"/>
        <v>0</v>
      </c>
      <c r="BN192" s="78">
        <f t="shared" si="12"/>
        <v>0</v>
      </c>
      <c r="BO192" s="78">
        <f t="shared" si="13"/>
        <v>0</v>
      </c>
      <c r="BP192" s="78">
        <f t="shared" si="14"/>
        <v>0</v>
      </c>
    </row>
    <row r="193" spans="1:68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2" t="s">
        <v>39</v>
      </c>
      <c r="X193" s="43">
        <f>IFERROR(X185/H185,"0")+IFERROR(X186/H186,"0")+IFERROR(X187/H187,"0")+IFERROR(X188/H188,"0")+IFERROR(X189/H189,"0")+IFERROR(X190/H190,"0")+IFERROR(X191/H191,"0")+IFERROR(X192/H192,"0")</f>
        <v>0</v>
      </c>
      <c r="Y193" s="43">
        <f>IFERROR(Y185/H185,"0")+IFERROR(Y186/H186,"0")+IFERROR(Y187/H187,"0")+IFERROR(Y188/H188,"0")+IFERROR(Y189/H189,"0")+IFERROR(Y190/H190,"0")+IFERROR(Y191/H191,"0")+IFERROR(Y192/H192,"0")</f>
        <v>0</v>
      </c>
      <c r="Z193" s="43">
        <f>IFERROR(IF(Z185="",0,Z185),"0")+IFERROR(IF(Z186="",0,Z186),"0")+IFERROR(IF(Z187="",0,Z187),"0")+IFERROR(IF(Z188="",0,Z188),"0")+IFERROR(IF(Z189="",0,Z189),"0")+IFERROR(IF(Z190="",0,Z190),"0")+IFERROR(IF(Z191="",0,Z191),"0")+IFERROR(IF(Z192="",0,Z192),"0")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2" t="s">
        <v>0</v>
      </c>
      <c r="X194" s="43">
        <f>IFERROR(SUM(X185:X192),"0")</f>
        <v>0</v>
      </c>
      <c r="Y194" s="43">
        <f>IFERROR(SUM(Y185:Y192),"0")</f>
        <v>0</v>
      </c>
      <c r="Z194" s="42"/>
      <c r="AA194" s="67"/>
      <c r="AB194" s="67"/>
      <c r="AC194" s="67"/>
    </row>
    <row r="195" spans="1:68" ht="14.25" customHeight="1" x14ac:dyDescent="0.25">
      <c r="A195" s="614" t="s">
        <v>86</v>
      </c>
      <c r="B195" s="614"/>
      <c r="C195" s="614"/>
      <c r="D195" s="614"/>
      <c r="E195" s="614"/>
      <c r="F195" s="614"/>
      <c r="G195" s="614"/>
      <c r="H195" s="614"/>
      <c r="I195" s="614"/>
      <c r="J195" s="614"/>
      <c r="K195" s="614"/>
      <c r="L195" s="614"/>
      <c r="M195" s="614"/>
      <c r="N195" s="614"/>
      <c r="O195" s="614"/>
      <c r="P195" s="614"/>
      <c r="Q195" s="614"/>
      <c r="R195" s="614"/>
      <c r="S195" s="614"/>
      <c r="T195" s="614"/>
      <c r="U195" s="614"/>
      <c r="V195" s="614"/>
      <c r="W195" s="614"/>
      <c r="X195" s="614"/>
      <c r="Y195" s="614"/>
      <c r="Z195" s="614"/>
      <c r="AA195" s="66"/>
      <c r="AB195" s="66"/>
      <c r="AC195" s="80"/>
    </row>
    <row r="196" spans="1:68" ht="27" customHeight="1" x14ac:dyDescent="0.25">
      <c r="A196" s="63" t="s">
        <v>344</v>
      </c>
      <c r="B196" s="63" t="s">
        <v>345</v>
      </c>
      <c r="C196" s="36">
        <v>4301051408</v>
      </c>
      <c r="D196" s="615">
        <v>4680115881594</v>
      </c>
      <c r="E196" s="615"/>
      <c r="F196" s="62">
        <v>1.35</v>
      </c>
      <c r="G196" s="37">
        <v>6</v>
      </c>
      <c r="H196" s="62">
        <v>8.1</v>
      </c>
      <c r="I196" s="62">
        <v>8.5939999999999994</v>
      </c>
      <c r="J196" s="37">
        <v>64</v>
      </c>
      <c r="K196" s="37" t="s">
        <v>116</v>
      </c>
      <c r="L196" s="37" t="s">
        <v>45</v>
      </c>
      <c r="M196" s="38" t="s">
        <v>90</v>
      </c>
      <c r="N196" s="38"/>
      <c r="O196" s="37">
        <v>40</v>
      </c>
      <c r="P196" s="7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6" s="617"/>
      <c r="R196" s="617"/>
      <c r="S196" s="617"/>
      <c r="T196" s="61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4" si="15"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60" t="s">
        <v>346</v>
      </c>
      <c r="AG196" s="78"/>
      <c r="AJ196" s="84" t="s">
        <v>45</v>
      </c>
      <c r="AK196" s="84">
        <v>0</v>
      </c>
      <c r="BB196" s="261" t="s">
        <v>66</v>
      </c>
      <c r="BM196" s="78">
        <f t="shared" ref="BM196:BM204" si="16">IFERROR(X196*I196/H196,"0")</f>
        <v>0</v>
      </c>
      <c r="BN196" s="78">
        <f t="shared" ref="BN196:BN204" si="17">IFERROR(Y196*I196/H196,"0")</f>
        <v>0</v>
      </c>
      <c r="BO196" s="78">
        <f t="shared" ref="BO196:BO204" si="18">IFERROR(1/J196*(X196/H196),"0")</f>
        <v>0</v>
      </c>
      <c r="BP196" s="78">
        <f t="shared" ref="BP196:BP204" si="19">IFERROR(1/J196*(Y196/H196),"0")</f>
        <v>0</v>
      </c>
    </row>
    <row r="197" spans="1:68" ht="27" customHeight="1" x14ac:dyDescent="0.25">
      <c r="A197" s="63" t="s">
        <v>347</v>
      </c>
      <c r="B197" s="63" t="s">
        <v>348</v>
      </c>
      <c r="C197" s="36">
        <v>4301051411</v>
      </c>
      <c r="D197" s="615">
        <v>4680115881617</v>
      </c>
      <c r="E197" s="615"/>
      <c r="F197" s="62">
        <v>1.35</v>
      </c>
      <c r="G197" s="37">
        <v>6</v>
      </c>
      <c r="H197" s="62">
        <v>8.1</v>
      </c>
      <c r="I197" s="62">
        <v>8.5760000000000005</v>
      </c>
      <c r="J197" s="37">
        <v>64</v>
      </c>
      <c r="K197" s="37" t="s">
        <v>116</v>
      </c>
      <c r="L197" s="37" t="s">
        <v>45</v>
      </c>
      <c r="M197" s="38" t="s">
        <v>90</v>
      </c>
      <c r="N197" s="38"/>
      <c r="O197" s="37">
        <v>40</v>
      </c>
      <c r="P197" s="7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7" s="617"/>
      <c r="R197" s="617"/>
      <c r="S197" s="617"/>
      <c r="T197" s="61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5"/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62" t="s">
        <v>349</v>
      </c>
      <c r="AG197" s="78"/>
      <c r="AJ197" s="84" t="s">
        <v>45</v>
      </c>
      <c r="AK197" s="84">
        <v>0</v>
      </c>
      <c r="BB197" s="263" t="s">
        <v>66</v>
      </c>
      <c r="BM197" s="78">
        <f t="shared" si="16"/>
        <v>0</v>
      </c>
      <c r="BN197" s="78">
        <f t="shared" si="17"/>
        <v>0</v>
      </c>
      <c r="BO197" s="78">
        <f t="shared" si="18"/>
        <v>0</v>
      </c>
      <c r="BP197" s="78">
        <f t="shared" si="19"/>
        <v>0</v>
      </c>
    </row>
    <row r="198" spans="1:68" ht="27" customHeight="1" x14ac:dyDescent="0.25">
      <c r="A198" s="63" t="s">
        <v>350</v>
      </c>
      <c r="B198" s="63" t="s">
        <v>351</v>
      </c>
      <c r="C198" s="36">
        <v>4301051656</v>
      </c>
      <c r="D198" s="615">
        <v>4680115880573</v>
      </c>
      <c r="E198" s="615"/>
      <c r="F198" s="62">
        <v>1.45</v>
      </c>
      <c r="G198" s="37">
        <v>6</v>
      </c>
      <c r="H198" s="62">
        <v>8.6999999999999993</v>
      </c>
      <c r="I198" s="62">
        <v>9.1940000000000008</v>
      </c>
      <c r="J198" s="37">
        <v>64</v>
      </c>
      <c r="K198" s="37" t="s">
        <v>116</v>
      </c>
      <c r="L198" s="37" t="s">
        <v>45</v>
      </c>
      <c r="M198" s="38" t="s">
        <v>90</v>
      </c>
      <c r="N198" s="38"/>
      <c r="O198" s="37">
        <v>45</v>
      </c>
      <c r="P198" s="7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98" s="617"/>
      <c r="R198" s="617"/>
      <c r="S198" s="617"/>
      <c r="T198" s="61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5"/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64" t="s">
        <v>352</v>
      </c>
      <c r="AG198" s="78"/>
      <c r="AJ198" s="84" t="s">
        <v>45</v>
      </c>
      <c r="AK198" s="84">
        <v>0</v>
      </c>
      <c r="BB198" s="265" t="s">
        <v>66</v>
      </c>
      <c r="BM198" s="78">
        <f t="shared" si="16"/>
        <v>0</v>
      </c>
      <c r="BN198" s="78">
        <f t="shared" si="17"/>
        <v>0</v>
      </c>
      <c r="BO198" s="78">
        <f t="shared" si="18"/>
        <v>0</v>
      </c>
      <c r="BP198" s="78">
        <f t="shared" si="19"/>
        <v>0</v>
      </c>
    </row>
    <row r="199" spans="1:68" ht="27" customHeight="1" x14ac:dyDescent="0.25">
      <c r="A199" s="63" t="s">
        <v>353</v>
      </c>
      <c r="B199" s="63" t="s">
        <v>354</v>
      </c>
      <c r="C199" s="36">
        <v>4301051407</v>
      </c>
      <c r="D199" s="615">
        <v>4680115882195</v>
      </c>
      <c r="E199" s="615"/>
      <c r="F199" s="62">
        <v>0.4</v>
      </c>
      <c r="G199" s="37">
        <v>6</v>
      </c>
      <c r="H199" s="62">
        <v>2.4</v>
      </c>
      <c r="I199" s="62">
        <v>2.67</v>
      </c>
      <c r="J199" s="37">
        <v>182</v>
      </c>
      <c r="K199" s="37" t="s">
        <v>81</v>
      </c>
      <c r="L199" s="37" t="s">
        <v>45</v>
      </c>
      <c r="M199" s="38" t="s">
        <v>90</v>
      </c>
      <c r="N199" s="38"/>
      <c r="O199" s="37">
        <v>40</v>
      </c>
      <c r="P199" s="7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99" s="617"/>
      <c r="R199" s="617"/>
      <c r="S199" s="617"/>
      <c r="T199" s="61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5"/>
        <v>0</v>
      </c>
      <c r="Z199" s="41" t="str">
        <f t="shared" ref="Z199:Z204" si="20">IFERROR(IF(Y199=0,"",ROUNDUP(Y199/H199,0)*0.00651),"")</f>
        <v/>
      </c>
      <c r="AA199" s="68" t="s">
        <v>45</v>
      </c>
      <c r="AB199" s="69" t="s">
        <v>45</v>
      </c>
      <c r="AC199" s="266" t="s">
        <v>346</v>
      </c>
      <c r="AG199" s="78"/>
      <c r="AJ199" s="84" t="s">
        <v>45</v>
      </c>
      <c r="AK199" s="84">
        <v>0</v>
      </c>
      <c r="BB199" s="267" t="s">
        <v>66</v>
      </c>
      <c r="BM199" s="78">
        <f t="shared" si="16"/>
        <v>0</v>
      </c>
      <c r="BN199" s="78">
        <f t="shared" si="17"/>
        <v>0</v>
      </c>
      <c r="BO199" s="78">
        <f t="shared" si="18"/>
        <v>0</v>
      </c>
      <c r="BP199" s="78">
        <f t="shared" si="19"/>
        <v>0</v>
      </c>
    </row>
    <row r="200" spans="1:68" ht="27" customHeight="1" x14ac:dyDescent="0.25">
      <c r="A200" s="63" t="s">
        <v>355</v>
      </c>
      <c r="B200" s="63" t="s">
        <v>356</v>
      </c>
      <c r="C200" s="36">
        <v>4301051752</v>
      </c>
      <c r="D200" s="615">
        <v>4680115882607</v>
      </c>
      <c r="E200" s="615"/>
      <c r="F200" s="62">
        <v>0.3</v>
      </c>
      <c r="G200" s="37">
        <v>6</v>
      </c>
      <c r="H200" s="62">
        <v>1.8</v>
      </c>
      <c r="I200" s="62">
        <v>2.052</v>
      </c>
      <c r="J200" s="37">
        <v>182</v>
      </c>
      <c r="K200" s="37" t="s">
        <v>81</v>
      </c>
      <c r="L200" s="37" t="s">
        <v>45</v>
      </c>
      <c r="M200" s="38" t="s">
        <v>97</v>
      </c>
      <c r="N200" s="38"/>
      <c r="O200" s="37">
        <v>45</v>
      </c>
      <c r="P200" s="7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0" s="617"/>
      <c r="R200" s="617"/>
      <c r="S200" s="617"/>
      <c r="T200" s="61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5"/>
        <v>0</v>
      </c>
      <c r="Z200" s="41" t="str">
        <f t="shared" si="20"/>
        <v/>
      </c>
      <c r="AA200" s="68" t="s">
        <v>45</v>
      </c>
      <c r="AB200" s="69" t="s">
        <v>45</v>
      </c>
      <c r="AC200" s="268" t="s">
        <v>352</v>
      </c>
      <c r="AG200" s="78"/>
      <c r="AJ200" s="84" t="s">
        <v>45</v>
      </c>
      <c r="AK200" s="84">
        <v>0</v>
      </c>
      <c r="BB200" s="269" t="s">
        <v>66</v>
      </c>
      <c r="BM200" s="78">
        <f t="shared" si="16"/>
        <v>0</v>
      </c>
      <c r="BN200" s="78">
        <f t="shared" si="17"/>
        <v>0</v>
      </c>
      <c r="BO200" s="78">
        <f t="shared" si="18"/>
        <v>0</v>
      </c>
      <c r="BP200" s="78">
        <f t="shared" si="19"/>
        <v>0</v>
      </c>
    </row>
    <row r="201" spans="1:68" ht="27" customHeight="1" x14ac:dyDescent="0.25">
      <c r="A201" s="63" t="s">
        <v>357</v>
      </c>
      <c r="B201" s="63" t="s">
        <v>358</v>
      </c>
      <c r="C201" s="36">
        <v>4301051666</v>
      </c>
      <c r="D201" s="615">
        <v>4680115880092</v>
      </c>
      <c r="E201" s="615"/>
      <c r="F201" s="62">
        <v>0.4</v>
      </c>
      <c r="G201" s="37">
        <v>6</v>
      </c>
      <c r="H201" s="62">
        <v>2.4</v>
      </c>
      <c r="I201" s="62">
        <v>2.6520000000000001</v>
      </c>
      <c r="J201" s="37">
        <v>182</v>
      </c>
      <c r="K201" s="37" t="s">
        <v>81</v>
      </c>
      <c r="L201" s="37" t="s">
        <v>45</v>
      </c>
      <c r="M201" s="38" t="s">
        <v>90</v>
      </c>
      <c r="N201" s="38"/>
      <c r="O201" s="37">
        <v>45</v>
      </c>
      <c r="P20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1" s="617"/>
      <c r="R201" s="617"/>
      <c r="S201" s="617"/>
      <c r="T201" s="61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5"/>
        <v>0</v>
      </c>
      <c r="Z201" s="41" t="str">
        <f t="shared" si="20"/>
        <v/>
      </c>
      <c r="AA201" s="68" t="s">
        <v>45</v>
      </c>
      <c r="AB201" s="69" t="s">
        <v>45</v>
      </c>
      <c r="AC201" s="270" t="s">
        <v>352</v>
      </c>
      <c r="AG201" s="78"/>
      <c r="AJ201" s="84" t="s">
        <v>45</v>
      </c>
      <c r="AK201" s="84">
        <v>0</v>
      </c>
      <c r="BB201" s="271" t="s">
        <v>66</v>
      </c>
      <c r="BM201" s="78">
        <f t="shared" si="16"/>
        <v>0</v>
      </c>
      <c r="BN201" s="78">
        <f t="shared" si="17"/>
        <v>0</v>
      </c>
      <c r="BO201" s="78">
        <f t="shared" si="18"/>
        <v>0</v>
      </c>
      <c r="BP201" s="78">
        <f t="shared" si="19"/>
        <v>0</v>
      </c>
    </row>
    <row r="202" spans="1:68" ht="27" customHeight="1" x14ac:dyDescent="0.25">
      <c r="A202" s="63" t="s">
        <v>359</v>
      </c>
      <c r="B202" s="63" t="s">
        <v>360</v>
      </c>
      <c r="C202" s="36">
        <v>4301051668</v>
      </c>
      <c r="D202" s="615">
        <v>4680115880221</v>
      </c>
      <c r="E202" s="615"/>
      <c r="F202" s="62">
        <v>0.4</v>
      </c>
      <c r="G202" s="37">
        <v>6</v>
      </c>
      <c r="H202" s="62">
        <v>2.4</v>
      </c>
      <c r="I202" s="62">
        <v>2.6520000000000001</v>
      </c>
      <c r="J202" s="37">
        <v>182</v>
      </c>
      <c r="K202" s="37" t="s">
        <v>81</v>
      </c>
      <c r="L202" s="37" t="s">
        <v>45</v>
      </c>
      <c r="M202" s="38" t="s">
        <v>90</v>
      </c>
      <c r="N202" s="38"/>
      <c r="O202" s="37">
        <v>45</v>
      </c>
      <c r="P202" s="71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02" s="617"/>
      <c r="R202" s="617"/>
      <c r="S202" s="617"/>
      <c r="T202" s="61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5"/>
        <v>0</v>
      </c>
      <c r="Z202" s="41" t="str">
        <f t="shared" si="20"/>
        <v/>
      </c>
      <c r="AA202" s="68" t="s">
        <v>45</v>
      </c>
      <c r="AB202" s="69" t="s">
        <v>45</v>
      </c>
      <c r="AC202" s="272" t="s">
        <v>352</v>
      </c>
      <c r="AG202" s="78"/>
      <c r="AJ202" s="84" t="s">
        <v>45</v>
      </c>
      <c r="AK202" s="84">
        <v>0</v>
      </c>
      <c r="BB202" s="273" t="s">
        <v>66</v>
      </c>
      <c r="BM202" s="78">
        <f t="shared" si="16"/>
        <v>0</v>
      </c>
      <c r="BN202" s="78">
        <f t="shared" si="17"/>
        <v>0</v>
      </c>
      <c r="BO202" s="78">
        <f t="shared" si="18"/>
        <v>0</v>
      </c>
      <c r="BP202" s="78">
        <f t="shared" si="19"/>
        <v>0</v>
      </c>
    </row>
    <row r="203" spans="1:68" ht="27" customHeight="1" x14ac:dyDescent="0.25">
      <c r="A203" s="63" t="s">
        <v>361</v>
      </c>
      <c r="B203" s="63" t="s">
        <v>362</v>
      </c>
      <c r="C203" s="36">
        <v>4301051945</v>
      </c>
      <c r="D203" s="615">
        <v>4680115880504</v>
      </c>
      <c r="E203" s="615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81</v>
      </c>
      <c r="L203" s="37" t="s">
        <v>45</v>
      </c>
      <c r="M203" s="38" t="s">
        <v>97</v>
      </c>
      <c r="N203" s="38"/>
      <c r="O203" s="37">
        <v>40</v>
      </c>
      <c r="P203" s="71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03" s="617"/>
      <c r="R203" s="617"/>
      <c r="S203" s="617"/>
      <c r="T203" s="61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5"/>
        <v>0</v>
      </c>
      <c r="Z203" s="41" t="str">
        <f t="shared" si="20"/>
        <v/>
      </c>
      <c r="AA203" s="68" t="s">
        <v>45</v>
      </c>
      <c r="AB203" s="69" t="s">
        <v>45</v>
      </c>
      <c r="AC203" s="274" t="s">
        <v>363</v>
      </c>
      <c r="AG203" s="78"/>
      <c r="AJ203" s="84" t="s">
        <v>45</v>
      </c>
      <c r="AK203" s="84">
        <v>0</v>
      </c>
      <c r="BB203" s="275" t="s">
        <v>66</v>
      </c>
      <c r="BM203" s="78">
        <f t="shared" si="16"/>
        <v>0</v>
      </c>
      <c r="BN203" s="78">
        <f t="shared" si="17"/>
        <v>0</v>
      </c>
      <c r="BO203" s="78">
        <f t="shared" si="18"/>
        <v>0</v>
      </c>
      <c r="BP203" s="78">
        <f t="shared" si="19"/>
        <v>0</v>
      </c>
    </row>
    <row r="204" spans="1:68" ht="27" customHeight="1" x14ac:dyDescent="0.25">
      <c r="A204" s="63" t="s">
        <v>364</v>
      </c>
      <c r="B204" s="63" t="s">
        <v>365</v>
      </c>
      <c r="C204" s="36">
        <v>4301051410</v>
      </c>
      <c r="D204" s="615">
        <v>4680115882164</v>
      </c>
      <c r="E204" s="615"/>
      <c r="F204" s="62">
        <v>0.4</v>
      </c>
      <c r="G204" s="37">
        <v>6</v>
      </c>
      <c r="H204" s="62">
        <v>2.4</v>
      </c>
      <c r="I204" s="62">
        <v>2.6579999999999999</v>
      </c>
      <c r="J204" s="37">
        <v>182</v>
      </c>
      <c r="K204" s="37" t="s">
        <v>81</v>
      </c>
      <c r="L204" s="37" t="s">
        <v>45</v>
      </c>
      <c r="M204" s="38" t="s">
        <v>90</v>
      </c>
      <c r="N204" s="38"/>
      <c r="O204" s="37">
        <v>40</v>
      </c>
      <c r="P204" s="71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04" s="617"/>
      <c r="R204" s="617"/>
      <c r="S204" s="617"/>
      <c r="T204" s="618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 t="shared" si="20"/>
        <v/>
      </c>
      <c r="AA204" s="68" t="s">
        <v>45</v>
      </c>
      <c r="AB204" s="69" t="s">
        <v>45</v>
      </c>
      <c r="AC204" s="276" t="s">
        <v>349</v>
      </c>
      <c r="AG204" s="78"/>
      <c r="AJ204" s="84" t="s">
        <v>45</v>
      </c>
      <c r="AK204" s="84">
        <v>0</v>
      </c>
      <c r="BB204" s="277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2" t="s">
        <v>39</v>
      </c>
      <c r="X205" s="43">
        <f>IFERROR(X196/H196,"0")+IFERROR(X197/H197,"0")+IFERROR(X198/H198,"0")+IFERROR(X199/H199,"0")+IFERROR(X200/H200,"0")+IFERROR(X201/H201,"0")+IFERROR(X202/H202,"0")+IFERROR(X203/H203,"0")+IFERROR(X204/H204,"0")</f>
        <v>0</v>
      </c>
      <c r="Y205" s="43">
        <f>IFERROR(Y196/H196,"0")+IFERROR(Y197/H197,"0")+IFERROR(Y198/H198,"0")+IFERROR(Y199/H199,"0")+IFERROR(Y200/H200,"0")+IFERROR(Y201/H201,"0")+IFERROR(Y202/H202,"0")+IFERROR(Y203/H203,"0")+IFERROR(Y204/H204,"0")</f>
        <v>0</v>
      </c>
      <c r="Z205" s="43">
        <f>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23"/>
      <c r="B206" s="623"/>
      <c r="C206" s="623"/>
      <c r="D206" s="623"/>
      <c r="E206" s="623"/>
      <c r="F206" s="623"/>
      <c r="G206" s="623"/>
      <c r="H206" s="623"/>
      <c r="I206" s="623"/>
      <c r="J206" s="623"/>
      <c r="K206" s="623"/>
      <c r="L206" s="623"/>
      <c r="M206" s="623"/>
      <c r="N206" s="623"/>
      <c r="O206" s="624"/>
      <c r="P206" s="620" t="s">
        <v>40</v>
      </c>
      <c r="Q206" s="621"/>
      <c r="R206" s="621"/>
      <c r="S206" s="621"/>
      <c r="T206" s="621"/>
      <c r="U206" s="621"/>
      <c r="V206" s="622"/>
      <c r="W206" s="42" t="s">
        <v>0</v>
      </c>
      <c r="X206" s="43">
        <f>IFERROR(SUM(X196:X204),"0")</f>
        <v>0</v>
      </c>
      <c r="Y206" s="43">
        <f>IFERROR(SUM(Y196:Y204),"0")</f>
        <v>0</v>
      </c>
      <c r="Z206" s="42"/>
      <c r="AA206" s="67"/>
      <c r="AB206" s="67"/>
      <c r="AC206" s="67"/>
    </row>
    <row r="207" spans="1:68" ht="14.25" customHeight="1" x14ac:dyDescent="0.25">
      <c r="A207" s="614" t="s">
        <v>172</v>
      </c>
      <c r="B207" s="614"/>
      <c r="C207" s="614"/>
      <c r="D207" s="614"/>
      <c r="E207" s="614"/>
      <c r="F207" s="614"/>
      <c r="G207" s="614"/>
      <c r="H207" s="614"/>
      <c r="I207" s="614"/>
      <c r="J207" s="614"/>
      <c r="K207" s="614"/>
      <c r="L207" s="614"/>
      <c r="M207" s="614"/>
      <c r="N207" s="614"/>
      <c r="O207" s="614"/>
      <c r="P207" s="614"/>
      <c r="Q207" s="614"/>
      <c r="R207" s="614"/>
      <c r="S207" s="614"/>
      <c r="T207" s="614"/>
      <c r="U207" s="614"/>
      <c r="V207" s="614"/>
      <c r="W207" s="614"/>
      <c r="X207" s="614"/>
      <c r="Y207" s="614"/>
      <c r="Z207" s="614"/>
      <c r="AA207" s="66"/>
      <c r="AB207" s="66"/>
      <c r="AC207" s="80"/>
    </row>
    <row r="208" spans="1:68" ht="27" customHeight="1" x14ac:dyDescent="0.25">
      <c r="A208" s="63" t="s">
        <v>366</v>
      </c>
      <c r="B208" s="63" t="s">
        <v>367</v>
      </c>
      <c r="C208" s="36">
        <v>4301060463</v>
      </c>
      <c r="D208" s="615">
        <v>4680115880818</v>
      </c>
      <c r="E208" s="615"/>
      <c r="F208" s="62">
        <v>0.4</v>
      </c>
      <c r="G208" s="37">
        <v>6</v>
      </c>
      <c r="H208" s="62">
        <v>2.4</v>
      </c>
      <c r="I208" s="62">
        <v>2.6520000000000001</v>
      </c>
      <c r="J208" s="37">
        <v>182</v>
      </c>
      <c r="K208" s="37" t="s">
        <v>81</v>
      </c>
      <c r="L208" s="37" t="s">
        <v>45</v>
      </c>
      <c r="M208" s="38" t="s">
        <v>97</v>
      </c>
      <c r="N208" s="38"/>
      <c r="O208" s="37">
        <v>40</v>
      </c>
      <c r="P208" s="71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08" s="617"/>
      <c r="R208" s="617"/>
      <c r="S208" s="617"/>
      <c r="T208" s="618"/>
      <c r="U208" s="39" t="s">
        <v>45</v>
      </c>
      <c r="V208" s="39" t="s">
        <v>45</v>
      </c>
      <c r="W208" s="40" t="s">
        <v>0</v>
      </c>
      <c r="X208" s="58">
        <v>0</v>
      </c>
      <c r="Y208" s="55">
        <f>IFERROR(IF(X208="",0,CEILING((X208/$H208),1)*$H208),"")</f>
        <v>0</v>
      </c>
      <c r="Z208" s="41" t="str">
        <f>IFERROR(IF(Y208=0,"",ROUNDUP(Y208/H208,0)*0.00651),"")</f>
        <v/>
      </c>
      <c r="AA208" s="68" t="s">
        <v>45</v>
      </c>
      <c r="AB208" s="69" t="s">
        <v>45</v>
      </c>
      <c r="AC208" s="278" t="s">
        <v>368</v>
      </c>
      <c r="AG208" s="78"/>
      <c r="AJ208" s="84" t="s">
        <v>45</v>
      </c>
      <c r="AK208" s="84">
        <v>0</v>
      </c>
      <c r="BB208" s="279" t="s">
        <v>66</v>
      </c>
      <c r="BM208" s="78">
        <f>IFERROR(X208*I208/H208,"0")</f>
        <v>0</v>
      </c>
      <c r="BN208" s="78">
        <f>IFERROR(Y208*I208/H208,"0")</f>
        <v>0</v>
      </c>
      <c r="BO208" s="78">
        <f>IFERROR(1/J208*(X208/H208),"0")</f>
        <v>0</v>
      </c>
      <c r="BP208" s="78">
        <f>IFERROR(1/J208*(Y208/H208),"0")</f>
        <v>0</v>
      </c>
    </row>
    <row r="209" spans="1:68" ht="37.5" customHeight="1" x14ac:dyDescent="0.25">
      <c r="A209" s="63" t="s">
        <v>369</v>
      </c>
      <c r="B209" s="63" t="s">
        <v>370</v>
      </c>
      <c r="C209" s="36">
        <v>4301060389</v>
      </c>
      <c r="D209" s="615">
        <v>4680115880801</v>
      </c>
      <c r="E209" s="615"/>
      <c r="F209" s="62">
        <v>0.4</v>
      </c>
      <c r="G209" s="37">
        <v>6</v>
      </c>
      <c r="H209" s="62">
        <v>2.4</v>
      </c>
      <c r="I209" s="62">
        <v>2.6520000000000001</v>
      </c>
      <c r="J209" s="37">
        <v>182</v>
      </c>
      <c r="K209" s="37" t="s">
        <v>81</v>
      </c>
      <c r="L209" s="37" t="s">
        <v>45</v>
      </c>
      <c r="M209" s="38" t="s">
        <v>90</v>
      </c>
      <c r="N209" s="38"/>
      <c r="O209" s="37">
        <v>40</v>
      </c>
      <c r="P209" s="72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09" s="617"/>
      <c r="R209" s="617"/>
      <c r="S209" s="617"/>
      <c r="T209" s="618"/>
      <c r="U209" s="39" t="s">
        <v>45</v>
      </c>
      <c r="V209" s="39" t="s">
        <v>45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IFERROR(IF(Y209=0,"",ROUNDUP(Y209/H209,0)*0.00651),"")</f>
        <v/>
      </c>
      <c r="AA209" s="68" t="s">
        <v>45</v>
      </c>
      <c r="AB209" s="69" t="s">
        <v>45</v>
      </c>
      <c r="AC209" s="280" t="s">
        <v>371</v>
      </c>
      <c r="AG209" s="78"/>
      <c r="AJ209" s="84" t="s">
        <v>45</v>
      </c>
      <c r="AK209" s="84">
        <v>0</v>
      </c>
      <c r="BB209" s="281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23"/>
      <c r="B210" s="623"/>
      <c r="C210" s="623"/>
      <c r="D210" s="623"/>
      <c r="E210" s="623"/>
      <c r="F210" s="623"/>
      <c r="G210" s="623"/>
      <c r="H210" s="623"/>
      <c r="I210" s="623"/>
      <c r="J210" s="623"/>
      <c r="K210" s="623"/>
      <c r="L210" s="623"/>
      <c r="M210" s="623"/>
      <c r="N210" s="623"/>
      <c r="O210" s="624"/>
      <c r="P210" s="620" t="s">
        <v>40</v>
      </c>
      <c r="Q210" s="621"/>
      <c r="R210" s="621"/>
      <c r="S210" s="621"/>
      <c r="T210" s="621"/>
      <c r="U210" s="621"/>
      <c r="V210" s="622"/>
      <c r="W210" s="42" t="s">
        <v>39</v>
      </c>
      <c r="X210" s="43">
        <f>IFERROR(X208/H208,"0")+IFERROR(X209/H209,"0")</f>
        <v>0</v>
      </c>
      <c r="Y210" s="43">
        <f>IFERROR(Y208/H208,"0")+IFERROR(Y209/H209,"0")</f>
        <v>0</v>
      </c>
      <c r="Z210" s="43">
        <f>IFERROR(IF(Z208="",0,Z208),"0")+IFERROR(IF(Z209="",0,Z209),"0")</f>
        <v>0</v>
      </c>
      <c r="AA210" s="67"/>
      <c r="AB210" s="67"/>
      <c r="AC210" s="67"/>
    </row>
    <row r="211" spans="1:68" x14ac:dyDescent="0.2">
      <c r="A211" s="623"/>
      <c r="B211" s="623"/>
      <c r="C211" s="623"/>
      <c r="D211" s="623"/>
      <c r="E211" s="623"/>
      <c r="F211" s="623"/>
      <c r="G211" s="623"/>
      <c r="H211" s="623"/>
      <c r="I211" s="623"/>
      <c r="J211" s="623"/>
      <c r="K211" s="623"/>
      <c r="L211" s="623"/>
      <c r="M211" s="623"/>
      <c r="N211" s="623"/>
      <c r="O211" s="624"/>
      <c r="P211" s="620" t="s">
        <v>40</v>
      </c>
      <c r="Q211" s="621"/>
      <c r="R211" s="621"/>
      <c r="S211" s="621"/>
      <c r="T211" s="621"/>
      <c r="U211" s="621"/>
      <c r="V211" s="622"/>
      <c r="W211" s="42" t="s">
        <v>0</v>
      </c>
      <c r="X211" s="43">
        <f>IFERROR(SUM(X208:X209),"0")</f>
        <v>0</v>
      </c>
      <c r="Y211" s="43">
        <f>IFERROR(SUM(Y208:Y209),"0")</f>
        <v>0</v>
      </c>
      <c r="Z211" s="42"/>
      <c r="AA211" s="67"/>
      <c r="AB211" s="67"/>
      <c r="AC211" s="67"/>
    </row>
    <row r="212" spans="1:68" ht="16.5" customHeight="1" x14ac:dyDescent="0.25">
      <c r="A212" s="613" t="s">
        <v>372</v>
      </c>
      <c r="B212" s="613"/>
      <c r="C212" s="613"/>
      <c r="D212" s="613"/>
      <c r="E212" s="613"/>
      <c r="F212" s="613"/>
      <c r="G212" s="613"/>
      <c r="H212" s="613"/>
      <c r="I212" s="613"/>
      <c r="J212" s="613"/>
      <c r="K212" s="613"/>
      <c r="L212" s="613"/>
      <c r="M212" s="613"/>
      <c r="N212" s="613"/>
      <c r="O212" s="613"/>
      <c r="P212" s="613"/>
      <c r="Q212" s="613"/>
      <c r="R212" s="613"/>
      <c r="S212" s="613"/>
      <c r="T212" s="613"/>
      <c r="U212" s="613"/>
      <c r="V212" s="613"/>
      <c r="W212" s="613"/>
      <c r="X212" s="613"/>
      <c r="Y212" s="613"/>
      <c r="Z212" s="613"/>
      <c r="AA212" s="65"/>
      <c r="AB212" s="65"/>
      <c r="AC212" s="79"/>
    </row>
    <row r="213" spans="1:68" ht="14.25" customHeight="1" x14ac:dyDescent="0.25">
      <c r="A213" s="614" t="s">
        <v>111</v>
      </c>
      <c r="B213" s="614"/>
      <c r="C213" s="614"/>
      <c r="D213" s="614"/>
      <c r="E213" s="614"/>
      <c r="F213" s="614"/>
      <c r="G213" s="614"/>
      <c r="H213" s="614"/>
      <c r="I213" s="614"/>
      <c r="J213" s="614"/>
      <c r="K213" s="614"/>
      <c r="L213" s="614"/>
      <c r="M213" s="614"/>
      <c r="N213" s="614"/>
      <c r="O213" s="614"/>
      <c r="P213" s="614"/>
      <c r="Q213" s="614"/>
      <c r="R213" s="614"/>
      <c r="S213" s="614"/>
      <c r="T213" s="614"/>
      <c r="U213" s="614"/>
      <c r="V213" s="614"/>
      <c r="W213" s="614"/>
      <c r="X213" s="614"/>
      <c r="Y213" s="614"/>
      <c r="Z213" s="614"/>
      <c r="AA213" s="66"/>
      <c r="AB213" s="66"/>
      <c r="AC213" s="80"/>
    </row>
    <row r="214" spans="1:68" ht="27" customHeight="1" x14ac:dyDescent="0.25">
      <c r="A214" s="63" t="s">
        <v>373</v>
      </c>
      <c r="B214" s="63" t="s">
        <v>374</v>
      </c>
      <c r="C214" s="36">
        <v>4301011826</v>
      </c>
      <c r="D214" s="615">
        <v>4680115884137</v>
      </c>
      <c r="E214" s="615"/>
      <c r="F214" s="62">
        <v>1.45</v>
      </c>
      <c r="G214" s="37">
        <v>8</v>
      </c>
      <c r="H214" s="62">
        <v>11.6</v>
      </c>
      <c r="I214" s="62">
        <v>12.01</v>
      </c>
      <c r="J214" s="37">
        <v>64</v>
      </c>
      <c r="K214" s="37" t="s">
        <v>116</v>
      </c>
      <c r="L214" s="37" t="s">
        <v>45</v>
      </c>
      <c r="M214" s="38" t="s">
        <v>115</v>
      </c>
      <c r="N214" s="38"/>
      <c r="O214" s="37">
        <v>55</v>
      </c>
      <c r="P21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14" s="617"/>
      <c r="R214" s="617"/>
      <c r="S214" s="617"/>
      <c r="T214" s="61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1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82" t="s">
        <v>375</v>
      </c>
      <c r="AG214" s="78"/>
      <c r="AJ214" s="84" t="s">
        <v>45</v>
      </c>
      <c r="AK214" s="84">
        <v>0</v>
      </c>
      <c r="BB214" s="283" t="s">
        <v>66</v>
      </c>
      <c r="BM214" s="78">
        <f t="shared" ref="BM214:BM222" si="22">IFERROR(X214*I214/H214,"0")</f>
        <v>0</v>
      </c>
      <c r="BN214" s="78">
        <f t="shared" ref="BN214:BN222" si="23">IFERROR(Y214*I214/H214,"0")</f>
        <v>0</v>
      </c>
      <c r="BO214" s="78">
        <f t="shared" ref="BO214:BO222" si="24">IFERROR(1/J214*(X214/H214),"0")</f>
        <v>0</v>
      </c>
      <c r="BP214" s="78">
        <f t="shared" ref="BP214:BP222" si="25">IFERROR(1/J214*(Y214/H214),"0")</f>
        <v>0</v>
      </c>
    </row>
    <row r="215" spans="1:68" ht="27" customHeight="1" x14ac:dyDescent="0.25">
      <c r="A215" s="63" t="s">
        <v>376</v>
      </c>
      <c r="B215" s="63" t="s">
        <v>377</v>
      </c>
      <c r="C215" s="36">
        <v>4301011724</v>
      </c>
      <c r="D215" s="615">
        <v>4680115884236</v>
      </c>
      <c r="E215" s="615"/>
      <c r="F215" s="62">
        <v>1.45</v>
      </c>
      <c r="G215" s="37">
        <v>8</v>
      </c>
      <c r="H215" s="62">
        <v>11.6</v>
      </c>
      <c r="I215" s="62">
        <v>12.01</v>
      </c>
      <c r="J215" s="37">
        <v>64</v>
      </c>
      <c r="K215" s="37" t="s">
        <v>116</v>
      </c>
      <c r="L215" s="37" t="s">
        <v>45</v>
      </c>
      <c r="M215" s="38" t="s">
        <v>115</v>
      </c>
      <c r="N215" s="38"/>
      <c r="O215" s="37">
        <v>55</v>
      </c>
      <c r="P215" s="72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5" s="617"/>
      <c r="R215" s="617"/>
      <c r="S215" s="617"/>
      <c r="T215" s="61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84" t="s">
        <v>378</v>
      </c>
      <c r="AG215" s="78"/>
      <c r="AJ215" s="84" t="s">
        <v>45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379</v>
      </c>
      <c r="B216" s="63" t="s">
        <v>380</v>
      </c>
      <c r="C216" s="36">
        <v>4301011721</v>
      </c>
      <c r="D216" s="615">
        <v>4680115884175</v>
      </c>
      <c r="E216" s="615"/>
      <c r="F216" s="62">
        <v>1.45</v>
      </c>
      <c r="G216" s="37">
        <v>8</v>
      </c>
      <c r="H216" s="62">
        <v>11.6</v>
      </c>
      <c r="I216" s="62">
        <v>12.01</v>
      </c>
      <c r="J216" s="37">
        <v>64</v>
      </c>
      <c r="K216" s="37" t="s">
        <v>116</v>
      </c>
      <c r="L216" s="37" t="s">
        <v>45</v>
      </c>
      <c r="M216" s="38" t="s">
        <v>115</v>
      </c>
      <c r="N216" s="38"/>
      <c r="O216" s="37">
        <v>55</v>
      </c>
      <c r="P216" s="72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6" s="617"/>
      <c r="R216" s="617"/>
      <c r="S216" s="617"/>
      <c r="T216" s="618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6" t="s">
        <v>381</v>
      </c>
      <c r="AG216" s="78"/>
      <c r="AJ216" s="84" t="s">
        <v>45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382</v>
      </c>
      <c r="B217" s="63" t="s">
        <v>383</v>
      </c>
      <c r="C217" s="36">
        <v>4301011824</v>
      </c>
      <c r="D217" s="615">
        <v>4680115884144</v>
      </c>
      <c r="E217" s="615"/>
      <c r="F217" s="62">
        <v>0.4</v>
      </c>
      <c r="G217" s="37">
        <v>10</v>
      </c>
      <c r="H217" s="62">
        <v>4</v>
      </c>
      <c r="I217" s="62">
        <v>4.1900000000000004</v>
      </c>
      <c r="J217" s="37">
        <v>132</v>
      </c>
      <c r="K217" s="37" t="s">
        <v>119</v>
      </c>
      <c r="L217" s="37" t="s">
        <v>45</v>
      </c>
      <c r="M217" s="38" t="s">
        <v>115</v>
      </c>
      <c r="N217" s="38"/>
      <c r="O217" s="37">
        <v>55</v>
      </c>
      <c r="P217" s="7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7" s="617"/>
      <c r="R217" s="617"/>
      <c r="S217" s="617"/>
      <c r="T217" s="61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1"/>
        <v>0</v>
      </c>
      <c r="Z217" s="41" t="str">
        <f>IFERROR(IF(Y217=0,"",ROUNDUP(Y217/H217,0)*0.00902),"")</f>
        <v/>
      </c>
      <c r="AA217" s="68" t="s">
        <v>45</v>
      </c>
      <c r="AB217" s="69" t="s">
        <v>45</v>
      </c>
      <c r="AC217" s="288" t="s">
        <v>375</v>
      </c>
      <c r="AG217" s="78"/>
      <c r="AJ217" s="84" t="s">
        <v>45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382</v>
      </c>
      <c r="B218" s="63" t="s">
        <v>384</v>
      </c>
      <c r="C218" s="36">
        <v>4301012196</v>
      </c>
      <c r="D218" s="615">
        <v>4680115884144</v>
      </c>
      <c r="E218" s="615"/>
      <c r="F218" s="62">
        <v>0.4</v>
      </c>
      <c r="G218" s="37">
        <v>10</v>
      </c>
      <c r="H218" s="62">
        <v>4</v>
      </c>
      <c r="I218" s="62">
        <v>4.1900000000000004</v>
      </c>
      <c r="J218" s="37">
        <v>132</v>
      </c>
      <c r="K218" s="37" t="s">
        <v>119</v>
      </c>
      <c r="L218" s="37" t="s">
        <v>45</v>
      </c>
      <c r="M218" s="38" t="s">
        <v>115</v>
      </c>
      <c r="N218" s="38"/>
      <c r="O218" s="37">
        <v>55</v>
      </c>
      <c r="P218" s="72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18" s="617"/>
      <c r="R218" s="617"/>
      <c r="S218" s="617"/>
      <c r="T218" s="61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IFERROR(IF(Y218=0,"",ROUNDUP(Y218/H218,0)*0.00902),"")</f>
        <v/>
      </c>
      <c r="AA218" s="68" t="s">
        <v>45</v>
      </c>
      <c r="AB218" s="69" t="s">
        <v>45</v>
      </c>
      <c r="AC218" s="290" t="s">
        <v>375</v>
      </c>
      <c r="AG218" s="78"/>
      <c r="AJ218" s="84" t="s">
        <v>45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385</v>
      </c>
      <c r="B219" s="63" t="s">
        <v>386</v>
      </c>
      <c r="C219" s="36">
        <v>4301012149</v>
      </c>
      <c r="D219" s="615">
        <v>4680115886551</v>
      </c>
      <c r="E219" s="615"/>
      <c r="F219" s="62">
        <v>0.4</v>
      </c>
      <c r="G219" s="37">
        <v>10</v>
      </c>
      <c r="H219" s="62">
        <v>4</v>
      </c>
      <c r="I219" s="62">
        <v>4.1900000000000004</v>
      </c>
      <c r="J219" s="37">
        <v>132</v>
      </c>
      <c r="K219" s="37" t="s">
        <v>119</v>
      </c>
      <c r="L219" s="37" t="s">
        <v>45</v>
      </c>
      <c r="M219" s="38" t="s">
        <v>115</v>
      </c>
      <c r="N219" s="38"/>
      <c r="O219" s="37">
        <v>55</v>
      </c>
      <c r="P219" s="7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19" s="617"/>
      <c r="R219" s="617"/>
      <c r="S219" s="617"/>
      <c r="T219" s="61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IFERROR(IF(Y219=0,"",ROUNDUP(Y219/H219,0)*0.00902),"")</f>
        <v/>
      </c>
      <c r="AA219" s="68" t="s">
        <v>45</v>
      </c>
      <c r="AB219" s="69" t="s">
        <v>45</v>
      </c>
      <c r="AC219" s="292" t="s">
        <v>387</v>
      </c>
      <c r="AG219" s="78"/>
      <c r="AJ219" s="84" t="s">
        <v>45</v>
      </c>
      <c r="AK219" s="84">
        <v>0</v>
      </c>
      <c r="BB219" s="293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388</v>
      </c>
      <c r="B220" s="63" t="s">
        <v>389</v>
      </c>
      <c r="C220" s="36">
        <v>4301012228</v>
      </c>
      <c r="D220" s="615">
        <v>4680115887282</v>
      </c>
      <c r="E220" s="615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81</v>
      </c>
      <c r="L220" s="37" t="s">
        <v>45</v>
      </c>
      <c r="M220" s="38" t="s">
        <v>115</v>
      </c>
      <c r="N220" s="38"/>
      <c r="O220" s="37">
        <v>55</v>
      </c>
      <c r="P220" s="72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20" s="617"/>
      <c r="R220" s="617"/>
      <c r="S220" s="617"/>
      <c r="T220" s="61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94" t="s">
        <v>378</v>
      </c>
      <c r="AG220" s="78"/>
      <c r="AJ220" s="84" t="s">
        <v>45</v>
      </c>
      <c r="AK220" s="84">
        <v>0</v>
      </c>
      <c r="BB220" s="295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390</v>
      </c>
      <c r="B221" s="63" t="s">
        <v>391</v>
      </c>
      <c r="C221" s="36">
        <v>4301011722</v>
      </c>
      <c r="D221" s="615">
        <v>4680115884205</v>
      </c>
      <c r="E221" s="615"/>
      <c r="F221" s="62">
        <v>0.4</v>
      </c>
      <c r="G221" s="37">
        <v>10</v>
      </c>
      <c r="H221" s="62">
        <v>4</v>
      </c>
      <c r="I221" s="62">
        <v>4.1900000000000004</v>
      </c>
      <c r="J221" s="37">
        <v>132</v>
      </c>
      <c r="K221" s="37" t="s">
        <v>119</v>
      </c>
      <c r="L221" s="37" t="s">
        <v>45</v>
      </c>
      <c r="M221" s="38" t="s">
        <v>115</v>
      </c>
      <c r="N221" s="38"/>
      <c r="O221" s="37">
        <v>55</v>
      </c>
      <c r="P221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1" s="617"/>
      <c r="R221" s="617"/>
      <c r="S221" s="617"/>
      <c r="T221" s="61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IFERROR(IF(Y221=0,"",ROUNDUP(Y221/H221,0)*0.00902),"")</f>
        <v/>
      </c>
      <c r="AA221" s="68" t="s">
        <v>45</v>
      </c>
      <c r="AB221" s="69" t="s">
        <v>45</v>
      </c>
      <c r="AC221" s="296" t="s">
        <v>381</v>
      </c>
      <c r="AG221" s="78"/>
      <c r="AJ221" s="84" t="s">
        <v>45</v>
      </c>
      <c r="AK221" s="84">
        <v>0</v>
      </c>
      <c r="BB221" s="297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390</v>
      </c>
      <c r="B222" s="63" t="s">
        <v>392</v>
      </c>
      <c r="C222" s="36">
        <v>4301012195</v>
      </c>
      <c r="D222" s="615">
        <v>4680115884205</v>
      </c>
      <c r="E222" s="615"/>
      <c r="F222" s="62">
        <v>0.4</v>
      </c>
      <c r="G222" s="37">
        <v>10</v>
      </c>
      <c r="H222" s="62">
        <v>4</v>
      </c>
      <c r="I222" s="62">
        <v>4.1900000000000004</v>
      </c>
      <c r="J222" s="37">
        <v>132</v>
      </c>
      <c r="K222" s="37" t="s">
        <v>119</v>
      </c>
      <c r="L222" s="37" t="s">
        <v>45</v>
      </c>
      <c r="M222" s="38" t="s">
        <v>115</v>
      </c>
      <c r="N222" s="38"/>
      <c r="O222" s="37">
        <v>55</v>
      </c>
      <c r="P222" s="72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22" s="617"/>
      <c r="R222" s="617"/>
      <c r="S222" s="617"/>
      <c r="T222" s="61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IFERROR(IF(Y222=0,"",ROUNDUP(Y222/H222,0)*0.00902),"")</f>
        <v/>
      </c>
      <c r="AA222" s="68" t="s">
        <v>45</v>
      </c>
      <c r="AB222" s="69" t="s">
        <v>45</v>
      </c>
      <c r="AC222" s="298" t="s">
        <v>381</v>
      </c>
      <c r="AG222" s="78"/>
      <c r="AJ222" s="84" t="s">
        <v>45</v>
      </c>
      <c r="AK222" s="84">
        <v>0</v>
      </c>
      <c r="BB222" s="299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x14ac:dyDescent="0.2">
      <c r="A223" s="623"/>
      <c r="B223" s="623"/>
      <c r="C223" s="623"/>
      <c r="D223" s="623"/>
      <c r="E223" s="623"/>
      <c r="F223" s="623"/>
      <c r="G223" s="623"/>
      <c r="H223" s="623"/>
      <c r="I223" s="623"/>
      <c r="J223" s="623"/>
      <c r="K223" s="623"/>
      <c r="L223" s="623"/>
      <c r="M223" s="623"/>
      <c r="N223" s="623"/>
      <c r="O223" s="624"/>
      <c r="P223" s="620" t="s">
        <v>40</v>
      </c>
      <c r="Q223" s="621"/>
      <c r="R223" s="621"/>
      <c r="S223" s="621"/>
      <c r="T223" s="621"/>
      <c r="U223" s="621"/>
      <c r="V223" s="622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23"/>
      <c r="B224" s="623"/>
      <c r="C224" s="623"/>
      <c r="D224" s="623"/>
      <c r="E224" s="623"/>
      <c r="F224" s="623"/>
      <c r="G224" s="623"/>
      <c r="H224" s="623"/>
      <c r="I224" s="623"/>
      <c r="J224" s="623"/>
      <c r="K224" s="623"/>
      <c r="L224" s="623"/>
      <c r="M224" s="623"/>
      <c r="N224" s="623"/>
      <c r="O224" s="624"/>
      <c r="P224" s="620" t="s">
        <v>40</v>
      </c>
      <c r="Q224" s="621"/>
      <c r="R224" s="621"/>
      <c r="S224" s="621"/>
      <c r="T224" s="621"/>
      <c r="U224" s="621"/>
      <c r="V224" s="622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14" t="s">
        <v>144</v>
      </c>
      <c r="B225" s="614"/>
      <c r="C225" s="614"/>
      <c r="D225" s="614"/>
      <c r="E225" s="614"/>
      <c r="F225" s="614"/>
      <c r="G225" s="614"/>
      <c r="H225" s="614"/>
      <c r="I225" s="614"/>
      <c r="J225" s="614"/>
      <c r="K225" s="614"/>
      <c r="L225" s="614"/>
      <c r="M225" s="614"/>
      <c r="N225" s="614"/>
      <c r="O225" s="614"/>
      <c r="P225" s="614"/>
      <c r="Q225" s="614"/>
      <c r="R225" s="614"/>
      <c r="S225" s="614"/>
      <c r="T225" s="614"/>
      <c r="U225" s="614"/>
      <c r="V225" s="614"/>
      <c r="W225" s="614"/>
      <c r="X225" s="614"/>
      <c r="Y225" s="614"/>
      <c r="Z225" s="614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4301020377</v>
      </c>
      <c r="D226" s="615">
        <v>4680115885981</v>
      </c>
      <c r="E226" s="615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85</v>
      </c>
      <c r="L226" s="37" t="s">
        <v>45</v>
      </c>
      <c r="M226" s="38" t="s">
        <v>90</v>
      </c>
      <c r="N226" s="38"/>
      <c r="O226" s="37">
        <v>50</v>
      </c>
      <c r="P226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6" s="617"/>
      <c r="R226" s="617"/>
      <c r="S226" s="617"/>
      <c r="T226" s="618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45</v>
      </c>
      <c r="AB226" s="69" t="s">
        <v>45</v>
      </c>
      <c r="AC226" s="300" t="s">
        <v>395</v>
      </c>
      <c r="AG226" s="78"/>
      <c r="AJ226" s="84" t="s">
        <v>45</v>
      </c>
      <c r="AK226" s="84">
        <v>0</v>
      </c>
      <c r="BB226" s="301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3"/>
      <c r="B227" s="623"/>
      <c r="C227" s="623"/>
      <c r="D227" s="623"/>
      <c r="E227" s="623"/>
      <c r="F227" s="623"/>
      <c r="G227" s="623"/>
      <c r="H227" s="623"/>
      <c r="I227" s="623"/>
      <c r="J227" s="623"/>
      <c r="K227" s="623"/>
      <c r="L227" s="623"/>
      <c r="M227" s="623"/>
      <c r="N227" s="623"/>
      <c r="O227" s="624"/>
      <c r="P227" s="620" t="s">
        <v>40</v>
      </c>
      <c r="Q227" s="621"/>
      <c r="R227" s="621"/>
      <c r="S227" s="621"/>
      <c r="T227" s="621"/>
      <c r="U227" s="621"/>
      <c r="V227" s="622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23"/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4"/>
      <c r="P228" s="620" t="s">
        <v>40</v>
      </c>
      <c r="Q228" s="621"/>
      <c r="R228" s="621"/>
      <c r="S228" s="621"/>
      <c r="T228" s="621"/>
      <c r="U228" s="621"/>
      <c r="V228" s="622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14" t="s">
        <v>396</v>
      </c>
      <c r="B229" s="614"/>
      <c r="C229" s="614"/>
      <c r="D229" s="614"/>
      <c r="E229" s="614"/>
      <c r="F229" s="614"/>
      <c r="G229" s="614"/>
      <c r="H229" s="614"/>
      <c r="I229" s="614"/>
      <c r="J229" s="614"/>
      <c r="K229" s="614"/>
      <c r="L229" s="614"/>
      <c r="M229" s="614"/>
      <c r="N229" s="614"/>
      <c r="O229" s="614"/>
      <c r="P229" s="614"/>
      <c r="Q229" s="614"/>
      <c r="R229" s="614"/>
      <c r="S229" s="614"/>
      <c r="T229" s="614"/>
      <c r="U229" s="614"/>
      <c r="V229" s="614"/>
      <c r="W229" s="614"/>
      <c r="X229" s="614"/>
      <c r="Y229" s="614"/>
      <c r="Z229" s="614"/>
      <c r="AA229" s="66"/>
      <c r="AB229" s="66"/>
      <c r="AC229" s="80"/>
    </row>
    <row r="230" spans="1:68" ht="27" customHeight="1" x14ac:dyDescent="0.25">
      <c r="A230" s="63" t="s">
        <v>397</v>
      </c>
      <c r="B230" s="63" t="s">
        <v>398</v>
      </c>
      <c r="C230" s="36">
        <v>4301040362</v>
      </c>
      <c r="D230" s="615">
        <v>4680115886803</v>
      </c>
      <c r="E230" s="615"/>
      <c r="F230" s="62">
        <v>0.12</v>
      </c>
      <c r="G230" s="37">
        <v>15</v>
      </c>
      <c r="H230" s="62">
        <v>1.8</v>
      </c>
      <c r="I230" s="62">
        <v>1.9750000000000001</v>
      </c>
      <c r="J230" s="37">
        <v>216</v>
      </c>
      <c r="K230" s="37" t="s">
        <v>304</v>
      </c>
      <c r="L230" s="37" t="s">
        <v>45</v>
      </c>
      <c r="M230" s="38" t="s">
        <v>303</v>
      </c>
      <c r="N230" s="38"/>
      <c r="O230" s="37">
        <v>45</v>
      </c>
      <c r="P230" s="7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30" s="617"/>
      <c r="R230" s="617"/>
      <c r="S230" s="617"/>
      <c r="T230" s="61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45</v>
      </c>
      <c r="AB230" s="69" t="s">
        <v>45</v>
      </c>
      <c r="AC230" s="302" t="s">
        <v>399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23"/>
      <c r="B231" s="623"/>
      <c r="C231" s="623"/>
      <c r="D231" s="623"/>
      <c r="E231" s="623"/>
      <c r="F231" s="623"/>
      <c r="G231" s="623"/>
      <c r="H231" s="623"/>
      <c r="I231" s="623"/>
      <c r="J231" s="623"/>
      <c r="K231" s="623"/>
      <c r="L231" s="623"/>
      <c r="M231" s="623"/>
      <c r="N231" s="623"/>
      <c r="O231" s="624"/>
      <c r="P231" s="620" t="s">
        <v>40</v>
      </c>
      <c r="Q231" s="621"/>
      <c r="R231" s="621"/>
      <c r="S231" s="621"/>
      <c r="T231" s="621"/>
      <c r="U231" s="621"/>
      <c r="V231" s="622"/>
      <c r="W231" s="42" t="s">
        <v>39</v>
      </c>
      <c r="X231" s="43">
        <f>IFERROR(X230/H230,"0")</f>
        <v>0</v>
      </c>
      <c r="Y231" s="43">
        <f>IFERROR(Y230/H230,"0")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623"/>
      <c r="B232" s="623"/>
      <c r="C232" s="623"/>
      <c r="D232" s="623"/>
      <c r="E232" s="623"/>
      <c r="F232" s="623"/>
      <c r="G232" s="623"/>
      <c r="H232" s="623"/>
      <c r="I232" s="623"/>
      <c r="J232" s="623"/>
      <c r="K232" s="623"/>
      <c r="L232" s="623"/>
      <c r="M232" s="623"/>
      <c r="N232" s="623"/>
      <c r="O232" s="624"/>
      <c r="P232" s="620" t="s">
        <v>40</v>
      </c>
      <c r="Q232" s="621"/>
      <c r="R232" s="621"/>
      <c r="S232" s="621"/>
      <c r="T232" s="621"/>
      <c r="U232" s="621"/>
      <c r="V232" s="622"/>
      <c r="W232" s="42" t="s">
        <v>0</v>
      </c>
      <c r="X232" s="43">
        <f>IFERROR(SUM(X230:X230),"0")</f>
        <v>0</v>
      </c>
      <c r="Y232" s="43">
        <f>IFERROR(SUM(Y230:Y230),"0")</f>
        <v>0</v>
      </c>
      <c r="Z232" s="42"/>
      <c r="AA232" s="67"/>
      <c r="AB232" s="67"/>
      <c r="AC232" s="67"/>
    </row>
    <row r="233" spans="1:68" ht="14.25" customHeight="1" x14ac:dyDescent="0.25">
      <c r="A233" s="614" t="s">
        <v>400</v>
      </c>
      <c r="B233" s="614"/>
      <c r="C233" s="614"/>
      <c r="D233" s="614"/>
      <c r="E233" s="614"/>
      <c r="F233" s="614"/>
      <c r="G233" s="614"/>
      <c r="H233" s="614"/>
      <c r="I233" s="614"/>
      <c r="J233" s="614"/>
      <c r="K233" s="614"/>
      <c r="L233" s="614"/>
      <c r="M233" s="614"/>
      <c r="N233" s="614"/>
      <c r="O233" s="614"/>
      <c r="P233" s="614"/>
      <c r="Q233" s="614"/>
      <c r="R233" s="614"/>
      <c r="S233" s="614"/>
      <c r="T233" s="614"/>
      <c r="U233" s="614"/>
      <c r="V233" s="614"/>
      <c r="W233" s="614"/>
      <c r="X233" s="614"/>
      <c r="Y233" s="614"/>
      <c r="Z233" s="614"/>
      <c r="AA233" s="66"/>
      <c r="AB233" s="66"/>
      <c r="AC233" s="80"/>
    </row>
    <row r="234" spans="1:68" ht="27" customHeight="1" x14ac:dyDescent="0.25">
      <c r="A234" s="63" t="s">
        <v>401</v>
      </c>
      <c r="B234" s="63" t="s">
        <v>402</v>
      </c>
      <c r="C234" s="36">
        <v>4301041004</v>
      </c>
      <c r="D234" s="615">
        <v>4680115886704</v>
      </c>
      <c r="E234" s="615"/>
      <c r="F234" s="62">
        <v>5.5E-2</v>
      </c>
      <c r="G234" s="37">
        <v>18</v>
      </c>
      <c r="H234" s="62">
        <v>0.99</v>
      </c>
      <c r="I234" s="62">
        <v>1.18</v>
      </c>
      <c r="J234" s="37">
        <v>216</v>
      </c>
      <c r="K234" s="37" t="s">
        <v>304</v>
      </c>
      <c r="L234" s="37" t="s">
        <v>45</v>
      </c>
      <c r="M234" s="38" t="s">
        <v>303</v>
      </c>
      <c r="N234" s="38"/>
      <c r="O234" s="37">
        <v>90</v>
      </c>
      <c r="P234" s="73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4" s="617"/>
      <c r="R234" s="617"/>
      <c r="S234" s="617"/>
      <c r="T234" s="618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45</v>
      </c>
      <c r="AB234" s="69" t="s">
        <v>45</v>
      </c>
      <c r="AC234" s="304" t="s">
        <v>403</v>
      </c>
      <c r="AG234" s="78"/>
      <c r="AJ234" s="84" t="s">
        <v>45</v>
      </c>
      <c r="AK234" s="84">
        <v>0</v>
      </c>
      <c r="BB234" s="305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4301041008</v>
      </c>
      <c r="D235" s="615">
        <v>4680115886681</v>
      </c>
      <c r="E235" s="615"/>
      <c r="F235" s="62">
        <v>0.12</v>
      </c>
      <c r="G235" s="37">
        <v>15</v>
      </c>
      <c r="H235" s="62">
        <v>1.8</v>
      </c>
      <c r="I235" s="62">
        <v>1.9750000000000001</v>
      </c>
      <c r="J235" s="37">
        <v>216</v>
      </c>
      <c r="K235" s="37" t="s">
        <v>304</v>
      </c>
      <c r="L235" s="37" t="s">
        <v>45</v>
      </c>
      <c r="M235" s="38" t="s">
        <v>303</v>
      </c>
      <c r="N235" s="38"/>
      <c r="O235" s="37">
        <v>90</v>
      </c>
      <c r="P235" s="7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5" s="617"/>
      <c r="R235" s="617"/>
      <c r="S235" s="617"/>
      <c r="T235" s="618"/>
      <c r="U235" s="39" t="s">
        <v>45</v>
      </c>
      <c r="V235" s="39" t="s">
        <v>45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45</v>
      </c>
      <c r="AB235" s="69" t="s">
        <v>45</v>
      </c>
      <c r="AC235" s="306" t="s">
        <v>403</v>
      </c>
      <c r="AG235" s="78"/>
      <c r="AJ235" s="84" t="s">
        <v>45</v>
      </c>
      <c r="AK235" s="84">
        <v>0</v>
      </c>
      <c r="BB235" s="307" t="s">
        <v>66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406</v>
      </c>
      <c r="B236" s="63" t="s">
        <v>407</v>
      </c>
      <c r="C236" s="36">
        <v>4301041007</v>
      </c>
      <c r="D236" s="615">
        <v>4680115886735</v>
      </c>
      <c r="E236" s="615"/>
      <c r="F236" s="62">
        <v>0.05</v>
      </c>
      <c r="G236" s="37">
        <v>18</v>
      </c>
      <c r="H236" s="62">
        <v>0.9</v>
      </c>
      <c r="I236" s="62">
        <v>1.0900000000000001</v>
      </c>
      <c r="J236" s="37">
        <v>216</v>
      </c>
      <c r="K236" s="37" t="s">
        <v>304</v>
      </c>
      <c r="L236" s="37" t="s">
        <v>45</v>
      </c>
      <c r="M236" s="38" t="s">
        <v>303</v>
      </c>
      <c r="N236" s="38"/>
      <c r="O236" s="37">
        <v>90</v>
      </c>
      <c r="P236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6" s="617"/>
      <c r="R236" s="617"/>
      <c r="S236" s="617"/>
      <c r="T236" s="618"/>
      <c r="U236" s="39" t="s">
        <v>45</v>
      </c>
      <c r="V236" s="39" t="s">
        <v>45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45</v>
      </c>
      <c r="AB236" s="69" t="s">
        <v>45</v>
      </c>
      <c r="AC236" s="308" t="s">
        <v>403</v>
      </c>
      <c r="AG236" s="78"/>
      <c r="AJ236" s="84" t="s">
        <v>45</v>
      </c>
      <c r="AK236" s="84">
        <v>0</v>
      </c>
      <c r="BB236" s="309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4301041006</v>
      </c>
      <c r="D237" s="615">
        <v>4680115886728</v>
      </c>
      <c r="E237" s="615"/>
      <c r="F237" s="62">
        <v>5.5E-2</v>
      </c>
      <c r="G237" s="37">
        <v>18</v>
      </c>
      <c r="H237" s="62">
        <v>0.99</v>
      </c>
      <c r="I237" s="62">
        <v>1.18</v>
      </c>
      <c r="J237" s="37">
        <v>216</v>
      </c>
      <c r="K237" s="37" t="s">
        <v>304</v>
      </c>
      <c r="L237" s="37" t="s">
        <v>45</v>
      </c>
      <c r="M237" s="38" t="s">
        <v>303</v>
      </c>
      <c r="N237" s="38"/>
      <c r="O237" s="37">
        <v>90</v>
      </c>
      <c r="P237" s="73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7" s="617"/>
      <c r="R237" s="617"/>
      <c r="S237" s="617"/>
      <c r="T237" s="618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IFERROR(IF(Y237=0,"",ROUNDUP(Y237/H237,0)*0.0059),"")</f>
        <v/>
      </c>
      <c r="AA237" s="68" t="s">
        <v>45</v>
      </c>
      <c r="AB237" s="69" t="s">
        <v>45</v>
      </c>
      <c r="AC237" s="310" t="s">
        <v>403</v>
      </c>
      <c r="AG237" s="78"/>
      <c r="AJ237" s="84" t="s">
        <v>45</v>
      </c>
      <c r="AK237" s="84">
        <v>0</v>
      </c>
      <c r="BB237" s="311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4301041005</v>
      </c>
      <c r="D238" s="615">
        <v>4680115886711</v>
      </c>
      <c r="E238" s="615"/>
      <c r="F238" s="62">
        <v>5.5E-2</v>
      </c>
      <c r="G238" s="37">
        <v>18</v>
      </c>
      <c r="H238" s="62">
        <v>0.99</v>
      </c>
      <c r="I238" s="62">
        <v>1.18</v>
      </c>
      <c r="J238" s="37">
        <v>216</v>
      </c>
      <c r="K238" s="37" t="s">
        <v>304</v>
      </c>
      <c r="L238" s="37" t="s">
        <v>45</v>
      </c>
      <c r="M238" s="38" t="s">
        <v>303</v>
      </c>
      <c r="N238" s="38"/>
      <c r="O238" s="37">
        <v>90</v>
      </c>
      <c r="P238" s="73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38" s="617"/>
      <c r="R238" s="617"/>
      <c r="S238" s="617"/>
      <c r="T238" s="61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45</v>
      </c>
      <c r="AB238" s="69" t="s">
        <v>45</v>
      </c>
      <c r="AC238" s="312" t="s">
        <v>403</v>
      </c>
      <c r="AG238" s="78"/>
      <c r="AJ238" s="84" t="s">
        <v>45</v>
      </c>
      <c r="AK238" s="84">
        <v>0</v>
      </c>
      <c r="BB238" s="313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3"/>
      <c r="B239" s="623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4"/>
      <c r="P239" s="620" t="s">
        <v>40</v>
      </c>
      <c r="Q239" s="621"/>
      <c r="R239" s="621"/>
      <c r="S239" s="621"/>
      <c r="T239" s="621"/>
      <c r="U239" s="621"/>
      <c r="V239" s="622"/>
      <c r="W239" s="42" t="s">
        <v>39</v>
      </c>
      <c r="X239" s="43">
        <f>IFERROR(X234/H234,"0")+IFERROR(X235/H235,"0")+IFERROR(X236/H236,"0")+IFERROR(X237/H237,"0")+IFERROR(X238/H238,"0")</f>
        <v>0</v>
      </c>
      <c r="Y239" s="43">
        <f>IFERROR(Y234/H234,"0")+IFERROR(Y235/H235,"0")+IFERROR(Y236/H236,"0")+IFERROR(Y237/H237,"0")+IFERROR(Y238/H238,"0")</f>
        <v>0</v>
      </c>
      <c r="Z239" s="43">
        <f>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23"/>
      <c r="B240" s="623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4"/>
      <c r="P240" s="620" t="s">
        <v>40</v>
      </c>
      <c r="Q240" s="621"/>
      <c r="R240" s="621"/>
      <c r="S240" s="621"/>
      <c r="T240" s="621"/>
      <c r="U240" s="621"/>
      <c r="V240" s="622"/>
      <c r="W240" s="42" t="s">
        <v>0</v>
      </c>
      <c r="X240" s="43">
        <f>IFERROR(SUM(X234:X238),"0")</f>
        <v>0</v>
      </c>
      <c r="Y240" s="43">
        <f>IFERROR(SUM(Y234:Y238),"0")</f>
        <v>0</v>
      </c>
      <c r="Z240" s="42"/>
      <c r="AA240" s="67"/>
      <c r="AB240" s="67"/>
      <c r="AC240" s="67"/>
    </row>
    <row r="241" spans="1:68" ht="16.5" customHeight="1" x14ac:dyDescent="0.25">
      <c r="A241" s="613" t="s">
        <v>412</v>
      </c>
      <c r="B241" s="613"/>
      <c r="C241" s="613"/>
      <c r="D241" s="613"/>
      <c r="E241" s="613"/>
      <c r="F241" s="613"/>
      <c r="G241" s="613"/>
      <c r="H241" s="613"/>
      <c r="I241" s="613"/>
      <c r="J241" s="613"/>
      <c r="K241" s="613"/>
      <c r="L241" s="613"/>
      <c r="M241" s="613"/>
      <c r="N241" s="613"/>
      <c r="O241" s="613"/>
      <c r="P241" s="613"/>
      <c r="Q241" s="613"/>
      <c r="R241" s="613"/>
      <c r="S241" s="613"/>
      <c r="T241" s="613"/>
      <c r="U241" s="613"/>
      <c r="V241" s="613"/>
      <c r="W241" s="613"/>
      <c r="X241" s="613"/>
      <c r="Y241" s="613"/>
      <c r="Z241" s="613"/>
      <c r="AA241" s="65"/>
      <c r="AB241" s="65"/>
      <c r="AC241" s="79"/>
    </row>
    <row r="242" spans="1:68" ht="14.25" customHeight="1" x14ac:dyDescent="0.25">
      <c r="A242" s="614" t="s">
        <v>111</v>
      </c>
      <c r="B242" s="614"/>
      <c r="C242" s="614"/>
      <c r="D242" s="614"/>
      <c r="E242" s="614"/>
      <c r="F242" s="614"/>
      <c r="G242" s="614"/>
      <c r="H242" s="614"/>
      <c r="I242" s="614"/>
      <c r="J242" s="614"/>
      <c r="K242" s="614"/>
      <c r="L242" s="614"/>
      <c r="M242" s="614"/>
      <c r="N242" s="614"/>
      <c r="O242" s="614"/>
      <c r="P242" s="614"/>
      <c r="Q242" s="614"/>
      <c r="R242" s="614"/>
      <c r="S242" s="614"/>
      <c r="T242" s="614"/>
      <c r="U242" s="614"/>
      <c r="V242" s="614"/>
      <c r="W242" s="614"/>
      <c r="X242" s="614"/>
      <c r="Y242" s="614"/>
      <c r="Z242" s="614"/>
      <c r="AA242" s="66"/>
      <c r="AB242" s="66"/>
      <c r="AC242" s="80"/>
    </row>
    <row r="243" spans="1:68" ht="27" customHeight="1" x14ac:dyDescent="0.25">
      <c r="A243" s="63" t="s">
        <v>413</v>
      </c>
      <c r="B243" s="63" t="s">
        <v>414</v>
      </c>
      <c r="C243" s="36">
        <v>4301011855</v>
      </c>
      <c r="D243" s="615">
        <v>4680115885837</v>
      </c>
      <c r="E243" s="615"/>
      <c r="F243" s="62">
        <v>1.35</v>
      </c>
      <c r="G243" s="37">
        <v>8</v>
      </c>
      <c r="H243" s="62">
        <v>10.8</v>
      </c>
      <c r="I243" s="62">
        <v>11.21</v>
      </c>
      <c r="J243" s="37">
        <v>64</v>
      </c>
      <c r="K243" s="37" t="s">
        <v>116</v>
      </c>
      <c r="L243" s="37" t="s">
        <v>45</v>
      </c>
      <c r="M243" s="38" t="s">
        <v>115</v>
      </c>
      <c r="N243" s="38"/>
      <c r="O243" s="37">
        <v>55</v>
      </c>
      <c r="P243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43" s="617"/>
      <c r="R243" s="617"/>
      <c r="S243" s="617"/>
      <c r="T243" s="618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IFERROR(IF(Y243=0,"",ROUNDUP(Y243/H243,0)*0.01898),"")</f>
        <v/>
      </c>
      <c r="AA243" s="68" t="s">
        <v>45</v>
      </c>
      <c r="AB243" s="69" t="s">
        <v>45</v>
      </c>
      <c r="AC243" s="314" t="s">
        <v>415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37.5" customHeight="1" x14ac:dyDescent="0.25">
      <c r="A244" s="63" t="s">
        <v>416</v>
      </c>
      <c r="B244" s="63" t="s">
        <v>417</v>
      </c>
      <c r="C244" s="36">
        <v>4301011853</v>
      </c>
      <c r="D244" s="615">
        <v>4680115885851</v>
      </c>
      <c r="E244" s="615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116</v>
      </c>
      <c r="L244" s="37" t="s">
        <v>45</v>
      </c>
      <c r="M244" s="38" t="s">
        <v>115</v>
      </c>
      <c r="N244" s="38"/>
      <c r="O244" s="37">
        <v>55</v>
      </c>
      <c r="P244" s="73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4" s="617"/>
      <c r="R244" s="617"/>
      <c r="S244" s="617"/>
      <c r="T244" s="618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45</v>
      </c>
      <c r="AB244" s="69" t="s">
        <v>45</v>
      </c>
      <c r="AC244" s="316" t="s">
        <v>418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419</v>
      </c>
      <c r="B245" s="63" t="s">
        <v>420</v>
      </c>
      <c r="C245" s="36">
        <v>4301011850</v>
      </c>
      <c r="D245" s="615">
        <v>4680115885806</v>
      </c>
      <c r="E245" s="615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116</v>
      </c>
      <c r="L245" s="37" t="s">
        <v>45</v>
      </c>
      <c r="M245" s="38" t="s">
        <v>115</v>
      </c>
      <c r="N245" s="38"/>
      <c r="O245" s="37">
        <v>55</v>
      </c>
      <c r="P245" s="7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5" s="617"/>
      <c r="R245" s="617"/>
      <c r="S245" s="617"/>
      <c r="T245" s="61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45</v>
      </c>
      <c r="AB245" s="69" t="s">
        <v>45</v>
      </c>
      <c r="AC245" s="318" t="s">
        <v>421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422</v>
      </c>
      <c r="B246" s="63" t="s">
        <v>423</v>
      </c>
      <c r="C246" s="36">
        <v>4301011852</v>
      </c>
      <c r="D246" s="615">
        <v>4680115885844</v>
      </c>
      <c r="E246" s="615"/>
      <c r="F246" s="62">
        <v>0.4</v>
      </c>
      <c r="G246" s="37">
        <v>10</v>
      </c>
      <c r="H246" s="62">
        <v>4</v>
      </c>
      <c r="I246" s="62">
        <v>4.1900000000000004</v>
      </c>
      <c r="J246" s="37">
        <v>132</v>
      </c>
      <c r="K246" s="37" t="s">
        <v>119</v>
      </c>
      <c r="L246" s="37" t="s">
        <v>45</v>
      </c>
      <c r="M246" s="38" t="s">
        <v>115</v>
      </c>
      <c r="N246" s="38"/>
      <c r="O246" s="37">
        <v>55</v>
      </c>
      <c r="P246" s="74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6" s="617"/>
      <c r="R246" s="617"/>
      <c r="S246" s="617"/>
      <c r="T246" s="61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45</v>
      </c>
      <c r="AB246" s="69" t="s">
        <v>45</v>
      </c>
      <c r="AC246" s="320" t="s">
        <v>424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37.5" customHeight="1" x14ac:dyDescent="0.25">
      <c r="A247" s="63" t="s">
        <v>425</v>
      </c>
      <c r="B247" s="63" t="s">
        <v>426</v>
      </c>
      <c r="C247" s="36">
        <v>4301011851</v>
      </c>
      <c r="D247" s="615">
        <v>4680115885820</v>
      </c>
      <c r="E247" s="615"/>
      <c r="F247" s="62">
        <v>0.4</v>
      </c>
      <c r="G247" s="37">
        <v>10</v>
      </c>
      <c r="H247" s="62">
        <v>4</v>
      </c>
      <c r="I247" s="62">
        <v>4.1900000000000004</v>
      </c>
      <c r="J247" s="37">
        <v>132</v>
      </c>
      <c r="K247" s="37" t="s">
        <v>119</v>
      </c>
      <c r="L247" s="37" t="s">
        <v>45</v>
      </c>
      <c r="M247" s="38" t="s">
        <v>115</v>
      </c>
      <c r="N247" s="38"/>
      <c r="O247" s="37">
        <v>55</v>
      </c>
      <c r="P247" s="74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7" s="617"/>
      <c r="R247" s="617"/>
      <c r="S247" s="617"/>
      <c r="T247" s="61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45</v>
      </c>
      <c r="AB247" s="69" t="s">
        <v>45</v>
      </c>
      <c r="AC247" s="322" t="s">
        <v>427</v>
      </c>
      <c r="AG247" s="78"/>
      <c r="AJ247" s="84" t="s">
        <v>45</v>
      </c>
      <c r="AK247" s="84">
        <v>0</v>
      </c>
      <c r="BB247" s="32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3"/>
      <c r="B248" s="623"/>
      <c r="C248" s="623"/>
      <c r="D248" s="623"/>
      <c r="E248" s="623"/>
      <c r="F248" s="623"/>
      <c r="G248" s="623"/>
      <c r="H248" s="623"/>
      <c r="I248" s="623"/>
      <c r="J248" s="623"/>
      <c r="K248" s="623"/>
      <c r="L248" s="623"/>
      <c r="M248" s="623"/>
      <c r="N248" s="623"/>
      <c r="O248" s="624"/>
      <c r="P248" s="620" t="s">
        <v>40</v>
      </c>
      <c r="Q248" s="621"/>
      <c r="R248" s="621"/>
      <c r="S248" s="621"/>
      <c r="T248" s="621"/>
      <c r="U248" s="621"/>
      <c r="V248" s="62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623"/>
      <c r="B249" s="623"/>
      <c r="C249" s="623"/>
      <c r="D249" s="623"/>
      <c r="E249" s="623"/>
      <c r="F249" s="623"/>
      <c r="G249" s="623"/>
      <c r="H249" s="623"/>
      <c r="I249" s="623"/>
      <c r="J249" s="623"/>
      <c r="K249" s="623"/>
      <c r="L249" s="623"/>
      <c r="M249" s="623"/>
      <c r="N249" s="623"/>
      <c r="O249" s="624"/>
      <c r="P249" s="620" t="s">
        <v>40</v>
      </c>
      <c r="Q249" s="621"/>
      <c r="R249" s="621"/>
      <c r="S249" s="621"/>
      <c r="T249" s="621"/>
      <c r="U249" s="621"/>
      <c r="V249" s="62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6.5" customHeight="1" x14ac:dyDescent="0.25">
      <c r="A250" s="613" t="s">
        <v>428</v>
      </c>
      <c r="B250" s="613"/>
      <c r="C250" s="613"/>
      <c r="D250" s="613"/>
      <c r="E250" s="613"/>
      <c r="F250" s="613"/>
      <c r="G250" s="613"/>
      <c r="H250" s="613"/>
      <c r="I250" s="613"/>
      <c r="J250" s="613"/>
      <c r="K250" s="613"/>
      <c r="L250" s="613"/>
      <c r="M250" s="613"/>
      <c r="N250" s="613"/>
      <c r="O250" s="613"/>
      <c r="P250" s="613"/>
      <c r="Q250" s="613"/>
      <c r="R250" s="613"/>
      <c r="S250" s="613"/>
      <c r="T250" s="613"/>
      <c r="U250" s="613"/>
      <c r="V250" s="613"/>
      <c r="W250" s="613"/>
      <c r="X250" s="613"/>
      <c r="Y250" s="613"/>
      <c r="Z250" s="613"/>
      <c r="AA250" s="65"/>
      <c r="AB250" s="65"/>
      <c r="AC250" s="79"/>
    </row>
    <row r="251" spans="1:68" ht="14.25" customHeight="1" x14ac:dyDescent="0.25">
      <c r="A251" s="614" t="s">
        <v>111</v>
      </c>
      <c r="B251" s="614"/>
      <c r="C251" s="614"/>
      <c r="D251" s="614"/>
      <c r="E251" s="614"/>
      <c r="F251" s="614"/>
      <c r="G251" s="614"/>
      <c r="H251" s="614"/>
      <c r="I251" s="614"/>
      <c r="J251" s="614"/>
      <c r="K251" s="614"/>
      <c r="L251" s="614"/>
      <c r="M251" s="614"/>
      <c r="N251" s="614"/>
      <c r="O251" s="614"/>
      <c r="P251" s="614"/>
      <c r="Q251" s="614"/>
      <c r="R251" s="614"/>
      <c r="S251" s="614"/>
      <c r="T251" s="614"/>
      <c r="U251" s="614"/>
      <c r="V251" s="614"/>
      <c r="W251" s="614"/>
      <c r="X251" s="614"/>
      <c r="Y251" s="614"/>
      <c r="Z251" s="614"/>
      <c r="AA251" s="66"/>
      <c r="AB251" s="66"/>
      <c r="AC251" s="80"/>
    </row>
    <row r="252" spans="1:68" ht="27" customHeight="1" x14ac:dyDescent="0.25">
      <c r="A252" s="63" t="s">
        <v>429</v>
      </c>
      <c r="B252" s="63" t="s">
        <v>430</v>
      </c>
      <c r="C252" s="36">
        <v>4301011223</v>
      </c>
      <c r="D252" s="615">
        <v>4607091383423</v>
      </c>
      <c r="E252" s="615"/>
      <c r="F252" s="62">
        <v>1.35</v>
      </c>
      <c r="G252" s="37">
        <v>8</v>
      </c>
      <c r="H252" s="62">
        <v>10.8</v>
      </c>
      <c r="I252" s="62">
        <v>11.305999999999999</v>
      </c>
      <c r="J252" s="37">
        <v>64</v>
      </c>
      <c r="K252" s="37" t="s">
        <v>116</v>
      </c>
      <c r="L252" s="37" t="s">
        <v>45</v>
      </c>
      <c r="M252" s="38" t="s">
        <v>90</v>
      </c>
      <c r="N252" s="38"/>
      <c r="O252" s="37">
        <v>35</v>
      </c>
      <c r="P252" s="7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52" s="617"/>
      <c r="R252" s="617"/>
      <c r="S252" s="617"/>
      <c r="T252" s="618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IFERROR(IF(Y252=0,"",ROUNDUP(Y252/H252,0)*0.01898),"")</f>
        <v/>
      </c>
      <c r="AA252" s="68" t="s">
        <v>45</v>
      </c>
      <c r="AB252" s="69" t="s">
        <v>45</v>
      </c>
      <c r="AC252" s="324" t="s">
        <v>114</v>
      </c>
      <c r="AG252" s="78"/>
      <c r="AJ252" s="84" t="s">
        <v>45</v>
      </c>
      <c r="AK252" s="84">
        <v>0</v>
      </c>
      <c r="BB252" s="325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37.5" customHeight="1" x14ac:dyDescent="0.25">
      <c r="A253" s="63" t="s">
        <v>431</v>
      </c>
      <c r="B253" s="63" t="s">
        <v>432</v>
      </c>
      <c r="C253" s="36">
        <v>4301012199</v>
      </c>
      <c r="D253" s="615">
        <v>4680115886957</v>
      </c>
      <c r="E253" s="615"/>
      <c r="F253" s="62">
        <v>1.35</v>
      </c>
      <c r="G253" s="37">
        <v>8</v>
      </c>
      <c r="H253" s="62">
        <v>10.8</v>
      </c>
      <c r="I253" s="62">
        <v>11.21</v>
      </c>
      <c r="J253" s="37">
        <v>64</v>
      </c>
      <c r="K253" s="37" t="s">
        <v>116</v>
      </c>
      <c r="L253" s="37" t="s">
        <v>45</v>
      </c>
      <c r="M253" s="38" t="s">
        <v>90</v>
      </c>
      <c r="N253" s="38"/>
      <c r="O253" s="37">
        <v>30</v>
      </c>
      <c r="P253" s="74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53" s="617"/>
      <c r="R253" s="617"/>
      <c r="S253" s="617"/>
      <c r="T253" s="61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IFERROR(IF(Y253=0,"",ROUNDUP(Y253/H253,0)*0.01898),"")</f>
        <v/>
      </c>
      <c r="AA253" s="68" t="s">
        <v>45</v>
      </c>
      <c r="AB253" s="69" t="s">
        <v>45</v>
      </c>
      <c r="AC253" s="326" t="s">
        <v>433</v>
      </c>
      <c r="AG253" s="78"/>
      <c r="AJ253" s="84" t="s">
        <v>45</v>
      </c>
      <c r="AK253" s="84">
        <v>0</v>
      </c>
      <c r="BB253" s="327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434</v>
      </c>
      <c r="B254" s="63" t="s">
        <v>435</v>
      </c>
      <c r="C254" s="36">
        <v>4301012098</v>
      </c>
      <c r="D254" s="615">
        <v>4680115885660</v>
      </c>
      <c r="E254" s="615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116</v>
      </c>
      <c r="L254" s="37" t="s">
        <v>45</v>
      </c>
      <c r="M254" s="38" t="s">
        <v>90</v>
      </c>
      <c r="N254" s="38"/>
      <c r="O254" s="37">
        <v>35</v>
      </c>
      <c r="P254" s="7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4" s="617"/>
      <c r="R254" s="617"/>
      <c r="S254" s="617"/>
      <c r="T254" s="61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28" t="s">
        <v>381</v>
      </c>
      <c r="AG254" s="78"/>
      <c r="AJ254" s="84" t="s">
        <v>45</v>
      </c>
      <c r="AK254" s="84">
        <v>0</v>
      </c>
      <c r="BB254" s="32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436</v>
      </c>
      <c r="B255" s="63" t="s">
        <v>437</v>
      </c>
      <c r="C255" s="36">
        <v>4301012176</v>
      </c>
      <c r="D255" s="615">
        <v>4680115886773</v>
      </c>
      <c r="E255" s="615"/>
      <c r="F255" s="62">
        <v>0.9</v>
      </c>
      <c r="G255" s="37">
        <v>10</v>
      </c>
      <c r="H255" s="62">
        <v>9</v>
      </c>
      <c r="I255" s="62">
        <v>9.41</v>
      </c>
      <c r="J255" s="37">
        <v>64</v>
      </c>
      <c r="K255" s="37" t="s">
        <v>116</v>
      </c>
      <c r="L255" s="37" t="s">
        <v>45</v>
      </c>
      <c r="M255" s="38" t="s">
        <v>115</v>
      </c>
      <c r="N255" s="38"/>
      <c r="O255" s="37">
        <v>31</v>
      </c>
      <c r="P255" s="74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5" s="617"/>
      <c r="R255" s="617"/>
      <c r="S255" s="617"/>
      <c r="T255" s="61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438</v>
      </c>
      <c r="AG255" s="78"/>
      <c r="AJ255" s="84" t="s">
        <v>45</v>
      </c>
      <c r="AK255" s="84">
        <v>0</v>
      </c>
      <c r="BB255" s="331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3"/>
      <c r="B256" s="623"/>
      <c r="C256" s="623"/>
      <c r="D256" s="623"/>
      <c r="E256" s="623"/>
      <c r="F256" s="623"/>
      <c r="G256" s="623"/>
      <c r="H256" s="623"/>
      <c r="I256" s="623"/>
      <c r="J256" s="623"/>
      <c r="K256" s="623"/>
      <c r="L256" s="623"/>
      <c r="M256" s="623"/>
      <c r="N256" s="623"/>
      <c r="O256" s="624"/>
      <c r="P256" s="620" t="s">
        <v>40</v>
      </c>
      <c r="Q256" s="621"/>
      <c r="R256" s="621"/>
      <c r="S256" s="621"/>
      <c r="T256" s="621"/>
      <c r="U256" s="621"/>
      <c r="V256" s="622"/>
      <c r="W256" s="42" t="s">
        <v>39</v>
      </c>
      <c r="X256" s="43">
        <f>IFERROR(X252/H252,"0")+IFERROR(X253/H253,"0")+IFERROR(X254/H254,"0")+IFERROR(X255/H255,"0")</f>
        <v>0</v>
      </c>
      <c r="Y256" s="43">
        <f>IFERROR(Y252/H252,"0")+IFERROR(Y253/H253,"0")+IFERROR(Y254/H254,"0")+IFERROR(Y255/H255,"0")</f>
        <v>0</v>
      </c>
      <c r="Z256" s="43">
        <f>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3"/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4"/>
      <c r="P257" s="620" t="s">
        <v>40</v>
      </c>
      <c r="Q257" s="621"/>
      <c r="R257" s="621"/>
      <c r="S257" s="621"/>
      <c r="T257" s="621"/>
      <c r="U257" s="621"/>
      <c r="V257" s="622"/>
      <c r="W257" s="42" t="s">
        <v>0</v>
      </c>
      <c r="X257" s="43">
        <f>IFERROR(SUM(X252:X255),"0")</f>
        <v>0</v>
      </c>
      <c r="Y257" s="43">
        <f>IFERROR(SUM(Y252:Y255),"0")</f>
        <v>0</v>
      </c>
      <c r="Z257" s="42"/>
      <c r="AA257" s="67"/>
      <c r="AB257" s="67"/>
      <c r="AC257" s="67"/>
    </row>
    <row r="258" spans="1:68" ht="16.5" customHeight="1" x14ac:dyDescent="0.25">
      <c r="A258" s="613" t="s">
        <v>439</v>
      </c>
      <c r="B258" s="613"/>
      <c r="C258" s="613"/>
      <c r="D258" s="613"/>
      <c r="E258" s="613"/>
      <c r="F258" s="613"/>
      <c r="G258" s="613"/>
      <c r="H258" s="613"/>
      <c r="I258" s="613"/>
      <c r="J258" s="613"/>
      <c r="K258" s="613"/>
      <c r="L258" s="613"/>
      <c r="M258" s="613"/>
      <c r="N258" s="613"/>
      <c r="O258" s="613"/>
      <c r="P258" s="613"/>
      <c r="Q258" s="613"/>
      <c r="R258" s="613"/>
      <c r="S258" s="613"/>
      <c r="T258" s="613"/>
      <c r="U258" s="613"/>
      <c r="V258" s="613"/>
      <c r="W258" s="613"/>
      <c r="X258" s="613"/>
      <c r="Y258" s="613"/>
      <c r="Z258" s="613"/>
      <c r="AA258" s="65"/>
      <c r="AB258" s="65"/>
      <c r="AC258" s="79"/>
    </row>
    <row r="259" spans="1:68" ht="14.25" customHeight="1" x14ac:dyDescent="0.25">
      <c r="A259" s="614" t="s">
        <v>86</v>
      </c>
      <c r="B259" s="614"/>
      <c r="C259" s="614"/>
      <c r="D259" s="614"/>
      <c r="E259" s="614"/>
      <c r="F259" s="614"/>
      <c r="G259" s="614"/>
      <c r="H259" s="614"/>
      <c r="I259" s="614"/>
      <c r="J259" s="614"/>
      <c r="K259" s="614"/>
      <c r="L259" s="614"/>
      <c r="M259" s="614"/>
      <c r="N259" s="614"/>
      <c r="O259" s="614"/>
      <c r="P259" s="614"/>
      <c r="Q259" s="614"/>
      <c r="R259" s="614"/>
      <c r="S259" s="614"/>
      <c r="T259" s="614"/>
      <c r="U259" s="614"/>
      <c r="V259" s="614"/>
      <c r="W259" s="614"/>
      <c r="X259" s="614"/>
      <c r="Y259" s="614"/>
      <c r="Z259" s="614"/>
      <c r="AA259" s="66"/>
      <c r="AB259" s="66"/>
      <c r="AC259" s="80"/>
    </row>
    <row r="260" spans="1:68" ht="27" customHeight="1" x14ac:dyDescent="0.25">
      <c r="A260" s="63" t="s">
        <v>440</v>
      </c>
      <c r="B260" s="63" t="s">
        <v>441</v>
      </c>
      <c r="C260" s="36">
        <v>4301051893</v>
      </c>
      <c r="D260" s="615">
        <v>4680115886186</v>
      </c>
      <c r="E260" s="615"/>
      <c r="F260" s="62">
        <v>0.3</v>
      </c>
      <c r="G260" s="37">
        <v>6</v>
      </c>
      <c r="H260" s="62">
        <v>1.8</v>
      </c>
      <c r="I260" s="62">
        <v>1.98</v>
      </c>
      <c r="J260" s="37">
        <v>182</v>
      </c>
      <c r="K260" s="37" t="s">
        <v>81</v>
      </c>
      <c r="L260" s="37" t="s">
        <v>45</v>
      </c>
      <c r="M260" s="38" t="s">
        <v>90</v>
      </c>
      <c r="N260" s="38"/>
      <c r="O260" s="37">
        <v>45</v>
      </c>
      <c r="P260" s="7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0" s="617"/>
      <c r="R260" s="617"/>
      <c r="S260" s="617"/>
      <c r="T260" s="618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45</v>
      </c>
      <c r="AB260" s="69" t="s">
        <v>45</v>
      </c>
      <c r="AC260" s="332" t="s">
        <v>442</v>
      </c>
      <c r="AG260" s="78"/>
      <c r="AJ260" s="84" t="s">
        <v>45</v>
      </c>
      <c r="AK260" s="84">
        <v>0</v>
      </c>
      <c r="BB260" s="33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443</v>
      </c>
      <c r="B261" s="63" t="s">
        <v>444</v>
      </c>
      <c r="C261" s="36">
        <v>4301051795</v>
      </c>
      <c r="D261" s="615">
        <v>4680115881228</v>
      </c>
      <c r="E261" s="615"/>
      <c r="F261" s="62">
        <v>0.4</v>
      </c>
      <c r="G261" s="37">
        <v>6</v>
      </c>
      <c r="H261" s="62">
        <v>2.4</v>
      </c>
      <c r="I261" s="62">
        <v>2.6520000000000001</v>
      </c>
      <c r="J261" s="37">
        <v>182</v>
      </c>
      <c r="K261" s="37" t="s">
        <v>81</v>
      </c>
      <c r="L261" s="37" t="s">
        <v>45</v>
      </c>
      <c r="M261" s="38" t="s">
        <v>97</v>
      </c>
      <c r="N261" s="38"/>
      <c r="O261" s="37">
        <v>40</v>
      </c>
      <c r="P261" s="74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1" s="617"/>
      <c r="R261" s="617"/>
      <c r="S261" s="617"/>
      <c r="T261" s="618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45</v>
      </c>
      <c r="AB261" s="69" t="s">
        <v>45</v>
      </c>
      <c r="AC261" s="334" t="s">
        <v>445</v>
      </c>
      <c r="AG261" s="78"/>
      <c r="AJ261" s="84" t="s">
        <v>45</v>
      </c>
      <c r="AK261" s="84">
        <v>0</v>
      </c>
      <c r="BB261" s="335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446</v>
      </c>
      <c r="B262" s="63" t="s">
        <v>447</v>
      </c>
      <c r="C262" s="36">
        <v>4301051388</v>
      </c>
      <c r="D262" s="615">
        <v>4680115881211</v>
      </c>
      <c r="E262" s="615"/>
      <c r="F262" s="62">
        <v>0.4</v>
      </c>
      <c r="G262" s="37">
        <v>6</v>
      </c>
      <c r="H262" s="62">
        <v>2.4</v>
      </c>
      <c r="I262" s="62">
        <v>2.58</v>
      </c>
      <c r="J262" s="37">
        <v>182</v>
      </c>
      <c r="K262" s="37" t="s">
        <v>81</v>
      </c>
      <c r="L262" s="37" t="s">
        <v>45</v>
      </c>
      <c r="M262" s="38" t="s">
        <v>90</v>
      </c>
      <c r="N262" s="38"/>
      <c r="O262" s="37">
        <v>45</v>
      </c>
      <c r="P262" s="74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62" s="617"/>
      <c r="R262" s="617"/>
      <c r="S262" s="617"/>
      <c r="T262" s="61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45</v>
      </c>
      <c r="AB262" s="69" t="s">
        <v>45</v>
      </c>
      <c r="AC262" s="336" t="s">
        <v>442</v>
      </c>
      <c r="AG262" s="78"/>
      <c r="AJ262" s="84" t="s">
        <v>45</v>
      </c>
      <c r="AK262" s="84">
        <v>0</v>
      </c>
      <c r="BB262" s="33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623"/>
      <c r="B263" s="623"/>
      <c r="C263" s="623"/>
      <c r="D263" s="623"/>
      <c r="E263" s="623"/>
      <c r="F263" s="623"/>
      <c r="G263" s="623"/>
      <c r="H263" s="623"/>
      <c r="I263" s="623"/>
      <c r="J263" s="623"/>
      <c r="K263" s="623"/>
      <c r="L263" s="623"/>
      <c r="M263" s="623"/>
      <c r="N263" s="623"/>
      <c r="O263" s="624"/>
      <c r="P263" s="620" t="s">
        <v>40</v>
      </c>
      <c r="Q263" s="621"/>
      <c r="R263" s="621"/>
      <c r="S263" s="621"/>
      <c r="T263" s="621"/>
      <c r="U263" s="621"/>
      <c r="V263" s="622"/>
      <c r="W263" s="42" t="s">
        <v>39</v>
      </c>
      <c r="X263" s="43">
        <f>IFERROR(X260/H260,"0")+IFERROR(X261/H261,"0")+IFERROR(X262/H262,"0")</f>
        <v>0</v>
      </c>
      <c r="Y263" s="43">
        <f>IFERROR(Y260/H260,"0")+IFERROR(Y261/H261,"0")+IFERROR(Y262/H262,"0")</f>
        <v>0</v>
      </c>
      <c r="Z263" s="43">
        <f>IFERROR(IF(Z260="",0,Z260),"0")+IFERROR(IF(Z261="",0,Z261),"0")+IFERROR(IF(Z262="",0,Z262),"0")</f>
        <v>0</v>
      </c>
      <c r="AA263" s="67"/>
      <c r="AB263" s="67"/>
      <c r="AC263" s="67"/>
    </row>
    <row r="264" spans="1:68" x14ac:dyDescent="0.2">
      <c r="A264" s="623"/>
      <c r="B264" s="623"/>
      <c r="C264" s="623"/>
      <c r="D264" s="623"/>
      <c r="E264" s="623"/>
      <c r="F264" s="623"/>
      <c r="G264" s="623"/>
      <c r="H264" s="623"/>
      <c r="I264" s="623"/>
      <c r="J264" s="623"/>
      <c r="K264" s="623"/>
      <c r="L264" s="623"/>
      <c r="M264" s="623"/>
      <c r="N264" s="623"/>
      <c r="O264" s="624"/>
      <c r="P264" s="620" t="s">
        <v>40</v>
      </c>
      <c r="Q264" s="621"/>
      <c r="R264" s="621"/>
      <c r="S264" s="621"/>
      <c r="T264" s="621"/>
      <c r="U264" s="621"/>
      <c r="V264" s="622"/>
      <c r="W264" s="42" t="s">
        <v>0</v>
      </c>
      <c r="X264" s="43">
        <f>IFERROR(SUM(X260:X262),"0")</f>
        <v>0</v>
      </c>
      <c r="Y264" s="43">
        <f>IFERROR(SUM(Y260:Y262),"0")</f>
        <v>0</v>
      </c>
      <c r="Z264" s="42"/>
      <c r="AA264" s="67"/>
      <c r="AB264" s="67"/>
      <c r="AC264" s="67"/>
    </row>
    <row r="265" spans="1:68" ht="16.5" customHeight="1" x14ac:dyDescent="0.25">
      <c r="A265" s="613" t="s">
        <v>448</v>
      </c>
      <c r="B265" s="613"/>
      <c r="C265" s="613"/>
      <c r="D265" s="613"/>
      <c r="E265" s="613"/>
      <c r="F265" s="613"/>
      <c r="G265" s="613"/>
      <c r="H265" s="613"/>
      <c r="I265" s="613"/>
      <c r="J265" s="613"/>
      <c r="K265" s="613"/>
      <c r="L265" s="613"/>
      <c r="M265" s="613"/>
      <c r="N265" s="613"/>
      <c r="O265" s="613"/>
      <c r="P265" s="613"/>
      <c r="Q265" s="613"/>
      <c r="R265" s="613"/>
      <c r="S265" s="613"/>
      <c r="T265" s="613"/>
      <c r="U265" s="613"/>
      <c r="V265" s="613"/>
      <c r="W265" s="613"/>
      <c r="X265" s="613"/>
      <c r="Y265" s="613"/>
      <c r="Z265" s="613"/>
      <c r="AA265" s="65"/>
      <c r="AB265" s="65"/>
      <c r="AC265" s="79"/>
    </row>
    <row r="266" spans="1:68" ht="14.25" customHeight="1" x14ac:dyDescent="0.25">
      <c r="A266" s="614" t="s">
        <v>76</v>
      </c>
      <c r="B266" s="614"/>
      <c r="C266" s="614"/>
      <c r="D266" s="614"/>
      <c r="E266" s="614"/>
      <c r="F266" s="614"/>
      <c r="G266" s="614"/>
      <c r="H266" s="614"/>
      <c r="I266" s="614"/>
      <c r="J266" s="614"/>
      <c r="K266" s="614"/>
      <c r="L266" s="614"/>
      <c r="M266" s="614"/>
      <c r="N266" s="614"/>
      <c r="O266" s="614"/>
      <c r="P266" s="614"/>
      <c r="Q266" s="614"/>
      <c r="R266" s="614"/>
      <c r="S266" s="614"/>
      <c r="T266" s="614"/>
      <c r="U266" s="614"/>
      <c r="V266" s="614"/>
      <c r="W266" s="614"/>
      <c r="X266" s="614"/>
      <c r="Y266" s="614"/>
      <c r="Z266" s="614"/>
      <c r="AA266" s="66"/>
      <c r="AB266" s="66"/>
      <c r="AC266" s="80"/>
    </row>
    <row r="267" spans="1:68" ht="27" customHeight="1" x14ac:dyDescent="0.25">
      <c r="A267" s="63" t="s">
        <v>449</v>
      </c>
      <c r="B267" s="63" t="s">
        <v>450</v>
      </c>
      <c r="C267" s="36">
        <v>4301031307</v>
      </c>
      <c r="D267" s="615">
        <v>4680115880344</v>
      </c>
      <c r="E267" s="615"/>
      <c r="F267" s="62">
        <v>0.28000000000000003</v>
      </c>
      <c r="G267" s="37">
        <v>6</v>
      </c>
      <c r="H267" s="62">
        <v>1.68</v>
      </c>
      <c r="I267" s="62">
        <v>1.78</v>
      </c>
      <c r="J267" s="37">
        <v>234</v>
      </c>
      <c r="K267" s="37" t="s">
        <v>85</v>
      </c>
      <c r="L267" s="37" t="s">
        <v>45</v>
      </c>
      <c r="M267" s="38" t="s">
        <v>80</v>
      </c>
      <c r="N267" s="38"/>
      <c r="O267" s="37">
        <v>40</v>
      </c>
      <c r="P267" s="7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7" s="617"/>
      <c r="R267" s="617"/>
      <c r="S267" s="617"/>
      <c r="T267" s="61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IFERROR(IF(Y267=0,"",ROUNDUP(Y267/H267,0)*0.00502),"")</f>
        <v/>
      </c>
      <c r="AA267" s="68" t="s">
        <v>45</v>
      </c>
      <c r="AB267" s="69" t="s">
        <v>45</v>
      </c>
      <c r="AC267" s="338" t="s">
        <v>451</v>
      </c>
      <c r="AG267" s="78"/>
      <c r="AJ267" s="84" t="s">
        <v>45</v>
      </c>
      <c r="AK267" s="84">
        <v>0</v>
      </c>
      <c r="BB267" s="339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4301031429</v>
      </c>
      <c r="D268" s="615">
        <v>4680115886919</v>
      </c>
      <c r="E268" s="615"/>
      <c r="F268" s="62">
        <v>0.4</v>
      </c>
      <c r="G268" s="37">
        <v>6</v>
      </c>
      <c r="H268" s="62">
        <v>2.4</v>
      </c>
      <c r="I268" s="62">
        <v>2.58</v>
      </c>
      <c r="J268" s="37">
        <v>182</v>
      </c>
      <c r="K268" s="37" t="s">
        <v>81</v>
      </c>
      <c r="L268" s="37" t="s">
        <v>45</v>
      </c>
      <c r="M268" s="38" t="s">
        <v>80</v>
      </c>
      <c r="N268" s="38"/>
      <c r="O268" s="37">
        <v>40</v>
      </c>
      <c r="P268" s="75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68" s="617"/>
      <c r="R268" s="617"/>
      <c r="S268" s="617"/>
      <c r="T268" s="618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45</v>
      </c>
      <c r="AB268" s="69" t="s">
        <v>45</v>
      </c>
      <c r="AC268" s="340" t="s">
        <v>454</v>
      </c>
      <c r="AG268" s="78"/>
      <c r="AJ268" s="84" t="s">
        <v>45</v>
      </c>
      <c r="AK268" s="84">
        <v>0</v>
      </c>
      <c r="BB268" s="341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23"/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4"/>
      <c r="P269" s="620" t="s">
        <v>40</v>
      </c>
      <c r="Q269" s="621"/>
      <c r="R269" s="621"/>
      <c r="S269" s="621"/>
      <c r="T269" s="621"/>
      <c r="U269" s="621"/>
      <c r="V269" s="62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23"/>
      <c r="B270" s="623"/>
      <c r="C270" s="623"/>
      <c r="D270" s="623"/>
      <c r="E270" s="623"/>
      <c r="F270" s="623"/>
      <c r="G270" s="623"/>
      <c r="H270" s="623"/>
      <c r="I270" s="623"/>
      <c r="J270" s="623"/>
      <c r="K270" s="623"/>
      <c r="L270" s="623"/>
      <c r="M270" s="623"/>
      <c r="N270" s="623"/>
      <c r="O270" s="624"/>
      <c r="P270" s="620" t="s">
        <v>40</v>
      </c>
      <c r="Q270" s="621"/>
      <c r="R270" s="621"/>
      <c r="S270" s="621"/>
      <c r="T270" s="621"/>
      <c r="U270" s="621"/>
      <c r="V270" s="62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14" t="s">
        <v>86</v>
      </c>
      <c r="B271" s="614"/>
      <c r="C271" s="614"/>
      <c r="D271" s="614"/>
      <c r="E271" s="614"/>
      <c r="F271" s="614"/>
      <c r="G271" s="614"/>
      <c r="H271" s="614"/>
      <c r="I271" s="614"/>
      <c r="J271" s="614"/>
      <c r="K271" s="614"/>
      <c r="L271" s="614"/>
      <c r="M271" s="614"/>
      <c r="N271" s="614"/>
      <c r="O271" s="614"/>
      <c r="P271" s="614"/>
      <c r="Q271" s="614"/>
      <c r="R271" s="614"/>
      <c r="S271" s="614"/>
      <c r="T271" s="614"/>
      <c r="U271" s="614"/>
      <c r="V271" s="614"/>
      <c r="W271" s="614"/>
      <c r="X271" s="614"/>
      <c r="Y271" s="614"/>
      <c r="Z271" s="614"/>
      <c r="AA271" s="66"/>
      <c r="AB271" s="66"/>
      <c r="AC271" s="80"/>
    </row>
    <row r="272" spans="1:68" ht="37.5" customHeight="1" x14ac:dyDescent="0.25">
      <c r="A272" s="63" t="s">
        <v>455</v>
      </c>
      <c r="B272" s="63" t="s">
        <v>456</v>
      </c>
      <c r="C272" s="36">
        <v>4301051782</v>
      </c>
      <c r="D272" s="615">
        <v>4680115884618</v>
      </c>
      <c r="E272" s="615"/>
      <c r="F272" s="62">
        <v>0.6</v>
      </c>
      <c r="G272" s="37">
        <v>6</v>
      </c>
      <c r="H272" s="62">
        <v>3.6</v>
      </c>
      <c r="I272" s="62">
        <v>3.79</v>
      </c>
      <c r="J272" s="37">
        <v>132</v>
      </c>
      <c r="K272" s="37" t="s">
        <v>119</v>
      </c>
      <c r="L272" s="37" t="s">
        <v>45</v>
      </c>
      <c r="M272" s="38" t="s">
        <v>90</v>
      </c>
      <c r="N272" s="38"/>
      <c r="O272" s="37">
        <v>45</v>
      </c>
      <c r="P272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2" s="617"/>
      <c r="R272" s="617"/>
      <c r="S272" s="617"/>
      <c r="T272" s="61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IFERROR(IF(Y272=0,"",ROUNDUP(Y272/H272,0)*0.00902),"")</f>
        <v/>
      </c>
      <c r="AA272" s="68" t="s">
        <v>45</v>
      </c>
      <c r="AB272" s="69" t="s">
        <v>45</v>
      </c>
      <c r="AC272" s="342" t="s">
        <v>457</v>
      </c>
      <c r="AG272" s="78"/>
      <c r="AJ272" s="84" t="s">
        <v>45</v>
      </c>
      <c r="AK272" s="84">
        <v>0</v>
      </c>
      <c r="BB272" s="343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458</v>
      </c>
      <c r="B273" s="63" t="s">
        <v>459</v>
      </c>
      <c r="C273" s="36">
        <v>4301052057</v>
      </c>
      <c r="D273" s="615">
        <v>4680115887114</v>
      </c>
      <c r="E273" s="615"/>
      <c r="F273" s="62">
        <v>0.55000000000000004</v>
      </c>
      <c r="G273" s="37">
        <v>6</v>
      </c>
      <c r="H273" s="62">
        <v>3.3</v>
      </c>
      <c r="I273" s="62">
        <v>3.49</v>
      </c>
      <c r="J273" s="37">
        <v>132</v>
      </c>
      <c r="K273" s="37" t="s">
        <v>119</v>
      </c>
      <c r="L273" s="37" t="s">
        <v>45</v>
      </c>
      <c r="M273" s="38" t="s">
        <v>90</v>
      </c>
      <c r="N273" s="38"/>
      <c r="O273" s="37">
        <v>45</v>
      </c>
      <c r="P273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73" s="617"/>
      <c r="R273" s="617"/>
      <c r="S273" s="617"/>
      <c r="T273" s="61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IFERROR(IF(Y273=0,"",ROUNDUP(Y273/H273,0)*0.00902),"")</f>
        <v/>
      </c>
      <c r="AA273" s="68" t="s">
        <v>45</v>
      </c>
      <c r="AB273" s="69" t="s">
        <v>45</v>
      </c>
      <c r="AC273" s="344" t="s">
        <v>460</v>
      </c>
      <c r="AG273" s="78"/>
      <c r="AJ273" s="84" t="s">
        <v>45</v>
      </c>
      <c r="AK273" s="84">
        <v>0</v>
      </c>
      <c r="BB273" s="345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3"/>
      <c r="B274" s="623"/>
      <c r="C274" s="623"/>
      <c r="D274" s="623"/>
      <c r="E274" s="623"/>
      <c r="F274" s="623"/>
      <c r="G274" s="623"/>
      <c r="H274" s="623"/>
      <c r="I274" s="623"/>
      <c r="J274" s="623"/>
      <c r="K274" s="623"/>
      <c r="L274" s="623"/>
      <c r="M274" s="623"/>
      <c r="N274" s="623"/>
      <c r="O274" s="624"/>
      <c r="P274" s="620" t="s">
        <v>40</v>
      </c>
      <c r="Q274" s="621"/>
      <c r="R274" s="621"/>
      <c r="S274" s="621"/>
      <c r="T274" s="621"/>
      <c r="U274" s="621"/>
      <c r="V274" s="622"/>
      <c r="W274" s="42" t="s">
        <v>39</v>
      </c>
      <c r="X274" s="43">
        <f>IFERROR(X272/H272,"0")+IFERROR(X273/H273,"0")</f>
        <v>0</v>
      </c>
      <c r="Y274" s="43">
        <f>IFERROR(Y272/H272,"0")+IFERROR(Y273/H273,"0")</f>
        <v>0</v>
      </c>
      <c r="Z274" s="43">
        <f>IFERROR(IF(Z272="",0,Z272),"0")+IFERROR(IF(Z273="",0,Z273),"0")</f>
        <v>0</v>
      </c>
      <c r="AA274" s="67"/>
      <c r="AB274" s="67"/>
      <c r="AC274" s="67"/>
    </row>
    <row r="275" spans="1:68" x14ac:dyDescent="0.2">
      <c r="A275" s="623"/>
      <c r="B275" s="623"/>
      <c r="C275" s="623"/>
      <c r="D275" s="623"/>
      <c r="E275" s="623"/>
      <c r="F275" s="623"/>
      <c r="G275" s="623"/>
      <c r="H275" s="623"/>
      <c r="I275" s="623"/>
      <c r="J275" s="623"/>
      <c r="K275" s="623"/>
      <c r="L275" s="623"/>
      <c r="M275" s="623"/>
      <c r="N275" s="623"/>
      <c r="O275" s="624"/>
      <c r="P275" s="620" t="s">
        <v>40</v>
      </c>
      <c r="Q275" s="621"/>
      <c r="R275" s="621"/>
      <c r="S275" s="621"/>
      <c r="T275" s="621"/>
      <c r="U275" s="621"/>
      <c r="V275" s="622"/>
      <c r="W275" s="42" t="s">
        <v>0</v>
      </c>
      <c r="X275" s="43">
        <f>IFERROR(SUM(X272:X273),"0")</f>
        <v>0</v>
      </c>
      <c r="Y275" s="43">
        <f>IFERROR(SUM(Y272:Y273),"0")</f>
        <v>0</v>
      </c>
      <c r="Z275" s="42"/>
      <c r="AA275" s="67"/>
      <c r="AB275" s="67"/>
      <c r="AC275" s="67"/>
    </row>
    <row r="276" spans="1:68" ht="16.5" customHeight="1" x14ac:dyDescent="0.25">
      <c r="A276" s="613" t="s">
        <v>461</v>
      </c>
      <c r="B276" s="613"/>
      <c r="C276" s="613"/>
      <c r="D276" s="613"/>
      <c r="E276" s="613"/>
      <c r="F276" s="613"/>
      <c r="G276" s="613"/>
      <c r="H276" s="613"/>
      <c r="I276" s="613"/>
      <c r="J276" s="613"/>
      <c r="K276" s="613"/>
      <c r="L276" s="613"/>
      <c r="M276" s="613"/>
      <c r="N276" s="613"/>
      <c r="O276" s="613"/>
      <c r="P276" s="613"/>
      <c r="Q276" s="613"/>
      <c r="R276" s="613"/>
      <c r="S276" s="613"/>
      <c r="T276" s="613"/>
      <c r="U276" s="613"/>
      <c r="V276" s="613"/>
      <c r="W276" s="613"/>
      <c r="X276" s="613"/>
      <c r="Y276" s="613"/>
      <c r="Z276" s="613"/>
      <c r="AA276" s="65"/>
      <c r="AB276" s="65"/>
      <c r="AC276" s="79"/>
    </row>
    <row r="277" spans="1:68" ht="14.25" customHeight="1" x14ac:dyDescent="0.25">
      <c r="A277" s="614" t="s">
        <v>111</v>
      </c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4301012126</v>
      </c>
      <c r="D278" s="615">
        <v>4607091386004</v>
      </c>
      <c r="E278" s="615"/>
      <c r="F278" s="62">
        <v>1.35</v>
      </c>
      <c r="G278" s="37">
        <v>8</v>
      </c>
      <c r="H278" s="62">
        <v>10.8</v>
      </c>
      <c r="I278" s="62">
        <v>11.21</v>
      </c>
      <c r="J278" s="37">
        <v>64</v>
      </c>
      <c r="K278" s="37" t="s">
        <v>116</v>
      </c>
      <c r="L278" s="37" t="s">
        <v>45</v>
      </c>
      <c r="M278" s="38" t="s">
        <v>115</v>
      </c>
      <c r="N278" s="38"/>
      <c r="O278" s="37">
        <v>55</v>
      </c>
      <c r="P278" s="7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78" s="617"/>
      <c r="R278" s="617"/>
      <c r="S278" s="617"/>
      <c r="T278" s="618"/>
      <c r="U278" s="39" t="s">
        <v>45</v>
      </c>
      <c r="V278" s="39" t="s">
        <v>45</v>
      </c>
      <c r="W278" s="40" t="s">
        <v>0</v>
      </c>
      <c r="X278" s="58">
        <v>0</v>
      </c>
      <c r="Y278" s="55">
        <f t="shared" ref="Y278:Y283" si="26">IFERROR(IF(X278="",0,CEILING((X278/$H278),1)*$H278),"")</f>
        <v>0</v>
      </c>
      <c r="Z278" s="41" t="str">
        <f>IFERROR(IF(Y278=0,"",ROUNDUP(Y278/H278,0)*0.01898),"")</f>
        <v/>
      </c>
      <c r="AA278" s="68" t="s">
        <v>45</v>
      </c>
      <c r="AB278" s="69" t="s">
        <v>45</v>
      </c>
      <c r="AC278" s="346" t="s">
        <v>464</v>
      </c>
      <c r="AG278" s="78"/>
      <c r="AJ278" s="84" t="s">
        <v>45</v>
      </c>
      <c r="AK278" s="84">
        <v>0</v>
      </c>
      <c r="BB278" s="347" t="s">
        <v>66</v>
      </c>
      <c r="BM278" s="78">
        <f t="shared" ref="BM278:BM283" si="27">IFERROR(X278*I278/H278,"0")</f>
        <v>0</v>
      </c>
      <c r="BN278" s="78">
        <f t="shared" ref="BN278:BN283" si="28">IFERROR(Y278*I278/H278,"0")</f>
        <v>0</v>
      </c>
      <c r="BO278" s="78">
        <f t="shared" ref="BO278:BO283" si="29">IFERROR(1/J278*(X278/H278),"0")</f>
        <v>0</v>
      </c>
      <c r="BP278" s="78">
        <f t="shared" ref="BP278:BP283" si="30"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4301012024</v>
      </c>
      <c r="D279" s="615">
        <v>4680115885615</v>
      </c>
      <c r="E279" s="615"/>
      <c r="F279" s="62">
        <v>1.35</v>
      </c>
      <c r="G279" s="37">
        <v>8</v>
      </c>
      <c r="H279" s="62">
        <v>10.8</v>
      </c>
      <c r="I279" s="62">
        <v>11.21</v>
      </c>
      <c r="J279" s="37">
        <v>64</v>
      </c>
      <c r="K279" s="37" t="s">
        <v>116</v>
      </c>
      <c r="L279" s="37" t="s">
        <v>45</v>
      </c>
      <c r="M279" s="38" t="s">
        <v>90</v>
      </c>
      <c r="N279" s="38"/>
      <c r="O279" s="37">
        <v>55</v>
      </c>
      <c r="P279" s="75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79" s="617"/>
      <c r="R279" s="617"/>
      <c r="S279" s="617"/>
      <c r="T279" s="618"/>
      <c r="U279" s="39" t="s">
        <v>45</v>
      </c>
      <c r="V279" s="39" t="s">
        <v>45</v>
      </c>
      <c r="W279" s="40" t="s">
        <v>0</v>
      </c>
      <c r="X279" s="58">
        <v>0</v>
      </c>
      <c r="Y279" s="55">
        <f t="shared" si="26"/>
        <v>0</v>
      </c>
      <c r="Z279" s="41" t="str">
        <f>IFERROR(IF(Y279=0,"",ROUNDUP(Y279/H279,0)*0.01898),"")</f>
        <v/>
      </c>
      <c r="AA279" s="68" t="s">
        <v>45</v>
      </c>
      <c r="AB279" s="69" t="s">
        <v>45</v>
      </c>
      <c r="AC279" s="348" t="s">
        <v>467</v>
      </c>
      <c r="AG279" s="78"/>
      <c r="AJ279" s="84" t="s">
        <v>45</v>
      </c>
      <c r="AK279" s="84">
        <v>0</v>
      </c>
      <c r="BB279" s="349" t="s">
        <v>66</v>
      </c>
      <c r="BM279" s="78">
        <f t="shared" si="27"/>
        <v>0</v>
      </c>
      <c r="BN279" s="78">
        <f t="shared" si="28"/>
        <v>0</v>
      </c>
      <c r="BO279" s="78">
        <f t="shared" si="29"/>
        <v>0</v>
      </c>
      <c r="BP279" s="78">
        <f t="shared" si="30"/>
        <v>0</v>
      </c>
    </row>
    <row r="280" spans="1:68" ht="37.5" customHeight="1" x14ac:dyDescent="0.25">
      <c r="A280" s="63" t="s">
        <v>468</v>
      </c>
      <c r="B280" s="63" t="s">
        <v>469</v>
      </c>
      <c r="C280" s="36">
        <v>4301011858</v>
      </c>
      <c r="D280" s="615">
        <v>4680115885646</v>
      </c>
      <c r="E280" s="615"/>
      <c r="F280" s="62">
        <v>1.35</v>
      </c>
      <c r="G280" s="37">
        <v>8</v>
      </c>
      <c r="H280" s="62">
        <v>10.8</v>
      </c>
      <c r="I280" s="62">
        <v>11.21</v>
      </c>
      <c r="J280" s="37">
        <v>64</v>
      </c>
      <c r="K280" s="37" t="s">
        <v>116</v>
      </c>
      <c r="L280" s="37" t="s">
        <v>45</v>
      </c>
      <c r="M280" s="38" t="s">
        <v>115</v>
      </c>
      <c r="N280" s="38"/>
      <c r="O280" s="37">
        <v>55</v>
      </c>
      <c r="P280" s="75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0" s="617"/>
      <c r="R280" s="617"/>
      <c r="S280" s="617"/>
      <c r="T280" s="618"/>
      <c r="U280" s="39" t="s">
        <v>45</v>
      </c>
      <c r="V280" s="39" t="s">
        <v>45</v>
      </c>
      <c r="W280" s="40" t="s">
        <v>0</v>
      </c>
      <c r="X280" s="58">
        <v>0</v>
      </c>
      <c r="Y280" s="55">
        <f t="shared" si="26"/>
        <v>0</v>
      </c>
      <c r="Z280" s="41" t="str">
        <f>IFERROR(IF(Y280=0,"",ROUNDUP(Y280/H280,0)*0.01898),"")</f>
        <v/>
      </c>
      <c r="AA280" s="68" t="s">
        <v>45</v>
      </c>
      <c r="AB280" s="69" t="s">
        <v>45</v>
      </c>
      <c r="AC280" s="350" t="s">
        <v>470</v>
      </c>
      <c r="AG280" s="78"/>
      <c r="AJ280" s="84" t="s">
        <v>45</v>
      </c>
      <c r="AK280" s="84">
        <v>0</v>
      </c>
      <c r="BB280" s="351" t="s">
        <v>66</v>
      </c>
      <c r="BM280" s="78">
        <f t="shared" si="27"/>
        <v>0</v>
      </c>
      <c r="BN280" s="78">
        <f t="shared" si="28"/>
        <v>0</v>
      </c>
      <c r="BO280" s="78">
        <f t="shared" si="29"/>
        <v>0</v>
      </c>
      <c r="BP280" s="78">
        <f t="shared" si="30"/>
        <v>0</v>
      </c>
    </row>
    <row r="281" spans="1:68" ht="27" customHeight="1" x14ac:dyDescent="0.25">
      <c r="A281" s="63" t="s">
        <v>471</v>
      </c>
      <c r="B281" s="63" t="s">
        <v>472</v>
      </c>
      <c r="C281" s="36">
        <v>4301012016</v>
      </c>
      <c r="D281" s="615">
        <v>4680115885554</v>
      </c>
      <c r="E281" s="615"/>
      <c r="F281" s="62">
        <v>1.35</v>
      </c>
      <c r="G281" s="37">
        <v>8</v>
      </c>
      <c r="H281" s="62">
        <v>10.8</v>
      </c>
      <c r="I281" s="62">
        <v>11.21</v>
      </c>
      <c r="J281" s="37">
        <v>64</v>
      </c>
      <c r="K281" s="37" t="s">
        <v>116</v>
      </c>
      <c r="L281" s="37" t="s">
        <v>45</v>
      </c>
      <c r="M281" s="38" t="s">
        <v>90</v>
      </c>
      <c r="N281" s="38"/>
      <c r="O281" s="37">
        <v>55</v>
      </c>
      <c r="P281" s="7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81" s="617"/>
      <c r="R281" s="617"/>
      <c r="S281" s="617"/>
      <c r="T281" s="618"/>
      <c r="U281" s="39" t="s">
        <v>45</v>
      </c>
      <c r="V281" s="39" t="s">
        <v>45</v>
      </c>
      <c r="W281" s="40" t="s">
        <v>0</v>
      </c>
      <c r="X281" s="58">
        <v>0</v>
      </c>
      <c r="Y281" s="55">
        <f t="shared" si="26"/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52" t="s">
        <v>473</v>
      </c>
      <c r="AG281" s="78"/>
      <c r="AJ281" s="84" t="s">
        <v>45</v>
      </c>
      <c r="AK281" s="84">
        <v>0</v>
      </c>
      <c r="BB281" s="353" t="s">
        <v>66</v>
      </c>
      <c r="BM281" s="78">
        <f t="shared" si="27"/>
        <v>0</v>
      </c>
      <c r="BN281" s="78">
        <f t="shared" si="28"/>
        <v>0</v>
      </c>
      <c r="BO281" s="78">
        <f t="shared" si="29"/>
        <v>0</v>
      </c>
      <c r="BP281" s="78">
        <f t="shared" si="30"/>
        <v>0</v>
      </c>
    </row>
    <row r="282" spans="1:68" ht="27" customHeight="1" x14ac:dyDescent="0.25">
      <c r="A282" s="63" t="s">
        <v>474</v>
      </c>
      <c r="B282" s="63" t="s">
        <v>475</v>
      </c>
      <c r="C282" s="36">
        <v>4301011857</v>
      </c>
      <c r="D282" s="615">
        <v>4680115885622</v>
      </c>
      <c r="E282" s="615"/>
      <c r="F282" s="62">
        <v>0.4</v>
      </c>
      <c r="G282" s="37">
        <v>10</v>
      </c>
      <c r="H282" s="62">
        <v>4</v>
      </c>
      <c r="I282" s="62">
        <v>4.1900000000000004</v>
      </c>
      <c r="J282" s="37">
        <v>132</v>
      </c>
      <c r="K282" s="37" t="s">
        <v>119</v>
      </c>
      <c r="L282" s="37" t="s">
        <v>45</v>
      </c>
      <c r="M282" s="38" t="s">
        <v>115</v>
      </c>
      <c r="N282" s="38"/>
      <c r="O282" s="37">
        <v>55</v>
      </c>
      <c r="P282" s="75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82" s="617"/>
      <c r="R282" s="617"/>
      <c r="S282" s="617"/>
      <c r="T282" s="618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si="26"/>
        <v>0</v>
      </c>
      <c r="Z282" s="41" t="str">
        <f>IFERROR(IF(Y282=0,"",ROUNDUP(Y282/H282,0)*0.00902),"")</f>
        <v/>
      </c>
      <c r="AA282" s="68" t="s">
        <v>45</v>
      </c>
      <c r="AB282" s="69" t="s">
        <v>45</v>
      </c>
      <c r="AC282" s="354" t="s">
        <v>467</v>
      </c>
      <c r="AG282" s="78"/>
      <c r="AJ282" s="84" t="s">
        <v>45</v>
      </c>
      <c r="AK282" s="84">
        <v>0</v>
      </c>
      <c r="BB282" s="355" t="s">
        <v>66</v>
      </c>
      <c r="BM282" s="78">
        <f t="shared" si="27"/>
        <v>0</v>
      </c>
      <c r="BN282" s="78">
        <f t="shared" si="28"/>
        <v>0</v>
      </c>
      <c r="BO282" s="78">
        <f t="shared" si="29"/>
        <v>0</v>
      </c>
      <c r="BP282" s="78">
        <f t="shared" si="30"/>
        <v>0</v>
      </c>
    </row>
    <row r="283" spans="1:68" ht="27" customHeight="1" x14ac:dyDescent="0.25">
      <c r="A283" s="63" t="s">
        <v>476</v>
      </c>
      <c r="B283" s="63" t="s">
        <v>477</v>
      </c>
      <c r="C283" s="36">
        <v>4301011859</v>
      </c>
      <c r="D283" s="615">
        <v>4680115885608</v>
      </c>
      <c r="E283" s="615"/>
      <c r="F283" s="62">
        <v>0.4</v>
      </c>
      <c r="G283" s="37">
        <v>10</v>
      </c>
      <c r="H283" s="62">
        <v>4</v>
      </c>
      <c r="I283" s="62">
        <v>4.1900000000000004</v>
      </c>
      <c r="J283" s="37">
        <v>132</v>
      </c>
      <c r="K283" s="37" t="s">
        <v>119</v>
      </c>
      <c r="L283" s="37" t="s">
        <v>45</v>
      </c>
      <c r="M283" s="38" t="s">
        <v>115</v>
      </c>
      <c r="N283" s="38"/>
      <c r="O283" s="37">
        <v>55</v>
      </c>
      <c r="P28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83" s="617"/>
      <c r="R283" s="617"/>
      <c r="S283" s="617"/>
      <c r="T283" s="618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26"/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56" t="s">
        <v>478</v>
      </c>
      <c r="AG283" s="78"/>
      <c r="AJ283" s="84" t="s">
        <v>45</v>
      </c>
      <c r="AK283" s="84">
        <v>0</v>
      </c>
      <c r="BB283" s="357" t="s">
        <v>66</v>
      </c>
      <c r="BM283" s="78">
        <f t="shared" si="27"/>
        <v>0</v>
      </c>
      <c r="BN283" s="78">
        <f t="shared" si="28"/>
        <v>0</v>
      </c>
      <c r="BO283" s="78">
        <f t="shared" si="29"/>
        <v>0</v>
      </c>
      <c r="BP283" s="78">
        <f t="shared" si="30"/>
        <v>0</v>
      </c>
    </row>
    <row r="284" spans="1:68" x14ac:dyDescent="0.2">
      <c r="A284" s="623"/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4"/>
      <c r="P284" s="620" t="s">
        <v>40</v>
      </c>
      <c r="Q284" s="621"/>
      <c r="R284" s="621"/>
      <c r="S284" s="621"/>
      <c r="T284" s="621"/>
      <c r="U284" s="621"/>
      <c r="V284" s="622"/>
      <c r="W284" s="42" t="s">
        <v>39</v>
      </c>
      <c r="X284" s="43">
        <f>IFERROR(X278/H278,"0")+IFERROR(X279/H279,"0")+IFERROR(X280/H280,"0")+IFERROR(X281/H281,"0")+IFERROR(X282/H282,"0")+IFERROR(X283/H283,"0")</f>
        <v>0</v>
      </c>
      <c r="Y284" s="43">
        <f>IFERROR(Y278/H278,"0")+IFERROR(Y279/H279,"0")+IFERROR(Y280/H280,"0")+IFERROR(Y281/H281,"0")+IFERROR(Y282/H282,"0")+IFERROR(Y283/H283,"0")</f>
        <v>0</v>
      </c>
      <c r="Z284" s="43">
        <f>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623"/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4"/>
      <c r="P285" s="620" t="s">
        <v>40</v>
      </c>
      <c r="Q285" s="621"/>
      <c r="R285" s="621"/>
      <c r="S285" s="621"/>
      <c r="T285" s="621"/>
      <c r="U285" s="621"/>
      <c r="V285" s="622"/>
      <c r="W285" s="42" t="s">
        <v>0</v>
      </c>
      <c r="X285" s="43">
        <f>IFERROR(SUM(X278:X283),"0")</f>
        <v>0</v>
      </c>
      <c r="Y285" s="43">
        <f>IFERROR(SUM(Y278:Y283),"0")</f>
        <v>0</v>
      </c>
      <c r="Z285" s="42"/>
      <c r="AA285" s="67"/>
      <c r="AB285" s="67"/>
      <c r="AC285" s="67"/>
    </row>
    <row r="286" spans="1:68" ht="14.25" customHeight="1" x14ac:dyDescent="0.25">
      <c r="A286" s="614" t="s">
        <v>76</v>
      </c>
      <c r="B286" s="614"/>
      <c r="C286" s="614"/>
      <c r="D286" s="614"/>
      <c r="E286" s="614"/>
      <c r="F286" s="614"/>
      <c r="G286" s="614"/>
      <c r="H286" s="614"/>
      <c r="I286" s="614"/>
      <c r="J286" s="614"/>
      <c r="K286" s="614"/>
      <c r="L286" s="614"/>
      <c r="M286" s="614"/>
      <c r="N286" s="614"/>
      <c r="O286" s="614"/>
      <c r="P286" s="614"/>
      <c r="Q286" s="614"/>
      <c r="R286" s="614"/>
      <c r="S286" s="614"/>
      <c r="T286" s="614"/>
      <c r="U286" s="614"/>
      <c r="V286" s="614"/>
      <c r="W286" s="614"/>
      <c r="X286" s="614"/>
      <c r="Y286" s="614"/>
      <c r="Z286" s="614"/>
      <c r="AA286" s="66"/>
      <c r="AB286" s="66"/>
      <c r="AC286" s="80"/>
    </row>
    <row r="287" spans="1:68" ht="27" customHeight="1" x14ac:dyDescent="0.25">
      <c r="A287" s="63" t="s">
        <v>479</v>
      </c>
      <c r="B287" s="63" t="s">
        <v>480</v>
      </c>
      <c r="C287" s="36">
        <v>4301030878</v>
      </c>
      <c r="D287" s="615">
        <v>4607091387193</v>
      </c>
      <c r="E287" s="615"/>
      <c r="F287" s="62">
        <v>0.7</v>
      </c>
      <c r="G287" s="37">
        <v>6</v>
      </c>
      <c r="H287" s="62">
        <v>4.2</v>
      </c>
      <c r="I287" s="62">
        <v>4.45</v>
      </c>
      <c r="J287" s="37">
        <v>132</v>
      </c>
      <c r="K287" s="37" t="s">
        <v>119</v>
      </c>
      <c r="L287" s="37" t="s">
        <v>45</v>
      </c>
      <c r="M287" s="38" t="s">
        <v>80</v>
      </c>
      <c r="N287" s="38"/>
      <c r="O287" s="37">
        <v>35</v>
      </c>
      <c r="P287" s="75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7" s="617"/>
      <c r="R287" s="617"/>
      <c r="S287" s="617"/>
      <c r="T287" s="618"/>
      <c r="U287" s="39" t="s">
        <v>45</v>
      </c>
      <c r="V287" s="39" t="s">
        <v>45</v>
      </c>
      <c r="W287" s="40" t="s">
        <v>0</v>
      </c>
      <c r="X287" s="58">
        <v>0</v>
      </c>
      <c r="Y287" s="55">
        <f t="shared" ref="Y287:Y292" si="31">IFERROR(IF(X287="",0,CEILING((X287/$H287),1)*$H287),"")</f>
        <v>0</v>
      </c>
      <c r="Z287" s="41" t="str">
        <f>IFERROR(IF(Y287=0,"",ROUNDUP(Y287/H287,0)*0.00902),"")</f>
        <v/>
      </c>
      <c r="AA287" s="68" t="s">
        <v>45</v>
      </c>
      <c r="AB287" s="69" t="s">
        <v>45</v>
      </c>
      <c r="AC287" s="358" t="s">
        <v>481</v>
      </c>
      <c r="AG287" s="78"/>
      <c r="AJ287" s="84" t="s">
        <v>45</v>
      </c>
      <c r="AK287" s="84">
        <v>0</v>
      </c>
      <c r="BB287" s="359" t="s">
        <v>66</v>
      </c>
      <c r="BM287" s="78">
        <f t="shared" ref="BM287:BM292" si="32">IFERROR(X287*I287/H287,"0")</f>
        <v>0</v>
      </c>
      <c r="BN287" s="78">
        <f t="shared" ref="BN287:BN292" si="33">IFERROR(Y287*I287/H287,"0")</f>
        <v>0</v>
      </c>
      <c r="BO287" s="78">
        <f t="shared" ref="BO287:BO292" si="34">IFERROR(1/J287*(X287/H287),"0")</f>
        <v>0</v>
      </c>
      <c r="BP287" s="78">
        <f t="shared" ref="BP287:BP292" si="35">IFERROR(1/J287*(Y287/H287),"0")</f>
        <v>0</v>
      </c>
    </row>
    <row r="288" spans="1:68" ht="27" customHeight="1" x14ac:dyDescent="0.25">
      <c r="A288" s="63" t="s">
        <v>482</v>
      </c>
      <c r="B288" s="63" t="s">
        <v>483</v>
      </c>
      <c r="C288" s="36">
        <v>4301031153</v>
      </c>
      <c r="D288" s="615">
        <v>4607091387230</v>
      </c>
      <c r="E288" s="615"/>
      <c r="F288" s="62">
        <v>0.7</v>
      </c>
      <c r="G288" s="37">
        <v>6</v>
      </c>
      <c r="H288" s="62">
        <v>4.2</v>
      </c>
      <c r="I288" s="62">
        <v>4.45</v>
      </c>
      <c r="J288" s="37">
        <v>132</v>
      </c>
      <c r="K288" s="37" t="s">
        <v>119</v>
      </c>
      <c r="L288" s="37" t="s">
        <v>45</v>
      </c>
      <c r="M288" s="38" t="s">
        <v>80</v>
      </c>
      <c r="N288" s="38"/>
      <c r="O288" s="37">
        <v>40</v>
      </c>
      <c r="P288" s="76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88" s="617"/>
      <c r="R288" s="617"/>
      <c r="S288" s="617"/>
      <c r="T288" s="618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si="31"/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60" t="s">
        <v>484</v>
      </c>
      <c r="AG288" s="78"/>
      <c r="AJ288" s="84" t="s">
        <v>45</v>
      </c>
      <c r="AK288" s="84">
        <v>0</v>
      </c>
      <c r="BB288" s="361" t="s">
        <v>66</v>
      </c>
      <c r="BM288" s="78">
        <f t="shared" si="32"/>
        <v>0</v>
      </c>
      <c r="BN288" s="78">
        <f t="shared" si="33"/>
        <v>0</v>
      </c>
      <c r="BO288" s="78">
        <f t="shared" si="34"/>
        <v>0</v>
      </c>
      <c r="BP288" s="78">
        <f t="shared" si="35"/>
        <v>0</v>
      </c>
    </row>
    <row r="289" spans="1:68" ht="27" customHeight="1" x14ac:dyDescent="0.25">
      <c r="A289" s="63" t="s">
        <v>485</v>
      </c>
      <c r="B289" s="63" t="s">
        <v>486</v>
      </c>
      <c r="C289" s="36">
        <v>4301031154</v>
      </c>
      <c r="D289" s="615">
        <v>4607091387292</v>
      </c>
      <c r="E289" s="615"/>
      <c r="F289" s="62">
        <v>0.73</v>
      </c>
      <c r="G289" s="37">
        <v>6</v>
      </c>
      <c r="H289" s="62">
        <v>4.38</v>
      </c>
      <c r="I289" s="62">
        <v>4.63</v>
      </c>
      <c r="J289" s="37">
        <v>132</v>
      </c>
      <c r="K289" s="37" t="s">
        <v>119</v>
      </c>
      <c r="L289" s="37" t="s">
        <v>45</v>
      </c>
      <c r="M289" s="38" t="s">
        <v>80</v>
      </c>
      <c r="N289" s="38"/>
      <c r="O289" s="37">
        <v>45</v>
      </c>
      <c r="P289" s="76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89" s="617"/>
      <c r="R289" s="617"/>
      <c r="S289" s="617"/>
      <c r="T289" s="618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si="31"/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62" t="s">
        <v>487</v>
      </c>
      <c r="AG289" s="78"/>
      <c r="AJ289" s="84" t="s">
        <v>45</v>
      </c>
      <c r="AK289" s="84">
        <v>0</v>
      </c>
      <c r="BB289" s="363" t="s">
        <v>66</v>
      </c>
      <c r="BM289" s="78">
        <f t="shared" si="32"/>
        <v>0</v>
      </c>
      <c r="BN289" s="78">
        <f t="shared" si="33"/>
        <v>0</v>
      </c>
      <c r="BO289" s="78">
        <f t="shared" si="34"/>
        <v>0</v>
      </c>
      <c r="BP289" s="78">
        <f t="shared" si="35"/>
        <v>0</v>
      </c>
    </row>
    <row r="290" spans="1:68" ht="27" customHeight="1" x14ac:dyDescent="0.25">
      <c r="A290" s="63" t="s">
        <v>488</v>
      </c>
      <c r="B290" s="63" t="s">
        <v>489</v>
      </c>
      <c r="C290" s="36">
        <v>4301031152</v>
      </c>
      <c r="D290" s="615">
        <v>4607091387285</v>
      </c>
      <c r="E290" s="615"/>
      <c r="F290" s="62">
        <v>0.35</v>
      </c>
      <c r="G290" s="37">
        <v>6</v>
      </c>
      <c r="H290" s="62">
        <v>2.1</v>
      </c>
      <c r="I290" s="62">
        <v>2.23</v>
      </c>
      <c r="J290" s="37">
        <v>234</v>
      </c>
      <c r="K290" s="37" t="s">
        <v>85</v>
      </c>
      <c r="L290" s="37" t="s">
        <v>45</v>
      </c>
      <c r="M290" s="38" t="s">
        <v>80</v>
      </c>
      <c r="N290" s="38"/>
      <c r="O290" s="37">
        <v>40</v>
      </c>
      <c r="P290" s="7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0" s="617"/>
      <c r="R290" s="617"/>
      <c r="S290" s="617"/>
      <c r="T290" s="618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31"/>
        <v>0</v>
      </c>
      <c r="Z290" s="41" t="str">
        <f>IFERROR(IF(Y290=0,"",ROUNDUP(Y290/H290,0)*0.00502),"")</f>
        <v/>
      </c>
      <c r="AA290" s="68" t="s">
        <v>45</v>
      </c>
      <c r="AB290" s="69" t="s">
        <v>45</v>
      </c>
      <c r="AC290" s="364" t="s">
        <v>484</v>
      </c>
      <c r="AG290" s="78"/>
      <c r="AJ290" s="84" t="s">
        <v>45</v>
      </c>
      <c r="AK290" s="84">
        <v>0</v>
      </c>
      <c r="BB290" s="365" t="s">
        <v>66</v>
      </c>
      <c r="BM290" s="78">
        <f t="shared" si="32"/>
        <v>0</v>
      </c>
      <c r="BN290" s="78">
        <f t="shared" si="33"/>
        <v>0</v>
      </c>
      <c r="BO290" s="78">
        <f t="shared" si="34"/>
        <v>0</v>
      </c>
      <c r="BP290" s="78">
        <f t="shared" si="35"/>
        <v>0</v>
      </c>
    </row>
    <row r="291" spans="1:68" ht="27" customHeight="1" x14ac:dyDescent="0.25">
      <c r="A291" s="63" t="s">
        <v>490</v>
      </c>
      <c r="B291" s="63" t="s">
        <v>491</v>
      </c>
      <c r="C291" s="36">
        <v>4301031305</v>
      </c>
      <c r="D291" s="615">
        <v>4607091389845</v>
      </c>
      <c r="E291" s="615"/>
      <c r="F291" s="62">
        <v>0.35</v>
      </c>
      <c r="G291" s="37">
        <v>6</v>
      </c>
      <c r="H291" s="62">
        <v>2.1</v>
      </c>
      <c r="I291" s="62">
        <v>2.2000000000000002</v>
      </c>
      <c r="J291" s="37">
        <v>234</v>
      </c>
      <c r="K291" s="37" t="s">
        <v>85</v>
      </c>
      <c r="L291" s="37" t="s">
        <v>45</v>
      </c>
      <c r="M291" s="38" t="s">
        <v>80</v>
      </c>
      <c r="N291" s="38"/>
      <c r="O291" s="37">
        <v>40</v>
      </c>
      <c r="P291" s="76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91" s="617"/>
      <c r="R291" s="617"/>
      <c r="S291" s="617"/>
      <c r="T291" s="618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31"/>
        <v>0</v>
      </c>
      <c r="Z291" s="41" t="str">
        <f>IFERROR(IF(Y291=0,"",ROUNDUP(Y291/H291,0)*0.00502),"")</f>
        <v/>
      </c>
      <c r="AA291" s="68" t="s">
        <v>45</v>
      </c>
      <c r="AB291" s="69" t="s">
        <v>45</v>
      </c>
      <c r="AC291" s="366" t="s">
        <v>492</v>
      </c>
      <c r="AG291" s="78"/>
      <c r="AJ291" s="84" t="s">
        <v>45</v>
      </c>
      <c r="AK291" s="84">
        <v>0</v>
      </c>
      <c r="BB291" s="367" t="s">
        <v>66</v>
      </c>
      <c r="BM291" s="78">
        <f t="shared" si="32"/>
        <v>0</v>
      </c>
      <c r="BN291" s="78">
        <f t="shared" si="33"/>
        <v>0</v>
      </c>
      <c r="BO291" s="78">
        <f t="shared" si="34"/>
        <v>0</v>
      </c>
      <c r="BP291" s="78">
        <f t="shared" si="35"/>
        <v>0</v>
      </c>
    </row>
    <row r="292" spans="1:68" ht="27" customHeight="1" x14ac:dyDescent="0.25">
      <c r="A292" s="63" t="s">
        <v>493</v>
      </c>
      <c r="B292" s="63" t="s">
        <v>494</v>
      </c>
      <c r="C292" s="36">
        <v>4301031066</v>
      </c>
      <c r="D292" s="615">
        <v>4607091383836</v>
      </c>
      <c r="E292" s="615"/>
      <c r="F292" s="62">
        <v>0.3</v>
      </c>
      <c r="G292" s="37">
        <v>6</v>
      </c>
      <c r="H292" s="62">
        <v>1.8</v>
      </c>
      <c r="I292" s="62">
        <v>2.028</v>
      </c>
      <c r="J292" s="37">
        <v>182</v>
      </c>
      <c r="K292" s="37" t="s">
        <v>81</v>
      </c>
      <c r="L292" s="37" t="s">
        <v>45</v>
      </c>
      <c r="M292" s="38" t="s">
        <v>80</v>
      </c>
      <c r="N292" s="38"/>
      <c r="O292" s="37">
        <v>40</v>
      </c>
      <c r="P292" s="76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92" s="617"/>
      <c r="R292" s="617"/>
      <c r="S292" s="617"/>
      <c r="T292" s="618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31"/>
        <v>0</v>
      </c>
      <c r="Z292" s="41" t="str">
        <f>IFERROR(IF(Y292=0,"",ROUNDUP(Y292/H292,0)*0.00651),"")</f>
        <v/>
      </c>
      <c r="AA292" s="68" t="s">
        <v>45</v>
      </c>
      <c r="AB292" s="69" t="s">
        <v>45</v>
      </c>
      <c r="AC292" s="368" t="s">
        <v>495</v>
      </c>
      <c r="AG292" s="78"/>
      <c r="AJ292" s="84" t="s">
        <v>45</v>
      </c>
      <c r="AK292" s="84">
        <v>0</v>
      </c>
      <c r="BB292" s="369" t="s">
        <v>66</v>
      </c>
      <c r="BM292" s="78">
        <f t="shared" si="32"/>
        <v>0</v>
      </c>
      <c r="BN292" s="78">
        <f t="shared" si="33"/>
        <v>0</v>
      </c>
      <c r="BO292" s="78">
        <f t="shared" si="34"/>
        <v>0</v>
      </c>
      <c r="BP292" s="78">
        <f t="shared" si="35"/>
        <v>0</v>
      </c>
    </row>
    <row r="293" spans="1:68" x14ac:dyDescent="0.2">
      <c r="A293" s="623"/>
      <c r="B293" s="623"/>
      <c r="C293" s="623"/>
      <c r="D293" s="623"/>
      <c r="E293" s="623"/>
      <c r="F293" s="623"/>
      <c r="G293" s="623"/>
      <c r="H293" s="623"/>
      <c r="I293" s="623"/>
      <c r="J293" s="623"/>
      <c r="K293" s="623"/>
      <c r="L293" s="623"/>
      <c r="M293" s="623"/>
      <c r="N293" s="623"/>
      <c r="O293" s="624"/>
      <c r="P293" s="620" t="s">
        <v>40</v>
      </c>
      <c r="Q293" s="621"/>
      <c r="R293" s="621"/>
      <c r="S293" s="621"/>
      <c r="T293" s="621"/>
      <c r="U293" s="621"/>
      <c r="V293" s="622"/>
      <c r="W293" s="42" t="s">
        <v>39</v>
      </c>
      <c r="X293" s="43">
        <f>IFERROR(X287/H287,"0")+IFERROR(X288/H288,"0")+IFERROR(X289/H289,"0")+IFERROR(X290/H290,"0")+IFERROR(X291/H291,"0")+IFERROR(X292/H292,"0")</f>
        <v>0</v>
      </c>
      <c r="Y293" s="43">
        <f>IFERROR(Y287/H287,"0")+IFERROR(Y288/H288,"0")+IFERROR(Y289/H289,"0")+IFERROR(Y290/H290,"0")+IFERROR(Y291/H291,"0")+IFERROR(Y292/H292,"0")</f>
        <v>0</v>
      </c>
      <c r="Z293" s="43">
        <f>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23"/>
      <c r="B294" s="623"/>
      <c r="C294" s="623"/>
      <c r="D294" s="623"/>
      <c r="E294" s="623"/>
      <c r="F294" s="623"/>
      <c r="G294" s="623"/>
      <c r="H294" s="623"/>
      <c r="I294" s="623"/>
      <c r="J294" s="623"/>
      <c r="K294" s="623"/>
      <c r="L294" s="623"/>
      <c r="M294" s="623"/>
      <c r="N294" s="623"/>
      <c r="O294" s="624"/>
      <c r="P294" s="620" t="s">
        <v>40</v>
      </c>
      <c r="Q294" s="621"/>
      <c r="R294" s="621"/>
      <c r="S294" s="621"/>
      <c r="T294" s="621"/>
      <c r="U294" s="621"/>
      <c r="V294" s="622"/>
      <c r="W294" s="42" t="s">
        <v>0</v>
      </c>
      <c r="X294" s="43">
        <f>IFERROR(SUM(X287:X292),"0")</f>
        <v>0</v>
      </c>
      <c r="Y294" s="43">
        <f>IFERROR(SUM(Y287:Y292),"0")</f>
        <v>0</v>
      </c>
      <c r="Z294" s="42"/>
      <c r="AA294" s="67"/>
      <c r="AB294" s="67"/>
      <c r="AC294" s="67"/>
    </row>
    <row r="295" spans="1:68" ht="14.25" customHeight="1" x14ac:dyDescent="0.25">
      <c r="A295" s="614" t="s">
        <v>86</v>
      </c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4"/>
      <c r="P295" s="614"/>
      <c r="Q295" s="614"/>
      <c r="R295" s="614"/>
      <c r="S295" s="614"/>
      <c r="T295" s="614"/>
      <c r="U295" s="614"/>
      <c r="V295" s="614"/>
      <c r="W295" s="614"/>
      <c r="X295" s="614"/>
      <c r="Y295" s="614"/>
      <c r="Z295" s="614"/>
      <c r="AA295" s="66"/>
      <c r="AB295" s="66"/>
      <c r="AC295" s="80"/>
    </row>
    <row r="296" spans="1:68" ht="27" customHeight="1" x14ac:dyDescent="0.25">
      <c r="A296" s="63" t="s">
        <v>496</v>
      </c>
      <c r="B296" s="63" t="s">
        <v>497</v>
      </c>
      <c r="C296" s="36">
        <v>4301051100</v>
      </c>
      <c r="D296" s="615">
        <v>4607091387766</v>
      </c>
      <c r="E296" s="615"/>
      <c r="F296" s="62">
        <v>1.3</v>
      </c>
      <c r="G296" s="37">
        <v>6</v>
      </c>
      <c r="H296" s="62">
        <v>7.8</v>
      </c>
      <c r="I296" s="62">
        <v>8.2880000000000003</v>
      </c>
      <c r="J296" s="37">
        <v>64</v>
      </c>
      <c r="K296" s="37" t="s">
        <v>116</v>
      </c>
      <c r="L296" s="37" t="s">
        <v>45</v>
      </c>
      <c r="M296" s="38" t="s">
        <v>90</v>
      </c>
      <c r="N296" s="38"/>
      <c r="O296" s="37">
        <v>40</v>
      </c>
      <c r="P296" s="7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6" s="617"/>
      <c r="R296" s="617"/>
      <c r="S296" s="617"/>
      <c r="T296" s="618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70" t="s">
        <v>498</v>
      </c>
      <c r="AG296" s="78"/>
      <c r="AJ296" s="84" t="s">
        <v>45</v>
      </c>
      <c r="AK296" s="84">
        <v>0</v>
      </c>
      <c r="BB296" s="37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499</v>
      </c>
      <c r="B297" s="63" t="s">
        <v>500</v>
      </c>
      <c r="C297" s="36">
        <v>4301051818</v>
      </c>
      <c r="D297" s="615">
        <v>4607091387957</v>
      </c>
      <c r="E297" s="615"/>
      <c r="F297" s="62">
        <v>1.3</v>
      </c>
      <c r="G297" s="37">
        <v>6</v>
      </c>
      <c r="H297" s="62">
        <v>7.8</v>
      </c>
      <c r="I297" s="62">
        <v>8.2940000000000005</v>
      </c>
      <c r="J297" s="37">
        <v>64</v>
      </c>
      <c r="K297" s="37" t="s">
        <v>116</v>
      </c>
      <c r="L297" s="37" t="s">
        <v>45</v>
      </c>
      <c r="M297" s="38" t="s">
        <v>90</v>
      </c>
      <c r="N297" s="38"/>
      <c r="O297" s="37">
        <v>40</v>
      </c>
      <c r="P297" s="76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7" s="617"/>
      <c r="R297" s="617"/>
      <c r="S297" s="617"/>
      <c r="T297" s="61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72" t="s">
        <v>501</v>
      </c>
      <c r="AG297" s="78"/>
      <c r="AJ297" s="84" t="s">
        <v>45</v>
      </c>
      <c r="AK297" s="84">
        <v>0</v>
      </c>
      <c r="BB297" s="373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502</v>
      </c>
      <c r="B298" s="63" t="s">
        <v>503</v>
      </c>
      <c r="C298" s="36">
        <v>4301051819</v>
      </c>
      <c r="D298" s="615">
        <v>4607091387964</v>
      </c>
      <c r="E298" s="615"/>
      <c r="F298" s="62">
        <v>1.35</v>
      </c>
      <c r="G298" s="37">
        <v>6</v>
      </c>
      <c r="H298" s="62">
        <v>8.1</v>
      </c>
      <c r="I298" s="62">
        <v>8.5760000000000005</v>
      </c>
      <c r="J298" s="37">
        <v>64</v>
      </c>
      <c r="K298" s="37" t="s">
        <v>116</v>
      </c>
      <c r="L298" s="37" t="s">
        <v>45</v>
      </c>
      <c r="M298" s="38" t="s">
        <v>90</v>
      </c>
      <c r="N298" s="38"/>
      <c r="O298" s="37">
        <v>40</v>
      </c>
      <c r="P298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98" s="617"/>
      <c r="R298" s="617"/>
      <c r="S298" s="617"/>
      <c r="T298" s="61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74" t="s">
        <v>504</v>
      </c>
      <c r="AG298" s="78"/>
      <c r="AJ298" s="84" t="s">
        <v>45</v>
      </c>
      <c r="AK298" s="84">
        <v>0</v>
      </c>
      <c r="BB298" s="375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505</v>
      </c>
      <c r="B299" s="63" t="s">
        <v>506</v>
      </c>
      <c r="C299" s="36">
        <v>4301051734</v>
      </c>
      <c r="D299" s="615">
        <v>4680115884588</v>
      </c>
      <c r="E299" s="615"/>
      <c r="F299" s="62">
        <v>0.5</v>
      </c>
      <c r="G299" s="37">
        <v>6</v>
      </c>
      <c r="H299" s="62">
        <v>3</v>
      </c>
      <c r="I299" s="62">
        <v>3.246</v>
      </c>
      <c r="J299" s="37">
        <v>182</v>
      </c>
      <c r="K299" s="37" t="s">
        <v>81</v>
      </c>
      <c r="L299" s="37" t="s">
        <v>45</v>
      </c>
      <c r="M299" s="38" t="s">
        <v>90</v>
      </c>
      <c r="N299" s="38"/>
      <c r="O299" s="37">
        <v>40</v>
      </c>
      <c r="P299" s="76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99" s="617"/>
      <c r="R299" s="617"/>
      <c r="S299" s="617"/>
      <c r="T299" s="61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45</v>
      </c>
      <c r="AB299" s="69" t="s">
        <v>45</v>
      </c>
      <c r="AC299" s="376" t="s">
        <v>507</v>
      </c>
      <c r="AG299" s="78"/>
      <c r="AJ299" s="84" t="s">
        <v>45</v>
      </c>
      <c r="AK299" s="84">
        <v>0</v>
      </c>
      <c r="BB299" s="37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3"/>
      <c r="B300" s="623"/>
      <c r="C300" s="623"/>
      <c r="D300" s="623"/>
      <c r="E300" s="623"/>
      <c r="F300" s="623"/>
      <c r="G300" s="623"/>
      <c r="H300" s="623"/>
      <c r="I300" s="623"/>
      <c r="J300" s="623"/>
      <c r="K300" s="623"/>
      <c r="L300" s="623"/>
      <c r="M300" s="623"/>
      <c r="N300" s="623"/>
      <c r="O300" s="624"/>
      <c r="P300" s="620" t="s">
        <v>40</v>
      </c>
      <c r="Q300" s="621"/>
      <c r="R300" s="621"/>
      <c r="S300" s="621"/>
      <c r="T300" s="621"/>
      <c r="U300" s="621"/>
      <c r="V300" s="622"/>
      <c r="W300" s="42" t="s">
        <v>39</v>
      </c>
      <c r="X300" s="43">
        <f>IFERROR(X296/H296,"0")+IFERROR(X297/H297,"0")+IFERROR(X298/H298,"0")+IFERROR(X299/H299,"0")</f>
        <v>0</v>
      </c>
      <c r="Y300" s="43">
        <f>IFERROR(Y296/H296,"0")+IFERROR(Y297/H297,"0")+IFERROR(Y298/H298,"0")+IFERROR(Y299/H299,"0")</f>
        <v>0</v>
      </c>
      <c r="Z300" s="43">
        <f>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3"/>
      <c r="B301" s="623"/>
      <c r="C301" s="623"/>
      <c r="D301" s="623"/>
      <c r="E301" s="623"/>
      <c r="F301" s="623"/>
      <c r="G301" s="623"/>
      <c r="H301" s="623"/>
      <c r="I301" s="623"/>
      <c r="J301" s="623"/>
      <c r="K301" s="623"/>
      <c r="L301" s="623"/>
      <c r="M301" s="623"/>
      <c r="N301" s="623"/>
      <c r="O301" s="624"/>
      <c r="P301" s="620" t="s">
        <v>40</v>
      </c>
      <c r="Q301" s="621"/>
      <c r="R301" s="621"/>
      <c r="S301" s="621"/>
      <c r="T301" s="621"/>
      <c r="U301" s="621"/>
      <c r="V301" s="622"/>
      <c r="W301" s="42" t="s">
        <v>0</v>
      </c>
      <c r="X301" s="43">
        <f>IFERROR(SUM(X296:X299),"0")</f>
        <v>0</v>
      </c>
      <c r="Y301" s="43">
        <f>IFERROR(SUM(Y296:Y299),"0")</f>
        <v>0</v>
      </c>
      <c r="Z301" s="42"/>
      <c r="AA301" s="67"/>
      <c r="AB301" s="67"/>
      <c r="AC301" s="67"/>
    </row>
    <row r="302" spans="1:68" ht="14.25" customHeight="1" x14ac:dyDescent="0.25">
      <c r="A302" s="614" t="s">
        <v>172</v>
      </c>
      <c r="B302" s="614"/>
      <c r="C302" s="614"/>
      <c r="D302" s="614"/>
      <c r="E302" s="614"/>
      <c r="F302" s="614"/>
      <c r="G302" s="614"/>
      <c r="H302" s="614"/>
      <c r="I302" s="614"/>
      <c r="J302" s="614"/>
      <c r="K302" s="614"/>
      <c r="L302" s="614"/>
      <c r="M302" s="614"/>
      <c r="N302" s="614"/>
      <c r="O302" s="614"/>
      <c r="P302" s="614"/>
      <c r="Q302" s="614"/>
      <c r="R302" s="614"/>
      <c r="S302" s="614"/>
      <c r="T302" s="614"/>
      <c r="U302" s="614"/>
      <c r="V302" s="614"/>
      <c r="W302" s="614"/>
      <c r="X302" s="614"/>
      <c r="Y302" s="614"/>
      <c r="Z302" s="614"/>
      <c r="AA302" s="66"/>
      <c r="AB302" s="66"/>
      <c r="AC302" s="80"/>
    </row>
    <row r="303" spans="1:68" ht="27" customHeight="1" x14ac:dyDescent="0.25">
      <c r="A303" s="63" t="s">
        <v>508</v>
      </c>
      <c r="B303" s="63" t="s">
        <v>509</v>
      </c>
      <c r="C303" s="36">
        <v>4301060387</v>
      </c>
      <c r="D303" s="615">
        <v>4607091380880</v>
      </c>
      <c r="E303" s="615"/>
      <c r="F303" s="62">
        <v>1.4</v>
      </c>
      <c r="G303" s="37">
        <v>6</v>
      </c>
      <c r="H303" s="62">
        <v>8.4</v>
      </c>
      <c r="I303" s="62">
        <v>8.8940000000000001</v>
      </c>
      <c r="J303" s="37">
        <v>64</v>
      </c>
      <c r="K303" s="37" t="s">
        <v>116</v>
      </c>
      <c r="L303" s="37" t="s">
        <v>45</v>
      </c>
      <c r="M303" s="38" t="s">
        <v>90</v>
      </c>
      <c r="N303" s="38"/>
      <c r="O303" s="37">
        <v>30</v>
      </c>
      <c r="P303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03" s="617"/>
      <c r="R303" s="617"/>
      <c r="S303" s="617"/>
      <c r="T303" s="618"/>
      <c r="U303" s="39" t="s">
        <v>45</v>
      </c>
      <c r="V303" s="39" t="s">
        <v>45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IFERROR(IF(Y303=0,"",ROUNDUP(Y303/H303,0)*0.01898),"")</f>
        <v/>
      </c>
      <c r="AA303" s="68" t="s">
        <v>45</v>
      </c>
      <c r="AB303" s="69" t="s">
        <v>45</v>
      </c>
      <c r="AC303" s="378" t="s">
        <v>510</v>
      </c>
      <c r="AG303" s="78"/>
      <c r="AJ303" s="84" t="s">
        <v>45</v>
      </c>
      <c r="AK303" s="84">
        <v>0</v>
      </c>
      <c r="BB303" s="379" t="s">
        <v>66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customHeight="1" x14ac:dyDescent="0.25">
      <c r="A304" s="63" t="s">
        <v>511</v>
      </c>
      <c r="B304" s="63" t="s">
        <v>512</v>
      </c>
      <c r="C304" s="36">
        <v>4301060406</v>
      </c>
      <c r="D304" s="615">
        <v>4607091384482</v>
      </c>
      <c r="E304" s="615"/>
      <c r="F304" s="62">
        <v>1.3</v>
      </c>
      <c r="G304" s="37">
        <v>6</v>
      </c>
      <c r="H304" s="62">
        <v>7.8</v>
      </c>
      <c r="I304" s="62">
        <v>8.2940000000000005</v>
      </c>
      <c r="J304" s="37">
        <v>64</v>
      </c>
      <c r="K304" s="37" t="s">
        <v>116</v>
      </c>
      <c r="L304" s="37" t="s">
        <v>45</v>
      </c>
      <c r="M304" s="38" t="s">
        <v>90</v>
      </c>
      <c r="N304" s="38"/>
      <c r="O304" s="37">
        <v>30</v>
      </c>
      <c r="P304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4" s="617"/>
      <c r="R304" s="617"/>
      <c r="S304" s="617"/>
      <c r="T304" s="618"/>
      <c r="U304" s="39" t="s">
        <v>45</v>
      </c>
      <c r="V304" s="39" t="s">
        <v>45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IFERROR(IF(Y304=0,"",ROUNDUP(Y304/H304,0)*0.01898),"")</f>
        <v/>
      </c>
      <c r="AA304" s="68" t="s">
        <v>45</v>
      </c>
      <c r="AB304" s="69" t="s">
        <v>45</v>
      </c>
      <c r="AC304" s="380" t="s">
        <v>513</v>
      </c>
      <c r="AG304" s="78"/>
      <c r="AJ304" s="84" t="s">
        <v>45</v>
      </c>
      <c r="AK304" s="84">
        <v>0</v>
      </c>
      <c r="BB304" s="381" t="s">
        <v>66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16.5" customHeight="1" x14ac:dyDescent="0.25">
      <c r="A305" s="63" t="s">
        <v>514</v>
      </c>
      <c r="B305" s="63" t="s">
        <v>515</v>
      </c>
      <c r="C305" s="36">
        <v>4301060484</v>
      </c>
      <c r="D305" s="615">
        <v>4607091380897</v>
      </c>
      <c r="E305" s="615"/>
      <c r="F305" s="62">
        <v>1.4</v>
      </c>
      <c r="G305" s="37">
        <v>6</v>
      </c>
      <c r="H305" s="62">
        <v>8.4</v>
      </c>
      <c r="I305" s="62">
        <v>8.8940000000000001</v>
      </c>
      <c r="J305" s="37">
        <v>64</v>
      </c>
      <c r="K305" s="37" t="s">
        <v>116</v>
      </c>
      <c r="L305" s="37" t="s">
        <v>45</v>
      </c>
      <c r="M305" s="38" t="s">
        <v>97</v>
      </c>
      <c r="N305" s="38"/>
      <c r="O305" s="37">
        <v>30</v>
      </c>
      <c r="P305" s="7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5" s="617"/>
      <c r="R305" s="617"/>
      <c r="S305" s="617"/>
      <c r="T305" s="618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IFERROR(IF(Y305=0,"",ROUNDUP(Y305/H305,0)*0.01898),"")</f>
        <v/>
      </c>
      <c r="AA305" s="68" t="s">
        <v>45</v>
      </c>
      <c r="AB305" s="69" t="s">
        <v>45</v>
      </c>
      <c r="AC305" s="382" t="s">
        <v>516</v>
      </c>
      <c r="AG305" s="78"/>
      <c r="AJ305" s="84" t="s">
        <v>45</v>
      </c>
      <c r="AK305" s="84">
        <v>0</v>
      </c>
      <c r="BB305" s="383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3"/>
      <c r="B306" s="623"/>
      <c r="C306" s="623"/>
      <c r="D306" s="623"/>
      <c r="E306" s="623"/>
      <c r="F306" s="623"/>
      <c r="G306" s="623"/>
      <c r="H306" s="623"/>
      <c r="I306" s="623"/>
      <c r="J306" s="623"/>
      <c r="K306" s="623"/>
      <c r="L306" s="623"/>
      <c r="M306" s="623"/>
      <c r="N306" s="623"/>
      <c r="O306" s="624"/>
      <c r="P306" s="620" t="s">
        <v>40</v>
      </c>
      <c r="Q306" s="621"/>
      <c r="R306" s="621"/>
      <c r="S306" s="621"/>
      <c r="T306" s="621"/>
      <c r="U306" s="621"/>
      <c r="V306" s="622"/>
      <c r="W306" s="42" t="s">
        <v>39</v>
      </c>
      <c r="X306" s="43">
        <f>IFERROR(X303/H303,"0")+IFERROR(X304/H304,"0")+IFERROR(X305/H305,"0")</f>
        <v>0</v>
      </c>
      <c r="Y306" s="43">
        <f>IFERROR(Y303/H303,"0")+IFERROR(Y304/H304,"0")+IFERROR(Y305/H305,"0")</f>
        <v>0</v>
      </c>
      <c r="Z306" s="43">
        <f>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23"/>
      <c r="B307" s="623"/>
      <c r="C307" s="623"/>
      <c r="D307" s="623"/>
      <c r="E307" s="623"/>
      <c r="F307" s="623"/>
      <c r="G307" s="623"/>
      <c r="H307" s="623"/>
      <c r="I307" s="623"/>
      <c r="J307" s="623"/>
      <c r="K307" s="623"/>
      <c r="L307" s="623"/>
      <c r="M307" s="623"/>
      <c r="N307" s="623"/>
      <c r="O307" s="624"/>
      <c r="P307" s="620" t="s">
        <v>40</v>
      </c>
      <c r="Q307" s="621"/>
      <c r="R307" s="621"/>
      <c r="S307" s="621"/>
      <c r="T307" s="621"/>
      <c r="U307" s="621"/>
      <c r="V307" s="622"/>
      <c r="W307" s="42" t="s">
        <v>0</v>
      </c>
      <c r="X307" s="43">
        <f>IFERROR(SUM(X303:X305),"0")</f>
        <v>0</v>
      </c>
      <c r="Y307" s="43">
        <f>IFERROR(SUM(Y303:Y305),"0")</f>
        <v>0</v>
      </c>
      <c r="Z307" s="42"/>
      <c r="AA307" s="67"/>
      <c r="AB307" s="67"/>
      <c r="AC307" s="67"/>
    </row>
    <row r="308" spans="1:68" ht="14.25" customHeight="1" x14ac:dyDescent="0.25">
      <c r="A308" s="614" t="s">
        <v>103</v>
      </c>
      <c r="B308" s="614"/>
      <c r="C308" s="614"/>
      <c r="D308" s="614"/>
      <c r="E308" s="614"/>
      <c r="F308" s="614"/>
      <c r="G308" s="614"/>
      <c r="H308" s="614"/>
      <c r="I308" s="614"/>
      <c r="J308" s="614"/>
      <c r="K308" s="614"/>
      <c r="L308" s="614"/>
      <c r="M308" s="614"/>
      <c r="N308" s="614"/>
      <c r="O308" s="614"/>
      <c r="P308" s="614"/>
      <c r="Q308" s="614"/>
      <c r="R308" s="614"/>
      <c r="S308" s="614"/>
      <c r="T308" s="614"/>
      <c r="U308" s="614"/>
      <c r="V308" s="614"/>
      <c r="W308" s="614"/>
      <c r="X308" s="614"/>
      <c r="Y308" s="614"/>
      <c r="Z308" s="614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4301030235</v>
      </c>
      <c r="D309" s="615">
        <v>4607091388381</v>
      </c>
      <c r="E309" s="615"/>
      <c r="F309" s="62">
        <v>0.38</v>
      </c>
      <c r="G309" s="37">
        <v>8</v>
      </c>
      <c r="H309" s="62">
        <v>3.04</v>
      </c>
      <c r="I309" s="62">
        <v>3.31</v>
      </c>
      <c r="J309" s="37">
        <v>132</v>
      </c>
      <c r="K309" s="37" t="s">
        <v>119</v>
      </c>
      <c r="L309" s="37" t="s">
        <v>45</v>
      </c>
      <c r="M309" s="38" t="s">
        <v>108</v>
      </c>
      <c r="N309" s="38"/>
      <c r="O309" s="37">
        <v>180</v>
      </c>
      <c r="P309" s="7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09" s="617"/>
      <c r="R309" s="617"/>
      <c r="S309" s="617"/>
      <c r="T309" s="61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IFERROR(IF(Y309=0,"",ROUNDUP(Y309/H309,0)*0.00902),"")</f>
        <v/>
      </c>
      <c r="AA309" s="68" t="s">
        <v>45</v>
      </c>
      <c r="AB309" s="69" t="s">
        <v>45</v>
      </c>
      <c r="AC309" s="384" t="s">
        <v>519</v>
      </c>
      <c r="AG309" s="78"/>
      <c r="AJ309" s="84" t="s">
        <v>45</v>
      </c>
      <c r="AK309" s="84">
        <v>0</v>
      </c>
      <c r="BB309" s="385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520</v>
      </c>
      <c r="B310" s="63" t="s">
        <v>521</v>
      </c>
      <c r="C310" s="36">
        <v>4301030232</v>
      </c>
      <c r="D310" s="615">
        <v>4607091388374</v>
      </c>
      <c r="E310" s="615"/>
      <c r="F310" s="62">
        <v>0.38</v>
      </c>
      <c r="G310" s="37">
        <v>8</v>
      </c>
      <c r="H310" s="62">
        <v>3.04</v>
      </c>
      <c r="I310" s="62">
        <v>3.27</v>
      </c>
      <c r="J310" s="37">
        <v>132</v>
      </c>
      <c r="K310" s="37" t="s">
        <v>119</v>
      </c>
      <c r="L310" s="37" t="s">
        <v>45</v>
      </c>
      <c r="M310" s="38" t="s">
        <v>108</v>
      </c>
      <c r="N310" s="38"/>
      <c r="O310" s="37">
        <v>180</v>
      </c>
      <c r="P310" s="77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10" s="617"/>
      <c r="R310" s="617"/>
      <c r="S310" s="617"/>
      <c r="T310" s="61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6" t="s">
        <v>519</v>
      </c>
      <c r="AG310" s="78"/>
      <c r="AJ310" s="84" t="s">
        <v>45</v>
      </c>
      <c r="AK310" s="84">
        <v>0</v>
      </c>
      <c r="BB310" s="387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522</v>
      </c>
      <c r="B311" s="63" t="s">
        <v>523</v>
      </c>
      <c r="C311" s="36">
        <v>4301032015</v>
      </c>
      <c r="D311" s="615">
        <v>4607091383102</v>
      </c>
      <c r="E311" s="615"/>
      <c r="F311" s="62">
        <v>0.17</v>
      </c>
      <c r="G311" s="37">
        <v>15</v>
      </c>
      <c r="H311" s="62">
        <v>2.5499999999999998</v>
      </c>
      <c r="I311" s="62">
        <v>2.9550000000000001</v>
      </c>
      <c r="J311" s="37">
        <v>182</v>
      </c>
      <c r="K311" s="37" t="s">
        <v>81</v>
      </c>
      <c r="L311" s="37" t="s">
        <v>45</v>
      </c>
      <c r="M311" s="38" t="s">
        <v>108</v>
      </c>
      <c r="N311" s="38"/>
      <c r="O311" s="37">
        <v>180</v>
      </c>
      <c r="P311" s="7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11" s="617"/>
      <c r="R311" s="617"/>
      <c r="S311" s="617"/>
      <c r="T311" s="61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8" t="s">
        <v>524</v>
      </c>
      <c r="AG311" s="78"/>
      <c r="AJ311" s="84" t="s">
        <v>45</v>
      </c>
      <c r="AK311" s="84">
        <v>0</v>
      </c>
      <c r="BB311" s="389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525</v>
      </c>
      <c r="B312" s="63" t="s">
        <v>526</v>
      </c>
      <c r="C312" s="36">
        <v>4301030233</v>
      </c>
      <c r="D312" s="615">
        <v>4607091388404</v>
      </c>
      <c r="E312" s="615"/>
      <c r="F312" s="62">
        <v>0.17</v>
      </c>
      <c r="G312" s="37">
        <v>15</v>
      </c>
      <c r="H312" s="62">
        <v>2.5499999999999998</v>
      </c>
      <c r="I312" s="62">
        <v>2.88</v>
      </c>
      <c r="J312" s="37">
        <v>182</v>
      </c>
      <c r="K312" s="37" t="s">
        <v>81</v>
      </c>
      <c r="L312" s="37" t="s">
        <v>45</v>
      </c>
      <c r="M312" s="38" t="s">
        <v>108</v>
      </c>
      <c r="N312" s="38"/>
      <c r="O312" s="37">
        <v>180</v>
      </c>
      <c r="P312" s="77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12" s="617"/>
      <c r="R312" s="617"/>
      <c r="S312" s="617"/>
      <c r="T312" s="618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90" t="s">
        <v>519</v>
      </c>
      <c r="AG312" s="78"/>
      <c r="AJ312" s="84" t="s">
        <v>45</v>
      </c>
      <c r="AK312" s="84">
        <v>0</v>
      </c>
      <c r="BB312" s="391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2" t="s">
        <v>39</v>
      </c>
      <c r="X313" s="43">
        <f>IFERROR(X309/H309,"0")+IFERROR(X310/H310,"0")+IFERROR(X311/H311,"0")+IFERROR(X312/H312,"0")</f>
        <v>0</v>
      </c>
      <c r="Y313" s="43">
        <f>IFERROR(Y309/H309,"0")+IFERROR(Y310/H310,"0")+IFERROR(Y311/H311,"0")+IFERROR(Y312/H312,"0")</f>
        <v>0</v>
      </c>
      <c r="Z313" s="43">
        <f>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23"/>
      <c r="B314" s="623"/>
      <c r="C314" s="623"/>
      <c r="D314" s="623"/>
      <c r="E314" s="623"/>
      <c r="F314" s="623"/>
      <c r="G314" s="623"/>
      <c r="H314" s="623"/>
      <c r="I314" s="623"/>
      <c r="J314" s="623"/>
      <c r="K314" s="623"/>
      <c r="L314" s="623"/>
      <c r="M314" s="623"/>
      <c r="N314" s="623"/>
      <c r="O314" s="624"/>
      <c r="P314" s="620" t="s">
        <v>40</v>
      </c>
      <c r="Q314" s="621"/>
      <c r="R314" s="621"/>
      <c r="S314" s="621"/>
      <c r="T314" s="621"/>
      <c r="U314" s="621"/>
      <c r="V314" s="622"/>
      <c r="W314" s="42" t="s">
        <v>0</v>
      </c>
      <c r="X314" s="43">
        <f>IFERROR(SUM(X309:X312),"0")</f>
        <v>0</v>
      </c>
      <c r="Y314" s="43">
        <f>IFERROR(SUM(Y309:Y312),"0")</f>
        <v>0</v>
      </c>
      <c r="Z314" s="42"/>
      <c r="AA314" s="67"/>
      <c r="AB314" s="67"/>
      <c r="AC314" s="67"/>
    </row>
    <row r="315" spans="1:68" ht="14.25" customHeight="1" x14ac:dyDescent="0.25">
      <c r="A315" s="614" t="s">
        <v>527</v>
      </c>
      <c r="B315" s="614"/>
      <c r="C315" s="614"/>
      <c r="D315" s="614"/>
      <c r="E315" s="614"/>
      <c r="F315" s="614"/>
      <c r="G315" s="614"/>
      <c r="H315" s="614"/>
      <c r="I315" s="614"/>
      <c r="J315" s="614"/>
      <c r="K315" s="614"/>
      <c r="L315" s="614"/>
      <c r="M315" s="614"/>
      <c r="N315" s="614"/>
      <c r="O315" s="614"/>
      <c r="P315" s="614"/>
      <c r="Q315" s="614"/>
      <c r="R315" s="614"/>
      <c r="S315" s="614"/>
      <c r="T315" s="614"/>
      <c r="U315" s="614"/>
      <c r="V315" s="614"/>
      <c r="W315" s="614"/>
      <c r="X315" s="614"/>
      <c r="Y315" s="614"/>
      <c r="Z315" s="614"/>
      <c r="AA315" s="66"/>
      <c r="AB315" s="66"/>
      <c r="AC315" s="80"/>
    </row>
    <row r="316" spans="1:68" ht="16.5" customHeight="1" x14ac:dyDescent="0.25">
      <c r="A316" s="63" t="s">
        <v>528</v>
      </c>
      <c r="B316" s="63" t="s">
        <v>529</v>
      </c>
      <c r="C316" s="36">
        <v>4301180007</v>
      </c>
      <c r="D316" s="615">
        <v>4680115881808</v>
      </c>
      <c r="E316" s="615"/>
      <c r="F316" s="62">
        <v>0.1</v>
      </c>
      <c r="G316" s="37">
        <v>20</v>
      </c>
      <c r="H316" s="62">
        <v>2</v>
      </c>
      <c r="I316" s="62">
        <v>2.2400000000000002</v>
      </c>
      <c r="J316" s="37">
        <v>238</v>
      </c>
      <c r="K316" s="37" t="s">
        <v>81</v>
      </c>
      <c r="L316" s="37" t="s">
        <v>45</v>
      </c>
      <c r="M316" s="38" t="s">
        <v>531</v>
      </c>
      <c r="N316" s="38"/>
      <c r="O316" s="37">
        <v>730</v>
      </c>
      <c r="P316" s="77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6" s="617"/>
      <c r="R316" s="617"/>
      <c r="S316" s="617"/>
      <c r="T316" s="61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IFERROR(IF(Y316=0,"",ROUNDUP(Y316/H316,0)*0.00474),"")</f>
        <v/>
      </c>
      <c r="AA316" s="68" t="s">
        <v>45</v>
      </c>
      <c r="AB316" s="69" t="s">
        <v>45</v>
      </c>
      <c r="AC316" s="392" t="s">
        <v>530</v>
      </c>
      <c r="AG316" s="78"/>
      <c r="AJ316" s="84" t="s">
        <v>45</v>
      </c>
      <c r="AK316" s="84">
        <v>0</v>
      </c>
      <c r="BB316" s="39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532</v>
      </c>
      <c r="B317" s="63" t="s">
        <v>533</v>
      </c>
      <c r="C317" s="36">
        <v>4301180006</v>
      </c>
      <c r="D317" s="615">
        <v>4680115881822</v>
      </c>
      <c r="E317" s="615"/>
      <c r="F317" s="62">
        <v>0.1</v>
      </c>
      <c r="G317" s="37">
        <v>20</v>
      </c>
      <c r="H317" s="62">
        <v>2</v>
      </c>
      <c r="I317" s="62">
        <v>2.2400000000000002</v>
      </c>
      <c r="J317" s="37">
        <v>238</v>
      </c>
      <c r="K317" s="37" t="s">
        <v>81</v>
      </c>
      <c r="L317" s="37" t="s">
        <v>45</v>
      </c>
      <c r="M317" s="38" t="s">
        <v>531</v>
      </c>
      <c r="N317" s="38"/>
      <c r="O317" s="37">
        <v>730</v>
      </c>
      <c r="P317" s="77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7" s="617"/>
      <c r="R317" s="617"/>
      <c r="S317" s="617"/>
      <c r="T317" s="61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IFERROR(IF(Y317=0,"",ROUNDUP(Y317/H317,0)*0.00474),"")</f>
        <v/>
      </c>
      <c r="AA317" s="68" t="s">
        <v>45</v>
      </c>
      <c r="AB317" s="69" t="s">
        <v>45</v>
      </c>
      <c r="AC317" s="394" t="s">
        <v>530</v>
      </c>
      <c r="AG317" s="78"/>
      <c r="AJ317" s="84" t="s">
        <v>45</v>
      </c>
      <c r="AK317" s="84">
        <v>0</v>
      </c>
      <c r="BB317" s="395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534</v>
      </c>
      <c r="B318" s="63" t="s">
        <v>535</v>
      </c>
      <c r="C318" s="36">
        <v>4301180001</v>
      </c>
      <c r="D318" s="615">
        <v>4680115880016</v>
      </c>
      <c r="E318" s="615"/>
      <c r="F318" s="62">
        <v>0.1</v>
      </c>
      <c r="G318" s="37">
        <v>20</v>
      </c>
      <c r="H318" s="62">
        <v>2</v>
      </c>
      <c r="I318" s="62">
        <v>2.2400000000000002</v>
      </c>
      <c r="J318" s="37">
        <v>238</v>
      </c>
      <c r="K318" s="37" t="s">
        <v>81</v>
      </c>
      <c r="L318" s="37" t="s">
        <v>45</v>
      </c>
      <c r="M318" s="38" t="s">
        <v>531</v>
      </c>
      <c r="N318" s="38"/>
      <c r="O318" s="37">
        <v>730</v>
      </c>
      <c r="P318" s="7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18" s="617"/>
      <c r="R318" s="617"/>
      <c r="S318" s="617"/>
      <c r="T318" s="61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IFERROR(IF(Y318=0,"",ROUNDUP(Y318/H318,0)*0.00474),"")</f>
        <v/>
      </c>
      <c r="AA318" s="68" t="s">
        <v>45</v>
      </c>
      <c r="AB318" s="69" t="s">
        <v>45</v>
      </c>
      <c r="AC318" s="396" t="s">
        <v>530</v>
      </c>
      <c r="AG318" s="78"/>
      <c r="AJ318" s="84" t="s">
        <v>45</v>
      </c>
      <c r="AK318" s="84">
        <v>0</v>
      </c>
      <c r="BB318" s="39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23"/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4"/>
      <c r="P319" s="620" t="s">
        <v>40</v>
      </c>
      <c r="Q319" s="621"/>
      <c r="R319" s="621"/>
      <c r="S319" s="621"/>
      <c r="T319" s="621"/>
      <c r="U319" s="621"/>
      <c r="V319" s="622"/>
      <c r="W319" s="42" t="s">
        <v>39</v>
      </c>
      <c r="X319" s="43">
        <f>IFERROR(X316/H316,"0")+IFERROR(X317/H317,"0")+IFERROR(X318/H318,"0")</f>
        <v>0</v>
      </c>
      <c r="Y319" s="43">
        <f>IFERROR(Y316/H316,"0")+IFERROR(Y317/H317,"0")+IFERROR(Y318/H318,"0")</f>
        <v>0</v>
      </c>
      <c r="Z319" s="43">
        <f>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23"/>
      <c r="B320" s="623"/>
      <c r="C320" s="623"/>
      <c r="D320" s="623"/>
      <c r="E320" s="623"/>
      <c r="F320" s="623"/>
      <c r="G320" s="623"/>
      <c r="H320" s="623"/>
      <c r="I320" s="623"/>
      <c r="J320" s="623"/>
      <c r="K320" s="623"/>
      <c r="L320" s="623"/>
      <c r="M320" s="623"/>
      <c r="N320" s="623"/>
      <c r="O320" s="624"/>
      <c r="P320" s="620" t="s">
        <v>40</v>
      </c>
      <c r="Q320" s="621"/>
      <c r="R320" s="621"/>
      <c r="S320" s="621"/>
      <c r="T320" s="621"/>
      <c r="U320" s="621"/>
      <c r="V320" s="622"/>
      <c r="W320" s="42" t="s">
        <v>0</v>
      </c>
      <c r="X320" s="43">
        <f>IFERROR(SUM(X316:X318),"0")</f>
        <v>0</v>
      </c>
      <c r="Y320" s="43">
        <f>IFERROR(SUM(Y316:Y318),"0")</f>
        <v>0</v>
      </c>
      <c r="Z320" s="42"/>
      <c r="AA320" s="67"/>
      <c r="AB320" s="67"/>
      <c r="AC320" s="67"/>
    </row>
    <row r="321" spans="1:68" ht="16.5" customHeight="1" x14ac:dyDescent="0.25">
      <c r="A321" s="613" t="s">
        <v>536</v>
      </c>
      <c r="B321" s="613"/>
      <c r="C321" s="613"/>
      <c r="D321" s="613"/>
      <c r="E321" s="613"/>
      <c r="F321" s="613"/>
      <c r="G321" s="613"/>
      <c r="H321" s="613"/>
      <c r="I321" s="613"/>
      <c r="J321" s="613"/>
      <c r="K321" s="613"/>
      <c r="L321" s="613"/>
      <c r="M321" s="613"/>
      <c r="N321" s="613"/>
      <c r="O321" s="613"/>
      <c r="P321" s="613"/>
      <c r="Q321" s="613"/>
      <c r="R321" s="613"/>
      <c r="S321" s="613"/>
      <c r="T321" s="613"/>
      <c r="U321" s="613"/>
      <c r="V321" s="613"/>
      <c r="W321" s="613"/>
      <c r="X321" s="613"/>
      <c r="Y321" s="613"/>
      <c r="Z321" s="613"/>
      <c r="AA321" s="65"/>
      <c r="AB321" s="65"/>
      <c r="AC321" s="79"/>
    </row>
    <row r="322" spans="1:68" ht="14.25" customHeight="1" x14ac:dyDescent="0.25">
      <c r="A322" s="614" t="s">
        <v>86</v>
      </c>
      <c r="B322" s="614"/>
      <c r="C322" s="614"/>
      <c r="D322" s="614"/>
      <c r="E322" s="614"/>
      <c r="F322" s="614"/>
      <c r="G322" s="614"/>
      <c r="H322" s="614"/>
      <c r="I322" s="614"/>
      <c r="J322" s="614"/>
      <c r="K322" s="614"/>
      <c r="L322" s="614"/>
      <c r="M322" s="614"/>
      <c r="N322" s="614"/>
      <c r="O322" s="614"/>
      <c r="P322" s="614"/>
      <c r="Q322" s="614"/>
      <c r="R322" s="614"/>
      <c r="S322" s="614"/>
      <c r="T322" s="614"/>
      <c r="U322" s="614"/>
      <c r="V322" s="614"/>
      <c r="W322" s="614"/>
      <c r="X322" s="614"/>
      <c r="Y322" s="614"/>
      <c r="Z322" s="614"/>
      <c r="AA322" s="66"/>
      <c r="AB322" s="66"/>
      <c r="AC322" s="80"/>
    </row>
    <row r="323" spans="1:68" ht="27" customHeight="1" x14ac:dyDescent="0.25">
      <c r="A323" s="63" t="s">
        <v>537</v>
      </c>
      <c r="B323" s="63" t="s">
        <v>538</v>
      </c>
      <c r="C323" s="36">
        <v>4301051489</v>
      </c>
      <c r="D323" s="615">
        <v>4607091387919</v>
      </c>
      <c r="E323" s="615"/>
      <c r="F323" s="62">
        <v>1.35</v>
      </c>
      <c r="G323" s="37">
        <v>6</v>
      </c>
      <c r="H323" s="62">
        <v>8.1</v>
      </c>
      <c r="I323" s="62">
        <v>8.5939999999999994</v>
      </c>
      <c r="J323" s="37">
        <v>64</v>
      </c>
      <c r="K323" s="37" t="s">
        <v>116</v>
      </c>
      <c r="L323" s="37" t="s">
        <v>45</v>
      </c>
      <c r="M323" s="38" t="s">
        <v>97</v>
      </c>
      <c r="N323" s="38"/>
      <c r="O323" s="37">
        <v>45</v>
      </c>
      <c r="P323" s="77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23" s="617"/>
      <c r="R323" s="617"/>
      <c r="S323" s="617"/>
      <c r="T323" s="61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539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540</v>
      </c>
      <c r="B324" s="63" t="s">
        <v>541</v>
      </c>
      <c r="C324" s="36">
        <v>4301051461</v>
      </c>
      <c r="D324" s="615">
        <v>4680115883604</v>
      </c>
      <c r="E324" s="615"/>
      <c r="F324" s="62">
        <v>0.35</v>
      </c>
      <c r="G324" s="37">
        <v>6</v>
      </c>
      <c r="H324" s="62">
        <v>2.1</v>
      </c>
      <c r="I324" s="62">
        <v>2.3519999999999999</v>
      </c>
      <c r="J324" s="37">
        <v>182</v>
      </c>
      <c r="K324" s="37" t="s">
        <v>81</v>
      </c>
      <c r="L324" s="37" t="s">
        <v>45</v>
      </c>
      <c r="M324" s="38" t="s">
        <v>90</v>
      </c>
      <c r="N324" s="38"/>
      <c r="O324" s="37">
        <v>45</v>
      </c>
      <c r="P324" s="78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4" s="617"/>
      <c r="R324" s="617"/>
      <c r="S324" s="617"/>
      <c r="T324" s="61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400" t="s">
        <v>542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4301051864</v>
      </c>
      <c r="D325" s="615">
        <v>4680115883567</v>
      </c>
      <c r="E325" s="615"/>
      <c r="F325" s="62">
        <v>0.35</v>
      </c>
      <c r="G325" s="37">
        <v>6</v>
      </c>
      <c r="H325" s="62">
        <v>2.1</v>
      </c>
      <c r="I325" s="62">
        <v>2.34</v>
      </c>
      <c r="J325" s="37">
        <v>182</v>
      </c>
      <c r="K325" s="37" t="s">
        <v>81</v>
      </c>
      <c r="L325" s="37" t="s">
        <v>45</v>
      </c>
      <c r="M325" s="38" t="s">
        <v>97</v>
      </c>
      <c r="N325" s="38"/>
      <c r="O325" s="37">
        <v>40</v>
      </c>
      <c r="P325" s="78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5" s="617"/>
      <c r="R325" s="617"/>
      <c r="S325" s="617"/>
      <c r="T325" s="618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45</v>
      </c>
      <c r="AB325" s="69" t="s">
        <v>45</v>
      </c>
      <c r="AC325" s="402" t="s">
        <v>545</v>
      </c>
      <c r="AG325" s="78"/>
      <c r="AJ325" s="84" t="s">
        <v>45</v>
      </c>
      <c r="AK325" s="84">
        <v>0</v>
      </c>
      <c r="BB325" s="40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23"/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4"/>
      <c r="P326" s="620" t="s">
        <v>40</v>
      </c>
      <c r="Q326" s="621"/>
      <c r="R326" s="621"/>
      <c r="S326" s="621"/>
      <c r="T326" s="621"/>
      <c r="U326" s="621"/>
      <c r="V326" s="622"/>
      <c r="W326" s="42" t="s">
        <v>39</v>
      </c>
      <c r="X326" s="43">
        <f>IFERROR(X323/H323,"0")+IFERROR(X324/H324,"0")+IFERROR(X325/H325,"0")</f>
        <v>0</v>
      </c>
      <c r="Y326" s="43">
        <f>IFERROR(Y323/H323,"0")+IFERROR(Y324/H324,"0")+IFERROR(Y325/H325,"0")</f>
        <v>0</v>
      </c>
      <c r="Z326" s="43">
        <f>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23"/>
      <c r="B327" s="623"/>
      <c r="C327" s="623"/>
      <c r="D327" s="623"/>
      <c r="E327" s="623"/>
      <c r="F327" s="623"/>
      <c r="G327" s="623"/>
      <c r="H327" s="623"/>
      <c r="I327" s="623"/>
      <c r="J327" s="623"/>
      <c r="K327" s="623"/>
      <c r="L327" s="623"/>
      <c r="M327" s="623"/>
      <c r="N327" s="623"/>
      <c r="O327" s="624"/>
      <c r="P327" s="620" t="s">
        <v>40</v>
      </c>
      <c r="Q327" s="621"/>
      <c r="R327" s="621"/>
      <c r="S327" s="621"/>
      <c r="T327" s="621"/>
      <c r="U327" s="621"/>
      <c r="V327" s="622"/>
      <c r="W327" s="42" t="s">
        <v>0</v>
      </c>
      <c r="X327" s="43">
        <f>IFERROR(SUM(X323:X325),"0")</f>
        <v>0</v>
      </c>
      <c r="Y327" s="43">
        <f>IFERROR(SUM(Y323:Y325),"0")</f>
        <v>0</v>
      </c>
      <c r="Z327" s="42"/>
      <c r="AA327" s="67"/>
      <c r="AB327" s="67"/>
      <c r="AC327" s="67"/>
    </row>
    <row r="328" spans="1:68" ht="27.75" customHeight="1" x14ac:dyDescent="0.2">
      <c r="A328" s="612" t="s">
        <v>546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54"/>
      <c r="AB328" s="54"/>
      <c r="AC328" s="54"/>
    </row>
    <row r="329" spans="1:68" ht="16.5" customHeight="1" x14ac:dyDescent="0.25">
      <c r="A329" s="613" t="s">
        <v>547</v>
      </c>
      <c r="B329" s="613"/>
      <c r="C329" s="613"/>
      <c r="D329" s="613"/>
      <c r="E329" s="613"/>
      <c r="F329" s="613"/>
      <c r="G329" s="613"/>
      <c r="H329" s="613"/>
      <c r="I329" s="613"/>
      <c r="J329" s="613"/>
      <c r="K329" s="613"/>
      <c r="L329" s="613"/>
      <c r="M329" s="613"/>
      <c r="N329" s="613"/>
      <c r="O329" s="613"/>
      <c r="P329" s="613"/>
      <c r="Q329" s="613"/>
      <c r="R329" s="613"/>
      <c r="S329" s="613"/>
      <c r="T329" s="613"/>
      <c r="U329" s="613"/>
      <c r="V329" s="613"/>
      <c r="W329" s="613"/>
      <c r="X329" s="613"/>
      <c r="Y329" s="613"/>
      <c r="Z329" s="613"/>
      <c r="AA329" s="65"/>
      <c r="AB329" s="65"/>
      <c r="AC329" s="79"/>
    </row>
    <row r="330" spans="1:68" ht="14.25" customHeight="1" x14ac:dyDescent="0.25">
      <c r="A330" s="614" t="s">
        <v>111</v>
      </c>
      <c r="B330" s="614"/>
      <c r="C330" s="614"/>
      <c r="D330" s="614"/>
      <c r="E330" s="614"/>
      <c r="F330" s="614"/>
      <c r="G330" s="614"/>
      <c r="H330" s="614"/>
      <c r="I330" s="614"/>
      <c r="J330" s="614"/>
      <c r="K330" s="614"/>
      <c r="L330" s="614"/>
      <c r="M330" s="614"/>
      <c r="N330" s="614"/>
      <c r="O330" s="614"/>
      <c r="P330" s="614"/>
      <c r="Q330" s="614"/>
      <c r="R330" s="614"/>
      <c r="S330" s="614"/>
      <c r="T330" s="614"/>
      <c r="U330" s="614"/>
      <c r="V330" s="614"/>
      <c r="W330" s="614"/>
      <c r="X330" s="614"/>
      <c r="Y330" s="614"/>
      <c r="Z330" s="614"/>
      <c r="AA330" s="66"/>
      <c r="AB330" s="66"/>
      <c r="AC330" s="80"/>
    </row>
    <row r="331" spans="1:68" ht="37.5" customHeight="1" x14ac:dyDescent="0.25">
      <c r="A331" s="63" t="s">
        <v>548</v>
      </c>
      <c r="B331" s="63" t="s">
        <v>549</v>
      </c>
      <c r="C331" s="36">
        <v>4301011869</v>
      </c>
      <c r="D331" s="615">
        <v>4680115884847</v>
      </c>
      <c r="E331" s="615"/>
      <c r="F331" s="62">
        <v>2.5</v>
      </c>
      <c r="G331" s="37">
        <v>6</v>
      </c>
      <c r="H331" s="62">
        <v>15</v>
      </c>
      <c r="I331" s="62">
        <v>15.47</v>
      </c>
      <c r="J331" s="37">
        <v>48</v>
      </c>
      <c r="K331" s="37" t="s">
        <v>116</v>
      </c>
      <c r="L331" s="37" t="s">
        <v>45</v>
      </c>
      <c r="M331" s="38" t="s">
        <v>80</v>
      </c>
      <c r="N331" s="38"/>
      <c r="O331" s="37">
        <v>60</v>
      </c>
      <c r="P331" s="7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31" s="617"/>
      <c r="R331" s="617"/>
      <c r="S331" s="617"/>
      <c r="T331" s="618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ref="Y331:Y337" si="36">IFERROR(IF(X331="",0,CEILING((X331/$H331),1)*$H331),"")</f>
        <v>0</v>
      </c>
      <c r="Z331" s="41" t="str">
        <f>IFERROR(IF(Y331=0,"",ROUNDUP(Y331/H331,0)*0.02175),"")</f>
        <v/>
      </c>
      <c r="AA331" s="68" t="s">
        <v>45</v>
      </c>
      <c r="AB331" s="69" t="s">
        <v>45</v>
      </c>
      <c r="AC331" s="404" t="s">
        <v>550</v>
      </c>
      <c r="AG331" s="78"/>
      <c r="AJ331" s="84" t="s">
        <v>45</v>
      </c>
      <c r="AK331" s="84">
        <v>0</v>
      </c>
      <c r="BB331" s="405" t="s">
        <v>66</v>
      </c>
      <c r="BM331" s="78">
        <f t="shared" ref="BM331:BM337" si="37">IFERROR(X331*I331/H331,"0")</f>
        <v>0</v>
      </c>
      <c r="BN331" s="78">
        <f t="shared" ref="BN331:BN337" si="38">IFERROR(Y331*I331/H331,"0")</f>
        <v>0</v>
      </c>
      <c r="BO331" s="78">
        <f t="shared" ref="BO331:BO337" si="39">IFERROR(1/J331*(X331/H331),"0")</f>
        <v>0</v>
      </c>
      <c r="BP331" s="78">
        <f t="shared" ref="BP331:BP337" si="40">IFERROR(1/J331*(Y331/H331),"0")</f>
        <v>0</v>
      </c>
    </row>
    <row r="332" spans="1:68" ht="27" customHeight="1" x14ac:dyDescent="0.25">
      <c r="A332" s="63" t="s">
        <v>551</v>
      </c>
      <c r="B332" s="63" t="s">
        <v>552</v>
      </c>
      <c r="C332" s="36">
        <v>4301011870</v>
      </c>
      <c r="D332" s="615">
        <v>4680115884854</v>
      </c>
      <c r="E332" s="615"/>
      <c r="F332" s="62">
        <v>2.5</v>
      </c>
      <c r="G332" s="37">
        <v>6</v>
      </c>
      <c r="H332" s="62">
        <v>15</v>
      </c>
      <c r="I332" s="62">
        <v>15.47</v>
      </c>
      <c r="J332" s="37">
        <v>48</v>
      </c>
      <c r="K332" s="37" t="s">
        <v>116</v>
      </c>
      <c r="L332" s="37" t="s">
        <v>45</v>
      </c>
      <c r="M332" s="38" t="s">
        <v>80</v>
      </c>
      <c r="N332" s="38"/>
      <c r="O332" s="37">
        <v>60</v>
      </c>
      <c r="P332" s="78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32" s="617"/>
      <c r="R332" s="617"/>
      <c r="S332" s="617"/>
      <c r="T332" s="618"/>
      <c r="U332" s="39" t="s">
        <v>45</v>
      </c>
      <c r="V332" s="39" t="s">
        <v>45</v>
      </c>
      <c r="W332" s="40" t="s">
        <v>0</v>
      </c>
      <c r="X332" s="58">
        <v>0</v>
      </c>
      <c r="Y332" s="55">
        <f t="shared" si="36"/>
        <v>0</v>
      </c>
      <c r="Z332" s="41" t="str">
        <f>IFERROR(IF(Y332=0,"",ROUNDUP(Y332/H332,0)*0.02175),"")</f>
        <v/>
      </c>
      <c r="AA332" s="68" t="s">
        <v>45</v>
      </c>
      <c r="AB332" s="69" t="s">
        <v>45</v>
      </c>
      <c r="AC332" s="406" t="s">
        <v>553</v>
      </c>
      <c r="AG332" s="78"/>
      <c r="AJ332" s="84" t="s">
        <v>45</v>
      </c>
      <c r="AK332" s="84">
        <v>0</v>
      </c>
      <c r="BB332" s="407" t="s">
        <v>66</v>
      </c>
      <c r="BM332" s="78">
        <f t="shared" si="37"/>
        <v>0</v>
      </c>
      <c r="BN332" s="78">
        <f t="shared" si="38"/>
        <v>0</v>
      </c>
      <c r="BO332" s="78">
        <f t="shared" si="39"/>
        <v>0</v>
      </c>
      <c r="BP332" s="78">
        <f t="shared" si="40"/>
        <v>0</v>
      </c>
    </row>
    <row r="333" spans="1:68" ht="37.5" customHeight="1" x14ac:dyDescent="0.25">
      <c r="A333" s="63" t="s">
        <v>554</v>
      </c>
      <c r="B333" s="63" t="s">
        <v>555</v>
      </c>
      <c r="C333" s="36">
        <v>4301011867</v>
      </c>
      <c r="D333" s="615">
        <v>4680115884830</v>
      </c>
      <c r="E333" s="615"/>
      <c r="F333" s="62">
        <v>2.5</v>
      </c>
      <c r="G333" s="37">
        <v>6</v>
      </c>
      <c r="H333" s="62">
        <v>15</v>
      </c>
      <c r="I333" s="62">
        <v>15.47</v>
      </c>
      <c r="J333" s="37">
        <v>48</v>
      </c>
      <c r="K333" s="37" t="s">
        <v>116</v>
      </c>
      <c r="L333" s="37" t="s">
        <v>45</v>
      </c>
      <c r="M333" s="38" t="s">
        <v>80</v>
      </c>
      <c r="N333" s="38"/>
      <c r="O333" s="37">
        <v>60</v>
      </c>
      <c r="P333" s="7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33" s="617"/>
      <c r="R333" s="617"/>
      <c r="S333" s="617"/>
      <c r="T333" s="618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si="36"/>
        <v>0</v>
      </c>
      <c r="Z333" s="41" t="str">
        <f>IFERROR(IF(Y333=0,"",ROUNDUP(Y333/H333,0)*0.02175),"")</f>
        <v/>
      </c>
      <c r="AA333" s="68" t="s">
        <v>45</v>
      </c>
      <c r="AB333" s="69" t="s">
        <v>45</v>
      </c>
      <c r="AC333" s="408" t="s">
        <v>556</v>
      </c>
      <c r="AG333" s="78"/>
      <c r="AJ333" s="84" t="s">
        <v>45</v>
      </c>
      <c r="AK333" s="84">
        <v>0</v>
      </c>
      <c r="BB333" s="409" t="s">
        <v>66</v>
      </c>
      <c r="BM333" s="78">
        <f t="shared" si="37"/>
        <v>0</v>
      </c>
      <c r="BN333" s="78">
        <f t="shared" si="38"/>
        <v>0</v>
      </c>
      <c r="BO333" s="78">
        <f t="shared" si="39"/>
        <v>0</v>
      </c>
      <c r="BP333" s="78">
        <f t="shared" si="40"/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4301012215</v>
      </c>
      <c r="D334" s="615">
        <v>4680115887046</v>
      </c>
      <c r="E334" s="615"/>
      <c r="F334" s="62">
        <v>2.5</v>
      </c>
      <c r="G334" s="37">
        <v>6</v>
      </c>
      <c r="H334" s="62">
        <v>15</v>
      </c>
      <c r="I334" s="62">
        <v>15.47</v>
      </c>
      <c r="J334" s="37">
        <v>48</v>
      </c>
      <c r="K334" s="37" t="s">
        <v>116</v>
      </c>
      <c r="L334" s="37" t="s">
        <v>45</v>
      </c>
      <c r="M334" s="38" t="s">
        <v>97</v>
      </c>
      <c r="N334" s="38"/>
      <c r="O334" s="37">
        <v>60</v>
      </c>
      <c r="P334" s="78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4" s="617"/>
      <c r="R334" s="617"/>
      <c r="S334" s="617"/>
      <c r="T334" s="618"/>
      <c r="U334" s="39" t="s">
        <v>45</v>
      </c>
      <c r="V334" s="39" t="s">
        <v>45</v>
      </c>
      <c r="W334" s="40" t="s">
        <v>0</v>
      </c>
      <c r="X334" s="58">
        <v>0</v>
      </c>
      <c r="Y334" s="55">
        <f t="shared" si="36"/>
        <v>0</v>
      </c>
      <c r="Z334" s="41" t="str">
        <f>IFERROR(IF(Y334=0,"",ROUNDUP(Y334/H334,0)*0.02175),"")</f>
        <v/>
      </c>
      <c r="AA334" s="68" t="s">
        <v>45</v>
      </c>
      <c r="AB334" s="69" t="s">
        <v>45</v>
      </c>
      <c r="AC334" s="410" t="s">
        <v>559</v>
      </c>
      <c r="AG334" s="78"/>
      <c r="AJ334" s="84" t="s">
        <v>45</v>
      </c>
      <c r="AK334" s="84">
        <v>0</v>
      </c>
      <c r="BB334" s="411" t="s">
        <v>66</v>
      </c>
      <c r="BM334" s="78">
        <f t="shared" si="37"/>
        <v>0</v>
      </c>
      <c r="BN334" s="78">
        <f t="shared" si="38"/>
        <v>0</v>
      </c>
      <c r="BO334" s="78">
        <f t="shared" si="39"/>
        <v>0</v>
      </c>
      <c r="BP334" s="78">
        <f t="shared" si="40"/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4301011433</v>
      </c>
      <c r="D335" s="615">
        <v>4680115882638</v>
      </c>
      <c r="E335" s="615"/>
      <c r="F335" s="62">
        <v>0.4</v>
      </c>
      <c r="G335" s="37">
        <v>10</v>
      </c>
      <c r="H335" s="62">
        <v>4</v>
      </c>
      <c r="I335" s="62">
        <v>4.1900000000000004</v>
      </c>
      <c r="J335" s="37">
        <v>132</v>
      </c>
      <c r="K335" s="37" t="s">
        <v>119</v>
      </c>
      <c r="L335" s="37" t="s">
        <v>45</v>
      </c>
      <c r="M335" s="38" t="s">
        <v>115</v>
      </c>
      <c r="N335" s="38"/>
      <c r="O335" s="37">
        <v>90</v>
      </c>
      <c r="P335" s="78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5" s="617"/>
      <c r="R335" s="617"/>
      <c r="S335" s="617"/>
      <c r="T335" s="618"/>
      <c r="U335" s="39" t="s">
        <v>45</v>
      </c>
      <c r="V335" s="39" t="s">
        <v>45</v>
      </c>
      <c r="W335" s="40" t="s">
        <v>0</v>
      </c>
      <c r="X335" s="58">
        <v>0</v>
      </c>
      <c r="Y335" s="55">
        <f t="shared" si="36"/>
        <v>0</v>
      </c>
      <c r="Z335" s="41" t="str">
        <f>IFERROR(IF(Y335=0,"",ROUNDUP(Y335/H335,0)*0.00902),"")</f>
        <v/>
      </c>
      <c r="AA335" s="68" t="s">
        <v>45</v>
      </c>
      <c r="AB335" s="69" t="s">
        <v>45</v>
      </c>
      <c r="AC335" s="412" t="s">
        <v>562</v>
      </c>
      <c r="AG335" s="78"/>
      <c r="AJ335" s="84" t="s">
        <v>45</v>
      </c>
      <c r="AK335" s="84">
        <v>0</v>
      </c>
      <c r="BB335" s="413" t="s">
        <v>66</v>
      </c>
      <c r="BM335" s="78">
        <f t="shared" si="37"/>
        <v>0</v>
      </c>
      <c r="BN335" s="78">
        <f t="shared" si="38"/>
        <v>0</v>
      </c>
      <c r="BO335" s="78">
        <f t="shared" si="39"/>
        <v>0</v>
      </c>
      <c r="BP335" s="78">
        <f t="shared" si="40"/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4301011952</v>
      </c>
      <c r="D336" s="615">
        <v>4680115884922</v>
      </c>
      <c r="E336" s="615"/>
      <c r="F336" s="62">
        <v>0.5</v>
      </c>
      <c r="G336" s="37">
        <v>10</v>
      </c>
      <c r="H336" s="62">
        <v>5</v>
      </c>
      <c r="I336" s="62">
        <v>5.19</v>
      </c>
      <c r="J336" s="37">
        <v>132</v>
      </c>
      <c r="K336" s="37" t="s">
        <v>119</v>
      </c>
      <c r="L336" s="37" t="s">
        <v>45</v>
      </c>
      <c r="M336" s="38" t="s">
        <v>80</v>
      </c>
      <c r="N336" s="38"/>
      <c r="O336" s="37">
        <v>60</v>
      </c>
      <c r="P336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6" s="617"/>
      <c r="R336" s="617"/>
      <c r="S336" s="617"/>
      <c r="T336" s="618"/>
      <c r="U336" s="39" t="s">
        <v>45</v>
      </c>
      <c r="V336" s="39" t="s">
        <v>45</v>
      </c>
      <c r="W336" s="40" t="s">
        <v>0</v>
      </c>
      <c r="X336" s="58">
        <v>0</v>
      </c>
      <c r="Y336" s="55">
        <f t="shared" si="36"/>
        <v>0</v>
      </c>
      <c r="Z336" s="41" t="str">
        <f>IFERROR(IF(Y336=0,"",ROUNDUP(Y336/H336,0)*0.00902),"")</f>
        <v/>
      </c>
      <c r="AA336" s="68" t="s">
        <v>45</v>
      </c>
      <c r="AB336" s="69" t="s">
        <v>45</v>
      </c>
      <c r="AC336" s="414" t="s">
        <v>553</v>
      </c>
      <c r="AG336" s="78"/>
      <c r="AJ336" s="84" t="s">
        <v>45</v>
      </c>
      <c r="AK336" s="84">
        <v>0</v>
      </c>
      <c r="BB336" s="415" t="s">
        <v>66</v>
      </c>
      <c r="BM336" s="78">
        <f t="shared" si="37"/>
        <v>0</v>
      </c>
      <c r="BN336" s="78">
        <f t="shared" si="38"/>
        <v>0</v>
      </c>
      <c r="BO336" s="78">
        <f t="shared" si="39"/>
        <v>0</v>
      </c>
      <c r="BP336" s="78">
        <f t="shared" si="40"/>
        <v>0</v>
      </c>
    </row>
    <row r="337" spans="1:68" ht="37.5" customHeight="1" x14ac:dyDescent="0.25">
      <c r="A337" s="63" t="s">
        <v>565</v>
      </c>
      <c r="B337" s="63" t="s">
        <v>566</v>
      </c>
      <c r="C337" s="36">
        <v>4301011868</v>
      </c>
      <c r="D337" s="615">
        <v>4680115884861</v>
      </c>
      <c r="E337" s="615"/>
      <c r="F337" s="62">
        <v>0.5</v>
      </c>
      <c r="G337" s="37">
        <v>10</v>
      </c>
      <c r="H337" s="62">
        <v>5</v>
      </c>
      <c r="I337" s="62">
        <v>5.19</v>
      </c>
      <c r="J337" s="37">
        <v>132</v>
      </c>
      <c r="K337" s="37" t="s">
        <v>119</v>
      </c>
      <c r="L337" s="37" t="s">
        <v>45</v>
      </c>
      <c r="M337" s="38" t="s">
        <v>80</v>
      </c>
      <c r="N337" s="38"/>
      <c r="O337" s="37">
        <v>60</v>
      </c>
      <c r="P337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7" s="617"/>
      <c r="R337" s="617"/>
      <c r="S337" s="617"/>
      <c r="T337" s="618"/>
      <c r="U337" s="39" t="s">
        <v>45</v>
      </c>
      <c r="V337" s="39" t="s">
        <v>45</v>
      </c>
      <c r="W337" s="40" t="s">
        <v>0</v>
      </c>
      <c r="X337" s="58">
        <v>0</v>
      </c>
      <c r="Y337" s="55">
        <f t="shared" si="36"/>
        <v>0</v>
      </c>
      <c r="Z337" s="41" t="str">
        <f>IFERROR(IF(Y337=0,"",ROUNDUP(Y337/H337,0)*0.00902),"")</f>
        <v/>
      </c>
      <c r="AA337" s="68" t="s">
        <v>45</v>
      </c>
      <c r="AB337" s="69" t="s">
        <v>45</v>
      </c>
      <c r="AC337" s="416" t="s">
        <v>556</v>
      </c>
      <c r="AG337" s="78"/>
      <c r="AJ337" s="84" t="s">
        <v>45</v>
      </c>
      <c r="AK337" s="84">
        <v>0</v>
      </c>
      <c r="BB337" s="417" t="s">
        <v>66</v>
      </c>
      <c r="BM337" s="78">
        <f t="shared" si="37"/>
        <v>0</v>
      </c>
      <c r="BN337" s="78">
        <f t="shared" si="38"/>
        <v>0</v>
      </c>
      <c r="BO337" s="78">
        <f t="shared" si="39"/>
        <v>0</v>
      </c>
      <c r="BP337" s="78">
        <f t="shared" si="40"/>
        <v>0</v>
      </c>
    </row>
    <row r="338" spans="1:68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2" t="s">
        <v>39</v>
      </c>
      <c r="X338" s="43">
        <f>IFERROR(X331/H331,"0")+IFERROR(X332/H332,"0")+IFERROR(X333/H333,"0")+IFERROR(X334/H334,"0")+IFERROR(X335/H335,"0")+IFERROR(X336/H336,"0")+IFERROR(X337/H337,"0")</f>
        <v>0</v>
      </c>
      <c r="Y338" s="43">
        <f>IFERROR(Y331/H331,"0")+IFERROR(Y332/H332,"0")+IFERROR(Y333/H333,"0")+IFERROR(Y334/H334,"0")+IFERROR(Y335/H335,"0")+IFERROR(Y336/H336,"0")+IFERROR(Y337/H337,"0")</f>
        <v>0</v>
      </c>
      <c r="Z338" s="43">
        <f>IFERROR(IF(Z331="",0,Z331),"0")+IFERROR(IF(Z332="",0,Z332),"0")+IFERROR(IF(Z333="",0,Z333),"0")+IFERROR(IF(Z334="",0,Z334),"0")+IFERROR(IF(Z335="",0,Z335),"0")+IFERROR(IF(Z336="",0,Z336),"0")+IFERROR(IF(Z337="",0,Z337),"0")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3"/>
      <c r="B339" s="623"/>
      <c r="C339" s="623"/>
      <c r="D339" s="623"/>
      <c r="E339" s="623"/>
      <c r="F339" s="623"/>
      <c r="G339" s="623"/>
      <c r="H339" s="623"/>
      <c r="I339" s="623"/>
      <c r="J339" s="623"/>
      <c r="K339" s="623"/>
      <c r="L339" s="623"/>
      <c r="M339" s="623"/>
      <c r="N339" s="623"/>
      <c r="O339" s="624"/>
      <c r="P339" s="620" t="s">
        <v>40</v>
      </c>
      <c r="Q339" s="621"/>
      <c r="R339" s="621"/>
      <c r="S339" s="621"/>
      <c r="T339" s="621"/>
      <c r="U339" s="621"/>
      <c r="V339" s="622"/>
      <c r="W339" s="42" t="s">
        <v>0</v>
      </c>
      <c r="X339" s="43">
        <f>IFERROR(SUM(X331:X337),"0")</f>
        <v>0</v>
      </c>
      <c r="Y339" s="43">
        <f>IFERROR(SUM(Y331:Y337),"0")</f>
        <v>0</v>
      </c>
      <c r="Z339" s="42"/>
      <c r="AA339" s="67"/>
      <c r="AB339" s="67"/>
      <c r="AC339" s="67"/>
    </row>
    <row r="340" spans="1:68" ht="14.25" customHeight="1" x14ac:dyDescent="0.25">
      <c r="A340" s="614" t="s">
        <v>144</v>
      </c>
      <c r="B340" s="614"/>
      <c r="C340" s="614"/>
      <c r="D340" s="614"/>
      <c r="E340" s="614"/>
      <c r="F340" s="614"/>
      <c r="G340" s="614"/>
      <c r="H340" s="614"/>
      <c r="I340" s="614"/>
      <c r="J340" s="614"/>
      <c r="K340" s="614"/>
      <c r="L340" s="614"/>
      <c r="M340" s="614"/>
      <c r="N340" s="614"/>
      <c r="O340" s="614"/>
      <c r="P340" s="614"/>
      <c r="Q340" s="614"/>
      <c r="R340" s="614"/>
      <c r="S340" s="614"/>
      <c r="T340" s="614"/>
      <c r="U340" s="614"/>
      <c r="V340" s="614"/>
      <c r="W340" s="614"/>
      <c r="X340" s="614"/>
      <c r="Y340" s="614"/>
      <c r="Z340" s="614"/>
      <c r="AA340" s="66"/>
      <c r="AB340" s="66"/>
      <c r="AC340" s="80"/>
    </row>
    <row r="341" spans="1:68" ht="27" customHeight="1" x14ac:dyDescent="0.25">
      <c r="A341" s="63" t="s">
        <v>567</v>
      </c>
      <c r="B341" s="63" t="s">
        <v>568</v>
      </c>
      <c r="C341" s="36">
        <v>4301020178</v>
      </c>
      <c r="D341" s="615">
        <v>4607091383980</v>
      </c>
      <c r="E341" s="615"/>
      <c r="F341" s="62">
        <v>2.5</v>
      </c>
      <c r="G341" s="37">
        <v>6</v>
      </c>
      <c r="H341" s="62">
        <v>15</v>
      </c>
      <c r="I341" s="62">
        <v>15.47</v>
      </c>
      <c r="J341" s="37">
        <v>48</v>
      </c>
      <c r="K341" s="37" t="s">
        <v>116</v>
      </c>
      <c r="L341" s="37" t="s">
        <v>45</v>
      </c>
      <c r="M341" s="38" t="s">
        <v>115</v>
      </c>
      <c r="N341" s="38"/>
      <c r="O341" s="37">
        <v>50</v>
      </c>
      <c r="P341" s="7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41" s="617"/>
      <c r="R341" s="617"/>
      <c r="S341" s="617"/>
      <c r="T341" s="618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IFERROR(IF(Y341=0,"",ROUNDUP(Y341/H341,0)*0.02175),"")</f>
        <v/>
      </c>
      <c r="AA341" s="68" t="s">
        <v>45</v>
      </c>
      <c r="AB341" s="69" t="s">
        <v>45</v>
      </c>
      <c r="AC341" s="418" t="s">
        <v>569</v>
      </c>
      <c r="AG341" s="78"/>
      <c r="AJ341" s="84" t="s">
        <v>45</v>
      </c>
      <c r="AK341" s="84">
        <v>0</v>
      </c>
      <c r="BB341" s="419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570</v>
      </c>
      <c r="B342" s="63" t="s">
        <v>571</v>
      </c>
      <c r="C342" s="36">
        <v>4301020179</v>
      </c>
      <c r="D342" s="615">
        <v>4607091384178</v>
      </c>
      <c r="E342" s="615"/>
      <c r="F342" s="62">
        <v>0.4</v>
      </c>
      <c r="G342" s="37">
        <v>10</v>
      </c>
      <c r="H342" s="62">
        <v>4</v>
      </c>
      <c r="I342" s="62">
        <v>4.1900000000000004</v>
      </c>
      <c r="J342" s="37">
        <v>132</v>
      </c>
      <c r="K342" s="37" t="s">
        <v>119</v>
      </c>
      <c r="L342" s="37" t="s">
        <v>45</v>
      </c>
      <c r="M342" s="38" t="s">
        <v>115</v>
      </c>
      <c r="N342" s="38"/>
      <c r="O342" s="37">
        <v>50</v>
      </c>
      <c r="P342" s="7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42" s="617"/>
      <c r="R342" s="617"/>
      <c r="S342" s="617"/>
      <c r="T342" s="61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IFERROR(IF(Y342=0,"",ROUNDUP(Y342/H342,0)*0.00902),"")</f>
        <v/>
      </c>
      <c r="AA342" s="68" t="s">
        <v>45</v>
      </c>
      <c r="AB342" s="69" t="s">
        <v>45</v>
      </c>
      <c r="AC342" s="420" t="s">
        <v>572</v>
      </c>
      <c r="AG342" s="78"/>
      <c r="AJ342" s="84" t="s">
        <v>45</v>
      </c>
      <c r="AK342" s="84">
        <v>0</v>
      </c>
      <c r="BB342" s="421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23"/>
      <c r="B343" s="623"/>
      <c r="C343" s="623"/>
      <c r="D343" s="623"/>
      <c r="E343" s="623"/>
      <c r="F343" s="623"/>
      <c r="G343" s="623"/>
      <c r="H343" s="623"/>
      <c r="I343" s="623"/>
      <c r="J343" s="623"/>
      <c r="K343" s="623"/>
      <c r="L343" s="623"/>
      <c r="M343" s="623"/>
      <c r="N343" s="623"/>
      <c r="O343" s="624"/>
      <c r="P343" s="620" t="s">
        <v>40</v>
      </c>
      <c r="Q343" s="621"/>
      <c r="R343" s="621"/>
      <c r="S343" s="621"/>
      <c r="T343" s="621"/>
      <c r="U343" s="621"/>
      <c r="V343" s="622"/>
      <c r="W343" s="42" t="s">
        <v>39</v>
      </c>
      <c r="X343" s="43">
        <f>IFERROR(X341/H341,"0")+IFERROR(X342/H342,"0")</f>
        <v>0</v>
      </c>
      <c r="Y343" s="43">
        <f>IFERROR(Y341/H341,"0")+IFERROR(Y342/H342,"0")</f>
        <v>0</v>
      </c>
      <c r="Z343" s="43">
        <f>IFERROR(IF(Z341="",0,Z341),"0")+IFERROR(IF(Z342="",0,Z342),"0")</f>
        <v>0</v>
      </c>
      <c r="AA343" s="67"/>
      <c r="AB343" s="67"/>
      <c r="AC343" s="67"/>
    </row>
    <row r="344" spans="1:68" x14ac:dyDescent="0.2">
      <c r="A344" s="623"/>
      <c r="B344" s="623"/>
      <c r="C344" s="623"/>
      <c r="D344" s="623"/>
      <c r="E344" s="623"/>
      <c r="F344" s="623"/>
      <c r="G344" s="623"/>
      <c r="H344" s="623"/>
      <c r="I344" s="623"/>
      <c r="J344" s="623"/>
      <c r="K344" s="623"/>
      <c r="L344" s="623"/>
      <c r="M344" s="623"/>
      <c r="N344" s="623"/>
      <c r="O344" s="624"/>
      <c r="P344" s="620" t="s">
        <v>40</v>
      </c>
      <c r="Q344" s="621"/>
      <c r="R344" s="621"/>
      <c r="S344" s="621"/>
      <c r="T344" s="621"/>
      <c r="U344" s="621"/>
      <c r="V344" s="622"/>
      <c r="W344" s="42" t="s">
        <v>0</v>
      </c>
      <c r="X344" s="43">
        <f>IFERROR(SUM(X341:X342),"0")</f>
        <v>0</v>
      </c>
      <c r="Y344" s="43">
        <f>IFERROR(SUM(Y341:Y342),"0")</f>
        <v>0</v>
      </c>
      <c r="Z344" s="42"/>
      <c r="AA344" s="67"/>
      <c r="AB344" s="67"/>
      <c r="AC344" s="67"/>
    </row>
    <row r="345" spans="1:68" ht="14.25" customHeight="1" x14ac:dyDescent="0.25">
      <c r="A345" s="614" t="s">
        <v>86</v>
      </c>
      <c r="B345" s="614"/>
      <c r="C345" s="614"/>
      <c r="D345" s="614"/>
      <c r="E345" s="614"/>
      <c r="F345" s="614"/>
      <c r="G345" s="614"/>
      <c r="H345" s="614"/>
      <c r="I345" s="614"/>
      <c r="J345" s="614"/>
      <c r="K345" s="614"/>
      <c r="L345" s="614"/>
      <c r="M345" s="614"/>
      <c r="N345" s="614"/>
      <c r="O345" s="614"/>
      <c r="P345" s="614"/>
      <c r="Q345" s="614"/>
      <c r="R345" s="614"/>
      <c r="S345" s="614"/>
      <c r="T345" s="614"/>
      <c r="U345" s="614"/>
      <c r="V345" s="614"/>
      <c r="W345" s="614"/>
      <c r="X345" s="614"/>
      <c r="Y345" s="614"/>
      <c r="Z345" s="614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4301051903</v>
      </c>
      <c r="D346" s="615">
        <v>4607091383928</v>
      </c>
      <c r="E346" s="615"/>
      <c r="F346" s="62">
        <v>1.5</v>
      </c>
      <c r="G346" s="37">
        <v>6</v>
      </c>
      <c r="H346" s="62">
        <v>9</v>
      </c>
      <c r="I346" s="62">
        <v>9.5</v>
      </c>
      <c r="J346" s="37">
        <v>64</v>
      </c>
      <c r="K346" s="37" t="s">
        <v>116</v>
      </c>
      <c r="L346" s="37" t="s">
        <v>45</v>
      </c>
      <c r="M346" s="38" t="s">
        <v>90</v>
      </c>
      <c r="N346" s="38"/>
      <c r="O346" s="37">
        <v>40</v>
      </c>
      <c r="P346" s="79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6" s="617"/>
      <c r="R346" s="617"/>
      <c r="S346" s="617"/>
      <c r="T346" s="618"/>
      <c r="U346" s="39" t="s">
        <v>45</v>
      </c>
      <c r="V346" s="39" t="s">
        <v>45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45</v>
      </c>
      <c r="AB346" s="69" t="s">
        <v>45</v>
      </c>
      <c r="AC346" s="422" t="s">
        <v>575</v>
      </c>
      <c r="AG346" s="78"/>
      <c r="AJ346" s="84" t="s">
        <v>45</v>
      </c>
      <c r="AK346" s="84">
        <v>0</v>
      </c>
      <c r="BB346" s="423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576</v>
      </c>
      <c r="B347" s="63" t="s">
        <v>577</v>
      </c>
      <c r="C347" s="36">
        <v>4301051897</v>
      </c>
      <c r="D347" s="615">
        <v>4607091384260</v>
      </c>
      <c r="E347" s="615"/>
      <c r="F347" s="62">
        <v>1.5</v>
      </c>
      <c r="G347" s="37">
        <v>6</v>
      </c>
      <c r="H347" s="62">
        <v>9</v>
      </c>
      <c r="I347" s="62">
        <v>9.4939999999999998</v>
      </c>
      <c r="J347" s="37">
        <v>64</v>
      </c>
      <c r="K347" s="37" t="s">
        <v>116</v>
      </c>
      <c r="L347" s="37" t="s">
        <v>45</v>
      </c>
      <c r="M347" s="38" t="s">
        <v>90</v>
      </c>
      <c r="N347" s="38"/>
      <c r="O347" s="37">
        <v>40</v>
      </c>
      <c r="P347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7" s="617"/>
      <c r="R347" s="617"/>
      <c r="S347" s="617"/>
      <c r="T347" s="618"/>
      <c r="U347" s="39" t="s">
        <v>45</v>
      </c>
      <c r="V347" s="39" t="s">
        <v>45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45</v>
      </c>
      <c r="AB347" s="69" t="s">
        <v>45</v>
      </c>
      <c r="AC347" s="424" t="s">
        <v>578</v>
      </c>
      <c r="AG347" s="78"/>
      <c r="AJ347" s="84" t="s">
        <v>45</v>
      </c>
      <c r="AK347" s="84">
        <v>0</v>
      </c>
      <c r="BB347" s="425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23"/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4"/>
      <c r="P348" s="620" t="s">
        <v>40</v>
      </c>
      <c r="Q348" s="621"/>
      <c r="R348" s="621"/>
      <c r="S348" s="621"/>
      <c r="T348" s="621"/>
      <c r="U348" s="621"/>
      <c r="V348" s="622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623"/>
      <c r="B349" s="623"/>
      <c r="C349" s="623"/>
      <c r="D349" s="623"/>
      <c r="E349" s="623"/>
      <c r="F349" s="623"/>
      <c r="G349" s="623"/>
      <c r="H349" s="623"/>
      <c r="I349" s="623"/>
      <c r="J349" s="623"/>
      <c r="K349" s="623"/>
      <c r="L349" s="623"/>
      <c r="M349" s="623"/>
      <c r="N349" s="623"/>
      <c r="O349" s="624"/>
      <c r="P349" s="620" t="s">
        <v>40</v>
      </c>
      <c r="Q349" s="621"/>
      <c r="R349" s="621"/>
      <c r="S349" s="621"/>
      <c r="T349" s="621"/>
      <c r="U349" s="621"/>
      <c r="V349" s="622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4.25" customHeight="1" x14ac:dyDescent="0.25">
      <c r="A350" s="614" t="s">
        <v>172</v>
      </c>
      <c r="B350" s="614"/>
      <c r="C350" s="614"/>
      <c r="D350" s="614"/>
      <c r="E350" s="614"/>
      <c r="F350" s="614"/>
      <c r="G350" s="614"/>
      <c r="H350" s="614"/>
      <c r="I350" s="614"/>
      <c r="J350" s="614"/>
      <c r="K350" s="614"/>
      <c r="L350" s="614"/>
      <c r="M350" s="614"/>
      <c r="N350" s="614"/>
      <c r="O350" s="614"/>
      <c r="P350" s="614"/>
      <c r="Q350" s="614"/>
      <c r="R350" s="614"/>
      <c r="S350" s="614"/>
      <c r="T350" s="614"/>
      <c r="U350" s="614"/>
      <c r="V350" s="614"/>
      <c r="W350" s="614"/>
      <c r="X350" s="614"/>
      <c r="Y350" s="614"/>
      <c r="Z350" s="614"/>
      <c r="AA350" s="66"/>
      <c r="AB350" s="66"/>
      <c r="AC350" s="80"/>
    </row>
    <row r="351" spans="1:68" ht="16.5" customHeight="1" x14ac:dyDescent="0.25">
      <c r="A351" s="63" t="s">
        <v>579</v>
      </c>
      <c r="B351" s="63" t="s">
        <v>580</v>
      </c>
      <c r="C351" s="36">
        <v>4301060524</v>
      </c>
      <c r="D351" s="615">
        <v>4607091384673</v>
      </c>
      <c r="E351" s="615"/>
      <c r="F351" s="62">
        <v>1.5</v>
      </c>
      <c r="G351" s="37">
        <v>6</v>
      </c>
      <c r="H351" s="62">
        <v>9</v>
      </c>
      <c r="I351" s="62">
        <v>9.4939999999999998</v>
      </c>
      <c r="J351" s="37">
        <v>64</v>
      </c>
      <c r="K351" s="37" t="s">
        <v>116</v>
      </c>
      <c r="L351" s="37" t="s">
        <v>45</v>
      </c>
      <c r="M351" s="38" t="s">
        <v>90</v>
      </c>
      <c r="N351" s="38"/>
      <c r="O351" s="37">
        <v>40</v>
      </c>
      <c r="P351" s="79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51" s="617"/>
      <c r="R351" s="617"/>
      <c r="S351" s="617"/>
      <c r="T351" s="618"/>
      <c r="U351" s="39" t="s">
        <v>45</v>
      </c>
      <c r="V351" s="39" t="s">
        <v>45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45</v>
      </c>
      <c r="AB351" s="69" t="s">
        <v>45</v>
      </c>
      <c r="AC351" s="426" t="s">
        <v>581</v>
      </c>
      <c r="AG351" s="78"/>
      <c r="AJ351" s="84" t="s">
        <v>45</v>
      </c>
      <c r="AK351" s="84">
        <v>0</v>
      </c>
      <c r="BB351" s="42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23"/>
      <c r="B352" s="623"/>
      <c r="C352" s="623"/>
      <c r="D352" s="623"/>
      <c r="E352" s="623"/>
      <c r="F352" s="623"/>
      <c r="G352" s="623"/>
      <c r="H352" s="623"/>
      <c r="I352" s="623"/>
      <c r="J352" s="623"/>
      <c r="K352" s="623"/>
      <c r="L352" s="623"/>
      <c r="M352" s="623"/>
      <c r="N352" s="623"/>
      <c r="O352" s="624"/>
      <c r="P352" s="620" t="s">
        <v>40</v>
      </c>
      <c r="Q352" s="621"/>
      <c r="R352" s="621"/>
      <c r="S352" s="621"/>
      <c r="T352" s="621"/>
      <c r="U352" s="621"/>
      <c r="V352" s="622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x14ac:dyDescent="0.2">
      <c r="A353" s="623"/>
      <c r="B353" s="623"/>
      <c r="C353" s="623"/>
      <c r="D353" s="623"/>
      <c r="E353" s="623"/>
      <c r="F353" s="623"/>
      <c r="G353" s="623"/>
      <c r="H353" s="623"/>
      <c r="I353" s="623"/>
      <c r="J353" s="623"/>
      <c r="K353" s="623"/>
      <c r="L353" s="623"/>
      <c r="M353" s="623"/>
      <c r="N353" s="623"/>
      <c r="O353" s="624"/>
      <c r="P353" s="620" t="s">
        <v>40</v>
      </c>
      <c r="Q353" s="621"/>
      <c r="R353" s="621"/>
      <c r="S353" s="621"/>
      <c r="T353" s="621"/>
      <c r="U353" s="621"/>
      <c r="V353" s="622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6.5" customHeight="1" x14ac:dyDescent="0.25">
      <c r="A354" s="613" t="s">
        <v>582</v>
      </c>
      <c r="B354" s="613"/>
      <c r="C354" s="613"/>
      <c r="D354" s="613"/>
      <c r="E354" s="613"/>
      <c r="F354" s="613"/>
      <c r="G354" s="613"/>
      <c r="H354" s="613"/>
      <c r="I354" s="613"/>
      <c r="J354" s="613"/>
      <c r="K354" s="613"/>
      <c r="L354" s="613"/>
      <c r="M354" s="613"/>
      <c r="N354" s="613"/>
      <c r="O354" s="613"/>
      <c r="P354" s="613"/>
      <c r="Q354" s="613"/>
      <c r="R354" s="613"/>
      <c r="S354" s="613"/>
      <c r="T354" s="613"/>
      <c r="U354" s="613"/>
      <c r="V354" s="613"/>
      <c r="W354" s="613"/>
      <c r="X354" s="613"/>
      <c r="Y354" s="613"/>
      <c r="Z354" s="613"/>
      <c r="AA354" s="65"/>
      <c r="AB354" s="65"/>
      <c r="AC354" s="79"/>
    </row>
    <row r="355" spans="1:68" ht="14.25" customHeight="1" x14ac:dyDescent="0.25">
      <c r="A355" s="614" t="s">
        <v>111</v>
      </c>
      <c r="B355" s="614"/>
      <c r="C355" s="614"/>
      <c r="D355" s="614"/>
      <c r="E355" s="614"/>
      <c r="F355" s="614"/>
      <c r="G355" s="614"/>
      <c r="H355" s="614"/>
      <c r="I355" s="614"/>
      <c r="J355" s="614"/>
      <c r="K355" s="614"/>
      <c r="L355" s="614"/>
      <c r="M355" s="614"/>
      <c r="N355" s="614"/>
      <c r="O355" s="614"/>
      <c r="P355" s="614"/>
      <c r="Q355" s="614"/>
      <c r="R355" s="614"/>
      <c r="S355" s="614"/>
      <c r="T355" s="614"/>
      <c r="U355" s="614"/>
      <c r="V355" s="614"/>
      <c r="W355" s="614"/>
      <c r="X355" s="614"/>
      <c r="Y355" s="614"/>
      <c r="Z355" s="614"/>
      <c r="AA355" s="66"/>
      <c r="AB355" s="66"/>
      <c r="AC355" s="80"/>
    </row>
    <row r="356" spans="1:68" ht="37.5" customHeight="1" x14ac:dyDescent="0.25">
      <c r="A356" s="63" t="s">
        <v>583</v>
      </c>
      <c r="B356" s="63" t="s">
        <v>584</v>
      </c>
      <c r="C356" s="36">
        <v>4301011875</v>
      </c>
      <c r="D356" s="615">
        <v>4680115884885</v>
      </c>
      <c r="E356" s="615"/>
      <c r="F356" s="62">
        <v>0.8</v>
      </c>
      <c r="G356" s="37">
        <v>15</v>
      </c>
      <c r="H356" s="62">
        <v>12</v>
      </c>
      <c r="I356" s="62">
        <v>12.41</v>
      </c>
      <c r="J356" s="37">
        <v>64</v>
      </c>
      <c r="K356" s="37" t="s">
        <v>116</v>
      </c>
      <c r="L356" s="37" t="s">
        <v>45</v>
      </c>
      <c r="M356" s="38" t="s">
        <v>80</v>
      </c>
      <c r="N356" s="38"/>
      <c r="O356" s="37">
        <v>60</v>
      </c>
      <c r="P356" s="7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6" s="617"/>
      <c r="R356" s="617"/>
      <c r="S356" s="617"/>
      <c r="T356" s="618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45</v>
      </c>
      <c r="AB356" s="69" t="s">
        <v>45</v>
      </c>
      <c r="AC356" s="428" t="s">
        <v>585</v>
      </c>
      <c r="AG356" s="78"/>
      <c r="AJ356" s="84" t="s">
        <v>45</v>
      </c>
      <c r="AK356" s="84">
        <v>0</v>
      </c>
      <c r="BB356" s="429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37.5" customHeight="1" x14ac:dyDescent="0.25">
      <c r="A357" s="63" t="s">
        <v>586</v>
      </c>
      <c r="B357" s="63" t="s">
        <v>587</v>
      </c>
      <c r="C357" s="36">
        <v>4301011871</v>
      </c>
      <c r="D357" s="615">
        <v>4680115884908</v>
      </c>
      <c r="E357" s="61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119</v>
      </c>
      <c r="L357" s="37" t="s">
        <v>45</v>
      </c>
      <c r="M357" s="38" t="s">
        <v>80</v>
      </c>
      <c r="N357" s="38"/>
      <c r="O357" s="37">
        <v>60</v>
      </c>
      <c r="P357" s="7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7" s="617"/>
      <c r="R357" s="617"/>
      <c r="S357" s="617"/>
      <c r="T357" s="618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45</v>
      </c>
      <c r="AB357" s="69" t="s">
        <v>45</v>
      </c>
      <c r="AC357" s="430" t="s">
        <v>585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23"/>
      <c r="B358" s="623"/>
      <c r="C358" s="623"/>
      <c r="D358" s="623"/>
      <c r="E358" s="623"/>
      <c r="F358" s="623"/>
      <c r="G358" s="623"/>
      <c r="H358" s="623"/>
      <c r="I358" s="623"/>
      <c r="J358" s="623"/>
      <c r="K358" s="623"/>
      <c r="L358" s="623"/>
      <c r="M358" s="623"/>
      <c r="N358" s="623"/>
      <c r="O358" s="624"/>
      <c r="P358" s="620" t="s">
        <v>40</v>
      </c>
      <c r="Q358" s="621"/>
      <c r="R358" s="621"/>
      <c r="S358" s="621"/>
      <c r="T358" s="621"/>
      <c r="U358" s="621"/>
      <c r="V358" s="622"/>
      <c r="W358" s="42" t="s">
        <v>39</v>
      </c>
      <c r="X358" s="43">
        <f>IFERROR(X356/H356,"0")+IFERROR(X357/H357,"0")</f>
        <v>0</v>
      </c>
      <c r="Y358" s="43">
        <f>IFERROR(Y356/H356,"0")+IFERROR(Y357/H357,"0")</f>
        <v>0</v>
      </c>
      <c r="Z358" s="43">
        <f>IFERROR(IF(Z356="",0,Z356),"0")+IFERROR(IF(Z357="",0,Z357),"0")</f>
        <v>0</v>
      </c>
      <c r="AA358" s="67"/>
      <c r="AB358" s="67"/>
      <c r="AC358" s="67"/>
    </row>
    <row r="359" spans="1:68" x14ac:dyDescent="0.2">
      <c r="A359" s="623"/>
      <c r="B359" s="623"/>
      <c r="C359" s="623"/>
      <c r="D359" s="623"/>
      <c r="E359" s="623"/>
      <c r="F359" s="623"/>
      <c r="G359" s="623"/>
      <c r="H359" s="623"/>
      <c r="I359" s="623"/>
      <c r="J359" s="623"/>
      <c r="K359" s="623"/>
      <c r="L359" s="623"/>
      <c r="M359" s="623"/>
      <c r="N359" s="623"/>
      <c r="O359" s="624"/>
      <c r="P359" s="620" t="s">
        <v>40</v>
      </c>
      <c r="Q359" s="621"/>
      <c r="R359" s="621"/>
      <c r="S359" s="621"/>
      <c r="T359" s="621"/>
      <c r="U359" s="621"/>
      <c r="V359" s="622"/>
      <c r="W359" s="42" t="s">
        <v>0</v>
      </c>
      <c r="X359" s="43">
        <f>IFERROR(SUM(X356:X357),"0")</f>
        <v>0</v>
      </c>
      <c r="Y359" s="43">
        <f>IFERROR(SUM(Y356:Y357),"0")</f>
        <v>0</v>
      </c>
      <c r="Z359" s="42"/>
      <c r="AA359" s="67"/>
      <c r="AB359" s="67"/>
      <c r="AC359" s="67"/>
    </row>
    <row r="360" spans="1:68" ht="14.25" customHeight="1" x14ac:dyDescent="0.25">
      <c r="A360" s="614" t="s">
        <v>76</v>
      </c>
      <c r="B360" s="614"/>
      <c r="C360" s="614"/>
      <c r="D360" s="614"/>
      <c r="E360" s="614"/>
      <c r="F360" s="614"/>
      <c r="G360" s="614"/>
      <c r="H360" s="614"/>
      <c r="I360" s="614"/>
      <c r="J360" s="614"/>
      <c r="K360" s="614"/>
      <c r="L360" s="614"/>
      <c r="M360" s="614"/>
      <c r="N360" s="614"/>
      <c r="O360" s="614"/>
      <c r="P360" s="614"/>
      <c r="Q360" s="614"/>
      <c r="R360" s="614"/>
      <c r="S360" s="614"/>
      <c r="T360" s="614"/>
      <c r="U360" s="614"/>
      <c r="V360" s="614"/>
      <c r="W360" s="614"/>
      <c r="X360" s="614"/>
      <c r="Y360" s="614"/>
      <c r="Z360" s="614"/>
      <c r="AA360" s="66"/>
      <c r="AB360" s="66"/>
      <c r="AC360" s="80"/>
    </row>
    <row r="361" spans="1:68" ht="27" customHeight="1" x14ac:dyDescent="0.25">
      <c r="A361" s="63" t="s">
        <v>588</v>
      </c>
      <c r="B361" s="63" t="s">
        <v>589</v>
      </c>
      <c r="C361" s="36">
        <v>4301031303</v>
      </c>
      <c r="D361" s="615">
        <v>4607091384802</v>
      </c>
      <c r="E361" s="615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119</v>
      </c>
      <c r="L361" s="37" t="s">
        <v>45</v>
      </c>
      <c r="M361" s="38" t="s">
        <v>80</v>
      </c>
      <c r="N361" s="38"/>
      <c r="O361" s="37">
        <v>35</v>
      </c>
      <c r="P361" s="7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61" s="617"/>
      <c r="R361" s="617"/>
      <c r="S361" s="617"/>
      <c r="T361" s="61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2" t="s">
        <v>590</v>
      </c>
      <c r="AG361" s="78"/>
      <c r="AJ361" s="84" t="s">
        <v>45</v>
      </c>
      <c r="AK361" s="84">
        <v>0</v>
      </c>
      <c r="BB361" s="43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588</v>
      </c>
      <c r="B362" s="63" t="s">
        <v>591</v>
      </c>
      <c r="C362" s="36">
        <v>4301031457</v>
      </c>
      <c r="D362" s="615">
        <v>4607091384802</v>
      </c>
      <c r="E362" s="615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119</v>
      </c>
      <c r="L362" s="37" t="s">
        <v>45</v>
      </c>
      <c r="M362" s="38" t="s">
        <v>80</v>
      </c>
      <c r="N362" s="38"/>
      <c r="O362" s="37">
        <v>50</v>
      </c>
      <c r="P362" s="7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62" s="617"/>
      <c r="R362" s="617"/>
      <c r="S362" s="617"/>
      <c r="T362" s="618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45</v>
      </c>
      <c r="AB362" s="69" t="s">
        <v>45</v>
      </c>
      <c r="AC362" s="434" t="s">
        <v>592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3"/>
      <c r="B363" s="623"/>
      <c r="C363" s="623"/>
      <c r="D363" s="623"/>
      <c r="E363" s="623"/>
      <c r="F363" s="623"/>
      <c r="G363" s="623"/>
      <c r="H363" s="623"/>
      <c r="I363" s="623"/>
      <c r="J363" s="623"/>
      <c r="K363" s="623"/>
      <c r="L363" s="623"/>
      <c r="M363" s="623"/>
      <c r="N363" s="623"/>
      <c r="O363" s="624"/>
      <c r="P363" s="620" t="s">
        <v>40</v>
      </c>
      <c r="Q363" s="621"/>
      <c r="R363" s="621"/>
      <c r="S363" s="621"/>
      <c r="T363" s="621"/>
      <c r="U363" s="621"/>
      <c r="V363" s="622"/>
      <c r="W363" s="42" t="s">
        <v>39</v>
      </c>
      <c r="X363" s="43">
        <f>IFERROR(X361/H361,"0")+IFERROR(X362/H362,"0")</f>
        <v>0</v>
      </c>
      <c r="Y363" s="43">
        <f>IFERROR(Y361/H361,"0")+IFERROR(Y362/H362,"0")</f>
        <v>0</v>
      </c>
      <c r="Z363" s="43">
        <f>IFERROR(IF(Z361="",0,Z361),"0")+IFERROR(IF(Z362="",0,Z362),"0")</f>
        <v>0</v>
      </c>
      <c r="AA363" s="67"/>
      <c r="AB363" s="67"/>
      <c r="AC363" s="67"/>
    </row>
    <row r="364" spans="1:68" x14ac:dyDescent="0.2">
      <c r="A364" s="623"/>
      <c r="B364" s="623"/>
      <c r="C364" s="623"/>
      <c r="D364" s="623"/>
      <c r="E364" s="623"/>
      <c r="F364" s="623"/>
      <c r="G364" s="623"/>
      <c r="H364" s="623"/>
      <c r="I364" s="623"/>
      <c r="J364" s="623"/>
      <c r="K364" s="623"/>
      <c r="L364" s="623"/>
      <c r="M364" s="623"/>
      <c r="N364" s="623"/>
      <c r="O364" s="624"/>
      <c r="P364" s="620" t="s">
        <v>40</v>
      </c>
      <c r="Q364" s="621"/>
      <c r="R364" s="621"/>
      <c r="S364" s="621"/>
      <c r="T364" s="621"/>
      <c r="U364" s="621"/>
      <c r="V364" s="622"/>
      <c r="W364" s="42" t="s">
        <v>0</v>
      </c>
      <c r="X364" s="43">
        <f>IFERROR(SUM(X361:X362),"0")</f>
        <v>0</v>
      </c>
      <c r="Y364" s="43">
        <f>IFERROR(SUM(Y361:Y362),"0")</f>
        <v>0</v>
      </c>
      <c r="Z364" s="42"/>
      <c r="AA364" s="67"/>
      <c r="AB364" s="67"/>
      <c r="AC364" s="67"/>
    </row>
    <row r="365" spans="1:68" ht="14.25" customHeight="1" x14ac:dyDescent="0.25">
      <c r="A365" s="614" t="s">
        <v>86</v>
      </c>
      <c r="B365" s="614"/>
      <c r="C365" s="614"/>
      <c r="D365" s="614"/>
      <c r="E365" s="614"/>
      <c r="F365" s="614"/>
      <c r="G365" s="614"/>
      <c r="H365" s="614"/>
      <c r="I365" s="614"/>
      <c r="J365" s="614"/>
      <c r="K365" s="614"/>
      <c r="L365" s="614"/>
      <c r="M365" s="614"/>
      <c r="N365" s="614"/>
      <c r="O365" s="614"/>
      <c r="P365" s="614"/>
      <c r="Q365" s="614"/>
      <c r="R365" s="614"/>
      <c r="S365" s="614"/>
      <c r="T365" s="614"/>
      <c r="U365" s="614"/>
      <c r="V365" s="614"/>
      <c r="W365" s="614"/>
      <c r="X365" s="614"/>
      <c r="Y365" s="614"/>
      <c r="Z365" s="614"/>
      <c r="AA365" s="66"/>
      <c r="AB365" s="66"/>
      <c r="AC365" s="80"/>
    </row>
    <row r="366" spans="1:68" ht="27" customHeight="1" x14ac:dyDescent="0.25">
      <c r="A366" s="63" t="s">
        <v>593</v>
      </c>
      <c r="B366" s="63" t="s">
        <v>594</v>
      </c>
      <c r="C366" s="36">
        <v>4301051899</v>
      </c>
      <c r="D366" s="615">
        <v>4607091384246</v>
      </c>
      <c r="E366" s="61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116</v>
      </c>
      <c r="L366" s="37" t="s">
        <v>45</v>
      </c>
      <c r="M366" s="38" t="s">
        <v>90</v>
      </c>
      <c r="N366" s="38"/>
      <c r="O366" s="37">
        <v>40</v>
      </c>
      <c r="P366" s="7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6" s="617"/>
      <c r="R366" s="617"/>
      <c r="S366" s="617"/>
      <c r="T366" s="61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36" t="s">
        <v>595</v>
      </c>
      <c r="AG366" s="78"/>
      <c r="AJ366" s="84" t="s">
        <v>45</v>
      </c>
      <c r="AK366" s="84">
        <v>0</v>
      </c>
      <c r="BB366" s="437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596</v>
      </c>
      <c r="B367" s="63" t="s">
        <v>597</v>
      </c>
      <c r="C367" s="36">
        <v>4301051660</v>
      </c>
      <c r="D367" s="615">
        <v>4607091384253</v>
      </c>
      <c r="E367" s="615"/>
      <c r="F367" s="62">
        <v>0.4</v>
      </c>
      <c r="G367" s="37">
        <v>6</v>
      </c>
      <c r="H367" s="62">
        <v>2.4</v>
      </c>
      <c r="I367" s="62">
        <v>2.6640000000000001</v>
      </c>
      <c r="J367" s="37">
        <v>182</v>
      </c>
      <c r="K367" s="37" t="s">
        <v>81</v>
      </c>
      <c r="L367" s="37" t="s">
        <v>45</v>
      </c>
      <c r="M367" s="38" t="s">
        <v>90</v>
      </c>
      <c r="N367" s="38"/>
      <c r="O367" s="37">
        <v>40</v>
      </c>
      <c r="P367" s="7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7" s="617"/>
      <c r="R367" s="617"/>
      <c r="S367" s="617"/>
      <c r="T367" s="618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IFERROR(IF(Y367=0,"",ROUNDUP(Y367/H367,0)*0.00651),"")</f>
        <v/>
      </c>
      <c r="AA367" s="68" t="s">
        <v>45</v>
      </c>
      <c r="AB367" s="69" t="s">
        <v>45</v>
      </c>
      <c r="AC367" s="438" t="s">
        <v>595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596</v>
      </c>
      <c r="B368" s="63" t="s">
        <v>598</v>
      </c>
      <c r="C368" s="36">
        <v>4301052069</v>
      </c>
      <c r="D368" s="615">
        <v>4607091384253</v>
      </c>
      <c r="E368" s="615"/>
      <c r="F368" s="62">
        <v>0.4</v>
      </c>
      <c r="G368" s="37">
        <v>6</v>
      </c>
      <c r="H368" s="62">
        <v>2.4</v>
      </c>
      <c r="I368" s="62">
        <v>2.6640000000000001</v>
      </c>
      <c r="J368" s="37">
        <v>182</v>
      </c>
      <c r="K368" s="37" t="s">
        <v>81</v>
      </c>
      <c r="L368" s="37" t="s">
        <v>45</v>
      </c>
      <c r="M368" s="38" t="s">
        <v>90</v>
      </c>
      <c r="N368" s="38"/>
      <c r="O368" s="37">
        <v>40</v>
      </c>
      <c r="P368" s="8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68" s="617"/>
      <c r="R368" s="617"/>
      <c r="S368" s="617"/>
      <c r="T368" s="61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45</v>
      </c>
      <c r="AB368" s="69" t="s">
        <v>45</v>
      </c>
      <c r="AC368" s="440" t="s">
        <v>599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3"/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4"/>
      <c r="P369" s="620" t="s">
        <v>40</v>
      </c>
      <c r="Q369" s="621"/>
      <c r="R369" s="621"/>
      <c r="S369" s="621"/>
      <c r="T369" s="621"/>
      <c r="U369" s="621"/>
      <c r="V369" s="622"/>
      <c r="W369" s="42" t="s">
        <v>39</v>
      </c>
      <c r="X369" s="43">
        <f>IFERROR(X366/H366,"0")+IFERROR(X367/H367,"0")+IFERROR(X368/H368,"0")</f>
        <v>0</v>
      </c>
      <c r="Y369" s="43">
        <f>IFERROR(Y366/H366,"0")+IFERROR(Y367/H367,"0")+IFERROR(Y368/H368,"0")</f>
        <v>0</v>
      </c>
      <c r="Z369" s="43">
        <f>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2" t="s">
        <v>0</v>
      </c>
      <c r="X370" s="43">
        <f>IFERROR(SUM(X366:X368),"0")</f>
        <v>0</v>
      </c>
      <c r="Y370" s="43">
        <f>IFERROR(SUM(Y366:Y368),"0")</f>
        <v>0</v>
      </c>
      <c r="Z370" s="42"/>
      <c r="AA370" s="67"/>
      <c r="AB370" s="67"/>
      <c r="AC370" s="67"/>
    </row>
    <row r="371" spans="1:68" ht="27.75" customHeight="1" x14ac:dyDescent="0.2">
      <c r="A371" s="612" t="s">
        <v>600</v>
      </c>
      <c r="B371" s="612"/>
      <c r="C371" s="612"/>
      <c r="D371" s="612"/>
      <c r="E371" s="612"/>
      <c r="F371" s="612"/>
      <c r="G371" s="612"/>
      <c r="H371" s="612"/>
      <c r="I371" s="612"/>
      <c r="J371" s="612"/>
      <c r="K371" s="612"/>
      <c r="L371" s="612"/>
      <c r="M371" s="612"/>
      <c r="N371" s="612"/>
      <c r="O371" s="612"/>
      <c r="P371" s="612"/>
      <c r="Q371" s="612"/>
      <c r="R371" s="612"/>
      <c r="S371" s="612"/>
      <c r="T371" s="612"/>
      <c r="U371" s="612"/>
      <c r="V371" s="612"/>
      <c r="W371" s="612"/>
      <c r="X371" s="612"/>
      <c r="Y371" s="612"/>
      <c r="Z371" s="612"/>
      <c r="AA371" s="54"/>
      <c r="AB371" s="54"/>
      <c r="AC371" s="54"/>
    </row>
    <row r="372" spans="1:68" ht="16.5" customHeight="1" x14ac:dyDescent="0.25">
      <c r="A372" s="613" t="s">
        <v>601</v>
      </c>
      <c r="B372" s="613"/>
      <c r="C372" s="613"/>
      <c r="D372" s="613"/>
      <c r="E372" s="613"/>
      <c r="F372" s="613"/>
      <c r="G372" s="613"/>
      <c r="H372" s="613"/>
      <c r="I372" s="613"/>
      <c r="J372" s="613"/>
      <c r="K372" s="613"/>
      <c r="L372" s="613"/>
      <c r="M372" s="613"/>
      <c r="N372" s="613"/>
      <c r="O372" s="613"/>
      <c r="P372" s="613"/>
      <c r="Q372" s="613"/>
      <c r="R372" s="613"/>
      <c r="S372" s="613"/>
      <c r="T372" s="613"/>
      <c r="U372" s="613"/>
      <c r="V372" s="613"/>
      <c r="W372" s="613"/>
      <c r="X372" s="613"/>
      <c r="Y372" s="613"/>
      <c r="Z372" s="613"/>
      <c r="AA372" s="65"/>
      <c r="AB372" s="65"/>
      <c r="AC372" s="79"/>
    </row>
    <row r="373" spans="1:68" ht="14.25" customHeight="1" x14ac:dyDescent="0.25">
      <c r="A373" s="614" t="s">
        <v>76</v>
      </c>
      <c r="B373" s="614"/>
      <c r="C373" s="614"/>
      <c r="D373" s="614"/>
      <c r="E373" s="614"/>
      <c r="F373" s="614"/>
      <c r="G373" s="614"/>
      <c r="H373" s="614"/>
      <c r="I373" s="614"/>
      <c r="J373" s="614"/>
      <c r="K373" s="614"/>
      <c r="L373" s="614"/>
      <c r="M373" s="614"/>
      <c r="N373" s="614"/>
      <c r="O373" s="614"/>
      <c r="P373" s="614"/>
      <c r="Q373" s="614"/>
      <c r="R373" s="614"/>
      <c r="S373" s="614"/>
      <c r="T373" s="614"/>
      <c r="U373" s="614"/>
      <c r="V373" s="614"/>
      <c r="W373" s="614"/>
      <c r="X373" s="614"/>
      <c r="Y373" s="614"/>
      <c r="Z373" s="614"/>
      <c r="AA373" s="66"/>
      <c r="AB373" s="66"/>
      <c r="AC373" s="80"/>
    </row>
    <row r="374" spans="1:68" ht="27" customHeight="1" x14ac:dyDescent="0.25">
      <c r="A374" s="63" t="s">
        <v>602</v>
      </c>
      <c r="B374" s="63" t="s">
        <v>603</v>
      </c>
      <c r="C374" s="36">
        <v>4301031405</v>
      </c>
      <c r="D374" s="615">
        <v>4680115886100</v>
      </c>
      <c r="E374" s="615"/>
      <c r="F374" s="62">
        <v>0.9</v>
      </c>
      <c r="G374" s="37">
        <v>6</v>
      </c>
      <c r="H374" s="62">
        <v>5.4</v>
      </c>
      <c r="I374" s="62">
        <v>5.59</v>
      </c>
      <c r="J374" s="37">
        <v>132</v>
      </c>
      <c r="K374" s="37" t="s">
        <v>119</v>
      </c>
      <c r="L374" s="37" t="s">
        <v>45</v>
      </c>
      <c r="M374" s="38" t="s">
        <v>80</v>
      </c>
      <c r="N374" s="38"/>
      <c r="O374" s="37">
        <v>50</v>
      </c>
      <c r="P374" s="8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4" s="617"/>
      <c r="R374" s="617"/>
      <c r="S374" s="617"/>
      <c r="T374" s="618"/>
      <c r="U374" s="39" t="s">
        <v>45</v>
      </c>
      <c r="V374" s="39" t="s">
        <v>45</v>
      </c>
      <c r="W374" s="40" t="s">
        <v>0</v>
      </c>
      <c r="X374" s="58">
        <v>0</v>
      </c>
      <c r="Y374" s="55">
        <f t="shared" ref="Y374:Y382" si="41"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2" t="s">
        <v>604</v>
      </c>
      <c r="AG374" s="78"/>
      <c r="AJ374" s="84" t="s">
        <v>45</v>
      </c>
      <c r="AK374" s="84">
        <v>0</v>
      </c>
      <c r="BB374" s="443" t="s">
        <v>66</v>
      </c>
      <c r="BM374" s="78">
        <f t="shared" ref="BM374:BM382" si="42">IFERROR(X374*I374/H374,"0")</f>
        <v>0</v>
      </c>
      <c r="BN374" s="78">
        <f t="shared" ref="BN374:BN382" si="43">IFERROR(Y374*I374/H374,"0")</f>
        <v>0</v>
      </c>
      <c r="BO374" s="78">
        <f t="shared" ref="BO374:BO382" si="44">IFERROR(1/J374*(X374/H374),"0")</f>
        <v>0</v>
      </c>
      <c r="BP374" s="78">
        <f t="shared" ref="BP374:BP382" si="45">IFERROR(1/J374*(Y374/H374),"0")</f>
        <v>0</v>
      </c>
    </row>
    <row r="375" spans="1:68" ht="27" customHeight="1" x14ac:dyDescent="0.25">
      <c r="A375" s="63" t="s">
        <v>605</v>
      </c>
      <c r="B375" s="63" t="s">
        <v>606</v>
      </c>
      <c r="C375" s="36">
        <v>4301031406</v>
      </c>
      <c r="D375" s="615">
        <v>4680115886117</v>
      </c>
      <c r="E375" s="615"/>
      <c r="F375" s="62">
        <v>0.9</v>
      </c>
      <c r="G375" s="37">
        <v>6</v>
      </c>
      <c r="H375" s="62">
        <v>5.4</v>
      </c>
      <c r="I375" s="62">
        <v>5.59</v>
      </c>
      <c r="J375" s="37">
        <v>132</v>
      </c>
      <c r="K375" s="37" t="s">
        <v>119</v>
      </c>
      <c r="L375" s="37" t="s">
        <v>45</v>
      </c>
      <c r="M375" s="38" t="s">
        <v>80</v>
      </c>
      <c r="N375" s="38"/>
      <c r="O375" s="37">
        <v>50</v>
      </c>
      <c r="P375" s="80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5" s="617"/>
      <c r="R375" s="617"/>
      <c r="S375" s="617"/>
      <c r="T375" s="618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si="41"/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4" t="s">
        <v>607</v>
      </c>
      <c r="AG375" s="78"/>
      <c r="AJ375" s="84" t="s">
        <v>45</v>
      </c>
      <c r="AK375" s="84">
        <v>0</v>
      </c>
      <c r="BB375" s="445" t="s">
        <v>66</v>
      </c>
      <c r="BM375" s="78">
        <f t="shared" si="42"/>
        <v>0</v>
      </c>
      <c r="BN375" s="78">
        <f t="shared" si="43"/>
        <v>0</v>
      </c>
      <c r="BO375" s="78">
        <f t="shared" si="44"/>
        <v>0</v>
      </c>
      <c r="BP375" s="78">
        <f t="shared" si="45"/>
        <v>0</v>
      </c>
    </row>
    <row r="376" spans="1:68" ht="27" customHeight="1" x14ac:dyDescent="0.25">
      <c r="A376" s="63" t="s">
        <v>608</v>
      </c>
      <c r="B376" s="63" t="s">
        <v>609</v>
      </c>
      <c r="C376" s="36">
        <v>4301031402</v>
      </c>
      <c r="D376" s="615">
        <v>4680115886124</v>
      </c>
      <c r="E376" s="615"/>
      <c r="F376" s="62">
        <v>0.9</v>
      </c>
      <c r="G376" s="37">
        <v>6</v>
      </c>
      <c r="H376" s="62">
        <v>5.4</v>
      </c>
      <c r="I376" s="62">
        <v>5.59</v>
      </c>
      <c r="J376" s="37">
        <v>132</v>
      </c>
      <c r="K376" s="37" t="s">
        <v>119</v>
      </c>
      <c r="L376" s="37" t="s">
        <v>45</v>
      </c>
      <c r="M376" s="38" t="s">
        <v>80</v>
      </c>
      <c r="N376" s="38"/>
      <c r="O376" s="37">
        <v>50</v>
      </c>
      <c r="P376" s="8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6" s="617"/>
      <c r="R376" s="617"/>
      <c r="S376" s="617"/>
      <c r="T376" s="618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41"/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6" t="s">
        <v>610</v>
      </c>
      <c r="AG376" s="78"/>
      <c r="AJ376" s="84" t="s">
        <v>45</v>
      </c>
      <c r="AK376" s="84">
        <v>0</v>
      </c>
      <c r="BB376" s="447" t="s">
        <v>66</v>
      </c>
      <c r="BM376" s="78">
        <f t="shared" si="42"/>
        <v>0</v>
      </c>
      <c r="BN376" s="78">
        <f t="shared" si="43"/>
        <v>0</v>
      </c>
      <c r="BO376" s="78">
        <f t="shared" si="44"/>
        <v>0</v>
      </c>
      <c r="BP376" s="78">
        <f t="shared" si="45"/>
        <v>0</v>
      </c>
    </row>
    <row r="377" spans="1:68" ht="27" customHeight="1" x14ac:dyDescent="0.25">
      <c r="A377" s="63" t="s">
        <v>611</v>
      </c>
      <c r="B377" s="63" t="s">
        <v>612</v>
      </c>
      <c r="C377" s="36">
        <v>4301031366</v>
      </c>
      <c r="D377" s="615">
        <v>4680115883147</v>
      </c>
      <c r="E377" s="615"/>
      <c r="F377" s="62">
        <v>0.28000000000000003</v>
      </c>
      <c r="G377" s="37">
        <v>6</v>
      </c>
      <c r="H377" s="62">
        <v>1.68</v>
      </c>
      <c r="I377" s="62">
        <v>1.81</v>
      </c>
      <c r="J377" s="37">
        <v>234</v>
      </c>
      <c r="K377" s="37" t="s">
        <v>85</v>
      </c>
      <c r="L377" s="37" t="s">
        <v>45</v>
      </c>
      <c r="M377" s="38" t="s">
        <v>80</v>
      </c>
      <c r="N377" s="38"/>
      <c r="O377" s="37">
        <v>50</v>
      </c>
      <c r="P377" s="80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7" s="617"/>
      <c r="R377" s="617"/>
      <c r="S377" s="617"/>
      <c r="T377" s="618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1"/>
        <v>0</v>
      </c>
      <c r="Z377" s="41" t="str">
        <f t="shared" ref="Z377:Z382" si="46">IFERROR(IF(Y377=0,"",ROUNDUP(Y377/H377,0)*0.00502),"")</f>
        <v/>
      </c>
      <c r="AA377" s="68" t="s">
        <v>45</v>
      </c>
      <c r="AB377" s="69" t="s">
        <v>45</v>
      </c>
      <c r="AC377" s="448" t="s">
        <v>604</v>
      </c>
      <c r="AG377" s="78"/>
      <c r="AJ377" s="84" t="s">
        <v>45</v>
      </c>
      <c r="AK377" s="84">
        <v>0</v>
      </c>
      <c r="BB377" s="449" t="s">
        <v>66</v>
      </c>
      <c r="BM377" s="78">
        <f t="shared" si="42"/>
        <v>0</v>
      </c>
      <c r="BN377" s="78">
        <f t="shared" si="43"/>
        <v>0</v>
      </c>
      <c r="BO377" s="78">
        <f t="shared" si="44"/>
        <v>0</v>
      </c>
      <c r="BP377" s="78">
        <f t="shared" si="45"/>
        <v>0</v>
      </c>
    </row>
    <row r="378" spans="1:68" ht="27" customHeight="1" x14ac:dyDescent="0.25">
      <c r="A378" s="63" t="s">
        <v>613</v>
      </c>
      <c r="B378" s="63" t="s">
        <v>614</v>
      </c>
      <c r="C378" s="36">
        <v>4301031362</v>
      </c>
      <c r="D378" s="615">
        <v>4607091384338</v>
      </c>
      <c r="E378" s="61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85</v>
      </c>
      <c r="L378" s="37" t="s">
        <v>45</v>
      </c>
      <c r="M378" s="38" t="s">
        <v>80</v>
      </c>
      <c r="N378" s="38"/>
      <c r="O378" s="37">
        <v>50</v>
      </c>
      <c r="P378" s="80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78" s="617"/>
      <c r="R378" s="617"/>
      <c r="S378" s="617"/>
      <c r="T378" s="618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1"/>
        <v>0</v>
      </c>
      <c r="Z378" s="41" t="str">
        <f t="shared" si="46"/>
        <v/>
      </c>
      <c r="AA378" s="68" t="s">
        <v>45</v>
      </c>
      <c r="AB378" s="69" t="s">
        <v>45</v>
      </c>
      <c r="AC378" s="450" t="s">
        <v>604</v>
      </c>
      <c r="AG378" s="78"/>
      <c r="AJ378" s="84" t="s">
        <v>45</v>
      </c>
      <c r="AK378" s="84">
        <v>0</v>
      </c>
      <c r="BB378" s="451" t="s">
        <v>66</v>
      </c>
      <c r="BM378" s="78">
        <f t="shared" si="42"/>
        <v>0</v>
      </c>
      <c r="BN378" s="78">
        <f t="shared" si="43"/>
        <v>0</v>
      </c>
      <c r="BO378" s="78">
        <f t="shared" si="44"/>
        <v>0</v>
      </c>
      <c r="BP378" s="78">
        <f t="shared" si="45"/>
        <v>0</v>
      </c>
    </row>
    <row r="379" spans="1:68" ht="37.5" customHeight="1" x14ac:dyDescent="0.25">
      <c r="A379" s="63" t="s">
        <v>615</v>
      </c>
      <c r="B379" s="63" t="s">
        <v>616</v>
      </c>
      <c r="C379" s="36">
        <v>4301031361</v>
      </c>
      <c r="D379" s="615">
        <v>4607091389524</v>
      </c>
      <c r="E379" s="615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85</v>
      </c>
      <c r="L379" s="37" t="s">
        <v>45</v>
      </c>
      <c r="M379" s="38" t="s">
        <v>80</v>
      </c>
      <c r="N379" s="38"/>
      <c r="O379" s="37">
        <v>50</v>
      </c>
      <c r="P379" s="80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79" s="617"/>
      <c r="R379" s="617"/>
      <c r="S379" s="617"/>
      <c r="T379" s="618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41"/>
        <v>0</v>
      </c>
      <c r="Z379" s="41" t="str">
        <f t="shared" si="46"/>
        <v/>
      </c>
      <c r="AA379" s="68" t="s">
        <v>45</v>
      </c>
      <c r="AB379" s="69" t="s">
        <v>45</v>
      </c>
      <c r="AC379" s="452" t="s">
        <v>617</v>
      </c>
      <c r="AG379" s="78"/>
      <c r="AJ379" s="84" t="s">
        <v>45</v>
      </c>
      <c r="AK379" s="84">
        <v>0</v>
      </c>
      <c r="BB379" s="453" t="s">
        <v>66</v>
      </c>
      <c r="BM379" s="78">
        <f t="shared" si="42"/>
        <v>0</v>
      </c>
      <c r="BN379" s="78">
        <f t="shared" si="43"/>
        <v>0</v>
      </c>
      <c r="BO379" s="78">
        <f t="shared" si="44"/>
        <v>0</v>
      </c>
      <c r="BP379" s="78">
        <f t="shared" si="45"/>
        <v>0</v>
      </c>
    </row>
    <row r="380" spans="1:68" ht="27" customHeight="1" x14ac:dyDescent="0.25">
      <c r="A380" s="63" t="s">
        <v>618</v>
      </c>
      <c r="B380" s="63" t="s">
        <v>619</v>
      </c>
      <c r="C380" s="36">
        <v>4301031364</v>
      </c>
      <c r="D380" s="615">
        <v>4680115883161</v>
      </c>
      <c r="E380" s="615"/>
      <c r="F380" s="62">
        <v>0.28000000000000003</v>
      </c>
      <c r="G380" s="37">
        <v>6</v>
      </c>
      <c r="H380" s="62">
        <v>1.68</v>
      </c>
      <c r="I380" s="62">
        <v>1.81</v>
      </c>
      <c r="J380" s="37">
        <v>234</v>
      </c>
      <c r="K380" s="37" t="s">
        <v>85</v>
      </c>
      <c r="L380" s="37" t="s">
        <v>45</v>
      </c>
      <c r="M380" s="38" t="s">
        <v>80</v>
      </c>
      <c r="N380" s="38"/>
      <c r="O380" s="37">
        <v>50</v>
      </c>
      <c r="P380" s="8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80" s="617"/>
      <c r="R380" s="617"/>
      <c r="S380" s="617"/>
      <c r="T380" s="618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41"/>
        <v>0</v>
      </c>
      <c r="Z380" s="41" t="str">
        <f t="shared" si="46"/>
        <v/>
      </c>
      <c r="AA380" s="68" t="s">
        <v>45</v>
      </c>
      <c r="AB380" s="69" t="s">
        <v>45</v>
      </c>
      <c r="AC380" s="454" t="s">
        <v>620</v>
      </c>
      <c r="AG380" s="78"/>
      <c r="AJ380" s="84" t="s">
        <v>45</v>
      </c>
      <c r="AK380" s="84">
        <v>0</v>
      </c>
      <c r="BB380" s="455" t="s">
        <v>66</v>
      </c>
      <c r="BM380" s="78">
        <f t="shared" si="42"/>
        <v>0</v>
      </c>
      <c r="BN380" s="78">
        <f t="shared" si="43"/>
        <v>0</v>
      </c>
      <c r="BO380" s="78">
        <f t="shared" si="44"/>
        <v>0</v>
      </c>
      <c r="BP380" s="78">
        <f t="shared" si="45"/>
        <v>0</v>
      </c>
    </row>
    <row r="381" spans="1:68" ht="27" customHeight="1" x14ac:dyDescent="0.25">
      <c r="A381" s="63" t="s">
        <v>621</v>
      </c>
      <c r="B381" s="63" t="s">
        <v>622</v>
      </c>
      <c r="C381" s="36">
        <v>4301031358</v>
      </c>
      <c r="D381" s="615">
        <v>4607091389531</v>
      </c>
      <c r="E381" s="615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85</v>
      </c>
      <c r="L381" s="37" t="s">
        <v>45</v>
      </c>
      <c r="M381" s="38" t="s">
        <v>80</v>
      </c>
      <c r="N381" s="38"/>
      <c r="O381" s="37">
        <v>50</v>
      </c>
      <c r="P381" s="80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81" s="617"/>
      <c r="R381" s="617"/>
      <c r="S381" s="617"/>
      <c r="T381" s="618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41"/>
        <v>0</v>
      </c>
      <c r="Z381" s="41" t="str">
        <f t="shared" si="46"/>
        <v/>
      </c>
      <c r="AA381" s="68" t="s">
        <v>45</v>
      </c>
      <c r="AB381" s="69" t="s">
        <v>45</v>
      </c>
      <c r="AC381" s="456" t="s">
        <v>623</v>
      </c>
      <c r="AG381" s="78"/>
      <c r="AJ381" s="84" t="s">
        <v>45</v>
      </c>
      <c r="AK381" s="84">
        <v>0</v>
      </c>
      <c r="BB381" s="457" t="s">
        <v>66</v>
      </c>
      <c r="BM381" s="78">
        <f t="shared" si="42"/>
        <v>0</v>
      </c>
      <c r="BN381" s="78">
        <f t="shared" si="43"/>
        <v>0</v>
      </c>
      <c r="BO381" s="78">
        <f t="shared" si="44"/>
        <v>0</v>
      </c>
      <c r="BP381" s="78">
        <f t="shared" si="45"/>
        <v>0</v>
      </c>
    </row>
    <row r="382" spans="1:68" ht="37.5" customHeight="1" x14ac:dyDescent="0.25">
      <c r="A382" s="63" t="s">
        <v>624</v>
      </c>
      <c r="B382" s="63" t="s">
        <v>625</v>
      </c>
      <c r="C382" s="36">
        <v>4301031360</v>
      </c>
      <c r="D382" s="615">
        <v>4607091384345</v>
      </c>
      <c r="E382" s="615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85</v>
      </c>
      <c r="L382" s="37" t="s">
        <v>45</v>
      </c>
      <c r="M382" s="38" t="s">
        <v>80</v>
      </c>
      <c r="N382" s="38"/>
      <c r="O382" s="37">
        <v>50</v>
      </c>
      <c r="P382" s="80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82" s="617"/>
      <c r="R382" s="617"/>
      <c r="S382" s="617"/>
      <c r="T382" s="618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41"/>
        <v>0</v>
      </c>
      <c r="Z382" s="41" t="str">
        <f t="shared" si="46"/>
        <v/>
      </c>
      <c r="AA382" s="68" t="s">
        <v>45</v>
      </c>
      <c r="AB382" s="69" t="s">
        <v>45</v>
      </c>
      <c r="AC382" s="458" t="s">
        <v>620</v>
      </c>
      <c r="AG382" s="78"/>
      <c r="AJ382" s="84" t="s">
        <v>45</v>
      </c>
      <c r="AK382" s="84">
        <v>0</v>
      </c>
      <c r="BB382" s="459" t="s">
        <v>66</v>
      </c>
      <c r="BM382" s="78">
        <f t="shared" si="42"/>
        <v>0</v>
      </c>
      <c r="BN382" s="78">
        <f t="shared" si="43"/>
        <v>0</v>
      </c>
      <c r="BO382" s="78">
        <f t="shared" si="44"/>
        <v>0</v>
      </c>
      <c r="BP382" s="78">
        <f t="shared" si="45"/>
        <v>0</v>
      </c>
    </row>
    <row r="383" spans="1:68" x14ac:dyDescent="0.2">
      <c r="A383" s="623"/>
      <c r="B383" s="623"/>
      <c r="C383" s="623"/>
      <c r="D383" s="623"/>
      <c r="E383" s="623"/>
      <c r="F383" s="623"/>
      <c r="G383" s="623"/>
      <c r="H383" s="623"/>
      <c r="I383" s="623"/>
      <c r="J383" s="623"/>
      <c r="K383" s="623"/>
      <c r="L383" s="623"/>
      <c r="M383" s="623"/>
      <c r="N383" s="623"/>
      <c r="O383" s="624"/>
      <c r="P383" s="620" t="s">
        <v>40</v>
      </c>
      <c r="Q383" s="621"/>
      <c r="R383" s="621"/>
      <c r="S383" s="621"/>
      <c r="T383" s="621"/>
      <c r="U383" s="621"/>
      <c r="V383" s="622"/>
      <c r="W383" s="42" t="s">
        <v>39</v>
      </c>
      <c r="X383" s="43">
        <f>IFERROR(X374/H374,"0")+IFERROR(X375/H375,"0")+IFERROR(X376/H376,"0")+IFERROR(X377/H377,"0")+IFERROR(X378/H378,"0")+IFERROR(X379/H379,"0")+IFERROR(X380/H380,"0")+IFERROR(X381/H381,"0")+IFERROR(X382/H382,"0")</f>
        <v>0</v>
      </c>
      <c r="Y383" s="43">
        <f>IFERROR(Y374/H374,"0")+IFERROR(Y375/H375,"0")+IFERROR(Y376/H376,"0")+IFERROR(Y377/H377,"0")+IFERROR(Y378/H378,"0")+IFERROR(Y379/H379,"0")+IFERROR(Y380/H380,"0")+IFERROR(Y381/H381,"0")+IFERROR(Y382/H382,"0")</f>
        <v>0</v>
      </c>
      <c r="Z383" s="43">
        <f>IFERROR(IF(Z374="",0,Z374),"0")+IFERROR(IF(Z375="",0,Z375),"0")+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623"/>
      <c r="B384" s="623"/>
      <c r="C384" s="623"/>
      <c r="D384" s="623"/>
      <c r="E384" s="623"/>
      <c r="F384" s="623"/>
      <c r="G384" s="623"/>
      <c r="H384" s="623"/>
      <c r="I384" s="623"/>
      <c r="J384" s="623"/>
      <c r="K384" s="623"/>
      <c r="L384" s="623"/>
      <c r="M384" s="623"/>
      <c r="N384" s="623"/>
      <c r="O384" s="624"/>
      <c r="P384" s="620" t="s">
        <v>40</v>
      </c>
      <c r="Q384" s="621"/>
      <c r="R384" s="621"/>
      <c r="S384" s="621"/>
      <c r="T384" s="621"/>
      <c r="U384" s="621"/>
      <c r="V384" s="622"/>
      <c r="W384" s="42" t="s">
        <v>0</v>
      </c>
      <c r="X384" s="43">
        <f>IFERROR(SUM(X374:X382),"0")</f>
        <v>0</v>
      </c>
      <c r="Y384" s="43">
        <f>IFERROR(SUM(Y374:Y382),"0")</f>
        <v>0</v>
      </c>
      <c r="Z384" s="42"/>
      <c r="AA384" s="67"/>
      <c r="AB384" s="67"/>
      <c r="AC384" s="67"/>
    </row>
    <row r="385" spans="1:68" ht="14.25" customHeight="1" x14ac:dyDescent="0.25">
      <c r="A385" s="614" t="s">
        <v>86</v>
      </c>
      <c r="B385" s="614"/>
      <c r="C385" s="614"/>
      <c r="D385" s="614"/>
      <c r="E385" s="614"/>
      <c r="F385" s="614"/>
      <c r="G385" s="614"/>
      <c r="H385" s="614"/>
      <c r="I385" s="614"/>
      <c r="J385" s="614"/>
      <c r="K385" s="614"/>
      <c r="L385" s="614"/>
      <c r="M385" s="614"/>
      <c r="N385" s="614"/>
      <c r="O385" s="614"/>
      <c r="P385" s="614"/>
      <c r="Q385" s="614"/>
      <c r="R385" s="614"/>
      <c r="S385" s="614"/>
      <c r="T385" s="614"/>
      <c r="U385" s="614"/>
      <c r="V385" s="614"/>
      <c r="W385" s="614"/>
      <c r="X385" s="614"/>
      <c r="Y385" s="614"/>
      <c r="Z385" s="614"/>
      <c r="AA385" s="66"/>
      <c r="AB385" s="66"/>
      <c r="AC385" s="80"/>
    </row>
    <row r="386" spans="1:68" ht="27" customHeight="1" x14ac:dyDescent="0.25">
      <c r="A386" s="63" t="s">
        <v>626</v>
      </c>
      <c r="B386" s="63" t="s">
        <v>627</v>
      </c>
      <c r="C386" s="36">
        <v>4301051284</v>
      </c>
      <c r="D386" s="615">
        <v>4607091384352</v>
      </c>
      <c r="E386" s="615"/>
      <c r="F386" s="62">
        <v>0.6</v>
      </c>
      <c r="G386" s="37">
        <v>4</v>
      </c>
      <c r="H386" s="62">
        <v>2.4</v>
      </c>
      <c r="I386" s="62">
        <v>2.6259999999999999</v>
      </c>
      <c r="J386" s="37">
        <v>132</v>
      </c>
      <c r="K386" s="37" t="s">
        <v>119</v>
      </c>
      <c r="L386" s="37" t="s">
        <v>45</v>
      </c>
      <c r="M386" s="38" t="s">
        <v>90</v>
      </c>
      <c r="N386" s="38"/>
      <c r="O386" s="37">
        <v>45</v>
      </c>
      <c r="P386" s="81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6" s="617"/>
      <c r="R386" s="617"/>
      <c r="S386" s="617"/>
      <c r="T386" s="61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60" t="s">
        <v>628</v>
      </c>
      <c r="AG386" s="78"/>
      <c r="AJ386" s="84" t="s">
        <v>45</v>
      </c>
      <c r="AK386" s="84">
        <v>0</v>
      </c>
      <c r="BB386" s="461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629</v>
      </c>
      <c r="B387" s="63" t="s">
        <v>630</v>
      </c>
      <c r="C387" s="36">
        <v>4301051431</v>
      </c>
      <c r="D387" s="615">
        <v>4607091389654</v>
      </c>
      <c r="E387" s="615"/>
      <c r="F387" s="62">
        <v>0.33</v>
      </c>
      <c r="G387" s="37">
        <v>6</v>
      </c>
      <c r="H387" s="62">
        <v>1.98</v>
      </c>
      <c r="I387" s="62">
        <v>2.238</v>
      </c>
      <c r="J387" s="37">
        <v>182</v>
      </c>
      <c r="K387" s="37" t="s">
        <v>81</v>
      </c>
      <c r="L387" s="37" t="s">
        <v>45</v>
      </c>
      <c r="M387" s="38" t="s">
        <v>90</v>
      </c>
      <c r="N387" s="38"/>
      <c r="O387" s="37">
        <v>45</v>
      </c>
      <c r="P387" s="8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7" s="617"/>
      <c r="R387" s="617"/>
      <c r="S387" s="617"/>
      <c r="T387" s="618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62" t="s">
        <v>631</v>
      </c>
      <c r="AG387" s="78"/>
      <c r="AJ387" s="84" t="s">
        <v>45</v>
      </c>
      <c r="AK387" s="84">
        <v>0</v>
      </c>
      <c r="BB387" s="463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23"/>
      <c r="B388" s="623"/>
      <c r="C388" s="623"/>
      <c r="D388" s="623"/>
      <c r="E388" s="623"/>
      <c r="F388" s="623"/>
      <c r="G388" s="623"/>
      <c r="H388" s="623"/>
      <c r="I388" s="623"/>
      <c r="J388" s="623"/>
      <c r="K388" s="623"/>
      <c r="L388" s="623"/>
      <c r="M388" s="623"/>
      <c r="N388" s="623"/>
      <c r="O388" s="624"/>
      <c r="P388" s="620" t="s">
        <v>40</v>
      </c>
      <c r="Q388" s="621"/>
      <c r="R388" s="621"/>
      <c r="S388" s="621"/>
      <c r="T388" s="621"/>
      <c r="U388" s="621"/>
      <c r="V388" s="622"/>
      <c r="W388" s="42" t="s">
        <v>39</v>
      </c>
      <c r="X388" s="43">
        <f>IFERROR(X386/H386,"0")+IFERROR(X387/H387,"0")</f>
        <v>0</v>
      </c>
      <c r="Y388" s="43">
        <f>IFERROR(Y386/H386,"0")+IFERROR(Y387/H387,"0")</f>
        <v>0</v>
      </c>
      <c r="Z388" s="43">
        <f>IFERROR(IF(Z386="",0,Z386),"0")+IFERROR(IF(Z387="",0,Z387),"0")</f>
        <v>0</v>
      </c>
      <c r="AA388" s="67"/>
      <c r="AB388" s="67"/>
      <c r="AC388" s="67"/>
    </row>
    <row r="389" spans="1:68" x14ac:dyDescent="0.2">
      <c r="A389" s="623"/>
      <c r="B389" s="623"/>
      <c r="C389" s="623"/>
      <c r="D389" s="623"/>
      <c r="E389" s="623"/>
      <c r="F389" s="623"/>
      <c r="G389" s="623"/>
      <c r="H389" s="623"/>
      <c r="I389" s="623"/>
      <c r="J389" s="623"/>
      <c r="K389" s="623"/>
      <c r="L389" s="623"/>
      <c r="M389" s="623"/>
      <c r="N389" s="623"/>
      <c r="O389" s="624"/>
      <c r="P389" s="620" t="s">
        <v>40</v>
      </c>
      <c r="Q389" s="621"/>
      <c r="R389" s="621"/>
      <c r="S389" s="621"/>
      <c r="T389" s="621"/>
      <c r="U389" s="621"/>
      <c r="V389" s="622"/>
      <c r="W389" s="42" t="s">
        <v>0</v>
      </c>
      <c r="X389" s="43">
        <f>IFERROR(SUM(X386:X387),"0")</f>
        <v>0</v>
      </c>
      <c r="Y389" s="43">
        <f>IFERROR(SUM(Y386:Y387),"0")</f>
        <v>0</v>
      </c>
      <c r="Z389" s="42"/>
      <c r="AA389" s="67"/>
      <c r="AB389" s="67"/>
      <c r="AC389" s="67"/>
    </row>
    <row r="390" spans="1:68" ht="16.5" customHeight="1" x14ac:dyDescent="0.25">
      <c r="A390" s="613" t="s">
        <v>632</v>
      </c>
      <c r="B390" s="613"/>
      <c r="C390" s="613"/>
      <c r="D390" s="613"/>
      <c r="E390" s="613"/>
      <c r="F390" s="613"/>
      <c r="G390" s="613"/>
      <c r="H390" s="613"/>
      <c r="I390" s="613"/>
      <c r="J390" s="613"/>
      <c r="K390" s="613"/>
      <c r="L390" s="613"/>
      <c r="M390" s="613"/>
      <c r="N390" s="613"/>
      <c r="O390" s="613"/>
      <c r="P390" s="613"/>
      <c r="Q390" s="613"/>
      <c r="R390" s="613"/>
      <c r="S390" s="613"/>
      <c r="T390" s="613"/>
      <c r="U390" s="613"/>
      <c r="V390" s="613"/>
      <c r="W390" s="613"/>
      <c r="X390" s="613"/>
      <c r="Y390" s="613"/>
      <c r="Z390" s="613"/>
      <c r="AA390" s="65"/>
      <c r="AB390" s="65"/>
      <c r="AC390" s="79"/>
    </row>
    <row r="391" spans="1:68" ht="14.25" customHeight="1" x14ac:dyDescent="0.25">
      <c r="A391" s="614" t="s">
        <v>144</v>
      </c>
      <c r="B391" s="614"/>
      <c r="C391" s="614"/>
      <c r="D391" s="614"/>
      <c r="E391" s="614"/>
      <c r="F391" s="614"/>
      <c r="G391" s="614"/>
      <c r="H391" s="614"/>
      <c r="I391" s="614"/>
      <c r="J391" s="614"/>
      <c r="K391" s="614"/>
      <c r="L391" s="614"/>
      <c r="M391" s="614"/>
      <c r="N391" s="614"/>
      <c r="O391" s="614"/>
      <c r="P391" s="614"/>
      <c r="Q391" s="614"/>
      <c r="R391" s="614"/>
      <c r="S391" s="614"/>
      <c r="T391" s="614"/>
      <c r="U391" s="614"/>
      <c r="V391" s="614"/>
      <c r="W391" s="614"/>
      <c r="X391" s="614"/>
      <c r="Y391" s="614"/>
      <c r="Z391" s="614"/>
      <c r="AA391" s="66"/>
      <c r="AB391" s="66"/>
      <c r="AC391" s="80"/>
    </row>
    <row r="392" spans="1:68" ht="27" customHeight="1" x14ac:dyDescent="0.25">
      <c r="A392" s="63" t="s">
        <v>633</v>
      </c>
      <c r="B392" s="63" t="s">
        <v>634</v>
      </c>
      <c r="C392" s="36">
        <v>4301020319</v>
      </c>
      <c r="D392" s="615">
        <v>4680115885240</v>
      </c>
      <c r="E392" s="615"/>
      <c r="F392" s="62">
        <v>0.35</v>
      </c>
      <c r="G392" s="37">
        <v>6</v>
      </c>
      <c r="H392" s="62">
        <v>2.1</v>
      </c>
      <c r="I392" s="62">
        <v>2.31</v>
      </c>
      <c r="J392" s="37">
        <v>182</v>
      </c>
      <c r="K392" s="37" t="s">
        <v>81</v>
      </c>
      <c r="L392" s="37" t="s">
        <v>45</v>
      </c>
      <c r="M392" s="38" t="s">
        <v>80</v>
      </c>
      <c r="N392" s="38"/>
      <c r="O392" s="37">
        <v>40</v>
      </c>
      <c r="P392" s="81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92" s="617"/>
      <c r="R392" s="617"/>
      <c r="S392" s="617"/>
      <c r="T392" s="618"/>
      <c r="U392" s="39" t="s">
        <v>45</v>
      </c>
      <c r="V392" s="39" t="s">
        <v>45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45</v>
      </c>
      <c r="AB392" s="69" t="s">
        <v>45</v>
      </c>
      <c r="AC392" s="464" t="s">
        <v>635</v>
      </c>
      <c r="AG392" s="78"/>
      <c r="AJ392" s="84" t="s">
        <v>45</v>
      </c>
      <c r="AK392" s="84">
        <v>0</v>
      </c>
      <c r="BB392" s="46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23"/>
      <c r="B393" s="623"/>
      <c r="C393" s="623"/>
      <c r="D393" s="623"/>
      <c r="E393" s="623"/>
      <c r="F393" s="623"/>
      <c r="G393" s="623"/>
      <c r="H393" s="623"/>
      <c r="I393" s="623"/>
      <c r="J393" s="623"/>
      <c r="K393" s="623"/>
      <c r="L393" s="623"/>
      <c r="M393" s="623"/>
      <c r="N393" s="623"/>
      <c r="O393" s="624"/>
      <c r="P393" s="620" t="s">
        <v>40</v>
      </c>
      <c r="Q393" s="621"/>
      <c r="R393" s="621"/>
      <c r="S393" s="621"/>
      <c r="T393" s="621"/>
      <c r="U393" s="621"/>
      <c r="V393" s="622"/>
      <c r="W393" s="42" t="s">
        <v>39</v>
      </c>
      <c r="X393" s="43">
        <f>IFERROR(X392/H392,"0")</f>
        <v>0</v>
      </c>
      <c r="Y393" s="43">
        <f>IFERROR(Y392/H392,"0")</f>
        <v>0</v>
      </c>
      <c r="Z393" s="43">
        <f>IFERROR(IF(Z392="",0,Z392),"0")</f>
        <v>0</v>
      </c>
      <c r="AA393" s="67"/>
      <c r="AB393" s="67"/>
      <c r="AC393" s="67"/>
    </row>
    <row r="394" spans="1:68" x14ac:dyDescent="0.2">
      <c r="A394" s="623"/>
      <c r="B394" s="623"/>
      <c r="C394" s="623"/>
      <c r="D394" s="623"/>
      <c r="E394" s="623"/>
      <c r="F394" s="623"/>
      <c r="G394" s="623"/>
      <c r="H394" s="623"/>
      <c r="I394" s="623"/>
      <c r="J394" s="623"/>
      <c r="K394" s="623"/>
      <c r="L394" s="623"/>
      <c r="M394" s="623"/>
      <c r="N394" s="623"/>
      <c r="O394" s="624"/>
      <c r="P394" s="620" t="s">
        <v>40</v>
      </c>
      <c r="Q394" s="621"/>
      <c r="R394" s="621"/>
      <c r="S394" s="621"/>
      <c r="T394" s="621"/>
      <c r="U394" s="621"/>
      <c r="V394" s="622"/>
      <c r="W394" s="42" t="s">
        <v>0</v>
      </c>
      <c r="X394" s="43">
        <f>IFERROR(SUM(X392:X392),"0")</f>
        <v>0</v>
      </c>
      <c r="Y394" s="43">
        <f>IFERROR(SUM(Y392:Y392),"0")</f>
        <v>0</v>
      </c>
      <c r="Z394" s="42"/>
      <c r="AA394" s="67"/>
      <c r="AB394" s="67"/>
      <c r="AC394" s="67"/>
    </row>
    <row r="395" spans="1:68" ht="14.25" customHeight="1" x14ac:dyDescent="0.25">
      <c r="A395" s="614" t="s">
        <v>76</v>
      </c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4"/>
      <c r="P395" s="614"/>
      <c r="Q395" s="614"/>
      <c r="R395" s="614"/>
      <c r="S395" s="614"/>
      <c r="T395" s="614"/>
      <c r="U395" s="614"/>
      <c r="V395" s="614"/>
      <c r="W395" s="614"/>
      <c r="X395" s="614"/>
      <c r="Y395" s="614"/>
      <c r="Z395" s="614"/>
      <c r="AA395" s="66"/>
      <c r="AB395" s="66"/>
      <c r="AC395" s="80"/>
    </row>
    <row r="396" spans="1:68" ht="27" customHeight="1" x14ac:dyDescent="0.25">
      <c r="A396" s="63" t="s">
        <v>636</v>
      </c>
      <c r="B396" s="63" t="s">
        <v>637</v>
      </c>
      <c r="C396" s="36">
        <v>4301031403</v>
      </c>
      <c r="D396" s="615">
        <v>4680115886094</v>
      </c>
      <c r="E396" s="615"/>
      <c r="F396" s="62">
        <v>0.9</v>
      </c>
      <c r="G396" s="37">
        <v>6</v>
      </c>
      <c r="H396" s="62">
        <v>5.4</v>
      </c>
      <c r="I396" s="62">
        <v>5.59</v>
      </c>
      <c r="J396" s="37">
        <v>132</v>
      </c>
      <c r="K396" s="37" t="s">
        <v>119</v>
      </c>
      <c r="L396" s="37" t="s">
        <v>45</v>
      </c>
      <c r="M396" s="38" t="s">
        <v>115</v>
      </c>
      <c r="N396" s="38"/>
      <c r="O396" s="37">
        <v>50</v>
      </c>
      <c r="P396" s="81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6" s="617"/>
      <c r="R396" s="617"/>
      <c r="S396" s="617"/>
      <c r="T396" s="618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6" t="s">
        <v>638</v>
      </c>
      <c r="AG396" s="78"/>
      <c r="AJ396" s="84" t="s">
        <v>45</v>
      </c>
      <c r="AK396" s="84">
        <v>0</v>
      </c>
      <c r="BB396" s="46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639</v>
      </c>
      <c r="B397" s="63" t="s">
        <v>640</v>
      </c>
      <c r="C397" s="36">
        <v>4301031363</v>
      </c>
      <c r="D397" s="615">
        <v>4607091389425</v>
      </c>
      <c r="E397" s="61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7" s="617"/>
      <c r="R397" s="617"/>
      <c r="S397" s="617"/>
      <c r="T397" s="61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IFERROR(IF(Y397=0,"",ROUNDUP(Y397/H397,0)*0.00502),"")</f>
        <v/>
      </c>
      <c r="AA397" s="68" t="s">
        <v>45</v>
      </c>
      <c r="AB397" s="69" t="s">
        <v>45</v>
      </c>
      <c r="AC397" s="468" t="s">
        <v>641</v>
      </c>
      <c r="AG397" s="78"/>
      <c r="AJ397" s="84" t="s">
        <v>45</v>
      </c>
      <c r="AK397" s="84">
        <v>0</v>
      </c>
      <c r="BB397" s="46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642</v>
      </c>
      <c r="B398" s="63" t="s">
        <v>643</v>
      </c>
      <c r="C398" s="36">
        <v>4301031373</v>
      </c>
      <c r="D398" s="615">
        <v>4680115880771</v>
      </c>
      <c r="E398" s="61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398" s="617"/>
      <c r="R398" s="617"/>
      <c r="S398" s="617"/>
      <c r="T398" s="61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IFERROR(IF(Y398=0,"",ROUNDUP(Y398/H398,0)*0.00502),"")</f>
        <v/>
      </c>
      <c r="AA398" s="68" t="s">
        <v>45</v>
      </c>
      <c r="AB398" s="69" t="s">
        <v>45</v>
      </c>
      <c r="AC398" s="470" t="s">
        <v>644</v>
      </c>
      <c r="AG398" s="78"/>
      <c r="AJ398" s="84" t="s">
        <v>45</v>
      </c>
      <c r="AK398" s="84">
        <v>0</v>
      </c>
      <c r="BB398" s="47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645</v>
      </c>
      <c r="B399" s="63" t="s">
        <v>646</v>
      </c>
      <c r="C399" s="36">
        <v>4301031359</v>
      </c>
      <c r="D399" s="615">
        <v>4607091389500</v>
      </c>
      <c r="E399" s="61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399" s="617"/>
      <c r="R399" s="617"/>
      <c r="S399" s="617"/>
      <c r="T399" s="618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IFERROR(IF(Y399=0,"",ROUNDUP(Y399/H399,0)*0.00502),"")</f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23"/>
      <c r="B400" s="623"/>
      <c r="C400" s="623"/>
      <c r="D400" s="623"/>
      <c r="E400" s="623"/>
      <c r="F400" s="623"/>
      <c r="G400" s="623"/>
      <c r="H400" s="623"/>
      <c r="I400" s="623"/>
      <c r="J400" s="623"/>
      <c r="K400" s="623"/>
      <c r="L400" s="623"/>
      <c r="M400" s="623"/>
      <c r="N400" s="623"/>
      <c r="O400" s="624"/>
      <c r="P400" s="620" t="s">
        <v>40</v>
      </c>
      <c r="Q400" s="621"/>
      <c r="R400" s="621"/>
      <c r="S400" s="621"/>
      <c r="T400" s="621"/>
      <c r="U400" s="621"/>
      <c r="V400" s="622"/>
      <c r="W400" s="42" t="s">
        <v>39</v>
      </c>
      <c r="X400" s="43">
        <f>IFERROR(X396/H396,"0")+IFERROR(X397/H397,"0")+IFERROR(X398/H398,"0")+IFERROR(X399/H399,"0")</f>
        <v>0</v>
      </c>
      <c r="Y400" s="43">
        <f>IFERROR(Y396/H396,"0")+IFERROR(Y397/H397,"0")+IFERROR(Y398/H398,"0")+IFERROR(Y399/H399,"0")</f>
        <v>0</v>
      </c>
      <c r="Z400" s="43">
        <f>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23"/>
      <c r="B401" s="623"/>
      <c r="C401" s="623"/>
      <c r="D401" s="623"/>
      <c r="E401" s="623"/>
      <c r="F401" s="623"/>
      <c r="G401" s="623"/>
      <c r="H401" s="623"/>
      <c r="I401" s="623"/>
      <c r="J401" s="623"/>
      <c r="K401" s="623"/>
      <c r="L401" s="623"/>
      <c r="M401" s="623"/>
      <c r="N401" s="623"/>
      <c r="O401" s="624"/>
      <c r="P401" s="620" t="s">
        <v>40</v>
      </c>
      <c r="Q401" s="621"/>
      <c r="R401" s="621"/>
      <c r="S401" s="621"/>
      <c r="T401" s="621"/>
      <c r="U401" s="621"/>
      <c r="V401" s="622"/>
      <c r="W401" s="42" t="s">
        <v>0</v>
      </c>
      <c r="X401" s="43">
        <f>IFERROR(SUM(X396:X399),"0")</f>
        <v>0</v>
      </c>
      <c r="Y401" s="43">
        <f>IFERROR(SUM(Y396:Y399),"0")</f>
        <v>0</v>
      </c>
      <c r="Z401" s="42"/>
      <c r="AA401" s="67"/>
      <c r="AB401" s="67"/>
      <c r="AC401" s="67"/>
    </row>
    <row r="402" spans="1:68" ht="16.5" customHeight="1" x14ac:dyDescent="0.25">
      <c r="A402" s="613" t="s">
        <v>647</v>
      </c>
      <c r="B402" s="613"/>
      <c r="C402" s="613"/>
      <c r="D402" s="613"/>
      <c r="E402" s="613"/>
      <c r="F402" s="613"/>
      <c r="G402" s="613"/>
      <c r="H402" s="613"/>
      <c r="I402" s="613"/>
      <c r="J402" s="613"/>
      <c r="K402" s="613"/>
      <c r="L402" s="613"/>
      <c r="M402" s="613"/>
      <c r="N402" s="613"/>
      <c r="O402" s="613"/>
      <c r="P402" s="613"/>
      <c r="Q402" s="613"/>
      <c r="R402" s="613"/>
      <c r="S402" s="613"/>
      <c r="T402" s="613"/>
      <c r="U402" s="613"/>
      <c r="V402" s="613"/>
      <c r="W402" s="613"/>
      <c r="X402" s="613"/>
      <c r="Y402" s="613"/>
      <c r="Z402" s="613"/>
      <c r="AA402" s="65"/>
      <c r="AB402" s="65"/>
      <c r="AC402" s="79"/>
    </row>
    <row r="403" spans="1:68" ht="14.25" customHeight="1" x14ac:dyDescent="0.25">
      <c r="A403" s="614" t="s">
        <v>76</v>
      </c>
      <c r="B403" s="614"/>
      <c r="C403" s="614"/>
      <c r="D403" s="614"/>
      <c r="E403" s="614"/>
      <c r="F403" s="614"/>
      <c r="G403" s="614"/>
      <c r="H403" s="614"/>
      <c r="I403" s="614"/>
      <c r="J403" s="614"/>
      <c r="K403" s="614"/>
      <c r="L403" s="614"/>
      <c r="M403" s="614"/>
      <c r="N403" s="614"/>
      <c r="O403" s="614"/>
      <c r="P403" s="614"/>
      <c r="Q403" s="614"/>
      <c r="R403" s="614"/>
      <c r="S403" s="614"/>
      <c r="T403" s="614"/>
      <c r="U403" s="614"/>
      <c r="V403" s="614"/>
      <c r="W403" s="614"/>
      <c r="X403" s="614"/>
      <c r="Y403" s="614"/>
      <c r="Z403" s="614"/>
      <c r="AA403" s="66"/>
      <c r="AB403" s="66"/>
      <c r="AC403" s="80"/>
    </row>
    <row r="404" spans="1:68" ht="27" customHeight="1" x14ac:dyDescent="0.25">
      <c r="A404" s="63" t="s">
        <v>648</v>
      </c>
      <c r="B404" s="63" t="s">
        <v>649</v>
      </c>
      <c r="C404" s="36">
        <v>4301031347</v>
      </c>
      <c r="D404" s="615">
        <v>4680115885110</v>
      </c>
      <c r="E404" s="615"/>
      <c r="F404" s="62">
        <v>0.2</v>
      </c>
      <c r="G404" s="37">
        <v>6</v>
      </c>
      <c r="H404" s="62">
        <v>1.2</v>
      </c>
      <c r="I404" s="62">
        <v>2.1</v>
      </c>
      <c r="J404" s="37">
        <v>182</v>
      </c>
      <c r="K404" s="37" t="s">
        <v>81</v>
      </c>
      <c r="L404" s="37" t="s">
        <v>45</v>
      </c>
      <c r="M404" s="38" t="s">
        <v>80</v>
      </c>
      <c r="N404" s="38"/>
      <c r="O404" s="37">
        <v>50</v>
      </c>
      <c r="P404" s="81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4" s="617"/>
      <c r="R404" s="617"/>
      <c r="S404" s="617"/>
      <c r="T404" s="61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4" t="s">
        <v>650</v>
      </c>
      <c r="AG404" s="78"/>
      <c r="AJ404" s="84" t="s">
        <v>45</v>
      </c>
      <c r="AK404" s="84">
        <v>0</v>
      </c>
      <c r="BB404" s="47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23"/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4"/>
      <c r="P405" s="620" t="s">
        <v>40</v>
      </c>
      <c r="Q405" s="621"/>
      <c r="R405" s="621"/>
      <c r="S405" s="621"/>
      <c r="T405" s="621"/>
      <c r="U405" s="621"/>
      <c r="V405" s="622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23"/>
      <c r="B406" s="623"/>
      <c r="C406" s="623"/>
      <c r="D406" s="623"/>
      <c r="E406" s="623"/>
      <c r="F406" s="623"/>
      <c r="G406" s="623"/>
      <c r="H406" s="623"/>
      <c r="I406" s="623"/>
      <c r="J406" s="623"/>
      <c r="K406" s="623"/>
      <c r="L406" s="623"/>
      <c r="M406" s="623"/>
      <c r="N406" s="623"/>
      <c r="O406" s="624"/>
      <c r="P406" s="620" t="s">
        <v>40</v>
      </c>
      <c r="Q406" s="621"/>
      <c r="R406" s="621"/>
      <c r="S406" s="621"/>
      <c r="T406" s="621"/>
      <c r="U406" s="621"/>
      <c r="V406" s="622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27.75" customHeight="1" x14ac:dyDescent="0.2">
      <c r="A407" s="612" t="s">
        <v>651</v>
      </c>
      <c r="B407" s="612"/>
      <c r="C407" s="612"/>
      <c r="D407" s="612"/>
      <c r="E407" s="612"/>
      <c r="F407" s="612"/>
      <c r="G407" s="612"/>
      <c r="H407" s="612"/>
      <c r="I407" s="612"/>
      <c r="J407" s="612"/>
      <c r="K407" s="612"/>
      <c r="L407" s="612"/>
      <c r="M407" s="612"/>
      <c r="N407" s="612"/>
      <c r="O407" s="612"/>
      <c r="P407" s="612"/>
      <c r="Q407" s="612"/>
      <c r="R407" s="612"/>
      <c r="S407" s="612"/>
      <c r="T407" s="612"/>
      <c r="U407" s="612"/>
      <c r="V407" s="612"/>
      <c r="W407" s="612"/>
      <c r="X407" s="612"/>
      <c r="Y407" s="612"/>
      <c r="Z407" s="612"/>
      <c r="AA407" s="54"/>
      <c r="AB407" s="54"/>
      <c r="AC407" s="54"/>
    </row>
    <row r="408" spans="1:68" ht="16.5" customHeight="1" x14ac:dyDescent="0.25">
      <c r="A408" s="613" t="s">
        <v>651</v>
      </c>
      <c r="B408" s="613"/>
      <c r="C408" s="613"/>
      <c r="D408" s="613"/>
      <c r="E408" s="613"/>
      <c r="F408" s="613"/>
      <c r="G408" s="613"/>
      <c r="H408" s="613"/>
      <c r="I408" s="613"/>
      <c r="J408" s="613"/>
      <c r="K408" s="613"/>
      <c r="L408" s="613"/>
      <c r="M408" s="613"/>
      <c r="N408" s="613"/>
      <c r="O408" s="613"/>
      <c r="P408" s="613"/>
      <c r="Q408" s="613"/>
      <c r="R408" s="613"/>
      <c r="S408" s="613"/>
      <c r="T408" s="613"/>
      <c r="U408" s="613"/>
      <c r="V408" s="613"/>
      <c r="W408" s="613"/>
      <c r="X408" s="613"/>
      <c r="Y408" s="613"/>
      <c r="Z408" s="613"/>
      <c r="AA408" s="65"/>
      <c r="AB408" s="65"/>
      <c r="AC408" s="79"/>
    </row>
    <row r="409" spans="1:68" ht="14.25" customHeight="1" x14ac:dyDescent="0.25">
      <c r="A409" s="614" t="s">
        <v>111</v>
      </c>
      <c r="B409" s="614"/>
      <c r="C409" s="614"/>
      <c r="D409" s="614"/>
      <c r="E409" s="614"/>
      <c r="F409" s="614"/>
      <c r="G409" s="614"/>
      <c r="H409" s="614"/>
      <c r="I409" s="614"/>
      <c r="J409" s="614"/>
      <c r="K409" s="614"/>
      <c r="L409" s="614"/>
      <c r="M409" s="614"/>
      <c r="N409" s="614"/>
      <c r="O409" s="614"/>
      <c r="P409" s="614"/>
      <c r="Q409" s="614"/>
      <c r="R409" s="614"/>
      <c r="S409" s="614"/>
      <c r="T409" s="614"/>
      <c r="U409" s="614"/>
      <c r="V409" s="614"/>
      <c r="W409" s="614"/>
      <c r="X409" s="614"/>
      <c r="Y409" s="614"/>
      <c r="Z409" s="614"/>
      <c r="AA409" s="66"/>
      <c r="AB409" s="66"/>
      <c r="AC409" s="80"/>
    </row>
    <row r="410" spans="1:68" ht="27" customHeight="1" x14ac:dyDescent="0.25">
      <c r="A410" s="63" t="s">
        <v>652</v>
      </c>
      <c r="B410" s="63" t="s">
        <v>653</v>
      </c>
      <c r="C410" s="36">
        <v>4301011795</v>
      </c>
      <c r="D410" s="615">
        <v>4607091389067</v>
      </c>
      <c r="E410" s="615"/>
      <c r="F410" s="62">
        <v>0.88</v>
      </c>
      <c r="G410" s="37">
        <v>6</v>
      </c>
      <c r="H410" s="62">
        <v>5.28</v>
      </c>
      <c r="I410" s="62">
        <v>5.63</v>
      </c>
      <c r="J410" s="37">
        <v>104</v>
      </c>
      <c r="K410" s="37" t="s">
        <v>116</v>
      </c>
      <c r="L410" s="37" t="s">
        <v>45</v>
      </c>
      <c r="M410" s="38" t="s">
        <v>115</v>
      </c>
      <c r="N410" s="38"/>
      <c r="O410" s="37">
        <v>60</v>
      </c>
      <c r="P410" s="8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10" s="617"/>
      <c r="R410" s="617"/>
      <c r="S410" s="617"/>
      <c r="T410" s="618"/>
      <c r="U410" s="39" t="s">
        <v>45</v>
      </c>
      <c r="V410" s="39" t="s">
        <v>45</v>
      </c>
      <c r="W410" s="40" t="s">
        <v>0</v>
      </c>
      <c r="X410" s="58">
        <v>0</v>
      </c>
      <c r="Y410" s="55">
        <f t="shared" ref="Y410:Y421" si="47">IFERROR(IF(X410="",0,CEILING((X410/$H410),1)*$H410),"")</f>
        <v>0</v>
      </c>
      <c r="Z410" s="41" t="str">
        <f t="shared" ref="Z410:Z416" si="48">IFERROR(IF(Y410=0,"",ROUNDUP(Y410/H410,0)*0.01196),"")</f>
        <v/>
      </c>
      <c r="AA410" s="68" t="s">
        <v>45</v>
      </c>
      <c r="AB410" s="69" t="s">
        <v>45</v>
      </c>
      <c r="AC410" s="476" t="s">
        <v>114</v>
      </c>
      <c r="AG410" s="78"/>
      <c r="AJ410" s="84" t="s">
        <v>45</v>
      </c>
      <c r="AK410" s="84">
        <v>0</v>
      </c>
      <c r="BB410" s="477" t="s">
        <v>66</v>
      </c>
      <c r="BM410" s="78">
        <f t="shared" ref="BM410:BM421" si="49">IFERROR(X410*I410/H410,"0")</f>
        <v>0</v>
      </c>
      <c r="BN410" s="78">
        <f t="shared" ref="BN410:BN421" si="50">IFERROR(Y410*I410/H410,"0")</f>
        <v>0</v>
      </c>
      <c r="BO410" s="78">
        <f t="shared" ref="BO410:BO421" si="51">IFERROR(1/J410*(X410/H410),"0")</f>
        <v>0</v>
      </c>
      <c r="BP410" s="78">
        <f t="shared" ref="BP410:BP421" si="52">IFERROR(1/J410*(Y410/H410),"0")</f>
        <v>0</v>
      </c>
    </row>
    <row r="411" spans="1:68" ht="27" customHeight="1" x14ac:dyDescent="0.25">
      <c r="A411" s="63" t="s">
        <v>654</v>
      </c>
      <c r="B411" s="63" t="s">
        <v>655</v>
      </c>
      <c r="C411" s="36">
        <v>4301012210</v>
      </c>
      <c r="D411" s="615">
        <v>4607091383522</v>
      </c>
      <c r="E411" s="615"/>
      <c r="F411" s="62">
        <v>0.88</v>
      </c>
      <c r="G411" s="37">
        <v>6</v>
      </c>
      <c r="H411" s="62">
        <v>5.28</v>
      </c>
      <c r="I411" s="62">
        <v>5.63</v>
      </c>
      <c r="J411" s="37">
        <v>104</v>
      </c>
      <c r="K411" s="37" t="s">
        <v>116</v>
      </c>
      <c r="L411" s="37" t="s">
        <v>45</v>
      </c>
      <c r="M411" s="38" t="s">
        <v>115</v>
      </c>
      <c r="N411" s="38"/>
      <c r="O411" s="37">
        <v>60</v>
      </c>
      <c r="P411" s="819" t="s">
        <v>656</v>
      </c>
      <c r="Q411" s="617"/>
      <c r="R411" s="617"/>
      <c r="S411" s="617"/>
      <c r="T411" s="618"/>
      <c r="U411" s="39" t="s">
        <v>45</v>
      </c>
      <c r="V411" s="39" t="s">
        <v>45</v>
      </c>
      <c r="W411" s="40" t="s">
        <v>0</v>
      </c>
      <c r="X411" s="58">
        <v>0</v>
      </c>
      <c r="Y411" s="55">
        <f t="shared" si="47"/>
        <v>0</v>
      </c>
      <c r="Z411" s="41" t="str">
        <f t="shared" si="48"/>
        <v/>
      </c>
      <c r="AA411" s="68" t="s">
        <v>45</v>
      </c>
      <c r="AB411" s="69" t="s">
        <v>45</v>
      </c>
      <c r="AC411" s="478" t="s">
        <v>657</v>
      </c>
      <c r="AG411" s="78"/>
      <c r="AJ411" s="84" t="s">
        <v>45</v>
      </c>
      <c r="AK411" s="84">
        <v>0</v>
      </c>
      <c r="BB411" s="479" t="s">
        <v>66</v>
      </c>
      <c r="BM411" s="78">
        <f t="shared" si="49"/>
        <v>0</v>
      </c>
      <c r="BN411" s="78">
        <f t="shared" si="50"/>
        <v>0</v>
      </c>
      <c r="BO411" s="78">
        <f t="shared" si="51"/>
        <v>0</v>
      </c>
      <c r="BP411" s="78">
        <f t="shared" si="52"/>
        <v>0</v>
      </c>
    </row>
    <row r="412" spans="1:68" ht="27" customHeight="1" x14ac:dyDescent="0.25">
      <c r="A412" s="63" t="s">
        <v>654</v>
      </c>
      <c r="B412" s="63" t="s">
        <v>658</v>
      </c>
      <c r="C412" s="36">
        <v>4301012145</v>
      </c>
      <c r="D412" s="615">
        <v>4607091383522</v>
      </c>
      <c r="E412" s="615"/>
      <c r="F412" s="62">
        <v>0.88</v>
      </c>
      <c r="G412" s="37">
        <v>6</v>
      </c>
      <c r="H412" s="62">
        <v>5.28</v>
      </c>
      <c r="I412" s="62">
        <v>5.63</v>
      </c>
      <c r="J412" s="37">
        <v>104</v>
      </c>
      <c r="K412" s="37" t="s">
        <v>116</v>
      </c>
      <c r="L412" s="37" t="s">
        <v>45</v>
      </c>
      <c r="M412" s="38" t="s">
        <v>115</v>
      </c>
      <c r="N412" s="38"/>
      <c r="O412" s="37">
        <v>60</v>
      </c>
      <c r="P412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12" s="617"/>
      <c r="R412" s="617"/>
      <c r="S412" s="617"/>
      <c r="T412" s="618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si="47"/>
        <v>0</v>
      </c>
      <c r="Z412" s="41" t="str">
        <f t="shared" si="48"/>
        <v/>
      </c>
      <c r="AA412" s="68" t="s">
        <v>45</v>
      </c>
      <c r="AB412" s="69" t="s">
        <v>45</v>
      </c>
      <c r="AC412" s="480" t="s">
        <v>657</v>
      </c>
      <c r="AG412" s="78"/>
      <c r="AJ412" s="84" t="s">
        <v>45</v>
      </c>
      <c r="AK412" s="84">
        <v>0</v>
      </c>
      <c r="BB412" s="481" t="s">
        <v>66</v>
      </c>
      <c r="BM412" s="78">
        <f t="shared" si="49"/>
        <v>0</v>
      </c>
      <c r="BN412" s="78">
        <f t="shared" si="50"/>
        <v>0</v>
      </c>
      <c r="BO412" s="78">
        <f t="shared" si="51"/>
        <v>0</v>
      </c>
      <c r="BP412" s="78">
        <f t="shared" si="52"/>
        <v>0</v>
      </c>
    </row>
    <row r="413" spans="1:68" ht="27" customHeight="1" x14ac:dyDescent="0.25">
      <c r="A413" s="63" t="s">
        <v>659</v>
      </c>
      <c r="B413" s="63" t="s">
        <v>660</v>
      </c>
      <c r="C413" s="36">
        <v>4301011961</v>
      </c>
      <c r="D413" s="615">
        <v>4680115885271</v>
      </c>
      <c r="E413" s="615"/>
      <c r="F413" s="62">
        <v>0.88</v>
      </c>
      <c r="G413" s="37">
        <v>6</v>
      </c>
      <c r="H413" s="62">
        <v>5.28</v>
      </c>
      <c r="I413" s="62">
        <v>5.63</v>
      </c>
      <c r="J413" s="37">
        <v>104</v>
      </c>
      <c r="K413" s="37" t="s">
        <v>116</v>
      </c>
      <c r="L413" s="37" t="s">
        <v>45</v>
      </c>
      <c r="M413" s="38" t="s">
        <v>115</v>
      </c>
      <c r="N413" s="38"/>
      <c r="O413" s="37">
        <v>60</v>
      </c>
      <c r="P413" s="82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13" s="617"/>
      <c r="R413" s="617"/>
      <c r="S413" s="617"/>
      <c r="T413" s="618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47"/>
        <v>0</v>
      </c>
      <c r="Z413" s="41" t="str">
        <f t="shared" si="48"/>
        <v/>
      </c>
      <c r="AA413" s="68" t="s">
        <v>45</v>
      </c>
      <c r="AB413" s="69" t="s">
        <v>45</v>
      </c>
      <c r="AC413" s="482" t="s">
        <v>661</v>
      </c>
      <c r="AG413" s="78"/>
      <c r="AJ413" s="84" t="s">
        <v>45</v>
      </c>
      <c r="AK413" s="84">
        <v>0</v>
      </c>
      <c r="BB413" s="483" t="s">
        <v>66</v>
      </c>
      <c r="BM413" s="78">
        <f t="shared" si="49"/>
        <v>0</v>
      </c>
      <c r="BN413" s="78">
        <f t="shared" si="50"/>
        <v>0</v>
      </c>
      <c r="BO413" s="78">
        <f t="shared" si="51"/>
        <v>0</v>
      </c>
      <c r="BP413" s="78">
        <f t="shared" si="52"/>
        <v>0</v>
      </c>
    </row>
    <row r="414" spans="1:68" ht="27" customHeight="1" x14ac:dyDescent="0.25">
      <c r="A414" s="63" t="s">
        <v>662</v>
      </c>
      <c r="B414" s="63" t="s">
        <v>663</v>
      </c>
      <c r="C414" s="36">
        <v>4301011376</v>
      </c>
      <c r="D414" s="615">
        <v>4680115885226</v>
      </c>
      <c r="E414" s="615"/>
      <c r="F414" s="62">
        <v>0.88</v>
      </c>
      <c r="G414" s="37">
        <v>6</v>
      </c>
      <c r="H414" s="62">
        <v>5.28</v>
      </c>
      <c r="I414" s="62">
        <v>5.63</v>
      </c>
      <c r="J414" s="37">
        <v>104</v>
      </c>
      <c r="K414" s="37" t="s">
        <v>116</v>
      </c>
      <c r="L414" s="37" t="s">
        <v>45</v>
      </c>
      <c r="M414" s="38" t="s">
        <v>90</v>
      </c>
      <c r="N414" s="38"/>
      <c r="O414" s="37">
        <v>60</v>
      </c>
      <c r="P414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14" s="617"/>
      <c r="R414" s="617"/>
      <c r="S414" s="617"/>
      <c r="T414" s="618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47"/>
        <v>0</v>
      </c>
      <c r="Z414" s="41" t="str">
        <f t="shared" si="48"/>
        <v/>
      </c>
      <c r="AA414" s="68" t="s">
        <v>45</v>
      </c>
      <c r="AB414" s="69" t="s">
        <v>45</v>
      </c>
      <c r="AC414" s="484" t="s">
        <v>664</v>
      </c>
      <c r="AG414" s="78"/>
      <c r="AJ414" s="84" t="s">
        <v>45</v>
      </c>
      <c r="AK414" s="84">
        <v>0</v>
      </c>
      <c r="BB414" s="485" t="s">
        <v>66</v>
      </c>
      <c r="BM414" s="78">
        <f t="shared" si="49"/>
        <v>0</v>
      </c>
      <c r="BN414" s="78">
        <f t="shared" si="50"/>
        <v>0</v>
      </c>
      <c r="BO414" s="78">
        <f t="shared" si="51"/>
        <v>0</v>
      </c>
      <c r="BP414" s="78">
        <f t="shared" si="52"/>
        <v>0</v>
      </c>
    </row>
    <row r="415" spans="1:68" ht="16.5" customHeight="1" x14ac:dyDescent="0.25">
      <c r="A415" s="63" t="s">
        <v>665</v>
      </c>
      <c r="B415" s="63" t="s">
        <v>666</v>
      </c>
      <c r="C415" s="36">
        <v>4301011774</v>
      </c>
      <c r="D415" s="615">
        <v>4680115884502</v>
      </c>
      <c r="E415" s="615"/>
      <c r="F415" s="62">
        <v>0.88</v>
      </c>
      <c r="G415" s="37">
        <v>6</v>
      </c>
      <c r="H415" s="62">
        <v>5.28</v>
      </c>
      <c r="I415" s="62">
        <v>5.63</v>
      </c>
      <c r="J415" s="37">
        <v>104</v>
      </c>
      <c r="K415" s="37" t="s">
        <v>116</v>
      </c>
      <c r="L415" s="37" t="s">
        <v>45</v>
      </c>
      <c r="M415" s="38" t="s">
        <v>115</v>
      </c>
      <c r="N415" s="38"/>
      <c r="O415" s="37">
        <v>60</v>
      </c>
      <c r="P415" s="8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5" s="617"/>
      <c r="R415" s="617"/>
      <c r="S415" s="617"/>
      <c r="T415" s="618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47"/>
        <v>0</v>
      </c>
      <c r="Z415" s="41" t="str">
        <f t="shared" si="48"/>
        <v/>
      </c>
      <c r="AA415" s="68" t="s">
        <v>45</v>
      </c>
      <c r="AB415" s="69" t="s">
        <v>45</v>
      </c>
      <c r="AC415" s="486" t="s">
        <v>667</v>
      </c>
      <c r="AG415" s="78"/>
      <c r="AJ415" s="84" t="s">
        <v>45</v>
      </c>
      <c r="AK415" s="84">
        <v>0</v>
      </c>
      <c r="BB415" s="487" t="s">
        <v>66</v>
      </c>
      <c r="BM415" s="78">
        <f t="shared" si="49"/>
        <v>0</v>
      </c>
      <c r="BN415" s="78">
        <f t="shared" si="50"/>
        <v>0</v>
      </c>
      <c r="BO415" s="78">
        <f t="shared" si="51"/>
        <v>0</v>
      </c>
      <c r="BP415" s="78">
        <f t="shared" si="52"/>
        <v>0</v>
      </c>
    </row>
    <row r="416" spans="1:68" ht="27" customHeight="1" x14ac:dyDescent="0.25">
      <c r="A416" s="63" t="s">
        <v>668</v>
      </c>
      <c r="B416" s="63" t="s">
        <v>669</v>
      </c>
      <c r="C416" s="36">
        <v>4301011771</v>
      </c>
      <c r="D416" s="615">
        <v>4607091389104</v>
      </c>
      <c r="E416" s="615"/>
      <c r="F416" s="62">
        <v>0.88</v>
      </c>
      <c r="G416" s="37">
        <v>6</v>
      </c>
      <c r="H416" s="62">
        <v>5.28</v>
      </c>
      <c r="I416" s="62">
        <v>5.63</v>
      </c>
      <c r="J416" s="37">
        <v>104</v>
      </c>
      <c r="K416" s="37" t="s">
        <v>116</v>
      </c>
      <c r="L416" s="37" t="s">
        <v>45</v>
      </c>
      <c r="M416" s="38" t="s">
        <v>115</v>
      </c>
      <c r="N416" s="38"/>
      <c r="O416" s="37">
        <v>60</v>
      </c>
      <c r="P416" s="8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6" s="617"/>
      <c r="R416" s="617"/>
      <c r="S416" s="617"/>
      <c r="T416" s="618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47"/>
        <v>0</v>
      </c>
      <c r="Z416" s="41" t="str">
        <f t="shared" si="48"/>
        <v/>
      </c>
      <c r="AA416" s="68" t="s">
        <v>45</v>
      </c>
      <c r="AB416" s="69" t="s">
        <v>45</v>
      </c>
      <c r="AC416" s="488" t="s">
        <v>670</v>
      </c>
      <c r="AG416" s="78"/>
      <c r="AJ416" s="84" t="s">
        <v>45</v>
      </c>
      <c r="AK416" s="84">
        <v>0</v>
      </c>
      <c r="BB416" s="489" t="s">
        <v>66</v>
      </c>
      <c r="BM416" s="78">
        <f t="shared" si="49"/>
        <v>0</v>
      </c>
      <c r="BN416" s="78">
        <f t="shared" si="50"/>
        <v>0</v>
      </c>
      <c r="BO416" s="78">
        <f t="shared" si="51"/>
        <v>0</v>
      </c>
      <c r="BP416" s="78">
        <f t="shared" si="52"/>
        <v>0</v>
      </c>
    </row>
    <row r="417" spans="1:68" ht="27" customHeight="1" x14ac:dyDescent="0.25">
      <c r="A417" s="63" t="s">
        <v>671</v>
      </c>
      <c r="B417" s="63" t="s">
        <v>672</v>
      </c>
      <c r="C417" s="36">
        <v>4301012125</v>
      </c>
      <c r="D417" s="615">
        <v>4680115886391</v>
      </c>
      <c r="E417" s="615"/>
      <c r="F417" s="62">
        <v>0.4</v>
      </c>
      <c r="G417" s="37">
        <v>6</v>
      </c>
      <c r="H417" s="62">
        <v>2.4</v>
      </c>
      <c r="I417" s="62">
        <v>2.58</v>
      </c>
      <c r="J417" s="37">
        <v>182</v>
      </c>
      <c r="K417" s="37" t="s">
        <v>81</v>
      </c>
      <c r="L417" s="37" t="s">
        <v>45</v>
      </c>
      <c r="M417" s="38" t="s">
        <v>90</v>
      </c>
      <c r="N417" s="38"/>
      <c r="O417" s="37">
        <v>60</v>
      </c>
      <c r="P417" s="82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7" s="617"/>
      <c r="R417" s="617"/>
      <c r="S417" s="617"/>
      <c r="T417" s="618"/>
      <c r="U417" s="39" t="s">
        <v>45</v>
      </c>
      <c r="V417" s="39" t="s">
        <v>45</v>
      </c>
      <c r="W417" s="40" t="s">
        <v>0</v>
      </c>
      <c r="X417" s="58">
        <v>0</v>
      </c>
      <c r="Y417" s="55">
        <f t="shared" si="47"/>
        <v>0</v>
      </c>
      <c r="Z417" s="41" t="str">
        <f>IFERROR(IF(Y417=0,"",ROUNDUP(Y417/H417,0)*0.00651),"")</f>
        <v/>
      </c>
      <c r="AA417" s="68" t="s">
        <v>45</v>
      </c>
      <c r="AB417" s="69" t="s">
        <v>45</v>
      </c>
      <c r="AC417" s="490" t="s">
        <v>114</v>
      </c>
      <c r="AG417" s="78"/>
      <c r="AJ417" s="84" t="s">
        <v>45</v>
      </c>
      <c r="AK417" s="84">
        <v>0</v>
      </c>
      <c r="BB417" s="491" t="s">
        <v>66</v>
      </c>
      <c r="BM417" s="78">
        <f t="shared" si="49"/>
        <v>0</v>
      </c>
      <c r="BN417" s="78">
        <f t="shared" si="50"/>
        <v>0</v>
      </c>
      <c r="BO417" s="78">
        <f t="shared" si="51"/>
        <v>0</v>
      </c>
      <c r="BP417" s="78">
        <f t="shared" si="52"/>
        <v>0</v>
      </c>
    </row>
    <row r="418" spans="1:68" ht="27" customHeight="1" x14ac:dyDescent="0.25">
      <c r="A418" s="63" t="s">
        <v>673</v>
      </c>
      <c r="B418" s="63" t="s">
        <v>674</v>
      </c>
      <c r="C418" s="36">
        <v>4301012035</v>
      </c>
      <c r="D418" s="615">
        <v>4680115880603</v>
      </c>
      <c r="E418" s="615"/>
      <c r="F418" s="62">
        <v>0.6</v>
      </c>
      <c r="G418" s="37">
        <v>8</v>
      </c>
      <c r="H418" s="62">
        <v>4.8</v>
      </c>
      <c r="I418" s="62">
        <v>6.91</v>
      </c>
      <c r="J418" s="37">
        <v>132</v>
      </c>
      <c r="K418" s="37" t="s">
        <v>119</v>
      </c>
      <c r="L418" s="37" t="s">
        <v>45</v>
      </c>
      <c r="M418" s="38" t="s">
        <v>115</v>
      </c>
      <c r="N418" s="38"/>
      <c r="O418" s="37">
        <v>60</v>
      </c>
      <c r="P418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18" s="617"/>
      <c r="R418" s="617"/>
      <c r="S418" s="617"/>
      <c r="T418" s="618"/>
      <c r="U418" s="39" t="s">
        <v>45</v>
      </c>
      <c r="V418" s="39" t="s">
        <v>45</v>
      </c>
      <c r="W418" s="40" t="s">
        <v>0</v>
      </c>
      <c r="X418" s="58">
        <v>0</v>
      </c>
      <c r="Y418" s="55">
        <f t="shared" si="47"/>
        <v>0</v>
      </c>
      <c r="Z418" s="41" t="str">
        <f>IFERROR(IF(Y418=0,"",ROUNDUP(Y418/H418,0)*0.00902),"")</f>
        <v/>
      </c>
      <c r="AA418" s="68" t="s">
        <v>45</v>
      </c>
      <c r="AB418" s="69" t="s">
        <v>45</v>
      </c>
      <c r="AC418" s="492" t="s">
        <v>114</v>
      </c>
      <c r="AG418" s="78"/>
      <c r="AJ418" s="84" t="s">
        <v>45</v>
      </c>
      <c r="AK418" s="84">
        <v>0</v>
      </c>
      <c r="BB418" s="493" t="s">
        <v>66</v>
      </c>
      <c r="BM418" s="78">
        <f t="shared" si="49"/>
        <v>0</v>
      </c>
      <c r="BN418" s="78">
        <f t="shared" si="50"/>
        <v>0</v>
      </c>
      <c r="BO418" s="78">
        <f t="shared" si="51"/>
        <v>0</v>
      </c>
      <c r="BP418" s="78">
        <f t="shared" si="52"/>
        <v>0</v>
      </c>
    </row>
    <row r="419" spans="1:68" ht="27" customHeight="1" x14ac:dyDescent="0.25">
      <c r="A419" s="63" t="s">
        <v>675</v>
      </c>
      <c r="B419" s="63" t="s">
        <v>676</v>
      </c>
      <c r="C419" s="36">
        <v>4301012036</v>
      </c>
      <c r="D419" s="615">
        <v>4680115882782</v>
      </c>
      <c r="E419" s="615"/>
      <c r="F419" s="62">
        <v>0.6</v>
      </c>
      <c r="G419" s="37">
        <v>8</v>
      </c>
      <c r="H419" s="62">
        <v>4.8</v>
      </c>
      <c r="I419" s="62">
        <v>6.96</v>
      </c>
      <c r="J419" s="37">
        <v>120</v>
      </c>
      <c r="K419" s="37" t="s">
        <v>119</v>
      </c>
      <c r="L419" s="37" t="s">
        <v>45</v>
      </c>
      <c r="M419" s="38" t="s">
        <v>115</v>
      </c>
      <c r="N419" s="38"/>
      <c r="O419" s="37">
        <v>60</v>
      </c>
      <c r="P419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19" s="617"/>
      <c r="R419" s="617"/>
      <c r="S419" s="617"/>
      <c r="T419" s="618"/>
      <c r="U419" s="39" t="s">
        <v>45</v>
      </c>
      <c r="V419" s="39" t="s">
        <v>45</v>
      </c>
      <c r="W419" s="40" t="s">
        <v>0</v>
      </c>
      <c r="X419" s="58">
        <v>0</v>
      </c>
      <c r="Y419" s="55">
        <f t="shared" si="47"/>
        <v>0</v>
      </c>
      <c r="Z419" s="41" t="str">
        <f>IFERROR(IF(Y419=0,"",ROUNDUP(Y419/H419,0)*0.00937),"")</f>
        <v/>
      </c>
      <c r="AA419" s="68" t="s">
        <v>45</v>
      </c>
      <c r="AB419" s="69" t="s">
        <v>45</v>
      </c>
      <c r="AC419" s="494" t="s">
        <v>661</v>
      </c>
      <c r="AG419" s="78"/>
      <c r="AJ419" s="84" t="s">
        <v>45</v>
      </c>
      <c r="AK419" s="84">
        <v>0</v>
      </c>
      <c r="BB419" s="495" t="s">
        <v>66</v>
      </c>
      <c r="BM419" s="78">
        <f t="shared" si="49"/>
        <v>0</v>
      </c>
      <c r="BN419" s="78">
        <f t="shared" si="50"/>
        <v>0</v>
      </c>
      <c r="BO419" s="78">
        <f t="shared" si="51"/>
        <v>0</v>
      </c>
      <c r="BP419" s="78">
        <f t="shared" si="52"/>
        <v>0</v>
      </c>
    </row>
    <row r="420" spans="1:68" ht="27" customHeight="1" x14ac:dyDescent="0.25">
      <c r="A420" s="63" t="s">
        <v>677</v>
      </c>
      <c r="B420" s="63" t="s">
        <v>678</v>
      </c>
      <c r="C420" s="36">
        <v>4301012050</v>
      </c>
      <c r="D420" s="615">
        <v>4680115885479</v>
      </c>
      <c r="E420" s="615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81</v>
      </c>
      <c r="L420" s="37" t="s">
        <v>45</v>
      </c>
      <c r="M420" s="38" t="s">
        <v>115</v>
      </c>
      <c r="N420" s="38"/>
      <c r="O420" s="37">
        <v>60</v>
      </c>
      <c r="P420" s="82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0" s="617"/>
      <c r="R420" s="617"/>
      <c r="S420" s="617"/>
      <c r="T420" s="618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si="47"/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96" t="s">
        <v>679</v>
      </c>
      <c r="AG420" s="78"/>
      <c r="AJ420" s="84" t="s">
        <v>45</v>
      </c>
      <c r="AK420" s="84">
        <v>0</v>
      </c>
      <c r="BB420" s="497" t="s">
        <v>66</v>
      </c>
      <c r="BM420" s="78">
        <f t="shared" si="49"/>
        <v>0</v>
      </c>
      <c r="BN420" s="78">
        <f t="shared" si="50"/>
        <v>0</v>
      </c>
      <c r="BO420" s="78">
        <f t="shared" si="51"/>
        <v>0</v>
      </c>
      <c r="BP420" s="78">
        <f t="shared" si="52"/>
        <v>0</v>
      </c>
    </row>
    <row r="421" spans="1:68" ht="27" customHeight="1" x14ac:dyDescent="0.25">
      <c r="A421" s="63" t="s">
        <v>680</v>
      </c>
      <c r="B421" s="63" t="s">
        <v>681</v>
      </c>
      <c r="C421" s="36">
        <v>4301012034</v>
      </c>
      <c r="D421" s="615">
        <v>4607091389982</v>
      </c>
      <c r="E421" s="615"/>
      <c r="F421" s="62">
        <v>0.6</v>
      </c>
      <c r="G421" s="37">
        <v>8</v>
      </c>
      <c r="H421" s="62">
        <v>4.8</v>
      </c>
      <c r="I421" s="62">
        <v>6.91</v>
      </c>
      <c r="J421" s="37">
        <v>132</v>
      </c>
      <c r="K421" s="37" t="s">
        <v>119</v>
      </c>
      <c r="L421" s="37" t="s">
        <v>45</v>
      </c>
      <c r="M421" s="38" t="s">
        <v>115</v>
      </c>
      <c r="N421" s="38"/>
      <c r="O421" s="37">
        <v>60</v>
      </c>
      <c r="P421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21" s="617"/>
      <c r="R421" s="617"/>
      <c r="S421" s="617"/>
      <c r="T421" s="61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7"/>
        <v>0</v>
      </c>
      <c r="Z421" s="41" t="str">
        <f>IFERROR(IF(Y421=0,"",ROUNDUP(Y421/H421,0)*0.00902),"")</f>
        <v/>
      </c>
      <c r="AA421" s="68" t="s">
        <v>45</v>
      </c>
      <c r="AB421" s="69" t="s">
        <v>45</v>
      </c>
      <c r="AC421" s="498" t="s">
        <v>670</v>
      </c>
      <c r="AG421" s="78"/>
      <c r="AJ421" s="84" t="s">
        <v>45</v>
      </c>
      <c r="AK421" s="84">
        <v>0</v>
      </c>
      <c r="BB421" s="499" t="s">
        <v>66</v>
      </c>
      <c r="BM421" s="78">
        <f t="shared" si="49"/>
        <v>0</v>
      </c>
      <c r="BN421" s="78">
        <f t="shared" si="50"/>
        <v>0</v>
      </c>
      <c r="BO421" s="78">
        <f t="shared" si="51"/>
        <v>0</v>
      </c>
      <c r="BP421" s="78">
        <f t="shared" si="52"/>
        <v>0</v>
      </c>
    </row>
    <row r="422" spans="1:68" x14ac:dyDescent="0.2">
      <c r="A422" s="623"/>
      <c r="B422" s="623"/>
      <c r="C422" s="623"/>
      <c r="D422" s="623"/>
      <c r="E422" s="623"/>
      <c r="F422" s="623"/>
      <c r="G422" s="623"/>
      <c r="H422" s="623"/>
      <c r="I422" s="623"/>
      <c r="J422" s="623"/>
      <c r="K422" s="623"/>
      <c r="L422" s="623"/>
      <c r="M422" s="623"/>
      <c r="N422" s="623"/>
      <c r="O422" s="624"/>
      <c r="P422" s="620" t="s">
        <v>40</v>
      </c>
      <c r="Q422" s="621"/>
      <c r="R422" s="621"/>
      <c r="S422" s="621"/>
      <c r="T422" s="621"/>
      <c r="U422" s="621"/>
      <c r="V422" s="622"/>
      <c r="W422" s="42" t="s">
        <v>39</v>
      </c>
      <c r="X422" s="43">
        <f>IFERROR(X410/H410,"0")+IFERROR(X411/H411,"0")+IFERROR(X412/H412,"0")+IFERROR(X413/H413,"0")+IFERROR(X414/H414,"0")+IFERROR(X415/H415,"0")+IFERROR(X416/H416,"0")+IFERROR(X417/H417,"0")+IFERROR(X418/H418,"0")+IFERROR(X419/H419,"0")+IFERROR(X420/H420,"0")+IFERROR(X421/H421,"0")</f>
        <v>0</v>
      </c>
      <c r="Y422" s="43">
        <f>IFERROR(Y410/H410,"0")+IFERROR(Y411/H411,"0")+IFERROR(Y412/H412,"0")+IFERROR(Y413/H413,"0")+IFERROR(Y414/H414,"0")+IFERROR(Y415/H415,"0")+IFERROR(Y416/H416,"0")+IFERROR(Y417/H417,"0")+IFERROR(Y418/H418,"0")+IFERROR(Y419/H419,"0")+IFERROR(Y420/H420,"0")+IFERROR(Y421/H421,"0")</f>
        <v>0</v>
      </c>
      <c r="Z422" s="43">
        <f>IFERROR(IF(Z410="",0,Z410),"0")+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623"/>
      <c r="B423" s="623"/>
      <c r="C423" s="623"/>
      <c r="D423" s="623"/>
      <c r="E423" s="623"/>
      <c r="F423" s="623"/>
      <c r="G423" s="623"/>
      <c r="H423" s="623"/>
      <c r="I423" s="623"/>
      <c r="J423" s="623"/>
      <c r="K423" s="623"/>
      <c r="L423" s="623"/>
      <c r="M423" s="623"/>
      <c r="N423" s="623"/>
      <c r="O423" s="624"/>
      <c r="P423" s="620" t="s">
        <v>40</v>
      </c>
      <c r="Q423" s="621"/>
      <c r="R423" s="621"/>
      <c r="S423" s="621"/>
      <c r="T423" s="621"/>
      <c r="U423" s="621"/>
      <c r="V423" s="622"/>
      <c r="W423" s="42" t="s">
        <v>0</v>
      </c>
      <c r="X423" s="43">
        <f>IFERROR(SUM(X410:X421),"0")</f>
        <v>0</v>
      </c>
      <c r="Y423" s="43">
        <f>IFERROR(SUM(Y410:Y421),"0")</f>
        <v>0</v>
      </c>
      <c r="Z423" s="42"/>
      <c r="AA423" s="67"/>
      <c r="AB423" s="67"/>
      <c r="AC423" s="67"/>
    </row>
    <row r="424" spans="1:68" ht="14.25" customHeight="1" x14ac:dyDescent="0.25">
      <c r="A424" s="614" t="s">
        <v>144</v>
      </c>
      <c r="B424" s="614"/>
      <c r="C424" s="614"/>
      <c r="D424" s="614"/>
      <c r="E424" s="614"/>
      <c r="F424" s="614"/>
      <c r="G424" s="614"/>
      <c r="H424" s="614"/>
      <c r="I424" s="614"/>
      <c r="J424" s="614"/>
      <c r="K424" s="614"/>
      <c r="L424" s="614"/>
      <c r="M424" s="614"/>
      <c r="N424" s="614"/>
      <c r="O424" s="614"/>
      <c r="P424" s="614"/>
      <c r="Q424" s="614"/>
      <c r="R424" s="614"/>
      <c r="S424" s="614"/>
      <c r="T424" s="614"/>
      <c r="U424" s="614"/>
      <c r="V424" s="614"/>
      <c r="W424" s="614"/>
      <c r="X424" s="614"/>
      <c r="Y424" s="614"/>
      <c r="Z424" s="614"/>
      <c r="AA424" s="66"/>
      <c r="AB424" s="66"/>
      <c r="AC424" s="80"/>
    </row>
    <row r="425" spans="1:68" ht="16.5" customHeight="1" x14ac:dyDescent="0.25">
      <c r="A425" s="63" t="s">
        <v>682</v>
      </c>
      <c r="B425" s="63" t="s">
        <v>683</v>
      </c>
      <c r="C425" s="36">
        <v>4301020334</v>
      </c>
      <c r="D425" s="615">
        <v>4607091388930</v>
      </c>
      <c r="E425" s="61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116</v>
      </c>
      <c r="L425" s="37" t="s">
        <v>45</v>
      </c>
      <c r="M425" s="38" t="s">
        <v>90</v>
      </c>
      <c r="N425" s="38"/>
      <c r="O425" s="37">
        <v>70</v>
      </c>
      <c r="P425" s="8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5" s="617"/>
      <c r="R425" s="617"/>
      <c r="S425" s="617"/>
      <c r="T425" s="618"/>
      <c r="U425" s="39" t="s">
        <v>45</v>
      </c>
      <c r="V425" s="39" t="s">
        <v>45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IFERROR(IF(Y425=0,"",ROUNDUP(Y425/H425,0)*0.01196),"")</f>
        <v/>
      </c>
      <c r="AA425" s="68" t="s">
        <v>45</v>
      </c>
      <c r="AB425" s="69" t="s">
        <v>45</v>
      </c>
      <c r="AC425" s="500" t="s">
        <v>684</v>
      </c>
      <c r="AG425" s="78"/>
      <c r="AJ425" s="84" t="s">
        <v>45</v>
      </c>
      <c r="AK425" s="84">
        <v>0</v>
      </c>
      <c r="BB425" s="50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customHeight="1" x14ac:dyDescent="0.25">
      <c r="A426" s="63" t="s">
        <v>685</v>
      </c>
      <c r="B426" s="63" t="s">
        <v>686</v>
      </c>
      <c r="C426" s="36">
        <v>4301020384</v>
      </c>
      <c r="D426" s="615">
        <v>4680115886407</v>
      </c>
      <c r="E426" s="615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81</v>
      </c>
      <c r="L426" s="37" t="s">
        <v>45</v>
      </c>
      <c r="M426" s="38" t="s">
        <v>90</v>
      </c>
      <c r="N426" s="38"/>
      <c r="O426" s="37">
        <v>70</v>
      </c>
      <c r="P426" s="8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6" s="617"/>
      <c r="R426" s="617"/>
      <c r="S426" s="617"/>
      <c r="T426" s="618"/>
      <c r="U426" s="39" t="s">
        <v>45</v>
      </c>
      <c r="V426" s="39" t="s">
        <v>45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502" t="s">
        <v>684</v>
      </c>
      <c r="AG426" s="78"/>
      <c r="AJ426" s="84" t="s">
        <v>45</v>
      </c>
      <c r="AK426" s="84">
        <v>0</v>
      </c>
      <c r="BB426" s="50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16.5" customHeight="1" x14ac:dyDescent="0.25">
      <c r="A427" s="63" t="s">
        <v>687</v>
      </c>
      <c r="B427" s="63" t="s">
        <v>688</v>
      </c>
      <c r="C427" s="36">
        <v>4301020385</v>
      </c>
      <c r="D427" s="615">
        <v>4680115880054</v>
      </c>
      <c r="E427" s="615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119</v>
      </c>
      <c r="L427" s="37" t="s">
        <v>45</v>
      </c>
      <c r="M427" s="38" t="s">
        <v>115</v>
      </c>
      <c r="N427" s="38"/>
      <c r="O427" s="37">
        <v>70</v>
      </c>
      <c r="P427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7" s="617"/>
      <c r="R427" s="617"/>
      <c r="S427" s="617"/>
      <c r="T427" s="618"/>
      <c r="U427" s="39" t="s">
        <v>45</v>
      </c>
      <c r="V427" s="39" t="s">
        <v>45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504" t="s">
        <v>684</v>
      </c>
      <c r="AG427" s="78"/>
      <c r="AJ427" s="84" t="s">
        <v>45</v>
      </c>
      <c r="AK427" s="84">
        <v>0</v>
      </c>
      <c r="BB427" s="50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623"/>
      <c r="B428" s="623"/>
      <c r="C428" s="623"/>
      <c r="D428" s="623"/>
      <c r="E428" s="623"/>
      <c r="F428" s="623"/>
      <c r="G428" s="623"/>
      <c r="H428" s="623"/>
      <c r="I428" s="623"/>
      <c r="J428" s="623"/>
      <c r="K428" s="623"/>
      <c r="L428" s="623"/>
      <c r="M428" s="623"/>
      <c r="N428" s="623"/>
      <c r="O428" s="624"/>
      <c r="P428" s="620" t="s">
        <v>40</v>
      </c>
      <c r="Q428" s="621"/>
      <c r="R428" s="621"/>
      <c r="S428" s="621"/>
      <c r="T428" s="621"/>
      <c r="U428" s="621"/>
      <c r="V428" s="62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x14ac:dyDescent="0.2">
      <c r="A429" s="623"/>
      <c r="B429" s="623"/>
      <c r="C429" s="623"/>
      <c r="D429" s="623"/>
      <c r="E429" s="623"/>
      <c r="F429" s="623"/>
      <c r="G429" s="623"/>
      <c r="H429" s="623"/>
      <c r="I429" s="623"/>
      <c r="J429" s="623"/>
      <c r="K429" s="623"/>
      <c r="L429" s="623"/>
      <c r="M429" s="623"/>
      <c r="N429" s="623"/>
      <c r="O429" s="624"/>
      <c r="P429" s="620" t="s">
        <v>40</v>
      </c>
      <c r="Q429" s="621"/>
      <c r="R429" s="621"/>
      <c r="S429" s="621"/>
      <c r="T429" s="621"/>
      <c r="U429" s="621"/>
      <c r="V429" s="62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14.25" customHeight="1" x14ac:dyDescent="0.25">
      <c r="A430" s="614" t="s">
        <v>76</v>
      </c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4"/>
      <c r="P430" s="614"/>
      <c r="Q430" s="614"/>
      <c r="R430" s="614"/>
      <c r="S430" s="614"/>
      <c r="T430" s="614"/>
      <c r="U430" s="614"/>
      <c r="V430" s="614"/>
      <c r="W430" s="614"/>
      <c r="X430" s="614"/>
      <c r="Y430" s="614"/>
      <c r="Z430" s="614"/>
      <c r="AA430" s="66"/>
      <c r="AB430" s="66"/>
      <c r="AC430" s="80"/>
    </row>
    <row r="431" spans="1:68" ht="27" customHeight="1" x14ac:dyDescent="0.25">
      <c r="A431" s="63" t="s">
        <v>689</v>
      </c>
      <c r="B431" s="63" t="s">
        <v>690</v>
      </c>
      <c r="C431" s="36">
        <v>4301031349</v>
      </c>
      <c r="D431" s="615">
        <v>4680115883116</v>
      </c>
      <c r="E431" s="61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116</v>
      </c>
      <c r="L431" s="37" t="s">
        <v>45</v>
      </c>
      <c r="M431" s="38" t="s">
        <v>115</v>
      </c>
      <c r="N431" s="38"/>
      <c r="O431" s="37">
        <v>70</v>
      </c>
      <c r="P431" s="8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31" s="617"/>
      <c r="R431" s="617"/>
      <c r="S431" s="617"/>
      <c r="T431" s="61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ref="Y431:Y436" si="53">IFERROR(IF(X431="",0,CEILING((X431/$H431),1)*$H431),"")</f>
        <v>0</v>
      </c>
      <c r="Z431" s="41" t="str">
        <f>IFERROR(IF(Y431=0,"",ROUNDUP(Y431/H431,0)*0.01196),"")</f>
        <v/>
      </c>
      <c r="AA431" s="68" t="s">
        <v>45</v>
      </c>
      <c r="AB431" s="69" t="s">
        <v>45</v>
      </c>
      <c r="AC431" s="506" t="s">
        <v>691</v>
      </c>
      <c r="AG431" s="78"/>
      <c r="AJ431" s="84" t="s">
        <v>45</v>
      </c>
      <c r="AK431" s="84">
        <v>0</v>
      </c>
      <c r="BB431" s="507" t="s">
        <v>66</v>
      </c>
      <c r="BM431" s="78">
        <f t="shared" ref="BM431:BM436" si="54">IFERROR(X431*I431/H431,"0")</f>
        <v>0</v>
      </c>
      <c r="BN431" s="78">
        <f t="shared" ref="BN431:BN436" si="55">IFERROR(Y431*I431/H431,"0")</f>
        <v>0</v>
      </c>
      <c r="BO431" s="78">
        <f t="shared" ref="BO431:BO436" si="56">IFERROR(1/J431*(X431/H431),"0")</f>
        <v>0</v>
      </c>
      <c r="BP431" s="78">
        <f t="shared" ref="BP431:BP436" si="57">IFERROR(1/J431*(Y431/H431),"0")</f>
        <v>0</v>
      </c>
    </row>
    <row r="432" spans="1:68" ht="27" customHeight="1" x14ac:dyDescent="0.25">
      <c r="A432" s="63" t="s">
        <v>692</v>
      </c>
      <c r="B432" s="63" t="s">
        <v>693</v>
      </c>
      <c r="C432" s="36">
        <v>4301031350</v>
      </c>
      <c r="D432" s="615">
        <v>4680115883093</v>
      </c>
      <c r="E432" s="61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116</v>
      </c>
      <c r="L432" s="37" t="s">
        <v>45</v>
      </c>
      <c r="M432" s="38" t="s">
        <v>80</v>
      </c>
      <c r="N432" s="38"/>
      <c r="O432" s="37">
        <v>70</v>
      </c>
      <c r="P432" s="8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32" s="617"/>
      <c r="R432" s="617"/>
      <c r="S432" s="617"/>
      <c r="T432" s="61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IFERROR(IF(Y432=0,"",ROUNDUP(Y432/H432,0)*0.01196),"")</f>
        <v/>
      </c>
      <c r="AA432" s="68" t="s">
        <v>45</v>
      </c>
      <c r="AB432" s="69" t="s">
        <v>45</v>
      </c>
      <c r="AC432" s="508" t="s">
        <v>694</v>
      </c>
      <c r="AG432" s="78"/>
      <c r="AJ432" s="84" t="s">
        <v>45</v>
      </c>
      <c r="AK432" s="84">
        <v>0</v>
      </c>
      <c r="BB432" s="509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27" customHeight="1" x14ac:dyDescent="0.25">
      <c r="A433" s="63" t="s">
        <v>695</v>
      </c>
      <c r="B433" s="63" t="s">
        <v>696</v>
      </c>
      <c r="C433" s="36">
        <v>4301031353</v>
      </c>
      <c r="D433" s="615">
        <v>4680115883109</v>
      </c>
      <c r="E433" s="61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116</v>
      </c>
      <c r="L433" s="37" t="s">
        <v>45</v>
      </c>
      <c r="M433" s="38" t="s">
        <v>80</v>
      </c>
      <c r="N433" s="38"/>
      <c r="O433" s="37">
        <v>70</v>
      </c>
      <c r="P433" s="8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33" s="617"/>
      <c r="R433" s="617"/>
      <c r="S433" s="617"/>
      <c r="T433" s="61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IFERROR(IF(Y433=0,"",ROUNDUP(Y433/H433,0)*0.01196),"")</f>
        <v/>
      </c>
      <c r="AA433" s="68" t="s">
        <v>45</v>
      </c>
      <c r="AB433" s="69" t="s">
        <v>45</v>
      </c>
      <c r="AC433" s="510" t="s">
        <v>697</v>
      </c>
      <c r="AG433" s="78"/>
      <c r="AJ433" s="84" t="s">
        <v>45</v>
      </c>
      <c r="AK433" s="84">
        <v>0</v>
      </c>
      <c r="BB433" s="511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698</v>
      </c>
      <c r="B434" s="63" t="s">
        <v>699</v>
      </c>
      <c r="C434" s="36">
        <v>4301031419</v>
      </c>
      <c r="D434" s="615">
        <v>4680115882072</v>
      </c>
      <c r="E434" s="615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119</v>
      </c>
      <c r="L434" s="37" t="s">
        <v>45</v>
      </c>
      <c r="M434" s="38" t="s">
        <v>115</v>
      </c>
      <c r="N434" s="38"/>
      <c r="O434" s="37">
        <v>70</v>
      </c>
      <c r="P434" s="8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34" s="617"/>
      <c r="R434" s="617"/>
      <c r="S434" s="617"/>
      <c r="T434" s="61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3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12" t="s">
        <v>691</v>
      </c>
      <c r="AG434" s="78"/>
      <c r="AJ434" s="84" t="s">
        <v>45</v>
      </c>
      <c r="AK434" s="84">
        <v>0</v>
      </c>
      <c r="BB434" s="513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700</v>
      </c>
      <c r="B435" s="63" t="s">
        <v>701</v>
      </c>
      <c r="C435" s="36">
        <v>4301031418</v>
      </c>
      <c r="D435" s="615">
        <v>4680115882102</v>
      </c>
      <c r="E435" s="615"/>
      <c r="F435" s="62">
        <v>0.6</v>
      </c>
      <c r="G435" s="37">
        <v>8</v>
      </c>
      <c r="H435" s="62">
        <v>4.8</v>
      </c>
      <c r="I435" s="62">
        <v>6.67</v>
      </c>
      <c r="J435" s="37">
        <v>132</v>
      </c>
      <c r="K435" s="37" t="s">
        <v>119</v>
      </c>
      <c r="L435" s="37" t="s">
        <v>45</v>
      </c>
      <c r="M435" s="38" t="s">
        <v>80</v>
      </c>
      <c r="N435" s="38"/>
      <c r="O435" s="37">
        <v>70</v>
      </c>
      <c r="P435" s="8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5" s="617"/>
      <c r="R435" s="617"/>
      <c r="S435" s="617"/>
      <c r="T435" s="61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3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14" t="s">
        <v>694</v>
      </c>
      <c r="AG435" s="78"/>
      <c r="AJ435" s="84" t="s">
        <v>45</v>
      </c>
      <c r="AK435" s="84">
        <v>0</v>
      </c>
      <c r="BB435" s="515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702</v>
      </c>
      <c r="B436" s="63" t="s">
        <v>703</v>
      </c>
      <c r="C436" s="36">
        <v>4301031417</v>
      </c>
      <c r="D436" s="615">
        <v>4680115882096</v>
      </c>
      <c r="E436" s="615"/>
      <c r="F436" s="62">
        <v>0.6</v>
      </c>
      <c r="G436" s="37">
        <v>8</v>
      </c>
      <c r="H436" s="62">
        <v>4.8</v>
      </c>
      <c r="I436" s="62">
        <v>6.67</v>
      </c>
      <c r="J436" s="37">
        <v>132</v>
      </c>
      <c r="K436" s="37" t="s">
        <v>119</v>
      </c>
      <c r="L436" s="37" t="s">
        <v>45</v>
      </c>
      <c r="M436" s="38" t="s">
        <v>80</v>
      </c>
      <c r="N436" s="38"/>
      <c r="O436" s="37">
        <v>70</v>
      </c>
      <c r="P436" s="83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6" s="617"/>
      <c r="R436" s="617"/>
      <c r="S436" s="617"/>
      <c r="T436" s="61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3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16" t="s">
        <v>697</v>
      </c>
      <c r="AG436" s="78"/>
      <c r="AJ436" s="84" t="s">
        <v>45</v>
      </c>
      <c r="AK436" s="84">
        <v>0</v>
      </c>
      <c r="BB436" s="517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x14ac:dyDescent="0.2">
      <c r="A437" s="623"/>
      <c r="B437" s="623"/>
      <c r="C437" s="623"/>
      <c r="D437" s="623"/>
      <c r="E437" s="623"/>
      <c r="F437" s="623"/>
      <c r="G437" s="623"/>
      <c r="H437" s="623"/>
      <c r="I437" s="623"/>
      <c r="J437" s="623"/>
      <c r="K437" s="623"/>
      <c r="L437" s="623"/>
      <c r="M437" s="623"/>
      <c r="N437" s="623"/>
      <c r="O437" s="624"/>
      <c r="P437" s="620" t="s">
        <v>40</v>
      </c>
      <c r="Q437" s="621"/>
      <c r="R437" s="621"/>
      <c r="S437" s="621"/>
      <c r="T437" s="621"/>
      <c r="U437" s="621"/>
      <c r="V437" s="622"/>
      <c r="W437" s="42" t="s">
        <v>39</v>
      </c>
      <c r="X437" s="43">
        <f>IFERROR(X431/H431,"0")+IFERROR(X432/H432,"0")+IFERROR(X433/H433,"0")+IFERROR(X434/H434,"0")+IFERROR(X435/H435,"0")+IFERROR(X436/H436,"0")</f>
        <v>0</v>
      </c>
      <c r="Y437" s="43">
        <f>IFERROR(Y431/H431,"0")+IFERROR(Y432/H432,"0")+IFERROR(Y433/H433,"0")+IFERROR(Y434/H434,"0")+IFERROR(Y435/H435,"0")+IFERROR(Y436/H436,"0")</f>
        <v>0</v>
      </c>
      <c r="Z437" s="43">
        <f>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3"/>
      <c r="B438" s="623"/>
      <c r="C438" s="623"/>
      <c r="D438" s="623"/>
      <c r="E438" s="623"/>
      <c r="F438" s="623"/>
      <c r="G438" s="623"/>
      <c r="H438" s="623"/>
      <c r="I438" s="623"/>
      <c r="J438" s="623"/>
      <c r="K438" s="623"/>
      <c r="L438" s="623"/>
      <c r="M438" s="623"/>
      <c r="N438" s="623"/>
      <c r="O438" s="624"/>
      <c r="P438" s="620" t="s">
        <v>40</v>
      </c>
      <c r="Q438" s="621"/>
      <c r="R438" s="621"/>
      <c r="S438" s="621"/>
      <c r="T438" s="621"/>
      <c r="U438" s="621"/>
      <c r="V438" s="622"/>
      <c r="W438" s="42" t="s">
        <v>0</v>
      </c>
      <c r="X438" s="43">
        <f>IFERROR(SUM(X431:X436),"0")</f>
        <v>0</v>
      </c>
      <c r="Y438" s="43">
        <f>IFERROR(SUM(Y431:Y436),"0")</f>
        <v>0</v>
      </c>
      <c r="Z438" s="42"/>
      <c r="AA438" s="67"/>
      <c r="AB438" s="67"/>
      <c r="AC438" s="67"/>
    </row>
    <row r="439" spans="1:68" ht="14.25" customHeight="1" x14ac:dyDescent="0.25">
      <c r="A439" s="614" t="s">
        <v>86</v>
      </c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4"/>
      <c r="P439" s="614"/>
      <c r="Q439" s="614"/>
      <c r="R439" s="614"/>
      <c r="S439" s="614"/>
      <c r="T439" s="614"/>
      <c r="U439" s="614"/>
      <c r="V439" s="614"/>
      <c r="W439" s="614"/>
      <c r="X439" s="614"/>
      <c r="Y439" s="614"/>
      <c r="Z439" s="614"/>
      <c r="AA439" s="66"/>
      <c r="AB439" s="66"/>
      <c r="AC439" s="80"/>
    </row>
    <row r="440" spans="1:68" ht="27" customHeight="1" x14ac:dyDescent="0.25">
      <c r="A440" s="63" t="s">
        <v>704</v>
      </c>
      <c r="B440" s="63" t="s">
        <v>705</v>
      </c>
      <c r="C440" s="36">
        <v>4301051064</v>
      </c>
      <c r="D440" s="615">
        <v>4680115883536</v>
      </c>
      <c r="E440" s="615"/>
      <c r="F440" s="62">
        <v>0.3</v>
      </c>
      <c r="G440" s="37">
        <v>6</v>
      </c>
      <c r="H440" s="62">
        <v>1.8</v>
      </c>
      <c r="I440" s="62">
        <v>2.0459999999999998</v>
      </c>
      <c r="J440" s="37">
        <v>182</v>
      </c>
      <c r="K440" s="37" t="s">
        <v>81</v>
      </c>
      <c r="L440" s="37" t="s">
        <v>45</v>
      </c>
      <c r="M440" s="38" t="s">
        <v>90</v>
      </c>
      <c r="N440" s="38"/>
      <c r="O440" s="37">
        <v>45</v>
      </c>
      <c r="P440" s="8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40" s="617"/>
      <c r="R440" s="617"/>
      <c r="S440" s="617"/>
      <c r="T440" s="618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45</v>
      </c>
      <c r="AB440" s="69" t="s">
        <v>45</v>
      </c>
      <c r="AC440" s="518" t="s">
        <v>706</v>
      </c>
      <c r="AG440" s="78"/>
      <c r="AJ440" s="84" t="s">
        <v>45</v>
      </c>
      <c r="AK440" s="84">
        <v>0</v>
      </c>
      <c r="BB440" s="519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23"/>
      <c r="B441" s="623"/>
      <c r="C441" s="623"/>
      <c r="D441" s="623"/>
      <c r="E441" s="623"/>
      <c r="F441" s="623"/>
      <c r="G441" s="623"/>
      <c r="H441" s="623"/>
      <c r="I441" s="623"/>
      <c r="J441" s="623"/>
      <c r="K441" s="623"/>
      <c r="L441" s="623"/>
      <c r="M441" s="623"/>
      <c r="N441" s="623"/>
      <c r="O441" s="624"/>
      <c r="P441" s="620" t="s">
        <v>40</v>
      </c>
      <c r="Q441" s="621"/>
      <c r="R441" s="621"/>
      <c r="S441" s="621"/>
      <c r="T441" s="621"/>
      <c r="U441" s="621"/>
      <c r="V441" s="622"/>
      <c r="W441" s="42" t="s">
        <v>39</v>
      </c>
      <c r="X441" s="43">
        <f>IFERROR(X440/H440,"0")</f>
        <v>0</v>
      </c>
      <c r="Y441" s="43">
        <f>IFERROR(Y440/H440,"0")</f>
        <v>0</v>
      </c>
      <c r="Z441" s="43">
        <f>IFERROR(IF(Z440="",0,Z440),"0")</f>
        <v>0</v>
      </c>
      <c r="AA441" s="67"/>
      <c r="AB441" s="67"/>
      <c r="AC441" s="67"/>
    </row>
    <row r="442" spans="1:68" x14ac:dyDescent="0.2">
      <c r="A442" s="623"/>
      <c r="B442" s="623"/>
      <c r="C442" s="623"/>
      <c r="D442" s="623"/>
      <c r="E442" s="623"/>
      <c r="F442" s="623"/>
      <c r="G442" s="623"/>
      <c r="H442" s="623"/>
      <c r="I442" s="623"/>
      <c r="J442" s="623"/>
      <c r="K442" s="623"/>
      <c r="L442" s="623"/>
      <c r="M442" s="623"/>
      <c r="N442" s="623"/>
      <c r="O442" s="624"/>
      <c r="P442" s="620" t="s">
        <v>40</v>
      </c>
      <c r="Q442" s="621"/>
      <c r="R442" s="621"/>
      <c r="S442" s="621"/>
      <c r="T442" s="621"/>
      <c r="U442" s="621"/>
      <c r="V442" s="622"/>
      <c r="W442" s="42" t="s">
        <v>0</v>
      </c>
      <c r="X442" s="43">
        <f>IFERROR(SUM(X440:X440),"0")</f>
        <v>0</v>
      </c>
      <c r="Y442" s="43">
        <f>IFERROR(SUM(Y440:Y440),"0")</f>
        <v>0</v>
      </c>
      <c r="Z442" s="42"/>
      <c r="AA442" s="67"/>
      <c r="AB442" s="67"/>
      <c r="AC442" s="67"/>
    </row>
    <row r="443" spans="1:68" ht="27.75" customHeight="1" x14ac:dyDescent="0.2">
      <c r="A443" s="612" t="s">
        <v>707</v>
      </c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2"/>
      <c r="P443" s="612"/>
      <c r="Q443" s="612"/>
      <c r="R443" s="612"/>
      <c r="S443" s="612"/>
      <c r="T443" s="612"/>
      <c r="U443" s="612"/>
      <c r="V443" s="612"/>
      <c r="W443" s="612"/>
      <c r="X443" s="612"/>
      <c r="Y443" s="612"/>
      <c r="Z443" s="612"/>
      <c r="AA443" s="54"/>
      <c r="AB443" s="54"/>
      <c r="AC443" s="54"/>
    </row>
    <row r="444" spans="1:68" ht="16.5" customHeight="1" x14ac:dyDescent="0.25">
      <c r="A444" s="613" t="s">
        <v>707</v>
      </c>
      <c r="B444" s="613"/>
      <c r="C444" s="613"/>
      <c r="D444" s="613"/>
      <c r="E444" s="613"/>
      <c r="F444" s="613"/>
      <c r="G444" s="613"/>
      <c r="H444" s="613"/>
      <c r="I444" s="613"/>
      <c r="J444" s="613"/>
      <c r="K444" s="613"/>
      <c r="L444" s="613"/>
      <c r="M444" s="613"/>
      <c r="N444" s="613"/>
      <c r="O444" s="613"/>
      <c r="P444" s="613"/>
      <c r="Q444" s="613"/>
      <c r="R444" s="613"/>
      <c r="S444" s="613"/>
      <c r="T444" s="613"/>
      <c r="U444" s="613"/>
      <c r="V444" s="613"/>
      <c r="W444" s="613"/>
      <c r="X444" s="613"/>
      <c r="Y444" s="613"/>
      <c r="Z444" s="613"/>
      <c r="AA444" s="65"/>
      <c r="AB444" s="65"/>
      <c r="AC444" s="79"/>
    </row>
    <row r="445" spans="1:68" ht="14.25" customHeight="1" x14ac:dyDescent="0.25">
      <c r="A445" s="614" t="s">
        <v>111</v>
      </c>
      <c r="B445" s="614"/>
      <c r="C445" s="614"/>
      <c r="D445" s="614"/>
      <c r="E445" s="614"/>
      <c r="F445" s="614"/>
      <c r="G445" s="614"/>
      <c r="H445" s="614"/>
      <c r="I445" s="614"/>
      <c r="J445" s="614"/>
      <c r="K445" s="614"/>
      <c r="L445" s="614"/>
      <c r="M445" s="614"/>
      <c r="N445" s="614"/>
      <c r="O445" s="614"/>
      <c r="P445" s="614"/>
      <c r="Q445" s="614"/>
      <c r="R445" s="614"/>
      <c r="S445" s="614"/>
      <c r="T445" s="614"/>
      <c r="U445" s="614"/>
      <c r="V445" s="614"/>
      <c r="W445" s="614"/>
      <c r="X445" s="614"/>
      <c r="Y445" s="614"/>
      <c r="Z445" s="614"/>
      <c r="AA445" s="66"/>
      <c r="AB445" s="66"/>
      <c r="AC445" s="80"/>
    </row>
    <row r="446" spans="1:68" ht="27" customHeight="1" x14ac:dyDescent="0.25">
      <c r="A446" s="63" t="s">
        <v>708</v>
      </c>
      <c r="B446" s="63" t="s">
        <v>709</v>
      </c>
      <c r="C446" s="36">
        <v>4301011763</v>
      </c>
      <c r="D446" s="615">
        <v>4640242181011</v>
      </c>
      <c r="E446" s="615"/>
      <c r="F446" s="62">
        <v>1.35</v>
      </c>
      <c r="G446" s="37">
        <v>8</v>
      </c>
      <c r="H446" s="62">
        <v>10.8</v>
      </c>
      <c r="I446" s="62">
        <v>11.21</v>
      </c>
      <c r="J446" s="37">
        <v>64</v>
      </c>
      <c r="K446" s="37" t="s">
        <v>116</v>
      </c>
      <c r="L446" s="37" t="s">
        <v>45</v>
      </c>
      <c r="M446" s="38" t="s">
        <v>90</v>
      </c>
      <c r="N446" s="38"/>
      <c r="O446" s="37">
        <v>55</v>
      </c>
      <c r="P446" s="8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6" s="617"/>
      <c r="R446" s="617"/>
      <c r="S446" s="617"/>
      <c r="T446" s="618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45</v>
      </c>
      <c r="AB446" s="69" t="s">
        <v>45</v>
      </c>
      <c r="AC446" s="520" t="s">
        <v>710</v>
      </c>
      <c r="AG446" s="78"/>
      <c r="AJ446" s="84" t="s">
        <v>45</v>
      </c>
      <c r="AK446" s="84">
        <v>0</v>
      </c>
      <c r="BB446" s="521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711</v>
      </c>
      <c r="B447" s="63" t="s">
        <v>712</v>
      </c>
      <c r="C447" s="36">
        <v>4301011585</v>
      </c>
      <c r="D447" s="615">
        <v>4640242180441</v>
      </c>
      <c r="E447" s="615"/>
      <c r="F447" s="62">
        <v>1.5</v>
      </c>
      <c r="G447" s="37">
        <v>8</v>
      </c>
      <c r="H447" s="62">
        <v>12</v>
      </c>
      <c r="I447" s="62">
        <v>12.41</v>
      </c>
      <c r="J447" s="37">
        <v>64</v>
      </c>
      <c r="K447" s="37" t="s">
        <v>116</v>
      </c>
      <c r="L447" s="37" t="s">
        <v>45</v>
      </c>
      <c r="M447" s="38" t="s">
        <v>115</v>
      </c>
      <c r="N447" s="38"/>
      <c r="O447" s="37">
        <v>50</v>
      </c>
      <c r="P447" s="84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7" s="617"/>
      <c r="R447" s="617"/>
      <c r="S447" s="617"/>
      <c r="T447" s="618"/>
      <c r="U447" s="39" t="s">
        <v>45</v>
      </c>
      <c r="V447" s="39" t="s">
        <v>45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45</v>
      </c>
      <c r="AB447" s="69" t="s">
        <v>45</v>
      </c>
      <c r="AC447" s="522" t="s">
        <v>713</v>
      </c>
      <c r="AG447" s="78"/>
      <c r="AJ447" s="84" t="s">
        <v>45</v>
      </c>
      <c r="AK447" s="84">
        <v>0</v>
      </c>
      <c r="BB447" s="523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customHeight="1" x14ac:dyDescent="0.25">
      <c r="A448" s="63" t="s">
        <v>714</v>
      </c>
      <c r="B448" s="63" t="s">
        <v>715</v>
      </c>
      <c r="C448" s="36">
        <v>4301011584</v>
      </c>
      <c r="D448" s="615">
        <v>4640242180564</v>
      </c>
      <c r="E448" s="615"/>
      <c r="F448" s="62">
        <v>1.5</v>
      </c>
      <c r="G448" s="37">
        <v>8</v>
      </c>
      <c r="H448" s="62">
        <v>12</v>
      </c>
      <c r="I448" s="62">
        <v>12.41</v>
      </c>
      <c r="J448" s="37">
        <v>64</v>
      </c>
      <c r="K448" s="37" t="s">
        <v>116</v>
      </c>
      <c r="L448" s="37" t="s">
        <v>45</v>
      </c>
      <c r="M448" s="38" t="s">
        <v>115</v>
      </c>
      <c r="N448" s="38"/>
      <c r="O448" s="37">
        <v>50</v>
      </c>
      <c r="P448" s="8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48" s="617"/>
      <c r="R448" s="617"/>
      <c r="S448" s="617"/>
      <c r="T448" s="618"/>
      <c r="U448" s="39" t="s">
        <v>45</v>
      </c>
      <c r="V448" s="39" t="s">
        <v>45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45</v>
      </c>
      <c r="AB448" s="69" t="s">
        <v>45</v>
      </c>
      <c r="AC448" s="524" t="s">
        <v>716</v>
      </c>
      <c r="AG448" s="78"/>
      <c r="AJ448" s="84" t="s">
        <v>45</v>
      </c>
      <c r="AK448" s="84">
        <v>0</v>
      </c>
      <c r="BB448" s="525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717</v>
      </c>
      <c r="B449" s="63" t="s">
        <v>718</v>
      </c>
      <c r="C449" s="36">
        <v>4301011764</v>
      </c>
      <c r="D449" s="615">
        <v>4640242181189</v>
      </c>
      <c r="E449" s="615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119</v>
      </c>
      <c r="L449" s="37" t="s">
        <v>45</v>
      </c>
      <c r="M449" s="38" t="s">
        <v>90</v>
      </c>
      <c r="N449" s="38"/>
      <c r="O449" s="37">
        <v>55</v>
      </c>
      <c r="P449" s="84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49" s="617"/>
      <c r="R449" s="617"/>
      <c r="S449" s="617"/>
      <c r="T449" s="618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6" t="s">
        <v>710</v>
      </c>
      <c r="AG449" s="78"/>
      <c r="AJ449" s="84" t="s">
        <v>45</v>
      </c>
      <c r="AK449" s="84">
        <v>0</v>
      </c>
      <c r="BB449" s="52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23"/>
      <c r="B450" s="623"/>
      <c r="C450" s="623"/>
      <c r="D450" s="623"/>
      <c r="E450" s="623"/>
      <c r="F450" s="623"/>
      <c r="G450" s="623"/>
      <c r="H450" s="623"/>
      <c r="I450" s="623"/>
      <c r="J450" s="623"/>
      <c r="K450" s="623"/>
      <c r="L450" s="623"/>
      <c r="M450" s="623"/>
      <c r="N450" s="623"/>
      <c r="O450" s="624"/>
      <c r="P450" s="620" t="s">
        <v>40</v>
      </c>
      <c r="Q450" s="621"/>
      <c r="R450" s="621"/>
      <c r="S450" s="621"/>
      <c r="T450" s="621"/>
      <c r="U450" s="621"/>
      <c r="V450" s="622"/>
      <c r="W450" s="42" t="s">
        <v>39</v>
      </c>
      <c r="X450" s="43">
        <f>IFERROR(X446/H446,"0")+IFERROR(X447/H447,"0")+IFERROR(X448/H448,"0")+IFERROR(X449/H449,"0")</f>
        <v>0</v>
      </c>
      <c r="Y450" s="43">
        <f>IFERROR(Y446/H446,"0")+IFERROR(Y447/H447,"0")+IFERROR(Y448/H448,"0")+IFERROR(Y449/H449,"0")</f>
        <v>0</v>
      </c>
      <c r="Z450" s="43">
        <f>IFERROR(IF(Z446="",0,Z446),"0")+IFERROR(IF(Z447="",0,Z447),"0")+IFERROR(IF(Z448="",0,Z448),"0")+IFERROR(IF(Z449="",0,Z449),"0")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623"/>
      <c r="B451" s="623"/>
      <c r="C451" s="623"/>
      <c r="D451" s="623"/>
      <c r="E451" s="623"/>
      <c r="F451" s="623"/>
      <c r="G451" s="623"/>
      <c r="H451" s="623"/>
      <c r="I451" s="623"/>
      <c r="J451" s="623"/>
      <c r="K451" s="623"/>
      <c r="L451" s="623"/>
      <c r="M451" s="623"/>
      <c r="N451" s="623"/>
      <c r="O451" s="624"/>
      <c r="P451" s="620" t="s">
        <v>40</v>
      </c>
      <c r="Q451" s="621"/>
      <c r="R451" s="621"/>
      <c r="S451" s="621"/>
      <c r="T451" s="621"/>
      <c r="U451" s="621"/>
      <c r="V451" s="622"/>
      <c r="W451" s="42" t="s">
        <v>0</v>
      </c>
      <c r="X451" s="43">
        <f>IFERROR(SUM(X446:X449),"0")</f>
        <v>0</v>
      </c>
      <c r="Y451" s="43">
        <f>IFERROR(SUM(Y446:Y449),"0")</f>
        <v>0</v>
      </c>
      <c r="Z451" s="42"/>
      <c r="AA451" s="67"/>
      <c r="AB451" s="67"/>
      <c r="AC451" s="67"/>
    </row>
    <row r="452" spans="1:68" ht="14.25" customHeight="1" x14ac:dyDescent="0.25">
      <c r="A452" s="614" t="s">
        <v>144</v>
      </c>
      <c r="B452" s="614"/>
      <c r="C452" s="614"/>
      <c r="D452" s="614"/>
      <c r="E452" s="614"/>
      <c r="F452" s="614"/>
      <c r="G452" s="614"/>
      <c r="H452" s="614"/>
      <c r="I452" s="614"/>
      <c r="J452" s="614"/>
      <c r="K452" s="614"/>
      <c r="L452" s="614"/>
      <c r="M452" s="614"/>
      <c r="N452" s="614"/>
      <c r="O452" s="614"/>
      <c r="P452" s="614"/>
      <c r="Q452" s="614"/>
      <c r="R452" s="614"/>
      <c r="S452" s="614"/>
      <c r="T452" s="614"/>
      <c r="U452" s="614"/>
      <c r="V452" s="614"/>
      <c r="W452" s="614"/>
      <c r="X452" s="614"/>
      <c r="Y452" s="614"/>
      <c r="Z452" s="614"/>
      <c r="AA452" s="66"/>
      <c r="AB452" s="66"/>
      <c r="AC452" s="80"/>
    </row>
    <row r="453" spans="1:68" ht="27" customHeight="1" x14ac:dyDescent="0.25">
      <c r="A453" s="63" t="s">
        <v>719</v>
      </c>
      <c r="B453" s="63" t="s">
        <v>720</v>
      </c>
      <c r="C453" s="36">
        <v>4301020400</v>
      </c>
      <c r="D453" s="615">
        <v>4640242180519</v>
      </c>
      <c r="E453" s="615"/>
      <c r="F453" s="62">
        <v>1.5</v>
      </c>
      <c r="G453" s="37">
        <v>8</v>
      </c>
      <c r="H453" s="62">
        <v>12</v>
      </c>
      <c r="I453" s="62">
        <v>12.41</v>
      </c>
      <c r="J453" s="37">
        <v>64</v>
      </c>
      <c r="K453" s="37" t="s">
        <v>116</v>
      </c>
      <c r="L453" s="37" t="s">
        <v>45</v>
      </c>
      <c r="M453" s="38" t="s">
        <v>115</v>
      </c>
      <c r="N453" s="38"/>
      <c r="O453" s="37">
        <v>50</v>
      </c>
      <c r="P453" s="8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3" s="617"/>
      <c r="R453" s="617"/>
      <c r="S453" s="617"/>
      <c r="T453" s="618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45</v>
      </c>
      <c r="AB453" s="69" t="s">
        <v>45</v>
      </c>
      <c r="AC453" s="528" t="s">
        <v>721</v>
      </c>
      <c r="AG453" s="78"/>
      <c r="AJ453" s="84" t="s">
        <v>45</v>
      </c>
      <c r="AK453" s="84">
        <v>0</v>
      </c>
      <c r="BB453" s="529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722</v>
      </c>
      <c r="B454" s="63" t="s">
        <v>723</v>
      </c>
      <c r="C454" s="36">
        <v>4301020260</v>
      </c>
      <c r="D454" s="615">
        <v>4640242180526</v>
      </c>
      <c r="E454" s="615"/>
      <c r="F454" s="62">
        <v>1.8</v>
      </c>
      <c r="G454" s="37">
        <v>6</v>
      </c>
      <c r="H454" s="62">
        <v>10.8</v>
      </c>
      <c r="I454" s="62">
        <v>11.21</v>
      </c>
      <c r="J454" s="37">
        <v>64</v>
      </c>
      <c r="K454" s="37" t="s">
        <v>116</v>
      </c>
      <c r="L454" s="37" t="s">
        <v>45</v>
      </c>
      <c r="M454" s="38" t="s">
        <v>115</v>
      </c>
      <c r="N454" s="38"/>
      <c r="O454" s="37">
        <v>50</v>
      </c>
      <c r="P454" s="84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4" s="617"/>
      <c r="R454" s="617"/>
      <c r="S454" s="617"/>
      <c r="T454" s="618"/>
      <c r="U454" s="39" t="s">
        <v>45</v>
      </c>
      <c r="V454" s="39" t="s">
        <v>45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45</v>
      </c>
      <c r="AB454" s="69" t="s">
        <v>45</v>
      </c>
      <c r="AC454" s="530" t="s">
        <v>724</v>
      </c>
      <c r="AG454" s="78"/>
      <c r="AJ454" s="84" t="s">
        <v>45</v>
      </c>
      <c r="AK454" s="84">
        <v>0</v>
      </c>
      <c r="BB454" s="531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23"/>
      <c r="B455" s="623"/>
      <c r="C455" s="623"/>
      <c r="D455" s="623"/>
      <c r="E455" s="623"/>
      <c r="F455" s="623"/>
      <c r="G455" s="623"/>
      <c r="H455" s="623"/>
      <c r="I455" s="623"/>
      <c r="J455" s="623"/>
      <c r="K455" s="623"/>
      <c r="L455" s="623"/>
      <c r="M455" s="623"/>
      <c r="N455" s="623"/>
      <c r="O455" s="624"/>
      <c r="P455" s="620" t="s">
        <v>40</v>
      </c>
      <c r="Q455" s="621"/>
      <c r="R455" s="621"/>
      <c r="S455" s="621"/>
      <c r="T455" s="621"/>
      <c r="U455" s="621"/>
      <c r="V455" s="622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623"/>
      <c r="B456" s="623"/>
      <c r="C456" s="623"/>
      <c r="D456" s="623"/>
      <c r="E456" s="623"/>
      <c r="F456" s="623"/>
      <c r="G456" s="623"/>
      <c r="H456" s="623"/>
      <c r="I456" s="623"/>
      <c r="J456" s="623"/>
      <c r="K456" s="623"/>
      <c r="L456" s="623"/>
      <c r="M456" s="623"/>
      <c r="N456" s="623"/>
      <c r="O456" s="624"/>
      <c r="P456" s="620" t="s">
        <v>40</v>
      </c>
      <c r="Q456" s="621"/>
      <c r="R456" s="621"/>
      <c r="S456" s="621"/>
      <c r="T456" s="621"/>
      <c r="U456" s="621"/>
      <c r="V456" s="622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customHeight="1" x14ac:dyDescent="0.25">
      <c r="A457" s="614" t="s">
        <v>76</v>
      </c>
      <c r="B457" s="614"/>
      <c r="C457" s="614"/>
      <c r="D457" s="614"/>
      <c r="E457" s="614"/>
      <c r="F457" s="614"/>
      <c r="G457" s="614"/>
      <c r="H457" s="614"/>
      <c r="I457" s="614"/>
      <c r="J457" s="614"/>
      <c r="K457" s="614"/>
      <c r="L457" s="614"/>
      <c r="M457" s="614"/>
      <c r="N457" s="614"/>
      <c r="O457" s="614"/>
      <c r="P457" s="614"/>
      <c r="Q457" s="614"/>
      <c r="R457" s="614"/>
      <c r="S457" s="614"/>
      <c r="T457" s="614"/>
      <c r="U457" s="614"/>
      <c r="V457" s="614"/>
      <c r="W457" s="614"/>
      <c r="X457" s="614"/>
      <c r="Y457" s="614"/>
      <c r="Z457" s="614"/>
      <c r="AA457" s="66"/>
      <c r="AB457" s="66"/>
      <c r="AC457" s="80"/>
    </row>
    <row r="458" spans="1:68" ht="27" customHeight="1" x14ac:dyDescent="0.25">
      <c r="A458" s="63" t="s">
        <v>725</v>
      </c>
      <c r="B458" s="63" t="s">
        <v>726</v>
      </c>
      <c r="C458" s="36">
        <v>4301031280</v>
      </c>
      <c r="D458" s="615">
        <v>4640242180816</v>
      </c>
      <c r="E458" s="615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119</v>
      </c>
      <c r="L458" s="37" t="s">
        <v>45</v>
      </c>
      <c r="M458" s="38" t="s">
        <v>80</v>
      </c>
      <c r="N458" s="38"/>
      <c r="O458" s="37">
        <v>40</v>
      </c>
      <c r="P458" s="84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58" s="617"/>
      <c r="R458" s="617"/>
      <c r="S458" s="617"/>
      <c r="T458" s="61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45</v>
      </c>
      <c r="AB458" s="69" t="s">
        <v>45</v>
      </c>
      <c r="AC458" s="532" t="s">
        <v>727</v>
      </c>
      <c r="AG458" s="78"/>
      <c r="AJ458" s="84" t="s">
        <v>45</v>
      </c>
      <c r="AK458" s="84">
        <v>0</v>
      </c>
      <c r="BB458" s="533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728</v>
      </c>
      <c r="B459" s="63" t="s">
        <v>729</v>
      </c>
      <c r="C459" s="36">
        <v>4301031244</v>
      </c>
      <c r="D459" s="615">
        <v>4640242180595</v>
      </c>
      <c r="E459" s="615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119</v>
      </c>
      <c r="L459" s="37" t="s">
        <v>45</v>
      </c>
      <c r="M459" s="38" t="s">
        <v>80</v>
      </c>
      <c r="N459" s="38"/>
      <c r="O459" s="37">
        <v>40</v>
      </c>
      <c r="P459" s="84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59" s="617"/>
      <c r="R459" s="617"/>
      <c r="S459" s="617"/>
      <c r="T459" s="61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45</v>
      </c>
      <c r="AB459" s="69" t="s">
        <v>45</v>
      </c>
      <c r="AC459" s="534" t="s">
        <v>730</v>
      </c>
      <c r="AG459" s="78"/>
      <c r="AJ459" s="84" t="s">
        <v>45</v>
      </c>
      <c r="AK459" s="84">
        <v>0</v>
      </c>
      <c r="BB459" s="535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23"/>
      <c r="B460" s="623"/>
      <c r="C460" s="623"/>
      <c r="D460" s="623"/>
      <c r="E460" s="623"/>
      <c r="F460" s="623"/>
      <c r="G460" s="623"/>
      <c r="H460" s="623"/>
      <c r="I460" s="623"/>
      <c r="J460" s="623"/>
      <c r="K460" s="623"/>
      <c r="L460" s="623"/>
      <c r="M460" s="623"/>
      <c r="N460" s="623"/>
      <c r="O460" s="624"/>
      <c r="P460" s="620" t="s">
        <v>40</v>
      </c>
      <c r="Q460" s="621"/>
      <c r="R460" s="621"/>
      <c r="S460" s="621"/>
      <c r="T460" s="621"/>
      <c r="U460" s="621"/>
      <c r="V460" s="622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x14ac:dyDescent="0.2">
      <c r="A461" s="623"/>
      <c r="B461" s="623"/>
      <c r="C461" s="623"/>
      <c r="D461" s="623"/>
      <c r="E461" s="623"/>
      <c r="F461" s="623"/>
      <c r="G461" s="623"/>
      <c r="H461" s="623"/>
      <c r="I461" s="623"/>
      <c r="J461" s="623"/>
      <c r="K461" s="623"/>
      <c r="L461" s="623"/>
      <c r="M461" s="623"/>
      <c r="N461" s="623"/>
      <c r="O461" s="624"/>
      <c r="P461" s="620" t="s">
        <v>40</v>
      </c>
      <c r="Q461" s="621"/>
      <c r="R461" s="621"/>
      <c r="S461" s="621"/>
      <c r="T461" s="621"/>
      <c r="U461" s="621"/>
      <c r="V461" s="622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customHeight="1" x14ac:dyDescent="0.25">
      <c r="A462" s="614" t="s">
        <v>86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66"/>
      <c r="AB462" s="66"/>
      <c r="AC462" s="80"/>
    </row>
    <row r="463" spans="1:68" ht="27" customHeight="1" x14ac:dyDescent="0.25">
      <c r="A463" s="63" t="s">
        <v>731</v>
      </c>
      <c r="B463" s="63" t="s">
        <v>732</v>
      </c>
      <c r="C463" s="36">
        <v>4301052046</v>
      </c>
      <c r="D463" s="615">
        <v>4640242180533</v>
      </c>
      <c r="E463" s="6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116</v>
      </c>
      <c r="L463" s="37" t="s">
        <v>45</v>
      </c>
      <c r="M463" s="38" t="s">
        <v>97</v>
      </c>
      <c r="N463" s="38"/>
      <c r="O463" s="37">
        <v>45</v>
      </c>
      <c r="P463" s="8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3" s="617"/>
      <c r="R463" s="617"/>
      <c r="S463" s="617"/>
      <c r="T463" s="61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6" t="s">
        <v>733</v>
      </c>
      <c r="AG463" s="78"/>
      <c r="AJ463" s="84" t="s">
        <v>45</v>
      </c>
      <c r="AK463" s="84">
        <v>0</v>
      </c>
      <c r="BB463" s="537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23"/>
      <c r="B464" s="623"/>
      <c r="C464" s="623"/>
      <c r="D464" s="623"/>
      <c r="E464" s="623"/>
      <c r="F464" s="623"/>
      <c r="G464" s="623"/>
      <c r="H464" s="623"/>
      <c r="I464" s="623"/>
      <c r="J464" s="623"/>
      <c r="K464" s="623"/>
      <c r="L464" s="623"/>
      <c r="M464" s="623"/>
      <c r="N464" s="623"/>
      <c r="O464" s="624"/>
      <c r="P464" s="620" t="s">
        <v>40</v>
      </c>
      <c r="Q464" s="621"/>
      <c r="R464" s="621"/>
      <c r="S464" s="621"/>
      <c r="T464" s="621"/>
      <c r="U464" s="621"/>
      <c r="V464" s="622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23"/>
      <c r="B465" s="623"/>
      <c r="C465" s="623"/>
      <c r="D465" s="623"/>
      <c r="E465" s="623"/>
      <c r="F465" s="623"/>
      <c r="G465" s="623"/>
      <c r="H465" s="623"/>
      <c r="I465" s="623"/>
      <c r="J465" s="623"/>
      <c r="K465" s="623"/>
      <c r="L465" s="623"/>
      <c r="M465" s="623"/>
      <c r="N465" s="623"/>
      <c r="O465" s="624"/>
      <c r="P465" s="620" t="s">
        <v>40</v>
      </c>
      <c r="Q465" s="621"/>
      <c r="R465" s="621"/>
      <c r="S465" s="621"/>
      <c r="T465" s="621"/>
      <c r="U465" s="621"/>
      <c r="V465" s="622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14" t="s">
        <v>172</v>
      </c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4"/>
      <c r="P466" s="614"/>
      <c r="Q466" s="614"/>
      <c r="R466" s="614"/>
      <c r="S466" s="614"/>
      <c r="T466" s="614"/>
      <c r="U466" s="614"/>
      <c r="V466" s="614"/>
      <c r="W466" s="614"/>
      <c r="X466" s="614"/>
      <c r="Y466" s="614"/>
      <c r="Z466" s="614"/>
      <c r="AA466" s="66"/>
      <c r="AB466" s="66"/>
      <c r="AC466" s="80"/>
    </row>
    <row r="467" spans="1:68" ht="27" customHeight="1" x14ac:dyDescent="0.25">
      <c r="A467" s="63" t="s">
        <v>734</v>
      </c>
      <c r="B467" s="63" t="s">
        <v>735</v>
      </c>
      <c r="C467" s="36">
        <v>4301060491</v>
      </c>
      <c r="D467" s="615">
        <v>4640242180120</v>
      </c>
      <c r="E467" s="615"/>
      <c r="F467" s="62">
        <v>1.5</v>
      </c>
      <c r="G467" s="37">
        <v>6</v>
      </c>
      <c r="H467" s="62">
        <v>9</v>
      </c>
      <c r="I467" s="62">
        <v>9.41</v>
      </c>
      <c r="J467" s="37">
        <v>64</v>
      </c>
      <c r="K467" s="37" t="s">
        <v>116</v>
      </c>
      <c r="L467" s="37" t="s">
        <v>45</v>
      </c>
      <c r="M467" s="38" t="s">
        <v>90</v>
      </c>
      <c r="N467" s="38"/>
      <c r="O467" s="37">
        <v>40</v>
      </c>
      <c r="P467" s="8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7" s="617"/>
      <c r="R467" s="617"/>
      <c r="S467" s="617"/>
      <c r="T467" s="61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8" t="s">
        <v>736</v>
      </c>
      <c r="AG467" s="78"/>
      <c r="AJ467" s="84" t="s">
        <v>45</v>
      </c>
      <c r="AK467" s="84">
        <v>0</v>
      </c>
      <c r="BB467" s="539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737</v>
      </c>
      <c r="B468" s="63" t="s">
        <v>738</v>
      </c>
      <c r="C468" s="36">
        <v>4301060493</v>
      </c>
      <c r="D468" s="615">
        <v>4640242180137</v>
      </c>
      <c r="E468" s="615"/>
      <c r="F468" s="62">
        <v>1.5</v>
      </c>
      <c r="G468" s="37">
        <v>6</v>
      </c>
      <c r="H468" s="62">
        <v>9</v>
      </c>
      <c r="I468" s="62">
        <v>9.41</v>
      </c>
      <c r="J468" s="37">
        <v>64</v>
      </c>
      <c r="K468" s="37" t="s">
        <v>116</v>
      </c>
      <c r="L468" s="37" t="s">
        <v>45</v>
      </c>
      <c r="M468" s="38" t="s">
        <v>90</v>
      </c>
      <c r="N468" s="38"/>
      <c r="O468" s="37">
        <v>40</v>
      </c>
      <c r="P468" s="85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8" s="617"/>
      <c r="R468" s="617"/>
      <c r="S468" s="617"/>
      <c r="T468" s="618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0" t="s">
        <v>739</v>
      </c>
      <c r="AG468" s="78"/>
      <c r="AJ468" s="84" t="s">
        <v>45</v>
      </c>
      <c r="AK468" s="84">
        <v>0</v>
      </c>
      <c r="BB468" s="54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23"/>
      <c r="B469" s="623"/>
      <c r="C469" s="623"/>
      <c r="D469" s="623"/>
      <c r="E469" s="623"/>
      <c r="F469" s="623"/>
      <c r="G469" s="623"/>
      <c r="H469" s="623"/>
      <c r="I469" s="623"/>
      <c r="J469" s="623"/>
      <c r="K469" s="623"/>
      <c r="L469" s="623"/>
      <c r="M469" s="623"/>
      <c r="N469" s="623"/>
      <c r="O469" s="624"/>
      <c r="P469" s="620" t="s">
        <v>40</v>
      </c>
      <c r="Q469" s="621"/>
      <c r="R469" s="621"/>
      <c r="S469" s="621"/>
      <c r="T469" s="621"/>
      <c r="U469" s="621"/>
      <c r="V469" s="622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23"/>
      <c r="B470" s="623"/>
      <c r="C470" s="623"/>
      <c r="D470" s="623"/>
      <c r="E470" s="623"/>
      <c r="F470" s="623"/>
      <c r="G470" s="623"/>
      <c r="H470" s="623"/>
      <c r="I470" s="623"/>
      <c r="J470" s="623"/>
      <c r="K470" s="623"/>
      <c r="L470" s="623"/>
      <c r="M470" s="623"/>
      <c r="N470" s="623"/>
      <c r="O470" s="624"/>
      <c r="P470" s="620" t="s">
        <v>40</v>
      </c>
      <c r="Q470" s="621"/>
      <c r="R470" s="621"/>
      <c r="S470" s="621"/>
      <c r="T470" s="621"/>
      <c r="U470" s="621"/>
      <c r="V470" s="622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6.5" customHeight="1" x14ac:dyDescent="0.25">
      <c r="A471" s="613" t="s">
        <v>740</v>
      </c>
      <c r="B471" s="613"/>
      <c r="C471" s="613"/>
      <c r="D471" s="613"/>
      <c r="E471" s="613"/>
      <c r="F471" s="613"/>
      <c r="G471" s="613"/>
      <c r="H471" s="613"/>
      <c r="I471" s="613"/>
      <c r="J471" s="613"/>
      <c r="K471" s="613"/>
      <c r="L471" s="613"/>
      <c r="M471" s="613"/>
      <c r="N471" s="613"/>
      <c r="O471" s="613"/>
      <c r="P471" s="613"/>
      <c r="Q471" s="613"/>
      <c r="R471" s="613"/>
      <c r="S471" s="613"/>
      <c r="T471" s="613"/>
      <c r="U471" s="613"/>
      <c r="V471" s="613"/>
      <c r="W471" s="613"/>
      <c r="X471" s="613"/>
      <c r="Y471" s="613"/>
      <c r="Z471" s="613"/>
      <c r="AA471" s="65"/>
      <c r="AB471" s="65"/>
      <c r="AC471" s="79"/>
    </row>
    <row r="472" spans="1:68" ht="14.25" customHeight="1" x14ac:dyDescent="0.25">
      <c r="A472" s="614" t="s">
        <v>144</v>
      </c>
      <c r="B472" s="614"/>
      <c r="C472" s="614"/>
      <c r="D472" s="614"/>
      <c r="E472" s="614"/>
      <c r="F472" s="614"/>
      <c r="G472" s="614"/>
      <c r="H472" s="614"/>
      <c r="I472" s="614"/>
      <c r="J472" s="614"/>
      <c r="K472" s="614"/>
      <c r="L472" s="614"/>
      <c r="M472" s="614"/>
      <c r="N472" s="614"/>
      <c r="O472" s="614"/>
      <c r="P472" s="614"/>
      <c r="Q472" s="614"/>
      <c r="R472" s="614"/>
      <c r="S472" s="614"/>
      <c r="T472" s="614"/>
      <c r="U472" s="614"/>
      <c r="V472" s="614"/>
      <c r="W472" s="614"/>
      <c r="X472" s="614"/>
      <c r="Y472" s="614"/>
      <c r="Z472" s="614"/>
      <c r="AA472" s="66"/>
      <c r="AB472" s="66"/>
      <c r="AC472" s="80"/>
    </row>
    <row r="473" spans="1:68" ht="27" customHeight="1" x14ac:dyDescent="0.25">
      <c r="A473" s="63" t="s">
        <v>741</v>
      </c>
      <c r="B473" s="63" t="s">
        <v>742</v>
      </c>
      <c r="C473" s="36">
        <v>4301020314</v>
      </c>
      <c r="D473" s="615">
        <v>4640242180090</v>
      </c>
      <c r="E473" s="615"/>
      <c r="F473" s="62">
        <v>1.5</v>
      </c>
      <c r="G473" s="37">
        <v>8</v>
      </c>
      <c r="H473" s="62">
        <v>12</v>
      </c>
      <c r="I473" s="62">
        <v>12.41</v>
      </c>
      <c r="J473" s="37">
        <v>64</v>
      </c>
      <c r="K473" s="37" t="s">
        <v>116</v>
      </c>
      <c r="L473" s="37" t="s">
        <v>45</v>
      </c>
      <c r="M473" s="38" t="s">
        <v>115</v>
      </c>
      <c r="N473" s="38"/>
      <c r="O473" s="37">
        <v>50</v>
      </c>
      <c r="P473" s="85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3" s="617"/>
      <c r="R473" s="617"/>
      <c r="S473" s="617"/>
      <c r="T473" s="618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743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3"/>
      <c r="B475" s="623"/>
      <c r="C475" s="623"/>
      <c r="D475" s="623"/>
      <c r="E475" s="623"/>
      <c r="F475" s="623"/>
      <c r="G475" s="623"/>
      <c r="H475" s="623"/>
      <c r="I475" s="623"/>
      <c r="J475" s="623"/>
      <c r="K475" s="623"/>
      <c r="L475" s="623"/>
      <c r="M475" s="623"/>
      <c r="N475" s="623"/>
      <c r="O475" s="624"/>
      <c r="P475" s="620" t="s">
        <v>40</v>
      </c>
      <c r="Q475" s="621"/>
      <c r="R475" s="621"/>
      <c r="S475" s="621"/>
      <c r="T475" s="621"/>
      <c r="U475" s="621"/>
      <c r="V475" s="622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5" customHeight="1" x14ac:dyDescent="0.2">
      <c r="A476" s="623"/>
      <c r="B476" s="623"/>
      <c r="C476" s="623"/>
      <c r="D476" s="623"/>
      <c r="E476" s="623"/>
      <c r="F476" s="623"/>
      <c r="G476" s="623"/>
      <c r="H476" s="623"/>
      <c r="I476" s="623"/>
      <c r="J476" s="623"/>
      <c r="K476" s="623"/>
      <c r="L476" s="623"/>
      <c r="M476" s="623"/>
      <c r="N476" s="623"/>
      <c r="O476" s="855"/>
      <c r="P476" s="852" t="s">
        <v>33</v>
      </c>
      <c r="Q476" s="853"/>
      <c r="R476" s="853"/>
      <c r="S476" s="853"/>
      <c r="T476" s="853"/>
      <c r="U476" s="853"/>
      <c r="V476" s="854"/>
      <c r="W476" s="42" t="s">
        <v>0</v>
      </c>
      <c r="X476" s="43">
        <f>IFERROR(X25+X33+X37+X45+X49+X59+X65+X71+X78+X83+X91+X98+X107+X114+X121+X125+X131+X137+X141+X147+X162+X168+X172+X178+X183+X194+X206+X211+X224+X228+X232+X240+X249+X257+X264+X270+X275+X285+X294+X301+X307+X314+X320+X327+X339+X344+X349+X353+X359+X364+X370+X384+X389+X394+X401+X406+X423+X429+X438+X442+X451+X456+X461+X465+X470+X475,"0")</f>
        <v>0</v>
      </c>
      <c r="Y476" s="43">
        <f>IFERROR(Y25+Y33+Y37+Y45+Y49+Y59+Y65+Y71+Y78+Y83+Y91+Y98+Y107+Y114+Y121+Y125+Y131+Y137+Y141+Y147+Y162+Y168+Y172+Y178+Y183+Y194+Y206+Y211+Y224+Y228+Y232+Y240+Y249+Y257+Y264+Y270+Y275+Y285+Y294+Y301+Y307+Y314+Y320+Y327+Y339+Y344+Y349+Y353+Y359+Y364+Y370+Y384+Y389+Y394+Y401+Y406+Y423+Y429+Y438+Y442+Y451+Y456+Y461+Y465+Y470+Y475,"0")</f>
        <v>0</v>
      </c>
      <c r="Z476" s="42"/>
      <c r="AA476" s="67"/>
      <c r="AB476" s="67"/>
      <c r="AC476" s="67"/>
    </row>
    <row r="477" spans="1:68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855"/>
      <c r="P477" s="852" t="s">
        <v>34</v>
      </c>
      <c r="Q477" s="853"/>
      <c r="R477" s="853"/>
      <c r="S477" s="853"/>
      <c r="T477" s="853"/>
      <c r="U477" s="853"/>
      <c r="V477" s="854"/>
      <c r="W477" s="42" t="s">
        <v>0</v>
      </c>
      <c r="X477" s="43">
        <f>IFERROR(SUM(BM22:BM473),"0")</f>
        <v>0</v>
      </c>
      <c r="Y477" s="43">
        <f>IFERROR(SUM(BN22:BN473),"0")</f>
        <v>0</v>
      </c>
      <c r="Z477" s="42"/>
      <c r="AA477" s="67"/>
      <c r="AB477" s="67"/>
      <c r="AC477" s="67"/>
    </row>
    <row r="478" spans="1:68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855"/>
      <c r="P478" s="852" t="s">
        <v>35</v>
      </c>
      <c r="Q478" s="853"/>
      <c r="R478" s="853"/>
      <c r="S478" s="853"/>
      <c r="T478" s="853"/>
      <c r="U478" s="853"/>
      <c r="V478" s="854"/>
      <c r="W478" s="42" t="s">
        <v>20</v>
      </c>
      <c r="X478" s="44">
        <f>ROUNDUP(SUM(BO22:BO473),0)</f>
        <v>0</v>
      </c>
      <c r="Y478" s="44">
        <f>ROUNDUP(SUM(BP22:BP473),0)</f>
        <v>0</v>
      </c>
      <c r="Z478" s="42"/>
      <c r="AA478" s="67"/>
      <c r="AB478" s="67"/>
      <c r="AC478" s="67"/>
    </row>
    <row r="479" spans="1:68" x14ac:dyDescent="0.2">
      <c r="A479" s="623"/>
      <c r="B479" s="623"/>
      <c r="C479" s="623"/>
      <c r="D479" s="623"/>
      <c r="E479" s="623"/>
      <c r="F479" s="623"/>
      <c r="G479" s="623"/>
      <c r="H479" s="623"/>
      <c r="I479" s="623"/>
      <c r="J479" s="623"/>
      <c r="K479" s="623"/>
      <c r="L479" s="623"/>
      <c r="M479" s="623"/>
      <c r="N479" s="623"/>
      <c r="O479" s="855"/>
      <c r="P479" s="852" t="s">
        <v>36</v>
      </c>
      <c r="Q479" s="853"/>
      <c r="R479" s="853"/>
      <c r="S479" s="853"/>
      <c r="T479" s="853"/>
      <c r="U479" s="853"/>
      <c r="V479" s="854"/>
      <c r="W479" s="42" t="s">
        <v>0</v>
      </c>
      <c r="X479" s="43">
        <f>GrossWeightTotal+PalletQtyTotal*25</f>
        <v>0</v>
      </c>
      <c r="Y479" s="43">
        <f>GrossWeightTotalR+PalletQtyTotalR*25</f>
        <v>0</v>
      </c>
      <c r="Z479" s="42"/>
      <c r="AA479" s="67"/>
      <c r="AB479" s="67"/>
      <c r="AC479" s="67"/>
    </row>
    <row r="480" spans="1:68" x14ac:dyDescent="0.2">
      <c r="A480" s="623"/>
      <c r="B480" s="623"/>
      <c r="C480" s="623"/>
      <c r="D480" s="623"/>
      <c r="E480" s="623"/>
      <c r="F480" s="623"/>
      <c r="G480" s="623"/>
      <c r="H480" s="623"/>
      <c r="I480" s="623"/>
      <c r="J480" s="623"/>
      <c r="K480" s="623"/>
      <c r="L480" s="623"/>
      <c r="M480" s="623"/>
      <c r="N480" s="623"/>
      <c r="O480" s="855"/>
      <c r="P480" s="852" t="s">
        <v>37</v>
      </c>
      <c r="Q480" s="853"/>
      <c r="R480" s="853"/>
      <c r="S480" s="853"/>
      <c r="T480" s="853"/>
      <c r="U480" s="853"/>
      <c r="V480" s="854"/>
      <c r="W480" s="42" t="s">
        <v>20</v>
      </c>
      <c r="X480" s="43">
        <f>IFERROR(X24+X32+X36+X44+X48+X58+X64+X70+X77+X82+X90+X97+X106+X113+X120+X124+X130+X136+X140+X146+X161+X167+X171+X177+X182+X193+X205+X210+X223+X227+X231+X239+X248+X256+X263+X269+X274+X284+X293+X300+X306+X313+X319+X326+X338+X343+X348+X352+X358+X363+X369+X383+X388+X393+X400+X405+X422+X428+X437+X441+X450+X455+X460+X464+X469+X474,"0")</f>
        <v>0</v>
      </c>
      <c r="Y480" s="43">
        <f>IFERROR(Y24+Y32+Y36+Y44+Y48+Y58+Y64+Y70+Y77+Y82+Y90+Y97+Y106+Y113+Y120+Y124+Y130+Y136+Y140+Y146+Y161+Y167+Y171+Y177+Y182+Y193+Y205+Y210+Y223+Y227+Y231+Y239+Y248+Y256+Y263+Y269+Y274+Y284+Y293+Y300+Y306+Y313+Y319+Y326+Y338+Y343+Y348+Y352+Y358+Y363+Y369+Y383+Y388+Y393+Y400+Y405+Y422+Y428+Y437+Y441+Y450+Y455+Y460+Y464+Y469+Y474,"0")</f>
        <v>0</v>
      </c>
      <c r="Z480" s="42"/>
      <c r="AA480" s="67"/>
      <c r="AB480" s="67"/>
      <c r="AC480" s="67"/>
    </row>
    <row r="481" spans="1:32" ht="14.25" x14ac:dyDescent="0.2">
      <c r="A481" s="623"/>
      <c r="B481" s="623"/>
      <c r="C481" s="623"/>
      <c r="D481" s="623"/>
      <c r="E481" s="623"/>
      <c r="F481" s="623"/>
      <c r="G481" s="623"/>
      <c r="H481" s="623"/>
      <c r="I481" s="623"/>
      <c r="J481" s="623"/>
      <c r="K481" s="623"/>
      <c r="L481" s="623"/>
      <c r="M481" s="623"/>
      <c r="N481" s="623"/>
      <c r="O481" s="855"/>
      <c r="P481" s="852" t="s">
        <v>38</v>
      </c>
      <c r="Q481" s="853"/>
      <c r="R481" s="853"/>
      <c r="S481" s="853"/>
      <c r="T481" s="853"/>
      <c r="U481" s="853"/>
      <c r="V481" s="854"/>
      <c r="W481" s="45" t="s">
        <v>51</v>
      </c>
      <c r="X481" s="42"/>
      <c r="Y481" s="42"/>
      <c r="Z481" s="42">
        <f>IFERROR(Z24+Z32+Z36+Z44+Z48+Z58+Z64+Z70+Z77+Z82+Z90+Z97+Z106+Z113+Z120+Z124+Z130+Z136+Z140+Z146+Z161+Z167+Z171+Z177+Z182+Z193+Z205+Z210+Z223+Z227+Z231+Z239+Z248+Z256+Z263+Z269+Z274+Z284+Z293+Z300+Z306+Z313+Z319+Z326+Z338+Z343+Z348+Z352+Z358+Z363+Z369+Z383+Z388+Z393+Z400+Z405+Z422+Z428+Z437+Z441+Z450+Z455+Z460+Z464+Z469+Z474,"0")</f>
        <v>0</v>
      </c>
      <c r="AA481" s="67"/>
      <c r="AB481" s="67"/>
      <c r="AC481" s="67"/>
    </row>
    <row r="482" spans="1:32" ht="13.5" thickBot="1" x14ac:dyDescent="0.25"/>
    <row r="483" spans="1:32" ht="27" thickTop="1" thickBot="1" x14ac:dyDescent="0.25">
      <c r="A483" s="46" t="s">
        <v>9</v>
      </c>
      <c r="B483" s="85" t="s">
        <v>75</v>
      </c>
      <c r="C483" s="858" t="s">
        <v>109</v>
      </c>
      <c r="D483" s="858" t="s">
        <v>109</v>
      </c>
      <c r="E483" s="858" t="s">
        <v>109</v>
      </c>
      <c r="F483" s="858" t="s">
        <v>109</v>
      </c>
      <c r="G483" s="858" t="s">
        <v>109</v>
      </c>
      <c r="H483" s="858" t="s">
        <v>260</v>
      </c>
      <c r="I483" s="858" t="s">
        <v>260</v>
      </c>
      <c r="J483" s="858" t="s">
        <v>260</v>
      </c>
      <c r="K483" s="858" t="s">
        <v>260</v>
      </c>
      <c r="L483" s="858" t="s">
        <v>260</v>
      </c>
      <c r="M483" s="858" t="s">
        <v>260</v>
      </c>
      <c r="N483" s="859"/>
      <c r="O483" s="858" t="s">
        <v>260</v>
      </c>
      <c r="P483" s="858" t="s">
        <v>260</v>
      </c>
      <c r="Q483" s="858" t="s">
        <v>260</v>
      </c>
      <c r="R483" s="858" t="s">
        <v>546</v>
      </c>
      <c r="S483" s="858" t="s">
        <v>546</v>
      </c>
      <c r="T483" s="858" t="s">
        <v>600</v>
      </c>
      <c r="U483" s="858" t="s">
        <v>600</v>
      </c>
      <c r="V483" s="858" t="s">
        <v>600</v>
      </c>
      <c r="W483" s="85" t="s">
        <v>651</v>
      </c>
      <c r="X483" s="858" t="s">
        <v>707</v>
      </c>
      <c r="Y483" s="858" t="s">
        <v>707</v>
      </c>
      <c r="AB483" s="60"/>
      <c r="AC483" s="60"/>
      <c r="AF483" s="1"/>
    </row>
    <row r="484" spans="1:32" ht="14.25" customHeight="1" thickTop="1" x14ac:dyDescent="0.2">
      <c r="A484" s="856" t="s">
        <v>10</v>
      </c>
      <c r="B484" s="858" t="s">
        <v>75</v>
      </c>
      <c r="C484" s="858" t="s">
        <v>110</v>
      </c>
      <c r="D484" s="858" t="s">
        <v>125</v>
      </c>
      <c r="E484" s="858" t="s">
        <v>179</v>
      </c>
      <c r="F484" s="858" t="s">
        <v>203</v>
      </c>
      <c r="G484" s="858" t="s">
        <v>109</v>
      </c>
      <c r="H484" s="858" t="s">
        <v>261</v>
      </c>
      <c r="I484" s="858" t="s">
        <v>313</v>
      </c>
      <c r="J484" s="858" t="s">
        <v>372</v>
      </c>
      <c r="K484" s="858" t="s">
        <v>412</v>
      </c>
      <c r="L484" s="858" t="s">
        <v>428</v>
      </c>
      <c r="M484" s="858" t="s">
        <v>439</v>
      </c>
      <c r="N484" s="1"/>
      <c r="O484" s="858" t="s">
        <v>448</v>
      </c>
      <c r="P484" s="858" t="s">
        <v>461</v>
      </c>
      <c r="Q484" s="858" t="s">
        <v>536</v>
      </c>
      <c r="R484" s="858" t="s">
        <v>547</v>
      </c>
      <c r="S484" s="858" t="s">
        <v>582</v>
      </c>
      <c r="T484" s="858" t="s">
        <v>601</v>
      </c>
      <c r="U484" s="858" t="s">
        <v>632</v>
      </c>
      <c r="V484" s="858" t="s">
        <v>647</v>
      </c>
      <c r="W484" s="858" t="s">
        <v>651</v>
      </c>
      <c r="X484" s="858" t="s">
        <v>707</v>
      </c>
      <c r="Y484" s="858" t="s">
        <v>740</v>
      </c>
      <c r="AB484" s="60"/>
      <c r="AC484" s="60"/>
      <c r="AF484" s="1"/>
    </row>
    <row r="485" spans="1:32" ht="13.5" thickBot="1" x14ac:dyDescent="0.25">
      <c r="A485" s="857"/>
      <c r="B485" s="858"/>
      <c r="C485" s="858"/>
      <c r="D485" s="858"/>
      <c r="E485" s="858"/>
      <c r="F485" s="858"/>
      <c r="G485" s="858"/>
      <c r="H485" s="858"/>
      <c r="I485" s="858"/>
      <c r="J485" s="858"/>
      <c r="K485" s="858"/>
      <c r="L485" s="858"/>
      <c r="M485" s="858"/>
      <c r="N485" s="1"/>
      <c r="O485" s="858"/>
      <c r="P485" s="858"/>
      <c r="Q485" s="858"/>
      <c r="R485" s="858"/>
      <c r="S485" s="858"/>
      <c r="T485" s="858"/>
      <c r="U485" s="858"/>
      <c r="V485" s="858"/>
      <c r="W485" s="858"/>
      <c r="X485" s="858"/>
      <c r="Y485" s="858"/>
      <c r="AB485" s="60"/>
      <c r="AC485" s="60"/>
      <c r="AF485" s="1"/>
    </row>
    <row r="486" spans="1:32" ht="18" thickTop="1" thickBot="1" x14ac:dyDescent="0.25">
      <c r="A486" s="46" t="s">
        <v>13</v>
      </c>
      <c r="B486" s="52">
        <f>IFERROR(Y22*1,"0")+IFERROR(Y23*1,"0")+IFERROR(Y27*1,"0")+IFERROR(Y28*1,"0")+IFERROR(Y29*1,"0")+IFERROR(Y30*1,"0")+IFERROR(Y31*1,"0")+IFERROR(Y35*1,"0")</f>
        <v>0</v>
      </c>
      <c r="C486" s="52">
        <f>IFERROR(Y41*1,"0")+IFERROR(Y42*1,"0")+IFERROR(Y43*1,"0")+IFERROR(Y47*1,"0")</f>
        <v>0</v>
      </c>
      <c r="D486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486" s="52">
        <f>IFERROR(Y86*1,"0")+IFERROR(Y87*1,"0")+IFERROR(Y88*1,"0")+IFERROR(Y89*1,"0")+IFERROR(Y93*1,"0")+IFERROR(Y94*1,"0")+IFERROR(Y95*1,"0")+IFERROR(Y96*1,"0")</f>
        <v>0</v>
      </c>
      <c r="F486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86" s="52">
        <f>IFERROR(Y128*1,"0")+IFERROR(Y129*1,"0")+IFERROR(Y133*1,"0")+IFERROR(Y134*1,"0")+IFERROR(Y135*1,"0")+IFERROR(Y139*1,"0")</f>
        <v>0</v>
      </c>
      <c r="H486" s="52">
        <f>IFERROR(Y145*1,"0")+IFERROR(Y149*1,"0")+IFERROR(Y150*1,"0")+IFERROR(Y151*1,"0")+IFERROR(Y152*1,"0")+IFERROR(Y153*1,"0")+IFERROR(Y154*1,"0")+IFERROR(Y155*1,"0")+IFERROR(Y156*1,"0")+IFERROR(Y157*1,"0")+IFERROR(Y158*1,"0")+IFERROR(Y159*1,"0")+IFERROR(Y160*1,"0")+IFERROR(Y164*1,"0")+IFERROR(Y165*1,"0")+IFERROR(Y166*1,"0")+IFERROR(Y170*1,"0")</f>
        <v>0</v>
      </c>
      <c r="I486" s="52">
        <f>IFERROR(Y175*1,"0")+IFERROR(Y176*1,"0")+IFERROR(Y180*1,"0")+IFERROR(Y181*1,"0")+IFERROR(Y185*1,"0")+IFERROR(Y186*1,"0")+IFERROR(Y187*1,"0")+IFERROR(Y188*1,"0")+IFERROR(Y189*1,"0")+IFERROR(Y190*1,"0")+IFERROR(Y191*1,"0")+IFERROR(Y192*1,"0")+IFERROR(Y196*1,"0")+IFERROR(Y197*1,"0")+IFERROR(Y198*1,"0")+IFERROR(Y199*1,"0")+IFERROR(Y200*1,"0")+IFERROR(Y201*1,"0")+IFERROR(Y202*1,"0")+IFERROR(Y203*1,"0")+IFERROR(Y204*1,"0")+IFERROR(Y208*1,"0")+IFERROR(Y209*1,"0")</f>
        <v>0</v>
      </c>
      <c r="J486" s="52">
        <f>IFERROR(Y214*1,"0")+IFERROR(Y215*1,"0")+IFERROR(Y216*1,"0")+IFERROR(Y217*1,"0")+IFERROR(Y218*1,"0")+IFERROR(Y219*1,"0")+IFERROR(Y220*1,"0")+IFERROR(Y221*1,"0")+IFERROR(Y222*1,"0")+IFERROR(Y226*1,"0")+IFERROR(Y230*1,"0")+IFERROR(Y234*1,"0")+IFERROR(Y235*1,"0")+IFERROR(Y236*1,"0")+IFERROR(Y237*1,"0")+IFERROR(Y238*1,"0")</f>
        <v>0</v>
      </c>
      <c r="K486" s="52">
        <f>IFERROR(Y243*1,"0")+IFERROR(Y244*1,"0")+IFERROR(Y245*1,"0")+IFERROR(Y246*1,"0")+IFERROR(Y247*1,"0")</f>
        <v>0</v>
      </c>
      <c r="L486" s="52">
        <f>IFERROR(Y252*1,"0")+IFERROR(Y253*1,"0")+IFERROR(Y254*1,"0")+IFERROR(Y255*1,"0")</f>
        <v>0</v>
      </c>
      <c r="M486" s="52">
        <f>IFERROR(Y260*1,"0")+IFERROR(Y261*1,"0")+IFERROR(Y262*1,"0")</f>
        <v>0</v>
      </c>
      <c r="N486" s="1"/>
      <c r="O486" s="52">
        <f>IFERROR(Y267*1,"0")+IFERROR(Y268*1,"0")+IFERROR(Y272*1,"0")+IFERROR(Y273*1,"0")</f>
        <v>0</v>
      </c>
      <c r="P486" s="52">
        <f>IFERROR(Y278*1,"0")+IFERROR(Y279*1,"0")+IFERROR(Y280*1,"0")+IFERROR(Y281*1,"0")+IFERROR(Y282*1,"0")+IFERROR(Y283*1,"0")+IFERROR(Y287*1,"0")+IFERROR(Y288*1,"0")+IFERROR(Y289*1,"0")+IFERROR(Y290*1,"0")+IFERROR(Y291*1,"0")+IFERROR(Y292*1,"0")+IFERROR(Y296*1,"0")+IFERROR(Y297*1,"0")+IFERROR(Y298*1,"0")+IFERROR(Y299*1,"0")+IFERROR(Y303*1,"0")+IFERROR(Y304*1,"0")+IFERROR(Y305*1,"0")+IFERROR(Y309*1,"0")+IFERROR(Y310*1,"0")+IFERROR(Y311*1,"0")+IFERROR(Y312*1,"0")+IFERROR(Y316*1,"0")+IFERROR(Y317*1,"0")+IFERROR(Y318*1,"0")</f>
        <v>0</v>
      </c>
      <c r="Q486" s="52">
        <f>IFERROR(Y323*1,"0")+IFERROR(Y324*1,"0")+IFERROR(Y325*1,"0")</f>
        <v>0</v>
      </c>
      <c r="R486" s="52">
        <f>IFERROR(Y331*1,"0")+IFERROR(Y332*1,"0")+IFERROR(Y333*1,"0")+IFERROR(Y334*1,"0")+IFERROR(Y335*1,"0")+IFERROR(Y336*1,"0")+IFERROR(Y337*1,"0")+IFERROR(Y341*1,"0")+IFERROR(Y342*1,"0")+IFERROR(Y346*1,"0")+IFERROR(Y347*1,"0")+IFERROR(Y351*1,"0")</f>
        <v>0</v>
      </c>
      <c r="S486" s="52">
        <f>IFERROR(Y356*1,"0")+IFERROR(Y357*1,"0")+IFERROR(Y361*1,"0")+IFERROR(Y362*1,"0")+IFERROR(Y366*1,"0")+IFERROR(Y367*1,"0")+IFERROR(Y368*1,"0")</f>
        <v>0</v>
      </c>
      <c r="T486" s="52">
        <f>IFERROR(Y374*1,"0")+IFERROR(Y375*1,"0")+IFERROR(Y376*1,"0")+IFERROR(Y377*1,"0")+IFERROR(Y378*1,"0")+IFERROR(Y379*1,"0")+IFERROR(Y380*1,"0")+IFERROR(Y381*1,"0")+IFERROR(Y382*1,"0")+IFERROR(Y386*1,"0")+IFERROR(Y387*1,"0")</f>
        <v>0</v>
      </c>
      <c r="U486" s="52">
        <f>IFERROR(Y392*1,"0")+IFERROR(Y396*1,"0")+IFERROR(Y397*1,"0")+IFERROR(Y398*1,"0")+IFERROR(Y399*1,"0")</f>
        <v>0</v>
      </c>
      <c r="V486" s="52">
        <f>IFERROR(Y404*1,"0")</f>
        <v>0</v>
      </c>
      <c r="W486" s="52">
        <f>IFERROR(Y410*1,"0")+IFERROR(Y411*1,"0")+IFERROR(Y412*1,"0")+IFERROR(Y413*1,"0")+IFERROR(Y414*1,"0")+IFERROR(Y415*1,"0")+IFERROR(Y416*1,"0")+IFERROR(Y417*1,"0")+IFERROR(Y418*1,"0")+IFERROR(Y419*1,"0")+IFERROR(Y420*1,"0")+IFERROR(Y421*1,"0")+IFERROR(Y425*1,"0")+IFERROR(Y426*1,"0")+IFERROR(Y427*1,"0")+IFERROR(Y431*1,"0")+IFERROR(Y432*1,"0")+IFERROR(Y433*1,"0")+IFERROR(Y434*1,"0")+IFERROR(Y435*1,"0")+IFERROR(Y436*1,"0")+IFERROR(Y440*1,"0")</f>
        <v>0</v>
      </c>
      <c r="X486" s="52">
        <f>IFERROR(Y446*1,"0")+IFERROR(Y447*1,"0")+IFERROR(Y448*1,"0")+IFERROR(Y449*1,"0")+IFERROR(Y453*1,"0")+IFERROR(Y454*1,"0")+IFERROR(Y458*1,"0")+IFERROR(Y459*1,"0")+IFERROR(Y463*1,"0")+IFERROR(Y467*1,"0")+IFERROR(Y468*1,"0")</f>
        <v>0</v>
      </c>
      <c r="Y486" s="52">
        <f>IFERROR(Y473*1,"0")</f>
        <v>0</v>
      </c>
      <c r="AB486" s="60"/>
      <c r="AC486" s="60"/>
      <c r="AF486" s="1"/>
    </row>
  </sheetData>
  <sheetProtection algorithmName="SHA-512" hashValue="9mX9zUMyWCmsEEOelGn3UenVWmaKIcwb7e1eO4rh2twuT9ODiOPxCpK+nOaQkUhK/cAX3Iy+kHZ18VNjSeECeg==" saltValue="W0uklDL1h4SeV79HTQi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4">
    <mergeCell ref="U484:U485"/>
    <mergeCell ref="V484:V485"/>
    <mergeCell ref="W484:W485"/>
    <mergeCell ref="X484:X485"/>
    <mergeCell ref="Y484:Y485"/>
    <mergeCell ref="C483:G483"/>
    <mergeCell ref="H483:Q483"/>
    <mergeCell ref="R483:S483"/>
    <mergeCell ref="T483:V483"/>
    <mergeCell ref="X483:Y483"/>
    <mergeCell ref="J484:J485"/>
    <mergeCell ref="K484:K485"/>
    <mergeCell ref="L484:L485"/>
    <mergeCell ref="M484:M485"/>
    <mergeCell ref="O484:O485"/>
    <mergeCell ref="P484:P485"/>
    <mergeCell ref="Q484:Q485"/>
    <mergeCell ref="R484:R485"/>
    <mergeCell ref="S484:S485"/>
    <mergeCell ref="T484:T485"/>
    <mergeCell ref="A484:A485"/>
    <mergeCell ref="B484:B485"/>
    <mergeCell ref="C484:C485"/>
    <mergeCell ref="D484:D485"/>
    <mergeCell ref="E484:E485"/>
    <mergeCell ref="F484:F485"/>
    <mergeCell ref="G484:G485"/>
    <mergeCell ref="H484:H485"/>
    <mergeCell ref="I484:I485"/>
    <mergeCell ref="A472:Z472"/>
    <mergeCell ref="D473:E473"/>
    <mergeCell ref="P473:T473"/>
    <mergeCell ref="P474:V474"/>
    <mergeCell ref="A474:O475"/>
    <mergeCell ref="P475:V475"/>
    <mergeCell ref="P476:V476"/>
    <mergeCell ref="A476:O481"/>
    <mergeCell ref="P477:V477"/>
    <mergeCell ref="P478:V478"/>
    <mergeCell ref="P479:V479"/>
    <mergeCell ref="P480:V480"/>
    <mergeCell ref="P481:V481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P441:V441"/>
    <mergeCell ref="A441:O442"/>
    <mergeCell ref="P442:V442"/>
    <mergeCell ref="A443:Z443"/>
    <mergeCell ref="A444:Z444"/>
    <mergeCell ref="A445:Z445"/>
    <mergeCell ref="D446:E446"/>
    <mergeCell ref="P446:T446"/>
    <mergeCell ref="D447:E447"/>
    <mergeCell ref="P447:T447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D418:E418"/>
    <mergeCell ref="P418:T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A407:Z407"/>
    <mergeCell ref="A408:Z408"/>
    <mergeCell ref="A409:Z409"/>
    <mergeCell ref="D410:E410"/>
    <mergeCell ref="P410:T410"/>
    <mergeCell ref="D411:E411"/>
    <mergeCell ref="P411:T411"/>
    <mergeCell ref="D412:E412"/>
    <mergeCell ref="P412:T412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A395:Z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D392:E392"/>
    <mergeCell ref="P392:T392"/>
    <mergeCell ref="P393:V393"/>
    <mergeCell ref="A393:O394"/>
    <mergeCell ref="P394:V394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A371:Z371"/>
    <mergeCell ref="A372:Z372"/>
    <mergeCell ref="A373:Z373"/>
    <mergeCell ref="D374:E374"/>
    <mergeCell ref="P374:T374"/>
    <mergeCell ref="D375:E375"/>
    <mergeCell ref="P375:T375"/>
    <mergeCell ref="D376:E376"/>
    <mergeCell ref="P376:T376"/>
    <mergeCell ref="A365:Z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P363:V363"/>
    <mergeCell ref="A363:O364"/>
    <mergeCell ref="P364:V364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A340:Z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8:Z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299:E299"/>
    <mergeCell ref="P299:T299"/>
    <mergeCell ref="P300:V300"/>
    <mergeCell ref="A300:O301"/>
    <mergeCell ref="P301:V301"/>
    <mergeCell ref="A302:Z302"/>
    <mergeCell ref="D303:E303"/>
    <mergeCell ref="P303:T303"/>
    <mergeCell ref="D304:E304"/>
    <mergeCell ref="P304:T304"/>
    <mergeCell ref="P293:V293"/>
    <mergeCell ref="A293:O294"/>
    <mergeCell ref="P294:V294"/>
    <mergeCell ref="A295:Z295"/>
    <mergeCell ref="D296:E296"/>
    <mergeCell ref="P296:T296"/>
    <mergeCell ref="D297:E297"/>
    <mergeCell ref="P297:T297"/>
    <mergeCell ref="D298:E298"/>
    <mergeCell ref="P298:T298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A271:Z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A265:Z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58:Z258"/>
    <mergeCell ref="A259:Z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D247:E247"/>
    <mergeCell ref="P247:T247"/>
    <mergeCell ref="P248:V248"/>
    <mergeCell ref="A248:O249"/>
    <mergeCell ref="P249:V249"/>
    <mergeCell ref="A250:Z250"/>
    <mergeCell ref="A251:Z251"/>
    <mergeCell ref="D252:E252"/>
    <mergeCell ref="P252:T252"/>
    <mergeCell ref="A241:Z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P239:V239"/>
    <mergeCell ref="A239:O240"/>
    <mergeCell ref="P240:V240"/>
    <mergeCell ref="A229:Z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2:Z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P210:V210"/>
    <mergeCell ref="A210:O211"/>
    <mergeCell ref="P211:V211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A173:Z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P167:V167"/>
    <mergeCell ref="A167:O168"/>
    <mergeCell ref="P168:V168"/>
    <mergeCell ref="A169:Z169"/>
    <mergeCell ref="D170:E170"/>
    <mergeCell ref="P170:T170"/>
    <mergeCell ref="P171:V171"/>
    <mergeCell ref="A171:O172"/>
    <mergeCell ref="P172:V172"/>
    <mergeCell ref="P161:V161"/>
    <mergeCell ref="A161:O162"/>
    <mergeCell ref="P162:V162"/>
    <mergeCell ref="A163:Z163"/>
    <mergeCell ref="D164:E164"/>
    <mergeCell ref="P164:T164"/>
    <mergeCell ref="D165:E165"/>
    <mergeCell ref="P165:T165"/>
    <mergeCell ref="D166:E166"/>
    <mergeCell ref="P166:T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A138:Z138"/>
    <mergeCell ref="D139:E139"/>
    <mergeCell ref="P139:T139"/>
    <mergeCell ref="P140:V140"/>
    <mergeCell ref="A140:O141"/>
    <mergeCell ref="P141:V141"/>
    <mergeCell ref="A142:Z142"/>
    <mergeCell ref="A143:Z143"/>
    <mergeCell ref="A144:Z144"/>
    <mergeCell ref="A132:Z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747</v>
      </c>
      <c r="C6" s="53" t="s">
        <v>748</v>
      </c>
      <c r="D6" s="53" t="s">
        <v>749</v>
      </c>
      <c r="E6" s="53" t="s">
        <v>45</v>
      </c>
    </row>
    <row r="7" spans="2:8" x14ac:dyDescent="0.2">
      <c r="B7" s="53" t="s">
        <v>750</v>
      </c>
      <c r="C7" s="53" t="s">
        <v>751</v>
      </c>
      <c r="D7" s="53" t="s">
        <v>752</v>
      </c>
      <c r="E7" s="53" t="s">
        <v>45</v>
      </c>
    </row>
    <row r="9" spans="2:8" x14ac:dyDescent="0.2">
      <c r="B9" s="53" t="s">
        <v>753</v>
      </c>
      <c r="C9" s="53" t="s">
        <v>748</v>
      </c>
      <c r="D9" s="53" t="s">
        <v>45</v>
      </c>
      <c r="E9" s="53" t="s">
        <v>45</v>
      </c>
    </row>
    <row r="11" spans="2:8" x14ac:dyDescent="0.2">
      <c r="B11" s="53" t="s">
        <v>754</v>
      </c>
      <c r="C11" s="53" t="s">
        <v>751</v>
      </c>
      <c r="D11" s="53" t="s">
        <v>45</v>
      </c>
      <c r="E11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763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764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765</v>
      </c>
      <c r="C23" s="53" t="s">
        <v>45</v>
      </c>
      <c r="D23" s="53" t="s">
        <v>45</v>
      </c>
      <c r="E23" s="53" t="s">
        <v>45</v>
      </c>
    </row>
  </sheetData>
  <sheetProtection algorithmName="SHA-512" hashValue="0ENlhcv6enUKu43uhm3dIITG/sWZIycrIOMIHxO+KlRpFAUPavFEiVE+DU9pZdmLCmfAkfLrSgVIOzuY0TG9jw==" saltValue="i4Xei68sV0SYcBwbKR1z7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960</vt:i4>
      </vt:variant>
    </vt:vector>
  </HeadingPairs>
  <TitlesOfParts>
    <vt:vector size="96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