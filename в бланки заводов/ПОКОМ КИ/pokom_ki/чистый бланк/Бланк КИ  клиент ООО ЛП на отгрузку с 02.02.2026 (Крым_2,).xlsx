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86A93C4-BCC4-458F-BDA1-07827DF046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заказа'!$X$488:$X$488</definedName>
    <definedName name="GrossWeightTotalR">'Бланк заказа'!$Y$488:$Y$488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заказа'!$X$489:$X$489</definedName>
    <definedName name="PalletQtyTotalR">'Бланк заказа'!$Y$489:$Y$489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заказа'!$B$71:$B$71</definedName>
    <definedName name="ProductId230">'Бланк заказа'!$B$474:$B$474</definedName>
    <definedName name="ProductId231">'Бланк заказа'!$B$478:$B$478</definedName>
    <definedName name="ProductId232">'Бланк заказа'!$B$479:$B$479</definedName>
    <definedName name="ProductId233">'Бланк заказа'!$B$484:$B$484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заказа'!$X$71:$X$71</definedName>
    <definedName name="SalesQty230">'Бланк заказа'!$X$474:$X$474</definedName>
    <definedName name="SalesQty231">'Бланк заказа'!$X$478:$X$478</definedName>
    <definedName name="SalesQty232">'Бланк заказа'!$X$479:$X$479</definedName>
    <definedName name="SalesQty233">'Бланк заказа'!$X$484:$X$484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заказа'!$Y$71:$Y$71</definedName>
    <definedName name="SalesRoundBox230">'Бланк заказа'!$Y$474:$Y$474</definedName>
    <definedName name="SalesRoundBox231">'Бланк заказа'!$Y$478:$Y$478</definedName>
    <definedName name="SalesRoundBox232">'Бланк заказа'!$Y$479:$Y$479</definedName>
    <definedName name="SalesRoundBox233">'Бланк заказа'!$Y$484:$Y$484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заказа'!$W$71:$W$71</definedName>
    <definedName name="UnitOfMeasure230">'Бланк заказа'!$W$474:$W$474</definedName>
    <definedName name="UnitOfMeasure231">'Бланк заказа'!$W$478:$W$478</definedName>
    <definedName name="UnitOfMeasure232">'Бланк заказа'!$W$479:$W$479</definedName>
    <definedName name="UnitOfMeasure233">'Бланк заказа'!$W$484:$W$484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6" i="2" l="1"/>
  <c r="X485" i="2"/>
  <c r="BO484" i="2"/>
  <c r="BM484" i="2"/>
  <c r="Y484" i="2"/>
  <c r="Z497" i="2" s="1"/>
  <c r="P484" i="2"/>
  <c r="X481" i="2"/>
  <c r="X480" i="2"/>
  <c r="BO479" i="2"/>
  <c r="BM479" i="2"/>
  <c r="Y479" i="2"/>
  <c r="Z479" i="2" s="1"/>
  <c r="P479" i="2"/>
  <c r="BO478" i="2"/>
  <c r="BM478" i="2"/>
  <c r="Z478" i="2"/>
  <c r="Y478" i="2"/>
  <c r="BP478" i="2" s="1"/>
  <c r="P478" i="2"/>
  <c r="X476" i="2"/>
  <c r="X475" i="2"/>
  <c r="BO474" i="2"/>
  <c r="BM474" i="2"/>
  <c r="Y474" i="2"/>
  <c r="BN474" i="2" s="1"/>
  <c r="P474" i="2"/>
  <c r="X472" i="2"/>
  <c r="X471" i="2"/>
  <c r="BO470" i="2"/>
  <c r="BN470" i="2"/>
  <c r="BM470" i="2"/>
  <c r="Z470" i="2"/>
  <c r="Z471" i="2" s="1"/>
  <c r="Y470" i="2"/>
  <c r="Y472" i="2" s="1"/>
  <c r="P470" i="2"/>
  <c r="X468" i="2"/>
  <c r="X467" i="2"/>
  <c r="BO466" i="2"/>
  <c r="BM466" i="2"/>
  <c r="Y466" i="2"/>
  <c r="P466" i="2"/>
  <c r="BP465" i="2"/>
  <c r="BO465" i="2"/>
  <c r="BN465" i="2"/>
  <c r="BM465" i="2"/>
  <c r="Z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BO459" i="2"/>
  <c r="BM459" i="2"/>
  <c r="Y459" i="2"/>
  <c r="BP459" i="2" s="1"/>
  <c r="P459" i="2"/>
  <c r="BO458" i="2"/>
  <c r="BM458" i="2"/>
  <c r="Y458" i="2"/>
  <c r="Y497" i="2" s="1"/>
  <c r="P458" i="2"/>
  <c r="X454" i="2"/>
  <c r="X453" i="2"/>
  <c r="BP452" i="2"/>
  <c r="BO452" i="2"/>
  <c r="BN452" i="2"/>
  <c r="BM452" i="2"/>
  <c r="Z452" i="2"/>
  <c r="Y452" i="2"/>
  <c r="P452" i="2"/>
  <c r="BO451" i="2"/>
  <c r="BM451" i="2"/>
  <c r="Y451" i="2"/>
  <c r="BP451" i="2" s="1"/>
  <c r="P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3" i="2" s="1"/>
  <c r="P447" i="2"/>
  <c r="X445" i="2"/>
  <c r="X444" i="2"/>
  <c r="BO443" i="2"/>
  <c r="BM443" i="2"/>
  <c r="Y443" i="2"/>
  <c r="P443" i="2"/>
  <c r="BP442" i="2"/>
  <c r="BO442" i="2"/>
  <c r="BN442" i="2"/>
  <c r="BM442" i="2"/>
  <c r="Z442" i="2"/>
  <c r="Y442" i="2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N436" i="2"/>
  <c r="BM436" i="2"/>
  <c r="Z436" i="2"/>
  <c r="Y436" i="2"/>
  <c r="BP436" i="2" s="1"/>
  <c r="P436" i="2"/>
  <c r="BO435" i="2"/>
  <c r="BM435" i="2"/>
  <c r="Y435" i="2"/>
  <c r="BP435" i="2" s="1"/>
  <c r="P435" i="2"/>
  <c r="BO434" i="2"/>
  <c r="BN434" i="2"/>
  <c r="BM434" i="2"/>
  <c r="Z434" i="2"/>
  <c r="Y434" i="2"/>
  <c r="BP434" i="2" s="1"/>
  <c r="P434" i="2"/>
  <c r="BO433" i="2"/>
  <c r="BM433" i="2"/>
  <c r="Y433" i="2"/>
  <c r="P433" i="2"/>
  <c r="BP432" i="2"/>
  <c r="BO432" i="2"/>
  <c r="BN432" i="2"/>
  <c r="BM432" i="2"/>
  <c r="Z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Y422" i="2"/>
  <c r="X422" i="2"/>
  <c r="X421" i="2"/>
  <c r="BP420" i="2"/>
  <c r="BO420" i="2"/>
  <c r="BN420" i="2"/>
  <c r="BM420" i="2"/>
  <c r="Z420" i="2"/>
  <c r="Z421" i="2" s="1"/>
  <c r="Y420" i="2"/>
  <c r="Y421" i="2" s="1"/>
  <c r="P420" i="2"/>
  <c r="X417" i="2"/>
  <c r="Y416" i="2"/>
  <c r="X416" i="2"/>
  <c r="BP415" i="2"/>
  <c r="BO415" i="2"/>
  <c r="BM415" i="2"/>
  <c r="Y415" i="2"/>
  <c r="Z415" i="2" s="1"/>
  <c r="P415" i="2"/>
  <c r="BO414" i="2"/>
  <c r="BM414" i="2"/>
  <c r="Y414" i="2"/>
  <c r="BP414" i="2" s="1"/>
  <c r="P414" i="2"/>
  <c r="BO413" i="2"/>
  <c r="BN413" i="2"/>
  <c r="BM413" i="2"/>
  <c r="Z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X405" i="2"/>
  <c r="X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P398" i="2"/>
  <c r="BO398" i="2"/>
  <c r="BN398" i="2"/>
  <c r="BM398" i="2"/>
  <c r="Z398" i="2"/>
  <c r="Y398" i="2"/>
  <c r="P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X386" i="2"/>
  <c r="X385" i="2"/>
  <c r="BO384" i="2"/>
  <c r="BM384" i="2"/>
  <c r="Y384" i="2"/>
  <c r="P384" i="2"/>
  <c r="BO383" i="2"/>
  <c r="BM383" i="2"/>
  <c r="Y383" i="2"/>
  <c r="P383" i="2"/>
  <c r="BO382" i="2"/>
  <c r="BM382" i="2"/>
  <c r="Y382" i="2"/>
  <c r="P382" i="2"/>
  <c r="X380" i="2"/>
  <c r="X379" i="2"/>
  <c r="BO378" i="2"/>
  <c r="BM378" i="2"/>
  <c r="Y378" i="2"/>
  <c r="P378" i="2"/>
  <c r="X376" i="2"/>
  <c r="X375" i="2"/>
  <c r="BO374" i="2"/>
  <c r="BM374" i="2"/>
  <c r="Z374" i="2"/>
  <c r="Y374" i="2"/>
  <c r="P374" i="2"/>
  <c r="BO373" i="2"/>
  <c r="BM373" i="2"/>
  <c r="Y373" i="2"/>
  <c r="P373" i="2"/>
  <c r="X370" i="2"/>
  <c r="X369" i="2"/>
  <c r="BO368" i="2"/>
  <c r="BM368" i="2"/>
  <c r="Y368" i="2"/>
  <c r="Y370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Y361" i="2"/>
  <c r="X361" i="2"/>
  <c r="X360" i="2"/>
  <c r="BO359" i="2"/>
  <c r="BN359" i="2"/>
  <c r="BM359" i="2"/>
  <c r="Z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BP353" i="2" s="1"/>
  <c r="P353" i="2"/>
  <c r="BP352" i="2"/>
  <c r="BO352" i="2"/>
  <c r="BN352" i="2"/>
  <c r="BM352" i="2"/>
  <c r="Z352" i="2"/>
  <c r="Y352" i="2"/>
  <c r="P352" i="2"/>
  <c r="BO351" i="2"/>
  <c r="BM351" i="2"/>
  <c r="Y351" i="2"/>
  <c r="P351" i="2"/>
  <c r="BP350" i="2"/>
  <c r="BO350" i="2"/>
  <c r="BN350" i="2"/>
  <c r="BM350" i="2"/>
  <c r="Z350" i="2"/>
  <c r="Y350" i="2"/>
  <c r="P350" i="2"/>
  <c r="BO349" i="2"/>
  <c r="BN349" i="2"/>
  <c r="BM349" i="2"/>
  <c r="Z349" i="2"/>
  <c r="Y349" i="2"/>
  <c r="BP349" i="2" s="1"/>
  <c r="P349" i="2"/>
  <c r="BO348" i="2"/>
  <c r="BM348" i="2"/>
  <c r="Y348" i="2"/>
  <c r="P348" i="2"/>
  <c r="X344" i="2"/>
  <c r="X343" i="2"/>
  <c r="BO342" i="2"/>
  <c r="BM342" i="2"/>
  <c r="Y342" i="2"/>
  <c r="BP342" i="2" s="1"/>
  <c r="P342" i="2"/>
  <c r="BO341" i="2"/>
  <c r="BM341" i="2"/>
  <c r="Y341" i="2"/>
  <c r="Y343" i="2" s="1"/>
  <c r="P341" i="2"/>
  <c r="BP340" i="2"/>
  <c r="BO340" i="2"/>
  <c r="BN340" i="2"/>
  <c r="BM340" i="2"/>
  <c r="Z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P328" i="2"/>
  <c r="BP327" i="2"/>
  <c r="BO327" i="2"/>
  <c r="BN327" i="2"/>
  <c r="BM327" i="2"/>
  <c r="Z327" i="2"/>
  <c r="Y327" i="2"/>
  <c r="P327" i="2"/>
  <c r="BO326" i="2"/>
  <c r="BN326" i="2"/>
  <c r="BM326" i="2"/>
  <c r="Z326" i="2"/>
  <c r="Y326" i="2"/>
  <c r="BP326" i="2" s="1"/>
  <c r="P326" i="2"/>
  <c r="X324" i="2"/>
  <c r="X323" i="2"/>
  <c r="BP322" i="2"/>
  <c r="BO322" i="2"/>
  <c r="BM322" i="2"/>
  <c r="Y322" i="2"/>
  <c r="Z322" i="2" s="1"/>
  <c r="P322" i="2"/>
  <c r="BO321" i="2"/>
  <c r="BM321" i="2"/>
  <c r="Y321" i="2"/>
  <c r="BP321" i="2" s="1"/>
  <c r="P321" i="2"/>
  <c r="BO320" i="2"/>
  <c r="BM320" i="2"/>
  <c r="Y320" i="2"/>
  <c r="P320" i="2"/>
  <c r="X318" i="2"/>
  <c r="X317" i="2"/>
  <c r="BO316" i="2"/>
  <c r="BM316" i="2"/>
  <c r="Z316" i="2"/>
  <c r="Y316" i="2"/>
  <c r="BP316" i="2" s="1"/>
  <c r="P316" i="2"/>
  <c r="BO315" i="2"/>
  <c r="BM315" i="2"/>
  <c r="Y315" i="2"/>
  <c r="P315" i="2"/>
  <c r="BO314" i="2"/>
  <c r="BM314" i="2"/>
  <c r="Y314" i="2"/>
  <c r="P314" i="2"/>
  <c r="BO313" i="2"/>
  <c r="BM313" i="2"/>
  <c r="Y313" i="2"/>
  <c r="Y318" i="2" s="1"/>
  <c r="P313" i="2"/>
  <c r="X311" i="2"/>
  <c r="X310" i="2"/>
  <c r="BO309" i="2"/>
  <c r="BM309" i="2"/>
  <c r="Y309" i="2"/>
  <c r="P309" i="2"/>
  <c r="BO308" i="2"/>
  <c r="BM308" i="2"/>
  <c r="Y308" i="2"/>
  <c r="BN308" i="2" s="1"/>
  <c r="P308" i="2"/>
  <c r="BP307" i="2"/>
  <c r="BO307" i="2"/>
  <c r="BN307" i="2"/>
  <c r="BM307" i="2"/>
  <c r="Z307" i="2"/>
  <c r="Y307" i="2"/>
  <c r="P307" i="2"/>
  <c r="BO306" i="2"/>
  <c r="BM306" i="2"/>
  <c r="Y306" i="2"/>
  <c r="P306" i="2"/>
  <c r="BP305" i="2"/>
  <c r="BO305" i="2"/>
  <c r="BN305" i="2"/>
  <c r="BM305" i="2"/>
  <c r="Z305" i="2"/>
  <c r="Y305" i="2"/>
  <c r="P305" i="2"/>
  <c r="BO304" i="2"/>
  <c r="BN304" i="2"/>
  <c r="BM304" i="2"/>
  <c r="Z304" i="2"/>
  <c r="Y304" i="2"/>
  <c r="BP304" i="2" s="1"/>
  <c r="P304" i="2"/>
  <c r="X302" i="2"/>
  <c r="X301" i="2"/>
  <c r="BO300" i="2"/>
  <c r="BM300" i="2"/>
  <c r="Y300" i="2"/>
  <c r="Z300" i="2" s="1"/>
  <c r="P300" i="2"/>
  <c r="BO299" i="2"/>
  <c r="BM299" i="2"/>
  <c r="Y299" i="2"/>
  <c r="P299" i="2"/>
  <c r="BO298" i="2"/>
  <c r="BM298" i="2"/>
  <c r="Y298" i="2"/>
  <c r="BN298" i="2" s="1"/>
  <c r="P298" i="2"/>
  <c r="BP297" i="2"/>
  <c r="BO297" i="2"/>
  <c r="BN297" i="2"/>
  <c r="BM297" i="2"/>
  <c r="Z297" i="2"/>
  <c r="Y297" i="2"/>
  <c r="P297" i="2"/>
  <c r="BO296" i="2"/>
  <c r="BM296" i="2"/>
  <c r="Y296" i="2"/>
  <c r="P296" i="2"/>
  <c r="BP295" i="2"/>
  <c r="BO295" i="2"/>
  <c r="BN295" i="2"/>
  <c r="BM295" i="2"/>
  <c r="Z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Y292" i="2" s="1"/>
  <c r="P289" i="2"/>
  <c r="X287" i="2"/>
  <c r="X286" i="2"/>
  <c r="BO285" i="2"/>
  <c r="BN285" i="2"/>
  <c r="BM285" i="2"/>
  <c r="Z285" i="2"/>
  <c r="Y285" i="2"/>
  <c r="P285" i="2"/>
  <c r="BO284" i="2"/>
  <c r="BM284" i="2"/>
  <c r="Y284" i="2"/>
  <c r="P284" i="2"/>
  <c r="X281" i="2"/>
  <c r="X280" i="2"/>
  <c r="BO279" i="2"/>
  <c r="BM279" i="2"/>
  <c r="Y279" i="2"/>
  <c r="BP279" i="2" s="1"/>
  <c r="P279" i="2"/>
  <c r="BP278" i="2"/>
  <c r="BO278" i="2"/>
  <c r="BM278" i="2"/>
  <c r="Y278" i="2"/>
  <c r="Z278" i="2" s="1"/>
  <c r="P278" i="2"/>
  <c r="BO277" i="2"/>
  <c r="BM277" i="2"/>
  <c r="Y277" i="2"/>
  <c r="P277" i="2"/>
  <c r="X274" i="2"/>
  <c r="Y273" i="2"/>
  <c r="X273" i="2"/>
  <c r="BP272" i="2"/>
  <c r="BO272" i="2"/>
  <c r="BN272" i="2"/>
  <c r="BM272" i="2"/>
  <c r="Z272" i="2"/>
  <c r="Y272" i="2"/>
  <c r="P272" i="2"/>
  <c r="BO271" i="2"/>
  <c r="BM271" i="2"/>
  <c r="Y271" i="2"/>
  <c r="P271" i="2"/>
  <c r="BP270" i="2"/>
  <c r="BO270" i="2"/>
  <c r="BN270" i="2"/>
  <c r="BM270" i="2"/>
  <c r="Z270" i="2"/>
  <c r="Y270" i="2"/>
  <c r="P270" i="2"/>
  <c r="BO269" i="2"/>
  <c r="BN269" i="2"/>
  <c r="BM269" i="2"/>
  <c r="Z269" i="2"/>
  <c r="Y269" i="2"/>
  <c r="BP269" i="2" s="1"/>
  <c r="P269" i="2"/>
  <c r="X266" i="2"/>
  <c r="X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Z262" i="2" s="1"/>
  <c r="P262" i="2"/>
  <c r="BP261" i="2"/>
  <c r="BO261" i="2"/>
  <c r="BN261" i="2"/>
  <c r="BM261" i="2"/>
  <c r="Z261" i="2"/>
  <c r="Y261" i="2"/>
  <c r="P261" i="2"/>
  <c r="BO260" i="2"/>
  <c r="BM260" i="2"/>
  <c r="Y260" i="2"/>
  <c r="P260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Y253" i="2"/>
  <c r="Z253" i="2" s="1"/>
  <c r="P253" i="2"/>
  <c r="BO252" i="2"/>
  <c r="BM252" i="2"/>
  <c r="Y252" i="2"/>
  <c r="P252" i="2"/>
  <c r="BO251" i="2"/>
  <c r="BM251" i="2"/>
  <c r="Y251" i="2"/>
  <c r="P251" i="2"/>
  <c r="Y249" i="2"/>
  <c r="X249" i="2"/>
  <c r="X248" i="2"/>
  <c r="BO247" i="2"/>
  <c r="BN247" i="2"/>
  <c r="BM247" i="2"/>
  <c r="Z247" i="2"/>
  <c r="Z248" i="2" s="1"/>
  <c r="Y247" i="2"/>
  <c r="Y248" i="2" s="1"/>
  <c r="P247" i="2"/>
  <c r="X245" i="2"/>
  <c r="X244" i="2"/>
  <c r="BP243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P233" i="2"/>
  <c r="BO233" i="2"/>
  <c r="BM233" i="2"/>
  <c r="Y233" i="2"/>
  <c r="Z233" i="2" s="1"/>
  <c r="P233" i="2"/>
  <c r="BO232" i="2"/>
  <c r="BM232" i="2"/>
  <c r="Y232" i="2"/>
  <c r="BP232" i="2" s="1"/>
  <c r="P232" i="2"/>
  <c r="BO231" i="2"/>
  <c r="BN231" i="2"/>
  <c r="BM231" i="2"/>
  <c r="Z231" i="2"/>
  <c r="Y231" i="2"/>
  <c r="P231" i="2"/>
  <c r="X228" i="2"/>
  <c r="X227" i="2"/>
  <c r="BO226" i="2"/>
  <c r="BM226" i="2"/>
  <c r="Y226" i="2"/>
  <c r="P226" i="2"/>
  <c r="BO225" i="2"/>
  <c r="BM225" i="2"/>
  <c r="Y225" i="2"/>
  <c r="Y227" i="2" s="1"/>
  <c r="P225" i="2"/>
  <c r="X223" i="2"/>
  <c r="X222" i="2"/>
  <c r="BO221" i="2"/>
  <c r="BM221" i="2"/>
  <c r="Y221" i="2"/>
  <c r="BP221" i="2" s="1"/>
  <c r="P221" i="2"/>
  <c r="BO220" i="2"/>
  <c r="BM220" i="2"/>
  <c r="Y220" i="2"/>
  <c r="Z220" i="2" s="1"/>
  <c r="P220" i="2"/>
  <c r="BP219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P215" i="2"/>
  <c r="BO215" i="2"/>
  <c r="BN215" i="2"/>
  <c r="BM215" i="2"/>
  <c r="Z215" i="2"/>
  <c r="Y215" i="2"/>
  <c r="P215" i="2"/>
  <c r="BO214" i="2"/>
  <c r="BN214" i="2"/>
  <c r="BM214" i="2"/>
  <c r="Z214" i="2"/>
  <c r="Y214" i="2"/>
  <c r="BP214" i="2" s="1"/>
  <c r="P214" i="2"/>
  <c r="BO213" i="2"/>
  <c r="BM213" i="2"/>
  <c r="Y213" i="2"/>
  <c r="P213" i="2"/>
  <c r="X211" i="2"/>
  <c r="X210" i="2"/>
  <c r="BP209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N204" i="2"/>
  <c r="BM204" i="2"/>
  <c r="Z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Y210" i="2" s="1"/>
  <c r="P202" i="2"/>
  <c r="X200" i="2"/>
  <c r="X199" i="2"/>
  <c r="BO198" i="2"/>
  <c r="BM198" i="2"/>
  <c r="Y198" i="2"/>
  <c r="Y200" i="2" s="1"/>
  <c r="P198" i="2"/>
  <c r="BP197" i="2"/>
  <c r="BO197" i="2"/>
  <c r="BN197" i="2"/>
  <c r="BM197" i="2"/>
  <c r="Z197" i="2"/>
  <c r="Y197" i="2"/>
  <c r="P197" i="2"/>
  <c r="X195" i="2"/>
  <c r="X194" i="2"/>
  <c r="BO193" i="2"/>
  <c r="BM193" i="2"/>
  <c r="Y193" i="2"/>
  <c r="P193" i="2"/>
  <c r="BO192" i="2"/>
  <c r="BM192" i="2"/>
  <c r="Y192" i="2"/>
  <c r="BN192" i="2" s="1"/>
  <c r="P192" i="2"/>
  <c r="X189" i="2"/>
  <c r="X188" i="2"/>
  <c r="BO187" i="2"/>
  <c r="BM187" i="2"/>
  <c r="Y187" i="2"/>
  <c r="Y188" i="2" s="1"/>
  <c r="P187" i="2"/>
  <c r="X185" i="2"/>
  <c r="X184" i="2"/>
  <c r="BO183" i="2"/>
  <c r="BM183" i="2"/>
  <c r="Y183" i="2"/>
  <c r="Y185" i="2" s="1"/>
  <c r="P183" i="2"/>
  <c r="BP182" i="2"/>
  <c r="BO182" i="2"/>
  <c r="BN182" i="2"/>
  <c r="BM182" i="2"/>
  <c r="Z182" i="2"/>
  <c r="Y182" i="2"/>
  <c r="P182" i="2"/>
  <c r="BO181" i="2"/>
  <c r="BN181" i="2"/>
  <c r="BM181" i="2"/>
  <c r="Z181" i="2"/>
  <c r="Y181" i="2"/>
  <c r="BP181" i="2" s="1"/>
  <c r="P181" i="2"/>
  <c r="X179" i="2"/>
  <c r="X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P174" i="2"/>
  <c r="BO174" i="2"/>
  <c r="BN174" i="2"/>
  <c r="BM174" i="2"/>
  <c r="Z174" i="2"/>
  <c r="Y174" i="2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P169" i="2"/>
  <c r="BO169" i="2"/>
  <c r="BM169" i="2"/>
  <c r="Y169" i="2"/>
  <c r="Z169" i="2" s="1"/>
  <c r="P169" i="2"/>
  <c r="BO168" i="2"/>
  <c r="BM168" i="2"/>
  <c r="Y168" i="2"/>
  <c r="BP168" i="2" s="1"/>
  <c r="P168" i="2"/>
  <c r="BO167" i="2"/>
  <c r="BN167" i="2"/>
  <c r="BM167" i="2"/>
  <c r="Z167" i="2"/>
  <c r="Y167" i="2"/>
  <c r="BP167" i="2" s="1"/>
  <c r="P167" i="2"/>
  <c r="BO166" i="2"/>
  <c r="BM166" i="2"/>
  <c r="Y166" i="2"/>
  <c r="Z166" i="2" s="1"/>
  <c r="P166" i="2"/>
  <c r="BO165" i="2"/>
  <c r="BN165" i="2"/>
  <c r="BM165" i="2"/>
  <c r="Z165" i="2"/>
  <c r="Y165" i="2"/>
  <c r="BP165" i="2" s="1"/>
  <c r="P165" i="2"/>
  <c r="BO164" i="2"/>
  <c r="BM164" i="2"/>
  <c r="Y164" i="2"/>
  <c r="BP164" i="2" s="1"/>
  <c r="P164" i="2"/>
  <c r="X162" i="2"/>
  <c r="X161" i="2"/>
  <c r="BO160" i="2"/>
  <c r="BM160" i="2"/>
  <c r="Y160" i="2"/>
  <c r="BN160" i="2" s="1"/>
  <c r="P160" i="2"/>
  <c r="Y156" i="2"/>
  <c r="X156" i="2"/>
  <c r="Y155" i="2"/>
  <c r="X155" i="2"/>
  <c r="BP154" i="2"/>
  <c r="BO154" i="2"/>
  <c r="BM154" i="2"/>
  <c r="Y154" i="2"/>
  <c r="BN154" i="2" s="1"/>
  <c r="P154" i="2"/>
  <c r="X152" i="2"/>
  <c r="X151" i="2"/>
  <c r="BO150" i="2"/>
  <c r="BM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Y148" i="2"/>
  <c r="P148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Z142" i="2" s="1"/>
  <c r="P142" i="2"/>
  <c r="BO141" i="2"/>
  <c r="BM141" i="2"/>
  <c r="Y141" i="2"/>
  <c r="BP141" i="2" s="1"/>
  <c r="P141" i="2"/>
  <c r="Y138" i="2"/>
  <c r="X138" i="2"/>
  <c r="X137" i="2"/>
  <c r="BO136" i="2"/>
  <c r="BN136" i="2"/>
  <c r="BM136" i="2"/>
  <c r="Z136" i="2"/>
  <c r="Y136" i="2"/>
  <c r="BP136" i="2" s="1"/>
  <c r="P136" i="2"/>
  <c r="BO135" i="2"/>
  <c r="BM135" i="2"/>
  <c r="Y135" i="2"/>
  <c r="BN135" i="2" s="1"/>
  <c r="P135" i="2"/>
  <c r="X133" i="2"/>
  <c r="X132" i="2"/>
  <c r="BP131" i="2"/>
  <c r="BO131" i="2"/>
  <c r="BM131" i="2"/>
  <c r="Y131" i="2"/>
  <c r="BN131" i="2" s="1"/>
  <c r="P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P125" i="2"/>
  <c r="X122" i="2"/>
  <c r="X121" i="2"/>
  <c r="BO120" i="2"/>
  <c r="BM120" i="2"/>
  <c r="Y120" i="2"/>
  <c r="Y121" i="2" s="1"/>
  <c r="P120" i="2"/>
  <c r="X118" i="2"/>
  <c r="X117" i="2"/>
  <c r="BP116" i="2"/>
  <c r="BO116" i="2"/>
  <c r="BN116" i="2"/>
  <c r="BM116" i="2"/>
  <c r="Z116" i="2"/>
  <c r="Y116" i="2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X111" i="2"/>
  <c r="X110" i="2"/>
  <c r="BO109" i="2"/>
  <c r="BM109" i="2"/>
  <c r="Y109" i="2"/>
  <c r="Z109" i="2" s="1"/>
  <c r="P109" i="2"/>
  <c r="BP108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X104" i="2"/>
  <c r="X103" i="2"/>
  <c r="BO102" i="2"/>
  <c r="BM102" i="2"/>
  <c r="Y102" i="2"/>
  <c r="P102" i="2"/>
  <c r="BP101" i="2"/>
  <c r="BO101" i="2"/>
  <c r="BM101" i="2"/>
  <c r="Y101" i="2"/>
  <c r="BN101" i="2" s="1"/>
  <c r="P101" i="2"/>
  <c r="BO100" i="2"/>
  <c r="BM100" i="2"/>
  <c r="Y100" i="2"/>
  <c r="Z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P93" i="2"/>
  <c r="BO93" i="2"/>
  <c r="BN93" i="2"/>
  <c r="BM93" i="2"/>
  <c r="Z93" i="2"/>
  <c r="Y93" i="2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N90" i="2" s="1"/>
  <c r="P90" i="2"/>
  <c r="X88" i="2"/>
  <c r="X87" i="2"/>
  <c r="BO86" i="2"/>
  <c r="BM86" i="2"/>
  <c r="Z86" i="2"/>
  <c r="Y86" i="2"/>
  <c r="BN86" i="2" s="1"/>
  <c r="P86" i="2"/>
  <c r="BO85" i="2"/>
  <c r="BM85" i="2"/>
  <c r="Y85" i="2"/>
  <c r="Z85" i="2" s="1"/>
  <c r="P85" i="2"/>
  <c r="BO84" i="2"/>
  <c r="BM84" i="2"/>
  <c r="Y84" i="2"/>
  <c r="Y87" i="2" s="1"/>
  <c r="P84" i="2"/>
  <c r="BP83" i="2"/>
  <c r="BO83" i="2"/>
  <c r="BN83" i="2"/>
  <c r="BM83" i="2"/>
  <c r="Z83" i="2"/>
  <c r="Y83" i="2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BO71" i="2"/>
  <c r="BM71" i="2"/>
  <c r="Y71" i="2"/>
  <c r="BP71" i="2" s="1"/>
  <c r="P71" i="2"/>
  <c r="BO70" i="2"/>
  <c r="BM70" i="2"/>
  <c r="Y70" i="2"/>
  <c r="Y75" i="2" s="1"/>
  <c r="P70" i="2"/>
  <c r="X68" i="2"/>
  <c r="X67" i="2"/>
  <c r="BO66" i="2"/>
  <c r="BM66" i="2"/>
  <c r="Y66" i="2"/>
  <c r="Y68" i="2" s="1"/>
  <c r="P66" i="2"/>
  <c r="X64" i="2"/>
  <c r="X63" i="2"/>
  <c r="BO62" i="2"/>
  <c r="BM62" i="2"/>
  <c r="Y62" i="2"/>
  <c r="Z62" i="2" s="1"/>
  <c r="P62" i="2"/>
  <c r="BO61" i="2"/>
  <c r="BM61" i="2"/>
  <c r="Z61" i="2"/>
  <c r="Y61" i="2"/>
  <c r="BN61" i="2" s="1"/>
  <c r="P61" i="2"/>
  <c r="BO60" i="2"/>
  <c r="BM60" i="2"/>
  <c r="Y60" i="2"/>
  <c r="BP60" i="2" s="1"/>
  <c r="P60" i="2"/>
  <c r="X58" i="2"/>
  <c r="X57" i="2"/>
  <c r="BO56" i="2"/>
  <c r="BM56" i="2"/>
  <c r="Y56" i="2"/>
  <c r="BN56" i="2" s="1"/>
  <c r="P56" i="2"/>
  <c r="BP55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Z52" i="2" s="1"/>
  <c r="P52" i="2"/>
  <c r="BO51" i="2"/>
  <c r="BM51" i="2"/>
  <c r="Z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P40" i="2"/>
  <c r="X36" i="2"/>
  <c r="X35" i="2"/>
  <c r="BO34" i="2"/>
  <c r="BM34" i="2"/>
  <c r="Y34" i="2"/>
  <c r="Y35" i="2" s="1"/>
  <c r="P34" i="2"/>
  <c r="X32" i="2"/>
  <c r="X31" i="2"/>
  <c r="BP30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N27" i="2" l="1"/>
  <c r="BP27" i="2"/>
  <c r="Y31" i="2"/>
  <c r="BN42" i="2"/>
  <c r="BP42" i="2"/>
  <c r="BN52" i="2"/>
  <c r="BP52" i="2"/>
  <c r="BN62" i="2"/>
  <c r="BP62" i="2"/>
  <c r="Y63" i="2"/>
  <c r="Y64" i="2"/>
  <c r="BN109" i="2"/>
  <c r="BP109" i="2"/>
  <c r="Y117" i="2"/>
  <c r="Y118" i="2"/>
  <c r="Y144" i="2"/>
  <c r="BN220" i="2"/>
  <c r="BP220" i="2"/>
  <c r="BN263" i="2"/>
  <c r="BP263" i="2"/>
  <c r="BP284" i="2"/>
  <c r="BN284" i="2"/>
  <c r="Z284" i="2"/>
  <c r="Z286" i="2" s="1"/>
  <c r="BN299" i="2"/>
  <c r="BP299" i="2"/>
  <c r="BN309" i="2"/>
  <c r="BP309" i="2"/>
  <c r="Y324" i="2"/>
  <c r="BP320" i="2"/>
  <c r="BN320" i="2"/>
  <c r="Z320" i="2"/>
  <c r="Y380" i="2"/>
  <c r="BN378" i="2"/>
  <c r="Z378" i="2"/>
  <c r="Z379" i="2" s="1"/>
  <c r="BP384" i="2"/>
  <c r="BN384" i="2"/>
  <c r="Z384" i="2"/>
  <c r="BN402" i="2"/>
  <c r="BP402" i="2"/>
  <c r="V497" i="2"/>
  <c r="Y410" i="2"/>
  <c r="Y409" i="2"/>
  <c r="BP408" i="2"/>
  <c r="BN408" i="2"/>
  <c r="Z408" i="2"/>
  <c r="Z409" i="2" s="1"/>
  <c r="BP433" i="2"/>
  <c r="BN433" i="2"/>
  <c r="Z433" i="2"/>
  <c r="BN459" i="2"/>
  <c r="Y468" i="2"/>
  <c r="Z466" i="2"/>
  <c r="Z467" i="2" s="1"/>
  <c r="Z22" i="2"/>
  <c r="Y25" i="2"/>
  <c r="BN23" i="2"/>
  <c r="Z28" i="2"/>
  <c r="Y36" i="2"/>
  <c r="Z46" i="2"/>
  <c r="Z47" i="2" s="1"/>
  <c r="Y48" i="2"/>
  <c r="D497" i="2"/>
  <c r="Z53" i="2"/>
  <c r="Z60" i="2"/>
  <c r="Z63" i="2" s="1"/>
  <c r="BN60" i="2"/>
  <c r="Z70" i="2"/>
  <c r="BN70" i="2"/>
  <c r="BP70" i="2"/>
  <c r="BP77" i="2"/>
  <c r="E497" i="2"/>
  <c r="Z84" i="2"/>
  <c r="BN85" i="2"/>
  <c r="BP85" i="2"/>
  <c r="BP90" i="2"/>
  <c r="BN99" i="2"/>
  <c r="BP99" i="2"/>
  <c r="Z106" i="2"/>
  <c r="BN106" i="2"/>
  <c r="Z113" i="2"/>
  <c r="BN113" i="2"/>
  <c r="Z114" i="2"/>
  <c r="BN114" i="2"/>
  <c r="Z126" i="2"/>
  <c r="Y133" i="2"/>
  <c r="Z141" i="2"/>
  <c r="Z143" i="2" s="1"/>
  <c r="BN142" i="2"/>
  <c r="BP142" i="2"/>
  <c r="Y143" i="2"/>
  <c r="BP147" i="2"/>
  <c r="Z150" i="2"/>
  <c r="BN150" i="2"/>
  <c r="Z164" i="2"/>
  <c r="BN164" i="2"/>
  <c r="BN166" i="2"/>
  <c r="BP166" i="2"/>
  <c r="Z171" i="2"/>
  <c r="BN171" i="2"/>
  <c r="Z172" i="2"/>
  <c r="BN172" i="2"/>
  <c r="BP176" i="2"/>
  <c r="BN177" i="2"/>
  <c r="BP177" i="2"/>
  <c r="Y184" i="2"/>
  <c r="Z187" i="2"/>
  <c r="Z188" i="2" s="1"/>
  <c r="BN187" i="2"/>
  <c r="BP192" i="2"/>
  <c r="BP202" i="2"/>
  <c r="Z207" i="2"/>
  <c r="BN207" i="2"/>
  <c r="Y211" i="2"/>
  <c r="Y223" i="2"/>
  <c r="Z217" i="2"/>
  <c r="BN217" i="2"/>
  <c r="Z225" i="2"/>
  <c r="BN225" i="2"/>
  <c r="BP225" i="2"/>
  <c r="Y228" i="2"/>
  <c r="BP231" i="2"/>
  <c r="K497" i="2"/>
  <c r="Z235" i="2"/>
  <c r="BN235" i="2"/>
  <c r="Z236" i="2"/>
  <c r="BN236" i="2"/>
  <c r="Z238" i="2"/>
  <c r="BN238" i="2"/>
  <c r="Z243" i="2"/>
  <c r="Z244" i="2" s="1"/>
  <c r="Y245" i="2"/>
  <c r="Y244" i="2"/>
  <c r="Z251" i="2"/>
  <c r="Y256" i="2"/>
  <c r="BN252" i="2"/>
  <c r="BP252" i="2"/>
  <c r="BP260" i="2"/>
  <c r="Z260" i="2"/>
  <c r="BP271" i="2"/>
  <c r="Z271" i="2"/>
  <c r="Z273" i="2" s="1"/>
  <c r="BP296" i="2"/>
  <c r="Z296" i="2"/>
  <c r="Y310" i="2"/>
  <c r="Z306" i="2"/>
  <c r="Y311" i="2"/>
  <c r="BP314" i="2"/>
  <c r="BN314" i="2"/>
  <c r="Z314" i="2"/>
  <c r="BP315" i="2"/>
  <c r="BN315" i="2"/>
  <c r="Z315" i="2"/>
  <c r="Y323" i="2"/>
  <c r="BP328" i="2"/>
  <c r="BN328" i="2"/>
  <c r="Z328" i="2"/>
  <c r="BP351" i="2"/>
  <c r="Z351" i="2"/>
  <c r="BP363" i="2"/>
  <c r="BN363" i="2"/>
  <c r="Z363" i="2"/>
  <c r="Y365" i="2"/>
  <c r="Y366" i="2"/>
  <c r="Y375" i="2"/>
  <c r="BP373" i="2"/>
  <c r="BN373" i="2"/>
  <c r="Z373" i="2"/>
  <c r="Z375" i="2" s="1"/>
  <c r="BP397" i="2"/>
  <c r="BN397" i="2"/>
  <c r="Z397" i="2"/>
  <c r="Y438" i="2"/>
  <c r="BN427" i="2"/>
  <c r="BP427" i="2"/>
  <c r="BP443" i="2"/>
  <c r="BN443" i="2"/>
  <c r="Z443" i="2"/>
  <c r="Z480" i="2"/>
  <c r="BN479" i="2"/>
  <c r="BP479" i="2"/>
  <c r="Y480" i="2"/>
  <c r="Y481" i="2"/>
  <c r="BN253" i="2"/>
  <c r="BP253" i="2"/>
  <c r="BN264" i="2"/>
  <c r="BP264" i="2"/>
  <c r="Y274" i="2"/>
  <c r="Y281" i="2"/>
  <c r="Y287" i="2"/>
  <c r="BN289" i="2"/>
  <c r="BP289" i="2"/>
  <c r="BN300" i="2"/>
  <c r="BP300" i="2"/>
  <c r="Y330" i="2"/>
  <c r="Y331" i="2"/>
  <c r="R497" i="2"/>
  <c r="Y344" i="2"/>
  <c r="Y355" i="2"/>
  <c r="Y356" i="2"/>
  <c r="Y376" i="2"/>
  <c r="BN392" i="2"/>
  <c r="BP392" i="2"/>
  <c r="Y417" i="2"/>
  <c r="BN428" i="2"/>
  <c r="BP428" i="2"/>
  <c r="Y445" i="2"/>
  <c r="BN448" i="2"/>
  <c r="BP448" i="2"/>
  <c r="BN460" i="2"/>
  <c r="BP460" i="2"/>
  <c r="Y467" i="2"/>
  <c r="Y475" i="2"/>
  <c r="Y476" i="2"/>
  <c r="J9" i="2"/>
  <c r="F9" i="2"/>
  <c r="A10" i="2"/>
  <c r="F10" i="2"/>
  <c r="H9" i="2"/>
  <c r="Z395" i="2"/>
  <c r="BP395" i="2"/>
  <c r="BN395" i="2"/>
  <c r="Z383" i="2"/>
  <c r="BP383" i="2"/>
  <c r="BN383" i="2"/>
  <c r="Y386" i="2"/>
  <c r="Z335" i="2"/>
  <c r="BP335" i="2"/>
  <c r="BN335" i="2"/>
  <c r="C497" i="2"/>
  <c r="Y44" i="2"/>
  <c r="BP40" i="2"/>
  <c r="Y43" i="2"/>
  <c r="BN40" i="2"/>
  <c r="Z40" i="2"/>
  <c r="G497" i="2"/>
  <c r="Y127" i="2"/>
  <c r="Z125" i="2"/>
  <c r="Z127" i="2" s="1"/>
  <c r="BP125" i="2"/>
  <c r="BN125" i="2"/>
  <c r="Y128" i="2"/>
  <c r="X488" i="2"/>
  <c r="X489" i="2"/>
  <c r="X487" i="2"/>
  <c r="Y337" i="2"/>
  <c r="X491" i="2"/>
  <c r="F497" i="2"/>
  <c r="Z87" i="2"/>
  <c r="Z91" i="2"/>
  <c r="BP91" i="2"/>
  <c r="Y95" i="2"/>
  <c r="Y94" i="2"/>
  <c r="BN91" i="2"/>
  <c r="Z148" i="2"/>
  <c r="BP148" i="2"/>
  <c r="BN148" i="2"/>
  <c r="Y195" i="2"/>
  <c r="Y194" i="2"/>
  <c r="BP193" i="2"/>
  <c r="Z193" i="2"/>
  <c r="BN193" i="2"/>
  <c r="J497" i="2"/>
  <c r="Y385" i="2"/>
  <c r="Z31" i="2"/>
  <c r="BP102" i="2"/>
  <c r="Z102" i="2"/>
  <c r="BN102" i="2"/>
  <c r="Z431" i="2"/>
  <c r="BP431" i="2"/>
  <c r="BN431" i="2"/>
  <c r="BN30" i="2"/>
  <c r="Y47" i="2"/>
  <c r="BN55" i="2"/>
  <c r="BN77" i="2"/>
  <c r="Y122" i="2"/>
  <c r="Y137" i="2"/>
  <c r="BN169" i="2"/>
  <c r="BN202" i="2"/>
  <c r="BN233" i="2"/>
  <c r="BN243" i="2"/>
  <c r="BP255" i="2"/>
  <c r="BN278" i="2"/>
  <c r="Z289" i="2"/>
  <c r="BN322" i="2"/>
  <c r="BP334" i="2"/>
  <c r="Y360" i="2"/>
  <c r="BP382" i="2"/>
  <c r="BP394" i="2"/>
  <c r="Z402" i="2"/>
  <c r="BN415" i="2"/>
  <c r="BP430" i="2"/>
  <c r="Y439" i="2"/>
  <c r="BP450" i="2"/>
  <c r="BP474" i="2"/>
  <c r="Y486" i="2"/>
  <c r="H497" i="2"/>
  <c r="Z23" i="2"/>
  <c r="Z24" i="2" s="1"/>
  <c r="Y454" i="2"/>
  <c r="I497" i="2"/>
  <c r="Z451" i="2"/>
  <c r="Z208" i="2"/>
  <c r="Z341" i="2"/>
  <c r="Z426" i="2"/>
  <c r="Z458" i="2"/>
  <c r="L497" i="2"/>
  <c r="Z441" i="2"/>
  <c r="Z444" i="2" s="1"/>
  <c r="Z175" i="2"/>
  <c r="BP23" i="2"/>
  <c r="Z56" i="2"/>
  <c r="Z78" i="2"/>
  <c r="Z79" i="2" s="1"/>
  <c r="Z135" i="2"/>
  <c r="Z137" i="2" s="1"/>
  <c r="Y151" i="2"/>
  <c r="Z160" i="2"/>
  <c r="Z161" i="2" s="1"/>
  <c r="Z170" i="2"/>
  <c r="Z203" i="2"/>
  <c r="Z213" i="2"/>
  <c r="Z234" i="2"/>
  <c r="Y257" i="2"/>
  <c r="Z279" i="2"/>
  <c r="Z313" i="2"/>
  <c r="Z317" i="2" s="1"/>
  <c r="Z348" i="2"/>
  <c r="Z358" i="2"/>
  <c r="Z360" i="2" s="1"/>
  <c r="BN441" i="2"/>
  <c r="Y444" i="2"/>
  <c r="BN451" i="2"/>
  <c r="M497" i="2"/>
  <c r="Z353" i="2"/>
  <c r="Y265" i="2"/>
  <c r="BP378" i="2"/>
  <c r="BN390" i="2"/>
  <c r="BP413" i="2"/>
  <c r="BN426" i="2"/>
  <c r="BN458" i="2"/>
  <c r="BP470" i="2"/>
  <c r="O497" i="2"/>
  <c r="BN234" i="2"/>
  <c r="Z254" i="2"/>
  <c r="BN279" i="2"/>
  <c r="Z290" i="2"/>
  <c r="BN313" i="2"/>
  <c r="Z333" i="2"/>
  <c r="BN348" i="2"/>
  <c r="BN358" i="2"/>
  <c r="Z368" i="2"/>
  <c r="Z369" i="2" s="1"/>
  <c r="Z393" i="2"/>
  <c r="Z403" i="2"/>
  <c r="Z429" i="2"/>
  <c r="BP441" i="2"/>
  <c r="Z449" i="2"/>
  <c r="Z461" i="2"/>
  <c r="P497" i="2"/>
  <c r="Z218" i="2"/>
  <c r="Z239" i="2"/>
  <c r="Y379" i="2"/>
  <c r="BP390" i="2"/>
  <c r="BP426" i="2"/>
  <c r="BP458" i="2"/>
  <c r="Y471" i="2"/>
  <c r="Q497" i="2"/>
  <c r="BP28" i="2"/>
  <c r="BP53" i="2"/>
  <c r="BN175" i="2"/>
  <c r="BN251" i="2"/>
  <c r="BN262" i="2"/>
  <c r="BN353" i="2"/>
  <c r="BN203" i="2"/>
  <c r="Z221" i="2"/>
  <c r="BP130" i="2"/>
  <c r="Y152" i="2"/>
  <c r="Z226" i="2"/>
  <c r="Z227" i="2" s="1"/>
  <c r="BP56" i="2"/>
  <c r="BN100" i="2"/>
  <c r="Y103" i="2"/>
  <c r="Y111" i="2"/>
  <c r="Z120" i="2"/>
  <c r="Z121" i="2" s="1"/>
  <c r="BP135" i="2"/>
  <c r="BN146" i="2"/>
  <c r="BP160" i="2"/>
  <c r="Z168" i="2"/>
  <c r="BP170" i="2"/>
  <c r="Y179" i="2"/>
  <c r="BP213" i="2"/>
  <c r="BN221" i="2"/>
  <c r="Z232" i="2"/>
  <c r="BN254" i="2"/>
  <c r="Y266" i="2"/>
  <c r="Z277" i="2"/>
  <c r="BN290" i="2"/>
  <c r="Y302" i="2"/>
  <c r="BP313" i="2"/>
  <c r="Z321" i="2"/>
  <c r="Z323" i="2" s="1"/>
  <c r="BN333" i="2"/>
  <c r="Y336" i="2"/>
  <c r="BP348" i="2"/>
  <c r="BN368" i="2"/>
  <c r="BN393" i="2"/>
  <c r="BN403" i="2"/>
  <c r="Z414" i="2"/>
  <c r="BN429" i="2"/>
  <c r="Z437" i="2"/>
  <c r="BN449" i="2"/>
  <c r="BN461" i="2"/>
  <c r="Z484" i="2"/>
  <c r="Z485" i="2" s="1"/>
  <c r="Z198" i="2"/>
  <c r="Z199" i="2" s="1"/>
  <c r="BN73" i="2"/>
  <c r="BP86" i="2"/>
  <c r="Y110" i="2"/>
  <c r="BN130" i="2"/>
  <c r="BN198" i="2"/>
  <c r="BN141" i="2"/>
  <c r="BP198" i="2"/>
  <c r="Z216" i="2"/>
  <c r="BP251" i="2"/>
  <c r="BP262" i="2"/>
  <c r="BP308" i="2"/>
  <c r="BP51" i="2"/>
  <c r="Z92" i="2"/>
  <c r="BN173" i="2"/>
  <c r="BN183" i="2"/>
  <c r="Y199" i="2"/>
  <c r="BN206" i="2"/>
  <c r="BN216" i="2"/>
  <c r="BN226" i="2"/>
  <c r="BN237" i="2"/>
  <c r="Y240" i="2"/>
  <c r="BN260" i="2"/>
  <c r="BN271" i="2"/>
  <c r="BP285" i="2"/>
  <c r="BN296" i="2"/>
  <c r="BN306" i="2"/>
  <c r="BN316" i="2"/>
  <c r="BN351" i="2"/>
  <c r="BN374" i="2"/>
  <c r="BN466" i="2"/>
  <c r="BN478" i="2"/>
  <c r="S497" i="2"/>
  <c r="BN28" i="2"/>
  <c r="Z73" i="2"/>
  <c r="Z130" i="2"/>
  <c r="Y178" i="2"/>
  <c r="BN208" i="2"/>
  <c r="BN218" i="2"/>
  <c r="BN239" i="2"/>
  <c r="Y32" i="2"/>
  <c r="BN84" i="2"/>
  <c r="Z206" i="2"/>
  <c r="BP298" i="2"/>
  <c r="BP341" i="2"/>
  <c r="Z34" i="2"/>
  <c r="Z35" i="2" s="1"/>
  <c r="BP84" i="2"/>
  <c r="BN29" i="2"/>
  <c r="Z41" i="2"/>
  <c r="BN54" i="2"/>
  <c r="Y57" i="2"/>
  <c r="BP66" i="2"/>
  <c r="Y79" i="2"/>
  <c r="Y88" i="2"/>
  <c r="Z98" i="2"/>
  <c r="BP100" i="2"/>
  <c r="Z108" i="2"/>
  <c r="Z110" i="2" s="1"/>
  <c r="BN120" i="2"/>
  <c r="Z131" i="2"/>
  <c r="BP146" i="2"/>
  <c r="Z154" i="2"/>
  <c r="Z155" i="2" s="1"/>
  <c r="Y161" i="2"/>
  <c r="BN168" i="2"/>
  <c r="Z176" i="2"/>
  <c r="Y189" i="2"/>
  <c r="Z209" i="2"/>
  <c r="Z219" i="2"/>
  <c r="BN232" i="2"/>
  <c r="Z252" i="2"/>
  <c r="Z263" i="2"/>
  <c r="Z265" i="2" s="1"/>
  <c r="BN277" i="2"/>
  <c r="Y280" i="2"/>
  <c r="Z299" i="2"/>
  <c r="Z309" i="2"/>
  <c r="BN321" i="2"/>
  <c r="BP333" i="2"/>
  <c r="Z342" i="2"/>
  <c r="Z354" i="2"/>
  <c r="BP368" i="2"/>
  <c r="Z391" i="2"/>
  <c r="Z399" i="2" s="1"/>
  <c r="BN414" i="2"/>
  <c r="Z427" i="2"/>
  <c r="BN437" i="2"/>
  <c r="Z447" i="2"/>
  <c r="Z459" i="2"/>
  <c r="BN484" i="2"/>
  <c r="T497" i="2"/>
  <c r="Z298" i="2"/>
  <c r="Z301" i="2" s="1"/>
  <c r="Z308" i="2"/>
  <c r="Z183" i="2"/>
  <c r="Z184" i="2" s="1"/>
  <c r="BP78" i="2"/>
  <c r="BP61" i="2"/>
  <c r="BN92" i="2"/>
  <c r="Y286" i="2"/>
  <c r="BP306" i="2"/>
  <c r="BP374" i="2"/>
  <c r="Y399" i="2"/>
  <c r="BP466" i="2"/>
  <c r="B497" i="2"/>
  <c r="U497" i="2"/>
  <c r="Y301" i="2"/>
  <c r="Y24" i="2"/>
  <c r="BN51" i="2"/>
  <c r="Z71" i="2"/>
  <c r="Z74" i="2" s="1"/>
  <c r="BP107" i="2"/>
  <c r="Z115" i="2"/>
  <c r="Z117" i="2" s="1"/>
  <c r="Z173" i="2"/>
  <c r="Z54" i="2"/>
  <c r="Z57" i="2" s="1"/>
  <c r="BN66" i="2"/>
  <c r="BN71" i="2"/>
  <c r="BN115" i="2"/>
  <c r="BN34" i="2"/>
  <c r="BN126" i="2"/>
  <c r="BP183" i="2"/>
  <c r="BP226" i="2"/>
  <c r="BP29" i="2"/>
  <c r="Y67" i="2"/>
  <c r="BN98" i="2"/>
  <c r="BP120" i="2"/>
  <c r="Y222" i="2"/>
  <c r="Y241" i="2"/>
  <c r="BP277" i="2"/>
  <c r="Y291" i="2"/>
  <c r="Z329" i="2"/>
  <c r="Z330" i="2" s="1"/>
  <c r="BN342" i="2"/>
  <c r="BN354" i="2"/>
  <c r="Z364" i="2"/>
  <c r="Z365" i="2" s="1"/>
  <c r="Y369" i="2"/>
  <c r="BN391" i="2"/>
  <c r="Y404" i="2"/>
  <c r="Z412" i="2"/>
  <c r="Z416" i="2" s="1"/>
  <c r="Z435" i="2"/>
  <c r="BN447" i="2"/>
  <c r="Y462" i="2"/>
  <c r="BP484" i="2"/>
  <c r="Y74" i="2"/>
  <c r="Y104" i="2"/>
  <c r="BN149" i="2"/>
  <c r="BN22" i="2"/>
  <c r="BP34" i="2"/>
  <c r="BN46" i="2"/>
  <c r="Y58" i="2"/>
  <c r="Y80" i="2"/>
  <c r="Z90" i="2"/>
  <c r="Z101" i="2"/>
  <c r="Z147" i="2"/>
  <c r="Z151" i="2" s="1"/>
  <c r="Y162" i="2"/>
  <c r="Z192" i="2"/>
  <c r="Z194" i="2" s="1"/>
  <c r="BP247" i="2"/>
  <c r="Z255" i="2"/>
  <c r="Y317" i="2"/>
  <c r="Z334" i="2"/>
  <c r="Z382" i="2"/>
  <c r="Z394" i="2"/>
  <c r="Z430" i="2"/>
  <c r="Z450" i="2"/>
  <c r="Z474" i="2"/>
  <c r="Z475" i="2" s="1"/>
  <c r="W497" i="2"/>
  <c r="BP447" i="2"/>
  <c r="Y485" i="2"/>
  <c r="X497" i="2"/>
  <c r="BN107" i="2"/>
  <c r="BP187" i="2"/>
  <c r="BN341" i="2"/>
  <c r="Z66" i="2"/>
  <c r="Z67" i="2" s="1"/>
  <c r="BN213" i="2"/>
  <c r="BN329" i="2"/>
  <c r="BN364" i="2"/>
  <c r="Y400" i="2"/>
  <c r="BN412" i="2"/>
  <c r="BN435" i="2"/>
  <c r="Z202" i="2"/>
  <c r="BN382" i="2"/>
  <c r="Y463" i="2"/>
  <c r="Z178" i="2" l="1"/>
  <c r="Z291" i="2"/>
  <c r="X490" i="2"/>
  <c r="Z310" i="2"/>
  <c r="Z256" i="2"/>
  <c r="Y487" i="2"/>
  <c r="Z240" i="2"/>
  <c r="Y489" i="2"/>
  <c r="Z343" i="2"/>
  <c r="Z222" i="2"/>
  <c r="Z280" i="2"/>
  <c r="Z43" i="2"/>
  <c r="Y488" i="2"/>
  <c r="Y490" i="2" s="1"/>
  <c r="Z94" i="2"/>
  <c r="Y491" i="2"/>
  <c r="Z453" i="2"/>
  <c r="Z404" i="2"/>
  <c r="Z103" i="2"/>
  <c r="Z336" i="2"/>
  <c r="Z385" i="2"/>
  <c r="Z462" i="2"/>
  <c r="Z132" i="2"/>
  <c r="Z210" i="2"/>
  <c r="Z355" i="2"/>
  <c r="Z438" i="2"/>
  <c r="Z492" i="2" l="1"/>
</calcChain>
</file>

<file path=xl/sharedStrings.xml><?xml version="1.0" encoding="utf-8"?>
<sst xmlns="http://schemas.openxmlformats.org/spreadsheetml/2006/main" count="3589" uniqueCount="766">
  <si>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</si>
  <si>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</si>
  <si>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</si>
  <si>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</si>
  <si>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</si>
  <si>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</si>
  <si>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</si>
  <si>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</si>
  <si>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</si>
  <si>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</si>
  <si>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</si>
  <si>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</si>
  <si>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</si>
  <si>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</si>
  <si>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</si>
  <si>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</si>
  <si>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</si>
  <si>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</si>
  <si>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</si>
  <si>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</si>
  <si>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</si>
  <si>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</si>
  <si>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</si>
  <si>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</si>
  <si>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</si>
  <si>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</si>
  <si>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</si>
  <si>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</si>
  <si>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</si>
  <si>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</si>
  <si>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</si>
  <si>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</si>
  <si>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</si>
  <si>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</si>
  <si>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</si>
  <si>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</si>
  <si>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</si>
  <si>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</si>
  <si>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</si>
  <si>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</si>
  <si>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</si>
  <si>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</si>
  <si>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</si>
  <si>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</si>
  <si>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</si>
  <si>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</si>
  <si>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</si>
  <si>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</si>
  <si>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</si>
  <si>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</si>
  <si>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</si>
  <si>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</si>
  <si>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</si>
  <si>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</si>
  <si>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</si>
  <si>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</si>
  <si>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</si>
  <si>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</si>
  <si>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</si>
  <si>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</si>
  <si>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</si>
  <si>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</si>
  <si>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</si>
  <si>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</si>
  <si>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</si>
  <si>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</si>
  <si>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</si>
  <si>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</si>
  <si>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</si>
  <si>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</si>
  <si>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</si>
  <si>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</si>
  <si>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</si>
  <si>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</si>
  <si>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</si>
  <si>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</si>
  <si>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</si>
  <si>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</si>
  <si>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</si>
  <si>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</si>
  <si>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</si>
  <si>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</si>
  <si>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</si>
  <si>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</si>
  <si>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</si>
  <si>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</si>
  <si>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</si>
  <si>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</si>
  <si>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</si>
  <si>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</si>
  <si>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</si>
  <si>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</si>
  <si>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</si>
  <si>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Короб, мин. 14</t>
  </si>
  <si>
    <t>Короб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</si>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</sst>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7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46054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0.375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88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1"/>
      <c r="B31" s="631"/>
      <c r="C31" s="631"/>
      <c r="D31" s="631"/>
      <c r="E31" s="631"/>
      <c r="F31" s="631"/>
      <c r="G31" s="631"/>
      <c r="H31" s="631"/>
      <c r="I31" s="631"/>
      <c r="J31" s="631"/>
      <c r="K31" s="631"/>
      <c r="L31" s="631"/>
      <c r="M31" s="631"/>
      <c r="N31" s="631"/>
      <c r="O31" s="632"/>
      <c r="P31" s="628" t="s">
        <v>40</v>
      </c>
      <c r="Q31" s="629"/>
      <c r="R31" s="629"/>
      <c r="S31" s="629"/>
      <c r="T31" s="629"/>
      <c r="U31" s="629"/>
      <c r="V31" s="630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1"/>
      <c r="B35" s="631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2"/>
      <c r="P35" s="628" t="s">
        <v>40</v>
      </c>
      <c r="Q35" s="629"/>
      <c r="R35" s="629"/>
      <c r="S35" s="629"/>
      <c r="T35" s="629"/>
      <c r="U35" s="629"/>
      <c r="V35" s="630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94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92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94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92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1"/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2"/>
      <c r="P43" s="628" t="s">
        <v>40</v>
      </c>
      <c r="Q43" s="629"/>
      <c r="R43" s="629"/>
      <c r="S43" s="629"/>
      <c r="T43" s="629"/>
      <c r="U43" s="629"/>
      <c r="V43" s="630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88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1"/>
      <c r="B47" s="631"/>
      <c r="C47" s="631"/>
      <c r="D47" s="631"/>
      <c r="E47" s="631"/>
      <c r="F47" s="631"/>
      <c r="G47" s="631"/>
      <c r="H47" s="631"/>
      <c r="I47" s="631"/>
      <c r="J47" s="631"/>
      <c r="K47" s="631"/>
      <c r="L47" s="631"/>
      <c r="M47" s="631"/>
      <c r="N47" s="631"/>
      <c r="O47" s="632"/>
      <c r="P47" s="628" t="s">
        <v>40</v>
      </c>
      <c r="Q47" s="629"/>
      <c r="R47" s="629"/>
      <c r="S47" s="629"/>
      <c r="T47" s="629"/>
      <c r="U47" s="629"/>
      <c r="V47" s="630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45</v>
      </c>
      <c r="M51" s="38" t="s">
        <v>92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100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122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94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1"/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2"/>
      <c r="P57" s="628" t="s">
        <v>40</v>
      </c>
      <c r="Q57" s="629"/>
      <c r="R57" s="629"/>
      <c r="S57" s="629"/>
      <c r="T57" s="629"/>
      <c r="U57" s="629"/>
      <c r="V57" s="630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147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45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93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94</v>
      </c>
      <c r="AK62" s="84">
        <v>37.799999999999997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1"/>
      <c r="B63" s="631"/>
      <c r="C63" s="631"/>
      <c r="D63" s="631"/>
      <c r="E63" s="631"/>
      <c r="F63" s="631"/>
      <c r="G63" s="631"/>
      <c r="H63" s="631"/>
      <c r="I63" s="631"/>
      <c r="J63" s="631"/>
      <c r="K63" s="631"/>
      <c r="L63" s="631"/>
      <c r="M63" s="631"/>
      <c r="N63" s="631"/>
      <c r="O63" s="632"/>
      <c r="P63" s="628" t="s">
        <v>40</v>
      </c>
      <c r="Q63" s="629"/>
      <c r="R63" s="629"/>
      <c r="S63" s="629"/>
      <c r="T63" s="629"/>
      <c r="U63" s="629"/>
      <c r="V63" s="630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4301031316</v>
      </c>
      <c r="D66" s="623">
        <v>4680115885097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31"/>
      <c r="B67" s="631"/>
      <c r="C67" s="631"/>
      <c r="D67" s="631"/>
      <c r="E67" s="631"/>
      <c r="F67" s="631"/>
      <c r="G67" s="631"/>
      <c r="H67" s="631"/>
      <c r="I67" s="631"/>
      <c r="J67" s="631"/>
      <c r="K67" s="631"/>
      <c r="L67" s="631"/>
      <c r="M67" s="631"/>
      <c r="N67" s="631"/>
      <c r="O67" s="632"/>
      <c r="P67" s="628" t="s">
        <v>40</v>
      </c>
      <c r="Q67" s="629"/>
      <c r="R67" s="629"/>
      <c r="S67" s="629"/>
      <c r="T67" s="629"/>
      <c r="U67" s="629"/>
      <c r="V67" s="630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31"/>
      <c r="B68" s="631"/>
      <c r="C68" s="631"/>
      <c r="D68" s="631"/>
      <c r="E68" s="631"/>
      <c r="F68" s="631"/>
      <c r="G68" s="631"/>
      <c r="H68" s="631"/>
      <c r="I68" s="631"/>
      <c r="J68" s="631"/>
      <c r="K68" s="631"/>
      <c r="L68" s="631"/>
      <c r="M68" s="631"/>
      <c r="N68" s="631"/>
      <c r="O68" s="632"/>
      <c r="P68" s="628" t="s">
        <v>40</v>
      </c>
      <c r="Q68" s="629"/>
      <c r="R68" s="629"/>
      <c r="S68" s="629"/>
      <c r="T68" s="629"/>
      <c r="U68" s="629"/>
      <c r="V68" s="630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2" t="s">
        <v>88</v>
      </c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622"/>
      <c r="P69" s="622"/>
      <c r="Q69" s="622"/>
      <c r="R69" s="622"/>
      <c r="S69" s="622"/>
      <c r="T69" s="622"/>
      <c r="U69" s="622"/>
      <c r="V69" s="622"/>
      <c r="W69" s="622"/>
      <c r="X69" s="622"/>
      <c r="Y69" s="622"/>
      <c r="Z69" s="622"/>
      <c r="AA69" s="66"/>
      <c r="AB69" s="66"/>
      <c r="AC69" s="80"/>
    </row>
    <row r="70" spans="1:68" ht="27" customHeight="1" x14ac:dyDescent="0.25">
      <c r="A70" s="63" t="s">
        <v>158</v>
      </c>
      <c r="B70" s="63" t="s">
        <v>159</v>
      </c>
      <c r="C70" s="36">
        <v>4301051846</v>
      </c>
      <c r="D70" s="623">
        <v>4680115885769</v>
      </c>
      <c r="E70" s="623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117</v>
      </c>
      <c r="L70" s="37" t="s">
        <v>45</v>
      </c>
      <c r="M70" s="38" t="s">
        <v>92</v>
      </c>
      <c r="N70" s="38"/>
      <c r="O70" s="37">
        <v>45</v>
      </c>
      <c r="P70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5"/>
      <c r="R70" s="625"/>
      <c r="S70" s="625"/>
      <c r="T70" s="626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160</v>
      </c>
      <c r="AG70" s="78"/>
      <c r="AJ70" s="84" t="s">
        <v>45</v>
      </c>
      <c r="AK70" s="84">
        <v>0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161</v>
      </c>
      <c r="B71" s="63" t="s">
        <v>162</v>
      </c>
      <c r="C71" s="36">
        <v>4301051837</v>
      </c>
      <c r="D71" s="623">
        <v>4680115884311</v>
      </c>
      <c r="E71" s="6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5"/>
      <c r="R71" s="625"/>
      <c r="S71" s="625"/>
      <c r="T71" s="62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163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164</v>
      </c>
      <c r="B72" s="63" t="s">
        <v>165</v>
      </c>
      <c r="C72" s="36">
        <v>4301051844</v>
      </c>
      <c r="D72" s="623">
        <v>4680115885929</v>
      </c>
      <c r="E72" s="623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4301051929</v>
      </c>
      <c r="D73" s="623">
        <v>4680115884403</v>
      </c>
      <c r="E73" s="6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1"/>
      <c r="B74" s="631"/>
      <c r="C74" s="631"/>
      <c r="D74" s="631"/>
      <c r="E74" s="631"/>
      <c r="F74" s="631"/>
      <c r="G74" s="631"/>
      <c r="H74" s="631"/>
      <c r="I74" s="631"/>
      <c r="J74" s="631"/>
      <c r="K74" s="631"/>
      <c r="L74" s="631"/>
      <c r="M74" s="631"/>
      <c r="N74" s="631"/>
      <c r="O74" s="632"/>
      <c r="P74" s="628" t="s">
        <v>40</v>
      </c>
      <c r="Q74" s="629"/>
      <c r="R74" s="629"/>
      <c r="S74" s="629"/>
      <c r="T74" s="629"/>
      <c r="U74" s="629"/>
      <c r="V74" s="63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31"/>
      <c r="B75" s="631"/>
      <c r="C75" s="631"/>
      <c r="D75" s="631"/>
      <c r="E75" s="631"/>
      <c r="F75" s="631"/>
      <c r="G75" s="631"/>
      <c r="H75" s="631"/>
      <c r="I75" s="631"/>
      <c r="J75" s="631"/>
      <c r="K75" s="631"/>
      <c r="L75" s="631"/>
      <c r="M75" s="631"/>
      <c r="N75" s="631"/>
      <c r="O75" s="632"/>
      <c r="P75" s="628" t="s">
        <v>40</v>
      </c>
      <c r="Q75" s="629"/>
      <c r="R75" s="629"/>
      <c r="S75" s="629"/>
      <c r="T75" s="629"/>
      <c r="U75" s="629"/>
      <c r="V75" s="63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2" t="s">
        <v>169</v>
      </c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  <c r="R76" s="622"/>
      <c r="S76" s="622"/>
      <c r="T76" s="622"/>
      <c r="U76" s="622"/>
      <c r="V76" s="622"/>
      <c r="W76" s="622"/>
      <c r="X76" s="622"/>
      <c r="Y76" s="622"/>
      <c r="Z76" s="622"/>
      <c r="AA76" s="66"/>
      <c r="AB76" s="66"/>
      <c r="AC76" s="80"/>
    </row>
    <row r="77" spans="1:68" ht="27" customHeight="1" x14ac:dyDescent="0.25">
      <c r="A77" s="63" t="s">
        <v>170</v>
      </c>
      <c r="B77" s="63" t="s">
        <v>171</v>
      </c>
      <c r="C77" s="36">
        <v>4301060455</v>
      </c>
      <c r="D77" s="623">
        <v>4680115881532</v>
      </c>
      <c r="E77" s="6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117</v>
      </c>
      <c r="L77" s="37" t="s">
        <v>45</v>
      </c>
      <c r="M77" s="38" t="s">
        <v>100</v>
      </c>
      <c r="N77" s="38"/>
      <c r="O77" s="37">
        <v>30</v>
      </c>
      <c r="P77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5"/>
      <c r="R77" s="625"/>
      <c r="S77" s="625"/>
      <c r="T77" s="626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172</v>
      </c>
      <c r="AG77" s="78"/>
      <c r="AJ77" s="84" t="s">
        <v>45</v>
      </c>
      <c r="AK77" s="84">
        <v>0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4301060351</v>
      </c>
      <c r="D78" s="623">
        <v>4680115881464</v>
      </c>
      <c r="E78" s="62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121</v>
      </c>
      <c r="L78" s="37" t="s">
        <v>45</v>
      </c>
      <c r="M78" s="38" t="s">
        <v>92</v>
      </c>
      <c r="N78" s="38"/>
      <c r="O78" s="37">
        <v>30</v>
      </c>
      <c r="P78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5"/>
      <c r="R78" s="625"/>
      <c r="S78" s="625"/>
      <c r="T78" s="62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175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1"/>
      <c r="B79" s="631"/>
      <c r="C79" s="631"/>
      <c r="D79" s="631"/>
      <c r="E79" s="631"/>
      <c r="F79" s="631"/>
      <c r="G79" s="631"/>
      <c r="H79" s="631"/>
      <c r="I79" s="631"/>
      <c r="J79" s="631"/>
      <c r="K79" s="631"/>
      <c r="L79" s="631"/>
      <c r="M79" s="631"/>
      <c r="N79" s="631"/>
      <c r="O79" s="632"/>
      <c r="P79" s="628" t="s">
        <v>40</v>
      </c>
      <c r="Q79" s="629"/>
      <c r="R79" s="629"/>
      <c r="S79" s="629"/>
      <c r="T79" s="629"/>
      <c r="U79" s="629"/>
      <c r="V79" s="63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1"/>
      <c r="B80" s="631"/>
      <c r="C80" s="631"/>
      <c r="D80" s="631"/>
      <c r="E80" s="631"/>
      <c r="F80" s="631"/>
      <c r="G80" s="631"/>
      <c r="H80" s="631"/>
      <c r="I80" s="631"/>
      <c r="J80" s="631"/>
      <c r="K80" s="631"/>
      <c r="L80" s="631"/>
      <c r="M80" s="631"/>
      <c r="N80" s="631"/>
      <c r="O80" s="632"/>
      <c r="P80" s="628" t="s">
        <v>40</v>
      </c>
      <c r="Q80" s="629"/>
      <c r="R80" s="629"/>
      <c r="S80" s="629"/>
      <c r="T80" s="629"/>
      <c r="U80" s="629"/>
      <c r="V80" s="63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21" t="s">
        <v>176</v>
      </c>
      <c r="B81" s="621"/>
      <c r="C81" s="621"/>
      <c r="D81" s="621"/>
      <c r="E81" s="621"/>
      <c r="F81" s="621"/>
      <c r="G81" s="621"/>
      <c r="H81" s="621"/>
      <c r="I81" s="621"/>
      <c r="J81" s="621"/>
      <c r="K81" s="621"/>
      <c r="L81" s="621"/>
      <c r="M81" s="621"/>
      <c r="N81" s="621"/>
      <c r="O81" s="621"/>
      <c r="P81" s="621"/>
      <c r="Q81" s="621"/>
      <c r="R81" s="621"/>
      <c r="S81" s="621"/>
      <c r="T81" s="621"/>
      <c r="U81" s="621"/>
      <c r="V81" s="621"/>
      <c r="W81" s="621"/>
      <c r="X81" s="621"/>
      <c r="Y81" s="621"/>
      <c r="Z81" s="621"/>
      <c r="AA81" s="65"/>
      <c r="AB81" s="65"/>
      <c r="AC81" s="79"/>
    </row>
    <row r="82" spans="1:68" ht="14.25" customHeight="1" x14ac:dyDescent="0.25">
      <c r="A82" s="622" t="s">
        <v>112</v>
      </c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O82" s="622"/>
      <c r="P82" s="622"/>
      <c r="Q82" s="622"/>
      <c r="R82" s="622"/>
      <c r="S82" s="622"/>
      <c r="T82" s="622"/>
      <c r="U82" s="622"/>
      <c r="V82" s="622"/>
      <c r="W82" s="622"/>
      <c r="X82" s="622"/>
      <c r="Y82" s="622"/>
      <c r="Z82" s="622"/>
      <c r="AA82" s="66"/>
      <c r="AB82" s="66"/>
      <c r="AC82" s="80"/>
    </row>
    <row r="83" spans="1:68" ht="27" customHeight="1" x14ac:dyDescent="0.25">
      <c r="A83" s="63" t="s">
        <v>177</v>
      </c>
      <c r="B83" s="63" t="s">
        <v>178</v>
      </c>
      <c r="C83" s="36">
        <v>4301011468</v>
      </c>
      <c r="D83" s="623">
        <v>4680115881327</v>
      </c>
      <c r="E83" s="62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117</v>
      </c>
      <c r="L83" s="37" t="s">
        <v>118</v>
      </c>
      <c r="M83" s="38" t="s">
        <v>100</v>
      </c>
      <c r="N83" s="38"/>
      <c r="O83" s="37">
        <v>50</v>
      </c>
      <c r="P83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5"/>
      <c r="R83" s="625"/>
      <c r="S83" s="625"/>
      <c r="T83" s="626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179</v>
      </c>
      <c r="AG83" s="78"/>
      <c r="AJ83" s="84" t="s">
        <v>94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180</v>
      </c>
      <c r="B84" s="63" t="s">
        <v>181</v>
      </c>
      <c r="C84" s="36">
        <v>4301011261</v>
      </c>
      <c r="D84" s="623">
        <v>4680115887732</v>
      </c>
      <c r="E84" s="62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183</v>
      </c>
      <c r="L84" s="37" t="s">
        <v>45</v>
      </c>
      <c r="M84" s="38" t="s">
        <v>82</v>
      </c>
      <c r="N84" s="38"/>
      <c r="O84" s="37">
        <v>30</v>
      </c>
      <c r="P84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5"/>
      <c r="R84" s="625"/>
      <c r="S84" s="625"/>
      <c r="T84" s="62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182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184</v>
      </c>
      <c r="B85" s="63" t="s">
        <v>185</v>
      </c>
      <c r="C85" s="36">
        <v>4301011476</v>
      </c>
      <c r="D85" s="623">
        <v>4680115881518</v>
      </c>
      <c r="E85" s="62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121</v>
      </c>
      <c r="L85" s="37" t="s">
        <v>45</v>
      </c>
      <c r="M85" s="38" t="s">
        <v>92</v>
      </c>
      <c r="N85" s="38"/>
      <c r="O85" s="37">
        <v>50</v>
      </c>
      <c r="P85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4301011443</v>
      </c>
      <c r="D86" s="623">
        <v>4680115881303</v>
      </c>
      <c r="E86" s="62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121</v>
      </c>
      <c r="L86" s="37" t="s">
        <v>122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94</v>
      </c>
      <c r="AK86" s="84">
        <v>54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31"/>
      <c r="B87" s="631"/>
      <c r="C87" s="631"/>
      <c r="D87" s="631"/>
      <c r="E87" s="631"/>
      <c r="F87" s="631"/>
      <c r="G87" s="631"/>
      <c r="H87" s="631"/>
      <c r="I87" s="631"/>
      <c r="J87" s="631"/>
      <c r="K87" s="631"/>
      <c r="L87" s="631"/>
      <c r="M87" s="631"/>
      <c r="N87" s="631"/>
      <c r="O87" s="632"/>
      <c r="P87" s="628" t="s">
        <v>40</v>
      </c>
      <c r="Q87" s="629"/>
      <c r="R87" s="629"/>
      <c r="S87" s="629"/>
      <c r="T87" s="629"/>
      <c r="U87" s="629"/>
      <c r="V87" s="630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31"/>
      <c r="B88" s="631"/>
      <c r="C88" s="631"/>
      <c r="D88" s="631"/>
      <c r="E88" s="631"/>
      <c r="F88" s="631"/>
      <c r="G88" s="631"/>
      <c r="H88" s="631"/>
      <c r="I88" s="631"/>
      <c r="J88" s="631"/>
      <c r="K88" s="631"/>
      <c r="L88" s="631"/>
      <c r="M88" s="631"/>
      <c r="N88" s="631"/>
      <c r="O88" s="632"/>
      <c r="P88" s="628" t="s">
        <v>40</v>
      </c>
      <c r="Q88" s="629"/>
      <c r="R88" s="629"/>
      <c r="S88" s="629"/>
      <c r="T88" s="629"/>
      <c r="U88" s="629"/>
      <c r="V88" s="630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2" t="s">
        <v>88</v>
      </c>
      <c r="B89" s="622"/>
      <c r="C89" s="622"/>
      <c r="D89" s="622"/>
      <c r="E89" s="622"/>
      <c r="F89" s="622"/>
      <c r="G89" s="622"/>
      <c r="H89" s="622"/>
      <c r="I89" s="622"/>
      <c r="J89" s="622"/>
      <c r="K89" s="622"/>
      <c r="L89" s="622"/>
      <c r="M89" s="622"/>
      <c r="N89" s="622"/>
      <c r="O89" s="622"/>
      <c r="P89" s="622"/>
      <c r="Q89" s="622"/>
      <c r="R89" s="622"/>
      <c r="S89" s="622"/>
      <c r="T89" s="622"/>
      <c r="U89" s="622"/>
      <c r="V89" s="622"/>
      <c r="W89" s="622"/>
      <c r="X89" s="622"/>
      <c r="Y89" s="622"/>
      <c r="Z89" s="622"/>
      <c r="AA89" s="66"/>
      <c r="AB89" s="66"/>
      <c r="AC89" s="80"/>
    </row>
    <row r="90" spans="1:68" ht="27" customHeight="1" x14ac:dyDescent="0.25">
      <c r="A90" s="63" t="s">
        <v>188</v>
      </c>
      <c r="B90" s="63" t="s">
        <v>189</v>
      </c>
      <c r="C90" s="36">
        <v>4301051712</v>
      </c>
      <c r="D90" s="623">
        <v>4607091386967</v>
      </c>
      <c r="E90" s="62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117</v>
      </c>
      <c r="L90" s="37" t="s">
        <v>45</v>
      </c>
      <c r="M90" s="38" t="s">
        <v>100</v>
      </c>
      <c r="N90" s="38"/>
      <c r="O90" s="37">
        <v>45</v>
      </c>
      <c r="P90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5"/>
      <c r="R90" s="625"/>
      <c r="S90" s="625"/>
      <c r="T90" s="626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190</v>
      </c>
      <c r="AG90" s="78"/>
      <c r="AJ90" s="84" t="s">
        <v>45</v>
      </c>
      <c r="AK90" s="84">
        <v>0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191</v>
      </c>
      <c r="B91" s="63" t="s">
        <v>192</v>
      </c>
      <c r="C91" s="36">
        <v>4301051788</v>
      </c>
      <c r="D91" s="623">
        <v>4680115884953</v>
      </c>
      <c r="E91" s="62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4301051718</v>
      </c>
      <c r="D92" s="623">
        <v>4607091385731</v>
      </c>
      <c r="E92" s="62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45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190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195</v>
      </c>
      <c r="B93" s="63" t="s">
        <v>196</v>
      </c>
      <c r="C93" s="36">
        <v>4301051438</v>
      </c>
      <c r="D93" s="623">
        <v>4680115880894</v>
      </c>
      <c r="E93" s="62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31"/>
      <c r="B94" s="631"/>
      <c r="C94" s="631"/>
      <c r="D94" s="631"/>
      <c r="E94" s="631"/>
      <c r="F94" s="631"/>
      <c r="G94" s="631"/>
      <c r="H94" s="631"/>
      <c r="I94" s="631"/>
      <c r="J94" s="631"/>
      <c r="K94" s="631"/>
      <c r="L94" s="631"/>
      <c r="M94" s="631"/>
      <c r="N94" s="631"/>
      <c r="O94" s="632"/>
      <c r="P94" s="628" t="s">
        <v>40</v>
      </c>
      <c r="Q94" s="629"/>
      <c r="R94" s="629"/>
      <c r="S94" s="629"/>
      <c r="T94" s="629"/>
      <c r="U94" s="629"/>
      <c r="V94" s="630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31"/>
      <c r="B95" s="631"/>
      <c r="C95" s="631"/>
      <c r="D95" s="631"/>
      <c r="E95" s="631"/>
      <c r="F95" s="631"/>
      <c r="G95" s="631"/>
      <c r="H95" s="631"/>
      <c r="I95" s="631"/>
      <c r="J95" s="631"/>
      <c r="K95" s="631"/>
      <c r="L95" s="631"/>
      <c r="M95" s="631"/>
      <c r="N95" s="631"/>
      <c r="O95" s="632"/>
      <c r="P95" s="628" t="s">
        <v>40</v>
      </c>
      <c r="Q95" s="629"/>
      <c r="R95" s="629"/>
      <c r="S95" s="629"/>
      <c r="T95" s="629"/>
      <c r="U95" s="629"/>
      <c r="V95" s="630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21" t="s">
        <v>198</v>
      </c>
      <c r="B96" s="621"/>
      <c r="C96" s="621"/>
      <c r="D96" s="621"/>
      <c r="E96" s="621"/>
      <c r="F96" s="621"/>
      <c r="G96" s="621"/>
      <c r="H96" s="621"/>
      <c r="I96" s="621"/>
      <c r="J96" s="621"/>
      <c r="K96" s="621"/>
      <c r="L96" s="621"/>
      <c r="M96" s="621"/>
      <c r="N96" s="621"/>
      <c r="O96" s="621"/>
      <c r="P96" s="621"/>
      <c r="Q96" s="621"/>
      <c r="R96" s="621"/>
      <c r="S96" s="621"/>
      <c r="T96" s="621"/>
      <c r="U96" s="621"/>
      <c r="V96" s="621"/>
      <c r="W96" s="621"/>
      <c r="X96" s="621"/>
      <c r="Y96" s="621"/>
      <c r="Z96" s="621"/>
      <c r="AA96" s="65"/>
      <c r="AB96" s="65"/>
      <c r="AC96" s="79"/>
    </row>
    <row r="97" spans="1:68" ht="14.25" customHeight="1" x14ac:dyDescent="0.25">
      <c r="A97" s="622" t="s">
        <v>112</v>
      </c>
      <c r="B97" s="622"/>
      <c r="C97" s="622"/>
      <c r="D97" s="622"/>
      <c r="E97" s="622"/>
      <c r="F97" s="622"/>
      <c r="G97" s="622"/>
      <c r="H97" s="622"/>
      <c r="I97" s="622"/>
      <c r="J97" s="622"/>
      <c r="K97" s="622"/>
      <c r="L97" s="622"/>
      <c r="M97" s="622"/>
      <c r="N97" s="622"/>
      <c r="O97" s="622"/>
      <c r="P97" s="622"/>
      <c r="Q97" s="622"/>
      <c r="R97" s="622"/>
      <c r="S97" s="622"/>
      <c r="T97" s="622"/>
      <c r="U97" s="622"/>
      <c r="V97" s="622"/>
      <c r="W97" s="622"/>
      <c r="X97" s="622"/>
      <c r="Y97" s="622"/>
      <c r="Z97" s="622"/>
      <c r="AA97" s="66"/>
      <c r="AB97" s="66"/>
      <c r="AC97" s="80"/>
    </row>
    <row r="98" spans="1:68" ht="37.5" customHeight="1" x14ac:dyDescent="0.25">
      <c r="A98" s="63" t="s">
        <v>199</v>
      </c>
      <c r="B98" s="63" t="s">
        <v>200</v>
      </c>
      <c r="C98" s="36">
        <v>4301011514</v>
      </c>
      <c r="D98" s="623">
        <v>4680115882133</v>
      </c>
      <c r="E98" s="62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117</v>
      </c>
      <c r="L98" s="37" t="s">
        <v>118</v>
      </c>
      <c r="M98" s="38" t="s">
        <v>116</v>
      </c>
      <c r="N98" s="38"/>
      <c r="O98" s="37">
        <v>50</v>
      </c>
      <c r="P98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5"/>
      <c r="R98" s="625"/>
      <c r="S98" s="625"/>
      <c r="T98" s="626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201</v>
      </c>
      <c r="AG98" s="78"/>
      <c r="AJ98" s="84" t="s">
        <v>94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202</v>
      </c>
      <c r="B99" s="63" t="s">
        <v>203</v>
      </c>
      <c r="C99" s="36">
        <v>4301012051</v>
      </c>
      <c r="D99" s="623">
        <v>4680115887718</v>
      </c>
      <c r="E99" s="62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183</v>
      </c>
      <c r="L99" s="37" t="s">
        <v>45</v>
      </c>
      <c r="M99" s="38" t="s">
        <v>82</v>
      </c>
      <c r="N99" s="38"/>
      <c r="O99" s="37">
        <v>30</v>
      </c>
      <c r="P99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45</v>
      </c>
      <c r="M100" s="38" t="s">
        <v>92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92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94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92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1"/>
      <c r="B103" s="631"/>
      <c r="C103" s="631"/>
      <c r="D103" s="631"/>
      <c r="E103" s="631"/>
      <c r="F103" s="631"/>
      <c r="G103" s="631"/>
      <c r="H103" s="631"/>
      <c r="I103" s="631"/>
      <c r="J103" s="631"/>
      <c r="K103" s="631"/>
      <c r="L103" s="631"/>
      <c r="M103" s="631"/>
      <c r="N103" s="631"/>
      <c r="O103" s="632"/>
      <c r="P103" s="628" t="s">
        <v>40</v>
      </c>
      <c r="Q103" s="629"/>
      <c r="R103" s="629"/>
      <c r="S103" s="629"/>
      <c r="T103" s="629"/>
      <c r="U103" s="629"/>
      <c r="V103" s="630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147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214</v>
      </c>
      <c r="B107" s="63" t="s">
        <v>215</v>
      </c>
      <c r="C107" s="36">
        <v>4301020186</v>
      </c>
      <c r="D107" s="623">
        <v>4680115887664</v>
      </c>
      <c r="E107" s="623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217</v>
      </c>
      <c r="L107" s="37" t="s">
        <v>45</v>
      </c>
      <c r="M107" s="38" t="s">
        <v>82</v>
      </c>
      <c r="N107" s="38"/>
      <c r="O107" s="37">
        <v>30</v>
      </c>
      <c r="P107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45</v>
      </c>
      <c r="M109" s="38" t="s">
        <v>116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213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88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117</v>
      </c>
      <c r="L113" s="37" t="s">
        <v>45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45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93</v>
      </c>
      <c r="M116" s="38" t="s">
        <v>92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94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169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93</v>
      </c>
      <c r="M120" s="38" t="s">
        <v>92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94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112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45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109</v>
      </c>
      <c r="N126" s="38"/>
      <c r="O126" s="37">
        <v>90</v>
      </c>
      <c r="P126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45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109</v>
      </c>
      <c r="N131" s="38"/>
      <c r="O131" s="37">
        <v>90</v>
      </c>
      <c r="P131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88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109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112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117</v>
      </c>
      <c r="L141" s="37" t="s">
        <v>45</v>
      </c>
      <c r="M141" s="38" t="s">
        <v>116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121</v>
      </c>
      <c r="L142" s="37" t="s">
        <v>45</v>
      </c>
      <c r="M142" s="38" t="s">
        <v>116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3">
        <v>4680115887428</v>
      </c>
      <c r="E146" s="623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121</v>
      </c>
      <c r="L146" s="37" t="s">
        <v>45</v>
      </c>
      <c r="M146" s="38" t="s">
        <v>82</v>
      </c>
      <c r="N146" s="38"/>
      <c r="O146" s="37">
        <v>40</v>
      </c>
      <c r="P146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3">
        <v>4680115887336</v>
      </c>
      <c r="E148" s="62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121</v>
      </c>
      <c r="L148" s="37" t="s">
        <v>45</v>
      </c>
      <c r="M148" s="38" t="s">
        <v>82</v>
      </c>
      <c r="N148" s="38"/>
      <c r="O148" s="37">
        <v>40</v>
      </c>
      <c r="P148" s="69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3">
        <v>4607091382426</v>
      </c>
      <c r="E149" s="623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117</v>
      </c>
      <c r="L149" s="37" t="s">
        <v>45</v>
      </c>
      <c r="M149" s="38" t="s">
        <v>82</v>
      </c>
      <c r="N149" s="38"/>
      <c r="O149" s="37">
        <v>40</v>
      </c>
      <c r="P149" s="6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5"/>
      <c r="R149" s="625"/>
      <c r="S149" s="625"/>
      <c r="T149" s="626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3">
        <v>4680115887398</v>
      </c>
      <c r="E150" s="62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121</v>
      </c>
      <c r="L150" s="37" t="s">
        <v>45</v>
      </c>
      <c r="M150" s="38" t="s">
        <v>82</v>
      </c>
      <c r="N150" s="38"/>
      <c r="O150" s="37">
        <v>40</v>
      </c>
      <c r="P150" s="69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5"/>
      <c r="R150" s="625"/>
      <c r="S150" s="625"/>
      <c r="T150" s="626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31"/>
      <c r="B151" s="631"/>
      <c r="C151" s="631"/>
      <c r="D151" s="631"/>
      <c r="E151" s="631"/>
      <c r="F151" s="631"/>
      <c r="G151" s="631"/>
      <c r="H151" s="631"/>
      <c r="I151" s="631"/>
      <c r="J151" s="631"/>
      <c r="K151" s="631"/>
      <c r="L151" s="631"/>
      <c r="M151" s="631"/>
      <c r="N151" s="631"/>
      <c r="O151" s="632"/>
      <c r="P151" s="628" t="s">
        <v>40</v>
      </c>
      <c r="Q151" s="629"/>
      <c r="R151" s="629"/>
      <c r="S151" s="629"/>
      <c r="T151" s="629"/>
      <c r="U151" s="629"/>
      <c r="V151" s="630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31"/>
      <c r="B152" s="631"/>
      <c r="C152" s="631"/>
      <c r="D152" s="631"/>
      <c r="E152" s="631"/>
      <c r="F152" s="631"/>
      <c r="G152" s="631"/>
      <c r="H152" s="631"/>
      <c r="I152" s="631"/>
      <c r="J152" s="631"/>
      <c r="K152" s="631"/>
      <c r="L152" s="631"/>
      <c r="M152" s="631"/>
      <c r="N152" s="631"/>
      <c r="O152" s="632"/>
      <c r="P152" s="628" t="s">
        <v>40</v>
      </c>
      <c r="Q152" s="629"/>
      <c r="R152" s="629"/>
      <c r="S152" s="629"/>
      <c r="T152" s="629"/>
      <c r="U152" s="629"/>
      <c r="V152" s="630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2" t="s">
        <v>88</v>
      </c>
      <c r="B153" s="622"/>
      <c r="C153" s="622"/>
      <c r="D153" s="622"/>
      <c r="E153" s="622"/>
      <c r="F153" s="622"/>
      <c r="G153" s="622"/>
      <c r="H153" s="622"/>
      <c r="I153" s="622"/>
      <c r="J153" s="622"/>
      <c r="K153" s="622"/>
      <c r="L153" s="622"/>
      <c r="M153" s="622"/>
      <c r="N153" s="622"/>
      <c r="O153" s="622"/>
      <c r="P153" s="622"/>
      <c r="Q153" s="622"/>
      <c r="R153" s="622"/>
      <c r="S153" s="622"/>
      <c r="T153" s="622"/>
      <c r="U153" s="622"/>
      <c r="V153" s="622"/>
      <c r="W153" s="622"/>
      <c r="X153" s="622"/>
      <c r="Y153" s="622"/>
      <c r="Z153" s="622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3">
        <v>4680115887459</v>
      </c>
      <c r="E154" s="623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5"/>
      <c r="R154" s="625"/>
      <c r="S154" s="625"/>
      <c r="T154" s="626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31"/>
      <c r="B155" s="631"/>
      <c r="C155" s="631"/>
      <c r="D155" s="631"/>
      <c r="E155" s="631"/>
      <c r="F155" s="631"/>
      <c r="G155" s="631"/>
      <c r="H155" s="631"/>
      <c r="I155" s="631"/>
      <c r="J155" s="631"/>
      <c r="K155" s="631"/>
      <c r="L155" s="631"/>
      <c r="M155" s="631"/>
      <c r="N155" s="631"/>
      <c r="O155" s="632"/>
      <c r="P155" s="628" t="s">
        <v>40</v>
      </c>
      <c r="Q155" s="629"/>
      <c r="R155" s="629"/>
      <c r="S155" s="629"/>
      <c r="T155" s="629"/>
      <c r="U155" s="629"/>
      <c r="V155" s="630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31"/>
      <c r="B156" s="631"/>
      <c r="C156" s="631"/>
      <c r="D156" s="631"/>
      <c r="E156" s="631"/>
      <c r="F156" s="631"/>
      <c r="G156" s="631"/>
      <c r="H156" s="631"/>
      <c r="I156" s="631"/>
      <c r="J156" s="631"/>
      <c r="K156" s="631"/>
      <c r="L156" s="631"/>
      <c r="M156" s="631"/>
      <c r="N156" s="631"/>
      <c r="O156" s="632"/>
      <c r="P156" s="628" t="s">
        <v>40</v>
      </c>
      <c r="Q156" s="629"/>
      <c r="R156" s="629"/>
      <c r="S156" s="629"/>
      <c r="T156" s="629"/>
      <c r="U156" s="629"/>
      <c r="V156" s="630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20" t="s">
        <v>271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54"/>
      <c r="AB157" s="54"/>
      <c r="AC157" s="54"/>
    </row>
    <row r="158" spans="1:68" ht="16.5" customHeight="1" x14ac:dyDescent="0.25">
      <c r="A158" s="621" t="s">
        <v>272</v>
      </c>
      <c r="B158" s="621"/>
      <c r="C158" s="621"/>
      <c r="D158" s="621"/>
      <c r="E158" s="621"/>
      <c r="F158" s="621"/>
      <c r="G158" s="621"/>
      <c r="H158" s="621"/>
      <c r="I158" s="621"/>
      <c r="J158" s="621"/>
      <c r="K158" s="621"/>
      <c r="L158" s="621"/>
      <c r="M158" s="621"/>
      <c r="N158" s="621"/>
      <c r="O158" s="621"/>
      <c r="P158" s="621"/>
      <c r="Q158" s="621"/>
      <c r="R158" s="621"/>
      <c r="S158" s="621"/>
      <c r="T158" s="621"/>
      <c r="U158" s="621"/>
      <c r="V158" s="621"/>
      <c r="W158" s="621"/>
      <c r="X158" s="621"/>
      <c r="Y158" s="621"/>
      <c r="Z158" s="621"/>
      <c r="AA158" s="65"/>
      <c r="AB158" s="65"/>
      <c r="AC158" s="79"/>
    </row>
    <row r="159" spans="1:68" ht="14.25" customHeight="1" x14ac:dyDescent="0.25">
      <c r="A159" s="622" t="s">
        <v>147</v>
      </c>
      <c r="B159" s="622"/>
      <c r="C159" s="622"/>
      <c r="D159" s="622"/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O159" s="622"/>
      <c r="P159" s="622"/>
      <c r="Q159" s="622"/>
      <c r="R159" s="622"/>
      <c r="S159" s="622"/>
      <c r="T159" s="622"/>
      <c r="U159" s="622"/>
      <c r="V159" s="622"/>
      <c r="W159" s="622"/>
      <c r="X159" s="622"/>
      <c r="Y159" s="622"/>
      <c r="Z159" s="622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3">
        <v>4680115886223</v>
      </c>
      <c r="E160" s="623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5"/>
      <c r="R160" s="625"/>
      <c r="S160" s="625"/>
      <c r="T160" s="626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31"/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2"/>
      <c r="P161" s="628" t="s">
        <v>40</v>
      </c>
      <c r="Q161" s="629"/>
      <c r="R161" s="629"/>
      <c r="S161" s="629"/>
      <c r="T161" s="629"/>
      <c r="U161" s="629"/>
      <c r="V161" s="630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31"/>
      <c r="B162" s="631"/>
      <c r="C162" s="631"/>
      <c r="D162" s="631"/>
      <c r="E162" s="631"/>
      <c r="F162" s="631"/>
      <c r="G162" s="631"/>
      <c r="H162" s="631"/>
      <c r="I162" s="631"/>
      <c r="J162" s="631"/>
      <c r="K162" s="631"/>
      <c r="L162" s="631"/>
      <c r="M162" s="631"/>
      <c r="N162" s="631"/>
      <c r="O162" s="632"/>
      <c r="P162" s="628" t="s">
        <v>40</v>
      </c>
      <c r="Q162" s="629"/>
      <c r="R162" s="629"/>
      <c r="S162" s="629"/>
      <c r="T162" s="629"/>
      <c r="U162" s="629"/>
      <c r="V162" s="630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2" t="s">
        <v>78</v>
      </c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2"/>
      <c r="P163" s="622"/>
      <c r="Q163" s="622"/>
      <c r="R163" s="622"/>
      <c r="S163" s="622"/>
      <c r="T163" s="622"/>
      <c r="U163" s="622"/>
      <c r="V163" s="622"/>
      <c r="W163" s="622"/>
      <c r="X163" s="622"/>
      <c r="Y163" s="622"/>
      <c r="Z163" s="622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3">
        <v>4680115880993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121</v>
      </c>
      <c r="L164" s="37" t="s">
        <v>122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94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3">
        <v>4680115881761</v>
      </c>
      <c r="E165" s="623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121</v>
      </c>
      <c r="L165" s="37" t="s">
        <v>45</v>
      </c>
      <c r="M165" s="38" t="s">
        <v>82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3">
        <v>4680115881563</v>
      </c>
      <c r="E166" s="623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121</v>
      </c>
      <c r="L166" s="37" t="s">
        <v>122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94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3">
        <v>4680115887565</v>
      </c>
      <c r="E167" s="623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3">
        <v>4680115880986</v>
      </c>
      <c r="E168" s="623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45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4301031443</v>
      </c>
      <c r="D169" s="623">
        <v>4680115887213</v>
      </c>
      <c r="E169" s="623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292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293</v>
      </c>
      <c r="B170" s="63" t="s">
        <v>294</v>
      </c>
      <c r="C170" s="36">
        <v>4301031205</v>
      </c>
      <c r="D170" s="623">
        <v>4680115881785</v>
      </c>
      <c r="E170" s="62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295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94</v>
      </c>
      <c r="AK170" s="84">
        <v>37.799999999999997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3">
        <v>4680115887824</v>
      </c>
      <c r="E171" s="623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3">
        <v>4680115887701</v>
      </c>
      <c r="E172" s="623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5"/>
      <c r="R172" s="625"/>
      <c r="S172" s="625"/>
      <c r="T172" s="62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3">
        <v>4680115886537</v>
      </c>
      <c r="E173" s="623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5"/>
      <c r="R173" s="625"/>
      <c r="S173" s="625"/>
      <c r="T173" s="62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3">
        <v>4680115887596</v>
      </c>
      <c r="E174" s="623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183</v>
      </c>
      <c r="L174" s="37" t="s">
        <v>45</v>
      </c>
      <c r="M174" s="38" t="s">
        <v>82</v>
      </c>
      <c r="N174" s="38"/>
      <c r="O174" s="37">
        <v>45</v>
      </c>
      <c r="P174" s="7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3">
        <v>4680115881679</v>
      </c>
      <c r="E175" s="623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295</v>
      </c>
      <c r="M175" s="38" t="s">
        <v>82</v>
      </c>
      <c r="N175" s="38"/>
      <c r="O175" s="37">
        <v>40</v>
      </c>
      <c r="P175" s="7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94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3">
        <v>4680115880191</v>
      </c>
      <c r="E176" s="623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3">
        <v>4680115883963</v>
      </c>
      <c r="E177" s="623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104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3">
        <v>4680115886780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3">
        <v>4680115886742</v>
      </c>
      <c r="E182" s="623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5"/>
      <c r="R182" s="625"/>
      <c r="S182" s="625"/>
      <c r="T182" s="626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3">
        <v>4680115886766</v>
      </c>
      <c r="E183" s="62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5"/>
      <c r="R183" s="625"/>
      <c r="S183" s="625"/>
      <c r="T183" s="62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31"/>
      <c r="B184" s="631"/>
      <c r="C184" s="631"/>
      <c r="D184" s="631"/>
      <c r="E184" s="631"/>
      <c r="F184" s="631"/>
      <c r="G184" s="631"/>
      <c r="H184" s="631"/>
      <c r="I184" s="631"/>
      <c r="J184" s="631"/>
      <c r="K184" s="631"/>
      <c r="L184" s="631"/>
      <c r="M184" s="631"/>
      <c r="N184" s="631"/>
      <c r="O184" s="632"/>
      <c r="P184" s="628" t="s">
        <v>40</v>
      </c>
      <c r="Q184" s="629"/>
      <c r="R184" s="629"/>
      <c r="S184" s="629"/>
      <c r="T184" s="629"/>
      <c r="U184" s="629"/>
      <c r="V184" s="630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31"/>
      <c r="B185" s="631"/>
      <c r="C185" s="631"/>
      <c r="D185" s="631"/>
      <c r="E185" s="631"/>
      <c r="F185" s="631"/>
      <c r="G185" s="631"/>
      <c r="H185" s="631"/>
      <c r="I185" s="631"/>
      <c r="J185" s="631"/>
      <c r="K185" s="631"/>
      <c r="L185" s="631"/>
      <c r="M185" s="631"/>
      <c r="N185" s="631"/>
      <c r="O185" s="632"/>
      <c r="P185" s="628" t="s">
        <v>40</v>
      </c>
      <c r="Q185" s="629"/>
      <c r="R185" s="629"/>
      <c r="S185" s="629"/>
      <c r="T185" s="629"/>
      <c r="U185" s="629"/>
      <c r="V185" s="630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2" t="s">
        <v>324</v>
      </c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2"/>
      <c r="P186" s="622"/>
      <c r="Q186" s="622"/>
      <c r="R186" s="622"/>
      <c r="S186" s="622"/>
      <c r="T186" s="622"/>
      <c r="U186" s="622"/>
      <c r="V186" s="622"/>
      <c r="W186" s="622"/>
      <c r="X186" s="622"/>
      <c r="Y186" s="622"/>
      <c r="Z186" s="622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3">
        <v>4680115886797</v>
      </c>
      <c r="E187" s="623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21" t="s">
        <v>327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5"/>
      <c r="AB190" s="65"/>
      <c r="AC190" s="79"/>
    </row>
    <row r="191" spans="1:68" ht="14.25" customHeight="1" x14ac:dyDescent="0.25">
      <c r="A191" s="622" t="s">
        <v>112</v>
      </c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2"/>
      <c r="P191" s="622"/>
      <c r="Q191" s="622"/>
      <c r="R191" s="622"/>
      <c r="S191" s="622"/>
      <c r="T191" s="622"/>
      <c r="U191" s="622"/>
      <c r="V191" s="622"/>
      <c r="W191" s="622"/>
      <c r="X191" s="622"/>
      <c r="Y191" s="622"/>
      <c r="Z191" s="622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3">
        <v>4680115881402</v>
      </c>
      <c r="E192" s="623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117</v>
      </c>
      <c r="L192" s="37" t="s">
        <v>45</v>
      </c>
      <c r="M192" s="38" t="s">
        <v>116</v>
      </c>
      <c r="N192" s="38"/>
      <c r="O192" s="37">
        <v>55</v>
      </c>
      <c r="P192" s="7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3">
        <v>4680115881396</v>
      </c>
      <c r="E193" s="623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116</v>
      </c>
      <c r="N193" s="38"/>
      <c r="O193" s="37">
        <v>55</v>
      </c>
      <c r="P193" s="7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5"/>
      <c r="R193" s="625"/>
      <c r="S193" s="625"/>
      <c r="T193" s="626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31"/>
      <c r="B195" s="631"/>
      <c r="C195" s="631"/>
      <c r="D195" s="631"/>
      <c r="E195" s="631"/>
      <c r="F195" s="631"/>
      <c r="G195" s="631"/>
      <c r="H195" s="631"/>
      <c r="I195" s="631"/>
      <c r="J195" s="631"/>
      <c r="K195" s="631"/>
      <c r="L195" s="631"/>
      <c r="M195" s="631"/>
      <c r="N195" s="631"/>
      <c r="O195" s="632"/>
      <c r="P195" s="628" t="s">
        <v>40</v>
      </c>
      <c r="Q195" s="629"/>
      <c r="R195" s="629"/>
      <c r="S195" s="629"/>
      <c r="T195" s="629"/>
      <c r="U195" s="629"/>
      <c r="V195" s="630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2" t="s">
        <v>147</v>
      </c>
      <c r="B196" s="622"/>
      <c r="C196" s="622"/>
      <c r="D196" s="622"/>
      <c r="E196" s="622"/>
      <c r="F196" s="622"/>
      <c r="G196" s="622"/>
      <c r="H196" s="622"/>
      <c r="I196" s="622"/>
      <c r="J196" s="622"/>
      <c r="K196" s="622"/>
      <c r="L196" s="622"/>
      <c r="M196" s="622"/>
      <c r="N196" s="622"/>
      <c r="O196" s="622"/>
      <c r="P196" s="622"/>
      <c r="Q196" s="622"/>
      <c r="R196" s="622"/>
      <c r="S196" s="622"/>
      <c r="T196" s="622"/>
      <c r="U196" s="622"/>
      <c r="V196" s="622"/>
      <c r="W196" s="622"/>
      <c r="X196" s="622"/>
      <c r="Y196" s="622"/>
      <c r="Z196" s="622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3">
        <v>4680115882935</v>
      </c>
      <c r="E197" s="623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117</v>
      </c>
      <c r="L197" s="37" t="s">
        <v>45</v>
      </c>
      <c r="M197" s="38" t="s">
        <v>116</v>
      </c>
      <c r="N197" s="38"/>
      <c r="O197" s="37">
        <v>50</v>
      </c>
      <c r="P197" s="7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3">
        <v>4680115880764</v>
      </c>
      <c r="E198" s="623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45</v>
      </c>
      <c r="M198" s="38" t="s">
        <v>116</v>
      </c>
      <c r="N198" s="38"/>
      <c r="O198" s="37">
        <v>50</v>
      </c>
      <c r="P198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31"/>
      <c r="B199" s="631"/>
      <c r="C199" s="631"/>
      <c r="D199" s="631"/>
      <c r="E199" s="631"/>
      <c r="F199" s="631"/>
      <c r="G199" s="631"/>
      <c r="H199" s="631"/>
      <c r="I199" s="631"/>
      <c r="J199" s="631"/>
      <c r="K199" s="631"/>
      <c r="L199" s="631"/>
      <c r="M199" s="631"/>
      <c r="N199" s="631"/>
      <c r="O199" s="632"/>
      <c r="P199" s="628" t="s">
        <v>40</v>
      </c>
      <c r="Q199" s="629"/>
      <c r="R199" s="629"/>
      <c r="S199" s="629"/>
      <c r="T199" s="629"/>
      <c r="U199" s="629"/>
      <c r="V199" s="630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31"/>
      <c r="B200" s="631"/>
      <c r="C200" s="631"/>
      <c r="D200" s="631"/>
      <c r="E200" s="631"/>
      <c r="F200" s="631"/>
      <c r="G200" s="631"/>
      <c r="H200" s="631"/>
      <c r="I200" s="631"/>
      <c r="J200" s="631"/>
      <c r="K200" s="631"/>
      <c r="L200" s="631"/>
      <c r="M200" s="631"/>
      <c r="N200" s="631"/>
      <c r="O200" s="632"/>
      <c r="P200" s="628" t="s">
        <v>40</v>
      </c>
      <c r="Q200" s="629"/>
      <c r="R200" s="629"/>
      <c r="S200" s="629"/>
      <c r="T200" s="629"/>
      <c r="U200" s="629"/>
      <c r="V200" s="630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2" t="s">
        <v>78</v>
      </c>
      <c r="B201" s="622"/>
      <c r="C201" s="622"/>
      <c r="D201" s="622"/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O201" s="622"/>
      <c r="P201" s="622"/>
      <c r="Q201" s="622"/>
      <c r="R201" s="622"/>
      <c r="S201" s="622"/>
      <c r="T201" s="622"/>
      <c r="U201" s="622"/>
      <c r="V201" s="622"/>
      <c r="W201" s="622"/>
      <c r="X201" s="622"/>
      <c r="Y201" s="622"/>
      <c r="Z201" s="622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3">
        <v>4680115882683</v>
      </c>
      <c r="E202" s="623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121</v>
      </c>
      <c r="L202" s="37" t="s">
        <v>122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94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3">
        <v>4680115882690</v>
      </c>
      <c r="E203" s="623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121</v>
      </c>
      <c r="L203" s="37" t="s">
        <v>122</v>
      </c>
      <c r="M203" s="38" t="s">
        <v>82</v>
      </c>
      <c r="N203" s="38"/>
      <c r="O203" s="37">
        <v>40</v>
      </c>
      <c r="P203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94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3">
        <v>4680115882669</v>
      </c>
      <c r="E204" s="62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121</v>
      </c>
      <c r="L204" s="37" t="s">
        <v>122</v>
      </c>
      <c r="M204" s="38" t="s">
        <v>82</v>
      </c>
      <c r="N204" s="38"/>
      <c r="O204" s="37">
        <v>40</v>
      </c>
      <c r="P204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5"/>
      <c r="R204" s="625"/>
      <c r="S204" s="625"/>
      <c r="T204" s="62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94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3">
        <v>4680115882676</v>
      </c>
      <c r="E205" s="62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121</v>
      </c>
      <c r="L205" s="37" t="s">
        <v>122</v>
      </c>
      <c r="M205" s="38" t="s">
        <v>82</v>
      </c>
      <c r="N205" s="38"/>
      <c r="O205" s="37">
        <v>40</v>
      </c>
      <c r="P205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5"/>
      <c r="R205" s="625"/>
      <c r="S205" s="625"/>
      <c r="T205" s="62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94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3">
        <v>4680115884014</v>
      </c>
      <c r="E206" s="623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45</v>
      </c>
      <c r="M206" s="38" t="s">
        <v>82</v>
      </c>
      <c r="N206" s="38"/>
      <c r="O206" s="37">
        <v>40</v>
      </c>
      <c r="P206" s="7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45</v>
      </c>
      <c r="AK206" s="84">
        <v>0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3">
        <v>4680115884007</v>
      </c>
      <c r="E207" s="623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295</v>
      </c>
      <c r="M207" s="38" t="s">
        <v>82</v>
      </c>
      <c r="N207" s="38"/>
      <c r="O207" s="37">
        <v>40</v>
      </c>
      <c r="P207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94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3">
        <v>4680115884038</v>
      </c>
      <c r="E208" s="623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295</v>
      </c>
      <c r="M208" s="38" t="s">
        <v>82</v>
      </c>
      <c r="N208" s="38"/>
      <c r="O208" s="37">
        <v>40</v>
      </c>
      <c r="P208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94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3">
        <v>4680115884021</v>
      </c>
      <c r="E209" s="62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295</v>
      </c>
      <c r="M209" s="38" t="s">
        <v>82</v>
      </c>
      <c r="N209" s="38"/>
      <c r="O209" s="37">
        <v>40</v>
      </c>
      <c r="P209" s="7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94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31"/>
      <c r="B210" s="631"/>
      <c r="C210" s="631"/>
      <c r="D210" s="631"/>
      <c r="E210" s="631"/>
      <c r="F210" s="631"/>
      <c r="G210" s="631"/>
      <c r="H210" s="631"/>
      <c r="I210" s="631"/>
      <c r="J210" s="631"/>
      <c r="K210" s="631"/>
      <c r="L210" s="631"/>
      <c r="M210" s="631"/>
      <c r="N210" s="631"/>
      <c r="O210" s="632"/>
      <c r="P210" s="628" t="s">
        <v>40</v>
      </c>
      <c r="Q210" s="629"/>
      <c r="R210" s="629"/>
      <c r="S210" s="629"/>
      <c r="T210" s="629"/>
      <c r="U210" s="629"/>
      <c r="V210" s="630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31"/>
      <c r="B211" s="631"/>
      <c r="C211" s="631"/>
      <c r="D211" s="631"/>
      <c r="E211" s="631"/>
      <c r="F211" s="631"/>
      <c r="G211" s="631"/>
      <c r="H211" s="631"/>
      <c r="I211" s="631"/>
      <c r="J211" s="631"/>
      <c r="K211" s="631"/>
      <c r="L211" s="631"/>
      <c r="M211" s="631"/>
      <c r="N211" s="631"/>
      <c r="O211" s="632"/>
      <c r="P211" s="628" t="s">
        <v>40</v>
      </c>
      <c r="Q211" s="629"/>
      <c r="R211" s="629"/>
      <c r="S211" s="629"/>
      <c r="T211" s="629"/>
      <c r="U211" s="629"/>
      <c r="V211" s="630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2" t="s">
        <v>88</v>
      </c>
      <c r="B212" s="622"/>
      <c r="C212" s="622"/>
      <c r="D212" s="622"/>
      <c r="E212" s="622"/>
      <c r="F212" s="622"/>
      <c r="G212" s="622"/>
      <c r="H212" s="622"/>
      <c r="I212" s="622"/>
      <c r="J212" s="622"/>
      <c r="K212" s="622"/>
      <c r="L212" s="622"/>
      <c r="M212" s="622"/>
      <c r="N212" s="622"/>
      <c r="O212" s="622"/>
      <c r="P212" s="622"/>
      <c r="Q212" s="622"/>
      <c r="R212" s="622"/>
      <c r="S212" s="622"/>
      <c r="T212" s="622"/>
      <c r="U212" s="622"/>
      <c r="V212" s="622"/>
      <c r="W212" s="622"/>
      <c r="X212" s="622"/>
      <c r="Y212" s="622"/>
      <c r="Z212" s="622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3">
        <v>4680115881594</v>
      </c>
      <c r="E213" s="623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117</v>
      </c>
      <c r="L213" s="37" t="s">
        <v>45</v>
      </c>
      <c r="M213" s="38" t="s">
        <v>92</v>
      </c>
      <c r="N213" s="38"/>
      <c r="O213" s="37">
        <v>40</v>
      </c>
      <c r="P213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45</v>
      </c>
      <c r="AK213" s="84">
        <v>0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3">
        <v>4680115881617</v>
      </c>
      <c r="E214" s="623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3">
        <v>4680115880573</v>
      </c>
      <c r="E215" s="623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117</v>
      </c>
      <c r="L215" s="37" t="s">
        <v>118</v>
      </c>
      <c r="M215" s="38" t="s">
        <v>92</v>
      </c>
      <c r="N215" s="38"/>
      <c r="O215" s="37">
        <v>45</v>
      </c>
      <c r="P215" s="72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94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3">
        <v>4680115882195</v>
      </c>
      <c r="E216" s="623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93</v>
      </c>
      <c r="M216" s="38" t="s">
        <v>92</v>
      </c>
      <c r="N216" s="38"/>
      <c r="O216" s="37">
        <v>40</v>
      </c>
      <c r="P216" s="7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5"/>
      <c r="R216" s="625"/>
      <c r="S216" s="625"/>
      <c r="T216" s="62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94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3">
        <v>4680115882607</v>
      </c>
      <c r="E217" s="623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100</v>
      </c>
      <c r="N217" s="38"/>
      <c r="O217" s="37">
        <v>45</v>
      </c>
      <c r="P217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5"/>
      <c r="R217" s="625"/>
      <c r="S217" s="625"/>
      <c r="T217" s="62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3">
        <v>4680115880092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93</v>
      </c>
      <c r="M218" s="38" t="s">
        <v>92</v>
      </c>
      <c r="N218" s="38"/>
      <c r="O218" s="37">
        <v>45</v>
      </c>
      <c r="P218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94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3">
        <v>4680115880221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92</v>
      </c>
      <c r="N219" s="38"/>
      <c r="O219" s="37">
        <v>45</v>
      </c>
      <c r="P219" s="7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45</v>
      </c>
      <c r="AK219" s="84">
        <v>0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3">
        <v>4680115880504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93</v>
      </c>
      <c r="M220" s="38" t="s">
        <v>100</v>
      </c>
      <c r="N220" s="38"/>
      <c r="O220" s="37">
        <v>40</v>
      </c>
      <c r="P220" s="7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94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3">
        <v>4680115882164</v>
      </c>
      <c r="E221" s="623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93</v>
      </c>
      <c r="M221" s="38" t="s">
        <v>92</v>
      </c>
      <c r="N221" s="38"/>
      <c r="O221" s="37">
        <v>40</v>
      </c>
      <c r="P221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5"/>
      <c r="R221" s="625"/>
      <c r="S221" s="625"/>
      <c r="T221" s="62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94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31"/>
      <c r="B223" s="631"/>
      <c r="C223" s="631"/>
      <c r="D223" s="631"/>
      <c r="E223" s="631"/>
      <c r="F223" s="631"/>
      <c r="G223" s="631"/>
      <c r="H223" s="631"/>
      <c r="I223" s="631"/>
      <c r="J223" s="631"/>
      <c r="K223" s="631"/>
      <c r="L223" s="631"/>
      <c r="M223" s="631"/>
      <c r="N223" s="631"/>
      <c r="O223" s="632"/>
      <c r="P223" s="628" t="s">
        <v>40</v>
      </c>
      <c r="Q223" s="629"/>
      <c r="R223" s="629"/>
      <c r="S223" s="629"/>
      <c r="T223" s="629"/>
      <c r="U223" s="629"/>
      <c r="V223" s="630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2" t="s">
        <v>169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3">
        <v>4680115880818</v>
      </c>
      <c r="E225" s="623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93</v>
      </c>
      <c r="M225" s="38" t="s">
        <v>100</v>
      </c>
      <c r="N225" s="38"/>
      <c r="O225" s="37">
        <v>40</v>
      </c>
      <c r="P225" s="73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94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3">
        <v>4680115880801</v>
      </c>
      <c r="E226" s="623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93</v>
      </c>
      <c r="M226" s="38" t="s">
        <v>92</v>
      </c>
      <c r="N226" s="38"/>
      <c r="O226" s="37">
        <v>40</v>
      </c>
      <c r="P226" s="7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94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31"/>
      <c r="B227" s="631"/>
      <c r="C227" s="631"/>
      <c r="D227" s="631"/>
      <c r="E227" s="631"/>
      <c r="F227" s="631"/>
      <c r="G227" s="631"/>
      <c r="H227" s="631"/>
      <c r="I227" s="631"/>
      <c r="J227" s="631"/>
      <c r="K227" s="631"/>
      <c r="L227" s="631"/>
      <c r="M227" s="631"/>
      <c r="N227" s="631"/>
      <c r="O227" s="632"/>
      <c r="P227" s="628" t="s">
        <v>40</v>
      </c>
      <c r="Q227" s="629"/>
      <c r="R227" s="629"/>
      <c r="S227" s="629"/>
      <c r="T227" s="629"/>
      <c r="U227" s="629"/>
      <c r="V227" s="630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31"/>
      <c r="B228" s="631"/>
      <c r="C228" s="631"/>
      <c r="D228" s="631"/>
      <c r="E228" s="631"/>
      <c r="F228" s="631"/>
      <c r="G228" s="631"/>
      <c r="H228" s="631"/>
      <c r="I228" s="631"/>
      <c r="J228" s="631"/>
      <c r="K228" s="631"/>
      <c r="L228" s="631"/>
      <c r="M228" s="631"/>
      <c r="N228" s="631"/>
      <c r="O228" s="632"/>
      <c r="P228" s="628" t="s">
        <v>40</v>
      </c>
      <c r="Q228" s="629"/>
      <c r="R228" s="629"/>
      <c r="S228" s="629"/>
      <c r="T228" s="629"/>
      <c r="U228" s="629"/>
      <c r="V228" s="630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21" t="s">
        <v>387</v>
      </c>
      <c r="B229" s="621"/>
      <c r="C229" s="621"/>
      <c r="D229" s="621"/>
      <c r="E229" s="621"/>
      <c r="F229" s="621"/>
      <c r="G229" s="621"/>
      <c r="H229" s="621"/>
      <c r="I229" s="621"/>
      <c r="J229" s="621"/>
      <c r="K229" s="621"/>
      <c r="L229" s="621"/>
      <c r="M229" s="621"/>
      <c r="N229" s="621"/>
      <c r="O229" s="621"/>
      <c r="P229" s="621"/>
      <c r="Q229" s="621"/>
      <c r="R229" s="621"/>
      <c r="S229" s="621"/>
      <c r="T229" s="621"/>
      <c r="U229" s="621"/>
      <c r="V229" s="621"/>
      <c r="W229" s="621"/>
      <c r="X229" s="621"/>
      <c r="Y229" s="621"/>
      <c r="Z229" s="621"/>
      <c r="AA229" s="65"/>
      <c r="AB229" s="65"/>
      <c r="AC229" s="79"/>
    </row>
    <row r="230" spans="1:68" ht="14.25" customHeight="1" x14ac:dyDescent="0.25">
      <c r="A230" s="622" t="s">
        <v>112</v>
      </c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2"/>
      <c r="P230" s="622"/>
      <c r="Q230" s="622"/>
      <c r="R230" s="622"/>
      <c r="S230" s="622"/>
      <c r="T230" s="622"/>
      <c r="U230" s="622"/>
      <c r="V230" s="622"/>
      <c r="W230" s="622"/>
      <c r="X230" s="622"/>
      <c r="Y230" s="622"/>
      <c r="Z230" s="622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3">
        <v>4680115884137</v>
      </c>
      <c r="E231" s="623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117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45</v>
      </c>
      <c r="AK231" s="84">
        <v>0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3">
        <v>4680115884236</v>
      </c>
      <c r="E232" s="623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3">
        <v>4680115884175</v>
      </c>
      <c r="E233" s="62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3">
        <v>4680115884144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121</v>
      </c>
      <c r="L234" s="37" t="s">
        <v>45</v>
      </c>
      <c r="M234" s="38" t="s">
        <v>116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3">
        <v>4680115884144</v>
      </c>
      <c r="E235" s="623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121</v>
      </c>
      <c r="L235" s="37" t="s">
        <v>45</v>
      </c>
      <c r="M235" s="38" t="s">
        <v>116</v>
      </c>
      <c r="N235" s="38"/>
      <c r="O235" s="37">
        <v>55</v>
      </c>
      <c r="P235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5"/>
      <c r="R235" s="625"/>
      <c r="S235" s="625"/>
      <c r="T235" s="62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3">
        <v>4680115886551</v>
      </c>
      <c r="E236" s="62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121</v>
      </c>
      <c r="L236" s="37" t="s">
        <v>45</v>
      </c>
      <c r="M236" s="38" t="s">
        <v>116</v>
      </c>
      <c r="N236" s="38"/>
      <c r="O236" s="37">
        <v>55</v>
      </c>
      <c r="P236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5"/>
      <c r="R236" s="625"/>
      <c r="S236" s="625"/>
      <c r="T236" s="62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3">
        <v>4680115887282</v>
      </c>
      <c r="E237" s="623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116</v>
      </c>
      <c r="N237" s="38"/>
      <c r="O237" s="37">
        <v>55</v>
      </c>
      <c r="P237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3">
        <v>4680115884205</v>
      </c>
      <c r="E238" s="62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121</v>
      </c>
      <c r="L238" s="37" t="s">
        <v>122</v>
      </c>
      <c r="M238" s="38" t="s">
        <v>116</v>
      </c>
      <c r="N238" s="38"/>
      <c r="O238" s="37">
        <v>55</v>
      </c>
      <c r="P238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94</v>
      </c>
      <c r="AK238" s="84">
        <v>48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3">
        <v>4680115884205</v>
      </c>
      <c r="E239" s="62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121</v>
      </c>
      <c r="L239" s="37" t="s">
        <v>45</v>
      </c>
      <c r="M239" s="38" t="s">
        <v>116</v>
      </c>
      <c r="N239" s="38"/>
      <c r="O239" s="37">
        <v>55</v>
      </c>
      <c r="P239" s="7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5"/>
      <c r="R239" s="625"/>
      <c r="S239" s="625"/>
      <c r="T239" s="62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31"/>
      <c r="B241" s="631"/>
      <c r="C241" s="631"/>
      <c r="D241" s="631"/>
      <c r="E241" s="631"/>
      <c r="F241" s="631"/>
      <c r="G241" s="631"/>
      <c r="H241" s="631"/>
      <c r="I241" s="631"/>
      <c r="J241" s="631"/>
      <c r="K241" s="631"/>
      <c r="L241" s="631"/>
      <c r="M241" s="631"/>
      <c r="N241" s="631"/>
      <c r="O241" s="632"/>
      <c r="P241" s="628" t="s">
        <v>40</v>
      </c>
      <c r="Q241" s="629"/>
      <c r="R241" s="629"/>
      <c r="S241" s="629"/>
      <c r="T241" s="629"/>
      <c r="U241" s="629"/>
      <c r="V241" s="630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2" t="s">
        <v>147</v>
      </c>
      <c r="B242" s="622"/>
      <c r="C242" s="622"/>
      <c r="D242" s="622"/>
      <c r="E242" s="622"/>
      <c r="F242" s="622"/>
      <c r="G242" s="622"/>
      <c r="H242" s="622"/>
      <c r="I242" s="622"/>
      <c r="J242" s="622"/>
      <c r="K242" s="622"/>
      <c r="L242" s="622"/>
      <c r="M242" s="622"/>
      <c r="N242" s="622"/>
      <c r="O242" s="622"/>
      <c r="P242" s="622"/>
      <c r="Q242" s="622"/>
      <c r="R242" s="622"/>
      <c r="S242" s="622"/>
      <c r="T242" s="622"/>
      <c r="U242" s="622"/>
      <c r="V242" s="622"/>
      <c r="W242" s="622"/>
      <c r="X242" s="622"/>
      <c r="Y242" s="622"/>
      <c r="Z242" s="622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3">
        <v>4680115885981</v>
      </c>
      <c r="E243" s="623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5"/>
      <c r="R243" s="625"/>
      <c r="S243" s="625"/>
      <c r="T243" s="626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31"/>
      <c r="B245" s="631"/>
      <c r="C245" s="631"/>
      <c r="D245" s="631"/>
      <c r="E245" s="631"/>
      <c r="F245" s="631"/>
      <c r="G245" s="631"/>
      <c r="H245" s="631"/>
      <c r="I245" s="631"/>
      <c r="J245" s="631"/>
      <c r="K245" s="631"/>
      <c r="L245" s="631"/>
      <c r="M245" s="631"/>
      <c r="N245" s="631"/>
      <c r="O245" s="632"/>
      <c r="P245" s="628" t="s">
        <v>40</v>
      </c>
      <c r="Q245" s="629"/>
      <c r="R245" s="629"/>
      <c r="S245" s="629"/>
      <c r="T245" s="629"/>
      <c r="U245" s="629"/>
      <c r="V245" s="630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2" t="s">
        <v>412</v>
      </c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2"/>
      <c r="P246" s="622"/>
      <c r="Q246" s="622"/>
      <c r="R246" s="622"/>
      <c r="S246" s="622"/>
      <c r="T246" s="622"/>
      <c r="U246" s="622"/>
      <c r="V246" s="622"/>
      <c r="W246" s="622"/>
      <c r="X246" s="622"/>
      <c r="Y246" s="622"/>
      <c r="Z246" s="622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3">
        <v>4680115886803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31"/>
      <c r="B248" s="631"/>
      <c r="C248" s="631"/>
      <c r="D248" s="631"/>
      <c r="E248" s="631"/>
      <c r="F248" s="631"/>
      <c r="G248" s="631"/>
      <c r="H248" s="631"/>
      <c r="I248" s="631"/>
      <c r="J248" s="631"/>
      <c r="K248" s="631"/>
      <c r="L248" s="631"/>
      <c r="M248" s="631"/>
      <c r="N248" s="631"/>
      <c r="O248" s="632"/>
      <c r="P248" s="628" t="s">
        <v>40</v>
      </c>
      <c r="Q248" s="629"/>
      <c r="R248" s="629"/>
      <c r="S248" s="629"/>
      <c r="T248" s="629"/>
      <c r="U248" s="629"/>
      <c r="V248" s="630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31"/>
      <c r="B249" s="631"/>
      <c r="C249" s="631"/>
      <c r="D249" s="631"/>
      <c r="E249" s="631"/>
      <c r="F249" s="631"/>
      <c r="G249" s="631"/>
      <c r="H249" s="631"/>
      <c r="I249" s="631"/>
      <c r="J249" s="631"/>
      <c r="K249" s="631"/>
      <c r="L249" s="631"/>
      <c r="M249" s="631"/>
      <c r="N249" s="631"/>
      <c r="O249" s="632"/>
      <c r="P249" s="628" t="s">
        <v>40</v>
      </c>
      <c r="Q249" s="629"/>
      <c r="R249" s="629"/>
      <c r="S249" s="629"/>
      <c r="T249" s="629"/>
      <c r="U249" s="629"/>
      <c r="V249" s="630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2" t="s">
        <v>416</v>
      </c>
      <c r="B250" s="622"/>
      <c r="C250" s="622"/>
      <c r="D250" s="622"/>
      <c r="E250" s="622"/>
      <c r="F250" s="622"/>
      <c r="G250" s="622"/>
      <c r="H250" s="622"/>
      <c r="I250" s="622"/>
      <c r="J250" s="622"/>
      <c r="K250" s="622"/>
      <c r="L250" s="622"/>
      <c r="M250" s="622"/>
      <c r="N250" s="622"/>
      <c r="O250" s="622"/>
      <c r="P250" s="622"/>
      <c r="Q250" s="622"/>
      <c r="R250" s="622"/>
      <c r="S250" s="622"/>
      <c r="T250" s="622"/>
      <c r="U250" s="622"/>
      <c r="V250" s="622"/>
      <c r="W250" s="622"/>
      <c r="X250" s="622"/>
      <c r="Y250" s="622"/>
      <c r="Z250" s="622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3">
        <v>4680115886704</v>
      </c>
      <c r="E251" s="623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5"/>
      <c r="R251" s="625"/>
      <c r="S251" s="625"/>
      <c r="T251" s="626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3">
        <v>4680115886681</v>
      </c>
      <c r="E252" s="623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5"/>
      <c r="R252" s="625"/>
      <c r="S252" s="625"/>
      <c r="T252" s="626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3">
        <v>4680115886735</v>
      </c>
      <c r="E253" s="623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5"/>
      <c r="R253" s="625"/>
      <c r="S253" s="625"/>
      <c r="T253" s="62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3">
        <v>4680115886728</v>
      </c>
      <c r="E254" s="62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3">
        <v>4680115886711</v>
      </c>
      <c r="E255" s="623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5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1"/>
      <c r="B256" s="631"/>
      <c r="C256" s="631"/>
      <c r="D256" s="631"/>
      <c r="E256" s="631"/>
      <c r="F256" s="631"/>
      <c r="G256" s="631"/>
      <c r="H256" s="631"/>
      <c r="I256" s="631"/>
      <c r="J256" s="631"/>
      <c r="K256" s="631"/>
      <c r="L256" s="631"/>
      <c r="M256" s="631"/>
      <c r="N256" s="631"/>
      <c r="O256" s="632"/>
      <c r="P256" s="628" t="s">
        <v>40</v>
      </c>
      <c r="Q256" s="629"/>
      <c r="R256" s="629"/>
      <c r="S256" s="629"/>
      <c r="T256" s="629"/>
      <c r="U256" s="629"/>
      <c r="V256" s="630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31"/>
      <c r="B257" s="631"/>
      <c r="C257" s="631"/>
      <c r="D257" s="631"/>
      <c r="E257" s="631"/>
      <c r="F257" s="631"/>
      <c r="G257" s="631"/>
      <c r="H257" s="631"/>
      <c r="I257" s="631"/>
      <c r="J257" s="631"/>
      <c r="K257" s="631"/>
      <c r="L257" s="631"/>
      <c r="M257" s="631"/>
      <c r="N257" s="631"/>
      <c r="O257" s="632"/>
      <c r="P257" s="628" t="s">
        <v>40</v>
      </c>
      <c r="Q257" s="629"/>
      <c r="R257" s="629"/>
      <c r="S257" s="629"/>
      <c r="T257" s="629"/>
      <c r="U257" s="629"/>
      <c r="V257" s="630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21" t="s">
        <v>428</v>
      </c>
      <c r="B258" s="621"/>
      <c r="C258" s="621"/>
      <c r="D258" s="621"/>
      <c r="E258" s="621"/>
      <c r="F258" s="621"/>
      <c r="G258" s="621"/>
      <c r="H258" s="621"/>
      <c r="I258" s="621"/>
      <c r="J258" s="621"/>
      <c r="K258" s="621"/>
      <c r="L258" s="621"/>
      <c r="M258" s="621"/>
      <c r="N258" s="621"/>
      <c r="O258" s="621"/>
      <c r="P258" s="621"/>
      <c r="Q258" s="621"/>
      <c r="R258" s="621"/>
      <c r="S258" s="621"/>
      <c r="T258" s="621"/>
      <c r="U258" s="621"/>
      <c r="V258" s="621"/>
      <c r="W258" s="621"/>
      <c r="X258" s="621"/>
      <c r="Y258" s="621"/>
      <c r="Z258" s="621"/>
      <c r="AA258" s="65"/>
      <c r="AB258" s="65"/>
      <c r="AC258" s="79"/>
    </row>
    <row r="259" spans="1:68" ht="14.25" customHeight="1" x14ac:dyDescent="0.25">
      <c r="A259" s="622" t="s">
        <v>112</v>
      </c>
      <c r="B259" s="622"/>
      <c r="C259" s="622"/>
      <c r="D259" s="622"/>
      <c r="E259" s="622"/>
      <c r="F259" s="622"/>
      <c r="G259" s="622"/>
      <c r="H259" s="622"/>
      <c r="I259" s="622"/>
      <c r="J259" s="622"/>
      <c r="K259" s="622"/>
      <c r="L259" s="622"/>
      <c r="M259" s="622"/>
      <c r="N259" s="622"/>
      <c r="O259" s="622"/>
      <c r="P259" s="622"/>
      <c r="Q259" s="622"/>
      <c r="R259" s="622"/>
      <c r="S259" s="622"/>
      <c r="T259" s="622"/>
      <c r="U259" s="622"/>
      <c r="V259" s="622"/>
      <c r="W259" s="622"/>
      <c r="X259" s="622"/>
      <c r="Y259" s="622"/>
      <c r="Z259" s="622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3">
        <v>4680115885837</v>
      </c>
      <c r="E260" s="62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117</v>
      </c>
      <c r="L260" s="37" t="s">
        <v>45</v>
      </c>
      <c r="M260" s="38" t="s">
        <v>116</v>
      </c>
      <c r="N260" s="38"/>
      <c r="O260" s="37">
        <v>55</v>
      </c>
      <c r="P260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5"/>
      <c r="R260" s="625"/>
      <c r="S260" s="625"/>
      <c r="T260" s="626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3">
        <v>4680115885851</v>
      </c>
      <c r="E261" s="6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5"/>
      <c r="R261" s="625"/>
      <c r="S261" s="625"/>
      <c r="T261" s="626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3">
        <v>4680115885806</v>
      </c>
      <c r="E262" s="6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5"/>
      <c r="R262" s="625"/>
      <c r="S262" s="625"/>
      <c r="T262" s="62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3">
        <v>4680115885844</v>
      </c>
      <c r="E263" s="623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121</v>
      </c>
      <c r="L263" s="37" t="s">
        <v>45</v>
      </c>
      <c r="M263" s="38" t="s">
        <v>116</v>
      </c>
      <c r="N263" s="38"/>
      <c r="O263" s="37">
        <v>55</v>
      </c>
      <c r="P263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3">
        <v>4680115885820</v>
      </c>
      <c r="E264" s="623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121</v>
      </c>
      <c r="L264" s="37" t="s">
        <v>45</v>
      </c>
      <c r="M264" s="38" t="s">
        <v>116</v>
      </c>
      <c r="N264" s="38"/>
      <c r="O264" s="37">
        <v>55</v>
      </c>
      <c r="P264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31"/>
      <c r="B265" s="631"/>
      <c r="C265" s="631"/>
      <c r="D265" s="631"/>
      <c r="E265" s="631"/>
      <c r="F265" s="631"/>
      <c r="G265" s="631"/>
      <c r="H265" s="631"/>
      <c r="I265" s="631"/>
      <c r="J265" s="631"/>
      <c r="K265" s="631"/>
      <c r="L265" s="631"/>
      <c r="M265" s="631"/>
      <c r="N265" s="631"/>
      <c r="O265" s="632"/>
      <c r="P265" s="628" t="s">
        <v>40</v>
      </c>
      <c r="Q265" s="629"/>
      <c r="R265" s="629"/>
      <c r="S265" s="629"/>
      <c r="T265" s="629"/>
      <c r="U265" s="629"/>
      <c r="V265" s="630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31"/>
      <c r="B266" s="631"/>
      <c r="C266" s="631"/>
      <c r="D266" s="631"/>
      <c r="E266" s="631"/>
      <c r="F266" s="631"/>
      <c r="G266" s="631"/>
      <c r="H266" s="631"/>
      <c r="I266" s="631"/>
      <c r="J266" s="631"/>
      <c r="K266" s="631"/>
      <c r="L266" s="631"/>
      <c r="M266" s="631"/>
      <c r="N266" s="631"/>
      <c r="O266" s="632"/>
      <c r="P266" s="628" t="s">
        <v>40</v>
      </c>
      <c r="Q266" s="629"/>
      <c r="R266" s="629"/>
      <c r="S266" s="629"/>
      <c r="T266" s="629"/>
      <c r="U266" s="629"/>
      <c r="V266" s="630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21" t="s">
        <v>444</v>
      </c>
      <c r="B267" s="621"/>
      <c r="C267" s="621"/>
      <c r="D267" s="621"/>
      <c r="E267" s="621"/>
      <c r="F267" s="621"/>
      <c r="G267" s="621"/>
      <c r="H267" s="621"/>
      <c r="I267" s="621"/>
      <c r="J267" s="621"/>
      <c r="K267" s="621"/>
      <c r="L267" s="621"/>
      <c r="M267" s="621"/>
      <c r="N267" s="621"/>
      <c r="O267" s="621"/>
      <c r="P267" s="621"/>
      <c r="Q267" s="621"/>
      <c r="R267" s="621"/>
      <c r="S267" s="621"/>
      <c r="T267" s="621"/>
      <c r="U267" s="621"/>
      <c r="V267" s="621"/>
      <c r="W267" s="621"/>
      <c r="X267" s="621"/>
      <c r="Y267" s="621"/>
      <c r="Z267" s="621"/>
      <c r="AA267" s="65"/>
      <c r="AB267" s="65"/>
      <c r="AC267" s="79"/>
    </row>
    <row r="268" spans="1:68" ht="14.25" customHeight="1" x14ac:dyDescent="0.25">
      <c r="A268" s="622" t="s">
        <v>112</v>
      </c>
      <c r="B268" s="622"/>
      <c r="C268" s="622"/>
      <c r="D268" s="622"/>
      <c r="E268" s="622"/>
      <c r="F268" s="622"/>
      <c r="G268" s="622"/>
      <c r="H268" s="622"/>
      <c r="I268" s="622"/>
      <c r="J268" s="622"/>
      <c r="K268" s="622"/>
      <c r="L268" s="622"/>
      <c r="M268" s="622"/>
      <c r="N268" s="622"/>
      <c r="O268" s="622"/>
      <c r="P268" s="622"/>
      <c r="Q268" s="622"/>
      <c r="R268" s="622"/>
      <c r="S268" s="622"/>
      <c r="T268" s="622"/>
      <c r="U268" s="622"/>
      <c r="V268" s="622"/>
      <c r="W268" s="622"/>
      <c r="X268" s="622"/>
      <c r="Y268" s="622"/>
      <c r="Z268" s="622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3">
        <v>4607091383423</v>
      </c>
      <c r="E269" s="623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117</v>
      </c>
      <c r="L269" s="37" t="s">
        <v>45</v>
      </c>
      <c r="M269" s="38" t="s">
        <v>92</v>
      </c>
      <c r="N269" s="38"/>
      <c r="O269" s="37">
        <v>35</v>
      </c>
      <c r="P269" s="7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5"/>
      <c r="R269" s="625"/>
      <c r="S269" s="625"/>
      <c r="T269" s="626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115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3">
        <v>4680115886957</v>
      </c>
      <c r="E270" s="623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30</v>
      </c>
      <c r="P270" s="75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5"/>
      <c r="R270" s="625"/>
      <c r="S270" s="625"/>
      <c r="T270" s="626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3">
        <v>4680115885660</v>
      </c>
      <c r="E271" s="62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35</v>
      </c>
      <c r="P271" s="75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3">
        <v>4680115886773</v>
      </c>
      <c r="E272" s="623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117</v>
      </c>
      <c r="L272" s="37" t="s">
        <v>45</v>
      </c>
      <c r="M272" s="38" t="s">
        <v>116</v>
      </c>
      <c r="N272" s="38"/>
      <c r="O272" s="37">
        <v>31</v>
      </c>
      <c r="P272" s="76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31"/>
      <c r="B273" s="631"/>
      <c r="C273" s="631"/>
      <c r="D273" s="631"/>
      <c r="E273" s="631"/>
      <c r="F273" s="631"/>
      <c r="G273" s="631"/>
      <c r="H273" s="631"/>
      <c r="I273" s="631"/>
      <c r="J273" s="631"/>
      <c r="K273" s="631"/>
      <c r="L273" s="631"/>
      <c r="M273" s="631"/>
      <c r="N273" s="631"/>
      <c r="O273" s="632"/>
      <c r="P273" s="628" t="s">
        <v>40</v>
      </c>
      <c r="Q273" s="629"/>
      <c r="R273" s="629"/>
      <c r="S273" s="629"/>
      <c r="T273" s="629"/>
      <c r="U273" s="629"/>
      <c r="V273" s="630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31"/>
      <c r="B274" s="631"/>
      <c r="C274" s="631"/>
      <c r="D274" s="631"/>
      <c r="E274" s="631"/>
      <c r="F274" s="631"/>
      <c r="G274" s="631"/>
      <c r="H274" s="631"/>
      <c r="I274" s="631"/>
      <c r="J274" s="631"/>
      <c r="K274" s="631"/>
      <c r="L274" s="631"/>
      <c r="M274" s="631"/>
      <c r="N274" s="631"/>
      <c r="O274" s="632"/>
      <c r="P274" s="628" t="s">
        <v>40</v>
      </c>
      <c r="Q274" s="629"/>
      <c r="R274" s="629"/>
      <c r="S274" s="629"/>
      <c r="T274" s="629"/>
      <c r="U274" s="629"/>
      <c r="V274" s="630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21" t="s">
        <v>455</v>
      </c>
      <c r="B275" s="621"/>
      <c r="C275" s="621"/>
      <c r="D275" s="621"/>
      <c r="E275" s="621"/>
      <c r="F275" s="621"/>
      <c r="G275" s="621"/>
      <c r="H275" s="621"/>
      <c r="I275" s="621"/>
      <c r="J275" s="621"/>
      <c r="K275" s="621"/>
      <c r="L275" s="621"/>
      <c r="M275" s="621"/>
      <c r="N275" s="621"/>
      <c r="O275" s="621"/>
      <c r="P275" s="621"/>
      <c r="Q275" s="621"/>
      <c r="R275" s="621"/>
      <c r="S275" s="621"/>
      <c r="T275" s="621"/>
      <c r="U275" s="621"/>
      <c r="V275" s="621"/>
      <c r="W275" s="621"/>
      <c r="X275" s="621"/>
      <c r="Y275" s="621"/>
      <c r="Z275" s="621"/>
      <c r="AA275" s="65"/>
      <c r="AB275" s="65"/>
      <c r="AC275" s="79"/>
    </row>
    <row r="276" spans="1:68" ht="14.25" customHeight="1" x14ac:dyDescent="0.25">
      <c r="A276" s="622" t="s">
        <v>88</v>
      </c>
      <c r="B276" s="622"/>
      <c r="C276" s="622"/>
      <c r="D276" s="622"/>
      <c r="E276" s="622"/>
      <c r="F276" s="622"/>
      <c r="G276" s="622"/>
      <c r="H276" s="622"/>
      <c r="I276" s="622"/>
      <c r="J276" s="622"/>
      <c r="K276" s="622"/>
      <c r="L276" s="622"/>
      <c r="M276" s="622"/>
      <c r="N276" s="622"/>
      <c r="O276" s="622"/>
      <c r="P276" s="622"/>
      <c r="Q276" s="622"/>
      <c r="R276" s="622"/>
      <c r="S276" s="622"/>
      <c r="T276" s="622"/>
      <c r="U276" s="622"/>
      <c r="V276" s="622"/>
      <c r="W276" s="622"/>
      <c r="X276" s="622"/>
      <c r="Y276" s="622"/>
      <c r="Z276" s="622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3">
        <v>4680115886186</v>
      </c>
      <c r="E277" s="623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5"/>
      <c r="R277" s="625"/>
      <c r="S277" s="625"/>
      <c r="T277" s="626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3">
        <v>4680115881228</v>
      </c>
      <c r="E278" s="623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93</v>
      </c>
      <c r="M278" s="38" t="s">
        <v>100</v>
      </c>
      <c r="N278" s="38"/>
      <c r="O278" s="37">
        <v>40</v>
      </c>
      <c r="P278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94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3">
        <v>4680115881211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1"/>
      <c r="B280" s="631"/>
      <c r="C280" s="631"/>
      <c r="D280" s="631"/>
      <c r="E280" s="631"/>
      <c r="F280" s="631"/>
      <c r="G280" s="631"/>
      <c r="H280" s="631"/>
      <c r="I280" s="631"/>
      <c r="J280" s="631"/>
      <c r="K280" s="631"/>
      <c r="L280" s="631"/>
      <c r="M280" s="631"/>
      <c r="N280" s="631"/>
      <c r="O280" s="632"/>
      <c r="P280" s="628" t="s">
        <v>40</v>
      </c>
      <c r="Q280" s="629"/>
      <c r="R280" s="629"/>
      <c r="S280" s="629"/>
      <c r="T280" s="629"/>
      <c r="U280" s="629"/>
      <c r="V280" s="630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21" t="s">
        <v>464</v>
      </c>
      <c r="B282" s="621"/>
      <c r="C282" s="621"/>
      <c r="D282" s="621"/>
      <c r="E282" s="621"/>
      <c r="F282" s="621"/>
      <c r="G282" s="621"/>
      <c r="H282" s="621"/>
      <c r="I282" s="621"/>
      <c r="J282" s="621"/>
      <c r="K282" s="621"/>
      <c r="L282" s="621"/>
      <c r="M282" s="621"/>
      <c r="N282" s="621"/>
      <c r="O282" s="621"/>
      <c r="P282" s="621"/>
      <c r="Q282" s="621"/>
      <c r="R282" s="621"/>
      <c r="S282" s="621"/>
      <c r="T282" s="621"/>
      <c r="U282" s="621"/>
      <c r="V282" s="621"/>
      <c r="W282" s="621"/>
      <c r="X282" s="621"/>
      <c r="Y282" s="621"/>
      <c r="Z282" s="621"/>
      <c r="AA282" s="65"/>
      <c r="AB282" s="65"/>
      <c r="AC282" s="79"/>
    </row>
    <row r="283" spans="1:68" ht="14.25" customHeight="1" x14ac:dyDescent="0.25">
      <c r="A283" s="622" t="s">
        <v>78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3">
        <v>4680115880344</v>
      </c>
      <c r="E284" s="623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3">
        <v>4680115886919</v>
      </c>
      <c r="E285" s="623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2" t="s">
        <v>88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3">
        <v>4680115884618</v>
      </c>
      <c r="E289" s="623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121</v>
      </c>
      <c r="L289" s="37" t="s">
        <v>45</v>
      </c>
      <c r="M289" s="38" t="s">
        <v>92</v>
      </c>
      <c r="N289" s="38"/>
      <c r="O289" s="37">
        <v>45</v>
      </c>
      <c r="P289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3">
        <v>4680115887114</v>
      </c>
      <c r="E290" s="623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121</v>
      </c>
      <c r="L290" s="37" t="s">
        <v>45</v>
      </c>
      <c r="M290" s="38" t="s">
        <v>92</v>
      </c>
      <c r="N290" s="38"/>
      <c r="O290" s="37">
        <v>45</v>
      </c>
      <c r="P290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31"/>
      <c r="B291" s="631"/>
      <c r="C291" s="631"/>
      <c r="D291" s="631"/>
      <c r="E291" s="631"/>
      <c r="F291" s="631"/>
      <c r="G291" s="631"/>
      <c r="H291" s="631"/>
      <c r="I291" s="631"/>
      <c r="J291" s="631"/>
      <c r="K291" s="631"/>
      <c r="L291" s="631"/>
      <c r="M291" s="631"/>
      <c r="N291" s="631"/>
      <c r="O291" s="632"/>
      <c r="P291" s="628" t="s">
        <v>40</v>
      </c>
      <c r="Q291" s="629"/>
      <c r="R291" s="629"/>
      <c r="S291" s="629"/>
      <c r="T291" s="629"/>
      <c r="U291" s="629"/>
      <c r="V291" s="63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31"/>
      <c r="B292" s="631"/>
      <c r="C292" s="631"/>
      <c r="D292" s="631"/>
      <c r="E292" s="631"/>
      <c r="F292" s="631"/>
      <c r="G292" s="631"/>
      <c r="H292" s="631"/>
      <c r="I292" s="631"/>
      <c r="J292" s="631"/>
      <c r="K292" s="631"/>
      <c r="L292" s="631"/>
      <c r="M292" s="631"/>
      <c r="N292" s="631"/>
      <c r="O292" s="632"/>
      <c r="P292" s="628" t="s">
        <v>40</v>
      </c>
      <c r="Q292" s="629"/>
      <c r="R292" s="629"/>
      <c r="S292" s="629"/>
      <c r="T292" s="629"/>
      <c r="U292" s="629"/>
      <c r="V292" s="63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21" t="s">
        <v>477</v>
      </c>
      <c r="B293" s="621"/>
      <c r="C293" s="621"/>
      <c r="D293" s="621"/>
      <c r="E293" s="621"/>
      <c r="F293" s="621"/>
      <c r="G293" s="621"/>
      <c r="H293" s="621"/>
      <c r="I293" s="621"/>
      <c r="J293" s="621"/>
      <c r="K293" s="621"/>
      <c r="L293" s="621"/>
      <c r="M293" s="621"/>
      <c r="N293" s="621"/>
      <c r="O293" s="621"/>
      <c r="P293" s="621"/>
      <c r="Q293" s="621"/>
      <c r="R293" s="621"/>
      <c r="S293" s="621"/>
      <c r="T293" s="621"/>
      <c r="U293" s="621"/>
      <c r="V293" s="621"/>
      <c r="W293" s="621"/>
      <c r="X293" s="621"/>
      <c r="Y293" s="621"/>
      <c r="Z293" s="621"/>
      <c r="AA293" s="65"/>
      <c r="AB293" s="65"/>
      <c r="AC293" s="79"/>
    </row>
    <row r="294" spans="1:68" ht="14.25" customHeight="1" x14ac:dyDescent="0.25">
      <c r="A294" s="622" t="s">
        <v>112</v>
      </c>
      <c r="B294" s="622"/>
      <c r="C294" s="622"/>
      <c r="D294" s="622"/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622"/>
      <c r="P294" s="622"/>
      <c r="Q294" s="622"/>
      <c r="R294" s="622"/>
      <c r="S294" s="622"/>
      <c r="T294" s="622"/>
      <c r="U294" s="622"/>
      <c r="V294" s="622"/>
      <c r="W294" s="622"/>
      <c r="X294" s="622"/>
      <c r="Y294" s="622"/>
      <c r="Z294" s="622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4301012126</v>
      </c>
      <c r="D295" s="623">
        <v>4607091386004</v>
      </c>
      <c r="E295" s="623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117</v>
      </c>
      <c r="L295" s="37" t="s">
        <v>45</v>
      </c>
      <c r="M295" s="38" t="s">
        <v>116</v>
      </c>
      <c r="N295" s="38"/>
      <c r="O295" s="37">
        <v>55</v>
      </c>
      <c r="P295" s="76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ref="Y295:Y300" si="26"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 t="shared" ref="BM295:BM300" si="27">IFERROR(X295*I295/H295,"0")</f>
        <v>0</v>
      </c>
      <c r="BN295" s="78">
        <f t="shared" ref="BN295:BN300" si="28">IFERROR(Y295*I295/H295,"0")</f>
        <v>0</v>
      </c>
      <c r="BO295" s="78">
        <f t="shared" ref="BO295:BO300" si="29">IFERROR(1/J295*(X295/H295),"0")</f>
        <v>0</v>
      </c>
      <c r="BP295" s="78">
        <f t="shared" ref="BP295:BP300" si="30">IFERROR(1/J295*(Y295/H295),"0")</f>
        <v>0</v>
      </c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3">
        <v>4680115885615</v>
      </c>
      <c r="E296" s="623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5"/>
      <c r="R296" s="625"/>
      <c r="S296" s="625"/>
      <c r="T296" s="626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3">
        <v>4680115885646</v>
      </c>
      <c r="E297" s="62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5"/>
      <c r="R297" s="625"/>
      <c r="S297" s="625"/>
      <c r="T297" s="626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3">
        <v>4680115885554</v>
      </c>
      <c r="E298" s="62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3">
        <v>4680115885622</v>
      </c>
      <c r="E299" s="62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121</v>
      </c>
      <c r="L299" s="37" t="s">
        <v>45</v>
      </c>
      <c r="M299" s="38" t="s">
        <v>116</v>
      </c>
      <c r="N299" s="38"/>
      <c r="O299" s="37">
        <v>55</v>
      </c>
      <c r="P299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3">
        <v>4680115885608</v>
      </c>
      <c r="E300" s="62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121</v>
      </c>
      <c r="L300" s="37" t="s">
        <v>45</v>
      </c>
      <c r="M300" s="38" t="s">
        <v>116</v>
      </c>
      <c r="N300" s="38"/>
      <c r="O300" s="37">
        <v>55</v>
      </c>
      <c r="P300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x14ac:dyDescent="0.2">
      <c r="A301" s="631"/>
      <c r="B301" s="631"/>
      <c r="C301" s="631"/>
      <c r="D301" s="631"/>
      <c r="E301" s="631"/>
      <c r="F301" s="631"/>
      <c r="G301" s="631"/>
      <c r="H301" s="631"/>
      <c r="I301" s="631"/>
      <c r="J301" s="631"/>
      <c r="K301" s="631"/>
      <c r="L301" s="631"/>
      <c r="M301" s="631"/>
      <c r="N301" s="631"/>
      <c r="O301" s="632"/>
      <c r="P301" s="628" t="s">
        <v>40</v>
      </c>
      <c r="Q301" s="629"/>
      <c r="R301" s="629"/>
      <c r="S301" s="629"/>
      <c r="T301" s="629"/>
      <c r="U301" s="629"/>
      <c r="V301" s="630"/>
      <c r="W301" s="42" t="s">
        <v>39</v>
      </c>
      <c r="X301" s="43">
        <f>IFERROR(X295/H295,"0")+IFERROR(X296/H296,"0")+IFERROR(X297/H297,"0")+IFERROR(X298/H298,"0")+IFERROR(X299/H299,"0")+IFERROR(X300/H300,"0")</f>
        <v>0</v>
      </c>
      <c r="Y301" s="43">
        <f>IFERROR(Y295/H295,"0")+IFERROR(Y296/H296,"0")+IFERROR(Y297/H297,"0")+IFERROR(Y298/H298,"0")+IFERROR(Y299/H299,"0")+IFERROR(Y300/H300,"0")</f>
        <v>0</v>
      </c>
      <c r="Z301" s="43">
        <f>IFERROR(IF(Z295="",0,Z295),"0")+IFERROR(IF(Z296="",0,Z296),"0")+IFERROR(IF(Z297="",0,Z297),"0")+IFERROR(IF(Z298="",0,Z298),"0")+IFERROR(IF(Z299="",0,Z299),"0")+IFERROR(IF(Z300="",0,Z300),"0")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1"/>
      <c r="B302" s="631"/>
      <c r="C302" s="631"/>
      <c r="D302" s="631"/>
      <c r="E302" s="631"/>
      <c r="F302" s="631"/>
      <c r="G302" s="631"/>
      <c r="H302" s="631"/>
      <c r="I302" s="631"/>
      <c r="J302" s="631"/>
      <c r="K302" s="631"/>
      <c r="L302" s="631"/>
      <c r="M302" s="631"/>
      <c r="N302" s="631"/>
      <c r="O302" s="632"/>
      <c r="P302" s="628" t="s">
        <v>40</v>
      </c>
      <c r="Q302" s="629"/>
      <c r="R302" s="629"/>
      <c r="S302" s="629"/>
      <c r="T302" s="629"/>
      <c r="U302" s="629"/>
      <c r="V302" s="630"/>
      <c r="W302" s="42" t="s">
        <v>0</v>
      </c>
      <c r="X302" s="43">
        <f>IFERROR(SUM(X295:X300),"0")</f>
        <v>0</v>
      </c>
      <c r="Y302" s="43">
        <f>IFERROR(SUM(Y295:Y300),"0")</f>
        <v>0</v>
      </c>
      <c r="Z302" s="42"/>
      <c r="AA302" s="67"/>
      <c r="AB302" s="67"/>
      <c r="AC302" s="67"/>
    </row>
    <row r="303" spans="1:68" ht="14.25" customHeight="1" x14ac:dyDescent="0.25">
      <c r="A303" s="622" t="s">
        <v>78</v>
      </c>
      <c r="B303" s="622"/>
      <c r="C303" s="622"/>
      <c r="D303" s="622"/>
      <c r="E303" s="622"/>
      <c r="F303" s="622"/>
      <c r="G303" s="622"/>
      <c r="H303" s="622"/>
      <c r="I303" s="622"/>
      <c r="J303" s="622"/>
      <c r="K303" s="622"/>
      <c r="L303" s="622"/>
      <c r="M303" s="622"/>
      <c r="N303" s="622"/>
      <c r="O303" s="622"/>
      <c r="P303" s="622"/>
      <c r="Q303" s="622"/>
      <c r="R303" s="622"/>
      <c r="S303" s="622"/>
      <c r="T303" s="622"/>
      <c r="U303" s="622"/>
      <c r="V303" s="622"/>
      <c r="W303" s="622"/>
      <c r="X303" s="622"/>
      <c r="Y303" s="622"/>
      <c r="Z303" s="622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3">
        <v>4607091387193</v>
      </c>
      <c r="E304" s="623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121</v>
      </c>
      <c r="L304" s="37" t="s">
        <v>45</v>
      </c>
      <c r="M304" s="38" t="s">
        <v>82</v>
      </c>
      <c r="N304" s="38"/>
      <c r="O304" s="37">
        <v>35</v>
      </c>
      <c r="P304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3">
        <v>4607091387230</v>
      </c>
      <c r="E305" s="62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121</v>
      </c>
      <c r="L305" s="37" t="s">
        <v>45</v>
      </c>
      <c r="M305" s="38" t="s">
        <v>82</v>
      </c>
      <c r="N305" s="38"/>
      <c r="O305" s="37">
        <v>40</v>
      </c>
      <c r="P305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3">
        <v>4607091387292</v>
      </c>
      <c r="E306" s="623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121</v>
      </c>
      <c r="L306" s="37" t="s">
        <v>45</v>
      </c>
      <c r="M306" s="38" t="s">
        <v>82</v>
      </c>
      <c r="N306" s="38"/>
      <c r="O306" s="37">
        <v>45</v>
      </c>
      <c r="P306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5"/>
      <c r="R306" s="625"/>
      <c r="S306" s="625"/>
      <c r="T306" s="62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3">
        <v>4607091387285</v>
      </c>
      <c r="E307" s="623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3">
        <v>4607091389845</v>
      </c>
      <c r="E308" s="623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295</v>
      </c>
      <c r="M308" s="38" t="s">
        <v>82</v>
      </c>
      <c r="N308" s="38"/>
      <c r="O308" s="37">
        <v>40</v>
      </c>
      <c r="P308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94</v>
      </c>
      <c r="AK308" s="84">
        <v>37.799999999999997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3">
        <v>4607091383836</v>
      </c>
      <c r="E309" s="623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93</v>
      </c>
      <c r="M309" s="38" t="s">
        <v>82</v>
      </c>
      <c r="N309" s="38"/>
      <c r="O309" s="37">
        <v>40</v>
      </c>
      <c r="P309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94</v>
      </c>
      <c r="AK309" s="84">
        <v>25.2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1"/>
      <c r="B310" s="631"/>
      <c r="C310" s="631"/>
      <c r="D310" s="631"/>
      <c r="E310" s="631"/>
      <c r="F310" s="631"/>
      <c r="G310" s="631"/>
      <c r="H310" s="631"/>
      <c r="I310" s="631"/>
      <c r="J310" s="631"/>
      <c r="K310" s="631"/>
      <c r="L310" s="631"/>
      <c r="M310" s="631"/>
      <c r="N310" s="631"/>
      <c r="O310" s="632"/>
      <c r="P310" s="628" t="s">
        <v>40</v>
      </c>
      <c r="Q310" s="629"/>
      <c r="R310" s="629"/>
      <c r="S310" s="629"/>
      <c r="T310" s="629"/>
      <c r="U310" s="629"/>
      <c r="V310" s="630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2" t="s">
        <v>88</v>
      </c>
      <c r="B312" s="622"/>
      <c r="C312" s="622"/>
      <c r="D312" s="622"/>
      <c r="E312" s="622"/>
      <c r="F312" s="622"/>
      <c r="G312" s="622"/>
      <c r="H312" s="622"/>
      <c r="I312" s="622"/>
      <c r="J312" s="622"/>
      <c r="K312" s="622"/>
      <c r="L312" s="622"/>
      <c r="M312" s="622"/>
      <c r="N312" s="622"/>
      <c r="O312" s="622"/>
      <c r="P312" s="622"/>
      <c r="Q312" s="622"/>
      <c r="R312" s="622"/>
      <c r="S312" s="622"/>
      <c r="T312" s="622"/>
      <c r="U312" s="622"/>
      <c r="V312" s="622"/>
      <c r="W312" s="622"/>
      <c r="X312" s="622"/>
      <c r="Y312" s="622"/>
      <c r="Z312" s="622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3">
        <v>4607091387766</v>
      </c>
      <c r="E313" s="623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5"/>
      <c r="R313" s="625"/>
      <c r="S313" s="625"/>
      <c r="T313" s="626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3">
        <v>4607091387957</v>
      </c>
      <c r="E314" s="623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3">
        <v>4607091387964</v>
      </c>
      <c r="E315" s="623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3">
        <v>4680115884588</v>
      </c>
      <c r="E316" s="623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169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3">
        <v>4607091380880</v>
      </c>
      <c r="E320" s="623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118</v>
      </c>
      <c r="M320" s="38" t="s">
        <v>92</v>
      </c>
      <c r="N320" s="38"/>
      <c r="O320" s="37">
        <v>30</v>
      </c>
      <c r="P320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94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3">
        <v>4607091384482</v>
      </c>
      <c r="E321" s="623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94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3">
        <v>4607091380897</v>
      </c>
      <c r="E322" s="62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100</v>
      </c>
      <c r="N322" s="38"/>
      <c r="O322" s="37">
        <v>30</v>
      </c>
      <c r="P322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1"/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  <c r="L323" s="631"/>
      <c r="M323" s="631"/>
      <c r="N323" s="631"/>
      <c r="O323" s="632"/>
      <c r="P323" s="628" t="s">
        <v>40</v>
      </c>
      <c r="Q323" s="629"/>
      <c r="R323" s="629"/>
      <c r="S323" s="629"/>
      <c r="T323" s="629"/>
      <c r="U323" s="629"/>
      <c r="V323" s="630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2" t="s">
        <v>104</v>
      </c>
      <c r="B325" s="622"/>
      <c r="C325" s="622"/>
      <c r="D325" s="622"/>
      <c r="E325" s="622"/>
      <c r="F325" s="622"/>
      <c r="G325" s="622"/>
      <c r="H325" s="622"/>
      <c r="I325" s="622"/>
      <c r="J325" s="622"/>
      <c r="K325" s="622"/>
      <c r="L325" s="622"/>
      <c r="M325" s="622"/>
      <c r="N325" s="622"/>
      <c r="O325" s="622"/>
      <c r="P325" s="622"/>
      <c r="Q325" s="622"/>
      <c r="R325" s="622"/>
      <c r="S325" s="622"/>
      <c r="T325" s="622"/>
      <c r="U325" s="622"/>
      <c r="V325" s="622"/>
      <c r="W325" s="622"/>
      <c r="X325" s="622"/>
      <c r="Y325" s="622"/>
      <c r="Z325" s="622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3">
        <v>4607091388381</v>
      </c>
      <c r="E326" s="623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121</v>
      </c>
      <c r="L326" s="37" t="s">
        <v>45</v>
      </c>
      <c r="M326" s="38" t="s">
        <v>109</v>
      </c>
      <c r="N326" s="38"/>
      <c r="O326" s="37">
        <v>180</v>
      </c>
      <c r="P326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5"/>
      <c r="R326" s="625"/>
      <c r="S326" s="625"/>
      <c r="T326" s="626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3">
        <v>4607091388374</v>
      </c>
      <c r="E327" s="623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121</v>
      </c>
      <c r="L327" s="37" t="s">
        <v>45</v>
      </c>
      <c r="M327" s="38" t="s">
        <v>109</v>
      </c>
      <c r="N327" s="38"/>
      <c r="O327" s="37">
        <v>180</v>
      </c>
      <c r="P327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3">
        <v>4607091383102</v>
      </c>
      <c r="E328" s="623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93</v>
      </c>
      <c r="M328" s="38" t="s">
        <v>109</v>
      </c>
      <c r="N328" s="38"/>
      <c r="O328" s="37">
        <v>180</v>
      </c>
      <c r="P328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94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3">
        <v>4607091388404</v>
      </c>
      <c r="E329" s="623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109</v>
      </c>
      <c r="N329" s="38"/>
      <c r="O329" s="37">
        <v>180</v>
      </c>
      <c r="P329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2" t="s">
        <v>542</v>
      </c>
      <c r="B332" s="622"/>
      <c r="C332" s="622"/>
      <c r="D332" s="622"/>
      <c r="E332" s="622"/>
      <c r="F332" s="622"/>
      <c r="G332" s="622"/>
      <c r="H332" s="622"/>
      <c r="I332" s="622"/>
      <c r="J332" s="622"/>
      <c r="K332" s="622"/>
      <c r="L332" s="622"/>
      <c r="M332" s="622"/>
      <c r="N332" s="622"/>
      <c r="O332" s="622"/>
      <c r="P332" s="622"/>
      <c r="Q332" s="622"/>
      <c r="R332" s="622"/>
      <c r="S332" s="622"/>
      <c r="T332" s="622"/>
      <c r="U332" s="622"/>
      <c r="V332" s="622"/>
      <c r="W332" s="622"/>
      <c r="X332" s="622"/>
      <c r="Y332" s="622"/>
      <c r="Z332" s="622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3">
        <v>4680115881808</v>
      </c>
      <c r="E333" s="623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5"/>
      <c r="R333" s="625"/>
      <c r="S333" s="625"/>
      <c r="T333" s="626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3">
        <v>4680115881822</v>
      </c>
      <c r="E334" s="62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3">
        <v>4680115880016</v>
      </c>
      <c r="E335" s="62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546</v>
      </c>
      <c r="N335" s="38"/>
      <c r="O335" s="37">
        <v>730</v>
      </c>
      <c r="P335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1"/>
      <c r="B336" s="631"/>
      <c r="C336" s="631"/>
      <c r="D336" s="631"/>
      <c r="E336" s="631"/>
      <c r="F336" s="631"/>
      <c r="G336" s="631"/>
      <c r="H336" s="631"/>
      <c r="I336" s="631"/>
      <c r="J336" s="631"/>
      <c r="K336" s="631"/>
      <c r="L336" s="631"/>
      <c r="M336" s="631"/>
      <c r="N336" s="631"/>
      <c r="O336" s="632"/>
      <c r="P336" s="628" t="s">
        <v>40</v>
      </c>
      <c r="Q336" s="629"/>
      <c r="R336" s="629"/>
      <c r="S336" s="629"/>
      <c r="T336" s="629"/>
      <c r="U336" s="629"/>
      <c r="V336" s="63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1" t="s">
        <v>551</v>
      </c>
      <c r="B338" s="621"/>
      <c r="C338" s="621"/>
      <c r="D338" s="621"/>
      <c r="E338" s="621"/>
      <c r="F338" s="621"/>
      <c r="G338" s="621"/>
      <c r="H338" s="621"/>
      <c r="I338" s="621"/>
      <c r="J338" s="621"/>
      <c r="K338" s="621"/>
      <c r="L338" s="621"/>
      <c r="M338" s="621"/>
      <c r="N338" s="621"/>
      <c r="O338" s="621"/>
      <c r="P338" s="621"/>
      <c r="Q338" s="621"/>
      <c r="R338" s="621"/>
      <c r="S338" s="621"/>
      <c r="T338" s="621"/>
      <c r="U338" s="621"/>
      <c r="V338" s="621"/>
      <c r="W338" s="621"/>
      <c r="X338" s="621"/>
      <c r="Y338" s="621"/>
      <c r="Z338" s="621"/>
      <c r="AA338" s="65"/>
      <c r="AB338" s="65"/>
      <c r="AC338" s="79"/>
    </row>
    <row r="339" spans="1:68" ht="14.25" customHeight="1" x14ac:dyDescent="0.25">
      <c r="A339" s="622" t="s">
        <v>88</v>
      </c>
      <c r="B339" s="622"/>
      <c r="C339" s="622"/>
      <c r="D339" s="622"/>
      <c r="E339" s="622"/>
      <c r="F339" s="622"/>
      <c r="G339" s="622"/>
      <c r="H339" s="622"/>
      <c r="I339" s="622"/>
      <c r="J339" s="622"/>
      <c r="K339" s="622"/>
      <c r="L339" s="622"/>
      <c r="M339" s="622"/>
      <c r="N339" s="622"/>
      <c r="O339" s="622"/>
      <c r="P339" s="622"/>
      <c r="Q339" s="622"/>
      <c r="R339" s="622"/>
      <c r="S339" s="622"/>
      <c r="T339" s="622"/>
      <c r="U339" s="622"/>
      <c r="V339" s="622"/>
      <c r="W339" s="622"/>
      <c r="X339" s="622"/>
      <c r="Y339" s="622"/>
      <c r="Z339" s="622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3">
        <v>4607091387919</v>
      </c>
      <c r="E340" s="623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100</v>
      </c>
      <c r="N340" s="38"/>
      <c r="O340" s="37">
        <v>45</v>
      </c>
      <c r="P340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5"/>
      <c r="R340" s="625"/>
      <c r="S340" s="625"/>
      <c r="T340" s="626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3">
        <v>4680115883604</v>
      </c>
      <c r="E341" s="623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93</v>
      </c>
      <c r="M341" s="38" t="s">
        <v>92</v>
      </c>
      <c r="N341" s="38"/>
      <c r="O341" s="37">
        <v>45</v>
      </c>
      <c r="P341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5"/>
      <c r="R341" s="625"/>
      <c r="S341" s="625"/>
      <c r="T341" s="62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94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3">
        <v>4680115883567</v>
      </c>
      <c r="E342" s="623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93</v>
      </c>
      <c r="M342" s="38" t="s">
        <v>100</v>
      </c>
      <c r="N342" s="38"/>
      <c r="O342" s="37">
        <v>40</v>
      </c>
      <c r="P342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94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1"/>
      <c r="B343" s="631"/>
      <c r="C343" s="631"/>
      <c r="D343" s="631"/>
      <c r="E343" s="631"/>
      <c r="F343" s="631"/>
      <c r="G343" s="631"/>
      <c r="H343" s="631"/>
      <c r="I343" s="631"/>
      <c r="J343" s="631"/>
      <c r="K343" s="631"/>
      <c r="L343" s="631"/>
      <c r="M343" s="631"/>
      <c r="N343" s="631"/>
      <c r="O343" s="632"/>
      <c r="P343" s="628" t="s">
        <v>40</v>
      </c>
      <c r="Q343" s="629"/>
      <c r="R343" s="629"/>
      <c r="S343" s="629"/>
      <c r="T343" s="629"/>
      <c r="U343" s="629"/>
      <c r="V343" s="630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1"/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2"/>
      <c r="P344" s="628" t="s">
        <v>40</v>
      </c>
      <c r="Q344" s="629"/>
      <c r="R344" s="629"/>
      <c r="S344" s="629"/>
      <c r="T344" s="629"/>
      <c r="U344" s="629"/>
      <c r="V344" s="630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0" t="s">
        <v>561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54"/>
      <c r="AB345" s="54"/>
      <c r="AC345" s="54"/>
    </row>
    <row r="346" spans="1:68" ht="16.5" customHeight="1" x14ac:dyDescent="0.25">
      <c r="A346" s="621" t="s">
        <v>562</v>
      </c>
      <c r="B346" s="621"/>
      <c r="C346" s="621"/>
      <c r="D346" s="621"/>
      <c r="E346" s="621"/>
      <c r="F346" s="621"/>
      <c r="G346" s="621"/>
      <c r="H346" s="621"/>
      <c r="I346" s="621"/>
      <c r="J346" s="621"/>
      <c r="K346" s="621"/>
      <c r="L346" s="621"/>
      <c r="M346" s="621"/>
      <c r="N346" s="621"/>
      <c r="O346" s="621"/>
      <c r="P346" s="621"/>
      <c r="Q346" s="621"/>
      <c r="R346" s="621"/>
      <c r="S346" s="621"/>
      <c r="T346" s="621"/>
      <c r="U346" s="621"/>
      <c r="V346" s="621"/>
      <c r="W346" s="621"/>
      <c r="X346" s="621"/>
      <c r="Y346" s="621"/>
      <c r="Z346" s="621"/>
      <c r="AA346" s="65"/>
      <c r="AB346" s="65"/>
      <c r="AC346" s="79"/>
    </row>
    <row r="347" spans="1:68" ht="14.25" customHeight="1" x14ac:dyDescent="0.25">
      <c r="A347" s="622" t="s">
        <v>112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3">
        <v>4680115884847</v>
      </c>
      <c r="E348" s="623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118</v>
      </c>
      <c r="M348" s="38" t="s">
        <v>82</v>
      </c>
      <c r="N348" s="38"/>
      <c r="O348" s="37">
        <v>60</v>
      </c>
      <c r="P348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94</v>
      </c>
      <c r="AK348" s="84">
        <v>120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4301012083</v>
      </c>
      <c r="D349" s="623">
        <v>4680115884854</v>
      </c>
      <c r="E349" s="62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116</v>
      </c>
      <c r="N349" s="38"/>
      <c r="O349" s="37">
        <v>60</v>
      </c>
      <c r="P349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94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3">
        <v>4680115884830</v>
      </c>
      <c r="E350" s="62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94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3">
        <v>4680115887046</v>
      </c>
      <c r="E351" s="62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100</v>
      </c>
      <c r="N351" s="38"/>
      <c r="O351" s="37">
        <v>60</v>
      </c>
      <c r="P351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5"/>
      <c r="R351" s="625"/>
      <c r="S351" s="625"/>
      <c r="T351" s="62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3">
        <v>4680115882638</v>
      </c>
      <c r="E352" s="623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121</v>
      </c>
      <c r="L352" s="37" t="s">
        <v>45</v>
      </c>
      <c r="M352" s="38" t="s">
        <v>116</v>
      </c>
      <c r="N352" s="38"/>
      <c r="O352" s="37">
        <v>90</v>
      </c>
      <c r="P352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3">
        <v>4680115884922</v>
      </c>
      <c r="E353" s="623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121</v>
      </c>
      <c r="L353" s="37" t="s">
        <v>45</v>
      </c>
      <c r="M353" s="38" t="s">
        <v>82</v>
      </c>
      <c r="N353" s="38"/>
      <c r="O353" s="37">
        <v>60</v>
      </c>
      <c r="P353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581</v>
      </c>
      <c r="B354" s="63" t="s">
        <v>582</v>
      </c>
      <c r="C354" s="36">
        <v>4301011868</v>
      </c>
      <c r="D354" s="623">
        <v>4680115884861</v>
      </c>
      <c r="E354" s="62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121</v>
      </c>
      <c r="L354" s="37" t="s">
        <v>45</v>
      </c>
      <c r="M354" s="38" t="s">
        <v>82</v>
      </c>
      <c r="N354" s="38"/>
      <c r="O354" s="37">
        <v>60</v>
      </c>
      <c r="P354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1"/>
      <c r="B356" s="631"/>
      <c r="C356" s="631"/>
      <c r="D356" s="631"/>
      <c r="E356" s="631"/>
      <c r="F356" s="631"/>
      <c r="G356" s="631"/>
      <c r="H356" s="631"/>
      <c r="I356" s="631"/>
      <c r="J356" s="631"/>
      <c r="K356" s="631"/>
      <c r="L356" s="631"/>
      <c r="M356" s="631"/>
      <c r="N356" s="631"/>
      <c r="O356" s="632"/>
      <c r="P356" s="628" t="s">
        <v>40</v>
      </c>
      <c r="Q356" s="629"/>
      <c r="R356" s="629"/>
      <c r="S356" s="629"/>
      <c r="T356" s="629"/>
      <c r="U356" s="629"/>
      <c r="V356" s="630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147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583</v>
      </c>
      <c r="B358" s="63" t="s">
        <v>584</v>
      </c>
      <c r="C358" s="36">
        <v>4301020178</v>
      </c>
      <c r="D358" s="623">
        <v>4607091383980</v>
      </c>
      <c r="E358" s="623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118</v>
      </c>
      <c r="M358" s="38" t="s">
        <v>116</v>
      </c>
      <c r="N358" s="38"/>
      <c r="O358" s="37">
        <v>50</v>
      </c>
      <c r="P358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94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586</v>
      </c>
      <c r="B359" s="63" t="s">
        <v>587</v>
      </c>
      <c r="C359" s="36">
        <v>4301020179</v>
      </c>
      <c r="D359" s="623">
        <v>4607091384178</v>
      </c>
      <c r="E359" s="623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121</v>
      </c>
      <c r="L359" s="37" t="s">
        <v>45</v>
      </c>
      <c r="M359" s="38" t="s">
        <v>116</v>
      </c>
      <c r="N359" s="38"/>
      <c r="O359" s="37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588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1"/>
      <c r="B361" s="631"/>
      <c r="C361" s="631"/>
      <c r="D361" s="631"/>
      <c r="E361" s="631"/>
      <c r="F361" s="631"/>
      <c r="G361" s="631"/>
      <c r="H361" s="631"/>
      <c r="I361" s="631"/>
      <c r="J361" s="631"/>
      <c r="K361" s="631"/>
      <c r="L361" s="631"/>
      <c r="M361" s="631"/>
      <c r="N361" s="631"/>
      <c r="O361" s="632"/>
      <c r="P361" s="628" t="s">
        <v>40</v>
      </c>
      <c r="Q361" s="629"/>
      <c r="R361" s="629"/>
      <c r="S361" s="629"/>
      <c r="T361" s="629"/>
      <c r="U361" s="629"/>
      <c r="V361" s="630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88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27" customHeight="1" x14ac:dyDescent="0.25">
      <c r="A363" s="63" t="s">
        <v>589</v>
      </c>
      <c r="B363" s="63" t="s">
        <v>590</v>
      </c>
      <c r="C363" s="36">
        <v>4301051903</v>
      </c>
      <c r="D363" s="623">
        <v>4607091383928</v>
      </c>
      <c r="E363" s="623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592</v>
      </c>
      <c r="B364" s="63" t="s">
        <v>593</v>
      </c>
      <c r="C364" s="36">
        <v>4301051897</v>
      </c>
      <c r="D364" s="623">
        <v>4607091384260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594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1"/>
      <c r="B365" s="631"/>
      <c r="C365" s="631"/>
      <c r="D365" s="631"/>
      <c r="E365" s="631"/>
      <c r="F365" s="631"/>
      <c r="G365" s="631"/>
      <c r="H365" s="631"/>
      <c r="I365" s="631"/>
      <c r="J365" s="631"/>
      <c r="K365" s="631"/>
      <c r="L365" s="631"/>
      <c r="M365" s="631"/>
      <c r="N365" s="631"/>
      <c r="O365" s="632"/>
      <c r="P365" s="628" t="s">
        <v>40</v>
      </c>
      <c r="Q365" s="629"/>
      <c r="R365" s="629"/>
      <c r="S365" s="629"/>
      <c r="T365" s="629"/>
      <c r="U365" s="629"/>
      <c r="V365" s="630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1"/>
      <c r="B366" s="631"/>
      <c r="C366" s="631"/>
      <c r="D366" s="631"/>
      <c r="E366" s="631"/>
      <c r="F366" s="631"/>
      <c r="G366" s="631"/>
      <c r="H366" s="631"/>
      <c r="I366" s="631"/>
      <c r="J366" s="631"/>
      <c r="K366" s="631"/>
      <c r="L366" s="631"/>
      <c r="M366" s="631"/>
      <c r="N366" s="631"/>
      <c r="O366" s="632"/>
      <c r="P366" s="628" t="s">
        <v>40</v>
      </c>
      <c r="Q366" s="629"/>
      <c r="R366" s="629"/>
      <c r="S366" s="629"/>
      <c r="T366" s="629"/>
      <c r="U366" s="629"/>
      <c r="V366" s="630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2" t="s">
        <v>169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16.5" customHeight="1" x14ac:dyDescent="0.25">
      <c r="A368" s="63" t="s">
        <v>595</v>
      </c>
      <c r="B368" s="63" t="s">
        <v>596</v>
      </c>
      <c r="C368" s="36">
        <v>4301060524</v>
      </c>
      <c r="D368" s="623">
        <v>4607091384673</v>
      </c>
      <c r="E368" s="623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597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1" t="s">
        <v>598</v>
      </c>
      <c r="B371" s="621"/>
      <c r="C371" s="621"/>
      <c r="D371" s="621"/>
      <c r="E371" s="621"/>
      <c r="F371" s="621"/>
      <c r="G371" s="621"/>
      <c r="H371" s="621"/>
      <c r="I371" s="621"/>
      <c r="J371" s="621"/>
      <c r="K371" s="621"/>
      <c r="L371" s="621"/>
      <c r="M371" s="621"/>
      <c r="N371" s="621"/>
      <c r="O371" s="621"/>
      <c r="P371" s="621"/>
      <c r="Q371" s="621"/>
      <c r="R371" s="621"/>
      <c r="S371" s="621"/>
      <c r="T371" s="621"/>
      <c r="U371" s="621"/>
      <c r="V371" s="621"/>
      <c r="W371" s="621"/>
      <c r="X371" s="621"/>
      <c r="Y371" s="621"/>
      <c r="Z371" s="621"/>
      <c r="AA371" s="65"/>
      <c r="AB371" s="65"/>
      <c r="AC371" s="79"/>
    </row>
    <row r="372" spans="1:68" ht="14.25" customHeight="1" x14ac:dyDescent="0.25">
      <c r="A372" s="622" t="s">
        <v>112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37.5" customHeight="1" x14ac:dyDescent="0.25">
      <c r="A373" s="63" t="s">
        <v>599</v>
      </c>
      <c r="B373" s="63" t="s">
        <v>600</v>
      </c>
      <c r="C373" s="36">
        <v>4301011875</v>
      </c>
      <c r="D373" s="623">
        <v>4680115884885</v>
      </c>
      <c r="E373" s="623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45</v>
      </c>
      <c r="M373" s="38" t="s">
        <v>82</v>
      </c>
      <c r="N373" s="38"/>
      <c r="O373" s="37">
        <v>60</v>
      </c>
      <c r="P373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601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602</v>
      </c>
      <c r="B374" s="63" t="s">
        <v>603</v>
      </c>
      <c r="C374" s="36">
        <v>4301011871</v>
      </c>
      <c r="D374" s="623">
        <v>4680115884908</v>
      </c>
      <c r="E374" s="62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60</v>
      </c>
      <c r="P374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601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1"/>
      <c r="B376" s="631"/>
      <c r="C376" s="631"/>
      <c r="D376" s="631"/>
      <c r="E376" s="631"/>
      <c r="F376" s="631"/>
      <c r="G376" s="631"/>
      <c r="H376" s="631"/>
      <c r="I376" s="631"/>
      <c r="J376" s="631"/>
      <c r="K376" s="631"/>
      <c r="L376" s="631"/>
      <c r="M376" s="631"/>
      <c r="N376" s="631"/>
      <c r="O376" s="632"/>
      <c r="P376" s="628" t="s">
        <v>40</v>
      </c>
      <c r="Q376" s="629"/>
      <c r="R376" s="629"/>
      <c r="S376" s="629"/>
      <c r="T376" s="629"/>
      <c r="U376" s="629"/>
      <c r="V376" s="630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78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604</v>
      </c>
      <c r="B378" s="63" t="s">
        <v>605</v>
      </c>
      <c r="C378" s="36">
        <v>4301031457</v>
      </c>
      <c r="D378" s="623">
        <v>4607091384802</v>
      </c>
      <c r="E378" s="623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121</v>
      </c>
      <c r="L378" s="37" t="s">
        <v>45</v>
      </c>
      <c r="M378" s="38" t="s">
        <v>82</v>
      </c>
      <c r="N378" s="38"/>
      <c r="O378" s="37">
        <v>50</v>
      </c>
      <c r="P378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606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1"/>
      <c r="B379" s="631"/>
      <c r="C379" s="631"/>
      <c r="D379" s="631"/>
      <c r="E379" s="631"/>
      <c r="F379" s="631"/>
      <c r="G379" s="631"/>
      <c r="H379" s="631"/>
      <c r="I379" s="631"/>
      <c r="J379" s="631"/>
      <c r="K379" s="631"/>
      <c r="L379" s="631"/>
      <c r="M379" s="631"/>
      <c r="N379" s="631"/>
      <c r="O379" s="632"/>
      <c r="P379" s="628" t="s">
        <v>40</v>
      </c>
      <c r="Q379" s="629"/>
      <c r="R379" s="629"/>
      <c r="S379" s="629"/>
      <c r="T379" s="629"/>
      <c r="U379" s="629"/>
      <c r="V379" s="630"/>
      <c r="W379" s="42" t="s">
        <v>39</v>
      </c>
      <c r="X379" s="43">
        <f>IFERROR(X378/H378,"0")</f>
        <v>0</v>
      </c>
      <c r="Y379" s="43">
        <f>IFERROR(Y378/H378,"0")</f>
        <v>0</v>
      </c>
      <c r="Z379" s="43">
        <f>IFERROR(IF(Z378="",0,Z378),"0")</f>
        <v>0</v>
      </c>
      <c r="AA379" s="67"/>
      <c r="AB379" s="67"/>
      <c r="AC379" s="67"/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0</v>
      </c>
      <c r="X380" s="43">
        <f>IFERROR(SUM(X378:X378),"0")</f>
        <v>0</v>
      </c>
      <c r="Y380" s="43">
        <f>IFERROR(SUM(Y378:Y378),"0")</f>
        <v>0</v>
      </c>
      <c r="Z380" s="42"/>
      <c r="AA380" s="67"/>
      <c r="AB380" s="67"/>
      <c r="AC380" s="67"/>
    </row>
    <row r="381" spans="1:68" ht="14.25" customHeight="1" x14ac:dyDescent="0.25">
      <c r="A381" s="622" t="s">
        <v>88</v>
      </c>
      <c r="B381" s="622"/>
      <c r="C381" s="622"/>
      <c r="D381" s="622"/>
      <c r="E381" s="622"/>
      <c r="F381" s="622"/>
      <c r="G381" s="622"/>
      <c r="H381" s="622"/>
      <c r="I381" s="622"/>
      <c r="J381" s="622"/>
      <c r="K381" s="622"/>
      <c r="L381" s="622"/>
      <c r="M381" s="622"/>
      <c r="N381" s="622"/>
      <c r="O381" s="622"/>
      <c r="P381" s="622"/>
      <c r="Q381" s="622"/>
      <c r="R381" s="622"/>
      <c r="S381" s="622"/>
      <c r="T381" s="622"/>
      <c r="U381" s="622"/>
      <c r="V381" s="622"/>
      <c r="W381" s="622"/>
      <c r="X381" s="622"/>
      <c r="Y381" s="622"/>
      <c r="Z381" s="622"/>
      <c r="AA381" s="66"/>
      <c r="AB381" s="66"/>
      <c r="AC381" s="80"/>
    </row>
    <row r="382" spans="1:68" ht="27" customHeight="1" x14ac:dyDescent="0.25">
      <c r="A382" s="63" t="s">
        <v>607</v>
      </c>
      <c r="B382" s="63" t="s">
        <v>608</v>
      </c>
      <c r="C382" s="36">
        <v>4301051899</v>
      </c>
      <c r="D382" s="623">
        <v>4607091384246</v>
      </c>
      <c r="E382" s="62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117</v>
      </c>
      <c r="L382" s="37" t="s">
        <v>45</v>
      </c>
      <c r="M382" s="38" t="s">
        <v>92</v>
      </c>
      <c r="N382" s="38"/>
      <c r="O382" s="37">
        <v>40</v>
      </c>
      <c r="P382" s="8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5"/>
      <c r="R382" s="625"/>
      <c r="S382" s="625"/>
      <c r="T382" s="626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609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610</v>
      </c>
      <c r="B383" s="63" t="s">
        <v>611</v>
      </c>
      <c r="C383" s="36">
        <v>4301051660</v>
      </c>
      <c r="D383" s="623">
        <v>4607091384253</v>
      </c>
      <c r="E383" s="623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5"/>
      <c r="R383" s="625"/>
      <c r="S383" s="625"/>
      <c r="T383" s="626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609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610</v>
      </c>
      <c r="B384" s="63" t="s">
        <v>612</v>
      </c>
      <c r="C384" s="36">
        <v>4301052069</v>
      </c>
      <c r="D384" s="623">
        <v>4607091384253</v>
      </c>
      <c r="E384" s="623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5"/>
      <c r="R384" s="625"/>
      <c r="S384" s="625"/>
      <c r="T384" s="62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1"/>
      <c r="B385" s="631"/>
      <c r="C385" s="631"/>
      <c r="D385" s="631"/>
      <c r="E385" s="631"/>
      <c r="F385" s="631"/>
      <c r="G385" s="631"/>
      <c r="H385" s="631"/>
      <c r="I385" s="631"/>
      <c r="J385" s="631"/>
      <c r="K385" s="631"/>
      <c r="L385" s="631"/>
      <c r="M385" s="631"/>
      <c r="N385" s="631"/>
      <c r="O385" s="632"/>
      <c r="P385" s="628" t="s">
        <v>40</v>
      </c>
      <c r="Q385" s="629"/>
      <c r="R385" s="629"/>
      <c r="S385" s="629"/>
      <c r="T385" s="629"/>
      <c r="U385" s="629"/>
      <c r="V385" s="630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1"/>
      <c r="B386" s="631"/>
      <c r="C386" s="631"/>
      <c r="D386" s="631"/>
      <c r="E386" s="631"/>
      <c r="F386" s="631"/>
      <c r="G386" s="631"/>
      <c r="H386" s="631"/>
      <c r="I386" s="631"/>
      <c r="J386" s="631"/>
      <c r="K386" s="631"/>
      <c r="L386" s="631"/>
      <c r="M386" s="631"/>
      <c r="N386" s="631"/>
      <c r="O386" s="632"/>
      <c r="P386" s="628" t="s">
        <v>40</v>
      </c>
      <c r="Q386" s="629"/>
      <c r="R386" s="629"/>
      <c r="S386" s="629"/>
      <c r="T386" s="629"/>
      <c r="U386" s="629"/>
      <c r="V386" s="630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0" t="s">
        <v>614</v>
      </c>
      <c r="B387" s="620"/>
      <c r="C387" s="620"/>
      <c r="D387" s="620"/>
      <c r="E387" s="620"/>
      <c r="F387" s="620"/>
      <c r="G387" s="620"/>
      <c r="H387" s="620"/>
      <c r="I387" s="620"/>
      <c r="J387" s="620"/>
      <c r="K387" s="620"/>
      <c r="L387" s="620"/>
      <c r="M387" s="620"/>
      <c r="N387" s="620"/>
      <c r="O387" s="620"/>
      <c r="P387" s="620"/>
      <c r="Q387" s="620"/>
      <c r="R387" s="620"/>
      <c r="S387" s="620"/>
      <c r="T387" s="620"/>
      <c r="U387" s="620"/>
      <c r="V387" s="620"/>
      <c r="W387" s="620"/>
      <c r="X387" s="620"/>
      <c r="Y387" s="620"/>
      <c r="Z387" s="620"/>
      <c r="AA387" s="54"/>
      <c r="AB387" s="54"/>
      <c r="AC387" s="54"/>
    </row>
    <row r="388" spans="1:68" ht="16.5" customHeight="1" x14ac:dyDescent="0.25">
      <c r="A388" s="621" t="s">
        <v>615</v>
      </c>
      <c r="B388" s="621"/>
      <c r="C388" s="621"/>
      <c r="D388" s="621"/>
      <c r="E388" s="621"/>
      <c r="F388" s="621"/>
      <c r="G388" s="621"/>
      <c r="H388" s="621"/>
      <c r="I388" s="621"/>
      <c r="J388" s="621"/>
      <c r="K388" s="621"/>
      <c r="L388" s="621"/>
      <c r="M388" s="621"/>
      <c r="N388" s="621"/>
      <c r="O388" s="621"/>
      <c r="P388" s="621"/>
      <c r="Q388" s="621"/>
      <c r="R388" s="621"/>
      <c r="S388" s="621"/>
      <c r="T388" s="621"/>
      <c r="U388" s="621"/>
      <c r="V388" s="621"/>
      <c r="W388" s="621"/>
      <c r="X388" s="621"/>
      <c r="Y388" s="621"/>
      <c r="Z388" s="621"/>
      <c r="AA388" s="65"/>
      <c r="AB388" s="65"/>
      <c r="AC388" s="79"/>
    </row>
    <row r="389" spans="1:68" ht="14.25" customHeight="1" x14ac:dyDescent="0.25">
      <c r="A389" s="622" t="s">
        <v>78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66"/>
      <c r="AB389" s="66"/>
      <c r="AC389" s="80"/>
    </row>
    <row r="390" spans="1:68" ht="27" customHeight="1" x14ac:dyDescent="0.25">
      <c r="A390" s="63" t="s">
        <v>616</v>
      </c>
      <c r="B390" s="63" t="s">
        <v>617</v>
      </c>
      <c r="C390" s="36">
        <v>4301031405</v>
      </c>
      <c r="D390" s="623">
        <v>4680115886100</v>
      </c>
      <c r="E390" s="623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121</v>
      </c>
      <c r="L390" s="37" t="s">
        <v>45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4301031406</v>
      </c>
      <c r="D391" s="623">
        <v>4680115886117</v>
      </c>
      <c r="E391" s="623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121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4301031402</v>
      </c>
      <c r="D392" s="623">
        <v>4680115886124</v>
      </c>
      <c r="E392" s="62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121</v>
      </c>
      <c r="L392" s="37" t="s">
        <v>45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625</v>
      </c>
      <c r="B393" s="63" t="s">
        <v>626</v>
      </c>
      <c r="C393" s="36">
        <v>4301031366</v>
      </c>
      <c r="D393" s="623">
        <v>4680115883147</v>
      </c>
      <c r="E393" s="623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618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627</v>
      </c>
      <c r="B394" s="63" t="s">
        <v>628</v>
      </c>
      <c r="C394" s="36">
        <v>4301031362</v>
      </c>
      <c r="D394" s="623">
        <v>4607091384338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295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618</v>
      </c>
      <c r="AG394" s="78"/>
      <c r="AJ394" s="84" t="s">
        <v>94</v>
      </c>
      <c r="AK394" s="84">
        <v>37.799999999999997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629</v>
      </c>
      <c r="B395" s="63" t="s">
        <v>630</v>
      </c>
      <c r="C395" s="36">
        <v>4301031361</v>
      </c>
      <c r="D395" s="623">
        <v>4607091389524</v>
      </c>
      <c r="E395" s="623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5"/>
      <c r="R395" s="625"/>
      <c r="S395" s="625"/>
      <c r="T395" s="62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4301031364</v>
      </c>
      <c r="D396" s="623">
        <v>4680115883161</v>
      </c>
      <c r="E396" s="62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5"/>
      <c r="R396" s="625"/>
      <c r="S396" s="625"/>
      <c r="T396" s="62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635</v>
      </c>
      <c r="B397" s="63" t="s">
        <v>636</v>
      </c>
      <c r="C397" s="36">
        <v>4301031358</v>
      </c>
      <c r="D397" s="623">
        <v>4607091389531</v>
      </c>
      <c r="E397" s="62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637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638</v>
      </c>
      <c r="B398" s="63" t="s">
        <v>639</v>
      </c>
      <c r="C398" s="36">
        <v>4301031360</v>
      </c>
      <c r="D398" s="623">
        <v>4607091384345</v>
      </c>
      <c r="E398" s="62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634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2" t="s">
        <v>88</v>
      </c>
      <c r="B401" s="622"/>
      <c r="C401" s="622"/>
      <c r="D401" s="622"/>
      <c r="E401" s="622"/>
      <c r="F401" s="622"/>
      <c r="G401" s="622"/>
      <c r="H401" s="622"/>
      <c r="I401" s="622"/>
      <c r="J401" s="622"/>
      <c r="K401" s="622"/>
      <c r="L401" s="622"/>
      <c r="M401" s="622"/>
      <c r="N401" s="622"/>
      <c r="O401" s="622"/>
      <c r="P401" s="622"/>
      <c r="Q401" s="622"/>
      <c r="R401" s="622"/>
      <c r="S401" s="622"/>
      <c r="T401" s="622"/>
      <c r="U401" s="622"/>
      <c r="V401" s="622"/>
      <c r="W401" s="622"/>
      <c r="X401" s="622"/>
      <c r="Y401" s="622"/>
      <c r="Z401" s="622"/>
      <c r="AA401" s="66"/>
      <c r="AB401" s="66"/>
      <c r="AC401" s="80"/>
    </row>
    <row r="402" spans="1:68" ht="27" customHeight="1" x14ac:dyDescent="0.25">
      <c r="A402" s="63" t="s">
        <v>640</v>
      </c>
      <c r="B402" s="63" t="s">
        <v>641</v>
      </c>
      <c r="C402" s="36">
        <v>4301051284</v>
      </c>
      <c r="D402" s="623">
        <v>4607091384352</v>
      </c>
      <c r="E402" s="623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121</v>
      </c>
      <c r="L402" s="37" t="s">
        <v>45</v>
      </c>
      <c r="M402" s="38" t="s">
        <v>92</v>
      </c>
      <c r="N402" s="38"/>
      <c r="O402" s="37">
        <v>45</v>
      </c>
      <c r="P402" s="8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5"/>
      <c r="R402" s="625"/>
      <c r="S402" s="625"/>
      <c r="T402" s="626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643</v>
      </c>
      <c r="B403" s="63" t="s">
        <v>644</v>
      </c>
      <c r="C403" s="36">
        <v>4301051431</v>
      </c>
      <c r="D403" s="623">
        <v>4607091389654</v>
      </c>
      <c r="E403" s="623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83</v>
      </c>
      <c r="L403" s="37" t="s">
        <v>45</v>
      </c>
      <c r="M403" s="38" t="s">
        <v>92</v>
      </c>
      <c r="N403" s="38"/>
      <c r="O403" s="37">
        <v>45</v>
      </c>
      <c r="P403" s="8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645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1" t="s">
        <v>646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5"/>
      <c r="AB406" s="65"/>
      <c r="AC406" s="79"/>
    </row>
    <row r="407" spans="1:68" ht="14.25" customHeight="1" x14ac:dyDescent="0.25">
      <c r="A407" s="622" t="s">
        <v>147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647</v>
      </c>
      <c r="B408" s="63" t="s">
        <v>648</v>
      </c>
      <c r="C408" s="36">
        <v>4301020319</v>
      </c>
      <c r="D408" s="623">
        <v>4680115885240</v>
      </c>
      <c r="E408" s="623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83</v>
      </c>
      <c r="L408" s="37" t="s">
        <v>45</v>
      </c>
      <c r="M408" s="38" t="s">
        <v>82</v>
      </c>
      <c r="N408" s="38"/>
      <c r="O408" s="37">
        <v>40</v>
      </c>
      <c r="P408" s="8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649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1"/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2"/>
      <c r="P409" s="628" t="s">
        <v>40</v>
      </c>
      <c r="Q409" s="629"/>
      <c r="R409" s="629"/>
      <c r="S409" s="629"/>
      <c r="T409" s="629"/>
      <c r="U409" s="629"/>
      <c r="V409" s="630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1"/>
      <c r="B410" s="631"/>
      <c r="C410" s="631"/>
      <c r="D410" s="631"/>
      <c r="E410" s="631"/>
      <c r="F410" s="631"/>
      <c r="G410" s="631"/>
      <c r="H410" s="631"/>
      <c r="I410" s="631"/>
      <c r="J410" s="631"/>
      <c r="K410" s="631"/>
      <c r="L410" s="631"/>
      <c r="M410" s="631"/>
      <c r="N410" s="631"/>
      <c r="O410" s="632"/>
      <c r="P410" s="628" t="s">
        <v>40</v>
      </c>
      <c r="Q410" s="629"/>
      <c r="R410" s="629"/>
      <c r="S410" s="629"/>
      <c r="T410" s="629"/>
      <c r="U410" s="629"/>
      <c r="V410" s="630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2" t="s">
        <v>78</v>
      </c>
      <c r="B411" s="622"/>
      <c r="C411" s="622"/>
      <c r="D411" s="622"/>
      <c r="E411" s="622"/>
      <c r="F411" s="622"/>
      <c r="G411" s="622"/>
      <c r="H411" s="622"/>
      <c r="I411" s="622"/>
      <c r="J411" s="622"/>
      <c r="K411" s="622"/>
      <c r="L411" s="622"/>
      <c r="M411" s="622"/>
      <c r="N411" s="622"/>
      <c r="O411" s="622"/>
      <c r="P411" s="622"/>
      <c r="Q411" s="622"/>
      <c r="R411" s="622"/>
      <c r="S411" s="622"/>
      <c r="T411" s="622"/>
      <c r="U411" s="622"/>
      <c r="V411" s="622"/>
      <c r="W411" s="622"/>
      <c r="X411" s="622"/>
      <c r="Y411" s="622"/>
      <c r="Z411" s="622"/>
      <c r="AA411" s="66"/>
      <c r="AB411" s="66"/>
      <c r="AC411" s="80"/>
    </row>
    <row r="412" spans="1:68" ht="27" customHeight="1" x14ac:dyDescent="0.25">
      <c r="A412" s="63" t="s">
        <v>650</v>
      </c>
      <c r="B412" s="63" t="s">
        <v>651</v>
      </c>
      <c r="C412" s="36">
        <v>4301031403</v>
      </c>
      <c r="D412" s="623">
        <v>4680115886094</v>
      </c>
      <c r="E412" s="623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121</v>
      </c>
      <c r="L412" s="37" t="s">
        <v>45</v>
      </c>
      <c r="M412" s="38" t="s">
        <v>116</v>
      </c>
      <c r="N412" s="38"/>
      <c r="O412" s="37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5"/>
      <c r="R412" s="625"/>
      <c r="S412" s="625"/>
      <c r="T412" s="626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4301031363</v>
      </c>
      <c r="D413" s="623">
        <v>4607091389425</v>
      </c>
      <c r="E413" s="62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5"/>
      <c r="R413" s="625"/>
      <c r="S413" s="625"/>
      <c r="T413" s="626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4301031373</v>
      </c>
      <c r="D414" s="623">
        <v>4680115880771</v>
      </c>
      <c r="E414" s="62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5"/>
      <c r="R414" s="625"/>
      <c r="S414" s="625"/>
      <c r="T414" s="62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658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659</v>
      </c>
      <c r="B415" s="63" t="s">
        <v>660</v>
      </c>
      <c r="C415" s="36">
        <v>4301031359</v>
      </c>
      <c r="D415" s="623">
        <v>4607091389500</v>
      </c>
      <c r="E415" s="62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658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1" t="s">
        <v>661</v>
      </c>
      <c r="B418" s="621"/>
      <c r="C418" s="621"/>
      <c r="D418" s="621"/>
      <c r="E418" s="621"/>
      <c r="F418" s="621"/>
      <c r="G418" s="621"/>
      <c r="H418" s="621"/>
      <c r="I418" s="621"/>
      <c r="J418" s="621"/>
      <c r="K418" s="621"/>
      <c r="L418" s="621"/>
      <c r="M418" s="621"/>
      <c r="N418" s="621"/>
      <c r="O418" s="621"/>
      <c r="P418" s="621"/>
      <c r="Q418" s="621"/>
      <c r="R418" s="621"/>
      <c r="S418" s="621"/>
      <c r="T418" s="621"/>
      <c r="U418" s="621"/>
      <c r="V418" s="621"/>
      <c r="W418" s="621"/>
      <c r="X418" s="621"/>
      <c r="Y418" s="621"/>
      <c r="Z418" s="621"/>
      <c r="AA418" s="65"/>
      <c r="AB418" s="65"/>
      <c r="AC418" s="79"/>
    </row>
    <row r="419" spans="1:68" ht="14.25" customHeight="1" x14ac:dyDescent="0.25">
      <c r="A419" s="622" t="s">
        <v>78</v>
      </c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2"/>
      <c r="P419" s="622"/>
      <c r="Q419" s="622"/>
      <c r="R419" s="622"/>
      <c r="S419" s="622"/>
      <c r="T419" s="622"/>
      <c r="U419" s="622"/>
      <c r="V419" s="622"/>
      <c r="W419" s="622"/>
      <c r="X419" s="622"/>
      <c r="Y419" s="622"/>
      <c r="Z419" s="622"/>
      <c r="AA419" s="66"/>
      <c r="AB419" s="66"/>
      <c r="AC419" s="80"/>
    </row>
    <row r="420" spans="1:68" ht="27" customHeight="1" x14ac:dyDescent="0.25">
      <c r="A420" s="63" t="s">
        <v>662</v>
      </c>
      <c r="B420" s="63" t="s">
        <v>663</v>
      </c>
      <c r="C420" s="36">
        <v>4301031347</v>
      </c>
      <c r="D420" s="623">
        <v>4680115885110</v>
      </c>
      <c r="E420" s="623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5"/>
      <c r="R420" s="625"/>
      <c r="S420" s="625"/>
      <c r="T420" s="626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664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1"/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2"/>
      <c r="P421" s="628" t="s">
        <v>40</v>
      </c>
      <c r="Q421" s="629"/>
      <c r="R421" s="629"/>
      <c r="S421" s="629"/>
      <c r="T421" s="629"/>
      <c r="U421" s="629"/>
      <c r="V421" s="630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1"/>
      <c r="B422" s="631"/>
      <c r="C422" s="631"/>
      <c r="D422" s="631"/>
      <c r="E422" s="631"/>
      <c r="F422" s="631"/>
      <c r="G422" s="631"/>
      <c r="H422" s="631"/>
      <c r="I422" s="631"/>
      <c r="J422" s="631"/>
      <c r="K422" s="631"/>
      <c r="L422" s="631"/>
      <c r="M422" s="631"/>
      <c r="N422" s="631"/>
      <c r="O422" s="632"/>
      <c r="P422" s="628" t="s">
        <v>40</v>
      </c>
      <c r="Q422" s="629"/>
      <c r="R422" s="629"/>
      <c r="S422" s="629"/>
      <c r="T422" s="629"/>
      <c r="U422" s="629"/>
      <c r="V422" s="630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0" t="s">
        <v>665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54"/>
      <c r="AB423" s="54"/>
      <c r="AC423" s="54"/>
    </row>
    <row r="424" spans="1:68" ht="16.5" customHeight="1" x14ac:dyDescent="0.25">
      <c r="A424" s="621" t="s">
        <v>665</v>
      </c>
      <c r="B424" s="621"/>
      <c r="C424" s="621"/>
      <c r="D424" s="621"/>
      <c r="E424" s="621"/>
      <c r="F424" s="621"/>
      <c r="G424" s="621"/>
      <c r="H424" s="621"/>
      <c r="I424" s="621"/>
      <c r="J424" s="621"/>
      <c r="K424" s="621"/>
      <c r="L424" s="621"/>
      <c r="M424" s="621"/>
      <c r="N424" s="621"/>
      <c r="O424" s="621"/>
      <c r="P424" s="621"/>
      <c r="Q424" s="621"/>
      <c r="R424" s="621"/>
      <c r="S424" s="621"/>
      <c r="T424" s="621"/>
      <c r="U424" s="621"/>
      <c r="V424" s="621"/>
      <c r="W424" s="621"/>
      <c r="X424" s="621"/>
      <c r="Y424" s="621"/>
      <c r="Z424" s="621"/>
      <c r="AA424" s="65"/>
      <c r="AB424" s="65"/>
      <c r="AC424" s="79"/>
    </row>
    <row r="425" spans="1:68" ht="14.25" customHeight="1" x14ac:dyDescent="0.25">
      <c r="A425" s="622" t="s">
        <v>112</v>
      </c>
      <c r="B425" s="622"/>
      <c r="C425" s="622"/>
      <c r="D425" s="622"/>
      <c r="E425" s="622"/>
      <c r="F425" s="622"/>
      <c r="G425" s="622"/>
      <c r="H425" s="622"/>
      <c r="I425" s="622"/>
      <c r="J425" s="622"/>
      <c r="K425" s="622"/>
      <c r="L425" s="622"/>
      <c r="M425" s="622"/>
      <c r="N425" s="622"/>
      <c r="O425" s="622"/>
      <c r="P425" s="622"/>
      <c r="Q425" s="622"/>
      <c r="R425" s="622"/>
      <c r="S425" s="622"/>
      <c r="T425" s="622"/>
      <c r="U425" s="622"/>
      <c r="V425" s="622"/>
      <c r="W425" s="622"/>
      <c r="X425" s="622"/>
      <c r="Y425" s="622"/>
      <c r="Z425" s="622"/>
      <c r="AA425" s="66"/>
      <c r="AB425" s="66"/>
      <c r="AC425" s="80"/>
    </row>
    <row r="426" spans="1:68" ht="27" customHeight="1" x14ac:dyDescent="0.25">
      <c r="A426" s="63" t="s">
        <v>666</v>
      </c>
      <c r="B426" s="63" t="s">
        <v>667</v>
      </c>
      <c r="C426" s="36">
        <v>4301011795</v>
      </c>
      <c r="D426" s="623">
        <v>4607091389067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115</v>
      </c>
      <c r="AG426" s="78"/>
      <c r="AJ426" s="84" t="s">
        <v>94</v>
      </c>
      <c r="AK426" s="84">
        <v>42.24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668</v>
      </c>
      <c r="B427" s="63" t="s">
        <v>669</v>
      </c>
      <c r="C427" s="36">
        <v>4301012210</v>
      </c>
      <c r="D427" s="623">
        <v>4607091383522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670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671</v>
      </c>
      <c r="C428" s="36">
        <v>4301012145</v>
      </c>
      <c r="D428" s="623">
        <v>4607091383522</v>
      </c>
      <c r="E428" s="62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670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4301011961</v>
      </c>
      <c r="D429" s="623">
        <v>4680115885271</v>
      </c>
      <c r="E429" s="62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4301011376</v>
      </c>
      <c r="D430" s="623">
        <v>4680115885226</v>
      </c>
      <c r="E430" s="62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118</v>
      </c>
      <c r="M430" s="38" t="s">
        <v>92</v>
      </c>
      <c r="N430" s="38"/>
      <c r="O430" s="37">
        <v>60</v>
      </c>
      <c r="P430" s="8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94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678</v>
      </c>
      <c r="B431" s="63" t="s">
        <v>679</v>
      </c>
      <c r="C431" s="36">
        <v>4301011774</v>
      </c>
      <c r="D431" s="623">
        <v>4680115884502</v>
      </c>
      <c r="E431" s="62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4301011771</v>
      </c>
      <c r="D432" s="623">
        <v>4607091389104</v>
      </c>
      <c r="E432" s="62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683</v>
      </c>
      <c r="AG432" s="78"/>
      <c r="AJ432" s="84" t="s">
        <v>94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684</v>
      </c>
      <c r="B433" s="63" t="s">
        <v>685</v>
      </c>
      <c r="C433" s="36">
        <v>4301012125</v>
      </c>
      <c r="D433" s="623">
        <v>4680115886391</v>
      </c>
      <c r="E433" s="623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83</v>
      </c>
      <c r="L433" s="37" t="s">
        <v>45</v>
      </c>
      <c r="M433" s="38" t="s">
        <v>92</v>
      </c>
      <c r="N433" s="38"/>
      <c r="O433" s="37">
        <v>60</v>
      </c>
      <c r="P433" s="8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5"/>
      <c r="R433" s="625"/>
      <c r="S433" s="625"/>
      <c r="T433" s="62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115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686</v>
      </c>
      <c r="B434" s="63" t="s">
        <v>687</v>
      </c>
      <c r="C434" s="36">
        <v>4301012035</v>
      </c>
      <c r="D434" s="623">
        <v>4680115880603</v>
      </c>
      <c r="E434" s="623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121</v>
      </c>
      <c r="L434" s="37" t="s">
        <v>45</v>
      </c>
      <c r="M434" s="38" t="s">
        <v>116</v>
      </c>
      <c r="N434" s="38"/>
      <c r="O434" s="37">
        <v>60</v>
      </c>
      <c r="P434" s="8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5"/>
      <c r="R434" s="625"/>
      <c r="S434" s="625"/>
      <c r="T434" s="62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4301012036</v>
      </c>
      <c r="D435" s="623">
        <v>4680115882782</v>
      </c>
      <c r="E435" s="623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121</v>
      </c>
      <c r="L435" s="37" t="s">
        <v>45</v>
      </c>
      <c r="M435" s="38" t="s">
        <v>116</v>
      </c>
      <c r="N435" s="38"/>
      <c r="O435" s="37">
        <v>60</v>
      </c>
      <c r="P435" s="84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5"/>
      <c r="R435" s="625"/>
      <c r="S435" s="625"/>
      <c r="T435" s="62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674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4301012050</v>
      </c>
      <c r="D436" s="623">
        <v>4680115885479</v>
      </c>
      <c r="E436" s="62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116</v>
      </c>
      <c r="N436" s="38"/>
      <c r="O436" s="37">
        <v>60</v>
      </c>
      <c r="P436" s="8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683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4301012034</v>
      </c>
      <c r="D437" s="623">
        <v>4607091389982</v>
      </c>
      <c r="E437" s="62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60</v>
      </c>
      <c r="P437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683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1"/>
      <c r="B438" s="631"/>
      <c r="C438" s="631"/>
      <c r="D438" s="631"/>
      <c r="E438" s="631"/>
      <c r="F438" s="631"/>
      <c r="G438" s="631"/>
      <c r="H438" s="631"/>
      <c r="I438" s="631"/>
      <c r="J438" s="631"/>
      <c r="K438" s="631"/>
      <c r="L438" s="631"/>
      <c r="M438" s="631"/>
      <c r="N438" s="631"/>
      <c r="O438" s="632"/>
      <c r="P438" s="628" t="s">
        <v>40</v>
      </c>
      <c r="Q438" s="629"/>
      <c r="R438" s="629"/>
      <c r="S438" s="629"/>
      <c r="T438" s="629"/>
      <c r="U438" s="629"/>
      <c r="V438" s="630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2" t="s">
        <v>147</v>
      </c>
      <c r="B440" s="622"/>
      <c r="C440" s="622"/>
      <c r="D440" s="622"/>
      <c r="E440" s="622"/>
      <c r="F440" s="622"/>
      <c r="G440" s="622"/>
      <c r="H440" s="622"/>
      <c r="I440" s="622"/>
      <c r="J440" s="622"/>
      <c r="K440" s="622"/>
      <c r="L440" s="622"/>
      <c r="M440" s="622"/>
      <c r="N440" s="622"/>
      <c r="O440" s="622"/>
      <c r="P440" s="622"/>
      <c r="Q440" s="622"/>
      <c r="R440" s="622"/>
      <c r="S440" s="622"/>
      <c r="T440" s="622"/>
      <c r="U440" s="622"/>
      <c r="V440" s="622"/>
      <c r="W440" s="622"/>
      <c r="X440" s="622"/>
      <c r="Y440" s="622"/>
      <c r="Z440" s="622"/>
      <c r="AA440" s="66"/>
      <c r="AB440" s="66"/>
      <c r="AC440" s="80"/>
    </row>
    <row r="441" spans="1:68" ht="16.5" customHeight="1" x14ac:dyDescent="0.25">
      <c r="A441" s="63" t="s">
        <v>694</v>
      </c>
      <c r="B441" s="63" t="s">
        <v>695</v>
      </c>
      <c r="C441" s="36">
        <v>4301020334</v>
      </c>
      <c r="D441" s="623">
        <v>4607091388930</v>
      </c>
      <c r="E441" s="623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45</v>
      </c>
      <c r="M441" s="38" t="s">
        <v>92</v>
      </c>
      <c r="N441" s="38"/>
      <c r="O441" s="37">
        <v>70</v>
      </c>
      <c r="P441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5"/>
      <c r="R441" s="625"/>
      <c r="S441" s="625"/>
      <c r="T441" s="626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696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697</v>
      </c>
      <c r="B442" s="63" t="s">
        <v>698</v>
      </c>
      <c r="C442" s="36">
        <v>4301020374</v>
      </c>
      <c r="D442" s="623">
        <v>4680115886407</v>
      </c>
      <c r="E442" s="623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83</v>
      </c>
      <c r="L442" s="37" t="s">
        <v>45</v>
      </c>
      <c r="M442" s="38" t="s">
        <v>116</v>
      </c>
      <c r="N442" s="38"/>
      <c r="O442" s="37">
        <v>70</v>
      </c>
      <c r="P442" s="8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696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4301020385</v>
      </c>
      <c r="D443" s="623">
        <v>4680115880054</v>
      </c>
      <c r="E443" s="623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121</v>
      </c>
      <c r="L443" s="37" t="s">
        <v>45</v>
      </c>
      <c r="M443" s="38" t="s">
        <v>116</v>
      </c>
      <c r="N443" s="38"/>
      <c r="O443" s="37">
        <v>70</v>
      </c>
      <c r="P443" s="8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696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1"/>
      <c r="B444" s="631"/>
      <c r="C444" s="631"/>
      <c r="D444" s="631"/>
      <c r="E444" s="631"/>
      <c r="F444" s="631"/>
      <c r="G444" s="631"/>
      <c r="H444" s="631"/>
      <c r="I444" s="631"/>
      <c r="J444" s="631"/>
      <c r="K444" s="631"/>
      <c r="L444" s="631"/>
      <c r="M444" s="631"/>
      <c r="N444" s="631"/>
      <c r="O444" s="632"/>
      <c r="P444" s="628" t="s">
        <v>40</v>
      </c>
      <c r="Q444" s="629"/>
      <c r="R444" s="629"/>
      <c r="S444" s="629"/>
      <c r="T444" s="629"/>
      <c r="U444" s="629"/>
      <c r="V444" s="630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1"/>
      <c r="B445" s="631"/>
      <c r="C445" s="631"/>
      <c r="D445" s="631"/>
      <c r="E445" s="631"/>
      <c r="F445" s="631"/>
      <c r="G445" s="631"/>
      <c r="H445" s="631"/>
      <c r="I445" s="631"/>
      <c r="J445" s="631"/>
      <c r="K445" s="631"/>
      <c r="L445" s="631"/>
      <c r="M445" s="631"/>
      <c r="N445" s="631"/>
      <c r="O445" s="632"/>
      <c r="P445" s="628" t="s">
        <v>40</v>
      </c>
      <c r="Q445" s="629"/>
      <c r="R445" s="629"/>
      <c r="S445" s="629"/>
      <c r="T445" s="629"/>
      <c r="U445" s="629"/>
      <c r="V445" s="630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2" t="s">
        <v>78</v>
      </c>
      <c r="B446" s="622"/>
      <c r="C446" s="622"/>
      <c r="D446" s="622"/>
      <c r="E446" s="622"/>
      <c r="F446" s="622"/>
      <c r="G446" s="622"/>
      <c r="H446" s="622"/>
      <c r="I446" s="622"/>
      <c r="J446" s="622"/>
      <c r="K446" s="622"/>
      <c r="L446" s="622"/>
      <c r="M446" s="622"/>
      <c r="N446" s="622"/>
      <c r="O446" s="622"/>
      <c r="P446" s="622"/>
      <c r="Q446" s="622"/>
      <c r="R446" s="622"/>
      <c r="S446" s="622"/>
      <c r="T446" s="622"/>
      <c r="U446" s="622"/>
      <c r="V446" s="622"/>
      <c r="W446" s="622"/>
      <c r="X446" s="622"/>
      <c r="Y446" s="622"/>
      <c r="Z446" s="622"/>
      <c r="AA446" s="66"/>
      <c r="AB446" s="66"/>
      <c r="AC446" s="80"/>
    </row>
    <row r="447" spans="1:68" ht="27" customHeight="1" x14ac:dyDescent="0.25">
      <c r="A447" s="63" t="s">
        <v>701</v>
      </c>
      <c r="B447" s="63" t="s">
        <v>702</v>
      </c>
      <c r="C447" s="36">
        <v>4301031349</v>
      </c>
      <c r="D447" s="623">
        <v>4680115883116</v>
      </c>
      <c r="E447" s="62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117</v>
      </c>
      <c r="L447" s="37" t="s">
        <v>45</v>
      </c>
      <c r="M447" s="38" t="s">
        <v>116</v>
      </c>
      <c r="N447" s="38"/>
      <c r="O447" s="37">
        <v>70</v>
      </c>
      <c r="P447" s="8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45</v>
      </c>
      <c r="AK447" s="84">
        <v>0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4301031350</v>
      </c>
      <c r="D448" s="623">
        <v>4680115883093</v>
      </c>
      <c r="E448" s="62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82</v>
      </c>
      <c r="N448" s="38"/>
      <c r="O448" s="37">
        <v>70</v>
      </c>
      <c r="P448" s="8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5"/>
      <c r="R448" s="625"/>
      <c r="S448" s="625"/>
      <c r="T448" s="626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94</v>
      </c>
      <c r="AK448" s="84">
        <v>42.24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4301031353</v>
      </c>
      <c r="D449" s="623">
        <v>4680115883109</v>
      </c>
      <c r="E449" s="62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5"/>
      <c r="R449" s="625"/>
      <c r="S449" s="625"/>
      <c r="T449" s="62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709</v>
      </c>
      <c r="AG449" s="78"/>
      <c r="AJ449" s="84" t="s">
        <v>94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710</v>
      </c>
      <c r="B450" s="63" t="s">
        <v>711</v>
      </c>
      <c r="C450" s="36">
        <v>4301031419</v>
      </c>
      <c r="D450" s="623">
        <v>4680115882072</v>
      </c>
      <c r="E450" s="62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121</v>
      </c>
      <c r="L450" s="37" t="s">
        <v>45</v>
      </c>
      <c r="M450" s="38" t="s">
        <v>116</v>
      </c>
      <c r="N450" s="38"/>
      <c r="O450" s="37">
        <v>70</v>
      </c>
      <c r="P450" s="8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5"/>
      <c r="R450" s="625"/>
      <c r="S450" s="625"/>
      <c r="T450" s="62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4301031418</v>
      </c>
      <c r="D451" s="623">
        <v>4680115882102</v>
      </c>
      <c r="E451" s="623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121</v>
      </c>
      <c r="L451" s="37" t="s">
        <v>45</v>
      </c>
      <c r="M451" s="38" t="s">
        <v>82</v>
      </c>
      <c r="N451" s="38"/>
      <c r="O451" s="37">
        <v>70</v>
      </c>
      <c r="P451" s="8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4301031417</v>
      </c>
      <c r="D452" s="623">
        <v>4680115882096</v>
      </c>
      <c r="E452" s="623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121</v>
      </c>
      <c r="L452" s="37" t="s">
        <v>45</v>
      </c>
      <c r="M452" s="38" t="s">
        <v>82</v>
      </c>
      <c r="N452" s="38"/>
      <c r="O452" s="37">
        <v>70</v>
      </c>
      <c r="P452" s="8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709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1"/>
      <c r="B453" s="631"/>
      <c r="C453" s="631"/>
      <c r="D453" s="631"/>
      <c r="E453" s="631"/>
      <c r="F453" s="631"/>
      <c r="G453" s="631"/>
      <c r="H453" s="631"/>
      <c r="I453" s="631"/>
      <c r="J453" s="631"/>
      <c r="K453" s="631"/>
      <c r="L453" s="631"/>
      <c r="M453" s="631"/>
      <c r="N453" s="631"/>
      <c r="O453" s="632"/>
      <c r="P453" s="628" t="s">
        <v>40</v>
      </c>
      <c r="Q453" s="629"/>
      <c r="R453" s="629"/>
      <c r="S453" s="629"/>
      <c r="T453" s="629"/>
      <c r="U453" s="629"/>
      <c r="V453" s="630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27.75" customHeight="1" x14ac:dyDescent="0.2">
      <c r="A455" s="620" t="s">
        <v>716</v>
      </c>
      <c r="B455" s="620"/>
      <c r="C455" s="620"/>
      <c r="D455" s="620"/>
      <c r="E455" s="620"/>
      <c r="F455" s="620"/>
      <c r="G455" s="620"/>
      <c r="H455" s="620"/>
      <c r="I455" s="620"/>
      <c r="J455" s="620"/>
      <c r="K455" s="620"/>
      <c r="L455" s="620"/>
      <c r="M455" s="620"/>
      <c r="N455" s="620"/>
      <c r="O455" s="620"/>
      <c r="P455" s="620"/>
      <c r="Q455" s="620"/>
      <c r="R455" s="620"/>
      <c r="S455" s="620"/>
      <c r="T455" s="620"/>
      <c r="U455" s="620"/>
      <c r="V455" s="620"/>
      <c r="W455" s="620"/>
      <c r="X455" s="620"/>
      <c r="Y455" s="620"/>
      <c r="Z455" s="620"/>
      <c r="AA455" s="54"/>
      <c r="AB455" s="54"/>
      <c r="AC455" s="54"/>
    </row>
    <row r="456" spans="1:68" ht="16.5" customHeight="1" x14ac:dyDescent="0.25">
      <c r="A456" s="621" t="s">
        <v>716</v>
      </c>
      <c r="B456" s="621"/>
      <c r="C456" s="621"/>
      <c r="D456" s="621"/>
      <c r="E456" s="621"/>
      <c r="F456" s="621"/>
      <c r="G456" s="621"/>
      <c r="H456" s="621"/>
      <c r="I456" s="621"/>
      <c r="J456" s="621"/>
      <c r="K456" s="621"/>
      <c r="L456" s="621"/>
      <c r="M456" s="621"/>
      <c r="N456" s="621"/>
      <c r="O456" s="621"/>
      <c r="P456" s="621"/>
      <c r="Q456" s="621"/>
      <c r="R456" s="621"/>
      <c r="S456" s="621"/>
      <c r="T456" s="621"/>
      <c r="U456" s="621"/>
      <c r="V456" s="621"/>
      <c r="W456" s="621"/>
      <c r="X456" s="621"/>
      <c r="Y456" s="621"/>
      <c r="Z456" s="621"/>
      <c r="AA456" s="65"/>
      <c r="AB456" s="65"/>
      <c r="AC456" s="79"/>
    </row>
    <row r="457" spans="1:68" ht="14.25" customHeight="1" x14ac:dyDescent="0.25">
      <c r="A457" s="622" t="s">
        <v>112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66"/>
      <c r="AB457" s="66"/>
      <c r="AC457" s="80"/>
    </row>
    <row r="458" spans="1:68" ht="27" customHeight="1" x14ac:dyDescent="0.25">
      <c r="A458" s="63" t="s">
        <v>717</v>
      </c>
      <c r="B458" s="63" t="s">
        <v>718</v>
      </c>
      <c r="C458" s="36">
        <v>4301011763</v>
      </c>
      <c r="D458" s="623">
        <v>4640242181011</v>
      </c>
      <c r="E458" s="623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92</v>
      </c>
      <c r="N458" s="38"/>
      <c r="O458" s="37">
        <v>55</v>
      </c>
      <c r="P458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5"/>
      <c r="R458" s="625"/>
      <c r="S458" s="625"/>
      <c r="T458" s="62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4301011585</v>
      </c>
      <c r="D459" s="623">
        <v>4640242180441</v>
      </c>
      <c r="E459" s="623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8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4301011584</v>
      </c>
      <c r="D460" s="623">
        <v>4640242180564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725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726</v>
      </c>
      <c r="B461" s="63" t="s">
        <v>727</v>
      </c>
      <c r="C461" s="36">
        <v>4301011764</v>
      </c>
      <c r="D461" s="623">
        <v>4640242181189</v>
      </c>
      <c r="E461" s="6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92</v>
      </c>
      <c r="N461" s="38"/>
      <c r="O461" s="37">
        <v>55</v>
      </c>
      <c r="P461" s="85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6" t="s">
        <v>719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31"/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2"/>
      <c r="P462" s="628" t="s">
        <v>40</v>
      </c>
      <c r="Q462" s="629"/>
      <c r="R462" s="629"/>
      <c r="S462" s="629"/>
      <c r="T462" s="629"/>
      <c r="U462" s="629"/>
      <c r="V462" s="630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2" t="s">
        <v>147</v>
      </c>
      <c r="B464" s="622"/>
      <c r="C464" s="622"/>
      <c r="D464" s="622"/>
      <c r="E464" s="622"/>
      <c r="F464" s="622"/>
      <c r="G464" s="622"/>
      <c r="H464" s="622"/>
      <c r="I464" s="622"/>
      <c r="J464" s="622"/>
      <c r="K464" s="622"/>
      <c r="L464" s="622"/>
      <c r="M464" s="622"/>
      <c r="N464" s="622"/>
      <c r="O464" s="622"/>
      <c r="P464" s="622"/>
      <c r="Q464" s="622"/>
      <c r="R464" s="622"/>
      <c r="S464" s="622"/>
      <c r="T464" s="622"/>
      <c r="U464" s="622"/>
      <c r="V464" s="622"/>
      <c r="W464" s="622"/>
      <c r="X464" s="622"/>
      <c r="Y464" s="622"/>
      <c r="Z464" s="622"/>
      <c r="AA464" s="66"/>
      <c r="AB464" s="66"/>
      <c r="AC464" s="80"/>
    </row>
    <row r="465" spans="1:68" ht="27" customHeight="1" x14ac:dyDescent="0.25">
      <c r="A465" s="63" t="s">
        <v>728</v>
      </c>
      <c r="B465" s="63" t="s">
        <v>729</v>
      </c>
      <c r="C465" s="36">
        <v>4301020400</v>
      </c>
      <c r="D465" s="623">
        <v>4640242180519</v>
      </c>
      <c r="E465" s="62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5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5"/>
      <c r="R465" s="625"/>
      <c r="S465" s="625"/>
      <c r="T465" s="62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4301020260</v>
      </c>
      <c r="D466" s="623">
        <v>4640242180526</v>
      </c>
      <c r="E466" s="623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1"/>
      <c r="B467" s="631"/>
      <c r="C467" s="631"/>
      <c r="D467" s="631"/>
      <c r="E467" s="631"/>
      <c r="F467" s="631"/>
      <c r="G467" s="631"/>
      <c r="H467" s="631"/>
      <c r="I467" s="631"/>
      <c r="J467" s="631"/>
      <c r="K467" s="631"/>
      <c r="L467" s="631"/>
      <c r="M467" s="631"/>
      <c r="N467" s="631"/>
      <c r="O467" s="632"/>
      <c r="P467" s="628" t="s">
        <v>40</v>
      </c>
      <c r="Q467" s="629"/>
      <c r="R467" s="629"/>
      <c r="S467" s="629"/>
      <c r="T467" s="629"/>
      <c r="U467" s="629"/>
      <c r="V467" s="630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31"/>
      <c r="B468" s="631"/>
      <c r="C468" s="631"/>
      <c r="D468" s="631"/>
      <c r="E468" s="631"/>
      <c r="F468" s="631"/>
      <c r="G468" s="631"/>
      <c r="H468" s="631"/>
      <c r="I468" s="631"/>
      <c r="J468" s="631"/>
      <c r="K468" s="631"/>
      <c r="L468" s="631"/>
      <c r="M468" s="631"/>
      <c r="N468" s="631"/>
      <c r="O468" s="632"/>
      <c r="P468" s="628" t="s">
        <v>40</v>
      </c>
      <c r="Q468" s="629"/>
      <c r="R468" s="629"/>
      <c r="S468" s="629"/>
      <c r="T468" s="629"/>
      <c r="U468" s="629"/>
      <c r="V468" s="630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22" t="s">
        <v>78</v>
      </c>
      <c r="B469" s="622"/>
      <c r="C469" s="622"/>
      <c r="D469" s="622"/>
      <c r="E469" s="622"/>
      <c r="F469" s="622"/>
      <c r="G469" s="622"/>
      <c r="H469" s="622"/>
      <c r="I469" s="622"/>
      <c r="J469" s="622"/>
      <c r="K469" s="622"/>
      <c r="L469" s="622"/>
      <c r="M469" s="622"/>
      <c r="N469" s="622"/>
      <c r="O469" s="622"/>
      <c r="P469" s="622"/>
      <c r="Q469" s="622"/>
      <c r="R469" s="622"/>
      <c r="S469" s="622"/>
      <c r="T469" s="622"/>
      <c r="U469" s="622"/>
      <c r="V469" s="622"/>
      <c r="W469" s="622"/>
      <c r="X469" s="622"/>
      <c r="Y469" s="622"/>
      <c r="Z469" s="622"/>
      <c r="AA469" s="66"/>
      <c r="AB469" s="66"/>
      <c r="AC469" s="80"/>
    </row>
    <row r="470" spans="1:68" ht="27" customHeight="1" x14ac:dyDescent="0.25">
      <c r="A470" s="63" t="s">
        <v>734</v>
      </c>
      <c r="B470" s="63" t="s">
        <v>735</v>
      </c>
      <c r="C470" s="36">
        <v>4301031467</v>
      </c>
      <c r="D470" s="623">
        <v>4640242180595</v>
      </c>
      <c r="E470" s="623"/>
      <c r="F470" s="62">
        <v>0.8</v>
      </c>
      <c r="G470" s="37">
        <v>6</v>
      </c>
      <c r="H470" s="62">
        <v>4.8</v>
      </c>
      <c r="I470" s="62">
        <v>5.05</v>
      </c>
      <c r="J470" s="37">
        <v>132</v>
      </c>
      <c r="K470" s="37" t="s">
        <v>121</v>
      </c>
      <c r="L470" s="37" t="s">
        <v>45</v>
      </c>
      <c r="M470" s="38" t="s">
        <v>82</v>
      </c>
      <c r="N470" s="38"/>
      <c r="O470" s="37">
        <v>40</v>
      </c>
      <c r="P470" s="8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0" s="625"/>
      <c r="R470" s="625"/>
      <c r="S470" s="625"/>
      <c r="T470" s="626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42" t="s">
        <v>736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1"/>
      <c r="B471" s="631"/>
      <c r="C471" s="631"/>
      <c r="D471" s="631"/>
      <c r="E471" s="631"/>
      <c r="F471" s="631"/>
      <c r="G471" s="631"/>
      <c r="H471" s="631"/>
      <c r="I471" s="631"/>
      <c r="J471" s="631"/>
      <c r="K471" s="631"/>
      <c r="L471" s="631"/>
      <c r="M471" s="631"/>
      <c r="N471" s="631"/>
      <c r="O471" s="632"/>
      <c r="P471" s="628" t="s">
        <v>40</v>
      </c>
      <c r="Q471" s="629"/>
      <c r="R471" s="629"/>
      <c r="S471" s="629"/>
      <c r="T471" s="629"/>
      <c r="U471" s="629"/>
      <c r="V471" s="63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31"/>
      <c r="B472" s="631"/>
      <c r="C472" s="631"/>
      <c r="D472" s="631"/>
      <c r="E472" s="631"/>
      <c r="F472" s="631"/>
      <c r="G472" s="631"/>
      <c r="H472" s="631"/>
      <c r="I472" s="631"/>
      <c r="J472" s="631"/>
      <c r="K472" s="631"/>
      <c r="L472" s="631"/>
      <c r="M472" s="631"/>
      <c r="N472" s="631"/>
      <c r="O472" s="632"/>
      <c r="P472" s="628" t="s">
        <v>40</v>
      </c>
      <c r="Q472" s="629"/>
      <c r="R472" s="629"/>
      <c r="S472" s="629"/>
      <c r="T472" s="629"/>
      <c r="U472" s="629"/>
      <c r="V472" s="63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22" t="s">
        <v>88</v>
      </c>
      <c r="B473" s="622"/>
      <c r="C473" s="622"/>
      <c r="D473" s="622"/>
      <c r="E473" s="622"/>
      <c r="F473" s="622"/>
      <c r="G473" s="622"/>
      <c r="H473" s="622"/>
      <c r="I473" s="622"/>
      <c r="J473" s="622"/>
      <c r="K473" s="622"/>
      <c r="L473" s="622"/>
      <c r="M473" s="622"/>
      <c r="N473" s="622"/>
      <c r="O473" s="622"/>
      <c r="P473" s="622"/>
      <c r="Q473" s="622"/>
      <c r="R473" s="622"/>
      <c r="S473" s="622"/>
      <c r="T473" s="622"/>
      <c r="U473" s="622"/>
      <c r="V473" s="622"/>
      <c r="W473" s="622"/>
      <c r="X473" s="622"/>
      <c r="Y473" s="622"/>
      <c r="Z473" s="622"/>
      <c r="AA473" s="66"/>
      <c r="AB473" s="66"/>
      <c r="AC473" s="80"/>
    </row>
    <row r="474" spans="1:68" ht="27" customHeight="1" x14ac:dyDescent="0.25">
      <c r="A474" s="63" t="s">
        <v>737</v>
      </c>
      <c r="B474" s="63" t="s">
        <v>738</v>
      </c>
      <c r="C474" s="36">
        <v>4301052046</v>
      </c>
      <c r="D474" s="623">
        <v>4640242180533</v>
      </c>
      <c r="E474" s="62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117</v>
      </c>
      <c r="L474" s="37" t="s">
        <v>45</v>
      </c>
      <c r="M474" s="38" t="s">
        <v>100</v>
      </c>
      <c r="N474" s="38"/>
      <c r="O474" s="37">
        <v>45</v>
      </c>
      <c r="P474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4" s="625"/>
      <c r="R474" s="625"/>
      <c r="S474" s="625"/>
      <c r="T474" s="626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44" t="s">
        <v>739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31"/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  <c r="L476" s="631"/>
      <c r="M476" s="631"/>
      <c r="N476" s="631"/>
      <c r="O476" s="632"/>
      <c r="P476" s="628" t="s">
        <v>40</v>
      </c>
      <c r="Q476" s="629"/>
      <c r="R476" s="629"/>
      <c r="S476" s="629"/>
      <c r="T476" s="629"/>
      <c r="U476" s="629"/>
      <c r="V476" s="630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22" t="s">
        <v>169</v>
      </c>
      <c r="B477" s="622"/>
      <c r="C477" s="622"/>
      <c r="D477" s="622"/>
      <c r="E477" s="622"/>
      <c r="F477" s="622"/>
      <c r="G477" s="622"/>
      <c r="H477" s="622"/>
      <c r="I477" s="622"/>
      <c r="J477" s="622"/>
      <c r="K477" s="622"/>
      <c r="L477" s="622"/>
      <c r="M477" s="622"/>
      <c r="N477" s="622"/>
      <c r="O477" s="622"/>
      <c r="P477" s="622"/>
      <c r="Q477" s="622"/>
      <c r="R477" s="622"/>
      <c r="S477" s="622"/>
      <c r="T477" s="622"/>
      <c r="U477" s="622"/>
      <c r="V477" s="622"/>
      <c r="W477" s="622"/>
      <c r="X477" s="622"/>
      <c r="Y477" s="622"/>
      <c r="Z477" s="622"/>
      <c r="AA477" s="66"/>
      <c r="AB477" s="66"/>
      <c r="AC477" s="80"/>
    </row>
    <row r="478" spans="1:68" ht="27" customHeight="1" x14ac:dyDescent="0.25">
      <c r="A478" s="63" t="s">
        <v>740</v>
      </c>
      <c r="B478" s="63" t="s">
        <v>741</v>
      </c>
      <c r="C478" s="36">
        <v>4301060491</v>
      </c>
      <c r="D478" s="623">
        <v>4640242180120</v>
      </c>
      <c r="E478" s="623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117</v>
      </c>
      <c r="L478" s="37" t="s">
        <v>45</v>
      </c>
      <c r="M478" s="38" t="s">
        <v>92</v>
      </c>
      <c r="N478" s="38"/>
      <c r="O478" s="37">
        <v>40</v>
      </c>
      <c r="P478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8" s="625"/>
      <c r="R478" s="625"/>
      <c r="S478" s="625"/>
      <c r="T478" s="62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743</v>
      </c>
      <c r="B479" s="63" t="s">
        <v>744</v>
      </c>
      <c r="C479" s="36">
        <v>4301060493</v>
      </c>
      <c r="D479" s="623">
        <v>4640242180137</v>
      </c>
      <c r="E479" s="623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117</v>
      </c>
      <c r="L479" s="37" t="s">
        <v>45</v>
      </c>
      <c r="M479" s="38" t="s">
        <v>92</v>
      </c>
      <c r="N479" s="38"/>
      <c r="O479" s="37">
        <v>40</v>
      </c>
      <c r="P479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9" s="625"/>
      <c r="R479" s="625"/>
      <c r="S479" s="625"/>
      <c r="T479" s="626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745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1"/>
      <c r="B480" s="631"/>
      <c r="C480" s="631"/>
      <c r="D480" s="631"/>
      <c r="E480" s="631"/>
      <c r="F480" s="631"/>
      <c r="G480" s="631"/>
      <c r="H480" s="631"/>
      <c r="I480" s="631"/>
      <c r="J480" s="631"/>
      <c r="K480" s="631"/>
      <c r="L480" s="631"/>
      <c r="M480" s="631"/>
      <c r="N480" s="631"/>
      <c r="O480" s="632"/>
      <c r="P480" s="628" t="s">
        <v>40</v>
      </c>
      <c r="Q480" s="629"/>
      <c r="R480" s="629"/>
      <c r="S480" s="629"/>
      <c r="T480" s="629"/>
      <c r="U480" s="629"/>
      <c r="V480" s="630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31"/>
      <c r="B481" s="631"/>
      <c r="C481" s="631"/>
      <c r="D481" s="631"/>
      <c r="E481" s="631"/>
      <c r="F481" s="631"/>
      <c r="G481" s="631"/>
      <c r="H481" s="631"/>
      <c r="I481" s="631"/>
      <c r="J481" s="631"/>
      <c r="K481" s="631"/>
      <c r="L481" s="631"/>
      <c r="M481" s="631"/>
      <c r="N481" s="631"/>
      <c r="O481" s="632"/>
      <c r="P481" s="628" t="s">
        <v>40</v>
      </c>
      <c r="Q481" s="629"/>
      <c r="R481" s="629"/>
      <c r="S481" s="629"/>
      <c r="T481" s="629"/>
      <c r="U481" s="629"/>
      <c r="V481" s="630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21" t="s">
        <v>746</v>
      </c>
      <c r="B482" s="621"/>
      <c r="C482" s="621"/>
      <c r="D482" s="621"/>
      <c r="E482" s="621"/>
      <c r="F482" s="621"/>
      <c r="G482" s="621"/>
      <c r="H482" s="621"/>
      <c r="I482" s="621"/>
      <c r="J482" s="621"/>
      <c r="K482" s="621"/>
      <c r="L482" s="621"/>
      <c r="M482" s="621"/>
      <c r="N482" s="621"/>
      <c r="O482" s="621"/>
      <c r="P482" s="621"/>
      <c r="Q482" s="621"/>
      <c r="R482" s="621"/>
      <c r="S482" s="621"/>
      <c r="T482" s="621"/>
      <c r="U482" s="621"/>
      <c r="V482" s="621"/>
      <c r="W482" s="621"/>
      <c r="X482" s="621"/>
      <c r="Y482" s="621"/>
      <c r="Z482" s="621"/>
      <c r="AA482" s="65"/>
      <c r="AB482" s="65"/>
      <c r="AC482" s="79"/>
    </row>
    <row r="483" spans="1:68" ht="14.25" customHeight="1" x14ac:dyDescent="0.25">
      <c r="A483" s="622" t="s">
        <v>147</v>
      </c>
      <c r="B483" s="622"/>
      <c r="C483" s="622"/>
      <c r="D483" s="622"/>
      <c r="E483" s="622"/>
      <c r="F483" s="622"/>
      <c r="G483" s="622"/>
      <c r="H483" s="622"/>
      <c r="I483" s="622"/>
      <c r="J483" s="622"/>
      <c r="K483" s="622"/>
      <c r="L483" s="622"/>
      <c r="M483" s="622"/>
      <c r="N483" s="622"/>
      <c r="O483" s="622"/>
      <c r="P483" s="622"/>
      <c r="Q483" s="622"/>
      <c r="R483" s="622"/>
      <c r="S483" s="622"/>
      <c r="T483" s="622"/>
      <c r="U483" s="622"/>
      <c r="V483" s="622"/>
      <c r="W483" s="622"/>
      <c r="X483" s="622"/>
      <c r="Y483" s="622"/>
      <c r="Z483" s="622"/>
      <c r="AA483" s="66"/>
      <c r="AB483" s="66"/>
      <c r="AC483" s="80"/>
    </row>
    <row r="484" spans="1:68" ht="27" customHeight="1" x14ac:dyDescent="0.25">
      <c r="A484" s="63" t="s">
        <v>747</v>
      </c>
      <c r="B484" s="63" t="s">
        <v>748</v>
      </c>
      <c r="C484" s="36">
        <v>4301020314</v>
      </c>
      <c r="D484" s="623">
        <v>4640242180090</v>
      </c>
      <c r="E484" s="623"/>
      <c r="F484" s="62">
        <v>1.5</v>
      </c>
      <c r="G484" s="37">
        <v>8</v>
      </c>
      <c r="H484" s="62">
        <v>12</v>
      </c>
      <c r="I484" s="62">
        <v>12.41</v>
      </c>
      <c r="J484" s="37">
        <v>64</v>
      </c>
      <c r="K484" s="37" t="s">
        <v>117</v>
      </c>
      <c r="L484" s="37" t="s">
        <v>45</v>
      </c>
      <c r="M484" s="38" t="s">
        <v>116</v>
      </c>
      <c r="N484" s="38"/>
      <c r="O484" s="37">
        <v>50</v>
      </c>
      <c r="P484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4" s="625"/>
      <c r="R484" s="625"/>
      <c r="S484" s="625"/>
      <c r="T484" s="62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0" t="s">
        <v>749</v>
      </c>
      <c r="AG484" s="78"/>
      <c r="AJ484" s="84" t="s">
        <v>45</v>
      </c>
      <c r="AK484" s="84">
        <v>0</v>
      </c>
      <c r="BB484" s="551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1"/>
      <c r="B485" s="631"/>
      <c r="C485" s="631"/>
      <c r="D485" s="631"/>
      <c r="E485" s="631"/>
      <c r="F485" s="631"/>
      <c r="G485" s="631"/>
      <c r="H485" s="631"/>
      <c r="I485" s="631"/>
      <c r="J485" s="631"/>
      <c r="K485" s="631"/>
      <c r="L485" s="631"/>
      <c r="M485" s="631"/>
      <c r="N485" s="631"/>
      <c r="O485" s="632"/>
      <c r="P485" s="628" t="s">
        <v>40</v>
      </c>
      <c r="Q485" s="629"/>
      <c r="R485" s="629"/>
      <c r="S485" s="629"/>
      <c r="T485" s="629"/>
      <c r="U485" s="629"/>
      <c r="V485" s="630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31"/>
      <c r="B486" s="631"/>
      <c r="C486" s="631"/>
      <c r="D486" s="631"/>
      <c r="E486" s="631"/>
      <c r="F486" s="631"/>
      <c r="G486" s="631"/>
      <c r="H486" s="631"/>
      <c r="I486" s="631"/>
      <c r="J486" s="631"/>
      <c r="K486" s="631"/>
      <c r="L486" s="631"/>
      <c r="M486" s="631"/>
      <c r="N486" s="631"/>
      <c r="O486" s="632"/>
      <c r="P486" s="628" t="s">
        <v>40</v>
      </c>
      <c r="Q486" s="629"/>
      <c r="R486" s="629"/>
      <c r="S486" s="629"/>
      <c r="T486" s="629"/>
      <c r="U486" s="629"/>
      <c r="V486" s="630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5" customHeight="1" x14ac:dyDescent="0.2">
      <c r="A487" s="631"/>
      <c r="B487" s="631"/>
      <c r="C487" s="631"/>
      <c r="D487" s="631"/>
      <c r="E487" s="631"/>
      <c r="F487" s="631"/>
      <c r="G487" s="631"/>
      <c r="H487" s="631"/>
      <c r="I487" s="631"/>
      <c r="J487" s="631"/>
      <c r="K487" s="631"/>
      <c r="L487" s="631"/>
      <c r="M487" s="631"/>
      <c r="N487" s="631"/>
      <c r="O487" s="867"/>
      <c r="P487" s="864" t="s">
        <v>33</v>
      </c>
      <c r="Q487" s="865"/>
      <c r="R487" s="865"/>
      <c r="S487" s="865"/>
      <c r="T487" s="865"/>
      <c r="U487" s="865"/>
      <c r="V487" s="866"/>
      <c r="W487" s="42" t="s">
        <v>0</v>
      </c>
      <c r="X487" s="43">
        <f>IFERROR(X25+X32+X36+X44+X48+X58+X64+X68+X75+X80+X88+X95+X104+X111+X118+X122+X128+X133+X138+X144+X152+X156+X162+X179+X185+X189+X195+X200+X211+X223+X228+X241+X245+X249+X257+X266+X274+X281+X287+X292+X302+X311+X318+X324+X331+X337+X344+X356+X361+X366+X370+X376+X380+X386+X400+X405+X410+X417+X422+X439+X445+X454+X463+X468+X472+X476+X481+X486,"0")</f>
        <v>0</v>
      </c>
      <c r="Y487" s="43">
        <f>IFERROR(Y25+Y32+Y36+Y44+Y48+Y58+Y64+Y68+Y75+Y80+Y88+Y95+Y104+Y111+Y118+Y122+Y128+Y133+Y138+Y144+Y152+Y156+Y162+Y179+Y185+Y189+Y195+Y200+Y211+Y223+Y228+Y241+Y245+Y249+Y257+Y266+Y274+Y281+Y287+Y292+Y302+Y311+Y318+Y324+Y331+Y337+Y344+Y356+Y361+Y366+Y370+Y376+Y380+Y386+Y400+Y405+Y410+Y417+Y422+Y439+Y445+Y454+Y463+Y468+Y472+Y476+Y481+Y486,"0")</f>
        <v>0</v>
      </c>
      <c r="Z487" s="42"/>
      <c r="AA487" s="67"/>
      <c r="AB487" s="67"/>
      <c r="AC487" s="67"/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867"/>
      <c r="P488" s="864" t="s">
        <v>34</v>
      </c>
      <c r="Q488" s="865"/>
      <c r="R488" s="865"/>
      <c r="S488" s="865"/>
      <c r="T488" s="865"/>
      <c r="U488" s="865"/>
      <c r="V488" s="866"/>
      <c r="W488" s="42" t="s">
        <v>0</v>
      </c>
      <c r="X488" s="43">
        <f>IFERROR(SUM(BM22:BM484),"0")</f>
        <v>0</v>
      </c>
      <c r="Y488" s="43">
        <f>IFERROR(SUM(BN22:BN484),"0")</f>
        <v>0</v>
      </c>
      <c r="Z488" s="42"/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867"/>
      <c r="P489" s="864" t="s">
        <v>35</v>
      </c>
      <c r="Q489" s="865"/>
      <c r="R489" s="865"/>
      <c r="S489" s="865"/>
      <c r="T489" s="865"/>
      <c r="U489" s="865"/>
      <c r="V489" s="866"/>
      <c r="W489" s="42" t="s">
        <v>20</v>
      </c>
      <c r="X489" s="44">
        <f>ROUNDUP(SUM(BO22:BO484),0)</f>
        <v>0</v>
      </c>
      <c r="Y489" s="44">
        <f>ROUNDUP(SUM(BP22:BP484),0)</f>
        <v>0</v>
      </c>
      <c r="Z489" s="42"/>
      <c r="AA489" s="67"/>
      <c r="AB489" s="67"/>
      <c r="AC489" s="67"/>
    </row>
    <row r="490" spans="1:68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36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GrossWeightTotal+PalletQtyTotal*25</f>
        <v>0</v>
      </c>
      <c r="Y490" s="43">
        <f>GrossWeightTotalR+PalletQtyTotalR*25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37</v>
      </c>
      <c r="Q491" s="865"/>
      <c r="R491" s="865"/>
      <c r="S491" s="865"/>
      <c r="T491" s="865"/>
      <c r="U491" s="865"/>
      <c r="V491" s="866"/>
      <c r="W491" s="42" t="s">
        <v>20</v>
      </c>
      <c r="X491" s="43">
        <f>IFERROR(X24+X31+X35+X43+X47+X57+X63+X67+X74+X79+X87+X94+X103+X110+X117+X121+X127+X132+X137+X143+X151+X155+X161+X178+X184+X188+X194+X199+X210+X222+X227+X240+X244+X248+X256+X265+X273+X280+X286+X291+X301+X310+X317+X323+X330+X336+X343+X355+X360+X365+X369+X375+X379+X385+X399+X404+X409+X416+X421+X438+X444+X453+X462+X467+X471+X475+X480+X485,"0")</f>
        <v>0</v>
      </c>
      <c r="Y491" s="43">
        <f>IFERROR(Y24+Y31+Y35+Y43+Y47+Y57+Y63+Y67+Y74+Y79+Y87+Y94+Y103+Y110+Y117+Y121+Y127+Y132+Y137+Y143+Y151+Y155+Y161+Y178+Y184+Y188+Y194+Y199+Y210+Y222+Y227+Y240+Y244+Y248+Y256+Y265+Y273+Y280+Y286+Y291+Y301+Y310+Y317+Y323+Y330+Y336+Y343+Y355+Y360+Y365+Y369+Y375+Y379+Y385+Y399+Y404+Y409+Y416+Y421+Y438+Y444+Y453+Y462+Y467+Y471+Y475+Y480+Y485,"0")</f>
        <v>0</v>
      </c>
      <c r="Z491" s="42"/>
      <c r="AA491" s="67"/>
      <c r="AB491" s="67"/>
      <c r="AC491" s="67"/>
    </row>
    <row r="492" spans="1:68" ht="14.25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38</v>
      </c>
      <c r="Q492" s="865"/>
      <c r="R492" s="865"/>
      <c r="S492" s="865"/>
      <c r="T492" s="865"/>
      <c r="U492" s="865"/>
      <c r="V492" s="866"/>
      <c r="W492" s="45" t="s">
        <v>51</v>
      </c>
      <c r="X492" s="42"/>
      <c r="Y492" s="42"/>
      <c r="Z492" s="42">
        <f>IFERROR(Z24+Z31+Z35+Z43+Z47+Z57+Z63+Z67+Z74+Z79+Z87+Z94+Z103+Z110+Z117+Z121+Z127+Z132+Z137+Z143+Z151+Z155+Z161+Z178+Z184+Z188+Z194+Z199+Z210+Z222+Z227+Z240+Z244+Z248+Z256+Z265+Z273+Z280+Z286+Z291+Z301+Z310+Z317+Z323+Z330+Z336+Z343+Z355+Z360+Z365+Z369+Z375+Z379+Z385+Z399+Z404+Z409+Z416+Z421+Z438+Z444+Z453+Z462+Z467+Z471+Z475+Z480+Z485,"0")</f>
        <v>0</v>
      </c>
      <c r="AA492" s="67"/>
      <c r="AB492" s="67"/>
      <c r="AC492" s="67"/>
    </row>
    <row r="493" spans="1:68" ht="13.5" thickBot="1" x14ac:dyDescent="0.25"/>
    <row r="494" spans="1:68" ht="27" thickTop="1" thickBot="1" x14ac:dyDescent="0.25">
      <c r="A494" s="46" t="s">
        <v>9</v>
      </c>
      <c r="B494" s="85" t="s">
        <v>77</v>
      </c>
      <c r="C494" s="870" t="s">
        <v>110</v>
      </c>
      <c r="D494" s="870" t="s">
        <v>110</v>
      </c>
      <c r="E494" s="870" t="s">
        <v>110</v>
      </c>
      <c r="F494" s="870" t="s">
        <v>110</v>
      </c>
      <c r="G494" s="870" t="s">
        <v>110</v>
      </c>
      <c r="H494" s="870" t="s">
        <v>110</v>
      </c>
      <c r="I494" s="870" t="s">
        <v>271</v>
      </c>
      <c r="J494" s="870" t="s">
        <v>271</v>
      </c>
      <c r="K494" s="870" t="s">
        <v>271</v>
      </c>
      <c r="L494" s="870" t="s">
        <v>271</v>
      </c>
      <c r="M494" s="870" t="s">
        <v>271</v>
      </c>
      <c r="N494" s="871"/>
      <c r="O494" s="870" t="s">
        <v>271</v>
      </c>
      <c r="P494" s="870" t="s">
        <v>271</v>
      </c>
      <c r="Q494" s="870" t="s">
        <v>271</v>
      </c>
      <c r="R494" s="870" t="s">
        <v>271</v>
      </c>
      <c r="S494" s="870" t="s">
        <v>561</v>
      </c>
      <c r="T494" s="870" t="s">
        <v>561</v>
      </c>
      <c r="U494" s="870" t="s">
        <v>614</v>
      </c>
      <c r="V494" s="870" t="s">
        <v>614</v>
      </c>
      <c r="W494" s="870" t="s">
        <v>614</v>
      </c>
      <c r="X494" s="85" t="s">
        <v>665</v>
      </c>
      <c r="Y494" s="870" t="s">
        <v>716</v>
      </c>
      <c r="Z494" s="870" t="s">
        <v>716</v>
      </c>
      <c r="AB494" s="60"/>
      <c r="AC494" s="60"/>
      <c r="AF494" s="1"/>
    </row>
    <row r="495" spans="1:68" ht="14.25" customHeight="1" thickTop="1" x14ac:dyDescent="0.2">
      <c r="A495" s="868" t="s">
        <v>10</v>
      </c>
      <c r="B495" s="870" t="s">
        <v>77</v>
      </c>
      <c r="C495" s="870" t="s">
        <v>111</v>
      </c>
      <c r="D495" s="870" t="s">
        <v>128</v>
      </c>
      <c r="E495" s="870" t="s">
        <v>176</v>
      </c>
      <c r="F495" s="870" t="s">
        <v>198</v>
      </c>
      <c r="G495" s="870" t="s">
        <v>235</v>
      </c>
      <c r="H495" s="870" t="s">
        <v>110</v>
      </c>
      <c r="I495" s="870" t="s">
        <v>272</v>
      </c>
      <c r="J495" s="870" t="s">
        <v>327</v>
      </c>
      <c r="K495" s="870" t="s">
        <v>387</v>
      </c>
      <c r="L495" s="870" t="s">
        <v>428</v>
      </c>
      <c r="M495" s="870" t="s">
        <v>444</v>
      </c>
      <c r="N495" s="1"/>
      <c r="O495" s="870" t="s">
        <v>455</v>
      </c>
      <c r="P495" s="870" t="s">
        <v>464</v>
      </c>
      <c r="Q495" s="870" t="s">
        <v>477</v>
      </c>
      <c r="R495" s="870" t="s">
        <v>551</v>
      </c>
      <c r="S495" s="870" t="s">
        <v>562</v>
      </c>
      <c r="T495" s="870" t="s">
        <v>598</v>
      </c>
      <c r="U495" s="870" t="s">
        <v>615</v>
      </c>
      <c r="V495" s="870" t="s">
        <v>646</v>
      </c>
      <c r="W495" s="870" t="s">
        <v>661</v>
      </c>
      <c r="X495" s="870" t="s">
        <v>665</v>
      </c>
      <c r="Y495" s="870" t="s">
        <v>716</v>
      </c>
      <c r="Z495" s="870" t="s">
        <v>746</v>
      </c>
      <c r="AB495" s="60"/>
      <c r="AC495" s="60"/>
      <c r="AF495" s="1"/>
    </row>
    <row r="496" spans="1:68" ht="13.5" thickBot="1" x14ac:dyDescent="0.25">
      <c r="A496" s="869"/>
      <c r="B496" s="870"/>
      <c r="C496" s="870"/>
      <c r="D496" s="870"/>
      <c r="E496" s="870"/>
      <c r="F496" s="870"/>
      <c r="G496" s="870"/>
      <c r="H496" s="870"/>
      <c r="I496" s="870"/>
      <c r="J496" s="870"/>
      <c r="K496" s="870"/>
      <c r="L496" s="870"/>
      <c r="M496" s="870"/>
      <c r="N496" s="1"/>
      <c r="O496" s="870"/>
      <c r="P496" s="870"/>
      <c r="Q496" s="870"/>
      <c r="R496" s="870"/>
      <c r="S496" s="870"/>
      <c r="T496" s="870"/>
      <c r="U496" s="870"/>
      <c r="V496" s="870"/>
      <c r="W496" s="870"/>
      <c r="X496" s="870"/>
      <c r="Y496" s="870"/>
      <c r="Z496" s="870"/>
      <c r="AB496" s="60"/>
      <c r="AC496" s="60"/>
      <c r="AF496" s="1"/>
    </row>
    <row r="497" spans="1:32" ht="18" thickTop="1" thickBot="1" x14ac:dyDescent="0.25">
      <c r="A497" s="46" t="s">
        <v>13</v>
      </c>
      <c r="B497" s="52">
        <f>IFERROR(Y22*1,"0")+IFERROR(Y23*1,"0")+IFERROR(Y27*1,"0")+IFERROR(Y28*1,"0")+IFERROR(Y29*1,"0")+IFERROR(Y30*1,"0")+IFERROR(Y34*1,"0")</f>
        <v>0</v>
      </c>
      <c r="C497" s="52">
        <f>IFERROR(Y40*1,"0")+IFERROR(Y41*1,"0")+IFERROR(Y42*1,"0")+IFERROR(Y46*1,"0")</f>
        <v>0</v>
      </c>
      <c r="D497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7" s="52">
        <f>IFERROR(Y83*1,"0")+IFERROR(Y84*1,"0")+IFERROR(Y85*1,"0")+IFERROR(Y86*1,"0")+IFERROR(Y90*1,"0")+IFERROR(Y91*1,"0")+IFERROR(Y92*1,"0")+IFERROR(Y93*1,"0")</f>
        <v>0</v>
      </c>
      <c r="F497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7" s="52">
        <f>IFERROR(Y125*1,"0")+IFERROR(Y126*1,"0")+IFERROR(Y130*1,"0")+IFERROR(Y131*1,"0")+IFERROR(Y135*1,"0")+IFERROR(Y136*1,"0")</f>
        <v>0</v>
      </c>
      <c r="H497" s="52">
        <f>IFERROR(Y141*1,"0")+IFERROR(Y142*1,"0")+IFERROR(Y146*1,"0")+IFERROR(Y147*1,"0")+IFERROR(Y148*1,"0")+IFERROR(Y149*1,"0")+IFERROR(Y150*1,"0")+IFERROR(Y154*1,"0")</f>
        <v>0</v>
      </c>
      <c r="I497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7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7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7" s="52">
        <f>IFERROR(Y260*1,"0")+IFERROR(Y261*1,"0")+IFERROR(Y262*1,"0")+IFERROR(Y263*1,"0")+IFERROR(Y264*1,"0")</f>
        <v>0</v>
      </c>
      <c r="M497" s="52">
        <f>IFERROR(Y269*1,"0")+IFERROR(Y270*1,"0")+IFERROR(Y271*1,"0")+IFERROR(Y272*1,"0")</f>
        <v>0</v>
      </c>
      <c r="N497" s="1"/>
      <c r="O497" s="52">
        <f>IFERROR(Y277*1,"0")+IFERROR(Y278*1,"0")+IFERROR(Y279*1,"0")</f>
        <v>0</v>
      </c>
      <c r="P497" s="52">
        <f>IFERROR(Y284*1,"0")+IFERROR(Y285*1,"0")+IFERROR(Y289*1,"0")+IFERROR(Y290*1,"0")</f>
        <v>0</v>
      </c>
      <c r="Q497" s="52">
        <f>IFERROR(Y295*1,"0")+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7" s="52">
        <f>IFERROR(Y340*1,"0")+IFERROR(Y341*1,"0")+IFERROR(Y342*1,"0")</f>
        <v>0</v>
      </c>
      <c r="S497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7" s="52">
        <f>IFERROR(Y373*1,"0")+IFERROR(Y374*1,"0")+IFERROR(Y378*1,"0")+IFERROR(Y382*1,"0")+IFERROR(Y383*1,"0")+IFERROR(Y384*1,"0")</f>
        <v>0</v>
      </c>
      <c r="U497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497" s="52">
        <f>IFERROR(Y408*1,"0")+IFERROR(Y412*1,"0")+IFERROR(Y413*1,"0")+IFERROR(Y414*1,"0")+IFERROR(Y415*1,"0")</f>
        <v>0</v>
      </c>
      <c r="W497" s="52">
        <f>IFERROR(Y420*1,"0")</f>
        <v>0</v>
      </c>
      <c r="X497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</f>
        <v>0</v>
      </c>
      <c r="Y497" s="52">
        <f>IFERROR(Y458*1,"0")+IFERROR(Y459*1,"0")+IFERROR(Y460*1,"0")+IFERROR(Y461*1,"0")+IFERROR(Y465*1,"0")+IFERROR(Y466*1,"0")+IFERROR(Y470*1,"0")+IFERROR(Y474*1,"0")+IFERROR(Y478*1,"0")+IFERROR(Y479*1,"0")</f>
        <v>0</v>
      </c>
      <c r="Z497" s="52">
        <f>IFERROR(Y484*1,"0")</f>
        <v>0</v>
      </c>
      <c r="AB497" s="60"/>
      <c r="AC497" s="60"/>
      <c r="AF497" s="1"/>
    </row>
  </sheetData>
  <sheetProtection algorithmName="SHA-512" hashValue="RFIdvn0m7+Wk9h3OOAs/rf/f/Wp8WeOaUupnIuflb2b2TwQqI0Sw9/zYbMUUJb4nHzeYIDH1s2QC18owiroAeQ==" saltValue="A46+2zvtcHZhoKKOr7kL+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5:U496"/>
    <mergeCell ref="V495:V496"/>
    <mergeCell ref="W495:W496"/>
    <mergeCell ref="X495:X496"/>
    <mergeCell ref="Y495:Y496"/>
    <mergeCell ref="Z495:Z496"/>
    <mergeCell ref="C494:H494"/>
    <mergeCell ref="I494:R494"/>
    <mergeCell ref="S494:T494"/>
    <mergeCell ref="U494:W494"/>
    <mergeCell ref="Y494:Z494"/>
    <mergeCell ref="J495:J496"/>
    <mergeCell ref="K495:K496"/>
    <mergeCell ref="L495:L496"/>
    <mergeCell ref="M495:M496"/>
    <mergeCell ref="O495:O496"/>
    <mergeCell ref="P495:P496"/>
    <mergeCell ref="Q495:Q496"/>
    <mergeCell ref="R495:R496"/>
    <mergeCell ref="S495:S496"/>
    <mergeCell ref="T495:T496"/>
    <mergeCell ref="A495:A496"/>
    <mergeCell ref="B495:B496"/>
    <mergeCell ref="C495:C496"/>
    <mergeCell ref="D495:D496"/>
    <mergeCell ref="E495:E496"/>
    <mergeCell ref="F495:F496"/>
    <mergeCell ref="G495:G496"/>
    <mergeCell ref="H495:H496"/>
    <mergeCell ref="I495:I496"/>
    <mergeCell ref="A482:Z482"/>
    <mergeCell ref="A483:Z483"/>
    <mergeCell ref="D484:E484"/>
    <mergeCell ref="P484:T484"/>
    <mergeCell ref="P485:V485"/>
    <mergeCell ref="A485:O486"/>
    <mergeCell ref="P486:V486"/>
    <mergeCell ref="P487:V487"/>
    <mergeCell ref="A487:O492"/>
    <mergeCell ref="P488:V488"/>
    <mergeCell ref="P489:V489"/>
    <mergeCell ref="P490:V490"/>
    <mergeCell ref="P491:V491"/>
    <mergeCell ref="P492:V492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P416:V416"/>
    <mergeCell ref="A416:O417"/>
    <mergeCell ref="P417:V417"/>
    <mergeCell ref="A418:Z418"/>
    <mergeCell ref="A419:Z419"/>
    <mergeCell ref="D420:E420"/>
    <mergeCell ref="P420:T420"/>
    <mergeCell ref="P421:V421"/>
    <mergeCell ref="A421:O422"/>
    <mergeCell ref="P422:V422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P404:V404"/>
    <mergeCell ref="A404:O405"/>
    <mergeCell ref="P405:V405"/>
    <mergeCell ref="A406:Z406"/>
    <mergeCell ref="A407:Z407"/>
    <mergeCell ref="D408:E408"/>
    <mergeCell ref="P408:T408"/>
    <mergeCell ref="P409:V409"/>
    <mergeCell ref="A409:O410"/>
    <mergeCell ref="P410:V410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A387:Z387"/>
    <mergeCell ref="A388:Z388"/>
    <mergeCell ref="A389:Z389"/>
    <mergeCell ref="D390:E390"/>
    <mergeCell ref="P390:T390"/>
    <mergeCell ref="D391:E391"/>
    <mergeCell ref="P391:T391"/>
    <mergeCell ref="D392:E392"/>
    <mergeCell ref="P392:T392"/>
    <mergeCell ref="A381:Z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P379:V379"/>
    <mergeCell ref="A379:O380"/>
    <mergeCell ref="P380:V380"/>
    <mergeCell ref="A367:Z367"/>
    <mergeCell ref="D368:E368"/>
    <mergeCell ref="P368:T368"/>
    <mergeCell ref="P369:V369"/>
    <mergeCell ref="A369:O370"/>
    <mergeCell ref="P370:V370"/>
    <mergeCell ref="A371:Z371"/>
    <mergeCell ref="A372:Z372"/>
    <mergeCell ref="D373:E373"/>
    <mergeCell ref="P373:T373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P365:V365"/>
    <mergeCell ref="A365:O366"/>
    <mergeCell ref="P366:V366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A346:Z346"/>
    <mergeCell ref="A347:Z347"/>
    <mergeCell ref="D348:E348"/>
    <mergeCell ref="P348:T348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D335:E335"/>
    <mergeCell ref="P335:T335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A319:Z319"/>
    <mergeCell ref="D320:E320"/>
    <mergeCell ref="P320:T320"/>
    <mergeCell ref="D321:E321"/>
    <mergeCell ref="P321:T321"/>
    <mergeCell ref="D322:E322"/>
    <mergeCell ref="P322:T322"/>
    <mergeCell ref="P323:V323"/>
    <mergeCell ref="A323:O324"/>
    <mergeCell ref="P324:V324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48:X449 X432 X430 X426 X394 X358 X348:X350 X341:X342 X328 X320:X321 X308:X309 X278 X238 X225:X226 X220:X221 X218 X215:X216 X207:X209 X202:X205 X175 X170 X166 X164 X120 X116 X101 X98 X86 X83 X62 X56 X40:X4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lUBZ/4SuIRq/DZ8X6uUbctv37kkfQ8gADxOrH7Yhpj1RRL9IbyTiDQYL4WRKfFQ8BGsAAFaYDEl4Bbh3V+5SYw==" saltValue="xr7k9Fv7y/qsGbt8VZip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