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B60593B-534C-47CF-A593-080B875D9C3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N537" i="2"/>
  <c r="BM537" i="2"/>
  <c r="Y537" i="2"/>
  <c r="BP537" i="2" s="1"/>
  <c r="P537" i="2"/>
  <c r="Y535" i="2"/>
  <c r="X535" i="2"/>
  <c r="X534" i="2"/>
  <c r="BO533" i="2"/>
  <c r="BM533" i="2"/>
  <c r="Y533" i="2"/>
  <c r="Y534" i="2" s="1"/>
  <c r="P533" i="2"/>
  <c r="X531" i="2"/>
  <c r="Y530" i="2"/>
  <c r="X530" i="2"/>
  <c r="BO529" i="2"/>
  <c r="BN529" i="2"/>
  <c r="BM529" i="2"/>
  <c r="Y529" i="2"/>
  <c r="Z529" i="2" s="1"/>
  <c r="Z530" i="2" s="1"/>
  <c r="P529" i="2"/>
  <c r="X527" i="2"/>
  <c r="X526" i="2"/>
  <c r="BO525" i="2"/>
  <c r="BN525" i="2"/>
  <c r="BM525" i="2"/>
  <c r="Y525" i="2"/>
  <c r="Y527" i="2" s="1"/>
  <c r="P525" i="2"/>
  <c r="Y523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P515" i="2"/>
  <c r="BO514" i="2"/>
  <c r="BN514" i="2"/>
  <c r="BM514" i="2"/>
  <c r="Y514" i="2"/>
  <c r="BP514" i="2" s="1"/>
  <c r="P514" i="2"/>
  <c r="BO513" i="2"/>
  <c r="BM513" i="2"/>
  <c r="Y513" i="2"/>
  <c r="BN513" i="2" s="1"/>
  <c r="P513" i="2"/>
  <c r="BP512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Z510" i="2"/>
  <c r="Y510" i="2"/>
  <c r="P510" i="2"/>
  <c r="BO509" i="2"/>
  <c r="BM509" i="2"/>
  <c r="Y509" i="2"/>
  <c r="BP509" i="2" s="1"/>
  <c r="P509" i="2"/>
  <c r="X507" i="2"/>
  <c r="X506" i="2"/>
  <c r="BP505" i="2"/>
  <c r="BO505" i="2"/>
  <c r="BN505" i="2"/>
  <c r="BM505" i="2"/>
  <c r="Z505" i="2"/>
  <c r="Y505" i="2"/>
  <c r="P505" i="2"/>
  <c r="BO504" i="2"/>
  <c r="BM504" i="2"/>
  <c r="Y504" i="2"/>
  <c r="P504" i="2"/>
  <c r="BO503" i="2"/>
  <c r="BM503" i="2"/>
  <c r="Z503" i="2"/>
  <c r="Y503" i="2"/>
  <c r="P503" i="2"/>
  <c r="X501" i="2"/>
  <c r="X500" i="2"/>
  <c r="BP499" i="2"/>
  <c r="BO499" i="2"/>
  <c r="BM499" i="2"/>
  <c r="Y499" i="2"/>
  <c r="BN499" i="2" s="1"/>
  <c r="P499" i="2"/>
  <c r="BO498" i="2"/>
  <c r="BM498" i="2"/>
  <c r="Y498" i="2"/>
  <c r="BP498" i="2" s="1"/>
  <c r="P498" i="2"/>
  <c r="BO497" i="2"/>
  <c r="BM497" i="2"/>
  <c r="Z497" i="2"/>
  <c r="Y497" i="2"/>
  <c r="BN497" i="2" s="1"/>
  <c r="P497" i="2"/>
  <c r="BO496" i="2"/>
  <c r="BM496" i="2"/>
  <c r="Y496" i="2"/>
  <c r="BP496" i="2" s="1"/>
  <c r="P496" i="2"/>
  <c r="BO495" i="2"/>
  <c r="BM495" i="2"/>
  <c r="Y495" i="2"/>
  <c r="P495" i="2"/>
  <c r="BO494" i="2"/>
  <c r="BM494" i="2"/>
  <c r="Z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Y501" i="2" s="1"/>
  <c r="P492" i="2"/>
  <c r="X488" i="2"/>
  <c r="X487" i="2"/>
  <c r="BO486" i="2"/>
  <c r="BM486" i="2"/>
  <c r="Y486" i="2"/>
  <c r="P486" i="2"/>
  <c r="BO485" i="2"/>
  <c r="BM485" i="2"/>
  <c r="Z485" i="2"/>
  <c r="Y485" i="2"/>
  <c r="BN485" i="2" s="1"/>
  <c r="P485" i="2"/>
  <c r="BO484" i="2"/>
  <c r="BM484" i="2"/>
  <c r="Y484" i="2"/>
  <c r="P484" i="2"/>
  <c r="X482" i="2"/>
  <c r="X481" i="2"/>
  <c r="BO480" i="2"/>
  <c r="BM480" i="2"/>
  <c r="Z480" i="2"/>
  <c r="Z481" i="2" s="1"/>
  <c r="Y480" i="2"/>
  <c r="Y482" i="2" s="1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BP471" i="2" s="1"/>
  <c r="P471" i="2"/>
  <c r="BP470" i="2"/>
  <c r="BO470" i="2"/>
  <c r="BM470" i="2"/>
  <c r="Z470" i="2"/>
  <c r="Y470" i="2"/>
  <c r="BN470" i="2" s="1"/>
  <c r="P470" i="2"/>
  <c r="BO469" i="2"/>
  <c r="BN469" i="2"/>
  <c r="BM469" i="2"/>
  <c r="Y469" i="2"/>
  <c r="P469" i="2"/>
  <c r="BO468" i="2"/>
  <c r="BM468" i="2"/>
  <c r="Z468" i="2"/>
  <c r="Y468" i="2"/>
  <c r="BP468" i="2" s="1"/>
  <c r="P468" i="2"/>
  <c r="BO467" i="2"/>
  <c r="BM467" i="2"/>
  <c r="Y467" i="2"/>
  <c r="BN467" i="2" s="1"/>
  <c r="P467" i="2"/>
  <c r="BO466" i="2"/>
  <c r="BM466" i="2"/>
  <c r="Y466" i="2"/>
  <c r="P466" i="2"/>
  <c r="X462" i="2"/>
  <c r="X461" i="2"/>
  <c r="BO460" i="2"/>
  <c r="BM460" i="2"/>
  <c r="Y460" i="2"/>
  <c r="BN460" i="2" s="1"/>
  <c r="P460" i="2"/>
  <c r="BO459" i="2"/>
  <c r="BM459" i="2"/>
  <c r="Y459" i="2"/>
  <c r="BP459" i="2" s="1"/>
  <c r="P459" i="2"/>
  <c r="BO458" i="2"/>
  <c r="BM458" i="2"/>
  <c r="Y458" i="2"/>
  <c r="P458" i="2"/>
  <c r="X456" i="2"/>
  <c r="X455" i="2"/>
  <c r="BO454" i="2"/>
  <c r="BN454" i="2"/>
  <c r="BM454" i="2"/>
  <c r="Y454" i="2"/>
  <c r="Y456" i="2" s="1"/>
  <c r="P454" i="2"/>
  <c r="X452" i="2"/>
  <c r="X451" i="2"/>
  <c r="BO450" i="2"/>
  <c r="BN450" i="2"/>
  <c r="BM450" i="2"/>
  <c r="Y450" i="2"/>
  <c r="BP450" i="2" s="1"/>
  <c r="P450" i="2"/>
  <c r="BO449" i="2"/>
  <c r="BM449" i="2"/>
  <c r="Y449" i="2"/>
  <c r="Y451" i="2" s="1"/>
  <c r="P449" i="2"/>
  <c r="X446" i="2"/>
  <c r="X445" i="2"/>
  <c r="BO444" i="2"/>
  <c r="BM444" i="2"/>
  <c r="Z444" i="2"/>
  <c r="Y444" i="2"/>
  <c r="BP444" i="2" s="1"/>
  <c r="P444" i="2"/>
  <c r="BO443" i="2"/>
  <c r="BM443" i="2"/>
  <c r="Y443" i="2"/>
  <c r="Y445" i="2" s="1"/>
  <c r="P443" i="2"/>
  <c r="Y441" i="2"/>
  <c r="X441" i="2"/>
  <c r="X440" i="2"/>
  <c r="BP439" i="2"/>
  <c r="BO439" i="2"/>
  <c r="BM439" i="2"/>
  <c r="Y439" i="2"/>
  <c r="BN439" i="2" s="1"/>
  <c r="P439" i="2"/>
  <c r="BO438" i="2"/>
  <c r="BM438" i="2"/>
  <c r="Y438" i="2"/>
  <c r="P438" i="2"/>
  <c r="BO437" i="2"/>
  <c r="BM437" i="2"/>
  <c r="Z437" i="2"/>
  <c r="Y437" i="2"/>
  <c r="P437" i="2"/>
  <c r="X435" i="2"/>
  <c r="X434" i="2"/>
  <c r="BO433" i="2"/>
  <c r="BM433" i="2"/>
  <c r="Y433" i="2"/>
  <c r="P433" i="2"/>
  <c r="BO432" i="2"/>
  <c r="BM432" i="2"/>
  <c r="Z432" i="2"/>
  <c r="Y432" i="2"/>
  <c r="BN432" i="2" s="1"/>
  <c r="P432" i="2"/>
  <c r="BO431" i="2"/>
  <c r="BN431" i="2"/>
  <c r="BM431" i="2"/>
  <c r="Y431" i="2"/>
  <c r="P431" i="2"/>
  <c r="X429" i="2"/>
  <c r="X428" i="2"/>
  <c r="BO427" i="2"/>
  <c r="BN427" i="2"/>
  <c r="BM427" i="2"/>
  <c r="Y427" i="2"/>
  <c r="BP427" i="2" s="1"/>
  <c r="P427" i="2"/>
  <c r="BO426" i="2"/>
  <c r="BM426" i="2"/>
  <c r="Y426" i="2"/>
  <c r="BP426" i="2" s="1"/>
  <c r="P426" i="2"/>
  <c r="BP425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N422" i="2"/>
  <c r="BM422" i="2"/>
  <c r="Y422" i="2"/>
  <c r="BP422" i="2" s="1"/>
  <c r="P422" i="2"/>
  <c r="BO421" i="2"/>
  <c r="BM421" i="2"/>
  <c r="Y421" i="2"/>
  <c r="P421" i="2"/>
  <c r="BO420" i="2"/>
  <c r="BN420" i="2"/>
  <c r="BM420" i="2"/>
  <c r="Y420" i="2"/>
  <c r="BP420" i="2" s="1"/>
  <c r="P420" i="2"/>
  <c r="X416" i="2"/>
  <c r="X415" i="2"/>
  <c r="BO414" i="2"/>
  <c r="BM414" i="2"/>
  <c r="Y414" i="2"/>
  <c r="BP414" i="2" s="1"/>
  <c r="P414" i="2"/>
  <c r="BO413" i="2"/>
  <c r="BN413" i="2"/>
  <c r="BM413" i="2"/>
  <c r="Y413" i="2"/>
  <c r="Z413" i="2" s="1"/>
  <c r="P413" i="2"/>
  <c r="BO412" i="2"/>
  <c r="BM412" i="2"/>
  <c r="Y412" i="2"/>
  <c r="P412" i="2"/>
  <c r="X409" i="2"/>
  <c r="X408" i="2"/>
  <c r="BP407" i="2"/>
  <c r="BO407" i="2"/>
  <c r="BM407" i="2"/>
  <c r="Y407" i="2"/>
  <c r="BN407" i="2" s="1"/>
  <c r="P407" i="2"/>
  <c r="BO406" i="2"/>
  <c r="BM406" i="2"/>
  <c r="Y406" i="2"/>
  <c r="P406" i="2"/>
  <c r="X403" i="2"/>
  <c r="X402" i="2"/>
  <c r="BO401" i="2"/>
  <c r="BM401" i="2"/>
  <c r="Z401" i="2"/>
  <c r="Y401" i="2"/>
  <c r="BN401" i="2" s="1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N394" i="2"/>
  <c r="BM394" i="2"/>
  <c r="Y394" i="2"/>
  <c r="BP394" i="2" s="1"/>
  <c r="P394" i="2"/>
  <c r="BO393" i="2"/>
  <c r="BM393" i="2"/>
  <c r="Y393" i="2"/>
  <c r="Y396" i="2" s="1"/>
  <c r="P393" i="2"/>
  <c r="X391" i="2"/>
  <c r="X390" i="2"/>
  <c r="BP389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BO386" i="2"/>
  <c r="BN386" i="2"/>
  <c r="BM386" i="2"/>
  <c r="Y386" i="2"/>
  <c r="BP386" i="2" s="1"/>
  <c r="P386" i="2"/>
  <c r="X384" i="2"/>
  <c r="X383" i="2"/>
  <c r="BO382" i="2"/>
  <c r="BM382" i="2"/>
  <c r="Z382" i="2"/>
  <c r="Y382" i="2"/>
  <c r="P382" i="2"/>
  <c r="BO381" i="2"/>
  <c r="BN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X371" i="2"/>
  <c r="X370" i="2"/>
  <c r="BO369" i="2"/>
  <c r="BM369" i="2"/>
  <c r="Z369" i="2"/>
  <c r="Y369" i="2"/>
  <c r="BN369" i="2" s="1"/>
  <c r="P369" i="2"/>
  <c r="BO368" i="2"/>
  <c r="BM368" i="2"/>
  <c r="Y368" i="2"/>
  <c r="BP368" i="2" s="1"/>
  <c r="P368" i="2"/>
  <c r="BP367" i="2"/>
  <c r="BO367" i="2"/>
  <c r="BM367" i="2"/>
  <c r="Z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Y370" i="2" s="1"/>
  <c r="P365" i="2"/>
  <c r="BO364" i="2"/>
  <c r="BM364" i="2"/>
  <c r="Y364" i="2"/>
  <c r="BN364" i="2" s="1"/>
  <c r="P364" i="2"/>
  <c r="BO363" i="2"/>
  <c r="BM363" i="2"/>
  <c r="Z363" i="2"/>
  <c r="Y363" i="2"/>
  <c r="BP363" i="2" s="1"/>
  <c r="P363" i="2"/>
  <c r="X361" i="2"/>
  <c r="X360" i="2"/>
  <c r="BO359" i="2"/>
  <c r="BM359" i="2"/>
  <c r="Z359" i="2"/>
  <c r="Y359" i="2"/>
  <c r="BN359" i="2" s="1"/>
  <c r="P359" i="2"/>
  <c r="BO358" i="2"/>
  <c r="BM358" i="2"/>
  <c r="Y358" i="2"/>
  <c r="BP358" i="2" s="1"/>
  <c r="P358" i="2"/>
  <c r="BP357" i="2"/>
  <c r="BO357" i="2"/>
  <c r="BM357" i="2"/>
  <c r="Z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BO353" i="2"/>
  <c r="BM353" i="2"/>
  <c r="Z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P346" i="2"/>
  <c r="BO346" i="2"/>
  <c r="BN346" i="2"/>
  <c r="BM346" i="2"/>
  <c r="Z346" i="2"/>
  <c r="Y346" i="2"/>
  <c r="P346" i="2"/>
  <c r="X343" i="2"/>
  <c r="X342" i="2"/>
  <c r="BO341" i="2"/>
  <c r="BN341" i="2"/>
  <c r="BM341" i="2"/>
  <c r="Y341" i="2"/>
  <c r="P341" i="2"/>
  <c r="BO340" i="2"/>
  <c r="BM340" i="2"/>
  <c r="Y340" i="2"/>
  <c r="BN340" i="2" s="1"/>
  <c r="P340" i="2"/>
  <c r="BO339" i="2"/>
  <c r="BM339" i="2"/>
  <c r="Y339" i="2"/>
  <c r="BP339" i="2" s="1"/>
  <c r="P339" i="2"/>
  <c r="X337" i="2"/>
  <c r="X336" i="2"/>
  <c r="BO335" i="2"/>
  <c r="BN335" i="2"/>
  <c r="BM335" i="2"/>
  <c r="Y335" i="2"/>
  <c r="Z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Z332" i="2"/>
  <c r="Y332" i="2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Y329" i="2" s="1"/>
  <c r="P325" i="2"/>
  <c r="X322" i="2"/>
  <c r="X321" i="2"/>
  <c r="BP320" i="2"/>
  <c r="BO320" i="2"/>
  <c r="BN320" i="2"/>
  <c r="BM320" i="2"/>
  <c r="Z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Z317" i="2"/>
  <c r="Y317" i="2"/>
  <c r="BP317" i="2" s="1"/>
  <c r="P317" i="2"/>
  <c r="BO316" i="2"/>
  <c r="BM316" i="2"/>
  <c r="Y316" i="2"/>
  <c r="P316" i="2"/>
  <c r="BO315" i="2"/>
  <c r="BN315" i="2"/>
  <c r="BM315" i="2"/>
  <c r="Y315" i="2"/>
  <c r="BP315" i="2" s="1"/>
  <c r="P315" i="2"/>
  <c r="X312" i="2"/>
  <c r="X311" i="2"/>
  <c r="BO310" i="2"/>
  <c r="BN310" i="2"/>
  <c r="BM310" i="2"/>
  <c r="Y310" i="2"/>
  <c r="P310" i="2"/>
  <c r="BO309" i="2"/>
  <c r="BM309" i="2"/>
  <c r="Y309" i="2"/>
  <c r="BN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N295" i="2"/>
  <c r="BM295" i="2"/>
  <c r="Y295" i="2"/>
  <c r="Z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P291" i="2"/>
  <c r="X288" i="2"/>
  <c r="X287" i="2"/>
  <c r="BP286" i="2"/>
  <c r="BO286" i="2"/>
  <c r="BN286" i="2"/>
  <c r="BM286" i="2"/>
  <c r="Z286" i="2"/>
  <c r="Y286" i="2"/>
  <c r="P286" i="2"/>
  <c r="BO285" i="2"/>
  <c r="BM285" i="2"/>
  <c r="Y285" i="2"/>
  <c r="Y288" i="2" s="1"/>
  <c r="P285" i="2"/>
  <c r="X283" i="2"/>
  <c r="X282" i="2"/>
  <c r="BO281" i="2"/>
  <c r="BM281" i="2"/>
  <c r="Y281" i="2"/>
  <c r="BN281" i="2" s="1"/>
  <c r="P281" i="2"/>
  <c r="BO280" i="2"/>
  <c r="BM280" i="2"/>
  <c r="Z280" i="2"/>
  <c r="Y280" i="2"/>
  <c r="P280" i="2"/>
  <c r="BO279" i="2"/>
  <c r="BM279" i="2"/>
  <c r="Z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X268" i="2"/>
  <c r="Y267" i="2"/>
  <c r="X267" i="2"/>
  <c r="BO266" i="2"/>
  <c r="BN266" i="2"/>
  <c r="BM266" i="2"/>
  <c r="Y266" i="2"/>
  <c r="P266" i="2"/>
  <c r="BO265" i="2"/>
  <c r="BM265" i="2"/>
  <c r="Y265" i="2"/>
  <c r="P265" i="2"/>
  <c r="BO264" i="2"/>
  <c r="BN264" i="2"/>
  <c r="BM264" i="2"/>
  <c r="Y264" i="2"/>
  <c r="Z264" i="2" s="1"/>
  <c r="P264" i="2"/>
  <c r="BO263" i="2"/>
  <c r="BM263" i="2"/>
  <c r="Z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P261" i="2"/>
  <c r="BO260" i="2"/>
  <c r="BM260" i="2"/>
  <c r="Y260" i="2"/>
  <c r="BP260" i="2" s="1"/>
  <c r="P260" i="2"/>
  <c r="BO259" i="2"/>
  <c r="BN259" i="2"/>
  <c r="BM259" i="2"/>
  <c r="Y259" i="2"/>
  <c r="Z259" i="2" s="1"/>
  <c r="P259" i="2"/>
  <c r="X257" i="2"/>
  <c r="X256" i="2"/>
  <c r="BO255" i="2"/>
  <c r="BM255" i="2"/>
  <c r="Y255" i="2"/>
  <c r="P255" i="2"/>
  <c r="BO254" i="2"/>
  <c r="BN254" i="2"/>
  <c r="BM254" i="2"/>
  <c r="Y254" i="2"/>
  <c r="Z254" i="2" s="1"/>
  <c r="P254" i="2"/>
  <c r="X252" i="2"/>
  <c r="X251" i="2"/>
  <c r="BO250" i="2"/>
  <c r="BM250" i="2"/>
  <c r="Z250" i="2"/>
  <c r="Y250" i="2"/>
  <c r="P250" i="2"/>
  <c r="BO249" i="2"/>
  <c r="BM249" i="2"/>
  <c r="Y249" i="2"/>
  <c r="BN249" i="2" s="1"/>
  <c r="P249" i="2"/>
  <c r="X246" i="2"/>
  <c r="X245" i="2"/>
  <c r="BO244" i="2"/>
  <c r="BM244" i="2"/>
  <c r="Z244" i="2"/>
  <c r="Z245" i="2" s="1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N238" i="2"/>
  <c r="BM238" i="2"/>
  <c r="Y238" i="2"/>
  <c r="BP238" i="2" s="1"/>
  <c r="P238" i="2"/>
  <c r="X236" i="2"/>
  <c r="X235" i="2"/>
  <c r="BO234" i="2"/>
  <c r="BM234" i="2"/>
  <c r="Y234" i="2"/>
  <c r="BP234" i="2" s="1"/>
  <c r="P234" i="2"/>
  <c r="BO233" i="2"/>
  <c r="BN233" i="2"/>
  <c r="BM233" i="2"/>
  <c r="Y233" i="2"/>
  <c r="P233" i="2"/>
  <c r="BO232" i="2"/>
  <c r="BM232" i="2"/>
  <c r="Y232" i="2"/>
  <c r="P232" i="2"/>
  <c r="BO231" i="2"/>
  <c r="BN231" i="2"/>
  <c r="BM231" i="2"/>
  <c r="Y231" i="2"/>
  <c r="Z231" i="2" s="1"/>
  <c r="P231" i="2"/>
  <c r="BO230" i="2"/>
  <c r="BM230" i="2"/>
  <c r="Z230" i="2"/>
  <c r="Y230" i="2"/>
  <c r="BP230" i="2" s="1"/>
  <c r="P230" i="2"/>
  <c r="X228" i="2"/>
  <c r="X227" i="2"/>
  <c r="BP226" i="2"/>
  <c r="BO226" i="2"/>
  <c r="BM226" i="2"/>
  <c r="Y226" i="2"/>
  <c r="BN226" i="2" s="1"/>
  <c r="P226" i="2"/>
  <c r="BP225" i="2"/>
  <c r="BO225" i="2"/>
  <c r="BM225" i="2"/>
  <c r="Y225" i="2"/>
  <c r="BN225" i="2" s="1"/>
  <c r="P225" i="2"/>
  <c r="BO224" i="2"/>
  <c r="BM224" i="2"/>
  <c r="Z224" i="2"/>
  <c r="Y224" i="2"/>
  <c r="BP224" i="2" s="1"/>
  <c r="P224" i="2"/>
  <c r="BO223" i="2"/>
  <c r="BM223" i="2"/>
  <c r="Z223" i="2"/>
  <c r="Y223" i="2"/>
  <c r="BN223" i="2" s="1"/>
  <c r="P223" i="2"/>
  <c r="BO222" i="2"/>
  <c r="BM222" i="2"/>
  <c r="Y222" i="2"/>
  <c r="P222" i="2"/>
  <c r="BO221" i="2"/>
  <c r="BN221" i="2"/>
  <c r="BM221" i="2"/>
  <c r="Y221" i="2"/>
  <c r="Z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N216" i="2"/>
  <c r="BM216" i="2"/>
  <c r="Y216" i="2"/>
  <c r="Z216" i="2" s="1"/>
  <c r="P216" i="2"/>
  <c r="BO215" i="2"/>
  <c r="BM215" i="2"/>
  <c r="Y215" i="2"/>
  <c r="BN215" i="2" s="1"/>
  <c r="P215" i="2"/>
  <c r="BO214" i="2"/>
  <c r="BM214" i="2"/>
  <c r="Z214" i="2"/>
  <c r="Y214" i="2"/>
  <c r="P214" i="2"/>
  <c r="Y212" i="2"/>
  <c r="X212" i="2"/>
  <c r="Y211" i="2"/>
  <c r="X211" i="2"/>
  <c r="BO210" i="2"/>
  <c r="BM210" i="2"/>
  <c r="Z210" i="2"/>
  <c r="Z211" i="2" s="1"/>
  <c r="Y210" i="2"/>
  <c r="BP210" i="2" s="1"/>
  <c r="P210" i="2"/>
  <c r="X207" i="2"/>
  <c r="X206" i="2"/>
  <c r="BP205" i="2"/>
  <c r="BO205" i="2"/>
  <c r="BM205" i="2"/>
  <c r="Y205" i="2"/>
  <c r="BN205" i="2" s="1"/>
  <c r="P205" i="2"/>
  <c r="BP204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N202" i="2"/>
  <c r="BM202" i="2"/>
  <c r="Y202" i="2"/>
  <c r="P202" i="2"/>
  <c r="BO201" i="2"/>
  <c r="BM201" i="2"/>
  <c r="Z201" i="2"/>
  <c r="Y201" i="2"/>
  <c r="P201" i="2"/>
  <c r="BO200" i="2"/>
  <c r="BN200" i="2"/>
  <c r="BM200" i="2"/>
  <c r="Y200" i="2"/>
  <c r="Z200" i="2" s="1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Z189" i="2" s="1"/>
  <c r="Z190" i="2" s="1"/>
  <c r="P189" i="2"/>
  <c r="X187" i="2"/>
  <c r="X186" i="2"/>
  <c r="BO185" i="2"/>
  <c r="BM185" i="2"/>
  <c r="Y185" i="2"/>
  <c r="P185" i="2"/>
  <c r="BO184" i="2"/>
  <c r="BM184" i="2"/>
  <c r="Y184" i="2"/>
  <c r="Y187" i="2" s="1"/>
  <c r="P184" i="2"/>
  <c r="X182" i="2"/>
  <c r="X181" i="2"/>
  <c r="BP180" i="2"/>
  <c r="BO180" i="2"/>
  <c r="BM180" i="2"/>
  <c r="Y180" i="2"/>
  <c r="BN180" i="2" s="1"/>
  <c r="P180" i="2"/>
  <c r="BO179" i="2"/>
  <c r="BM179" i="2"/>
  <c r="Z179" i="2"/>
  <c r="Y179" i="2"/>
  <c r="BP179" i="2" s="1"/>
  <c r="P179" i="2"/>
  <c r="BO178" i="2"/>
  <c r="BM178" i="2"/>
  <c r="Z178" i="2"/>
  <c r="Y178" i="2"/>
  <c r="BN178" i="2" s="1"/>
  <c r="P178" i="2"/>
  <c r="BO177" i="2"/>
  <c r="BM177" i="2"/>
  <c r="Y177" i="2"/>
  <c r="P177" i="2"/>
  <c r="BO176" i="2"/>
  <c r="BN176" i="2"/>
  <c r="BM176" i="2"/>
  <c r="Y176" i="2"/>
  <c r="Z176" i="2" s="1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P172" i="2"/>
  <c r="BO171" i="2"/>
  <c r="BN171" i="2"/>
  <c r="BM171" i="2"/>
  <c r="Y171" i="2"/>
  <c r="BP171" i="2" s="1"/>
  <c r="P171" i="2"/>
  <c r="X169" i="2"/>
  <c r="X168" i="2"/>
  <c r="BO167" i="2"/>
  <c r="BM167" i="2"/>
  <c r="Y167" i="2"/>
  <c r="P167" i="2"/>
  <c r="BO166" i="2"/>
  <c r="BN166" i="2"/>
  <c r="BM166" i="2"/>
  <c r="Y166" i="2"/>
  <c r="Z166" i="2" s="1"/>
  <c r="P166" i="2"/>
  <c r="X164" i="2"/>
  <c r="X163" i="2"/>
  <c r="BO162" i="2"/>
  <c r="BM162" i="2"/>
  <c r="Y162" i="2"/>
  <c r="Z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Z159" i="2"/>
  <c r="Y159" i="2"/>
  <c r="P159" i="2"/>
  <c r="X156" i="2"/>
  <c r="X155" i="2"/>
  <c r="BO154" i="2"/>
  <c r="BM154" i="2"/>
  <c r="Y154" i="2"/>
  <c r="Y156" i="2" s="1"/>
  <c r="P154" i="2"/>
  <c r="X152" i="2"/>
  <c r="X151" i="2"/>
  <c r="BO150" i="2"/>
  <c r="BN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P147" i="2"/>
  <c r="X144" i="2"/>
  <c r="Y143" i="2"/>
  <c r="X143" i="2"/>
  <c r="BO142" i="2"/>
  <c r="BN142" i="2"/>
  <c r="BM142" i="2"/>
  <c r="Y142" i="2"/>
  <c r="Z142" i="2" s="1"/>
  <c r="P142" i="2"/>
  <c r="BO141" i="2"/>
  <c r="BM141" i="2"/>
  <c r="Z141" i="2"/>
  <c r="Y141" i="2"/>
  <c r="P141" i="2"/>
  <c r="X139" i="2"/>
  <c r="Y138" i="2"/>
  <c r="X138" i="2"/>
  <c r="BO137" i="2"/>
  <c r="BM137" i="2"/>
  <c r="Y137" i="2"/>
  <c r="BN137" i="2" s="1"/>
  <c r="P137" i="2"/>
  <c r="BO136" i="2"/>
  <c r="BM136" i="2"/>
  <c r="Y136" i="2"/>
  <c r="BP136" i="2" s="1"/>
  <c r="P136" i="2"/>
  <c r="Y134" i="2"/>
  <c r="X134" i="2"/>
  <c r="X133" i="2"/>
  <c r="BO132" i="2"/>
  <c r="BM132" i="2"/>
  <c r="Y132" i="2"/>
  <c r="BP132" i="2" s="1"/>
  <c r="P132" i="2"/>
  <c r="BO131" i="2"/>
  <c r="BM131" i="2"/>
  <c r="Y131" i="2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N121" i="2"/>
  <c r="BM121" i="2"/>
  <c r="Y121" i="2"/>
  <c r="BP121" i="2" s="1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Z115" i="2" s="1"/>
  <c r="P115" i="2"/>
  <c r="BP114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X109" i="2"/>
  <c r="X108" i="2"/>
  <c r="BP107" i="2"/>
  <c r="BO107" i="2"/>
  <c r="BN107" i="2"/>
  <c r="BM107" i="2"/>
  <c r="Z107" i="2"/>
  <c r="Y107" i="2"/>
  <c r="P107" i="2"/>
  <c r="BO106" i="2"/>
  <c r="BM106" i="2"/>
  <c r="Y106" i="2"/>
  <c r="P106" i="2"/>
  <c r="BO105" i="2"/>
  <c r="BM105" i="2"/>
  <c r="Z105" i="2"/>
  <c r="Y105" i="2"/>
  <c r="P105" i="2"/>
  <c r="BP104" i="2"/>
  <c r="BO104" i="2"/>
  <c r="BM104" i="2"/>
  <c r="Y104" i="2"/>
  <c r="BN104" i="2" s="1"/>
  <c r="P104" i="2"/>
  <c r="BO103" i="2"/>
  <c r="BM103" i="2"/>
  <c r="Y103" i="2"/>
  <c r="BP103" i="2" s="1"/>
  <c r="P103" i="2"/>
  <c r="BP102" i="2"/>
  <c r="BO102" i="2"/>
  <c r="BM102" i="2"/>
  <c r="Y102" i="2"/>
  <c r="P102" i="2"/>
  <c r="BP101" i="2"/>
  <c r="BO101" i="2"/>
  <c r="BN101" i="2"/>
  <c r="BM101" i="2"/>
  <c r="Z101" i="2"/>
  <c r="Y101" i="2"/>
  <c r="P101" i="2"/>
  <c r="X98" i="2"/>
  <c r="X97" i="2"/>
  <c r="BO96" i="2"/>
  <c r="BN96" i="2"/>
  <c r="BM96" i="2"/>
  <c r="Y96" i="2"/>
  <c r="BP96" i="2" s="1"/>
  <c r="P96" i="2"/>
  <c r="BP95" i="2"/>
  <c r="BO95" i="2"/>
  <c r="BM95" i="2"/>
  <c r="Y95" i="2"/>
  <c r="P95" i="2"/>
  <c r="BO94" i="2"/>
  <c r="BM94" i="2"/>
  <c r="Y94" i="2"/>
  <c r="P94" i="2"/>
  <c r="BP93" i="2"/>
  <c r="BO93" i="2"/>
  <c r="BM93" i="2"/>
  <c r="Y93" i="2"/>
  <c r="BN93" i="2" s="1"/>
  <c r="P93" i="2"/>
  <c r="X91" i="2"/>
  <c r="X90" i="2"/>
  <c r="BO89" i="2"/>
  <c r="BN89" i="2"/>
  <c r="BM89" i="2"/>
  <c r="Z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N86" i="2"/>
  <c r="BM86" i="2"/>
  <c r="Y86" i="2"/>
  <c r="P86" i="2"/>
  <c r="BO85" i="2"/>
  <c r="BM85" i="2"/>
  <c r="Y85" i="2"/>
  <c r="Z85" i="2" s="1"/>
  <c r="P85" i="2"/>
  <c r="BO84" i="2"/>
  <c r="BM84" i="2"/>
  <c r="Z84" i="2"/>
  <c r="Y84" i="2"/>
  <c r="P84" i="2"/>
  <c r="X81" i="2"/>
  <c r="X80" i="2"/>
  <c r="BO79" i="2"/>
  <c r="BM79" i="2"/>
  <c r="Y79" i="2"/>
  <c r="P79" i="2"/>
  <c r="BO78" i="2"/>
  <c r="BM78" i="2"/>
  <c r="Y78" i="2"/>
  <c r="P78" i="2"/>
  <c r="BO77" i="2"/>
  <c r="BM77" i="2"/>
  <c r="Z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P68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BO66" i="2"/>
  <c r="BM66" i="2"/>
  <c r="Y66" i="2"/>
  <c r="Z66" i="2" s="1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N55" i="2"/>
  <c r="BM55" i="2"/>
  <c r="Y55" i="2"/>
  <c r="Z55" i="2" s="1"/>
  <c r="P55" i="2"/>
  <c r="BO54" i="2"/>
  <c r="BM54" i="2"/>
  <c r="Y54" i="2"/>
  <c r="BP54" i="2" s="1"/>
  <c r="P54" i="2"/>
  <c r="X51" i="2"/>
  <c r="X50" i="2"/>
  <c r="BP49" i="2"/>
  <c r="BO49" i="2"/>
  <c r="BM49" i="2"/>
  <c r="Y49" i="2"/>
  <c r="BN49" i="2" s="1"/>
  <c r="P49" i="2"/>
  <c r="BO48" i="2"/>
  <c r="BM48" i="2"/>
  <c r="Y48" i="2"/>
  <c r="BN48" i="2" s="1"/>
  <c r="P48" i="2"/>
  <c r="BO47" i="2"/>
  <c r="BN47" i="2"/>
  <c r="BM47" i="2"/>
  <c r="Y47" i="2"/>
  <c r="P47" i="2"/>
  <c r="BP46" i="2"/>
  <c r="BO46" i="2"/>
  <c r="BN46" i="2"/>
  <c r="BM46" i="2"/>
  <c r="Z46" i="2"/>
  <c r="Y46" i="2"/>
  <c r="P46" i="2"/>
  <c r="X42" i="2"/>
  <c r="X41" i="2"/>
  <c r="BO40" i="2"/>
  <c r="BN40" i="2"/>
  <c r="BM40" i="2"/>
  <c r="Y40" i="2"/>
  <c r="BP40" i="2" s="1"/>
  <c r="P40" i="2"/>
  <c r="BO39" i="2"/>
  <c r="BN39" i="2"/>
  <c r="BM39" i="2"/>
  <c r="Y39" i="2"/>
  <c r="Z39" i="2" s="1"/>
  <c r="P39" i="2"/>
  <c r="BO38" i="2"/>
  <c r="BM38" i="2"/>
  <c r="Y38" i="2"/>
  <c r="P38" i="2"/>
  <c r="BP37" i="2"/>
  <c r="BO37" i="2"/>
  <c r="BM37" i="2"/>
  <c r="Y37" i="2"/>
  <c r="BN37" i="2" s="1"/>
  <c r="P37" i="2"/>
  <c r="BP36" i="2"/>
  <c r="BO36" i="2"/>
  <c r="BM36" i="2"/>
  <c r="Y36" i="2"/>
  <c r="P36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Z27" i="2" s="1"/>
  <c r="P27" i="2"/>
  <c r="BO26" i="2"/>
  <c r="BM26" i="2"/>
  <c r="Z26" i="2"/>
  <c r="Y26" i="2"/>
  <c r="P26" i="2"/>
  <c r="Y24" i="2"/>
  <c r="X24" i="2"/>
  <c r="X23" i="2"/>
  <c r="BO22" i="2"/>
  <c r="BN22" i="2"/>
  <c r="BM22" i="2"/>
  <c r="Y22" i="2"/>
  <c r="Y23" i="2" s="1"/>
  <c r="P22" i="2"/>
  <c r="H10" i="2"/>
  <c r="A9" i="2"/>
  <c r="F10" i="2" s="1"/>
  <c r="D7" i="2"/>
  <c r="Q6" i="2"/>
  <c r="P2" i="2"/>
  <c r="Z106" i="2" l="1"/>
  <c r="BN106" i="2"/>
  <c r="Z119" i="2"/>
  <c r="BN119" i="2"/>
  <c r="BP126" i="2"/>
  <c r="Y128" i="2"/>
  <c r="BN126" i="2"/>
  <c r="Y127" i="2"/>
  <c r="I556" i="2"/>
  <c r="BP147" i="2"/>
  <c r="Y152" i="2"/>
  <c r="Z148" i="2"/>
  <c r="BN148" i="2"/>
  <c r="BP276" i="2"/>
  <c r="BP291" i="2"/>
  <c r="Y298" i="2"/>
  <c r="BP292" i="2"/>
  <c r="BN292" i="2"/>
  <c r="BP294" i="2"/>
  <c r="Z294" i="2"/>
  <c r="Y299" i="2"/>
  <c r="Y307" i="2"/>
  <c r="BP305" i="2"/>
  <c r="Z305" i="2"/>
  <c r="Z306" i="2" s="1"/>
  <c r="BP309" i="2"/>
  <c r="BP340" i="2"/>
  <c r="BP347" i="2"/>
  <c r="Y349" i="2"/>
  <c r="BN348" i="2"/>
  <c r="Z348" i="2"/>
  <c r="BP356" i="2"/>
  <c r="BP366" i="2"/>
  <c r="Y403" i="2"/>
  <c r="BN399" i="2"/>
  <c r="BP399" i="2"/>
  <c r="Y461" i="2"/>
  <c r="BP458" i="2"/>
  <c r="Z458" i="2"/>
  <c r="Y462" i="2"/>
  <c r="Y477" i="2"/>
  <c r="BN475" i="2"/>
  <c r="Z515" i="2"/>
  <c r="BN515" i="2"/>
  <c r="X547" i="2"/>
  <c r="BP30" i="2"/>
  <c r="Y51" i="2"/>
  <c r="Z54" i="2"/>
  <c r="Z57" i="2"/>
  <c r="BP57" i="2"/>
  <c r="Z73" i="2"/>
  <c r="BP78" i="2"/>
  <c r="Z78" i="2"/>
  <c r="BP85" i="2"/>
  <c r="BP199" i="2"/>
  <c r="Y206" i="2"/>
  <c r="Z199" i="2"/>
  <c r="Z203" i="2"/>
  <c r="BP218" i="2"/>
  <c r="BN218" i="2"/>
  <c r="BP220" i="2"/>
  <c r="Z220" i="2"/>
  <c r="Z234" i="2"/>
  <c r="Z240" i="2"/>
  <c r="BP261" i="2"/>
  <c r="BN261" i="2"/>
  <c r="Z276" i="2"/>
  <c r="BP297" i="2"/>
  <c r="Y306" i="2"/>
  <c r="Z309" i="2"/>
  <c r="BP326" i="2"/>
  <c r="BN326" i="2"/>
  <c r="BP327" i="2"/>
  <c r="BN327" i="2"/>
  <c r="Z340" i="2"/>
  <c r="S556" i="2"/>
  <c r="Z356" i="2"/>
  <c r="Z366" i="2"/>
  <c r="BP376" i="2"/>
  <c r="Z376" i="2"/>
  <c r="Z389" i="2"/>
  <c r="BN389" i="2"/>
  <c r="Z399" i="2"/>
  <c r="BP421" i="2"/>
  <c r="BN421" i="2"/>
  <c r="BP460" i="2"/>
  <c r="Z475" i="2"/>
  <c r="Z476" i="2" s="1"/>
  <c r="BP486" i="2"/>
  <c r="Z486" i="2"/>
  <c r="BP495" i="2"/>
  <c r="Z495" i="2"/>
  <c r="Z506" i="2"/>
  <c r="BP504" i="2"/>
  <c r="Z504" i="2"/>
  <c r="BP513" i="2"/>
  <c r="BP27" i="2"/>
  <c r="BP65" i="2"/>
  <c r="BN88" i="2"/>
  <c r="Z88" i="2"/>
  <c r="BP22" i="2"/>
  <c r="BN27" i="2"/>
  <c r="Z30" i="2"/>
  <c r="Z40" i="2"/>
  <c r="D556" i="2"/>
  <c r="Z47" i="2"/>
  <c r="BP47" i="2"/>
  <c r="BP55" i="2"/>
  <c r="BP59" i="2"/>
  <c r="BN65" i="2"/>
  <c r="BN79" i="2"/>
  <c r="BP79" i="2"/>
  <c r="Z95" i="2"/>
  <c r="BN95" i="2"/>
  <c r="BP111" i="2"/>
  <c r="BP122" i="2"/>
  <c r="Z122" i="2"/>
  <c r="BN141" i="2"/>
  <c r="Y144" i="2"/>
  <c r="BP141" i="2"/>
  <c r="Y151" i="2"/>
  <c r="BP173" i="2"/>
  <c r="BN173" i="2"/>
  <c r="BP175" i="2"/>
  <c r="Z175" i="2"/>
  <c r="Z184" i="2"/>
  <c r="Z186" i="2" s="1"/>
  <c r="BP185" i="2"/>
  <c r="Z185" i="2"/>
  <c r="BN193" i="2"/>
  <c r="Y195" i="2"/>
  <c r="BP193" i="2"/>
  <c r="Y194" i="2"/>
  <c r="Y227" i="2"/>
  <c r="BP215" i="2"/>
  <c r="BP223" i="2"/>
  <c r="BP279" i="2"/>
  <c r="Z297" i="2"/>
  <c r="BN305" i="2"/>
  <c r="Y397" i="2"/>
  <c r="BN395" i="2"/>
  <c r="BP406" i="2"/>
  <c r="Y408" i="2"/>
  <c r="Z406" i="2"/>
  <c r="Z425" i="2"/>
  <c r="BN425" i="2"/>
  <c r="BN458" i="2"/>
  <c r="Z460" i="2"/>
  <c r="BP497" i="2"/>
  <c r="Z513" i="2"/>
  <c r="Y32" i="2"/>
  <c r="BP39" i="2"/>
  <c r="BP48" i="2"/>
  <c r="BP60" i="2"/>
  <c r="BN78" i="2"/>
  <c r="BN85" i="2"/>
  <c r="BP86" i="2"/>
  <c r="Z86" i="2"/>
  <c r="BP88" i="2"/>
  <c r="BP106" i="2"/>
  <c r="BP119" i="2"/>
  <c r="H556" i="2"/>
  <c r="Y133" i="2"/>
  <c r="BN132" i="2"/>
  <c r="Z132" i="2"/>
  <c r="BP148" i="2"/>
  <c r="BP178" i="2"/>
  <c r="BP202" i="2"/>
  <c r="Z202" i="2"/>
  <c r="BP233" i="2"/>
  <c r="Z233" i="2"/>
  <c r="BP266" i="2"/>
  <c r="Z266" i="2"/>
  <c r="BP271" i="2"/>
  <c r="BN271" i="2"/>
  <c r="BP273" i="2"/>
  <c r="Z273" i="2"/>
  <c r="Z318" i="2"/>
  <c r="BN318" i="2"/>
  <c r="R556" i="2"/>
  <c r="BN332" i="2"/>
  <c r="BP332" i="2"/>
  <c r="BP348" i="2"/>
  <c r="BN376" i="2"/>
  <c r="BP393" i="2"/>
  <c r="Y402" i="2"/>
  <c r="BP438" i="2"/>
  <c r="Z438" i="2"/>
  <c r="BP469" i="2"/>
  <c r="Z469" i="2"/>
  <c r="Z556" i="2"/>
  <c r="Y481" i="2"/>
  <c r="BP480" i="2"/>
  <c r="BN492" i="2"/>
  <c r="BP492" i="2"/>
  <c r="BN493" i="2"/>
  <c r="Z493" i="2"/>
  <c r="BN495" i="2"/>
  <c r="BN504" i="2"/>
  <c r="BP510" i="2"/>
  <c r="BN510" i="2"/>
  <c r="BP515" i="2"/>
  <c r="BP137" i="2"/>
  <c r="Y139" i="2"/>
  <c r="Z143" i="2"/>
  <c r="BP142" i="2"/>
  <c r="BP161" i="2"/>
  <c r="BP166" i="2"/>
  <c r="BP176" i="2"/>
  <c r="BN179" i="2"/>
  <c r="BP200" i="2"/>
  <c r="BN214" i="2"/>
  <c r="BP216" i="2"/>
  <c r="BP221" i="2"/>
  <c r="BN224" i="2"/>
  <c r="Y242" i="2"/>
  <c r="BP249" i="2"/>
  <c r="Y268" i="2"/>
  <c r="BP274" i="2"/>
  <c r="BP278" i="2"/>
  <c r="BP281" i="2"/>
  <c r="BP295" i="2"/>
  <c r="Y322" i="2"/>
  <c r="BP354" i="2"/>
  <c r="BP359" i="2"/>
  <c r="BP364" i="2"/>
  <c r="BP369" i="2"/>
  <c r="Y416" i="2"/>
  <c r="BP413" i="2"/>
  <c r="Y435" i="2"/>
  <c r="BN444" i="2"/>
  <c r="Y473" i="2"/>
  <c r="BP467" i="2"/>
  <c r="BN494" i="2"/>
  <c r="BP529" i="2"/>
  <c r="Z96" i="2"/>
  <c r="Z121" i="2"/>
  <c r="BP231" i="2"/>
  <c r="BP254" i="2"/>
  <c r="BP259" i="2"/>
  <c r="BP264" i="2"/>
  <c r="BP335" i="2"/>
  <c r="Y342" i="2"/>
  <c r="Y343" i="2"/>
  <c r="Z386" i="2"/>
  <c r="Z394" i="2"/>
  <c r="BP401" i="2"/>
  <c r="Z420" i="2"/>
  <c r="Z422" i="2"/>
  <c r="BP432" i="2"/>
  <c r="Y440" i="2"/>
  <c r="BP437" i="2"/>
  <c r="Z443" i="2"/>
  <c r="Z445" i="2" s="1"/>
  <c r="Z466" i="2"/>
  <c r="Z472" i="2" s="1"/>
  <c r="Y488" i="2"/>
  <c r="BP485" i="2"/>
  <c r="Z498" i="2"/>
  <c r="Y507" i="2"/>
  <c r="BP503" i="2"/>
  <c r="Z511" i="2"/>
  <c r="Z514" i="2"/>
  <c r="Y539" i="2"/>
  <c r="Z272" i="2"/>
  <c r="BP375" i="2"/>
  <c r="BN375" i="2"/>
  <c r="Z375" i="2"/>
  <c r="F9" i="2"/>
  <c r="Y117" i="2"/>
  <c r="Y116" i="2"/>
  <c r="Y246" i="2"/>
  <c r="Y245" i="2"/>
  <c r="BN244" i="2"/>
  <c r="BP244" i="2"/>
  <c r="BN387" i="2"/>
  <c r="Y391" i="2"/>
  <c r="BP387" i="2"/>
  <c r="Y390" i="2"/>
  <c r="Z387" i="2"/>
  <c r="E556" i="2"/>
  <c r="H9" i="2"/>
  <c r="Y169" i="2"/>
  <c r="Z167" i="2"/>
  <c r="BP167" i="2"/>
  <c r="BN167" i="2"/>
  <c r="BN272" i="2"/>
  <c r="Y283" i="2"/>
  <c r="BP94" i="2"/>
  <c r="BN94" i="2"/>
  <c r="A10" i="2"/>
  <c r="BP61" i="2"/>
  <c r="BN61" i="2"/>
  <c r="Z94" i="2"/>
  <c r="BN112" i="2"/>
  <c r="Z177" i="2"/>
  <c r="BP177" i="2"/>
  <c r="BN177" i="2"/>
  <c r="BP214" i="2"/>
  <c r="Y228" i="2"/>
  <c r="BP285" i="2"/>
  <c r="Z285" i="2"/>
  <c r="Z287" i="2" s="1"/>
  <c r="BN285" i="2"/>
  <c r="G556" i="2"/>
  <c r="Y241" i="2"/>
  <c r="BP239" i="2"/>
  <c r="BP382" i="2"/>
  <c r="BN382" i="2"/>
  <c r="Z58" i="2"/>
  <c r="Z174" i="2"/>
  <c r="BN189" i="2"/>
  <c r="Y191" i="2"/>
  <c r="Y190" i="2"/>
  <c r="BP189" i="2"/>
  <c r="Z239" i="2"/>
  <c r="BP355" i="2"/>
  <c r="Z355" i="2"/>
  <c r="BN355" i="2"/>
  <c r="J9" i="2"/>
  <c r="BP66" i="2"/>
  <c r="Y69" i="2"/>
  <c r="BN66" i="2"/>
  <c r="BP115" i="2"/>
  <c r="BN115" i="2"/>
  <c r="Z232" i="2"/>
  <c r="BP232" i="2"/>
  <c r="BN232" i="2"/>
  <c r="Y31" i="2"/>
  <c r="BN58" i="2"/>
  <c r="Y182" i="2"/>
  <c r="BN174" i="2"/>
  <c r="BN239" i="2"/>
  <c r="Z255" i="2"/>
  <c r="Z256" i="2" s="1"/>
  <c r="BP255" i="2"/>
  <c r="BN255" i="2"/>
  <c r="Y282" i="2"/>
  <c r="BP280" i="2"/>
  <c r="BN280" i="2"/>
  <c r="BP319" i="2"/>
  <c r="Z319" i="2"/>
  <c r="BN319" i="2"/>
  <c r="BN122" i="2"/>
  <c r="Y321" i="2"/>
  <c r="BP316" i="2"/>
  <c r="X548" i="2"/>
  <c r="X549" i="2" s="1"/>
  <c r="BP105" i="2"/>
  <c r="BN105" i="2"/>
  <c r="J556" i="2"/>
  <c r="BP159" i="2"/>
  <c r="Y164" i="2"/>
  <c r="Y163" i="2"/>
  <c r="Y186" i="2"/>
  <c r="BP184" i="2"/>
  <c r="Z265" i="2"/>
  <c r="BP265" i="2"/>
  <c r="BN265" i="2"/>
  <c r="Z277" i="2"/>
  <c r="BP296" i="2"/>
  <c r="BN296" i="2"/>
  <c r="Z296" i="2"/>
  <c r="Z316" i="2"/>
  <c r="BN73" i="2"/>
  <c r="Y63" i="2"/>
  <c r="BP56" i="2"/>
  <c r="BN56" i="2"/>
  <c r="Z222" i="2"/>
  <c r="BP222" i="2"/>
  <c r="BN222" i="2"/>
  <c r="Y336" i="2"/>
  <c r="Y337" i="2"/>
  <c r="BN333" i="2"/>
  <c r="BP333" i="2"/>
  <c r="Z56" i="2"/>
  <c r="Y108" i="2"/>
  <c r="Y109" i="2"/>
  <c r="BP120" i="2"/>
  <c r="Y123" i="2"/>
  <c r="BN120" i="2"/>
  <c r="Z262" i="2"/>
  <c r="BN277" i="2"/>
  <c r="Z293" i="2"/>
  <c r="BN316" i="2"/>
  <c r="Z333" i="2"/>
  <c r="BP365" i="2"/>
  <c r="Z365" i="2"/>
  <c r="BN365" i="2"/>
  <c r="BN38" i="2"/>
  <c r="BP38" i="2"/>
  <c r="BP162" i="2"/>
  <c r="BN162" i="2"/>
  <c r="X550" i="2"/>
  <c r="Z68" i="2"/>
  <c r="Z69" i="2" s="1"/>
  <c r="X546" i="2"/>
  <c r="C556" i="2"/>
  <c r="Y50" i="2"/>
  <c r="Z102" i="2"/>
  <c r="Z120" i="2"/>
  <c r="Z123" i="2" s="1"/>
  <c r="BN159" i="2"/>
  <c r="BN184" i="2"/>
  <c r="BN203" i="2"/>
  <c r="Z219" i="2"/>
  <c r="BN234" i="2"/>
  <c r="BP250" i="2"/>
  <c r="BN250" i="2"/>
  <c r="Y377" i="2"/>
  <c r="Z38" i="2"/>
  <c r="Y80" i="2"/>
  <c r="Y81" i="2"/>
  <c r="Z168" i="2"/>
  <c r="Y181" i="2"/>
  <c r="BN262" i="2"/>
  <c r="BN293" i="2"/>
  <c r="Y312" i="2"/>
  <c r="Y311" i="2"/>
  <c r="BP310" i="2"/>
  <c r="Y384" i="2"/>
  <c r="W556" i="2"/>
  <c r="BN102" i="2"/>
  <c r="BN219" i="2"/>
  <c r="Y287" i="2"/>
  <c r="Z310" i="2"/>
  <c r="Z311" i="2" s="1"/>
  <c r="Z327" i="2"/>
  <c r="Y428" i="2"/>
  <c r="BN423" i="2"/>
  <c r="BP423" i="2"/>
  <c r="Y429" i="2"/>
  <c r="Z423" i="2"/>
  <c r="BP26" i="2"/>
  <c r="BN26" i="2"/>
  <c r="F556" i="2"/>
  <c r="Y91" i="2"/>
  <c r="Y90" i="2"/>
  <c r="BN84" i="2"/>
  <c r="BP84" i="2"/>
  <c r="BP201" i="2"/>
  <c r="BN201" i="2"/>
  <c r="K556" i="2"/>
  <c r="BP275" i="2"/>
  <c r="Z275" i="2"/>
  <c r="BN275" i="2"/>
  <c r="Y360" i="2"/>
  <c r="Y434" i="2"/>
  <c r="BN433" i="2"/>
  <c r="BP433" i="2"/>
  <c r="Z433" i="2"/>
  <c r="Y378" i="2"/>
  <c r="Y446" i="2"/>
  <c r="L556" i="2"/>
  <c r="Y452" i="2"/>
  <c r="M556" i="2"/>
  <c r="Y540" i="2"/>
  <c r="O556" i="2"/>
  <c r="Y207" i="2"/>
  <c r="Z217" i="2"/>
  <c r="Z260" i="2"/>
  <c r="Z270" i="2"/>
  <c r="Z291" i="2"/>
  <c r="Z298" i="2" s="1"/>
  <c r="Z301" i="2"/>
  <c r="Z302" i="2" s="1"/>
  <c r="Z325" i="2"/>
  <c r="Y350" i="2"/>
  <c r="Y361" i="2"/>
  <c r="Y371" i="2"/>
  <c r="Z380" i="2"/>
  <c r="Z414" i="2"/>
  <c r="Z426" i="2"/>
  <c r="BN438" i="2"/>
  <c r="Z449" i="2"/>
  <c r="BP475" i="2"/>
  <c r="BN486" i="2"/>
  <c r="BN498" i="2"/>
  <c r="P556" i="2"/>
  <c r="Z149" i="2"/>
  <c r="Z29" i="2"/>
  <c r="Z31" i="2" s="1"/>
  <c r="Z87" i="2"/>
  <c r="Z90" i="2" s="1"/>
  <c r="Z131" i="2"/>
  <c r="Z133" i="2" s="1"/>
  <c r="Z154" i="2"/>
  <c r="Z155" i="2" s="1"/>
  <c r="Y235" i="2"/>
  <c r="Z341" i="2"/>
  <c r="Z395" i="2"/>
  <c r="Y409" i="2"/>
  <c r="Z421" i="2"/>
  <c r="Z431" i="2"/>
  <c r="BN443" i="2"/>
  <c r="Z454" i="2"/>
  <c r="Z455" i="2" s="1"/>
  <c r="BN468" i="2"/>
  <c r="BN503" i="2"/>
  <c r="Y506" i="2"/>
  <c r="Y516" i="2"/>
  <c r="Z525" i="2"/>
  <c r="Z526" i="2" s="1"/>
  <c r="Z537" i="2"/>
  <c r="Q556" i="2"/>
  <c r="Y97" i="2"/>
  <c r="Z36" i="2"/>
  <c r="Z41" i="2" s="1"/>
  <c r="Z48" i="2"/>
  <c r="Z59" i="2"/>
  <c r="Y74" i="2"/>
  <c r="Z103" i="2"/>
  <c r="Z113" i="2"/>
  <c r="Z136" i="2"/>
  <c r="BN149" i="2"/>
  <c r="Z160" i="2"/>
  <c r="Z163" i="2" s="1"/>
  <c r="BN172" i="2"/>
  <c r="Z180" i="2"/>
  <c r="Z204" i="2"/>
  <c r="Z206" i="2" s="1"/>
  <c r="BN217" i="2"/>
  <c r="Z225" i="2"/>
  <c r="BN260" i="2"/>
  <c r="BN270" i="2"/>
  <c r="Z278" i="2"/>
  <c r="BN291" i="2"/>
  <c r="BN301" i="2"/>
  <c r="BN325" i="2"/>
  <c r="Y328" i="2"/>
  <c r="Z347" i="2"/>
  <c r="Z349" i="2" s="1"/>
  <c r="Z358" i="2"/>
  <c r="Z368" i="2"/>
  <c r="BN380" i="2"/>
  <c r="Y383" i="2"/>
  <c r="Z400" i="2"/>
  <c r="Z402" i="2" s="1"/>
  <c r="BN414" i="2"/>
  <c r="BN426" i="2"/>
  <c r="BN449" i="2"/>
  <c r="Z459" i="2"/>
  <c r="Z461" i="2" s="1"/>
  <c r="Z471" i="2"/>
  <c r="Y476" i="2"/>
  <c r="Z484" i="2"/>
  <c r="Z496" i="2"/>
  <c r="Z543" i="2"/>
  <c r="Z544" i="2" s="1"/>
  <c r="Y41" i="2"/>
  <c r="Y550" i="2" s="1"/>
  <c r="Z172" i="2"/>
  <c r="BN29" i="2"/>
  <c r="Y42" i="2"/>
  <c r="BN87" i="2"/>
  <c r="Y98" i="2"/>
  <c r="BN131" i="2"/>
  <c r="Z22" i="2"/>
  <c r="Z23" i="2" s="1"/>
  <c r="Y70" i="2"/>
  <c r="Z79" i="2"/>
  <c r="BN103" i="2"/>
  <c r="BN113" i="2"/>
  <c r="Y124" i="2"/>
  <c r="BN136" i="2"/>
  <c r="Z147" i="2"/>
  <c r="BN160" i="2"/>
  <c r="BP172" i="2"/>
  <c r="Z215" i="2"/>
  <c r="Y236" i="2"/>
  <c r="Y251" i="2"/>
  <c r="BP270" i="2"/>
  <c r="BP301" i="2"/>
  <c r="BP325" i="2"/>
  <c r="Z334" i="2"/>
  <c r="BN347" i="2"/>
  <c r="BN358" i="2"/>
  <c r="BN368" i="2"/>
  <c r="BP380" i="2"/>
  <c r="Z388" i="2"/>
  <c r="BN400" i="2"/>
  <c r="Z412" i="2"/>
  <c r="Z424" i="2"/>
  <c r="BP449" i="2"/>
  <c r="BN459" i="2"/>
  <c r="BN471" i="2"/>
  <c r="BN484" i="2"/>
  <c r="Y487" i="2"/>
  <c r="BN496" i="2"/>
  <c r="Y517" i="2"/>
  <c r="Y531" i="2"/>
  <c r="BN543" i="2"/>
  <c r="T556" i="2"/>
  <c r="BN154" i="2"/>
  <c r="BP443" i="2"/>
  <c r="BN36" i="2"/>
  <c r="Y62" i="2"/>
  <c r="BN54" i="2"/>
  <c r="Y75" i="2"/>
  <c r="BP131" i="2"/>
  <c r="BP154" i="2"/>
  <c r="Y168" i="2"/>
  <c r="BN175" i="2"/>
  <c r="BN185" i="2"/>
  <c r="BN199" i="2"/>
  <c r="BN210" i="2"/>
  <c r="BN220" i="2"/>
  <c r="BN230" i="2"/>
  <c r="BN240" i="2"/>
  <c r="Y256" i="2"/>
  <c r="BN263" i="2"/>
  <c r="BN273" i="2"/>
  <c r="Z281" i="2"/>
  <c r="BN294" i="2"/>
  <c r="BN317" i="2"/>
  <c r="Z339" i="2"/>
  <c r="Z342" i="2" s="1"/>
  <c r="BP341" i="2"/>
  <c r="BN353" i="2"/>
  <c r="BN363" i="2"/>
  <c r="BN373" i="2"/>
  <c r="Z393" i="2"/>
  <c r="Z396" i="2" s="1"/>
  <c r="BP395" i="2"/>
  <c r="BN406" i="2"/>
  <c r="BP431" i="2"/>
  <c r="Z439" i="2"/>
  <c r="Z440" i="2" s="1"/>
  <c r="BP454" i="2"/>
  <c r="BN466" i="2"/>
  <c r="Z499" i="2"/>
  <c r="BN511" i="2"/>
  <c r="BP525" i="2"/>
  <c r="B556" i="2"/>
  <c r="U556" i="2"/>
  <c r="BN147" i="2"/>
  <c r="Y302" i="2"/>
  <c r="BN334" i="2"/>
  <c r="BN388" i="2"/>
  <c r="BN412" i="2"/>
  <c r="Y415" i="2"/>
  <c r="BN424" i="2"/>
  <c r="BP484" i="2"/>
  <c r="BP543" i="2"/>
  <c r="V556" i="2"/>
  <c r="Z72" i="2"/>
  <c r="Z74" i="2" s="1"/>
  <c r="Z126" i="2"/>
  <c r="Z127" i="2" s="1"/>
  <c r="Z150" i="2"/>
  <c r="Y155" i="2"/>
  <c r="Z173" i="2"/>
  <c r="Z218" i="2"/>
  <c r="Z238" i="2"/>
  <c r="Z241" i="2" s="1"/>
  <c r="Y252" i="2"/>
  <c r="Z261" i="2"/>
  <c r="Z271" i="2"/>
  <c r="Z292" i="2"/>
  <c r="Z315" i="2"/>
  <c r="Z326" i="2"/>
  <c r="BN339" i="2"/>
  <c r="Z381" i="2"/>
  <c r="BN393" i="2"/>
  <c r="Z427" i="2"/>
  <c r="Z450" i="2"/>
  <c r="Y455" i="2"/>
  <c r="BP466" i="2"/>
  <c r="Z509" i="2"/>
  <c r="Z521" i="2"/>
  <c r="Z522" i="2" s="1"/>
  <c r="Y526" i="2"/>
  <c r="Z533" i="2"/>
  <c r="Z534" i="2" s="1"/>
  <c r="Y257" i="2"/>
  <c r="BP412" i="2"/>
  <c r="Y472" i="2"/>
  <c r="Z538" i="2"/>
  <c r="Y544" i="2"/>
  <c r="X556" i="2"/>
  <c r="BN509" i="2"/>
  <c r="BN521" i="2"/>
  <c r="BN533" i="2"/>
  <c r="Y556" i="2"/>
  <c r="Z37" i="2"/>
  <c r="Z49" i="2"/>
  <c r="BN72" i="2"/>
  <c r="Z93" i="2"/>
  <c r="Z97" i="2" s="1"/>
  <c r="Z104" i="2"/>
  <c r="Z114" i="2"/>
  <c r="Z137" i="2"/>
  <c r="BN77" i="2"/>
  <c r="Z354" i="2"/>
  <c r="Z360" i="2" s="1"/>
  <c r="Z364" i="2"/>
  <c r="Z374" i="2"/>
  <c r="Z377" i="2" s="1"/>
  <c r="Z407" i="2"/>
  <c r="Z408" i="2" s="1"/>
  <c r="Z467" i="2"/>
  <c r="BN480" i="2"/>
  <c r="Z492" i="2"/>
  <c r="Z512" i="2"/>
  <c r="BN538" i="2"/>
  <c r="Z60" i="2"/>
  <c r="Z161" i="2"/>
  <c r="Z193" i="2"/>
  <c r="Z194" i="2" s="1"/>
  <c r="Z205" i="2"/>
  <c r="Z226" i="2"/>
  <c r="Z249" i="2"/>
  <c r="Z251" i="2" s="1"/>
  <c r="Z171" i="2"/>
  <c r="BN437" i="2"/>
  <c r="Y500" i="2"/>
  <c r="BP521" i="2"/>
  <c r="BP533" i="2"/>
  <c r="Y545" i="2"/>
  <c r="AA556" i="2"/>
  <c r="BN374" i="2"/>
  <c r="AB556" i="2"/>
  <c r="Y547" i="2" l="1"/>
  <c r="Y549" i="2" s="1"/>
  <c r="Z235" i="2"/>
  <c r="Y548" i="2"/>
  <c r="Z62" i="2"/>
  <c r="Z321" i="2"/>
  <c r="Z415" i="2"/>
  <c r="Z267" i="2"/>
  <c r="Z336" i="2"/>
  <c r="Y546" i="2"/>
  <c r="Z227" i="2"/>
  <c r="Z80" i="2"/>
  <c r="Z487" i="2"/>
  <c r="Z116" i="2"/>
  <c r="Z50" i="2"/>
  <c r="Z539" i="2"/>
  <c r="Z282" i="2"/>
  <c r="Z451" i="2"/>
  <c r="Z500" i="2"/>
  <c r="Z370" i="2"/>
  <c r="Z434" i="2"/>
  <c r="Z108" i="2"/>
  <c r="Z551" i="2" s="1"/>
  <c r="Z138" i="2"/>
  <c r="Z428" i="2"/>
  <c r="Z383" i="2"/>
  <c r="Z516" i="2"/>
  <c r="Z390" i="2"/>
  <c r="Z151" i="2"/>
  <c r="Z181" i="2"/>
  <c r="Z328" i="2"/>
</calcChain>
</file>

<file path=xl/sharedStrings.xml><?xml version="1.0" encoding="utf-8"?>
<sst xmlns="http://schemas.openxmlformats.org/spreadsheetml/2006/main" count="4164" uniqueCount="894">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</sst>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/>
      <c r="I5" s="631"/>
      <c r="J5" s="631"/>
      <c r="K5" s="631"/>
      <c r="L5" s="631"/>
      <c r="M5" s="631"/>
      <c r="N5" s="72"/>
      <c r="P5" s="27" t="s">
        <v>4</v>
      </c>
      <c r="Q5" s="633">
        <v>46305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/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Суббота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0.41666666666666669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IFERROR(IF(Y46=0,"",ROUNDUP(Y46/H46,0)*0.01898),"")</f>
        <v/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IFERROR(IF(Y48=0,"",ROUNDUP(Y48/H48,0)*0.00902),"")</f>
        <v/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16.5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0</v>
      </c>
      <c r="Y62" s="43">
        <f>IFERROR(Y54/H54,"0")+IFERROR(Y55/H55,"0")+IFERROR(Y56/H56,"0")+IFERROR(Y57/H57,"0")+IFERROR(Y58/H58,"0")+IFERROR(Y59/H59,"0")+IFERROR(Y60/H60,"0")+IFERROR(Y61/H61,"0")</f>
        <v>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0</v>
      </c>
      <c r="Y63" s="43">
        <f>IFERROR(SUM(Y54:Y61),"0")</f>
        <v>0</v>
      </c>
      <c r="Z63" s="42"/>
      <c r="AA63" s="67"/>
      <c r="AB63" s="67"/>
      <c r="AC63" s="67"/>
    </row>
    <row r="64" spans="1:68" ht="14.25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0</v>
      </c>
      <c r="Y90" s="43">
        <f>IFERROR(Y84/H84,"0")+IFERROR(Y85/H85,"0")+IFERROR(Y86/H86,"0")+IFERROR(Y87/H87,"0")+IFERROR(Y88/H88,"0")+IFERROR(Y89/H89,"0")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0</v>
      </c>
      <c r="Y91" s="43">
        <f>IFERROR(SUM(Y84:Y89),"0")</f>
        <v>0</v>
      </c>
      <c r="Z91" s="42"/>
      <c r="AA91" s="67"/>
      <c r="AB91" s="67"/>
      <c r="AC91" s="67"/>
    </row>
    <row r="92" spans="1:68" ht="14.25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0</v>
      </c>
      <c r="Y108" s="43">
        <f>IFERROR(Y101/H101,"0")+IFERROR(Y102/H102,"0")+IFERROR(Y103/H103,"0")+IFERROR(Y104/H104,"0")+IFERROR(Y105/H105,"0")+IFERROR(Y106/H106,"0")+IFERROR(Y107/H107,"0")</f>
        <v>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0</v>
      </c>
      <c r="Y109" s="43">
        <f>IFERROR(SUM(Y101:Y107),"0")</f>
        <v>0</v>
      </c>
      <c r="Z109" s="42"/>
      <c r="AA109" s="67"/>
      <c r="AB109" s="67"/>
      <c r="AC109" s="67"/>
    </row>
    <row r="110" spans="1:68" ht="14.25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0</v>
      </c>
      <c r="Y182" s="43">
        <f>IFERROR(SUM(Y171:Y180),"0")</f>
        <v>0</v>
      </c>
      <c r="Z182" s="42"/>
      <c r="AA182" s="67"/>
      <c r="AB182" s="67"/>
      <c r="AC182" s="67"/>
    </row>
    <row r="183" spans="1:68" ht="14.25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1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0</v>
      </c>
      <c r="BN259" s="78">
        <f t="shared" ref="BN259:BN266" si="33">IFERROR(Y259*I259/H259,"0")</f>
        <v>0</v>
      </c>
      <c r="BO259" s="78">
        <f t="shared" ref="BO259:BO266" si="34">IFERROR(1/J259*(X259/H259),"0")</f>
        <v>0</v>
      </c>
      <c r="BP259" s="78">
        <f t="shared" ref="BP259:BP266" si="35">IFERROR(1/J259*(Y259/H259),"0")</f>
        <v>0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6"/>
        <v>0</v>
      </c>
      <c r="Z367" s="41" t="str">
        <f>IFERROR(IF(Y367=0,"",ROUNDUP(Y367/H367,0)*0.00502),"")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0</v>
      </c>
      <c r="BN367" s="78">
        <f t="shared" si="58"/>
        <v>0</v>
      </c>
      <c r="BO367" s="78">
        <f t="shared" si="59"/>
        <v>0</v>
      </c>
      <c r="BP367" s="78">
        <f t="shared" si="60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6"/>
        <v>0</v>
      </c>
      <c r="Z369" s="41" t="str">
        <f>IFERROR(IF(Y369=0,"",ROUNDUP(Y369/H369,0)*0.00651),"")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0</v>
      </c>
      <c r="BN369" s="78">
        <f t="shared" si="58"/>
        <v>0</v>
      </c>
      <c r="BO369" s="78">
        <f t="shared" si="59"/>
        <v>0</v>
      </c>
      <c r="BP369" s="78">
        <f t="shared" si="60"/>
        <v>0</v>
      </c>
    </row>
    <row r="370" spans="1:68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0</v>
      </c>
      <c r="Y370" s="43">
        <f>IFERROR(Y363/H363,"0")+IFERROR(Y364/H364,"0")+IFERROR(Y365/H365,"0")+IFERROR(Y366/H366,"0")+IFERROR(Y367/H367,"0")+IFERROR(Y368/H368,"0")+IFERROR(Y369/H369,"0")</f>
        <v>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7"/>
      <c r="AB370" s="67"/>
      <c r="AC370" s="67"/>
    </row>
    <row r="371" spans="1:68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0</v>
      </c>
      <c r="Y371" s="43">
        <f>IFERROR(SUM(Y363:Y369),"0")</f>
        <v>0</v>
      </c>
      <c r="Z371" s="42"/>
      <c r="AA371" s="67"/>
      <c r="AB371" s="67"/>
      <c r="AC371" s="67"/>
    </row>
    <row r="372" spans="1:68" ht="14.25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0</v>
      </c>
      <c r="Y383" s="43">
        <f>IFERROR(Y380/H380,"0")+IFERROR(Y381/H381,"0")+IFERROR(Y382/H382,"0")</f>
        <v>0</v>
      </c>
      <c r="Z383" s="43">
        <f>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0</v>
      </c>
      <c r="Y384" s="43">
        <f>IFERROR(SUM(Y380:Y382),"0")</f>
        <v>0</v>
      </c>
      <c r="Z384" s="42"/>
      <c r="AA384" s="67"/>
      <c r="AB384" s="67"/>
      <c r="AC384" s="67"/>
    </row>
    <row r="385" spans="1:68" ht="14.25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27.75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0</v>
      </c>
      <c r="Y421" s="55">
        <f t="shared" si="61"/>
        <v>0</v>
      </c>
      <c r="Z421" s="41" t="str">
        <f>IFERROR(IF(Y421=0,"",ROUNDUP(Y421/H421,0)*0.02175),"")</f>
        <v/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0</v>
      </c>
      <c r="BN421" s="78">
        <f t="shared" si="63"/>
        <v>0</v>
      </c>
      <c r="BO421" s="78">
        <f t="shared" si="64"/>
        <v>0</v>
      </c>
      <c r="BP421" s="78">
        <f t="shared" si="65"/>
        <v>0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si="61"/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0</v>
      </c>
      <c r="BN422" s="78">
        <f t="shared" si="63"/>
        <v>0</v>
      </c>
      <c r="BO422" s="78">
        <f t="shared" si="64"/>
        <v>0</v>
      </c>
      <c r="BP422" s="78">
        <f t="shared" si="65"/>
        <v>0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61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0</v>
      </c>
      <c r="BN423" s="78">
        <f t="shared" si="63"/>
        <v>0</v>
      </c>
      <c r="BO423" s="78">
        <f t="shared" si="64"/>
        <v>0</v>
      </c>
      <c r="BP423" s="78">
        <f t="shared" si="65"/>
        <v>0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0</v>
      </c>
      <c r="Y428" s="43">
        <f>IFERROR(Y420/H420,"0")+IFERROR(Y421/H421,"0")+IFERROR(Y422/H422,"0")+IFERROR(Y423/H423,"0")+IFERROR(Y424/H424,"0")+IFERROR(Y425/H425,"0")+IFERROR(Y426/H426,"0")+IFERROR(Y427/H427,"0")</f>
        <v>0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0</v>
      </c>
      <c r="Y429" s="43">
        <f>IFERROR(SUM(Y420:Y427),"0")</f>
        <v>0</v>
      </c>
      <c r="Z429" s="42"/>
      <c r="AA429" s="67"/>
      <c r="AB429" s="67"/>
      <c r="AC429" s="67"/>
    </row>
    <row r="430" spans="1:68" ht="14.25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14.25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1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0</v>
      </c>
      <c r="BN495" s="78">
        <f t="shared" si="73"/>
        <v>0</v>
      </c>
      <c r="BO495" s="78">
        <f t="shared" si="74"/>
        <v>0</v>
      </c>
      <c r="BP495" s="78">
        <f t="shared" si="75"/>
        <v>0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1"/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0</v>
      </c>
      <c r="BN496" s="78">
        <f t="shared" si="73"/>
        <v>0</v>
      </c>
      <c r="BO496" s="78">
        <f t="shared" si="74"/>
        <v>0</v>
      </c>
      <c r="BP496" s="78">
        <f t="shared" si="75"/>
        <v>0</v>
      </c>
    </row>
    <row r="497" spans="1:68" ht="27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1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0</v>
      </c>
      <c r="BN498" s="78">
        <f t="shared" si="73"/>
        <v>0</v>
      </c>
      <c r="BO498" s="78">
        <f t="shared" si="74"/>
        <v>0</v>
      </c>
      <c r="BP498" s="78">
        <f t="shared" si="75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1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0</v>
      </c>
      <c r="BN499" s="78">
        <f t="shared" si="73"/>
        <v>0</v>
      </c>
      <c r="BO499" s="78">
        <f t="shared" si="74"/>
        <v>0</v>
      </c>
      <c r="BP499" s="78">
        <f t="shared" si="75"/>
        <v>0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0</v>
      </c>
      <c r="Y500" s="43">
        <f>IFERROR(Y492/H492,"0")+IFERROR(Y493/H493,"0")+IFERROR(Y494/H494,"0")+IFERROR(Y495/H495,"0")+IFERROR(Y496/H496,"0")+IFERROR(Y497/H497,"0")+IFERROR(Y498/H498,"0")+IFERROR(Y499/H499,"0")</f>
        <v>0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0</v>
      </c>
      <c r="Y501" s="43">
        <f>IFERROR(SUM(Y492:Y499),"0")</f>
        <v>0</v>
      </c>
      <c r="Z501" s="42"/>
      <c r="AA501" s="67"/>
      <c r="AB501" s="67"/>
      <c r="AC501" s="67"/>
    </row>
    <row r="502" spans="1:68" ht="14.25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16.5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14.25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6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0</v>
      </c>
      <c r="Y516" s="43">
        <f>IFERROR(Y509/H509,"0")+IFERROR(Y510/H510,"0")+IFERROR(Y511/H511,"0")+IFERROR(Y512/H512,"0")+IFERROR(Y513/H513,"0")+IFERROR(Y514/H514,"0")+IFERROR(Y515/H515,"0")</f>
        <v>0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0</v>
      </c>
      <c r="Y517" s="43">
        <f>IFERROR(SUM(Y509:Y515),"0")</f>
        <v>0</v>
      </c>
      <c r="Z517" s="42"/>
      <c r="AA517" s="67"/>
      <c r="AB517" s="67"/>
      <c r="AC517" s="67"/>
    </row>
    <row r="518" spans="1:68" ht="27.75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0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0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0</v>
      </c>
      <c r="Y547" s="43">
        <f>IFERROR(SUM(BN22:BN543),"0")</f>
        <v>0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0</v>
      </c>
      <c r="Y548" s="44">
        <f>ROUNDUP(SUM(BP22:BP543),0)</f>
        <v>0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0</v>
      </c>
      <c r="Y549" s="43">
        <f>GrossWeightTotalR+PalletQtyTotalR*25</f>
        <v>0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0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0</v>
      </c>
      <c r="Z550" s="42"/>
      <c r="AA550" s="67"/>
      <c r="AB550" s="67"/>
      <c r="AC550" s="67"/>
    </row>
    <row r="551" spans="1:32" ht="14.25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0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0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0</v>
      </c>
      <c r="F556" s="52">
        <f>IFERROR(Y84*1,"0")+IFERROR(Y85*1,"0")+IFERROR(Y86*1,"0")+IFERROR(Y87*1,"0")+IFERROR(Y88*1,"0")+IFERROR(Y89*1,"0")+IFERROR(Y93*1,"0")+IFERROR(Y94*1,"0")+IFERROR(Y95*1,"0")+IFERROR(Y96*1,"0")</f>
        <v>0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56" s="52">
        <f>IFERROR(Y131*1,"0")+IFERROR(Y132*1,"0")+IFERROR(Y136*1,"0")+IFERROR(Y137*1,"0")+IFERROR(Y141*1,"0")+IFERROR(Y142*1,"0")</f>
        <v>0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0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0</v>
      </c>
      <c r="U556" s="52">
        <f>IFERROR(Y406*1,"0")+IFERROR(Y407*1,"0")</f>
        <v>0</v>
      </c>
      <c r="V556" s="52">
        <f>IFERROR(Y412*1,"0")+IFERROR(Y413*1,"0")+IFERROR(Y414*1,"0")</f>
        <v>0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0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0</v>
      </c>
      <c r="AB556" s="52">
        <f>IFERROR(Y521*1,"0")+IFERROR(Y525*1,"0")+IFERROR(Y529*1,"0")+IFERROR(Y533*1,"0")+IFERROR(Y537*1,"0")+IFERROR(Y538*1,"0")</f>
        <v>0</v>
      </c>
      <c r="AC556" s="52">
        <f>IFERROR(Y543*1,"0")</f>
        <v>0</v>
      </c>
      <c r="AF556" s="1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8" spans="2:8" x14ac:dyDescent="0.2">
      <c r="B8" s="53" t="s">
        <v>858</v>
      </c>
      <c r="C8" s="53" t="s">
        <v>859</v>
      </c>
      <c r="D8" s="53" t="s">
        <v>860</v>
      </c>
      <c r="E8" s="53" t="s">
        <v>46</v>
      </c>
    </row>
    <row r="9" spans="2:8" x14ac:dyDescent="0.2">
      <c r="B9" s="53" t="s">
        <v>861</v>
      </c>
      <c r="C9" s="53" t="s">
        <v>862</v>
      </c>
      <c r="D9" s="53" t="s">
        <v>863</v>
      </c>
      <c r="E9" s="53" t="s">
        <v>46</v>
      </c>
    </row>
    <row r="10" spans="2:8" x14ac:dyDescent="0.2">
      <c r="B10" s="53" t="s">
        <v>864</v>
      </c>
      <c r="C10" s="53" t="s">
        <v>865</v>
      </c>
      <c r="D10" s="53" t="s">
        <v>866</v>
      </c>
      <c r="E10" s="53" t="s">
        <v>46</v>
      </c>
    </row>
    <row r="11" spans="2:8" x14ac:dyDescent="0.2">
      <c r="B11" s="53" t="s">
        <v>867</v>
      </c>
      <c r="C11" s="53" t="s">
        <v>868</v>
      </c>
      <c r="D11" s="53" t="s">
        <v>869</v>
      </c>
      <c r="E11" s="53" t="s">
        <v>46</v>
      </c>
    </row>
    <row r="12" spans="2:8" x14ac:dyDescent="0.2">
      <c r="B12" s="53" t="s">
        <v>870</v>
      </c>
      <c r="C12" s="53" t="s">
        <v>871</v>
      </c>
      <c r="D12" s="53" t="s">
        <v>872</v>
      </c>
      <c r="E12" s="53" t="s">
        <v>46</v>
      </c>
    </row>
    <row r="13" spans="2:8" x14ac:dyDescent="0.2">
      <c r="B13" s="53" t="s">
        <v>873</v>
      </c>
      <c r="C13" s="53" t="s">
        <v>874</v>
      </c>
      <c r="D13" s="53" t="s">
        <v>124</v>
      </c>
      <c r="E13" s="53" t="s">
        <v>46</v>
      </c>
    </row>
    <row r="15" spans="2:8" x14ac:dyDescent="0.2">
      <c r="B15" s="53" t="s">
        <v>875</v>
      </c>
      <c r="C15" s="53" t="s">
        <v>853</v>
      </c>
      <c r="D15" s="53" t="s">
        <v>46</v>
      </c>
      <c r="E15" s="53" t="s">
        <v>46</v>
      </c>
    </row>
    <row r="17" spans="2:5" x14ac:dyDescent="0.2">
      <c r="B17" s="53" t="s">
        <v>876</v>
      </c>
      <c r="C17" s="53" t="s">
        <v>856</v>
      </c>
      <c r="D17" s="53" t="s">
        <v>46</v>
      </c>
      <c r="E17" s="53" t="s">
        <v>46</v>
      </c>
    </row>
    <row r="19" spans="2:5" x14ac:dyDescent="0.2">
      <c r="B19" s="53" t="s">
        <v>877</v>
      </c>
      <c r="C19" s="53" t="s">
        <v>859</v>
      </c>
      <c r="D19" s="53" t="s">
        <v>46</v>
      </c>
      <c r="E19" s="53" t="s">
        <v>46</v>
      </c>
    </row>
    <row r="21" spans="2:5" x14ac:dyDescent="0.2">
      <c r="B21" s="53" t="s">
        <v>878</v>
      </c>
      <c r="C21" s="53" t="s">
        <v>862</v>
      </c>
      <c r="D21" s="53" t="s">
        <v>46</v>
      </c>
      <c r="E21" s="53" t="s">
        <v>46</v>
      </c>
    </row>
    <row r="23" spans="2:5" x14ac:dyDescent="0.2">
      <c r="B23" s="53" t="s">
        <v>879</v>
      </c>
      <c r="C23" s="53" t="s">
        <v>865</v>
      </c>
      <c r="D23" s="53" t="s">
        <v>46</v>
      </c>
      <c r="E23" s="53" t="s">
        <v>46</v>
      </c>
    </row>
    <row r="25" spans="2:5" x14ac:dyDescent="0.2">
      <c r="B25" s="53" t="s">
        <v>880</v>
      </c>
      <c r="C25" s="53" t="s">
        <v>868</v>
      </c>
      <c r="D25" s="53" t="s">
        <v>46</v>
      </c>
      <c r="E25" s="53" t="s">
        <v>46</v>
      </c>
    </row>
    <row r="27" spans="2:5" x14ac:dyDescent="0.2">
      <c r="B27" s="53" t="s">
        <v>881</v>
      </c>
      <c r="C27" s="53" t="s">
        <v>871</v>
      </c>
      <c r="D27" s="53" t="s">
        <v>46</v>
      </c>
      <c r="E27" s="53" t="s">
        <v>46</v>
      </c>
    </row>
    <row r="29" spans="2:5" x14ac:dyDescent="0.2">
      <c r="B29" s="53" t="s">
        <v>882</v>
      </c>
      <c r="C29" s="53" t="s">
        <v>874</v>
      </c>
      <c r="D29" s="53" t="s">
        <v>46</v>
      </c>
      <c r="E29" s="53" t="s">
        <v>46</v>
      </c>
    </row>
    <row r="31" spans="2:5" x14ac:dyDescent="0.2">
      <c r="B31" s="53" t="s">
        <v>883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884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885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886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887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888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889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890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891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892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893</v>
      </c>
      <c r="C41" s="53" t="s">
        <v>46</v>
      </c>
      <c r="D41" s="53" t="s">
        <v>46</v>
      </c>
      <c r="E41" s="53" t="s">
        <v>46</v>
      </c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1136</vt:i4>
      </vt:variant>
    </vt:vector>
  </HeadingPairs>
  <TitlesOfParts>
    <vt:vector size="113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2026-10-06T13:02:12Z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