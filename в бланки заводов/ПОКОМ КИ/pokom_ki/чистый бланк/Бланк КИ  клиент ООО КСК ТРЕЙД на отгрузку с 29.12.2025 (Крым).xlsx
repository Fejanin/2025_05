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23B4019-CF35-43C5-B507-93A6AB4CD26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94" i="2" l="1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BN487" i="2" s="1"/>
  <c r="P487" i="2"/>
  <c r="BO486" i="2"/>
  <c r="BM486" i="2"/>
  <c r="Y486" i="2"/>
  <c r="BP486" i="2" s="1"/>
  <c r="P486" i="2"/>
  <c r="Y484" i="2"/>
  <c r="X484" i="2"/>
  <c r="Y483" i="2"/>
  <c r="X483" i="2"/>
  <c r="BP482" i="2"/>
  <c r="BO482" i="2"/>
  <c r="BM482" i="2"/>
  <c r="Y482" i="2"/>
  <c r="P482" i="2"/>
  <c r="X480" i="2"/>
  <c r="X479" i="2"/>
  <c r="BO478" i="2"/>
  <c r="BM478" i="2"/>
  <c r="Y478" i="2"/>
  <c r="P478" i="2"/>
  <c r="BP477" i="2"/>
  <c r="BO477" i="2"/>
  <c r="BN477" i="2"/>
  <c r="BM477" i="2"/>
  <c r="Z477" i="2"/>
  <c r="Y477" i="2"/>
  <c r="P477" i="2"/>
  <c r="X475" i="2"/>
  <c r="X474" i="2"/>
  <c r="BO473" i="2"/>
  <c r="BM473" i="2"/>
  <c r="Y473" i="2"/>
  <c r="P473" i="2"/>
  <c r="BO472" i="2"/>
  <c r="BM472" i="2"/>
  <c r="Y472" i="2"/>
  <c r="BP472" i="2" s="1"/>
  <c r="P472" i="2"/>
  <c r="X470" i="2"/>
  <c r="X469" i="2"/>
  <c r="BP468" i="2"/>
  <c r="BO468" i="2"/>
  <c r="BN468" i="2"/>
  <c r="BM468" i="2"/>
  <c r="Z468" i="2"/>
  <c r="Y468" i="2"/>
  <c r="P468" i="2"/>
  <c r="BO467" i="2"/>
  <c r="BM467" i="2"/>
  <c r="Y467" i="2"/>
  <c r="BP467" i="2" s="1"/>
  <c r="P467" i="2"/>
  <c r="BO466" i="2"/>
  <c r="BM466" i="2"/>
  <c r="Y466" i="2"/>
  <c r="P466" i="2"/>
  <c r="BO465" i="2"/>
  <c r="BM465" i="2"/>
  <c r="Y465" i="2"/>
  <c r="BN465" i="2" s="1"/>
  <c r="P465" i="2"/>
  <c r="X461" i="2"/>
  <c r="X460" i="2"/>
  <c r="BO459" i="2"/>
  <c r="BM459" i="2"/>
  <c r="Y459" i="2"/>
  <c r="Y461" i="2" s="1"/>
  <c r="P459" i="2"/>
  <c r="X457" i="2"/>
  <c r="X456" i="2"/>
  <c r="BO455" i="2"/>
  <c r="BM455" i="2"/>
  <c r="Y455" i="2"/>
  <c r="BP455" i="2" s="1"/>
  <c r="P455" i="2"/>
  <c r="BO454" i="2"/>
  <c r="BN454" i="2"/>
  <c r="BM454" i="2"/>
  <c r="Z454" i="2"/>
  <c r="Y454" i="2"/>
  <c r="BP454" i="2" s="1"/>
  <c r="P454" i="2"/>
  <c r="BO453" i="2"/>
  <c r="BM453" i="2"/>
  <c r="Y453" i="2"/>
  <c r="P453" i="2"/>
  <c r="BP452" i="2"/>
  <c r="BO452" i="2"/>
  <c r="BM452" i="2"/>
  <c r="Y452" i="2"/>
  <c r="BN452" i="2" s="1"/>
  <c r="P452" i="2"/>
  <c r="BO451" i="2"/>
  <c r="BM451" i="2"/>
  <c r="Y451" i="2"/>
  <c r="P451" i="2"/>
  <c r="BO450" i="2"/>
  <c r="BM450" i="2"/>
  <c r="Y450" i="2"/>
  <c r="Y457" i="2" s="1"/>
  <c r="P450" i="2"/>
  <c r="X448" i="2"/>
  <c r="X447" i="2"/>
  <c r="BO446" i="2"/>
  <c r="BM446" i="2"/>
  <c r="Y446" i="2"/>
  <c r="Z446" i="2" s="1"/>
  <c r="P446" i="2"/>
  <c r="BO445" i="2"/>
  <c r="BM445" i="2"/>
  <c r="Y445" i="2"/>
  <c r="BP445" i="2" s="1"/>
  <c r="P445" i="2"/>
  <c r="BO444" i="2"/>
  <c r="BN444" i="2"/>
  <c r="BM444" i="2"/>
  <c r="Z444" i="2"/>
  <c r="Y444" i="2"/>
  <c r="Y448" i="2" s="1"/>
  <c r="P444" i="2"/>
  <c r="X442" i="2"/>
  <c r="X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BP435" i="2" s="1"/>
  <c r="P435" i="2"/>
  <c r="BO434" i="2"/>
  <c r="BM434" i="2"/>
  <c r="Y434" i="2"/>
  <c r="P434" i="2"/>
  <c r="BP433" i="2"/>
  <c r="BO433" i="2"/>
  <c r="BN433" i="2"/>
  <c r="BM433" i="2"/>
  <c r="Z433" i="2"/>
  <c r="Y433" i="2"/>
  <c r="P433" i="2"/>
  <c r="BO432" i="2"/>
  <c r="BM432" i="2"/>
  <c r="Y432" i="2"/>
  <c r="P432" i="2"/>
  <c r="BP431" i="2"/>
  <c r="BO431" i="2"/>
  <c r="BN431" i="2"/>
  <c r="BM431" i="2"/>
  <c r="Z431" i="2"/>
  <c r="Y431" i="2"/>
  <c r="P431" i="2"/>
  <c r="BO430" i="2"/>
  <c r="BM430" i="2"/>
  <c r="Z430" i="2"/>
  <c r="Y430" i="2"/>
  <c r="BN430" i="2" s="1"/>
  <c r="P430" i="2"/>
  <c r="BO429" i="2"/>
  <c r="BM429" i="2"/>
  <c r="Y429" i="2"/>
  <c r="P429" i="2"/>
  <c r="X425" i="2"/>
  <c r="X424" i="2"/>
  <c r="BO423" i="2"/>
  <c r="BM423" i="2"/>
  <c r="Y423" i="2"/>
  <c r="W505" i="2" s="1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BO416" i="2"/>
  <c r="BM416" i="2"/>
  <c r="Y416" i="2"/>
  <c r="P416" i="2"/>
  <c r="BO415" i="2"/>
  <c r="BM415" i="2"/>
  <c r="Y415" i="2"/>
  <c r="Z415" i="2" s="1"/>
  <c r="P415" i="2"/>
  <c r="X413" i="2"/>
  <c r="X412" i="2"/>
  <c r="BP411" i="2"/>
  <c r="BO411" i="2"/>
  <c r="BN411" i="2"/>
  <c r="BM411" i="2"/>
  <c r="Z411" i="2"/>
  <c r="Z412" i="2" s="1"/>
  <c r="Y411" i="2"/>
  <c r="P411" i="2"/>
  <c r="X408" i="2"/>
  <c r="X407" i="2"/>
  <c r="BO406" i="2"/>
  <c r="BM406" i="2"/>
  <c r="Y406" i="2"/>
  <c r="P406" i="2"/>
  <c r="BP405" i="2"/>
  <c r="BO405" i="2"/>
  <c r="BN405" i="2"/>
  <c r="BM405" i="2"/>
  <c r="Z405" i="2"/>
  <c r="Y405" i="2"/>
  <c r="P405" i="2"/>
  <c r="X403" i="2"/>
  <c r="X402" i="2"/>
  <c r="BO401" i="2"/>
  <c r="BM401" i="2"/>
  <c r="Y401" i="2"/>
  <c r="BP401" i="2" s="1"/>
  <c r="P401" i="2"/>
  <c r="BP400" i="2"/>
  <c r="BO400" i="2"/>
  <c r="BN400" i="2"/>
  <c r="BM400" i="2"/>
  <c r="Z400" i="2"/>
  <c r="Y400" i="2"/>
  <c r="P400" i="2"/>
  <c r="BO399" i="2"/>
  <c r="BM399" i="2"/>
  <c r="Y399" i="2"/>
  <c r="BP399" i="2" s="1"/>
  <c r="P399" i="2"/>
  <c r="BO398" i="2"/>
  <c r="BN398" i="2"/>
  <c r="BM398" i="2"/>
  <c r="Z398" i="2"/>
  <c r="Y398" i="2"/>
  <c r="BP398" i="2" s="1"/>
  <c r="P398" i="2"/>
  <c r="BO397" i="2"/>
  <c r="BM397" i="2"/>
  <c r="Y397" i="2"/>
  <c r="P397" i="2"/>
  <c r="BP396" i="2"/>
  <c r="BO396" i="2"/>
  <c r="BM396" i="2"/>
  <c r="Y396" i="2"/>
  <c r="BN396" i="2" s="1"/>
  <c r="P396" i="2"/>
  <c r="BO395" i="2"/>
  <c r="BM395" i="2"/>
  <c r="Y395" i="2"/>
  <c r="P395" i="2"/>
  <c r="BP394" i="2"/>
  <c r="BO394" i="2"/>
  <c r="BM394" i="2"/>
  <c r="Y394" i="2"/>
  <c r="P394" i="2"/>
  <c r="BO393" i="2"/>
  <c r="BM393" i="2"/>
  <c r="Y393" i="2"/>
  <c r="P393" i="2"/>
  <c r="X389" i="2"/>
  <c r="X388" i="2"/>
  <c r="BO387" i="2"/>
  <c r="BM387" i="2"/>
  <c r="Y387" i="2"/>
  <c r="BP387" i="2" s="1"/>
  <c r="P387" i="2"/>
  <c r="BO386" i="2"/>
  <c r="BN386" i="2"/>
  <c r="BM386" i="2"/>
  <c r="Z386" i="2"/>
  <c r="Y386" i="2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Z380" i="2" s="1"/>
  <c r="P380" i="2"/>
  <c r="X378" i="2"/>
  <c r="X377" i="2"/>
  <c r="BP376" i="2"/>
  <c r="BO376" i="2"/>
  <c r="BN376" i="2"/>
  <c r="BM376" i="2"/>
  <c r="Z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BP366" i="2" s="1"/>
  <c r="P366" i="2"/>
  <c r="BO365" i="2"/>
  <c r="BM365" i="2"/>
  <c r="Y365" i="2"/>
  <c r="P365" i="2"/>
  <c r="X363" i="2"/>
  <c r="X362" i="2"/>
  <c r="BO361" i="2"/>
  <c r="BM361" i="2"/>
  <c r="Z361" i="2"/>
  <c r="Y361" i="2"/>
  <c r="BP361" i="2" s="1"/>
  <c r="P361" i="2"/>
  <c r="BO360" i="2"/>
  <c r="BM360" i="2"/>
  <c r="Y360" i="2"/>
  <c r="BN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P355" i="2"/>
  <c r="BO354" i="2"/>
  <c r="BM354" i="2"/>
  <c r="Z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Z351" i="2"/>
  <c r="Y351" i="2"/>
  <c r="BP351" i="2" s="1"/>
  <c r="P351" i="2"/>
  <c r="BO350" i="2"/>
  <c r="BM350" i="2"/>
  <c r="Y350" i="2"/>
  <c r="BN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P343" i="2"/>
  <c r="BO342" i="2"/>
  <c r="BM342" i="2"/>
  <c r="Z342" i="2"/>
  <c r="Y342" i="2"/>
  <c r="P342" i="2"/>
  <c r="X339" i="2"/>
  <c r="X338" i="2"/>
  <c r="BO337" i="2"/>
  <c r="BM337" i="2"/>
  <c r="Y337" i="2"/>
  <c r="P337" i="2"/>
  <c r="BP336" i="2"/>
  <c r="BO336" i="2"/>
  <c r="BM336" i="2"/>
  <c r="Y336" i="2"/>
  <c r="BN336" i="2" s="1"/>
  <c r="P336" i="2"/>
  <c r="BO335" i="2"/>
  <c r="BM335" i="2"/>
  <c r="Y335" i="2"/>
  <c r="P335" i="2"/>
  <c r="X333" i="2"/>
  <c r="X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Z322" i="2" s="1"/>
  <c r="P322" i="2"/>
  <c r="X320" i="2"/>
  <c r="X319" i="2"/>
  <c r="BO318" i="2"/>
  <c r="BM318" i="2"/>
  <c r="Y318" i="2"/>
  <c r="P318" i="2"/>
  <c r="BO317" i="2"/>
  <c r="BM317" i="2"/>
  <c r="Y317" i="2"/>
  <c r="BP317" i="2" s="1"/>
  <c r="P317" i="2"/>
  <c r="BO316" i="2"/>
  <c r="BM316" i="2"/>
  <c r="Z316" i="2"/>
  <c r="Y316" i="2"/>
  <c r="BP316" i="2" s="1"/>
  <c r="P316" i="2"/>
  <c r="BO315" i="2"/>
  <c r="BM315" i="2"/>
  <c r="Y315" i="2"/>
  <c r="BN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Z309" i="2"/>
  <c r="Y309" i="2"/>
  <c r="BP309" i="2" s="1"/>
  <c r="P309" i="2"/>
  <c r="BO308" i="2"/>
  <c r="BM308" i="2"/>
  <c r="Y308" i="2"/>
  <c r="P308" i="2"/>
  <c r="BO307" i="2"/>
  <c r="BM307" i="2"/>
  <c r="Y307" i="2"/>
  <c r="BP307" i="2" s="1"/>
  <c r="P307" i="2"/>
  <c r="BO306" i="2"/>
  <c r="BM306" i="2"/>
  <c r="Z306" i="2"/>
  <c r="Y306" i="2"/>
  <c r="P306" i="2"/>
  <c r="X304" i="2"/>
  <c r="X303" i="2"/>
  <c r="BO302" i="2"/>
  <c r="BM302" i="2"/>
  <c r="Z302" i="2"/>
  <c r="Y302" i="2"/>
  <c r="BN302" i="2" s="1"/>
  <c r="P302" i="2"/>
  <c r="BO301" i="2"/>
  <c r="BM301" i="2"/>
  <c r="Y301" i="2"/>
  <c r="P301" i="2"/>
  <c r="BP300" i="2"/>
  <c r="BO300" i="2"/>
  <c r="BN300" i="2"/>
  <c r="BM300" i="2"/>
  <c r="Z300" i="2"/>
  <c r="Y300" i="2"/>
  <c r="P300" i="2"/>
  <c r="BO299" i="2"/>
  <c r="BM299" i="2"/>
  <c r="Y299" i="2"/>
  <c r="BP299" i="2" s="1"/>
  <c r="P299" i="2"/>
  <c r="BP298" i="2"/>
  <c r="BO298" i="2"/>
  <c r="BN298" i="2"/>
  <c r="BM298" i="2"/>
  <c r="Z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Z292" i="2" s="1"/>
  <c r="P292" i="2"/>
  <c r="X290" i="2"/>
  <c r="X289" i="2"/>
  <c r="BO288" i="2"/>
  <c r="BM288" i="2"/>
  <c r="Y288" i="2"/>
  <c r="BP288" i="2" s="1"/>
  <c r="P288" i="2"/>
  <c r="BP287" i="2"/>
  <c r="BO287" i="2"/>
  <c r="BN287" i="2"/>
  <c r="BM287" i="2"/>
  <c r="Z287" i="2"/>
  <c r="Y287" i="2"/>
  <c r="P287" i="2"/>
  <c r="X284" i="2"/>
  <c r="X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P280" i="2"/>
  <c r="X277" i="2"/>
  <c r="X276" i="2"/>
  <c r="BP275" i="2"/>
  <c r="BO275" i="2"/>
  <c r="BN275" i="2"/>
  <c r="BM275" i="2"/>
  <c r="Z275" i="2"/>
  <c r="Y275" i="2"/>
  <c r="P275" i="2"/>
  <c r="BO274" i="2"/>
  <c r="BM274" i="2"/>
  <c r="Y274" i="2"/>
  <c r="BP274" i="2" s="1"/>
  <c r="P274" i="2"/>
  <c r="BP273" i="2"/>
  <c r="BO273" i="2"/>
  <c r="BN273" i="2"/>
  <c r="BM273" i="2"/>
  <c r="Z273" i="2"/>
  <c r="Y273" i="2"/>
  <c r="P273" i="2"/>
  <c r="BO272" i="2"/>
  <c r="BM272" i="2"/>
  <c r="Y272" i="2"/>
  <c r="BP272" i="2" s="1"/>
  <c r="P272" i="2"/>
  <c r="X269" i="2"/>
  <c r="X268" i="2"/>
  <c r="BO267" i="2"/>
  <c r="BM267" i="2"/>
  <c r="Y267" i="2"/>
  <c r="Z267" i="2" s="1"/>
  <c r="P267" i="2"/>
  <c r="BO266" i="2"/>
  <c r="BM266" i="2"/>
  <c r="Y266" i="2"/>
  <c r="BN266" i="2" s="1"/>
  <c r="P266" i="2"/>
  <c r="BO265" i="2"/>
  <c r="BM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Y263" i="2"/>
  <c r="BP263" i="2" s="1"/>
  <c r="P263" i="2"/>
  <c r="X260" i="2"/>
  <c r="X259" i="2"/>
  <c r="BP258" i="2"/>
  <c r="BO258" i="2"/>
  <c r="BN258" i="2"/>
  <c r="BM258" i="2"/>
  <c r="Z258" i="2"/>
  <c r="Y258" i="2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Z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N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Z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Z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Y244" i="2" s="1"/>
  <c r="P234" i="2"/>
  <c r="X231" i="2"/>
  <c r="X230" i="2"/>
  <c r="BO229" i="2"/>
  <c r="BM229" i="2"/>
  <c r="Z229" i="2"/>
  <c r="Y229" i="2"/>
  <c r="BP229" i="2" s="1"/>
  <c r="P229" i="2"/>
  <c r="BO228" i="2"/>
  <c r="BM228" i="2"/>
  <c r="Y228" i="2"/>
  <c r="Y230" i="2" s="1"/>
  <c r="P228" i="2"/>
  <c r="X226" i="2"/>
  <c r="X225" i="2"/>
  <c r="BP224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P220" i="2"/>
  <c r="BO220" i="2"/>
  <c r="BN220" i="2"/>
  <c r="BM220" i="2"/>
  <c r="Z220" i="2"/>
  <c r="Y220" i="2"/>
  <c r="P220" i="2"/>
  <c r="BO219" i="2"/>
  <c r="BM219" i="2"/>
  <c r="Y219" i="2"/>
  <c r="BP219" i="2" s="1"/>
  <c r="P219" i="2"/>
  <c r="BP218" i="2"/>
  <c r="BO218" i="2"/>
  <c r="BN218" i="2"/>
  <c r="BM218" i="2"/>
  <c r="Z218" i="2"/>
  <c r="Y218" i="2"/>
  <c r="P218" i="2"/>
  <c r="BO217" i="2"/>
  <c r="BM217" i="2"/>
  <c r="Y217" i="2"/>
  <c r="BP217" i="2" s="1"/>
  <c r="P217" i="2"/>
  <c r="BO216" i="2"/>
  <c r="BM216" i="2"/>
  <c r="Y216" i="2"/>
  <c r="Y226" i="2" s="1"/>
  <c r="P216" i="2"/>
  <c r="X214" i="2"/>
  <c r="X213" i="2"/>
  <c r="BP212" i="2"/>
  <c r="BO212" i="2"/>
  <c r="BN212" i="2"/>
  <c r="BM212" i="2"/>
  <c r="Z212" i="2"/>
  <c r="Y212" i="2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Z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Y205" i="2"/>
  <c r="BN205" i="2" s="1"/>
  <c r="P205" i="2"/>
  <c r="X203" i="2"/>
  <c r="X202" i="2"/>
  <c r="BO201" i="2"/>
  <c r="BM201" i="2"/>
  <c r="Y201" i="2"/>
  <c r="BP201" i="2" s="1"/>
  <c r="P201" i="2"/>
  <c r="BO200" i="2"/>
  <c r="BM200" i="2"/>
  <c r="Y200" i="2"/>
  <c r="Y203" i="2" s="1"/>
  <c r="P200" i="2"/>
  <c r="X198" i="2"/>
  <c r="X197" i="2"/>
  <c r="BO196" i="2"/>
  <c r="BM196" i="2"/>
  <c r="Z196" i="2"/>
  <c r="Y196" i="2"/>
  <c r="P196" i="2"/>
  <c r="BO195" i="2"/>
  <c r="BM195" i="2"/>
  <c r="Y195" i="2"/>
  <c r="Y198" i="2" s="1"/>
  <c r="P195" i="2"/>
  <c r="X192" i="2"/>
  <c r="X191" i="2"/>
  <c r="BO190" i="2"/>
  <c r="BM190" i="2"/>
  <c r="Y190" i="2"/>
  <c r="Y192" i="2" s="1"/>
  <c r="P190" i="2"/>
  <c r="X188" i="2"/>
  <c r="X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P179" i="2"/>
  <c r="BO179" i="2"/>
  <c r="BN179" i="2"/>
  <c r="BM179" i="2"/>
  <c r="Z179" i="2"/>
  <c r="Y179" i="2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Z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Z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P169" i="2"/>
  <c r="BO169" i="2"/>
  <c r="BN169" i="2"/>
  <c r="BM169" i="2"/>
  <c r="Z169" i="2"/>
  <c r="Y169" i="2"/>
  <c r="P169" i="2"/>
  <c r="BO168" i="2"/>
  <c r="BM168" i="2"/>
  <c r="Y168" i="2"/>
  <c r="BP168" i="2" s="1"/>
  <c r="BO167" i="2"/>
  <c r="BM167" i="2"/>
  <c r="Y167" i="2"/>
  <c r="Z167" i="2" s="1"/>
  <c r="X165" i="2"/>
  <c r="X164" i="2"/>
  <c r="BP163" i="2"/>
  <c r="BO163" i="2"/>
  <c r="BM163" i="2"/>
  <c r="Y163" i="2"/>
  <c r="Y165" i="2" s="1"/>
  <c r="P163" i="2"/>
  <c r="X159" i="2"/>
  <c r="Y158" i="2"/>
  <c r="X158" i="2"/>
  <c r="BP157" i="2"/>
  <c r="BO157" i="2"/>
  <c r="BN157" i="2"/>
  <c r="BM157" i="2"/>
  <c r="Z157" i="2"/>
  <c r="Z158" i="2" s="1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Z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Y155" i="2" s="1"/>
  <c r="P148" i="2"/>
  <c r="X146" i="2"/>
  <c r="X145" i="2"/>
  <c r="BO144" i="2"/>
  <c r="BM144" i="2"/>
  <c r="Z144" i="2"/>
  <c r="Y144" i="2"/>
  <c r="BP144" i="2" s="1"/>
  <c r="P144" i="2"/>
  <c r="BO143" i="2"/>
  <c r="BM143" i="2"/>
  <c r="Y143" i="2"/>
  <c r="P143" i="2"/>
  <c r="X140" i="2"/>
  <c r="X139" i="2"/>
  <c r="BP138" i="2"/>
  <c r="BO138" i="2"/>
  <c r="BM138" i="2"/>
  <c r="Y138" i="2"/>
  <c r="BN138" i="2" s="1"/>
  <c r="P138" i="2"/>
  <c r="BO137" i="2"/>
  <c r="BM137" i="2"/>
  <c r="Y137" i="2"/>
  <c r="Z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Y134" i="2" s="1"/>
  <c r="P132" i="2"/>
  <c r="X130" i="2"/>
  <c r="X129" i="2"/>
  <c r="BO128" i="2"/>
  <c r="BM128" i="2"/>
  <c r="Z128" i="2"/>
  <c r="Y128" i="2"/>
  <c r="BP128" i="2" s="1"/>
  <c r="P128" i="2"/>
  <c r="BO127" i="2"/>
  <c r="BM127" i="2"/>
  <c r="Y127" i="2"/>
  <c r="P127" i="2"/>
  <c r="X124" i="2"/>
  <c r="X123" i="2"/>
  <c r="BO122" i="2"/>
  <c r="BM122" i="2"/>
  <c r="Y122" i="2"/>
  <c r="Y124" i="2" s="1"/>
  <c r="P122" i="2"/>
  <c r="X120" i="2"/>
  <c r="X119" i="2"/>
  <c r="BP118" i="2"/>
  <c r="BO118" i="2"/>
  <c r="BM118" i="2"/>
  <c r="Y118" i="2"/>
  <c r="BN118" i="2" s="1"/>
  <c r="P118" i="2"/>
  <c r="BO117" i="2"/>
  <c r="BM117" i="2"/>
  <c r="Y117" i="2"/>
  <c r="BN117" i="2" s="1"/>
  <c r="P117" i="2"/>
  <c r="BP116" i="2"/>
  <c r="BO116" i="2"/>
  <c r="BN116" i="2"/>
  <c r="BM116" i="2"/>
  <c r="Z116" i="2"/>
  <c r="Y116" i="2"/>
  <c r="P116" i="2"/>
  <c r="BO115" i="2"/>
  <c r="BM115" i="2"/>
  <c r="Y115" i="2"/>
  <c r="Y119" i="2" s="1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P109" i="2"/>
  <c r="BO109" i="2"/>
  <c r="BN109" i="2"/>
  <c r="BM109" i="2"/>
  <c r="Z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F505" i="2" s="1"/>
  <c r="P100" i="2"/>
  <c r="X97" i="2"/>
  <c r="X96" i="2"/>
  <c r="BO95" i="2"/>
  <c r="BM95" i="2"/>
  <c r="Y95" i="2"/>
  <c r="BP95" i="2" s="1"/>
  <c r="P95" i="2"/>
  <c r="BO94" i="2"/>
  <c r="BM94" i="2"/>
  <c r="Z94" i="2"/>
  <c r="Y94" i="2"/>
  <c r="BP94" i="2" s="1"/>
  <c r="P94" i="2"/>
  <c r="BO93" i="2"/>
  <c r="BM93" i="2"/>
  <c r="Y93" i="2"/>
  <c r="P93" i="2"/>
  <c r="BO92" i="2"/>
  <c r="BM92" i="2"/>
  <c r="Y92" i="2"/>
  <c r="BP92" i="2" s="1"/>
  <c r="P92" i="2"/>
  <c r="X90" i="2"/>
  <c r="X89" i="2"/>
  <c r="BO88" i="2"/>
  <c r="BM88" i="2"/>
  <c r="Y88" i="2"/>
  <c r="BP88" i="2" s="1"/>
  <c r="P88" i="2"/>
  <c r="BO87" i="2"/>
  <c r="BM87" i="2"/>
  <c r="Y87" i="2"/>
  <c r="BP87" i="2" s="1"/>
  <c r="P87" i="2"/>
  <c r="BP86" i="2"/>
  <c r="BO86" i="2"/>
  <c r="BN86" i="2"/>
  <c r="BM86" i="2"/>
  <c r="Z86" i="2"/>
  <c r="Y86" i="2"/>
  <c r="P86" i="2"/>
  <c r="BO85" i="2"/>
  <c r="BM85" i="2"/>
  <c r="Y85" i="2"/>
  <c r="P85" i="2"/>
  <c r="X82" i="2"/>
  <c r="X81" i="2"/>
  <c r="BO80" i="2"/>
  <c r="BM80" i="2"/>
  <c r="Y80" i="2"/>
  <c r="Z80" i="2" s="1"/>
  <c r="P80" i="2"/>
  <c r="BP79" i="2"/>
  <c r="BO79" i="2"/>
  <c r="BN79" i="2"/>
  <c r="BM79" i="2"/>
  <c r="Z79" i="2"/>
  <c r="Y79" i="2"/>
  <c r="P79" i="2"/>
  <c r="X77" i="2"/>
  <c r="X76" i="2"/>
  <c r="BO75" i="2"/>
  <c r="BM75" i="2"/>
  <c r="Y75" i="2"/>
  <c r="BP75" i="2" s="1"/>
  <c r="P75" i="2"/>
  <c r="BP74" i="2"/>
  <c r="BO74" i="2"/>
  <c r="BM74" i="2"/>
  <c r="Y74" i="2"/>
  <c r="BN74" i="2" s="1"/>
  <c r="P74" i="2"/>
  <c r="BO73" i="2"/>
  <c r="BM73" i="2"/>
  <c r="Y73" i="2"/>
  <c r="Y76" i="2" s="1"/>
  <c r="P73" i="2"/>
  <c r="BP72" i="2"/>
  <c r="BO72" i="2"/>
  <c r="BN72" i="2"/>
  <c r="BM72" i="2"/>
  <c r="Z72" i="2"/>
  <c r="Y72" i="2"/>
  <c r="P72" i="2"/>
  <c r="X70" i="2"/>
  <c r="X69" i="2"/>
  <c r="BO68" i="2"/>
  <c r="BM68" i="2"/>
  <c r="Y68" i="2"/>
  <c r="P68" i="2"/>
  <c r="BO67" i="2"/>
  <c r="BM67" i="2"/>
  <c r="Y67" i="2"/>
  <c r="BP67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Y65" i="2" s="1"/>
  <c r="P61" i="2"/>
  <c r="X59" i="2"/>
  <c r="X58" i="2"/>
  <c r="BP57" i="2"/>
  <c r="BO57" i="2"/>
  <c r="BN57" i="2"/>
  <c r="BM57" i="2"/>
  <c r="Z57" i="2"/>
  <c r="Y57" i="2"/>
  <c r="P57" i="2"/>
  <c r="BO56" i="2"/>
  <c r="BM56" i="2"/>
  <c r="Y56" i="2"/>
  <c r="P56" i="2"/>
  <c r="BO55" i="2"/>
  <c r="BM55" i="2"/>
  <c r="Y55" i="2"/>
  <c r="BP55" i="2" s="1"/>
  <c r="P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Y52" i="2"/>
  <c r="BP52" i="2" s="1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P41" i="2"/>
  <c r="BO41" i="2"/>
  <c r="BM41" i="2"/>
  <c r="Y41" i="2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495" i="2" s="1"/>
  <c r="X24" i="2"/>
  <c r="X499" i="2" s="1"/>
  <c r="BO23" i="2"/>
  <c r="BM23" i="2"/>
  <c r="Y23" i="2"/>
  <c r="Z23" i="2" s="1"/>
  <c r="P23" i="2"/>
  <c r="BO22" i="2"/>
  <c r="X497" i="2" s="1"/>
  <c r="BM22" i="2"/>
  <c r="X496" i="2" s="1"/>
  <c r="Y22" i="2"/>
  <c r="B505" i="2" s="1"/>
  <c r="P22" i="2"/>
  <c r="H10" i="2"/>
  <c r="A9" i="2"/>
  <c r="J9" i="2" s="1"/>
  <c r="D7" i="2"/>
  <c r="Q6" i="2"/>
  <c r="P2" i="2"/>
  <c r="Z22" i="2" l="1"/>
  <c r="BN22" i="2"/>
  <c r="BP22" i="2"/>
  <c r="BN23" i="2"/>
  <c r="Y45" i="2"/>
  <c r="BN47" i="2"/>
  <c r="BN80" i="2"/>
  <c r="BN92" i="2"/>
  <c r="Y135" i="2"/>
  <c r="BN137" i="2"/>
  <c r="Y145" i="2"/>
  <c r="H505" i="2"/>
  <c r="Y146" i="2"/>
  <c r="BN149" i="2"/>
  <c r="BN171" i="2"/>
  <c r="BN180" i="2"/>
  <c r="Y188" i="2"/>
  <c r="BP222" i="2"/>
  <c r="BN223" i="2"/>
  <c r="Y231" i="2"/>
  <c r="BN235" i="2"/>
  <c r="BP266" i="2"/>
  <c r="BN267" i="2"/>
  <c r="Y276" i="2"/>
  <c r="BP308" i="2"/>
  <c r="BN308" i="2"/>
  <c r="Z308" i="2"/>
  <c r="BP318" i="2"/>
  <c r="BN318" i="2"/>
  <c r="Z318" i="2"/>
  <c r="Y332" i="2"/>
  <c r="BN328" i="2"/>
  <c r="Z328" i="2"/>
  <c r="BP330" i="2"/>
  <c r="BN330" i="2"/>
  <c r="Z330" i="2"/>
  <c r="BP337" i="2"/>
  <c r="BN337" i="2"/>
  <c r="Z337" i="2"/>
  <c r="BP353" i="2"/>
  <c r="BN353" i="2"/>
  <c r="Z353" i="2"/>
  <c r="Y367" i="2"/>
  <c r="BP365" i="2"/>
  <c r="BN365" i="2"/>
  <c r="Z365" i="2"/>
  <c r="BN380" i="2"/>
  <c r="BP380" i="2"/>
  <c r="Y383" i="2"/>
  <c r="BP385" i="2"/>
  <c r="BN385" i="2"/>
  <c r="Z385" i="2"/>
  <c r="BP395" i="2"/>
  <c r="BN395" i="2"/>
  <c r="Z395" i="2"/>
  <c r="BN415" i="2"/>
  <c r="BP415" i="2"/>
  <c r="Y420" i="2"/>
  <c r="BN417" i="2"/>
  <c r="BP434" i="2"/>
  <c r="BN434" i="2"/>
  <c r="Z434" i="2"/>
  <c r="BN436" i="2"/>
  <c r="BP436" i="2"/>
  <c r="BN438" i="2"/>
  <c r="BP438" i="2"/>
  <c r="Y441" i="2"/>
  <c r="BN440" i="2"/>
  <c r="BP450" i="2"/>
  <c r="Y456" i="2"/>
  <c r="BP451" i="2"/>
  <c r="BN451" i="2"/>
  <c r="Z451" i="2"/>
  <c r="BP466" i="2"/>
  <c r="Z466" i="2"/>
  <c r="BN486" i="2"/>
  <c r="Z30" i="2"/>
  <c r="BN30" i="2"/>
  <c r="C505" i="2"/>
  <c r="Z42" i="2"/>
  <c r="BN42" i="2"/>
  <c r="Z55" i="2"/>
  <c r="BN55" i="2"/>
  <c r="Y58" i="2"/>
  <c r="Z61" i="2"/>
  <c r="Z67" i="2"/>
  <c r="BN67" i="2"/>
  <c r="Y70" i="2"/>
  <c r="Z73" i="2"/>
  <c r="Z75" i="2"/>
  <c r="BN75" i="2"/>
  <c r="E505" i="2"/>
  <c r="Z88" i="2"/>
  <c r="BN88" i="2"/>
  <c r="Y89" i="2"/>
  <c r="Y96" i="2"/>
  <c r="Z101" i="2"/>
  <c r="BN101" i="2"/>
  <c r="BN103" i="2"/>
  <c r="BP108" i="2"/>
  <c r="Z111" i="2"/>
  <c r="BN111" i="2"/>
  <c r="Y112" i="2"/>
  <c r="BP115" i="2"/>
  <c r="Z117" i="2"/>
  <c r="Y120" i="2"/>
  <c r="G505" i="2"/>
  <c r="Z132" i="2"/>
  <c r="BN132" i="2"/>
  <c r="BP132" i="2"/>
  <c r="Z143" i="2"/>
  <c r="Z145" i="2" s="1"/>
  <c r="BN143" i="2"/>
  <c r="BP143" i="2"/>
  <c r="Z153" i="2"/>
  <c r="BN153" i="2"/>
  <c r="BN167" i="2"/>
  <c r="Z175" i="2"/>
  <c r="BN175" i="2"/>
  <c r="Z177" i="2"/>
  <c r="BN177" i="2"/>
  <c r="Z186" i="2"/>
  <c r="Z195" i="2"/>
  <c r="Z197" i="2" s="1"/>
  <c r="BN195" i="2"/>
  <c r="BP195" i="2"/>
  <c r="Y197" i="2"/>
  <c r="Z200" i="2"/>
  <c r="BN200" i="2"/>
  <c r="BP200" i="2"/>
  <c r="Z208" i="2"/>
  <c r="BN208" i="2"/>
  <c r="Z210" i="2"/>
  <c r="BN210" i="2"/>
  <c r="Z216" i="2"/>
  <c r="Z219" i="2"/>
  <c r="Z222" i="2"/>
  <c r="Z228" i="2"/>
  <c r="Z230" i="2" s="1"/>
  <c r="BN228" i="2"/>
  <c r="BP228" i="2"/>
  <c r="Z239" i="2"/>
  <c r="BN239" i="2"/>
  <c r="Z241" i="2"/>
  <c r="BN241" i="2"/>
  <c r="Y251" i="2"/>
  <c r="Y252" i="2"/>
  <c r="BP255" i="2"/>
  <c r="BN256" i="2"/>
  <c r="BP257" i="2"/>
  <c r="Z263" i="2"/>
  <c r="Z266" i="2"/>
  <c r="Z274" i="2"/>
  <c r="Y284" i="2"/>
  <c r="BN280" i="2"/>
  <c r="Z282" i="2"/>
  <c r="Y289" i="2"/>
  <c r="Y290" i="2"/>
  <c r="BN292" i="2"/>
  <c r="BP293" i="2"/>
  <c r="Q505" i="2"/>
  <c r="Z299" i="2"/>
  <c r="BP310" i="2"/>
  <c r="BN310" i="2"/>
  <c r="Z310" i="2"/>
  <c r="Y333" i="2"/>
  <c r="Y339" i="2"/>
  <c r="Y338" i="2"/>
  <c r="BP335" i="2"/>
  <c r="BN335" i="2"/>
  <c r="Z335" i="2"/>
  <c r="BP343" i="2"/>
  <c r="BN343" i="2"/>
  <c r="Z343" i="2"/>
  <c r="BP355" i="2"/>
  <c r="BN355" i="2"/>
  <c r="Z355" i="2"/>
  <c r="Y368" i="2"/>
  <c r="Y372" i="2"/>
  <c r="BP370" i="2"/>
  <c r="BN370" i="2"/>
  <c r="Z370" i="2"/>
  <c r="Z371" i="2" s="1"/>
  <c r="Y389" i="2"/>
  <c r="U505" i="2"/>
  <c r="Y403" i="2"/>
  <c r="BN394" i="2"/>
  <c r="Z394" i="2"/>
  <c r="BP397" i="2"/>
  <c r="BN397" i="2"/>
  <c r="Z397" i="2"/>
  <c r="BN406" i="2"/>
  <c r="BP406" i="2"/>
  <c r="BN432" i="2"/>
  <c r="BP432" i="2"/>
  <c r="BN450" i="2"/>
  <c r="Z450" i="2"/>
  <c r="BP453" i="2"/>
  <c r="BN453" i="2"/>
  <c r="Z453" i="2"/>
  <c r="BN472" i="2"/>
  <c r="Z479" i="2"/>
  <c r="Y479" i="2"/>
  <c r="BN478" i="2"/>
  <c r="Z478" i="2"/>
  <c r="BN482" i="2"/>
  <c r="Z482" i="2"/>
  <c r="Z483" i="2" s="1"/>
  <c r="L505" i="2"/>
  <c r="Y303" i="2"/>
  <c r="BP302" i="2"/>
  <c r="Y313" i="2"/>
  <c r="BN322" i="2"/>
  <c r="BP322" i="2"/>
  <c r="Y326" i="2"/>
  <c r="BN324" i="2"/>
  <c r="Y346" i="2"/>
  <c r="Y388" i="2"/>
  <c r="Y408" i="2"/>
  <c r="V505" i="2"/>
  <c r="Y424" i="2"/>
  <c r="Y425" i="2"/>
  <c r="Y442" i="2"/>
  <c r="BP430" i="2"/>
  <c r="BN446" i="2"/>
  <c r="BP446" i="2"/>
  <c r="Y447" i="2"/>
  <c r="Y475" i="2"/>
  <c r="Y480" i="2"/>
  <c r="Z505" i="2"/>
  <c r="Z24" i="2"/>
  <c r="X498" i="2"/>
  <c r="Z81" i="2"/>
  <c r="BP35" i="2"/>
  <c r="Y59" i="2"/>
  <c r="Z68" i="2"/>
  <c r="Z69" i="2" s="1"/>
  <c r="BP93" i="2"/>
  <c r="Z102" i="2"/>
  <c r="BP104" i="2"/>
  <c r="BP127" i="2"/>
  <c r="Z148" i="2"/>
  <c r="BP150" i="2"/>
  <c r="Z170" i="2"/>
  <c r="BP172" i="2"/>
  <c r="Z190" i="2"/>
  <c r="Z191" i="2" s="1"/>
  <c r="BP205" i="2"/>
  <c r="Y214" i="2"/>
  <c r="Z234" i="2"/>
  <c r="BP236" i="2"/>
  <c r="BP246" i="2"/>
  <c r="Y259" i="2"/>
  <c r="BP281" i="2"/>
  <c r="Y304" i="2"/>
  <c r="BP315" i="2"/>
  <c r="Z323" i="2"/>
  <c r="BP350" i="2"/>
  <c r="BP360" i="2"/>
  <c r="Z381" i="2"/>
  <c r="Z382" i="2" s="1"/>
  <c r="Z416" i="2"/>
  <c r="BP418" i="2"/>
  <c r="Z439" i="2"/>
  <c r="BP465" i="2"/>
  <c r="Z473" i="2"/>
  <c r="BP487" i="2"/>
  <c r="I505" i="2"/>
  <c r="J505" i="2"/>
  <c r="H9" i="2"/>
  <c r="BP23" i="2"/>
  <c r="Z31" i="2"/>
  <c r="Y36" i="2"/>
  <c r="BP47" i="2"/>
  <c r="Z56" i="2"/>
  <c r="BN68" i="2"/>
  <c r="BP80" i="2"/>
  <c r="BN102" i="2"/>
  <c r="Y105" i="2"/>
  <c r="Y113" i="2"/>
  <c r="Z122" i="2"/>
  <c r="Z123" i="2" s="1"/>
  <c r="BP137" i="2"/>
  <c r="BN148" i="2"/>
  <c r="BP167" i="2"/>
  <c r="BN170" i="2"/>
  <c r="Z178" i="2"/>
  <c r="BP180" i="2"/>
  <c r="BN190" i="2"/>
  <c r="Z201" i="2"/>
  <c r="Z202" i="2" s="1"/>
  <c r="Z211" i="2"/>
  <c r="Z221" i="2"/>
  <c r="BP223" i="2"/>
  <c r="BN234" i="2"/>
  <c r="Z242" i="2"/>
  <c r="Y247" i="2"/>
  <c r="Z254" i="2"/>
  <c r="BP256" i="2"/>
  <c r="Z265" i="2"/>
  <c r="Z268" i="2" s="1"/>
  <c r="BP267" i="2"/>
  <c r="BP292" i="2"/>
  <c r="Z301" i="2"/>
  <c r="Z303" i="2" s="1"/>
  <c r="Z311" i="2"/>
  <c r="BN323" i="2"/>
  <c r="Z344" i="2"/>
  <c r="Z345" i="2" s="1"/>
  <c r="Z356" i="2"/>
  <c r="BN381" i="2"/>
  <c r="Z393" i="2"/>
  <c r="BN416" i="2"/>
  <c r="Y419" i="2"/>
  <c r="Z429" i="2"/>
  <c r="BN439" i="2"/>
  <c r="Z459" i="2"/>
  <c r="Z460" i="2" s="1"/>
  <c r="BN473" i="2"/>
  <c r="Y488" i="2"/>
  <c r="K505" i="2"/>
  <c r="Y97" i="2"/>
  <c r="A10" i="2"/>
  <c r="Y24" i="2"/>
  <c r="Z43" i="2"/>
  <c r="Y48" i="2"/>
  <c r="BP68" i="2"/>
  <c r="Y81" i="2"/>
  <c r="Y90" i="2"/>
  <c r="Z100" i="2"/>
  <c r="Z110" i="2"/>
  <c r="BN122" i="2"/>
  <c r="Z133" i="2"/>
  <c r="Z134" i="2" s="1"/>
  <c r="BP148" i="2"/>
  <c r="Z168" i="2"/>
  <c r="BN178" i="2"/>
  <c r="Y181" i="2"/>
  <c r="BP190" i="2"/>
  <c r="BN201" i="2"/>
  <c r="BN211" i="2"/>
  <c r="BN221" i="2"/>
  <c r="BP234" i="2"/>
  <c r="BN242" i="2"/>
  <c r="BN254" i="2"/>
  <c r="BN265" i="2"/>
  <c r="Y268" i="2"/>
  <c r="Y277" i="2"/>
  <c r="Z288" i="2"/>
  <c r="Z289" i="2" s="1"/>
  <c r="BN301" i="2"/>
  <c r="BN311" i="2"/>
  <c r="BP323" i="2"/>
  <c r="Z331" i="2"/>
  <c r="BN344" i="2"/>
  <c r="BN356" i="2"/>
  <c r="Z366" i="2"/>
  <c r="Z367" i="2" s="1"/>
  <c r="Y371" i="2"/>
  <c r="BP381" i="2"/>
  <c r="BN393" i="2"/>
  <c r="Z401" i="2"/>
  <c r="BP416" i="2"/>
  <c r="BN429" i="2"/>
  <c r="Z437" i="2"/>
  <c r="BP439" i="2"/>
  <c r="BN459" i="2"/>
  <c r="BP473" i="2"/>
  <c r="M505" i="2"/>
  <c r="Y260" i="2"/>
  <c r="BN31" i="2"/>
  <c r="BN56" i="2"/>
  <c r="Y106" i="2"/>
  <c r="Z115" i="2"/>
  <c r="BP117" i="2"/>
  <c r="BN128" i="2"/>
  <c r="Z138" i="2"/>
  <c r="Z139" i="2" s="1"/>
  <c r="BN151" i="2"/>
  <c r="Y154" i="2"/>
  <c r="Z163" i="2"/>
  <c r="Z164" i="2" s="1"/>
  <c r="BN173" i="2"/>
  <c r="BP196" i="2"/>
  <c r="BN206" i="2"/>
  <c r="BN216" i="2"/>
  <c r="Z224" i="2"/>
  <c r="BN237" i="2"/>
  <c r="Y248" i="2"/>
  <c r="Z257" i="2"/>
  <c r="BN282" i="2"/>
  <c r="Z293" i="2"/>
  <c r="Z294" i="2" s="1"/>
  <c r="BN306" i="2"/>
  <c r="BN316" i="2"/>
  <c r="Y319" i="2"/>
  <c r="BP328" i="2"/>
  <c r="Z336" i="2"/>
  <c r="Z338" i="2" s="1"/>
  <c r="BN351" i="2"/>
  <c r="BN361" i="2"/>
  <c r="Y377" i="2"/>
  <c r="BP386" i="2"/>
  <c r="Z396" i="2"/>
  <c r="Z406" i="2"/>
  <c r="Z407" i="2" s="1"/>
  <c r="Y412" i="2"/>
  <c r="Z432" i="2"/>
  <c r="BP444" i="2"/>
  <c r="Z452" i="2"/>
  <c r="BN466" i="2"/>
  <c r="Y469" i="2"/>
  <c r="BP478" i="2"/>
  <c r="Y489" i="2"/>
  <c r="O505" i="2"/>
  <c r="F9" i="2"/>
  <c r="BP56" i="2"/>
  <c r="BN110" i="2"/>
  <c r="BP122" i="2"/>
  <c r="Y191" i="2"/>
  <c r="BN288" i="2"/>
  <c r="BP301" i="2"/>
  <c r="BN331" i="2"/>
  <c r="BN366" i="2"/>
  <c r="Y382" i="2"/>
  <c r="BP393" i="2"/>
  <c r="BN401" i="2"/>
  <c r="BP429" i="2"/>
  <c r="BN437" i="2"/>
  <c r="BP459" i="2"/>
  <c r="Y474" i="2"/>
  <c r="P505" i="2"/>
  <c r="BN196" i="2"/>
  <c r="Y37" i="2"/>
  <c r="BN61" i="2"/>
  <c r="BP73" i="2"/>
  <c r="BN94" i="2"/>
  <c r="Z54" i="2"/>
  <c r="Z87" i="2"/>
  <c r="BN100" i="2"/>
  <c r="BN168" i="2"/>
  <c r="Y25" i="2"/>
  <c r="Y49" i="2"/>
  <c r="BP61" i="2"/>
  <c r="Y82" i="2"/>
  <c r="Z92" i="2"/>
  <c r="Z103" i="2"/>
  <c r="BN115" i="2"/>
  <c r="Z149" i="2"/>
  <c r="BN163" i="2"/>
  <c r="Z171" i="2"/>
  <c r="Y182" i="2"/>
  <c r="BP216" i="2"/>
  <c r="Z235" i="2"/>
  <c r="Y269" i="2"/>
  <c r="Z280" i="2"/>
  <c r="BP306" i="2"/>
  <c r="Z324" i="2"/>
  <c r="Z417" i="2"/>
  <c r="Z440" i="2"/>
  <c r="Z486" i="2"/>
  <c r="F10" i="2"/>
  <c r="Y64" i="2"/>
  <c r="Z29" i="2"/>
  <c r="BN43" i="2"/>
  <c r="Y69" i="2"/>
  <c r="Y77" i="2"/>
  <c r="BN133" i="2"/>
  <c r="BN29" i="2"/>
  <c r="Y32" i="2"/>
  <c r="Z41" i="2"/>
  <c r="Z44" i="2" s="1"/>
  <c r="BN54" i="2"/>
  <c r="Z74" i="2"/>
  <c r="Z76" i="2" s="1"/>
  <c r="BN87" i="2"/>
  <c r="BP100" i="2"/>
  <c r="Z108" i="2"/>
  <c r="Z118" i="2"/>
  <c r="Y123" i="2"/>
  <c r="BN144" i="2"/>
  <c r="BN176" i="2"/>
  <c r="BN186" i="2"/>
  <c r="Y202" i="2"/>
  <c r="BN209" i="2"/>
  <c r="BN219" i="2"/>
  <c r="BN229" i="2"/>
  <c r="BN240" i="2"/>
  <c r="Y243" i="2"/>
  <c r="Z250" i="2"/>
  <c r="Z251" i="2" s="1"/>
  <c r="BN263" i="2"/>
  <c r="BN274" i="2"/>
  <c r="BN299" i="2"/>
  <c r="BN309" i="2"/>
  <c r="Y312" i="2"/>
  <c r="Y320" i="2"/>
  <c r="Z329" i="2"/>
  <c r="BN342" i="2"/>
  <c r="Y345" i="2"/>
  <c r="BN354" i="2"/>
  <c r="Y357" i="2"/>
  <c r="Y378" i="2"/>
  <c r="Z387" i="2"/>
  <c r="Z388" i="2" s="1"/>
  <c r="Z399" i="2"/>
  <c r="Y413" i="2"/>
  <c r="Z423" i="2"/>
  <c r="Z424" i="2" s="1"/>
  <c r="Z435" i="2"/>
  <c r="Z445" i="2"/>
  <c r="Z447" i="2" s="1"/>
  <c r="Z455" i="2"/>
  <c r="Y460" i="2"/>
  <c r="Y470" i="2"/>
  <c r="Z492" i="2"/>
  <c r="Z493" i="2" s="1"/>
  <c r="R505" i="2"/>
  <c r="S505" i="2"/>
  <c r="Y129" i="2"/>
  <c r="Y283" i="2"/>
  <c r="Y362" i="2"/>
  <c r="Z27" i="2"/>
  <c r="Z32" i="2" s="1"/>
  <c r="BN41" i="2"/>
  <c r="Y44" i="2"/>
  <c r="Z52" i="2"/>
  <c r="Z62" i="2"/>
  <c r="Z64" i="2" s="1"/>
  <c r="Z85" i="2"/>
  <c r="Z89" i="2" s="1"/>
  <c r="Z95" i="2"/>
  <c r="Z152" i="2"/>
  <c r="Z174" i="2"/>
  <c r="Z184" i="2"/>
  <c r="Z187" i="2" s="1"/>
  <c r="Z207" i="2"/>
  <c r="Z217" i="2"/>
  <c r="Z225" i="2" s="1"/>
  <c r="Z238" i="2"/>
  <c r="BN250" i="2"/>
  <c r="Z272" i="2"/>
  <c r="Z276" i="2" s="1"/>
  <c r="Z307" i="2"/>
  <c r="Z312" i="2" s="1"/>
  <c r="Z317" i="2"/>
  <c r="BN329" i="2"/>
  <c r="BP342" i="2"/>
  <c r="Z352" i="2"/>
  <c r="Z375" i="2"/>
  <c r="Z377" i="2" s="1"/>
  <c r="BN387" i="2"/>
  <c r="BN399" i="2"/>
  <c r="Y402" i="2"/>
  <c r="BN423" i="2"/>
  <c r="BN435" i="2"/>
  <c r="BN445" i="2"/>
  <c r="BN455" i="2"/>
  <c r="Z467" i="2"/>
  <c r="BN492" i="2"/>
  <c r="T505" i="2"/>
  <c r="BN73" i="2"/>
  <c r="Y33" i="2"/>
  <c r="Y139" i="2"/>
  <c r="Y164" i="2"/>
  <c r="Y225" i="2"/>
  <c r="BP280" i="2"/>
  <c r="Y294" i="2"/>
  <c r="Y358" i="2"/>
  <c r="Y407" i="2"/>
  <c r="Z472" i="2"/>
  <c r="Z474" i="2" s="1"/>
  <c r="BN27" i="2"/>
  <c r="BN52" i="2"/>
  <c r="BN62" i="2"/>
  <c r="BN85" i="2"/>
  <c r="BN95" i="2"/>
  <c r="Y130" i="2"/>
  <c r="BN152" i="2"/>
  <c r="BN174" i="2"/>
  <c r="BN184" i="2"/>
  <c r="Y187" i="2"/>
  <c r="BN207" i="2"/>
  <c r="BN217" i="2"/>
  <c r="BN238" i="2"/>
  <c r="BN272" i="2"/>
  <c r="BN307" i="2"/>
  <c r="BN317" i="2"/>
  <c r="BN352" i="2"/>
  <c r="Y363" i="2"/>
  <c r="BN375" i="2"/>
  <c r="BP423" i="2"/>
  <c r="BN467" i="2"/>
  <c r="BP492" i="2"/>
  <c r="D505" i="2"/>
  <c r="Z35" i="2"/>
  <c r="Z36" i="2" s="1"/>
  <c r="BP85" i="2"/>
  <c r="Z93" i="2"/>
  <c r="Z104" i="2"/>
  <c r="Z127" i="2"/>
  <c r="Z129" i="2" s="1"/>
  <c r="Y140" i="2"/>
  <c r="Z150" i="2"/>
  <c r="Z172" i="2"/>
  <c r="Z205" i="2"/>
  <c r="Z236" i="2"/>
  <c r="Z246" i="2"/>
  <c r="Z247" i="2" s="1"/>
  <c r="Z281" i="2"/>
  <c r="Y295" i="2"/>
  <c r="Z315" i="2"/>
  <c r="Z319" i="2" s="1"/>
  <c r="Z350" i="2"/>
  <c r="Z357" i="2" s="1"/>
  <c r="Z360" i="2"/>
  <c r="Z362" i="2" s="1"/>
  <c r="Z418" i="2"/>
  <c r="Z465" i="2"/>
  <c r="Z487" i="2"/>
  <c r="X505" i="2"/>
  <c r="Y213" i="2"/>
  <c r="Y505" i="2"/>
  <c r="Y325" i="2"/>
  <c r="BN93" i="2"/>
  <c r="BN127" i="2"/>
  <c r="Z283" i="2" l="1"/>
  <c r="Z456" i="2"/>
  <c r="Z332" i="2"/>
  <c r="Z259" i="2"/>
  <c r="Z419" i="2"/>
  <c r="Z325" i="2"/>
  <c r="Y496" i="2"/>
  <c r="Z119" i="2"/>
  <c r="Z181" i="2"/>
  <c r="Y497" i="2"/>
  <c r="Z154" i="2"/>
  <c r="Z441" i="2"/>
  <c r="Z58" i="2"/>
  <c r="Z402" i="2"/>
  <c r="Z96" i="2"/>
  <c r="Z105" i="2"/>
  <c r="Z243" i="2"/>
  <c r="Z213" i="2"/>
  <c r="Z469" i="2"/>
  <c r="Z488" i="2"/>
  <c r="Y495" i="2"/>
  <c r="Z112" i="2"/>
  <c r="Y499" i="2"/>
  <c r="Z500" i="2" l="1"/>
  <c r="Y498" i="2"/>
</calcChain>
</file>

<file path=xl/sharedStrings.xml><?xml version="1.0" encoding="utf-8"?>
<sst xmlns="http://schemas.openxmlformats.org/spreadsheetml/2006/main" count="3661" uniqueCount="782">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</sst>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zoomScaleNormal="100" zoomScaleSheetLayoutView="100" workbookViewId="0">
      <selection activeCell="AA13" sqref="AA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62" t="s">
        <v>26</v>
      </c>
      <c r="E1" s="562"/>
      <c r="F1" s="562"/>
      <c r="G1" s="14" t="s">
        <v>66</v>
      </c>
      <c r="H1" s="562" t="s">
        <v>46</v>
      </c>
      <c r="I1" s="562"/>
      <c r="J1" s="562"/>
      <c r="K1" s="562"/>
      <c r="L1" s="562"/>
      <c r="M1" s="562"/>
      <c r="N1" s="562"/>
      <c r="O1" s="562"/>
      <c r="P1" s="562"/>
      <c r="Q1" s="562"/>
      <c r="R1" s="563" t="s">
        <v>67</v>
      </c>
      <c r="S1" s="564"/>
      <c r="T1" s="5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5"/>
      <c r="R2" s="565"/>
      <c r="S2" s="565"/>
      <c r="T2" s="565"/>
      <c r="U2" s="565"/>
      <c r="V2" s="565"/>
      <c r="W2" s="5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5"/>
      <c r="Q3" s="565"/>
      <c r="R3" s="565"/>
      <c r="S3" s="565"/>
      <c r="T3" s="565"/>
      <c r="U3" s="565"/>
      <c r="V3" s="565"/>
      <c r="W3" s="5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6" t="s">
        <v>8</v>
      </c>
      <c r="B5" s="566"/>
      <c r="C5" s="566"/>
      <c r="D5" s="567"/>
      <c r="E5" s="567"/>
      <c r="F5" s="568" t="s">
        <v>14</v>
      </c>
      <c r="G5" s="568"/>
      <c r="H5" s="567"/>
      <c r="I5" s="567"/>
      <c r="J5" s="567"/>
      <c r="K5" s="567"/>
      <c r="L5" s="567"/>
      <c r="M5" s="567"/>
      <c r="N5" s="72"/>
      <c r="P5" s="27" t="s">
        <v>4</v>
      </c>
      <c r="Q5" s="569">
        <v>46024</v>
      </c>
      <c r="R5" s="570"/>
      <c r="T5" s="571" t="s">
        <v>3</v>
      </c>
      <c r="U5" s="572"/>
      <c r="V5" s="573" t="s">
        <v>768</v>
      </c>
      <c r="W5" s="574"/>
      <c r="AB5" s="59"/>
      <c r="AC5" s="59"/>
      <c r="AD5" s="59"/>
      <c r="AE5" s="59"/>
    </row>
    <row r="6" spans="1:32" s="17" customFormat="1" ht="24" customHeight="1" x14ac:dyDescent="0.2">
      <c r="A6" s="566" t="s">
        <v>1</v>
      </c>
      <c r="B6" s="566"/>
      <c r="C6" s="566"/>
      <c r="D6" s="575" t="s">
        <v>75</v>
      </c>
      <c r="E6" s="575"/>
      <c r="F6" s="575"/>
      <c r="G6" s="575"/>
      <c r="H6" s="575"/>
      <c r="I6" s="575"/>
      <c r="J6" s="575"/>
      <c r="K6" s="575"/>
      <c r="L6" s="575"/>
      <c r="M6" s="575"/>
      <c r="N6" s="73"/>
      <c r="P6" s="27" t="s">
        <v>27</v>
      </c>
      <c r="Q6" s="576" t="str">
        <f>IF(Q5=0," ",CHOOSE(WEEKDAY(Q5,2),"Понедельник","Вторник","Среда","Четверг","Пятница","Суббота","Воскресенье"))</f>
        <v>Пятница</v>
      </c>
      <c r="R6" s="576"/>
      <c r="T6" s="577" t="s">
        <v>5</v>
      </c>
      <c r="U6" s="578"/>
      <c r="V6" s="579" t="s">
        <v>69</v>
      </c>
      <c r="W6" s="58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5" t="str">
        <f>IFERROR(VLOOKUP(DeliveryAddress,Table,3,0),1)</f>
        <v>1</v>
      </c>
      <c r="E7" s="586"/>
      <c r="F7" s="586"/>
      <c r="G7" s="586"/>
      <c r="H7" s="586"/>
      <c r="I7" s="586"/>
      <c r="J7" s="586"/>
      <c r="K7" s="586"/>
      <c r="L7" s="586"/>
      <c r="M7" s="587"/>
      <c r="N7" s="74"/>
      <c r="P7" s="29"/>
      <c r="Q7" s="48"/>
      <c r="R7" s="48"/>
      <c r="T7" s="577"/>
      <c r="U7" s="578"/>
      <c r="V7" s="581"/>
      <c r="W7" s="582"/>
      <c r="AB7" s="59"/>
      <c r="AC7" s="59"/>
      <c r="AD7" s="59"/>
      <c r="AE7" s="59"/>
    </row>
    <row r="8" spans="1:32" s="17" customFormat="1" ht="25.5" customHeight="1" x14ac:dyDescent="0.2">
      <c r="A8" s="588" t="s">
        <v>57</v>
      </c>
      <c r="B8" s="588"/>
      <c r="C8" s="588"/>
      <c r="D8" s="589" t="s">
        <v>76</v>
      </c>
      <c r="E8" s="589"/>
      <c r="F8" s="589"/>
      <c r="G8" s="589"/>
      <c r="H8" s="589"/>
      <c r="I8" s="589"/>
      <c r="J8" s="589"/>
      <c r="K8" s="589"/>
      <c r="L8" s="589"/>
      <c r="M8" s="589"/>
      <c r="N8" s="75"/>
      <c r="P8" s="27" t="s">
        <v>11</v>
      </c>
      <c r="Q8" s="590">
        <v>0.375</v>
      </c>
      <c r="R8" s="591"/>
      <c r="T8" s="577"/>
      <c r="U8" s="578"/>
      <c r="V8" s="581"/>
      <c r="W8" s="582"/>
      <c r="AB8" s="59"/>
      <c r="AC8" s="59"/>
      <c r="AD8" s="59"/>
      <c r="AE8" s="59"/>
    </row>
    <row r="9" spans="1:32" s="17" customFormat="1" ht="39.950000000000003" customHeight="1" x14ac:dyDescent="0.2">
      <c r="A9" s="5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2"/>
      <c r="C9" s="592"/>
      <c r="D9" s="593" t="s">
        <v>45</v>
      </c>
      <c r="E9" s="594"/>
      <c r="F9" s="5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2"/>
      <c r="H9" s="595" t="str">
        <f>IF(AND($A$9="Тип доверенности/получателя при получении в адресе перегруза:",$D$9="Разовая доверенность"),"Введите ФИО","")</f>
        <v/>
      </c>
      <c r="I9" s="595"/>
      <c r="J9" s="5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5"/>
      <c r="L9" s="595"/>
      <c r="M9" s="595"/>
      <c r="N9" s="70"/>
      <c r="P9" s="31" t="s">
        <v>15</v>
      </c>
      <c r="Q9" s="596"/>
      <c r="R9" s="596"/>
      <c r="T9" s="577"/>
      <c r="U9" s="578"/>
      <c r="V9" s="583"/>
      <c r="W9" s="58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2"/>
      <c r="C10" s="592"/>
      <c r="D10" s="593"/>
      <c r="E10" s="594"/>
      <c r="F10" s="5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2"/>
      <c r="H10" s="597" t="str">
        <f>IFERROR(VLOOKUP($D$10,Proxy,2,FALSE),"")</f>
        <v/>
      </c>
      <c r="I10" s="597"/>
      <c r="J10" s="597"/>
      <c r="K10" s="597"/>
      <c r="L10" s="597"/>
      <c r="M10" s="597"/>
      <c r="N10" s="71"/>
      <c r="P10" s="31" t="s">
        <v>32</v>
      </c>
      <c r="Q10" s="598"/>
      <c r="R10" s="598"/>
      <c r="U10" s="29" t="s">
        <v>12</v>
      </c>
      <c r="V10" s="599" t="s">
        <v>70</v>
      </c>
      <c r="W10" s="60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1"/>
      <c r="R11" s="601"/>
      <c r="U11" s="29" t="s">
        <v>28</v>
      </c>
      <c r="V11" s="602" t="s">
        <v>54</v>
      </c>
      <c r="W11" s="60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03" t="s">
        <v>71</v>
      </c>
      <c r="B12" s="603"/>
      <c r="C12" s="603"/>
      <c r="D12" s="603"/>
      <c r="E12" s="603"/>
      <c r="F12" s="603"/>
      <c r="G12" s="603"/>
      <c r="H12" s="603"/>
      <c r="I12" s="603"/>
      <c r="J12" s="603"/>
      <c r="K12" s="603"/>
      <c r="L12" s="603"/>
      <c r="M12" s="603"/>
      <c r="N12" s="76"/>
      <c r="P12" s="27" t="s">
        <v>30</v>
      </c>
      <c r="Q12" s="590"/>
      <c r="R12" s="590"/>
      <c r="S12" s="28"/>
      <c r="T12"/>
      <c r="U12" s="29" t="s">
        <v>45</v>
      </c>
      <c r="V12" s="604"/>
      <c r="W12" s="604"/>
      <c r="X12"/>
      <c r="AB12" s="59"/>
      <c r="AC12" s="59"/>
      <c r="AD12" s="59"/>
      <c r="AE12" s="59"/>
    </row>
    <row r="13" spans="1:32" s="17" customFormat="1" ht="23.25" customHeight="1" x14ac:dyDescent="0.2">
      <c r="A13" s="603" t="s">
        <v>72</v>
      </c>
      <c r="B13" s="603"/>
      <c r="C13" s="603"/>
      <c r="D13" s="603"/>
      <c r="E13" s="603"/>
      <c r="F13" s="603"/>
      <c r="G13" s="603"/>
      <c r="H13" s="603"/>
      <c r="I13" s="603"/>
      <c r="J13" s="603"/>
      <c r="K13" s="603"/>
      <c r="L13" s="603"/>
      <c r="M13" s="603"/>
      <c r="N13" s="76"/>
      <c r="O13" s="31"/>
      <c r="P13" s="31" t="s">
        <v>31</v>
      </c>
      <c r="Q13" s="602"/>
      <c r="R13" s="60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03" t="s">
        <v>73</v>
      </c>
      <c r="B14" s="603"/>
      <c r="C14" s="603"/>
      <c r="D14" s="603"/>
      <c r="E14" s="603"/>
      <c r="F14" s="603"/>
      <c r="G14" s="603"/>
      <c r="H14" s="603"/>
      <c r="I14" s="603"/>
      <c r="J14" s="603"/>
      <c r="K14" s="603"/>
      <c r="L14" s="603"/>
      <c r="M14" s="60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5" t="s">
        <v>74</v>
      </c>
      <c r="B15" s="605"/>
      <c r="C15" s="605"/>
      <c r="D15" s="605"/>
      <c r="E15" s="605"/>
      <c r="F15" s="605"/>
      <c r="G15" s="605"/>
      <c r="H15" s="605"/>
      <c r="I15" s="605"/>
      <c r="J15" s="605"/>
      <c r="K15" s="605"/>
      <c r="L15" s="605"/>
      <c r="M15" s="605"/>
      <c r="N15" s="77"/>
      <c r="O15"/>
      <c r="P15" s="606" t="s">
        <v>60</v>
      </c>
      <c r="Q15" s="606"/>
      <c r="R15" s="606"/>
      <c r="S15" s="606"/>
      <c r="T15" s="60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7"/>
      <c r="Q16" s="607"/>
      <c r="R16" s="607"/>
      <c r="S16" s="607"/>
      <c r="T16" s="60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0" t="s">
        <v>58</v>
      </c>
      <c r="B17" s="610" t="s">
        <v>48</v>
      </c>
      <c r="C17" s="612" t="s">
        <v>47</v>
      </c>
      <c r="D17" s="614" t="s">
        <v>49</v>
      </c>
      <c r="E17" s="615"/>
      <c r="F17" s="610" t="s">
        <v>21</v>
      </c>
      <c r="G17" s="610" t="s">
        <v>24</v>
      </c>
      <c r="H17" s="610" t="s">
        <v>22</v>
      </c>
      <c r="I17" s="610" t="s">
        <v>23</v>
      </c>
      <c r="J17" s="610" t="s">
        <v>16</v>
      </c>
      <c r="K17" s="610" t="s">
        <v>65</v>
      </c>
      <c r="L17" s="610" t="s">
        <v>63</v>
      </c>
      <c r="M17" s="610" t="s">
        <v>2</v>
      </c>
      <c r="N17" s="610" t="s">
        <v>62</v>
      </c>
      <c r="O17" s="610" t="s">
        <v>25</v>
      </c>
      <c r="P17" s="614" t="s">
        <v>17</v>
      </c>
      <c r="Q17" s="618"/>
      <c r="R17" s="618"/>
      <c r="S17" s="618"/>
      <c r="T17" s="615"/>
      <c r="U17" s="608" t="s">
        <v>55</v>
      </c>
      <c r="V17" s="609"/>
      <c r="W17" s="610" t="s">
        <v>6</v>
      </c>
      <c r="X17" s="610" t="s">
        <v>41</v>
      </c>
      <c r="Y17" s="620" t="s">
        <v>53</v>
      </c>
      <c r="Z17" s="622" t="s">
        <v>18</v>
      </c>
      <c r="AA17" s="624" t="s">
        <v>59</v>
      </c>
      <c r="AB17" s="624" t="s">
        <v>19</v>
      </c>
      <c r="AC17" s="624" t="s">
        <v>64</v>
      </c>
      <c r="AD17" s="626" t="s">
        <v>56</v>
      </c>
      <c r="AE17" s="627"/>
      <c r="AF17" s="628"/>
      <c r="AG17" s="82"/>
      <c r="BD17" s="81" t="s">
        <v>61</v>
      </c>
    </row>
    <row r="18" spans="1:68" ht="14.25" customHeight="1" x14ac:dyDescent="0.2">
      <c r="A18" s="611"/>
      <c r="B18" s="611"/>
      <c r="C18" s="613"/>
      <c r="D18" s="616"/>
      <c r="E18" s="617"/>
      <c r="F18" s="611"/>
      <c r="G18" s="611"/>
      <c r="H18" s="611"/>
      <c r="I18" s="611"/>
      <c r="J18" s="611"/>
      <c r="K18" s="611"/>
      <c r="L18" s="611"/>
      <c r="M18" s="611"/>
      <c r="N18" s="611"/>
      <c r="O18" s="611"/>
      <c r="P18" s="616"/>
      <c r="Q18" s="619"/>
      <c r="R18" s="619"/>
      <c r="S18" s="619"/>
      <c r="T18" s="617"/>
      <c r="U18" s="83" t="s">
        <v>44</v>
      </c>
      <c r="V18" s="83" t="s">
        <v>43</v>
      </c>
      <c r="W18" s="611"/>
      <c r="X18" s="611"/>
      <c r="Y18" s="621"/>
      <c r="Z18" s="623"/>
      <c r="AA18" s="625"/>
      <c r="AB18" s="625"/>
      <c r="AC18" s="625"/>
      <c r="AD18" s="629"/>
      <c r="AE18" s="630"/>
      <c r="AF18" s="631"/>
      <c r="AG18" s="82"/>
      <c r="BD18" s="81"/>
    </row>
    <row r="19" spans="1:68" ht="27.75" customHeight="1" x14ac:dyDescent="0.2">
      <c r="A19" s="632" t="s">
        <v>77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54"/>
      <c r="AB19" s="54"/>
      <c r="AC19" s="54"/>
    </row>
    <row r="20" spans="1:68" ht="16.5" customHeight="1" x14ac:dyDescent="0.25">
      <c r="A20" s="633" t="s">
        <v>77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5"/>
      <c r="AB20" s="65"/>
      <c r="AC20" s="79"/>
    </row>
    <row r="21" spans="1:68" ht="14.25" customHeight="1" x14ac:dyDescent="0.25">
      <c r="A21" s="634" t="s">
        <v>78</v>
      </c>
      <c r="B21" s="634"/>
      <c r="C21" s="634"/>
      <c r="D21" s="634"/>
      <c r="E21" s="634"/>
      <c r="F21" s="634"/>
      <c r="G21" s="634"/>
      <c r="H21" s="634"/>
      <c r="I21" s="634"/>
      <c r="J21" s="634"/>
      <c r="K21" s="634"/>
      <c r="L21" s="634"/>
      <c r="M21" s="634"/>
      <c r="N21" s="634"/>
      <c r="O21" s="634"/>
      <c r="P21" s="634"/>
      <c r="Q21" s="634"/>
      <c r="R21" s="634"/>
      <c r="S21" s="634"/>
      <c r="T21" s="634"/>
      <c r="U21" s="634"/>
      <c r="V21" s="634"/>
      <c r="W21" s="634"/>
      <c r="X21" s="634"/>
      <c r="Y21" s="634"/>
      <c r="Z21" s="63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5">
        <v>4680115887510</v>
      </c>
      <c r="E22" s="63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7"/>
      <c r="R22" s="637"/>
      <c r="S22" s="637"/>
      <c r="T22" s="63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5">
        <v>4680115886643</v>
      </c>
      <c r="E23" s="63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7"/>
      <c r="R23" s="637"/>
      <c r="S23" s="637"/>
      <c r="T23" s="63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4" t="s">
        <v>88</v>
      </c>
      <c r="B26" s="634"/>
      <c r="C26" s="634"/>
      <c r="D26" s="634"/>
      <c r="E26" s="634"/>
      <c r="F26" s="634"/>
      <c r="G26" s="634"/>
      <c r="H26" s="634"/>
      <c r="I26" s="634"/>
      <c r="J26" s="634"/>
      <c r="K26" s="634"/>
      <c r="L26" s="634"/>
      <c r="M26" s="634"/>
      <c r="N26" s="634"/>
      <c r="O26" s="634"/>
      <c r="P26" s="634"/>
      <c r="Q26" s="634"/>
      <c r="R26" s="634"/>
      <c r="S26" s="634"/>
      <c r="T26" s="634"/>
      <c r="U26" s="634"/>
      <c r="V26" s="634"/>
      <c r="W26" s="634"/>
      <c r="X26" s="634"/>
      <c r="Y26" s="634"/>
      <c r="Z26" s="63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5">
        <v>4680115885912</v>
      </c>
      <c r="E27" s="63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7"/>
      <c r="R27" s="637"/>
      <c r="S27" s="637"/>
      <c r="T27" s="63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5">
        <v>4607091388237</v>
      </c>
      <c r="E28" s="63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7"/>
      <c r="R28" s="637"/>
      <c r="S28" s="637"/>
      <c r="T28" s="63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5">
        <v>4680115887350</v>
      </c>
      <c r="E29" s="63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7"/>
      <c r="R29" s="637"/>
      <c r="S29" s="637"/>
      <c r="T29" s="63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5">
        <v>4680115885905</v>
      </c>
      <c r="E30" s="63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7"/>
      <c r="R30" s="637"/>
      <c r="S30" s="637"/>
      <c r="T30" s="63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35">
        <v>4607091388244</v>
      </c>
      <c r="E31" s="63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7"/>
      <c r="R31" s="637"/>
      <c r="S31" s="637"/>
      <c r="T31" s="63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4" t="s">
        <v>104</v>
      </c>
      <c r="B34" s="634"/>
      <c r="C34" s="634"/>
      <c r="D34" s="634"/>
      <c r="E34" s="634"/>
      <c r="F34" s="634"/>
      <c r="G34" s="634"/>
      <c r="H34" s="634"/>
      <c r="I34" s="634"/>
      <c r="J34" s="634"/>
      <c r="K34" s="634"/>
      <c r="L34" s="634"/>
      <c r="M34" s="634"/>
      <c r="N34" s="634"/>
      <c r="O34" s="634"/>
      <c r="P34" s="634"/>
      <c r="Q34" s="634"/>
      <c r="R34" s="634"/>
      <c r="S34" s="634"/>
      <c r="T34" s="634"/>
      <c r="U34" s="634"/>
      <c r="V34" s="634"/>
      <c r="W34" s="634"/>
      <c r="X34" s="634"/>
      <c r="Y34" s="634"/>
      <c r="Z34" s="634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35">
        <v>4607091388503</v>
      </c>
      <c r="E35" s="63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5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7"/>
      <c r="R35" s="637"/>
      <c r="S35" s="637"/>
      <c r="T35" s="63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32" t="s">
        <v>110</v>
      </c>
      <c r="B38" s="632"/>
      <c r="C38" s="632"/>
      <c r="D38" s="632"/>
      <c r="E38" s="632"/>
      <c r="F38" s="632"/>
      <c r="G38" s="632"/>
      <c r="H38" s="632"/>
      <c r="I38" s="632"/>
      <c r="J38" s="632"/>
      <c r="K38" s="632"/>
      <c r="L38" s="632"/>
      <c r="M38" s="632"/>
      <c r="N38" s="632"/>
      <c r="O38" s="632"/>
      <c r="P38" s="632"/>
      <c r="Q38" s="632"/>
      <c r="R38" s="632"/>
      <c r="S38" s="632"/>
      <c r="T38" s="632"/>
      <c r="U38" s="632"/>
      <c r="V38" s="632"/>
      <c r="W38" s="632"/>
      <c r="X38" s="632"/>
      <c r="Y38" s="632"/>
      <c r="Z38" s="632"/>
      <c r="AA38" s="54"/>
      <c r="AB38" s="54"/>
      <c r="AC38" s="54"/>
    </row>
    <row r="39" spans="1:68" ht="16.5" customHeight="1" x14ac:dyDescent="0.25">
      <c r="A39" s="633" t="s">
        <v>111</v>
      </c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65"/>
      <c r="AB39" s="65"/>
      <c r="AC39" s="79"/>
    </row>
    <row r="40" spans="1:68" ht="14.25" customHeight="1" x14ac:dyDescent="0.25">
      <c r="A40" s="634" t="s">
        <v>112</v>
      </c>
      <c r="B40" s="634"/>
      <c r="C40" s="634"/>
      <c r="D40" s="634"/>
      <c r="E40" s="634"/>
      <c r="F40" s="634"/>
      <c r="G40" s="634"/>
      <c r="H40" s="634"/>
      <c r="I40" s="634"/>
      <c r="J40" s="634"/>
      <c r="K40" s="634"/>
      <c r="L40" s="634"/>
      <c r="M40" s="634"/>
      <c r="N40" s="634"/>
      <c r="O40" s="634"/>
      <c r="P40" s="634"/>
      <c r="Q40" s="634"/>
      <c r="R40" s="634"/>
      <c r="S40" s="634"/>
      <c r="T40" s="634"/>
      <c r="U40" s="634"/>
      <c r="V40" s="634"/>
      <c r="W40" s="634"/>
      <c r="X40" s="634"/>
      <c r="Y40" s="634"/>
      <c r="Z40" s="634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35">
        <v>4607091385670</v>
      </c>
      <c r="E41" s="63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7"/>
      <c r="R41" s="637"/>
      <c r="S41" s="637"/>
      <c r="T41" s="63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35">
        <v>4680115882539</v>
      </c>
      <c r="E42" s="635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45</v>
      </c>
      <c r="M42" s="38" t="s">
        <v>92</v>
      </c>
      <c r="N42" s="38"/>
      <c r="O42" s="37">
        <v>50</v>
      </c>
      <c r="P42" s="6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7"/>
      <c r="R42" s="637"/>
      <c r="S42" s="637"/>
      <c r="T42" s="63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123</v>
      </c>
      <c r="B43" s="63" t="s">
        <v>124</v>
      </c>
      <c r="C43" s="36">
        <v>4301011382</v>
      </c>
      <c r="D43" s="635">
        <v>4607091385687</v>
      </c>
      <c r="E43" s="635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125</v>
      </c>
      <c r="M43" s="38" t="s">
        <v>92</v>
      </c>
      <c r="N43" s="38"/>
      <c r="O43" s="37">
        <v>50</v>
      </c>
      <c r="P43" s="6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37"/>
      <c r="R43" s="637"/>
      <c r="S43" s="637"/>
      <c r="T43" s="63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119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0" t="s">
        <v>40</v>
      </c>
      <c r="Q44" s="641"/>
      <c r="R44" s="641"/>
      <c r="S44" s="641"/>
      <c r="T44" s="641"/>
      <c r="U44" s="641"/>
      <c r="V44" s="64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43"/>
      <c r="B45" s="643"/>
      <c r="C45" s="643"/>
      <c r="D45" s="643"/>
      <c r="E45" s="643"/>
      <c r="F45" s="643"/>
      <c r="G45" s="643"/>
      <c r="H45" s="643"/>
      <c r="I45" s="643"/>
      <c r="J45" s="643"/>
      <c r="K45" s="643"/>
      <c r="L45" s="643"/>
      <c r="M45" s="643"/>
      <c r="N45" s="643"/>
      <c r="O45" s="644"/>
      <c r="P45" s="640" t="s">
        <v>40</v>
      </c>
      <c r="Q45" s="641"/>
      <c r="R45" s="641"/>
      <c r="S45" s="641"/>
      <c r="T45" s="641"/>
      <c r="U45" s="641"/>
      <c r="V45" s="64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34" t="s">
        <v>88</v>
      </c>
      <c r="B46" s="634"/>
      <c r="C46" s="634"/>
      <c r="D46" s="634"/>
      <c r="E46" s="634"/>
      <c r="F46" s="634"/>
      <c r="G46" s="634"/>
      <c r="H46" s="634"/>
      <c r="I46" s="634"/>
      <c r="J46" s="634"/>
      <c r="K46" s="634"/>
      <c r="L46" s="634"/>
      <c r="M46" s="634"/>
      <c r="N46" s="634"/>
      <c r="O46" s="634"/>
      <c r="P46" s="634"/>
      <c r="Q46" s="634"/>
      <c r="R46" s="634"/>
      <c r="S46" s="634"/>
      <c r="T46" s="634"/>
      <c r="U46" s="634"/>
      <c r="V46" s="634"/>
      <c r="W46" s="634"/>
      <c r="X46" s="634"/>
      <c r="Y46" s="634"/>
      <c r="Z46" s="634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635">
        <v>4680115884915</v>
      </c>
      <c r="E47" s="63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7"/>
      <c r="R47" s="637"/>
      <c r="S47" s="637"/>
      <c r="T47" s="63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43"/>
      <c r="B48" s="643"/>
      <c r="C48" s="643"/>
      <c r="D48" s="643"/>
      <c r="E48" s="643"/>
      <c r="F48" s="643"/>
      <c r="G48" s="643"/>
      <c r="H48" s="643"/>
      <c r="I48" s="643"/>
      <c r="J48" s="643"/>
      <c r="K48" s="643"/>
      <c r="L48" s="643"/>
      <c r="M48" s="643"/>
      <c r="N48" s="643"/>
      <c r="O48" s="644"/>
      <c r="P48" s="640" t="s">
        <v>40</v>
      </c>
      <c r="Q48" s="641"/>
      <c r="R48" s="641"/>
      <c r="S48" s="641"/>
      <c r="T48" s="641"/>
      <c r="U48" s="641"/>
      <c r="V48" s="64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43"/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4"/>
      <c r="P49" s="640" t="s">
        <v>40</v>
      </c>
      <c r="Q49" s="641"/>
      <c r="R49" s="641"/>
      <c r="S49" s="641"/>
      <c r="T49" s="641"/>
      <c r="U49" s="641"/>
      <c r="V49" s="64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33" t="s">
        <v>129</v>
      </c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633"/>
      <c r="T50" s="633"/>
      <c r="U50" s="633"/>
      <c r="V50" s="633"/>
      <c r="W50" s="633"/>
      <c r="X50" s="633"/>
      <c r="Y50" s="633"/>
      <c r="Z50" s="633"/>
      <c r="AA50" s="65"/>
      <c r="AB50" s="65"/>
      <c r="AC50" s="79"/>
    </row>
    <row r="51" spans="1:68" ht="14.25" customHeight="1" x14ac:dyDescent="0.25">
      <c r="A51" s="634" t="s">
        <v>112</v>
      </c>
      <c r="B51" s="634"/>
      <c r="C51" s="634"/>
      <c r="D51" s="634"/>
      <c r="E51" s="634"/>
      <c r="F51" s="634"/>
      <c r="G51" s="634"/>
      <c r="H51" s="634"/>
      <c r="I51" s="634"/>
      <c r="J51" s="634"/>
      <c r="K51" s="634"/>
      <c r="L51" s="634"/>
      <c r="M51" s="634"/>
      <c r="N51" s="634"/>
      <c r="O51" s="634"/>
      <c r="P51" s="634"/>
      <c r="Q51" s="634"/>
      <c r="R51" s="634"/>
      <c r="S51" s="634"/>
      <c r="T51" s="634"/>
      <c r="U51" s="634"/>
      <c r="V51" s="634"/>
      <c r="W51" s="634"/>
      <c r="X51" s="634"/>
      <c r="Y51" s="634"/>
      <c r="Z51" s="634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635">
        <v>4680115885882</v>
      </c>
      <c r="E52" s="63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7"/>
      <c r="R52" s="637"/>
      <c r="S52" s="637"/>
      <c r="T52" s="63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635">
        <v>4680115881426</v>
      </c>
      <c r="E53" s="63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65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7"/>
      <c r="R53" s="637"/>
      <c r="S53" s="637"/>
      <c r="T53" s="63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635">
        <v>4680115880283</v>
      </c>
      <c r="E54" s="63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5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7"/>
      <c r="R54" s="637"/>
      <c r="S54" s="637"/>
      <c r="T54" s="63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635">
        <v>4680115881525</v>
      </c>
      <c r="E55" s="63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45</v>
      </c>
      <c r="M55" s="38" t="s">
        <v>116</v>
      </c>
      <c r="N55" s="38"/>
      <c r="O55" s="37">
        <v>50</v>
      </c>
      <c r="P55" s="65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7"/>
      <c r="R55" s="637"/>
      <c r="S55" s="637"/>
      <c r="T55" s="63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635">
        <v>4680115885899</v>
      </c>
      <c r="E56" s="63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7"/>
      <c r="R56" s="637"/>
      <c r="S56" s="637"/>
      <c r="T56" s="63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635">
        <v>4680115881419</v>
      </c>
      <c r="E57" s="63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45</v>
      </c>
      <c r="M57" s="38" t="s">
        <v>116</v>
      </c>
      <c r="N57" s="38"/>
      <c r="O57" s="37">
        <v>50</v>
      </c>
      <c r="P57" s="66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7"/>
      <c r="R57" s="637"/>
      <c r="S57" s="637"/>
      <c r="T57" s="63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43"/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4"/>
      <c r="P58" s="640" t="s">
        <v>40</v>
      </c>
      <c r="Q58" s="641"/>
      <c r="R58" s="641"/>
      <c r="S58" s="641"/>
      <c r="T58" s="641"/>
      <c r="U58" s="641"/>
      <c r="V58" s="64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43"/>
      <c r="B59" s="643"/>
      <c r="C59" s="643"/>
      <c r="D59" s="643"/>
      <c r="E59" s="643"/>
      <c r="F59" s="643"/>
      <c r="G59" s="643"/>
      <c r="H59" s="643"/>
      <c r="I59" s="643"/>
      <c r="J59" s="643"/>
      <c r="K59" s="643"/>
      <c r="L59" s="643"/>
      <c r="M59" s="643"/>
      <c r="N59" s="643"/>
      <c r="O59" s="644"/>
      <c r="P59" s="640" t="s">
        <v>40</v>
      </c>
      <c r="Q59" s="641"/>
      <c r="R59" s="641"/>
      <c r="S59" s="641"/>
      <c r="T59" s="641"/>
      <c r="U59" s="641"/>
      <c r="V59" s="64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34" t="s">
        <v>148</v>
      </c>
      <c r="B60" s="634"/>
      <c r="C60" s="634"/>
      <c r="D60" s="634"/>
      <c r="E60" s="634"/>
      <c r="F60" s="634"/>
      <c r="G60" s="634"/>
      <c r="H60" s="634"/>
      <c r="I60" s="634"/>
      <c r="J60" s="634"/>
      <c r="K60" s="634"/>
      <c r="L60" s="634"/>
      <c r="M60" s="634"/>
      <c r="N60" s="634"/>
      <c r="O60" s="634"/>
      <c r="P60" s="634"/>
      <c r="Q60" s="634"/>
      <c r="R60" s="634"/>
      <c r="S60" s="634"/>
      <c r="T60" s="634"/>
      <c r="U60" s="634"/>
      <c r="V60" s="634"/>
      <c r="W60" s="634"/>
      <c r="X60" s="634"/>
      <c r="Y60" s="634"/>
      <c r="Z60" s="634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635">
        <v>4680115881440</v>
      </c>
      <c r="E61" s="63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6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7"/>
      <c r="R61" s="637"/>
      <c r="S61" s="637"/>
      <c r="T61" s="63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635">
        <v>4680115885950</v>
      </c>
      <c r="E62" s="63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7"/>
      <c r="R62" s="637"/>
      <c r="S62" s="637"/>
      <c r="T62" s="63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635">
        <v>4680115881433</v>
      </c>
      <c r="E63" s="63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7"/>
      <c r="R63" s="637"/>
      <c r="S63" s="637"/>
      <c r="T63" s="63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43"/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4"/>
      <c r="P64" s="640" t="s">
        <v>40</v>
      </c>
      <c r="Q64" s="641"/>
      <c r="R64" s="641"/>
      <c r="S64" s="641"/>
      <c r="T64" s="641"/>
      <c r="U64" s="641"/>
      <c r="V64" s="64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43"/>
      <c r="B65" s="643"/>
      <c r="C65" s="643"/>
      <c r="D65" s="643"/>
      <c r="E65" s="643"/>
      <c r="F65" s="643"/>
      <c r="G65" s="643"/>
      <c r="H65" s="643"/>
      <c r="I65" s="643"/>
      <c r="J65" s="643"/>
      <c r="K65" s="643"/>
      <c r="L65" s="643"/>
      <c r="M65" s="643"/>
      <c r="N65" s="643"/>
      <c r="O65" s="644"/>
      <c r="P65" s="640" t="s">
        <v>40</v>
      </c>
      <c r="Q65" s="641"/>
      <c r="R65" s="641"/>
      <c r="S65" s="641"/>
      <c r="T65" s="641"/>
      <c r="U65" s="641"/>
      <c r="V65" s="64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34" t="s">
        <v>78</v>
      </c>
      <c r="B66" s="634"/>
      <c r="C66" s="634"/>
      <c r="D66" s="634"/>
      <c r="E66" s="634"/>
      <c r="F66" s="634"/>
      <c r="G66" s="634"/>
      <c r="H66" s="634"/>
      <c r="I66" s="634"/>
      <c r="J66" s="634"/>
      <c r="K66" s="634"/>
      <c r="L66" s="634"/>
      <c r="M66" s="634"/>
      <c r="N66" s="634"/>
      <c r="O66" s="634"/>
      <c r="P66" s="634"/>
      <c r="Q66" s="634"/>
      <c r="R66" s="634"/>
      <c r="S66" s="634"/>
      <c r="T66" s="634"/>
      <c r="U66" s="634"/>
      <c r="V66" s="634"/>
      <c r="W66" s="634"/>
      <c r="X66" s="634"/>
      <c r="Y66" s="634"/>
      <c r="Z66" s="634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635">
        <v>4680115885073</v>
      </c>
      <c r="E67" s="63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6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7"/>
      <c r="R67" s="637"/>
      <c r="S67" s="637"/>
      <c r="T67" s="63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35">
        <v>4680115885097</v>
      </c>
      <c r="E68" s="63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7"/>
      <c r="R68" s="637"/>
      <c r="S68" s="637"/>
      <c r="T68" s="63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3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0" t="s">
        <v>40</v>
      </c>
      <c r="Q69" s="641"/>
      <c r="R69" s="641"/>
      <c r="S69" s="641"/>
      <c r="T69" s="641"/>
      <c r="U69" s="641"/>
      <c r="V69" s="642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0" t="s">
        <v>40</v>
      </c>
      <c r="Q70" s="641"/>
      <c r="R70" s="641"/>
      <c r="S70" s="641"/>
      <c r="T70" s="641"/>
      <c r="U70" s="641"/>
      <c r="V70" s="642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34" t="s">
        <v>88</v>
      </c>
      <c r="B71" s="634"/>
      <c r="C71" s="634"/>
      <c r="D71" s="634"/>
      <c r="E71" s="634"/>
      <c r="F71" s="634"/>
      <c r="G71" s="634"/>
      <c r="H71" s="634"/>
      <c r="I71" s="634"/>
      <c r="J71" s="634"/>
      <c r="K71" s="634"/>
      <c r="L71" s="634"/>
      <c r="M71" s="634"/>
      <c r="N71" s="634"/>
      <c r="O71" s="634"/>
      <c r="P71" s="634"/>
      <c r="Q71" s="634"/>
      <c r="R71" s="634"/>
      <c r="S71" s="634"/>
      <c r="T71" s="634"/>
      <c r="U71" s="634"/>
      <c r="V71" s="634"/>
      <c r="W71" s="634"/>
      <c r="X71" s="634"/>
      <c r="Y71" s="634"/>
      <c r="Z71" s="634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35">
        <v>4680115885769</v>
      </c>
      <c r="E72" s="635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66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7"/>
      <c r="R72" s="637"/>
      <c r="S72" s="637"/>
      <c r="T72" s="63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35">
        <v>4680115884311</v>
      </c>
      <c r="E73" s="63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7"/>
      <c r="R73" s="637"/>
      <c r="S73" s="637"/>
      <c r="T73" s="63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35">
        <v>4680115885929</v>
      </c>
      <c r="E74" s="635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7"/>
      <c r="R74" s="637"/>
      <c r="S74" s="637"/>
      <c r="T74" s="63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35">
        <v>4680115884403</v>
      </c>
      <c r="E75" s="635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7"/>
      <c r="R75" s="637"/>
      <c r="S75" s="637"/>
      <c r="T75" s="63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43"/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4"/>
      <c r="P76" s="640" t="s">
        <v>40</v>
      </c>
      <c r="Q76" s="641"/>
      <c r="R76" s="641"/>
      <c r="S76" s="641"/>
      <c r="T76" s="641"/>
      <c r="U76" s="641"/>
      <c r="V76" s="642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43"/>
      <c r="B77" s="643"/>
      <c r="C77" s="643"/>
      <c r="D77" s="643"/>
      <c r="E77" s="643"/>
      <c r="F77" s="643"/>
      <c r="G77" s="643"/>
      <c r="H77" s="643"/>
      <c r="I77" s="643"/>
      <c r="J77" s="643"/>
      <c r="K77" s="643"/>
      <c r="L77" s="643"/>
      <c r="M77" s="643"/>
      <c r="N77" s="643"/>
      <c r="O77" s="644"/>
      <c r="P77" s="640" t="s">
        <v>40</v>
      </c>
      <c r="Q77" s="641"/>
      <c r="R77" s="641"/>
      <c r="S77" s="641"/>
      <c r="T77" s="641"/>
      <c r="U77" s="641"/>
      <c r="V77" s="642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34" t="s">
        <v>173</v>
      </c>
      <c r="B78" s="634"/>
      <c r="C78" s="634"/>
      <c r="D78" s="634"/>
      <c r="E78" s="634"/>
      <c r="F78" s="634"/>
      <c r="G78" s="634"/>
      <c r="H78" s="634"/>
      <c r="I78" s="634"/>
      <c r="J78" s="634"/>
      <c r="K78" s="634"/>
      <c r="L78" s="634"/>
      <c r="M78" s="634"/>
      <c r="N78" s="634"/>
      <c r="O78" s="634"/>
      <c r="P78" s="634"/>
      <c r="Q78" s="634"/>
      <c r="R78" s="634"/>
      <c r="S78" s="634"/>
      <c r="T78" s="634"/>
      <c r="U78" s="634"/>
      <c r="V78" s="634"/>
      <c r="W78" s="634"/>
      <c r="X78" s="634"/>
      <c r="Y78" s="634"/>
      <c r="Z78" s="634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35">
        <v>4680115881532</v>
      </c>
      <c r="E79" s="635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7"/>
      <c r="R79" s="637"/>
      <c r="S79" s="637"/>
      <c r="T79" s="638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35">
        <v>4680115881464</v>
      </c>
      <c r="E80" s="63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7"/>
      <c r="R80" s="637"/>
      <c r="S80" s="637"/>
      <c r="T80" s="63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43"/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4"/>
      <c r="P81" s="640" t="s">
        <v>40</v>
      </c>
      <c r="Q81" s="641"/>
      <c r="R81" s="641"/>
      <c r="S81" s="641"/>
      <c r="T81" s="641"/>
      <c r="U81" s="641"/>
      <c r="V81" s="642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43"/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4"/>
      <c r="P82" s="640" t="s">
        <v>40</v>
      </c>
      <c r="Q82" s="641"/>
      <c r="R82" s="641"/>
      <c r="S82" s="641"/>
      <c r="T82" s="641"/>
      <c r="U82" s="641"/>
      <c r="V82" s="642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33" t="s">
        <v>180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5"/>
      <c r="AB83" s="65"/>
      <c r="AC83" s="79"/>
    </row>
    <row r="84" spans="1:68" ht="14.25" customHeight="1" x14ac:dyDescent="0.25">
      <c r="A84" s="634" t="s">
        <v>112</v>
      </c>
      <c r="B84" s="634"/>
      <c r="C84" s="634"/>
      <c r="D84" s="634"/>
      <c r="E84" s="634"/>
      <c r="F84" s="634"/>
      <c r="G84" s="634"/>
      <c r="H84" s="634"/>
      <c r="I84" s="634"/>
      <c r="J84" s="634"/>
      <c r="K84" s="634"/>
      <c r="L84" s="634"/>
      <c r="M84" s="634"/>
      <c r="N84" s="634"/>
      <c r="O84" s="634"/>
      <c r="P84" s="634"/>
      <c r="Q84" s="634"/>
      <c r="R84" s="634"/>
      <c r="S84" s="634"/>
      <c r="T84" s="634"/>
      <c r="U84" s="634"/>
      <c r="V84" s="634"/>
      <c r="W84" s="634"/>
      <c r="X84" s="634"/>
      <c r="Y84" s="634"/>
      <c r="Z84" s="634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35">
        <v>4680115881327</v>
      </c>
      <c r="E85" s="63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7"/>
      <c r="R85" s="637"/>
      <c r="S85" s="637"/>
      <c r="T85" s="638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4301011261</v>
      </c>
      <c r="D86" s="635">
        <v>4680115887732</v>
      </c>
      <c r="E86" s="63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7"/>
      <c r="R86" s="637"/>
      <c r="S86" s="637"/>
      <c r="T86" s="63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35">
        <v>4680115881518</v>
      </c>
      <c r="E87" s="635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6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7"/>
      <c r="R87" s="637"/>
      <c r="S87" s="637"/>
      <c r="T87" s="63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635">
        <v>4680115881303</v>
      </c>
      <c r="E88" s="635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45</v>
      </c>
      <c r="M88" s="38" t="s">
        <v>98</v>
      </c>
      <c r="N88" s="38"/>
      <c r="O88" s="37">
        <v>50</v>
      </c>
      <c r="P88" s="67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7"/>
      <c r="R88" s="637"/>
      <c r="S88" s="637"/>
      <c r="T88" s="63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43"/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4"/>
      <c r="P89" s="640" t="s">
        <v>40</v>
      </c>
      <c r="Q89" s="641"/>
      <c r="R89" s="641"/>
      <c r="S89" s="641"/>
      <c r="T89" s="641"/>
      <c r="U89" s="641"/>
      <c r="V89" s="642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43"/>
      <c r="B90" s="643"/>
      <c r="C90" s="643"/>
      <c r="D90" s="643"/>
      <c r="E90" s="643"/>
      <c r="F90" s="643"/>
      <c r="G90" s="643"/>
      <c r="H90" s="643"/>
      <c r="I90" s="643"/>
      <c r="J90" s="643"/>
      <c r="K90" s="643"/>
      <c r="L90" s="643"/>
      <c r="M90" s="643"/>
      <c r="N90" s="643"/>
      <c r="O90" s="644"/>
      <c r="P90" s="640" t="s">
        <v>40</v>
      </c>
      <c r="Q90" s="641"/>
      <c r="R90" s="641"/>
      <c r="S90" s="641"/>
      <c r="T90" s="641"/>
      <c r="U90" s="641"/>
      <c r="V90" s="642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34" t="s">
        <v>88</v>
      </c>
      <c r="B91" s="634"/>
      <c r="C91" s="634"/>
      <c r="D91" s="634"/>
      <c r="E91" s="634"/>
      <c r="F91" s="634"/>
      <c r="G91" s="634"/>
      <c r="H91" s="634"/>
      <c r="I91" s="634"/>
      <c r="J91" s="634"/>
      <c r="K91" s="634"/>
      <c r="L91" s="634"/>
      <c r="M91" s="634"/>
      <c r="N91" s="634"/>
      <c r="O91" s="634"/>
      <c r="P91" s="634"/>
      <c r="Q91" s="634"/>
      <c r="R91" s="634"/>
      <c r="S91" s="634"/>
      <c r="T91" s="634"/>
      <c r="U91" s="634"/>
      <c r="V91" s="634"/>
      <c r="W91" s="634"/>
      <c r="X91" s="634"/>
      <c r="Y91" s="634"/>
      <c r="Z91" s="634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635">
        <v>4607091386967</v>
      </c>
      <c r="E92" s="635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7"/>
      <c r="R92" s="637"/>
      <c r="S92" s="637"/>
      <c r="T92" s="63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635">
        <v>4680115884953</v>
      </c>
      <c r="E93" s="63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7"/>
      <c r="R93" s="637"/>
      <c r="S93" s="637"/>
      <c r="T93" s="63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197</v>
      </c>
      <c r="B94" s="63" t="s">
        <v>198</v>
      </c>
      <c r="C94" s="36">
        <v>4301051718</v>
      </c>
      <c r="D94" s="635">
        <v>4607091385731</v>
      </c>
      <c r="E94" s="63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7"/>
      <c r="R94" s="637"/>
      <c r="S94" s="637"/>
      <c r="T94" s="63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199</v>
      </c>
      <c r="B95" s="63" t="s">
        <v>200</v>
      </c>
      <c r="C95" s="36">
        <v>4301051438</v>
      </c>
      <c r="D95" s="635">
        <v>4680115880894</v>
      </c>
      <c r="E95" s="63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7"/>
      <c r="R95" s="637"/>
      <c r="S95" s="637"/>
      <c r="T95" s="63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201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43"/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4"/>
      <c r="P96" s="640" t="s">
        <v>40</v>
      </c>
      <c r="Q96" s="641"/>
      <c r="R96" s="641"/>
      <c r="S96" s="641"/>
      <c r="T96" s="641"/>
      <c r="U96" s="641"/>
      <c r="V96" s="642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43"/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4"/>
      <c r="P97" s="640" t="s">
        <v>40</v>
      </c>
      <c r="Q97" s="641"/>
      <c r="R97" s="641"/>
      <c r="S97" s="641"/>
      <c r="T97" s="641"/>
      <c r="U97" s="641"/>
      <c r="V97" s="642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33" t="s">
        <v>202</v>
      </c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3"/>
      <c r="P98" s="633"/>
      <c r="Q98" s="633"/>
      <c r="R98" s="633"/>
      <c r="S98" s="633"/>
      <c r="T98" s="633"/>
      <c r="U98" s="633"/>
      <c r="V98" s="633"/>
      <c r="W98" s="633"/>
      <c r="X98" s="633"/>
      <c r="Y98" s="633"/>
      <c r="Z98" s="633"/>
      <c r="AA98" s="65"/>
      <c r="AB98" s="65"/>
      <c r="AC98" s="79"/>
    </row>
    <row r="99" spans="1:68" ht="14.25" customHeight="1" x14ac:dyDescent="0.25">
      <c r="A99" s="634" t="s">
        <v>112</v>
      </c>
      <c r="B99" s="634"/>
      <c r="C99" s="634"/>
      <c r="D99" s="634"/>
      <c r="E99" s="634"/>
      <c r="F99" s="634"/>
      <c r="G99" s="634"/>
      <c r="H99" s="634"/>
      <c r="I99" s="634"/>
      <c r="J99" s="634"/>
      <c r="K99" s="634"/>
      <c r="L99" s="634"/>
      <c r="M99" s="634"/>
      <c r="N99" s="634"/>
      <c r="O99" s="634"/>
      <c r="P99" s="634"/>
      <c r="Q99" s="634"/>
      <c r="R99" s="634"/>
      <c r="S99" s="634"/>
      <c r="T99" s="634"/>
      <c r="U99" s="634"/>
      <c r="V99" s="634"/>
      <c r="W99" s="634"/>
      <c r="X99" s="634"/>
      <c r="Y99" s="634"/>
      <c r="Z99" s="634"/>
      <c r="AA99" s="66"/>
      <c r="AB99" s="66"/>
      <c r="AC99" s="80"/>
    </row>
    <row r="100" spans="1:68" ht="37.5" customHeight="1" x14ac:dyDescent="0.25">
      <c r="A100" s="63" t="s">
        <v>203</v>
      </c>
      <c r="B100" s="63" t="s">
        <v>204</v>
      </c>
      <c r="C100" s="36">
        <v>4301011514</v>
      </c>
      <c r="D100" s="635">
        <v>4680115882133</v>
      </c>
      <c r="E100" s="635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7"/>
      <c r="R100" s="637"/>
      <c r="S100" s="637"/>
      <c r="T100" s="63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205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206</v>
      </c>
      <c r="B101" s="63" t="s">
        <v>207</v>
      </c>
      <c r="C101" s="36">
        <v>4301012051</v>
      </c>
      <c r="D101" s="635">
        <v>4680115887718</v>
      </c>
      <c r="E101" s="635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6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7"/>
      <c r="R101" s="637"/>
      <c r="S101" s="637"/>
      <c r="T101" s="63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4301011417</v>
      </c>
      <c r="D102" s="635">
        <v>4680115880269</v>
      </c>
      <c r="E102" s="635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45</v>
      </c>
      <c r="M102" s="38" t="s">
        <v>92</v>
      </c>
      <c r="N102" s="38"/>
      <c r="O102" s="37">
        <v>50</v>
      </c>
      <c r="P102" s="6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7"/>
      <c r="R102" s="637"/>
      <c r="S102" s="637"/>
      <c r="T102" s="63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205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4301011415</v>
      </c>
      <c r="D103" s="635">
        <v>4680115880429</v>
      </c>
      <c r="E103" s="635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125</v>
      </c>
      <c r="M103" s="38" t="s">
        <v>92</v>
      </c>
      <c r="N103" s="38"/>
      <c r="O103" s="37">
        <v>50</v>
      </c>
      <c r="P103" s="6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7"/>
      <c r="R103" s="637"/>
      <c r="S103" s="637"/>
      <c r="T103" s="63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205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213</v>
      </c>
      <c r="B104" s="63" t="s">
        <v>214</v>
      </c>
      <c r="C104" s="36">
        <v>4301011462</v>
      </c>
      <c r="D104" s="635">
        <v>4680115881457</v>
      </c>
      <c r="E104" s="635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7"/>
      <c r="R104" s="637"/>
      <c r="S104" s="637"/>
      <c r="T104" s="63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205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43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0" t="s">
        <v>40</v>
      </c>
      <c r="Q105" s="641"/>
      <c r="R105" s="641"/>
      <c r="S105" s="641"/>
      <c r="T105" s="641"/>
      <c r="U105" s="641"/>
      <c r="V105" s="642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0" t="s">
        <v>40</v>
      </c>
      <c r="Q106" s="641"/>
      <c r="R106" s="641"/>
      <c r="S106" s="641"/>
      <c r="T106" s="641"/>
      <c r="U106" s="641"/>
      <c r="V106" s="642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34" t="s">
        <v>148</v>
      </c>
      <c r="B107" s="634"/>
      <c r="C107" s="634"/>
      <c r="D107" s="634"/>
      <c r="E107" s="634"/>
      <c r="F107" s="634"/>
      <c r="G107" s="634"/>
      <c r="H107" s="634"/>
      <c r="I107" s="634"/>
      <c r="J107" s="634"/>
      <c r="K107" s="634"/>
      <c r="L107" s="634"/>
      <c r="M107" s="634"/>
      <c r="N107" s="634"/>
      <c r="O107" s="634"/>
      <c r="P107" s="634"/>
      <c r="Q107" s="634"/>
      <c r="R107" s="634"/>
      <c r="S107" s="634"/>
      <c r="T107" s="634"/>
      <c r="U107" s="634"/>
      <c r="V107" s="634"/>
      <c r="W107" s="634"/>
      <c r="X107" s="634"/>
      <c r="Y107" s="634"/>
      <c r="Z107" s="634"/>
      <c r="AA107" s="66"/>
      <c r="AB107" s="66"/>
      <c r="AC107" s="80"/>
    </row>
    <row r="108" spans="1:68" ht="16.5" customHeight="1" x14ac:dyDescent="0.25">
      <c r="A108" s="63" t="s">
        <v>215</v>
      </c>
      <c r="B108" s="63" t="s">
        <v>216</v>
      </c>
      <c r="C108" s="36">
        <v>4301020345</v>
      </c>
      <c r="D108" s="635">
        <v>4680115881488</v>
      </c>
      <c r="E108" s="635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68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7"/>
      <c r="R108" s="637"/>
      <c r="S108" s="637"/>
      <c r="T108" s="63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218</v>
      </c>
      <c r="B109" s="63" t="s">
        <v>219</v>
      </c>
      <c r="C109" s="36">
        <v>4301020186</v>
      </c>
      <c r="D109" s="635">
        <v>4680115887664</v>
      </c>
      <c r="E109" s="635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221</v>
      </c>
      <c r="L109" s="37" t="s">
        <v>45</v>
      </c>
      <c r="M109" s="38" t="s">
        <v>82</v>
      </c>
      <c r="N109" s="38"/>
      <c r="O109" s="37">
        <v>30</v>
      </c>
      <c r="P109" s="6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7"/>
      <c r="R109" s="637"/>
      <c r="S109" s="637"/>
      <c r="T109" s="63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220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4301020346</v>
      </c>
      <c r="D110" s="635">
        <v>4680115882775</v>
      </c>
      <c r="E110" s="635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8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7"/>
      <c r="R110" s="637"/>
      <c r="S110" s="637"/>
      <c r="T110" s="63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217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224</v>
      </c>
      <c r="B111" s="63" t="s">
        <v>225</v>
      </c>
      <c r="C111" s="36">
        <v>4301020344</v>
      </c>
      <c r="D111" s="635">
        <v>4680115880658</v>
      </c>
      <c r="E111" s="635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68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7"/>
      <c r="R111" s="637"/>
      <c r="S111" s="637"/>
      <c r="T111" s="63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217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43"/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  <c r="L112" s="643"/>
      <c r="M112" s="643"/>
      <c r="N112" s="643"/>
      <c r="O112" s="644"/>
      <c r="P112" s="640" t="s">
        <v>40</v>
      </c>
      <c r="Q112" s="641"/>
      <c r="R112" s="641"/>
      <c r="S112" s="641"/>
      <c r="T112" s="641"/>
      <c r="U112" s="641"/>
      <c r="V112" s="642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43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0" t="s">
        <v>40</v>
      </c>
      <c r="Q113" s="641"/>
      <c r="R113" s="641"/>
      <c r="S113" s="641"/>
      <c r="T113" s="641"/>
      <c r="U113" s="641"/>
      <c r="V113" s="642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34" t="s">
        <v>88</v>
      </c>
      <c r="B114" s="634"/>
      <c r="C114" s="634"/>
      <c r="D114" s="634"/>
      <c r="E114" s="634"/>
      <c r="F114" s="634"/>
      <c r="G114" s="634"/>
      <c r="H114" s="634"/>
      <c r="I114" s="634"/>
      <c r="J114" s="634"/>
      <c r="K114" s="634"/>
      <c r="L114" s="634"/>
      <c r="M114" s="634"/>
      <c r="N114" s="634"/>
      <c r="O114" s="634"/>
      <c r="P114" s="634"/>
      <c r="Q114" s="634"/>
      <c r="R114" s="634"/>
      <c r="S114" s="634"/>
      <c r="T114" s="634"/>
      <c r="U114" s="634"/>
      <c r="V114" s="634"/>
      <c r="W114" s="634"/>
      <c r="X114" s="634"/>
      <c r="Y114" s="634"/>
      <c r="Z114" s="634"/>
      <c r="AA114" s="66"/>
      <c r="AB114" s="66"/>
      <c r="AC114" s="80"/>
    </row>
    <row r="115" spans="1:68" ht="27" customHeight="1" x14ac:dyDescent="0.25">
      <c r="A115" s="63" t="s">
        <v>226</v>
      </c>
      <c r="B115" s="63" t="s">
        <v>227</v>
      </c>
      <c r="C115" s="36">
        <v>4301051724</v>
      </c>
      <c r="D115" s="635">
        <v>4607091385168</v>
      </c>
      <c r="E115" s="635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7"/>
      <c r="R115" s="637"/>
      <c r="S115" s="637"/>
      <c r="T115" s="63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228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229</v>
      </c>
      <c r="B116" s="63" t="s">
        <v>230</v>
      </c>
      <c r="C116" s="36">
        <v>4301051730</v>
      </c>
      <c r="D116" s="635">
        <v>4607091383256</v>
      </c>
      <c r="E116" s="635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7"/>
      <c r="R116" s="637"/>
      <c r="S116" s="637"/>
      <c r="T116" s="63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228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4301051721</v>
      </c>
      <c r="D117" s="635">
        <v>4607091385748</v>
      </c>
      <c r="E117" s="635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233</v>
      </c>
      <c r="M117" s="38" t="s">
        <v>98</v>
      </c>
      <c r="N117" s="38"/>
      <c r="O117" s="37">
        <v>45</v>
      </c>
      <c r="P117" s="6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7"/>
      <c r="R117" s="637"/>
      <c r="S117" s="637"/>
      <c r="T117" s="63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228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234</v>
      </c>
      <c r="B118" s="63" t="s">
        <v>235</v>
      </c>
      <c r="C118" s="36">
        <v>4301051740</v>
      </c>
      <c r="D118" s="635">
        <v>4680115884533</v>
      </c>
      <c r="E118" s="635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233</v>
      </c>
      <c r="M118" s="38" t="s">
        <v>92</v>
      </c>
      <c r="N118" s="38"/>
      <c r="O118" s="37">
        <v>45</v>
      </c>
      <c r="P118" s="69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7"/>
      <c r="R118" s="637"/>
      <c r="S118" s="637"/>
      <c r="T118" s="63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119</v>
      </c>
      <c r="AK118" s="84">
        <v>25.2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43"/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4"/>
      <c r="P119" s="640" t="s">
        <v>40</v>
      </c>
      <c r="Q119" s="641"/>
      <c r="R119" s="641"/>
      <c r="S119" s="641"/>
      <c r="T119" s="641"/>
      <c r="U119" s="641"/>
      <c r="V119" s="642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43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0" t="s">
        <v>40</v>
      </c>
      <c r="Q120" s="641"/>
      <c r="R120" s="641"/>
      <c r="S120" s="641"/>
      <c r="T120" s="641"/>
      <c r="U120" s="641"/>
      <c r="V120" s="642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34" t="s">
        <v>173</v>
      </c>
      <c r="B121" s="634"/>
      <c r="C121" s="634"/>
      <c r="D121" s="634"/>
      <c r="E121" s="634"/>
      <c r="F121" s="634"/>
      <c r="G121" s="634"/>
      <c r="H121" s="634"/>
      <c r="I121" s="634"/>
      <c r="J121" s="634"/>
      <c r="K121" s="634"/>
      <c r="L121" s="634"/>
      <c r="M121" s="634"/>
      <c r="N121" s="634"/>
      <c r="O121" s="634"/>
      <c r="P121" s="634"/>
      <c r="Q121" s="634"/>
      <c r="R121" s="634"/>
      <c r="S121" s="634"/>
      <c r="T121" s="634"/>
      <c r="U121" s="634"/>
      <c r="V121" s="634"/>
      <c r="W121" s="634"/>
      <c r="X121" s="634"/>
      <c r="Y121" s="634"/>
      <c r="Z121" s="634"/>
      <c r="AA121" s="66"/>
      <c r="AB121" s="66"/>
      <c r="AC121" s="80"/>
    </row>
    <row r="122" spans="1:68" ht="16.5" customHeight="1" x14ac:dyDescent="0.25">
      <c r="A122" s="63" t="s">
        <v>237</v>
      </c>
      <c r="B122" s="63" t="s">
        <v>238</v>
      </c>
      <c r="C122" s="36">
        <v>4301060317</v>
      </c>
      <c r="D122" s="635">
        <v>4680115880238</v>
      </c>
      <c r="E122" s="635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233</v>
      </c>
      <c r="M122" s="38" t="s">
        <v>92</v>
      </c>
      <c r="N122" s="38"/>
      <c r="O122" s="37">
        <v>40</v>
      </c>
      <c r="P122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7"/>
      <c r="R122" s="637"/>
      <c r="S122" s="637"/>
      <c r="T122" s="638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119</v>
      </c>
      <c r="AK122" s="84">
        <v>27.72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43"/>
      <c r="B123" s="643"/>
      <c r="C123" s="643"/>
      <c r="D123" s="643"/>
      <c r="E123" s="643"/>
      <c r="F123" s="643"/>
      <c r="G123" s="643"/>
      <c r="H123" s="643"/>
      <c r="I123" s="643"/>
      <c r="J123" s="643"/>
      <c r="K123" s="643"/>
      <c r="L123" s="643"/>
      <c r="M123" s="643"/>
      <c r="N123" s="643"/>
      <c r="O123" s="644"/>
      <c r="P123" s="640" t="s">
        <v>40</v>
      </c>
      <c r="Q123" s="641"/>
      <c r="R123" s="641"/>
      <c r="S123" s="641"/>
      <c r="T123" s="641"/>
      <c r="U123" s="641"/>
      <c r="V123" s="642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33" t="s">
        <v>240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5"/>
      <c r="AB125" s="65"/>
      <c r="AC125" s="79"/>
    </row>
    <row r="126" spans="1:68" ht="14.25" customHeight="1" x14ac:dyDescent="0.25">
      <c r="A126" s="634" t="s">
        <v>112</v>
      </c>
      <c r="B126" s="634"/>
      <c r="C126" s="634"/>
      <c r="D126" s="634"/>
      <c r="E126" s="634"/>
      <c r="F126" s="634"/>
      <c r="G126" s="634"/>
      <c r="H126" s="634"/>
      <c r="I126" s="634"/>
      <c r="J126" s="634"/>
      <c r="K126" s="634"/>
      <c r="L126" s="634"/>
      <c r="M126" s="634"/>
      <c r="N126" s="634"/>
      <c r="O126" s="634"/>
      <c r="P126" s="634"/>
      <c r="Q126" s="634"/>
      <c r="R126" s="634"/>
      <c r="S126" s="634"/>
      <c r="T126" s="634"/>
      <c r="U126" s="634"/>
      <c r="V126" s="634"/>
      <c r="W126" s="634"/>
      <c r="X126" s="634"/>
      <c r="Y126" s="634"/>
      <c r="Z126" s="634"/>
      <c r="AA126" s="66"/>
      <c r="AB126" s="66"/>
      <c r="AC126" s="80"/>
    </row>
    <row r="127" spans="1:68" ht="27" customHeight="1" x14ac:dyDescent="0.25">
      <c r="A127" s="63" t="s">
        <v>241</v>
      </c>
      <c r="B127" s="63" t="s">
        <v>242</v>
      </c>
      <c r="C127" s="36">
        <v>4301011562</v>
      </c>
      <c r="D127" s="635">
        <v>4680115882577</v>
      </c>
      <c r="E127" s="635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233</v>
      </c>
      <c r="M127" s="38" t="s">
        <v>109</v>
      </c>
      <c r="N127" s="38"/>
      <c r="O127" s="37">
        <v>90</v>
      </c>
      <c r="P127" s="6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7"/>
      <c r="R127" s="637"/>
      <c r="S127" s="637"/>
      <c r="T127" s="638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119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241</v>
      </c>
      <c r="B128" s="63" t="s">
        <v>244</v>
      </c>
      <c r="C128" s="36">
        <v>4301011564</v>
      </c>
      <c r="D128" s="635">
        <v>4680115882577</v>
      </c>
      <c r="E128" s="63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6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7"/>
      <c r="R128" s="637"/>
      <c r="S128" s="637"/>
      <c r="T128" s="63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43"/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4"/>
      <c r="P130" s="640" t="s">
        <v>40</v>
      </c>
      <c r="Q130" s="641"/>
      <c r="R130" s="641"/>
      <c r="S130" s="641"/>
      <c r="T130" s="641"/>
      <c r="U130" s="641"/>
      <c r="V130" s="642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34" t="s">
        <v>78</v>
      </c>
      <c r="B131" s="634"/>
      <c r="C131" s="634"/>
      <c r="D131" s="634"/>
      <c r="E131" s="634"/>
      <c r="F131" s="634"/>
      <c r="G131" s="634"/>
      <c r="H131" s="634"/>
      <c r="I131" s="634"/>
      <c r="J131" s="634"/>
      <c r="K131" s="634"/>
      <c r="L131" s="634"/>
      <c r="M131" s="634"/>
      <c r="N131" s="634"/>
      <c r="O131" s="634"/>
      <c r="P131" s="634"/>
      <c r="Q131" s="634"/>
      <c r="R131" s="634"/>
      <c r="S131" s="634"/>
      <c r="T131" s="634"/>
      <c r="U131" s="634"/>
      <c r="V131" s="634"/>
      <c r="W131" s="634"/>
      <c r="X131" s="634"/>
      <c r="Y131" s="634"/>
      <c r="Z131" s="634"/>
      <c r="AA131" s="66"/>
      <c r="AB131" s="66"/>
      <c r="AC131" s="80"/>
    </row>
    <row r="132" spans="1:68" ht="27" customHeight="1" x14ac:dyDescent="0.25">
      <c r="A132" s="63" t="s">
        <v>245</v>
      </c>
      <c r="B132" s="63" t="s">
        <v>246</v>
      </c>
      <c r="C132" s="36">
        <v>4301031235</v>
      </c>
      <c r="D132" s="635">
        <v>4680115883444</v>
      </c>
      <c r="E132" s="635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7"/>
      <c r="R132" s="637"/>
      <c r="S132" s="637"/>
      <c r="T132" s="638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245</v>
      </c>
      <c r="B133" s="63" t="s">
        <v>248</v>
      </c>
      <c r="C133" s="36">
        <v>4301031234</v>
      </c>
      <c r="D133" s="635">
        <v>4680115883444</v>
      </c>
      <c r="E133" s="63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233</v>
      </c>
      <c r="M133" s="38" t="s">
        <v>109</v>
      </c>
      <c r="N133" s="38"/>
      <c r="O133" s="37">
        <v>90</v>
      </c>
      <c r="P133" s="6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7"/>
      <c r="R133" s="637"/>
      <c r="S133" s="637"/>
      <c r="T133" s="63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119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43"/>
      <c r="B134" s="643"/>
      <c r="C134" s="643"/>
      <c r="D134" s="643"/>
      <c r="E134" s="643"/>
      <c r="F134" s="643"/>
      <c r="G134" s="643"/>
      <c r="H134" s="643"/>
      <c r="I134" s="643"/>
      <c r="J134" s="643"/>
      <c r="K134" s="643"/>
      <c r="L134" s="643"/>
      <c r="M134" s="643"/>
      <c r="N134" s="643"/>
      <c r="O134" s="644"/>
      <c r="P134" s="640" t="s">
        <v>40</v>
      </c>
      <c r="Q134" s="641"/>
      <c r="R134" s="641"/>
      <c r="S134" s="641"/>
      <c r="T134" s="641"/>
      <c r="U134" s="641"/>
      <c r="V134" s="64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43"/>
      <c r="B135" s="643"/>
      <c r="C135" s="643"/>
      <c r="D135" s="643"/>
      <c r="E135" s="643"/>
      <c r="F135" s="643"/>
      <c r="G135" s="643"/>
      <c r="H135" s="643"/>
      <c r="I135" s="643"/>
      <c r="J135" s="643"/>
      <c r="K135" s="643"/>
      <c r="L135" s="643"/>
      <c r="M135" s="643"/>
      <c r="N135" s="643"/>
      <c r="O135" s="644"/>
      <c r="P135" s="640" t="s">
        <v>40</v>
      </c>
      <c r="Q135" s="641"/>
      <c r="R135" s="641"/>
      <c r="S135" s="641"/>
      <c r="T135" s="641"/>
      <c r="U135" s="641"/>
      <c r="V135" s="64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4" t="s">
        <v>88</v>
      </c>
      <c r="B136" s="634"/>
      <c r="C136" s="634"/>
      <c r="D136" s="634"/>
      <c r="E136" s="634"/>
      <c r="F136" s="634"/>
      <c r="G136" s="634"/>
      <c r="H136" s="634"/>
      <c r="I136" s="634"/>
      <c r="J136" s="634"/>
      <c r="K136" s="634"/>
      <c r="L136" s="634"/>
      <c r="M136" s="634"/>
      <c r="N136" s="634"/>
      <c r="O136" s="634"/>
      <c r="P136" s="634"/>
      <c r="Q136" s="634"/>
      <c r="R136" s="634"/>
      <c r="S136" s="634"/>
      <c r="T136" s="634"/>
      <c r="U136" s="634"/>
      <c r="V136" s="634"/>
      <c r="W136" s="634"/>
      <c r="X136" s="634"/>
      <c r="Y136" s="634"/>
      <c r="Z136" s="634"/>
      <c r="AA136" s="66"/>
      <c r="AB136" s="66"/>
      <c r="AC136" s="80"/>
    </row>
    <row r="137" spans="1:68" ht="16.5" customHeight="1" x14ac:dyDescent="0.25">
      <c r="A137" s="63" t="s">
        <v>249</v>
      </c>
      <c r="B137" s="63" t="s">
        <v>250</v>
      </c>
      <c r="C137" s="36">
        <v>4301051477</v>
      </c>
      <c r="D137" s="635">
        <v>4680115882584</v>
      </c>
      <c r="E137" s="635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7"/>
      <c r="R137" s="637"/>
      <c r="S137" s="637"/>
      <c r="T137" s="638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249</v>
      </c>
      <c r="B138" s="63" t="s">
        <v>251</v>
      </c>
      <c r="C138" s="36">
        <v>4301051476</v>
      </c>
      <c r="D138" s="635">
        <v>4680115882584</v>
      </c>
      <c r="E138" s="63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233</v>
      </c>
      <c r="M138" s="38" t="s">
        <v>109</v>
      </c>
      <c r="N138" s="38"/>
      <c r="O138" s="37">
        <v>60</v>
      </c>
      <c r="P138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7"/>
      <c r="R138" s="637"/>
      <c r="S138" s="637"/>
      <c r="T138" s="63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119</v>
      </c>
      <c r="AK138" s="84">
        <v>36.96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0" t="s">
        <v>40</v>
      </c>
      <c r="Q139" s="641"/>
      <c r="R139" s="641"/>
      <c r="S139" s="641"/>
      <c r="T139" s="641"/>
      <c r="U139" s="641"/>
      <c r="V139" s="642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43"/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4"/>
      <c r="P140" s="640" t="s">
        <v>40</v>
      </c>
      <c r="Q140" s="641"/>
      <c r="R140" s="641"/>
      <c r="S140" s="641"/>
      <c r="T140" s="641"/>
      <c r="U140" s="641"/>
      <c r="V140" s="642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33" t="s">
        <v>110</v>
      </c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3"/>
      <c r="P141" s="633"/>
      <c r="Q141" s="633"/>
      <c r="R141" s="633"/>
      <c r="S141" s="633"/>
      <c r="T141" s="633"/>
      <c r="U141" s="633"/>
      <c r="V141" s="633"/>
      <c r="W141" s="633"/>
      <c r="X141" s="633"/>
      <c r="Y141" s="633"/>
      <c r="Z141" s="633"/>
      <c r="AA141" s="65"/>
      <c r="AB141" s="65"/>
      <c r="AC141" s="79"/>
    </row>
    <row r="142" spans="1:68" ht="14.25" customHeight="1" x14ac:dyDescent="0.25">
      <c r="A142" s="634" t="s">
        <v>112</v>
      </c>
      <c r="B142" s="634"/>
      <c r="C142" s="634"/>
      <c r="D142" s="634"/>
      <c r="E142" s="634"/>
      <c r="F142" s="634"/>
      <c r="G142" s="634"/>
      <c r="H142" s="634"/>
      <c r="I142" s="634"/>
      <c r="J142" s="634"/>
      <c r="K142" s="634"/>
      <c r="L142" s="634"/>
      <c r="M142" s="634"/>
      <c r="N142" s="634"/>
      <c r="O142" s="634"/>
      <c r="P142" s="634"/>
      <c r="Q142" s="634"/>
      <c r="R142" s="634"/>
      <c r="S142" s="634"/>
      <c r="T142" s="634"/>
      <c r="U142" s="634"/>
      <c r="V142" s="634"/>
      <c r="W142" s="634"/>
      <c r="X142" s="634"/>
      <c r="Y142" s="634"/>
      <c r="Z142" s="634"/>
      <c r="AA142" s="66"/>
      <c r="AB142" s="66"/>
      <c r="AC142" s="80"/>
    </row>
    <row r="143" spans="1:68" ht="27" customHeight="1" x14ac:dyDescent="0.25">
      <c r="A143" s="63" t="s">
        <v>252</v>
      </c>
      <c r="B143" s="63" t="s">
        <v>253</v>
      </c>
      <c r="C143" s="36">
        <v>4301012244</v>
      </c>
      <c r="D143" s="635">
        <v>4680115887374</v>
      </c>
      <c r="E143" s="635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70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7"/>
      <c r="R143" s="637"/>
      <c r="S143" s="637"/>
      <c r="T143" s="638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255</v>
      </c>
      <c r="B144" s="63" t="s">
        <v>256</v>
      </c>
      <c r="C144" s="36">
        <v>4301011705</v>
      </c>
      <c r="D144" s="635">
        <v>4607091384604</v>
      </c>
      <c r="E144" s="635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7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7"/>
      <c r="R144" s="637"/>
      <c r="S144" s="637"/>
      <c r="T144" s="63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0" t="s">
        <v>40</v>
      </c>
      <c r="Q145" s="641"/>
      <c r="R145" s="641"/>
      <c r="S145" s="641"/>
      <c r="T145" s="641"/>
      <c r="U145" s="641"/>
      <c r="V145" s="64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43"/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4"/>
      <c r="P146" s="640" t="s">
        <v>40</v>
      </c>
      <c r="Q146" s="641"/>
      <c r="R146" s="641"/>
      <c r="S146" s="641"/>
      <c r="T146" s="641"/>
      <c r="U146" s="641"/>
      <c r="V146" s="64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34" t="s">
        <v>78</v>
      </c>
      <c r="B147" s="634"/>
      <c r="C147" s="634"/>
      <c r="D147" s="634"/>
      <c r="E147" s="634"/>
      <c r="F147" s="634"/>
      <c r="G147" s="634"/>
      <c r="H147" s="634"/>
      <c r="I147" s="634"/>
      <c r="J147" s="634"/>
      <c r="K147" s="634"/>
      <c r="L147" s="634"/>
      <c r="M147" s="634"/>
      <c r="N147" s="634"/>
      <c r="O147" s="634"/>
      <c r="P147" s="634"/>
      <c r="Q147" s="634"/>
      <c r="R147" s="634"/>
      <c r="S147" s="634"/>
      <c r="T147" s="634"/>
      <c r="U147" s="634"/>
      <c r="V147" s="634"/>
      <c r="W147" s="634"/>
      <c r="X147" s="634"/>
      <c r="Y147" s="634"/>
      <c r="Z147" s="634"/>
      <c r="AA147" s="66"/>
      <c r="AB147" s="66"/>
      <c r="AC147" s="80"/>
    </row>
    <row r="148" spans="1:68" ht="16.5" customHeight="1" x14ac:dyDescent="0.25">
      <c r="A148" s="63" t="s">
        <v>258</v>
      </c>
      <c r="B148" s="63" t="s">
        <v>259</v>
      </c>
      <c r="C148" s="36">
        <v>4301030895</v>
      </c>
      <c r="D148" s="635">
        <v>4607091387667</v>
      </c>
      <c r="E148" s="635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45</v>
      </c>
      <c r="M148" s="38" t="s">
        <v>116</v>
      </c>
      <c r="N148" s="38"/>
      <c r="O148" s="37">
        <v>40</v>
      </c>
      <c r="P148" s="70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637"/>
      <c r="R148" s="637"/>
      <c r="S148" s="637"/>
      <c r="T148" s="638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customHeight="1" x14ac:dyDescent="0.25">
      <c r="A149" s="63" t="s">
        <v>261</v>
      </c>
      <c r="B149" s="63" t="s">
        <v>262</v>
      </c>
      <c r="C149" s="36">
        <v>4301031450</v>
      </c>
      <c r="D149" s="635">
        <v>4680115887428</v>
      </c>
      <c r="E149" s="63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7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37"/>
      <c r="R149" s="637"/>
      <c r="S149" s="637"/>
      <c r="T149" s="638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customHeight="1" x14ac:dyDescent="0.25">
      <c r="A150" s="63" t="s">
        <v>264</v>
      </c>
      <c r="B150" s="63" t="s">
        <v>265</v>
      </c>
      <c r="C150" s="36">
        <v>4301030961</v>
      </c>
      <c r="D150" s="635">
        <v>4607091387636</v>
      </c>
      <c r="E150" s="635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70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37"/>
      <c r="R150" s="637"/>
      <c r="S150" s="637"/>
      <c r="T150" s="638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4301031453</v>
      </c>
      <c r="D151" s="635">
        <v>4680115887336</v>
      </c>
      <c r="E151" s="635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122</v>
      </c>
      <c r="L151" s="37" t="s">
        <v>45</v>
      </c>
      <c r="M151" s="38" t="s">
        <v>82</v>
      </c>
      <c r="N151" s="38"/>
      <c r="O151" s="37">
        <v>40</v>
      </c>
      <c r="P151" s="70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637"/>
      <c r="R151" s="637"/>
      <c r="S151" s="637"/>
      <c r="T151" s="638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4301030963</v>
      </c>
      <c r="D152" s="635">
        <v>4607091382426</v>
      </c>
      <c r="E152" s="635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117</v>
      </c>
      <c r="L152" s="37" t="s">
        <v>45</v>
      </c>
      <c r="M152" s="38" t="s">
        <v>82</v>
      </c>
      <c r="N152" s="38"/>
      <c r="O152" s="37">
        <v>40</v>
      </c>
      <c r="P152" s="7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37"/>
      <c r="R152" s="637"/>
      <c r="S152" s="637"/>
      <c r="T152" s="638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4301031456</v>
      </c>
      <c r="D153" s="635">
        <v>4680115887398</v>
      </c>
      <c r="E153" s="635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122</v>
      </c>
      <c r="L153" s="37" t="s">
        <v>45</v>
      </c>
      <c r="M153" s="38" t="s">
        <v>82</v>
      </c>
      <c r="N153" s="38"/>
      <c r="O153" s="37">
        <v>40</v>
      </c>
      <c r="P153" s="70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37"/>
      <c r="R153" s="637"/>
      <c r="S153" s="637"/>
      <c r="T153" s="638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275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43"/>
      <c r="B154" s="643"/>
      <c r="C154" s="643"/>
      <c r="D154" s="643"/>
      <c r="E154" s="643"/>
      <c r="F154" s="643"/>
      <c r="G154" s="643"/>
      <c r="H154" s="643"/>
      <c r="I154" s="643"/>
      <c r="J154" s="643"/>
      <c r="K154" s="643"/>
      <c r="L154" s="643"/>
      <c r="M154" s="643"/>
      <c r="N154" s="643"/>
      <c r="O154" s="644"/>
      <c r="P154" s="640" t="s">
        <v>40</v>
      </c>
      <c r="Q154" s="641"/>
      <c r="R154" s="641"/>
      <c r="S154" s="641"/>
      <c r="T154" s="641"/>
      <c r="U154" s="641"/>
      <c r="V154" s="642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43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0" t="s">
        <v>40</v>
      </c>
      <c r="Q155" s="641"/>
      <c r="R155" s="641"/>
      <c r="S155" s="641"/>
      <c r="T155" s="641"/>
      <c r="U155" s="641"/>
      <c r="V155" s="642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34" t="s">
        <v>88</v>
      </c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4"/>
      <c r="P156" s="634"/>
      <c r="Q156" s="634"/>
      <c r="R156" s="634"/>
      <c r="S156" s="634"/>
      <c r="T156" s="634"/>
      <c r="U156" s="634"/>
      <c r="V156" s="634"/>
      <c r="W156" s="634"/>
      <c r="X156" s="634"/>
      <c r="Y156" s="634"/>
      <c r="Z156" s="634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4301052064</v>
      </c>
      <c r="D157" s="635">
        <v>4680115887459</v>
      </c>
      <c r="E157" s="63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7"/>
      <c r="R157" s="637"/>
      <c r="S157" s="637"/>
      <c r="T157" s="63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278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32" t="s">
        <v>279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54"/>
      <c r="AB160" s="54"/>
      <c r="AC160" s="54"/>
    </row>
    <row r="161" spans="1:68" ht="16.5" customHeight="1" x14ac:dyDescent="0.25">
      <c r="A161" s="633" t="s">
        <v>280</v>
      </c>
      <c r="B161" s="633"/>
      <c r="C161" s="633"/>
      <c r="D161" s="633"/>
      <c r="E161" s="633"/>
      <c r="F161" s="633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3"/>
      <c r="R161" s="633"/>
      <c r="S161" s="633"/>
      <c r="T161" s="633"/>
      <c r="U161" s="633"/>
      <c r="V161" s="633"/>
      <c r="W161" s="633"/>
      <c r="X161" s="633"/>
      <c r="Y161" s="633"/>
      <c r="Z161" s="633"/>
      <c r="AA161" s="65"/>
      <c r="AB161" s="65"/>
      <c r="AC161" s="79"/>
    </row>
    <row r="162" spans="1:68" ht="14.25" customHeight="1" x14ac:dyDescent="0.25">
      <c r="A162" s="634" t="s">
        <v>148</v>
      </c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4"/>
      <c r="P162" s="634"/>
      <c r="Q162" s="634"/>
      <c r="R162" s="634"/>
      <c r="S162" s="634"/>
      <c r="T162" s="634"/>
      <c r="U162" s="634"/>
      <c r="V162" s="634"/>
      <c r="W162" s="634"/>
      <c r="X162" s="634"/>
      <c r="Y162" s="634"/>
      <c r="Z162" s="634"/>
      <c r="AA162" s="66"/>
      <c r="AB162" s="66"/>
      <c r="AC162" s="80"/>
    </row>
    <row r="163" spans="1:68" ht="27" customHeight="1" x14ac:dyDescent="0.25">
      <c r="A163" s="63" t="s">
        <v>281</v>
      </c>
      <c r="B163" s="63" t="s">
        <v>282</v>
      </c>
      <c r="C163" s="36">
        <v>4301020323</v>
      </c>
      <c r="D163" s="635">
        <v>4680115886223</v>
      </c>
      <c r="E163" s="63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7"/>
      <c r="R163" s="637"/>
      <c r="S163" s="637"/>
      <c r="T163" s="63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283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43"/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4"/>
      <c r="P164" s="640" t="s">
        <v>40</v>
      </c>
      <c r="Q164" s="641"/>
      <c r="R164" s="641"/>
      <c r="S164" s="641"/>
      <c r="T164" s="641"/>
      <c r="U164" s="641"/>
      <c r="V164" s="64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43"/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4"/>
      <c r="P165" s="640" t="s">
        <v>40</v>
      </c>
      <c r="Q165" s="641"/>
      <c r="R165" s="641"/>
      <c r="S165" s="641"/>
      <c r="T165" s="641"/>
      <c r="U165" s="641"/>
      <c r="V165" s="64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34" t="s">
        <v>78</v>
      </c>
      <c r="B166" s="634"/>
      <c r="C166" s="634"/>
      <c r="D166" s="634"/>
      <c r="E166" s="634"/>
      <c r="F166" s="634"/>
      <c r="G166" s="634"/>
      <c r="H166" s="634"/>
      <c r="I166" s="634"/>
      <c r="J166" s="634"/>
      <c r="K166" s="634"/>
      <c r="L166" s="634"/>
      <c r="M166" s="634"/>
      <c r="N166" s="634"/>
      <c r="O166" s="634"/>
      <c r="P166" s="634"/>
      <c r="Q166" s="634"/>
      <c r="R166" s="634"/>
      <c r="S166" s="634"/>
      <c r="T166" s="634"/>
      <c r="U166" s="634"/>
      <c r="V166" s="634"/>
      <c r="W166" s="634"/>
      <c r="X166" s="634"/>
      <c r="Y166" s="634"/>
      <c r="Z166" s="634"/>
      <c r="AA166" s="66"/>
      <c r="AB166" s="66"/>
      <c r="AC166" s="80"/>
    </row>
    <row r="167" spans="1:68" ht="27" customHeight="1" x14ac:dyDescent="0.25">
      <c r="A167" s="63" t="s">
        <v>284</v>
      </c>
      <c r="B167" s="63" t="s">
        <v>285</v>
      </c>
      <c r="C167" s="36">
        <v>4301031463</v>
      </c>
      <c r="D167" s="635">
        <v>4680115887824</v>
      </c>
      <c r="E167" s="635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83</v>
      </c>
      <c r="L167" s="37" t="s">
        <v>45</v>
      </c>
      <c r="M167" s="38" t="s">
        <v>289</v>
      </c>
      <c r="N167" s="38"/>
      <c r="O167" s="37">
        <v>60</v>
      </c>
      <c r="P167" s="710" t="s">
        <v>286</v>
      </c>
      <c r="Q167" s="637"/>
      <c r="R167" s="637"/>
      <c r="S167" s="637"/>
      <c r="T167" s="63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288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4301031464</v>
      </c>
      <c r="D168" s="635">
        <v>4680115887701</v>
      </c>
      <c r="E168" s="635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83</v>
      </c>
      <c r="L168" s="37" t="s">
        <v>45</v>
      </c>
      <c r="M168" s="38" t="s">
        <v>289</v>
      </c>
      <c r="N168" s="38"/>
      <c r="O168" s="37">
        <v>60</v>
      </c>
      <c r="P168" s="711" t="s">
        <v>292</v>
      </c>
      <c r="Q168" s="637"/>
      <c r="R168" s="637"/>
      <c r="S168" s="637"/>
      <c r="T168" s="63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288</v>
      </c>
      <c r="AC168" s="222" t="s">
        <v>287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4301031191</v>
      </c>
      <c r="D169" s="635">
        <v>4680115880993</v>
      </c>
      <c r="E169" s="635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122</v>
      </c>
      <c r="L169" s="37" t="s">
        <v>125</v>
      </c>
      <c r="M169" s="38" t="s">
        <v>82</v>
      </c>
      <c r="N169" s="38"/>
      <c r="O169" s="37">
        <v>40</v>
      </c>
      <c r="P169" s="7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37"/>
      <c r="R169" s="637"/>
      <c r="S169" s="637"/>
      <c r="T169" s="63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295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4301031204</v>
      </c>
      <c r="D170" s="635">
        <v>4680115881761</v>
      </c>
      <c r="E170" s="635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122</v>
      </c>
      <c r="L170" s="37" t="s">
        <v>125</v>
      </c>
      <c r="M170" s="38" t="s">
        <v>82</v>
      </c>
      <c r="N170" s="38"/>
      <c r="O170" s="37">
        <v>40</v>
      </c>
      <c r="P170" s="71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37"/>
      <c r="R170" s="637"/>
      <c r="S170" s="637"/>
      <c r="T170" s="63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298</v>
      </c>
      <c r="AG170" s="78"/>
      <c r="AJ170" s="84" t="s">
        <v>119</v>
      </c>
      <c r="AK170" s="84">
        <v>50.4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4301031201</v>
      </c>
      <c r="D171" s="635">
        <v>4680115881563</v>
      </c>
      <c r="E171" s="635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122</v>
      </c>
      <c r="L171" s="37" t="s">
        <v>125</v>
      </c>
      <c r="M171" s="38" t="s">
        <v>82</v>
      </c>
      <c r="N171" s="38"/>
      <c r="O171" s="37">
        <v>40</v>
      </c>
      <c r="P171" s="71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37"/>
      <c r="R171" s="637"/>
      <c r="S171" s="637"/>
      <c r="T171" s="63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301</v>
      </c>
      <c r="AG171" s="78"/>
      <c r="AJ171" s="84" t="s">
        <v>119</v>
      </c>
      <c r="AK171" s="84">
        <v>50.4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customHeight="1" x14ac:dyDescent="0.25">
      <c r="A172" s="63" t="s">
        <v>302</v>
      </c>
      <c r="B172" s="63" t="s">
        <v>303</v>
      </c>
      <c r="C172" s="36">
        <v>4301031447</v>
      </c>
      <c r="D172" s="635">
        <v>4680115887565</v>
      </c>
      <c r="E172" s="635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637"/>
      <c r="R172" s="637"/>
      <c r="S172" s="637"/>
      <c r="T172" s="63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304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4301031199</v>
      </c>
      <c r="D173" s="635">
        <v>4680115880986</v>
      </c>
      <c r="E173" s="63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307</v>
      </c>
      <c r="M173" s="38" t="s">
        <v>82</v>
      </c>
      <c r="N173" s="38"/>
      <c r="O173" s="37">
        <v>40</v>
      </c>
      <c r="P173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637"/>
      <c r="R173" s="637"/>
      <c r="S173" s="637"/>
      <c r="T173" s="63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295</v>
      </c>
      <c r="AG173" s="78"/>
      <c r="AJ173" s="84" t="s">
        <v>119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4301031443</v>
      </c>
      <c r="D174" s="635">
        <v>4680115887213</v>
      </c>
      <c r="E174" s="635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45</v>
      </c>
      <c r="P174" s="7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637"/>
      <c r="R174" s="637"/>
      <c r="S174" s="637"/>
      <c r="T174" s="63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310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311</v>
      </c>
      <c r="B175" s="63" t="s">
        <v>312</v>
      </c>
      <c r="C175" s="36">
        <v>4301031205</v>
      </c>
      <c r="D175" s="635">
        <v>4680115881785</v>
      </c>
      <c r="E175" s="635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87</v>
      </c>
      <c r="L175" s="37" t="s">
        <v>307</v>
      </c>
      <c r="M175" s="38" t="s">
        <v>82</v>
      </c>
      <c r="N175" s="38"/>
      <c r="O175" s="37">
        <v>40</v>
      </c>
      <c r="P175" s="7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37"/>
      <c r="R175" s="637"/>
      <c r="S175" s="637"/>
      <c r="T175" s="63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298</v>
      </c>
      <c r="AG175" s="78"/>
      <c r="AJ175" s="84" t="s">
        <v>119</v>
      </c>
      <c r="AK175" s="84">
        <v>37.799999999999997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313</v>
      </c>
      <c r="B176" s="63" t="s">
        <v>314</v>
      </c>
      <c r="C176" s="36">
        <v>4301031399</v>
      </c>
      <c r="D176" s="635">
        <v>4680115886537</v>
      </c>
      <c r="E176" s="635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637"/>
      <c r="R176" s="637"/>
      <c r="S176" s="637"/>
      <c r="T176" s="63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315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4301031279</v>
      </c>
      <c r="D177" s="635">
        <v>4680115887596</v>
      </c>
      <c r="E177" s="635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187</v>
      </c>
      <c r="L177" s="37" t="s">
        <v>45</v>
      </c>
      <c r="M177" s="38" t="s">
        <v>82</v>
      </c>
      <c r="N177" s="38"/>
      <c r="O177" s="37">
        <v>45</v>
      </c>
      <c r="P177" s="7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637"/>
      <c r="R177" s="637"/>
      <c r="S177" s="637"/>
      <c r="T177" s="63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318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customHeight="1" x14ac:dyDescent="0.25">
      <c r="A178" s="63" t="s">
        <v>319</v>
      </c>
      <c r="B178" s="63" t="s">
        <v>320</v>
      </c>
      <c r="C178" s="36">
        <v>4301031202</v>
      </c>
      <c r="D178" s="635">
        <v>4680115881679</v>
      </c>
      <c r="E178" s="635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87</v>
      </c>
      <c r="L178" s="37" t="s">
        <v>307</v>
      </c>
      <c r="M178" s="38" t="s">
        <v>82</v>
      </c>
      <c r="N178" s="38"/>
      <c r="O178" s="37">
        <v>40</v>
      </c>
      <c r="P178" s="7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637"/>
      <c r="R178" s="637"/>
      <c r="S178" s="637"/>
      <c r="T178" s="63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301</v>
      </c>
      <c r="AG178" s="78"/>
      <c r="AJ178" s="84" t="s">
        <v>119</v>
      </c>
      <c r="AK178" s="84">
        <v>37.799999999999997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4301031158</v>
      </c>
      <c r="D179" s="635">
        <v>4680115880191</v>
      </c>
      <c r="E179" s="635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83</v>
      </c>
      <c r="L179" s="37" t="s">
        <v>45</v>
      </c>
      <c r="M179" s="38" t="s">
        <v>82</v>
      </c>
      <c r="N179" s="38"/>
      <c r="O179" s="37">
        <v>40</v>
      </c>
      <c r="P179" s="7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637"/>
      <c r="R179" s="637"/>
      <c r="S179" s="637"/>
      <c r="T179" s="63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301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323</v>
      </c>
      <c r="B180" s="63" t="s">
        <v>324</v>
      </c>
      <c r="C180" s="36">
        <v>4301031245</v>
      </c>
      <c r="D180" s="635">
        <v>4680115883963</v>
      </c>
      <c r="E180" s="63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87</v>
      </c>
      <c r="L180" s="37" t="s">
        <v>45</v>
      </c>
      <c r="M180" s="38" t="s">
        <v>82</v>
      </c>
      <c r="N180" s="38"/>
      <c r="O180" s="37">
        <v>40</v>
      </c>
      <c r="P180" s="7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637"/>
      <c r="R180" s="637"/>
      <c r="S180" s="637"/>
      <c r="T180" s="63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325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x14ac:dyDescent="0.2">
      <c r="A181" s="643"/>
      <c r="B181" s="643"/>
      <c r="C181" s="643"/>
      <c r="D181" s="643"/>
      <c r="E181" s="643"/>
      <c r="F181" s="643"/>
      <c r="G181" s="643"/>
      <c r="H181" s="643"/>
      <c r="I181" s="643"/>
      <c r="J181" s="643"/>
      <c r="K181" s="643"/>
      <c r="L181" s="643"/>
      <c r="M181" s="643"/>
      <c r="N181" s="643"/>
      <c r="O181" s="644"/>
      <c r="P181" s="640" t="s">
        <v>40</v>
      </c>
      <c r="Q181" s="641"/>
      <c r="R181" s="641"/>
      <c r="S181" s="641"/>
      <c r="T181" s="641"/>
      <c r="U181" s="641"/>
      <c r="V181" s="642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43"/>
      <c r="B182" s="643"/>
      <c r="C182" s="643"/>
      <c r="D182" s="643"/>
      <c r="E182" s="643"/>
      <c r="F182" s="643"/>
      <c r="G182" s="643"/>
      <c r="H182" s="643"/>
      <c r="I182" s="643"/>
      <c r="J182" s="643"/>
      <c r="K182" s="643"/>
      <c r="L182" s="643"/>
      <c r="M182" s="643"/>
      <c r="N182" s="643"/>
      <c r="O182" s="644"/>
      <c r="P182" s="640" t="s">
        <v>40</v>
      </c>
      <c r="Q182" s="641"/>
      <c r="R182" s="641"/>
      <c r="S182" s="641"/>
      <c r="T182" s="641"/>
      <c r="U182" s="641"/>
      <c r="V182" s="642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customHeight="1" x14ac:dyDescent="0.25">
      <c r="A183" s="634" t="s">
        <v>104</v>
      </c>
      <c r="B183" s="634"/>
      <c r="C183" s="634"/>
      <c r="D183" s="634"/>
      <c r="E183" s="634"/>
      <c r="F183" s="634"/>
      <c r="G183" s="634"/>
      <c r="H183" s="634"/>
      <c r="I183" s="634"/>
      <c r="J183" s="634"/>
      <c r="K183" s="634"/>
      <c r="L183" s="634"/>
      <c r="M183" s="634"/>
      <c r="N183" s="634"/>
      <c r="O183" s="634"/>
      <c r="P183" s="634"/>
      <c r="Q183" s="634"/>
      <c r="R183" s="634"/>
      <c r="S183" s="634"/>
      <c r="T183" s="634"/>
      <c r="U183" s="634"/>
      <c r="V183" s="634"/>
      <c r="W183" s="634"/>
      <c r="X183" s="634"/>
      <c r="Y183" s="634"/>
      <c r="Z183" s="634"/>
      <c r="AA183" s="66"/>
      <c r="AB183" s="66"/>
      <c r="AC183" s="80"/>
    </row>
    <row r="184" spans="1:68" ht="27" customHeight="1" x14ac:dyDescent="0.25">
      <c r="A184" s="63" t="s">
        <v>326</v>
      </c>
      <c r="B184" s="63" t="s">
        <v>327</v>
      </c>
      <c r="C184" s="36">
        <v>4301032053</v>
      </c>
      <c r="D184" s="635">
        <v>4680115886780</v>
      </c>
      <c r="E184" s="635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329</v>
      </c>
      <c r="L184" s="37" t="s">
        <v>45</v>
      </c>
      <c r="M184" s="38" t="s">
        <v>289</v>
      </c>
      <c r="N184" s="38"/>
      <c r="O184" s="37">
        <v>60</v>
      </c>
      <c r="P184" s="7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637"/>
      <c r="R184" s="637"/>
      <c r="S184" s="637"/>
      <c r="T184" s="638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328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330</v>
      </c>
      <c r="B185" s="63" t="s">
        <v>331</v>
      </c>
      <c r="C185" s="36">
        <v>4301032051</v>
      </c>
      <c r="D185" s="635">
        <v>4680115886742</v>
      </c>
      <c r="E185" s="63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329</v>
      </c>
      <c r="L185" s="37" t="s">
        <v>45</v>
      </c>
      <c r="M185" s="38" t="s">
        <v>289</v>
      </c>
      <c r="N185" s="38"/>
      <c r="O185" s="37">
        <v>90</v>
      </c>
      <c r="P185" s="7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637"/>
      <c r="R185" s="637"/>
      <c r="S185" s="637"/>
      <c r="T185" s="63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332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4301032052</v>
      </c>
      <c r="D186" s="635">
        <v>4680115886766</v>
      </c>
      <c r="E186" s="63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329</v>
      </c>
      <c r="L186" s="37" t="s">
        <v>45</v>
      </c>
      <c r="M186" s="38" t="s">
        <v>289</v>
      </c>
      <c r="N186" s="38"/>
      <c r="O186" s="37">
        <v>90</v>
      </c>
      <c r="P186" s="7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637"/>
      <c r="R186" s="637"/>
      <c r="S186" s="637"/>
      <c r="T186" s="63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332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43"/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4"/>
      <c r="P187" s="640" t="s">
        <v>40</v>
      </c>
      <c r="Q187" s="641"/>
      <c r="R187" s="641"/>
      <c r="S187" s="641"/>
      <c r="T187" s="641"/>
      <c r="U187" s="641"/>
      <c r="V187" s="642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customHeight="1" x14ac:dyDescent="0.25">
      <c r="A189" s="634" t="s">
        <v>335</v>
      </c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4"/>
      <c r="P189" s="634"/>
      <c r="Q189" s="634"/>
      <c r="R189" s="634"/>
      <c r="S189" s="634"/>
      <c r="T189" s="634"/>
      <c r="U189" s="634"/>
      <c r="V189" s="634"/>
      <c r="W189" s="634"/>
      <c r="X189" s="634"/>
      <c r="Y189" s="634"/>
      <c r="Z189" s="634"/>
      <c r="AA189" s="66"/>
      <c r="AB189" s="66"/>
      <c r="AC189" s="80"/>
    </row>
    <row r="190" spans="1:68" ht="27" customHeight="1" x14ac:dyDescent="0.25">
      <c r="A190" s="63" t="s">
        <v>336</v>
      </c>
      <c r="B190" s="63" t="s">
        <v>337</v>
      </c>
      <c r="C190" s="36">
        <v>4301170013</v>
      </c>
      <c r="D190" s="635">
        <v>4680115886797</v>
      </c>
      <c r="E190" s="635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329</v>
      </c>
      <c r="L190" s="37" t="s">
        <v>45</v>
      </c>
      <c r="M190" s="38" t="s">
        <v>289</v>
      </c>
      <c r="N190" s="38"/>
      <c r="O190" s="37">
        <v>90</v>
      </c>
      <c r="P190" s="7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637"/>
      <c r="R190" s="637"/>
      <c r="S190" s="637"/>
      <c r="T190" s="638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332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3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0" t="s">
        <v>40</v>
      </c>
      <c r="Q191" s="641"/>
      <c r="R191" s="641"/>
      <c r="S191" s="641"/>
      <c r="T191" s="641"/>
      <c r="U191" s="641"/>
      <c r="V191" s="642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0" t="s">
        <v>40</v>
      </c>
      <c r="Q192" s="641"/>
      <c r="R192" s="641"/>
      <c r="S192" s="641"/>
      <c r="T192" s="641"/>
      <c r="U192" s="641"/>
      <c r="V192" s="642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633" t="s">
        <v>338</v>
      </c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3"/>
      <c r="P193" s="633"/>
      <c r="Q193" s="633"/>
      <c r="R193" s="633"/>
      <c r="S193" s="633"/>
      <c r="T193" s="633"/>
      <c r="U193" s="633"/>
      <c r="V193" s="633"/>
      <c r="W193" s="633"/>
      <c r="X193" s="633"/>
      <c r="Y193" s="633"/>
      <c r="Z193" s="633"/>
      <c r="AA193" s="65"/>
      <c r="AB193" s="65"/>
      <c r="AC193" s="79"/>
    </row>
    <row r="194" spans="1:68" ht="14.25" customHeight="1" x14ac:dyDescent="0.25">
      <c r="A194" s="634" t="s">
        <v>112</v>
      </c>
      <c r="B194" s="634"/>
      <c r="C194" s="634"/>
      <c r="D194" s="634"/>
      <c r="E194" s="634"/>
      <c r="F194" s="634"/>
      <c r="G194" s="634"/>
      <c r="H194" s="634"/>
      <c r="I194" s="634"/>
      <c r="J194" s="634"/>
      <c r="K194" s="634"/>
      <c r="L194" s="634"/>
      <c r="M194" s="634"/>
      <c r="N194" s="634"/>
      <c r="O194" s="634"/>
      <c r="P194" s="634"/>
      <c r="Q194" s="634"/>
      <c r="R194" s="634"/>
      <c r="S194" s="634"/>
      <c r="T194" s="634"/>
      <c r="U194" s="634"/>
      <c r="V194" s="634"/>
      <c r="W194" s="634"/>
      <c r="X194" s="634"/>
      <c r="Y194" s="634"/>
      <c r="Z194" s="634"/>
      <c r="AA194" s="66"/>
      <c r="AB194" s="66"/>
      <c r="AC194" s="80"/>
    </row>
    <row r="195" spans="1:68" ht="27" customHeight="1" x14ac:dyDescent="0.25">
      <c r="A195" s="63" t="s">
        <v>339</v>
      </c>
      <c r="B195" s="63" t="s">
        <v>340</v>
      </c>
      <c r="C195" s="36">
        <v>4301011450</v>
      </c>
      <c r="D195" s="635">
        <v>4680115881402</v>
      </c>
      <c r="E195" s="635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117</v>
      </c>
      <c r="L195" s="37" t="s">
        <v>45</v>
      </c>
      <c r="M195" s="38" t="s">
        <v>116</v>
      </c>
      <c r="N195" s="38"/>
      <c r="O195" s="37">
        <v>55</v>
      </c>
      <c r="P195" s="7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637"/>
      <c r="R195" s="637"/>
      <c r="S195" s="637"/>
      <c r="T195" s="638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341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4301011768</v>
      </c>
      <c r="D196" s="635">
        <v>4680115881396</v>
      </c>
      <c r="E196" s="635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83</v>
      </c>
      <c r="L196" s="37" t="s">
        <v>45</v>
      </c>
      <c r="M196" s="38" t="s">
        <v>116</v>
      </c>
      <c r="N196" s="38"/>
      <c r="O196" s="37">
        <v>55</v>
      </c>
      <c r="P196" s="7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637"/>
      <c r="R196" s="637"/>
      <c r="S196" s="637"/>
      <c r="T196" s="63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341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3"/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4"/>
      <c r="P197" s="640" t="s">
        <v>40</v>
      </c>
      <c r="Q197" s="641"/>
      <c r="R197" s="641"/>
      <c r="S197" s="641"/>
      <c r="T197" s="641"/>
      <c r="U197" s="641"/>
      <c r="V197" s="64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3"/>
      <c r="B198" s="643"/>
      <c r="C198" s="643"/>
      <c r="D198" s="643"/>
      <c r="E198" s="643"/>
      <c r="F198" s="643"/>
      <c r="G198" s="643"/>
      <c r="H198" s="643"/>
      <c r="I198" s="643"/>
      <c r="J198" s="643"/>
      <c r="K198" s="643"/>
      <c r="L198" s="643"/>
      <c r="M198" s="643"/>
      <c r="N198" s="643"/>
      <c r="O198" s="644"/>
      <c r="P198" s="640" t="s">
        <v>40</v>
      </c>
      <c r="Q198" s="641"/>
      <c r="R198" s="641"/>
      <c r="S198" s="641"/>
      <c r="T198" s="641"/>
      <c r="U198" s="641"/>
      <c r="V198" s="64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34" t="s">
        <v>148</v>
      </c>
      <c r="B199" s="634"/>
      <c r="C199" s="634"/>
      <c r="D199" s="634"/>
      <c r="E199" s="634"/>
      <c r="F199" s="634"/>
      <c r="G199" s="634"/>
      <c r="H199" s="634"/>
      <c r="I199" s="634"/>
      <c r="J199" s="634"/>
      <c r="K199" s="634"/>
      <c r="L199" s="634"/>
      <c r="M199" s="634"/>
      <c r="N199" s="634"/>
      <c r="O199" s="634"/>
      <c r="P199" s="634"/>
      <c r="Q199" s="634"/>
      <c r="R199" s="634"/>
      <c r="S199" s="634"/>
      <c r="T199" s="634"/>
      <c r="U199" s="634"/>
      <c r="V199" s="634"/>
      <c r="W199" s="634"/>
      <c r="X199" s="634"/>
      <c r="Y199" s="634"/>
      <c r="Z199" s="634"/>
      <c r="AA199" s="66"/>
      <c r="AB199" s="66"/>
      <c r="AC199" s="80"/>
    </row>
    <row r="200" spans="1:68" ht="16.5" customHeight="1" x14ac:dyDescent="0.25">
      <c r="A200" s="63" t="s">
        <v>344</v>
      </c>
      <c r="B200" s="63" t="s">
        <v>345</v>
      </c>
      <c r="C200" s="36">
        <v>4301020261</v>
      </c>
      <c r="D200" s="635">
        <v>4680115882935</v>
      </c>
      <c r="E200" s="635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117</v>
      </c>
      <c r="L200" s="37" t="s">
        <v>45</v>
      </c>
      <c r="M200" s="38" t="s">
        <v>116</v>
      </c>
      <c r="N200" s="38"/>
      <c r="O200" s="37">
        <v>50</v>
      </c>
      <c r="P200" s="7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637"/>
      <c r="R200" s="637"/>
      <c r="S200" s="637"/>
      <c r="T200" s="638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346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customHeight="1" x14ac:dyDescent="0.25">
      <c r="A201" s="63" t="s">
        <v>347</v>
      </c>
      <c r="B201" s="63" t="s">
        <v>348</v>
      </c>
      <c r="C201" s="36">
        <v>4301020220</v>
      </c>
      <c r="D201" s="635">
        <v>4680115880764</v>
      </c>
      <c r="E201" s="635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83</v>
      </c>
      <c r="L201" s="37" t="s">
        <v>45</v>
      </c>
      <c r="M201" s="38" t="s">
        <v>116</v>
      </c>
      <c r="N201" s="38"/>
      <c r="O201" s="37">
        <v>50</v>
      </c>
      <c r="P201" s="7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637"/>
      <c r="R201" s="637"/>
      <c r="S201" s="637"/>
      <c r="T201" s="63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346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43"/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4"/>
      <c r="P202" s="640" t="s">
        <v>40</v>
      </c>
      <c r="Q202" s="641"/>
      <c r="R202" s="641"/>
      <c r="S202" s="641"/>
      <c r="T202" s="641"/>
      <c r="U202" s="641"/>
      <c r="V202" s="642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customHeight="1" x14ac:dyDescent="0.25">
      <c r="A204" s="634" t="s">
        <v>78</v>
      </c>
      <c r="B204" s="634"/>
      <c r="C204" s="634"/>
      <c r="D204" s="634"/>
      <c r="E204" s="634"/>
      <c r="F204" s="634"/>
      <c r="G204" s="634"/>
      <c r="H204" s="634"/>
      <c r="I204" s="634"/>
      <c r="J204" s="634"/>
      <c r="K204" s="634"/>
      <c r="L204" s="634"/>
      <c r="M204" s="634"/>
      <c r="N204" s="634"/>
      <c r="O204" s="634"/>
      <c r="P204" s="634"/>
      <c r="Q204" s="634"/>
      <c r="R204" s="634"/>
      <c r="S204" s="634"/>
      <c r="T204" s="634"/>
      <c r="U204" s="634"/>
      <c r="V204" s="634"/>
      <c r="W204" s="634"/>
      <c r="X204" s="634"/>
      <c r="Y204" s="634"/>
      <c r="Z204" s="634"/>
      <c r="AA204" s="66"/>
      <c r="AB204" s="66"/>
      <c r="AC204" s="80"/>
    </row>
    <row r="205" spans="1:68" ht="27" customHeight="1" x14ac:dyDescent="0.25">
      <c r="A205" s="63" t="s">
        <v>349</v>
      </c>
      <c r="B205" s="63" t="s">
        <v>350</v>
      </c>
      <c r="C205" s="36">
        <v>4301031224</v>
      </c>
      <c r="D205" s="635">
        <v>4680115882683</v>
      </c>
      <c r="E205" s="635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125</v>
      </c>
      <c r="M205" s="38" t="s">
        <v>82</v>
      </c>
      <c r="N205" s="38"/>
      <c r="O205" s="37">
        <v>40</v>
      </c>
      <c r="P205" s="73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637"/>
      <c r="R205" s="637"/>
      <c r="S205" s="637"/>
      <c r="T205" s="63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351</v>
      </c>
      <c r="AG205" s="78"/>
      <c r="AJ205" s="84" t="s">
        <v>119</v>
      </c>
      <c r="AK205" s="84">
        <v>64.8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4301031230</v>
      </c>
      <c r="D206" s="635">
        <v>4680115882690</v>
      </c>
      <c r="E206" s="63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125</v>
      </c>
      <c r="M206" s="38" t="s">
        <v>82</v>
      </c>
      <c r="N206" s="38"/>
      <c r="O206" s="37">
        <v>40</v>
      </c>
      <c r="P206" s="7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637"/>
      <c r="R206" s="637"/>
      <c r="S206" s="637"/>
      <c r="T206" s="63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354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4301031220</v>
      </c>
      <c r="D207" s="635">
        <v>4680115882669</v>
      </c>
      <c r="E207" s="63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125</v>
      </c>
      <c r="M207" s="38" t="s">
        <v>82</v>
      </c>
      <c r="N207" s="38"/>
      <c r="O207" s="37">
        <v>40</v>
      </c>
      <c r="P207" s="73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637"/>
      <c r="R207" s="637"/>
      <c r="S207" s="637"/>
      <c r="T207" s="63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357</v>
      </c>
      <c r="AG207" s="78"/>
      <c r="AJ207" s="84" t="s">
        <v>119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4301031221</v>
      </c>
      <c r="D208" s="635">
        <v>4680115882676</v>
      </c>
      <c r="E208" s="63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125</v>
      </c>
      <c r="M208" s="38" t="s">
        <v>82</v>
      </c>
      <c r="N208" s="38"/>
      <c r="O208" s="37">
        <v>40</v>
      </c>
      <c r="P20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637"/>
      <c r="R208" s="637"/>
      <c r="S208" s="637"/>
      <c r="T208" s="63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360</v>
      </c>
      <c r="AG208" s="78"/>
      <c r="AJ208" s="84" t="s">
        <v>119</v>
      </c>
      <c r="AK208" s="84">
        <v>64.8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361</v>
      </c>
      <c r="B209" s="63" t="s">
        <v>362</v>
      </c>
      <c r="C209" s="36">
        <v>4301031223</v>
      </c>
      <c r="D209" s="635">
        <v>4680115884014</v>
      </c>
      <c r="E209" s="635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87</v>
      </c>
      <c r="L209" s="37" t="s">
        <v>307</v>
      </c>
      <c r="M209" s="38" t="s">
        <v>82</v>
      </c>
      <c r="N209" s="38"/>
      <c r="O209" s="37">
        <v>40</v>
      </c>
      <c r="P209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637"/>
      <c r="R209" s="637"/>
      <c r="S209" s="637"/>
      <c r="T209" s="63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351</v>
      </c>
      <c r="AG209" s="78"/>
      <c r="AJ209" s="84" t="s">
        <v>119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363</v>
      </c>
      <c r="B210" s="63" t="s">
        <v>364</v>
      </c>
      <c r="C210" s="36">
        <v>4301031222</v>
      </c>
      <c r="D210" s="635">
        <v>4680115884007</v>
      </c>
      <c r="E210" s="635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307</v>
      </c>
      <c r="M210" s="38" t="s">
        <v>82</v>
      </c>
      <c r="N210" s="38"/>
      <c r="O210" s="37">
        <v>40</v>
      </c>
      <c r="P210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637"/>
      <c r="R210" s="637"/>
      <c r="S210" s="637"/>
      <c r="T210" s="63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354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365</v>
      </c>
      <c r="B211" s="63" t="s">
        <v>366</v>
      </c>
      <c r="C211" s="36">
        <v>4301031229</v>
      </c>
      <c r="D211" s="635">
        <v>4680115884038</v>
      </c>
      <c r="E211" s="63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307</v>
      </c>
      <c r="M211" s="38" t="s">
        <v>82</v>
      </c>
      <c r="N211" s="38"/>
      <c r="O211" s="37">
        <v>40</v>
      </c>
      <c r="P211" s="7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637"/>
      <c r="R211" s="637"/>
      <c r="S211" s="637"/>
      <c r="T211" s="63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357</v>
      </c>
      <c r="AG211" s="78"/>
      <c r="AJ211" s="84" t="s">
        <v>119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367</v>
      </c>
      <c r="B212" s="63" t="s">
        <v>368</v>
      </c>
      <c r="C212" s="36">
        <v>4301031225</v>
      </c>
      <c r="D212" s="635">
        <v>4680115884021</v>
      </c>
      <c r="E212" s="63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87</v>
      </c>
      <c r="L212" s="37" t="s">
        <v>307</v>
      </c>
      <c r="M212" s="38" t="s">
        <v>82</v>
      </c>
      <c r="N212" s="38"/>
      <c r="O212" s="37">
        <v>40</v>
      </c>
      <c r="P212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637"/>
      <c r="R212" s="637"/>
      <c r="S212" s="637"/>
      <c r="T212" s="63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360</v>
      </c>
      <c r="AG212" s="78"/>
      <c r="AJ212" s="84" t="s">
        <v>119</v>
      </c>
      <c r="AK212" s="84">
        <v>32.4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x14ac:dyDescent="0.2">
      <c r="A213" s="643"/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4"/>
      <c r="P213" s="640" t="s">
        <v>40</v>
      </c>
      <c r="Q213" s="641"/>
      <c r="R213" s="641"/>
      <c r="S213" s="641"/>
      <c r="T213" s="641"/>
      <c r="U213" s="641"/>
      <c r="V213" s="642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3"/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4"/>
      <c r="P214" s="640" t="s">
        <v>40</v>
      </c>
      <c r="Q214" s="641"/>
      <c r="R214" s="641"/>
      <c r="S214" s="641"/>
      <c r="T214" s="641"/>
      <c r="U214" s="641"/>
      <c r="V214" s="642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customHeight="1" x14ac:dyDescent="0.25">
      <c r="A215" s="634" t="s">
        <v>88</v>
      </c>
      <c r="B215" s="634"/>
      <c r="C215" s="634"/>
      <c r="D215" s="634"/>
      <c r="E215" s="634"/>
      <c r="F215" s="634"/>
      <c r="G215" s="634"/>
      <c r="H215" s="634"/>
      <c r="I215" s="634"/>
      <c r="J215" s="634"/>
      <c r="K215" s="634"/>
      <c r="L215" s="634"/>
      <c r="M215" s="634"/>
      <c r="N215" s="634"/>
      <c r="O215" s="634"/>
      <c r="P215" s="634"/>
      <c r="Q215" s="634"/>
      <c r="R215" s="634"/>
      <c r="S215" s="634"/>
      <c r="T215" s="634"/>
      <c r="U215" s="634"/>
      <c r="V215" s="634"/>
      <c r="W215" s="634"/>
      <c r="X215" s="634"/>
      <c r="Y215" s="634"/>
      <c r="Z215" s="634"/>
      <c r="AA215" s="66"/>
      <c r="AB215" s="66"/>
      <c r="AC215" s="80"/>
    </row>
    <row r="216" spans="1:68" ht="27" customHeight="1" x14ac:dyDescent="0.25">
      <c r="A216" s="63" t="s">
        <v>369</v>
      </c>
      <c r="B216" s="63" t="s">
        <v>370</v>
      </c>
      <c r="C216" s="36">
        <v>4301051408</v>
      </c>
      <c r="D216" s="635">
        <v>4680115881594</v>
      </c>
      <c r="E216" s="635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40</v>
      </c>
      <c r="P216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637"/>
      <c r="R216" s="637"/>
      <c r="S216" s="637"/>
      <c r="T216" s="63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customHeight="1" x14ac:dyDescent="0.25">
      <c r="A217" s="63" t="s">
        <v>372</v>
      </c>
      <c r="B217" s="63" t="s">
        <v>373</v>
      </c>
      <c r="C217" s="36">
        <v>4301051411</v>
      </c>
      <c r="D217" s="635">
        <v>4680115881617</v>
      </c>
      <c r="E217" s="635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117</v>
      </c>
      <c r="L217" s="37" t="s">
        <v>45</v>
      </c>
      <c r="M217" s="38" t="s">
        <v>92</v>
      </c>
      <c r="N217" s="38"/>
      <c r="O217" s="37">
        <v>40</v>
      </c>
      <c r="P217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637"/>
      <c r="R217" s="637"/>
      <c r="S217" s="637"/>
      <c r="T217" s="63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374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375</v>
      </c>
      <c r="B218" s="63" t="s">
        <v>376</v>
      </c>
      <c r="C218" s="36">
        <v>4301051656</v>
      </c>
      <c r="D218" s="635">
        <v>4680115880573</v>
      </c>
      <c r="E218" s="635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117</v>
      </c>
      <c r="L218" s="37" t="s">
        <v>118</v>
      </c>
      <c r="M218" s="38" t="s">
        <v>92</v>
      </c>
      <c r="N218" s="38"/>
      <c r="O218" s="37">
        <v>45</v>
      </c>
      <c r="P218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637"/>
      <c r="R218" s="637"/>
      <c r="S218" s="637"/>
      <c r="T218" s="63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377</v>
      </c>
      <c r="AG218" s="78"/>
      <c r="AJ218" s="84" t="s">
        <v>119</v>
      </c>
      <c r="AK218" s="84">
        <v>69.599999999999994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customHeight="1" x14ac:dyDescent="0.25">
      <c r="A219" s="63" t="s">
        <v>378</v>
      </c>
      <c r="B219" s="63" t="s">
        <v>379</v>
      </c>
      <c r="C219" s="36">
        <v>4301051407</v>
      </c>
      <c r="D219" s="635">
        <v>4680115882195</v>
      </c>
      <c r="E219" s="635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83</v>
      </c>
      <c r="L219" s="37" t="s">
        <v>233</v>
      </c>
      <c r="M219" s="38" t="s">
        <v>92</v>
      </c>
      <c r="N219" s="38"/>
      <c r="O219" s="37">
        <v>40</v>
      </c>
      <c r="P219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637"/>
      <c r="R219" s="637"/>
      <c r="S219" s="637"/>
      <c r="T219" s="63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380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4301051752</v>
      </c>
      <c r="D220" s="635">
        <v>4680115882607</v>
      </c>
      <c r="E220" s="635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83</v>
      </c>
      <c r="L220" s="37" t="s">
        <v>45</v>
      </c>
      <c r="M220" s="38" t="s">
        <v>98</v>
      </c>
      <c r="N220" s="38"/>
      <c r="O220" s="37">
        <v>45</v>
      </c>
      <c r="P220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637"/>
      <c r="R220" s="637"/>
      <c r="S220" s="637"/>
      <c r="T220" s="63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377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4301051666</v>
      </c>
      <c r="D221" s="635">
        <v>4680115880092</v>
      </c>
      <c r="E221" s="635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233</v>
      </c>
      <c r="M221" s="38" t="s">
        <v>92</v>
      </c>
      <c r="N221" s="38"/>
      <c r="O221" s="37">
        <v>45</v>
      </c>
      <c r="P221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637"/>
      <c r="R221" s="637"/>
      <c r="S221" s="637"/>
      <c r="T221" s="63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377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4301051668</v>
      </c>
      <c r="D222" s="635">
        <v>4680115880221</v>
      </c>
      <c r="E222" s="63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45</v>
      </c>
      <c r="M222" s="38" t="s">
        <v>92</v>
      </c>
      <c r="N222" s="38"/>
      <c r="O222" s="37">
        <v>45</v>
      </c>
      <c r="P222" s="7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637"/>
      <c r="R222" s="637"/>
      <c r="S222" s="637"/>
      <c r="T222" s="63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377</v>
      </c>
      <c r="AG222" s="78"/>
      <c r="AJ222" s="84" t="s">
        <v>45</v>
      </c>
      <c r="AK222" s="84">
        <v>0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4301051945</v>
      </c>
      <c r="D223" s="635">
        <v>4680115880504</v>
      </c>
      <c r="E223" s="63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83</v>
      </c>
      <c r="L223" s="37" t="s">
        <v>233</v>
      </c>
      <c r="M223" s="38" t="s">
        <v>98</v>
      </c>
      <c r="N223" s="38"/>
      <c r="O223" s="37">
        <v>40</v>
      </c>
      <c r="P223" s="7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637"/>
      <c r="R223" s="637"/>
      <c r="S223" s="637"/>
      <c r="T223" s="63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389</v>
      </c>
      <c r="AG223" s="78"/>
      <c r="AJ223" s="84" t="s">
        <v>119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customHeight="1" x14ac:dyDescent="0.25">
      <c r="A224" s="63" t="s">
        <v>390</v>
      </c>
      <c r="B224" s="63" t="s">
        <v>391</v>
      </c>
      <c r="C224" s="36">
        <v>4301051410</v>
      </c>
      <c r="D224" s="635">
        <v>4680115882164</v>
      </c>
      <c r="E224" s="635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83</v>
      </c>
      <c r="L224" s="37" t="s">
        <v>233</v>
      </c>
      <c r="M224" s="38" t="s">
        <v>92</v>
      </c>
      <c r="N224" s="38"/>
      <c r="O224" s="37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637"/>
      <c r="R224" s="637"/>
      <c r="S224" s="637"/>
      <c r="T224" s="63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374</v>
      </c>
      <c r="AG224" s="78"/>
      <c r="AJ224" s="84" t="s">
        <v>119</v>
      </c>
      <c r="AK224" s="84">
        <v>33.6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x14ac:dyDescent="0.2">
      <c r="A225" s="643"/>
      <c r="B225" s="643"/>
      <c r="C225" s="643"/>
      <c r="D225" s="643"/>
      <c r="E225" s="643"/>
      <c r="F225" s="643"/>
      <c r="G225" s="643"/>
      <c r="H225" s="643"/>
      <c r="I225" s="643"/>
      <c r="J225" s="643"/>
      <c r="K225" s="643"/>
      <c r="L225" s="643"/>
      <c r="M225" s="643"/>
      <c r="N225" s="643"/>
      <c r="O225" s="644"/>
      <c r="P225" s="640" t="s">
        <v>40</v>
      </c>
      <c r="Q225" s="641"/>
      <c r="R225" s="641"/>
      <c r="S225" s="641"/>
      <c r="T225" s="641"/>
      <c r="U225" s="641"/>
      <c r="V225" s="642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43"/>
      <c r="B226" s="643"/>
      <c r="C226" s="643"/>
      <c r="D226" s="643"/>
      <c r="E226" s="643"/>
      <c r="F226" s="643"/>
      <c r="G226" s="643"/>
      <c r="H226" s="643"/>
      <c r="I226" s="643"/>
      <c r="J226" s="643"/>
      <c r="K226" s="643"/>
      <c r="L226" s="643"/>
      <c r="M226" s="643"/>
      <c r="N226" s="643"/>
      <c r="O226" s="644"/>
      <c r="P226" s="640" t="s">
        <v>40</v>
      </c>
      <c r="Q226" s="641"/>
      <c r="R226" s="641"/>
      <c r="S226" s="641"/>
      <c r="T226" s="641"/>
      <c r="U226" s="641"/>
      <c r="V226" s="642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34" t="s">
        <v>173</v>
      </c>
      <c r="B227" s="634"/>
      <c r="C227" s="634"/>
      <c r="D227" s="634"/>
      <c r="E227" s="634"/>
      <c r="F227" s="634"/>
      <c r="G227" s="634"/>
      <c r="H227" s="634"/>
      <c r="I227" s="634"/>
      <c r="J227" s="634"/>
      <c r="K227" s="634"/>
      <c r="L227" s="634"/>
      <c r="M227" s="634"/>
      <c r="N227" s="634"/>
      <c r="O227" s="634"/>
      <c r="P227" s="634"/>
      <c r="Q227" s="634"/>
      <c r="R227" s="634"/>
      <c r="S227" s="634"/>
      <c r="T227" s="634"/>
      <c r="U227" s="634"/>
      <c r="V227" s="634"/>
      <c r="W227" s="634"/>
      <c r="X227" s="634"/>
      <c r="Y227" s="634"/>
      <c r="Z227" s="634"/>
      <c r="AA227" s="66"/>
      <c r="AB227" s="66"/>
      <c r="AC227" s="80"/>
    </row>
    <row r="228" spans="1:68" ht="27" customHeight="1" x14ac:dyDescent="0.25">
      <c r="A228" s="63" t="s">
        <v>392</v>
      </c>
      <c r="B228" s="63" t="s">
        <v>393</v>
      </c>
      <c r="C228" s="36">
        <v>4301060463</v>
      </c>
      <c r="D228" s="635">
        <v>4680115880818</v>
      </c>
      <c r="E228" s="635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233</v>
      </c>
      <c r="M228" s="38" t="s">
        <v>98</v>
      </c>
      <c r="N228" s="38"/>
      <c r="O228" s="37">
        <v>40</v>
      </c>
      <c r="P228" s="7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637"/>
      <c r="R228" s="637"/>
      <c r="S228" s="637"/>
      <c r="T228" s="638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394</v>
      </c>
      <c r="AG228" s="78"/>
      <c r="AJ228" s="84" t="s">
        <v>119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4301060389</v>
      </c>
      <c r="D229" s="635">
        <v>4680115880801</v>
      </c>
      <c r="E229" s="63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83</v>
      </c>
      <c r="L229" s="37" t="s">
        <v>233</v>
      </c>
      <c r="M229" s="38" t="s">
        <v>92</v>
      </c>
      <c r="N229" s="38"/>
      <c r="O229" s="37">
        <v>40</v>
      </c>
      <c r="P229" s="7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637"/>
      <c r="R229" s="637"/>
      <c r="S229" s="637"/>
      <c r="T229" s="63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397</v>
      </c>
      <c r="AG229" s="78"/>
      <c r="AJ229" s="84" t="s">
        <v>119</v>
      </c>
      <c r="AK229" s="84">
        <v>33.6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43"/>
      <c r="B230" s="643"/>
      <c r="C230" s="643"/>
      <c r="D230" s="643"/>
      <c r="E230" s="643"/>
      <c r="F230" s="643"/>
      <c r="G230" s="643"/>
      <c r="H230" s="643"/>
      <c r="I230" s="643"/>
      <c r="J230" s="643"/>
      <c r="K230" s="643"/>
      <c r="L230" s="643"/>
      <c r="M230" s="643"/>
      <c r="N230" s="643"/>
      <c r="O230" s="644"/>
      <c r="P230" s="640" t="s">
        <v>40</v>
      </c>
      <c r="Q230" s="641"/>
      <c r="R230" s="641"/>
      <c r="S230" s="641"/>
      <c r="T230" s="641"/>
      <c r="U230" s="641"/>
      <c r="V230" s="642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43"/>
      <c r="B231" s="643"/>
      <c r="C231" s="643"/>
      <c r="D231" s="643"/>
      <c r="E231" s="643"/>
      <c r="F231" s="643"/>
      <c r="G231" s="643"/>
      <c r="H231" s="643"/>
      <c r="I231" s="643"/>
      <c r="J231" s="643"/>
      <c r="K231" s="643"/>
      <c r="L231" s="643"/>
      <c r="M231" s="643"/>
      <c r="N231" s="643"/>
      <c r="O231" s="644"/>
      <c r="P231" s="640" t="s">
        <v>40</v>
      </c>
      <c r="Q231" s="641"/>
      <c r="R231" s="641"/>
      <c r="S231" s="641"/>
      <c r="T231" s="641"/>
      <c r="U231" s="641"/>
      <c r="V231" s="642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customHeight="1" x14ac:dyDescent="0.25">
      <c r="A232" s="633" t="s">
        <v>398</v>
      </c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3"/>
      <c r="P232" s="633"/>
      <c r="Q232" s="633"/>
      <c r="R232" s="633"/>
      <c r="S232" s="633"/>
      <c r="T232" s="633"/>
      <c r="U232" s="633"/>
      <c r="V232" s="633"/>
      <c r="W232" s="633"/>
      <c r="X232" s="633"/>
      <c r="Y232" s="633"/>
      <c r="Z232" s="633"/>
      <c r="AA232" s="65"/>
      <c r="AB232" s="65"/>
      <c r="AC232" s="79"/>
    </row>
    <row r="233" spans="1:68" ht="14.25" customHeight="1" x14ac:dyDescent="0.25">
      <c r="A233" s="634" t="s">
        <v>112</v>
      </c>
      <c r="B233" s="634"/>
      <c r="C233" s="634"/>
      <c r="D233" s="634"/>
      <c r="E233" s="634"/>
      <c r="F233" s="634"/>
      <c r="G233" s="634"/>
      <c r="H233" s="634"/>
      <c r="I233" s="634"/>
      <c r="J233" s="634"/>
      <c r="K233" s="634"/>
      <c r="L233" s="634"/>
      <c r="M233" s="634"/>
      <c r="N233" s="634"/>
      <c r="O233" s="634"/>
      <c r="P233" s="634"/>
      <c r="Q233" s="634"/>
      <c r="R233" s="634"/>
      <c r="S233" s="634"/>
      <c r="T233" s="634"/>
      <c r="U233" s="634"/>
      <c r="V233" s="634"/>
      <c r="W233" s="634"/>
      <c r="X233" s="634"/>
      <c r="Y233" s="634"/>
      <c r="Z233" s="634"/>
      <c r="AA233" s="66"/>
      <c r="AB233" s="66"/>
      <c r="AC233" s="80"/>
    </row>
    <row r="234" spans="1:68" ht="27" customHeight="1" x14ac:dyDescent="0.25">
      <c r="A234" s="63" t="s">
        <v>399</v>
      </c>
      <c r="B234" s="63" t="s">
        <v>400</v>
      </c>
      <c r="C234" s="36">
        <v>4301011826</v>
      </c>
      <c r="D234" s="635">
        <v>4680115884137</v>
      </c>
      <c r="E234" s="635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118</v>
      </c>
      <c r="M234" s="38" t="s">
        <v>116</v>
      </c>
      <c r="N234" s="38"/>
      <c r="O234" s="37">
        <v>55</v>
      </c>
      <c r="P234" s="7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37"/>
      <c r="R234" s="637"/>
      <c r="S234" s="637"/>
      <c r="T234" s="63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401</v>
      </c>
      <c r="AG234" s="78"/>
      <c r="AJ234" s="84" t="s">
        <v>119</v>
      </c>
      <c r="AK234" s="84">
        <v>92.8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customHeight="1" x14ac:dyDescent="0.25">
      <c r="A235" s="63" t="s">
        <v>402</v>
      </c>
      <c r="B235" s="63" t="s">
        <v>403</v>
      </c>
      <c r="C235" s="36">
        <v>4301011724</v>
      </c>
      <c r="D235" s="635">
        <v>4680115884236</v>
      </c>
      <c r="E235" s="63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117</v>
      </c>
      <c r="L235" s="37" t="s">
        <v>45</v>
      </c>
      <c r="M235" s="38" t="s">
        <v>116</v>
      </c>
      <c r="N235" s="38"/>
      <c r="O235" s="37">
        <v>55</v>
      </c>
      <c r="P235" s="7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37"/>
      <c r="R235" s="637"/>
      <c r="S235" s="637"/>
      <c r="T235" s="63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404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405</v>
      </c>
      <c r="B236" s="63" t="s">
        <v>406</v>
      </c>
      <c r="C236" s="36">
        <v>4301011721</v>
      </c>
      <c r="D236" s="635">
        <v>4680115884175</v>
      </c>
      <c r="E236" s="63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117</v>
      </c>
      <c r="L236" s="37" t="s">
        <v>118</v>
      </c>
      <c r="M236" s="38" t="s">
        <v>116</v>
      </c>
      <c r="N236" s="38"/>
      <c r="O236" s="37">
        <v>55</v>
      </c>
      <c r="P236" s="7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37"/>
      <c r="R236" s="637"/>
      <c r="S236" s="637"/>
      <c r="T236" s="63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407</v>
      </c>
      <c r="AG236" s="78"/>
      <c r="AJ236" s="84" t="s">
        <v>119</v>
      </c>
      <c r="AK236" s="84">
        <v>92.8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408</v>
      </c>
      <c r="B237" s="63" t="s">
        <v>409</v>
      </c>
      <c r="C237" s="36">
        <v>4301011824</v>
      </c>
      <c r="D237" s="635">
        <v>4680115884144</v>
      </c>
      <c r="E237" s="63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125</v>
      </c>
      <c r="M237" s="38" t="s">
        <v>116</v>
      </c>
      <c r="N237" s="38"/>
      <c r="O237" s="37">
        <v>55</v>
      </c>
      <c r="P237" s="7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7"/>
      <c r="R237" s="637"/>
      <c r="S237" s="637"/>
      <c r="T237" s="63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401</v>
      </c>
      <c r="AG237" s="78"/>
      <c r="AJ237" s="84" t="s">
        <v>119</v>
      </c>
      <c r="AK237" s="84">
        <v>48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408</v>
      </c>
      <c r="B238" s="63" t="s">
        <v>410</v>
      </c>
      <c r="C238" s="36">
        <v>4301012196</v>
      </c>
      <c r="D238" s="635">
        <v>4680115884144</v>
      </c>
      <c r="E238" s="63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116</v>
      </c>
      <c r="N238" s="38"/>
      <c r="O238" s="37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637"/>
      <c r="R238" s="637"/>
      <c r="S238" s="637"/>
      <c r="T238" s="63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401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411</v>
      </c>
      <c r="B239" s="63" t="s">
        <v>412</v>
      </c>
      <c r="C239" s="36">
        <v>4301012149</v>
      </c>
      <c r="D239" s="635">
        <v>4680115886551</v>
      </c>
      <c r="E239" s="63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116</v>
      </c>
      <c r="N239" s="38"/>
      <c r="O239" s="37">
        <v>55</v>
      </c>
      <c r="P239" s="75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37"/>
      <c r="R239" s="637"/>
      <c r="S239" s="637"/>
      <c r="T239" s="63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413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414</v>
      </c>
      <c r="B240" s="63" t="s">
        <v>415</v>
      </c>
      <c r="C240" s="36">
        <v>4301012228</v>
      </c>
      <c r="D240" s="635">
        <v>4680115887282</v>
      </c>
      <c r="E240" s="63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83</v>
      </c>
      <c r="L240" s="37" t="s">
        <v>45</v>
      </c>
      <c r="M240" s="38" t="s">
        <v>116</v>
      </c>
      <c r="N240" s="38"/>
      <c r="O240" s="37">
        <v>55</v>
      </c>
      <c r="P240" s="75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37"/>
      <c r="R240" s="637"/>
      <c r="S240" s="637"/>
      <c r="T240" s="63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416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417</v>
      </c>
      <c r="B241" s="63" t="s">
        <v>418</v>
      </c>
      <c r="C241" s="36">
        <v>4301011722</v>
      </c>
      <c r="D241" s="635">
        <v>4680115884205</v>
      </c>
      <c r="E241" s="63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125</v>
      </c>
      <c r="M241" s="38" t="s">
        <v>116</v>
      </c>
      <c r="N241" s="38"/>
      <c r="O241" s="37">
        <v>55</v>
      </c>
      <c r="P241" s="75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7"/>
      <c r="R241" s="637"/>
      <c r="S241" s="637"/>
      <c r="T241" s="63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407</v>
      </c>
      <c r="AG241" s="78"/>
      <c r="AJ241" s="84" t="s">
        <v>119</v>
      </c>
      <c r="AK241" s="84">
        <v>48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customHeight="1" x14ac:dyDescent="0.25">
      <c r="A242" s="63" t="s">
        <v>417</v>
      </c>
      <c r="B242" s="63" t="s">
        <v>419</v>
      </c>
      <c r="C242" s="36">
        <v>4301012195</v>
      </c>
      <c r="D242" s="635">
        <v>4680115884205</v>
      </c>
      <c r="E242" s="635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122</v>
      </c>
      <c r="L242" s="37" t="s">
        <v>45</v>
      </c>
      <c r="M242" s="38" t="s">
        <v>116</v>
      </c>
      <c r="N242" s="38"/>
      <c r="O242" s="37">
        <v>55</v>
      </c>
      <c r="P242" s="75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637"/>
      <c r="R242" s="637"/>
      <c r="S242" s="637"/>
      <c r="T242" s="638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407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x14ac:dyDescent="0.2">
      <c r="A243" s="643"/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4"/>
      <c r="P243" s="640" t="s">
        <v>40</v>
      </c>
      <c r="Q243" s="641"/>
      <c r="R243" s="641"/>
      <c r="S243" s="641"/>
      <c r="T243" s="641"/>
      <c r="U243" s="641"/>
      <c r="V243" s="642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3"/>
      <c r="B244" s="643"/>
      <c r="C244" s="643"/>
      <c r="D244" s="643"/>
      <c r="E244" s="643"/>
      <c r="F244" s="643"/>
      <c r="G244" s="643"/>
      <c r="H244" s="643"/>
      <c r="I244" s="643"/>
      <c r="J244" s="643"/>
      <c r="K244" s="643"/>
      <c r="L244" s="643"/>
      <c r="M244" s="643"/>
      <c r="N244" s="643"/>
      <c r="O244" s="644"/>
      <c r="P244" s="640" t="s">
        <v>40</v>
      </c>
      <c r="Q244" s="641"/>
      <c r="R244" s="641"/>
      <c r="S244" s="641"/>
      <c r="T244" s="641"/>
      <c r="U244" s="641"/>
      <c r="V244" s="642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customHeight="1" x14ac:dyDescent="0.25">
      <c r="A245" s="634" t="s">
        <v>148</v>
      </c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4"/>
      <c r="P245" s="634"/>
      <c r="Q245" s="634"/>
      <c r="R245" s="634"/>
      <c r="S245" s="634"/>
      <c r="T245" s="634"/>
      <c r="U245" s="634"/>
      <c r="V245" s="634"/>
      <c r="W245" s="634"/>
      <c r="X245" s="634"/>
      <c r="Y245" s="634"/>
      <c r="Z245" s="634"/>
      <c r="AA245" s="66"/>
      <c r="AB245" s="66"/>
      <c r="AC245" s="80"/>
    </row>
    <row r="246" spans="1:68" ht="27" customHeight="1" x14ac:dyDescent="0.25">
      <c r="A246" s="63" t="s">
        <v>420</v>
      </c>
      <c r="B246" s="63" t="s">
        <v>421</v>
      </c>
      <c r="C246" s="36">
        <v>4301020377</v>
      </c>
      <c r="D246" s="635">
        <v>4680115885981</v>
      </c>
      <c r="E246" s="635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87</v>
      </c>
      <c r="L246" s="37" t="s">
        <v>45</v>
      </c>
      <c r="M246" s="38" t="s">
        <v>92</v>
      </c>
      <c r="N246" s="38"/>
      <c r="O246" s="37">
        <v>50</v>
      </c>
      <c r="P246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637"/>
      <c r="R246" s="637"/>
      <c r="S246" s="637"/>
      <c r="T246" s="63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422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3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0" t="s">
        <v>40</v>
      </c>
      <c r="Q247" s="641"/>
      <c r="R247" s="641"/>
      <c r="S247" s="641"/>
      <c r="T247" s="641"/>
      <c r="U247" s="641"/>
      <c r="V247" s="642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0" t="s">
        <v>40</v>
      </c>
      <c r="Q248" s="641"/>
      <c r="R248" s="641"/>
      <c r="S248" s="641"/>
      <c r="T248" s="641"/>
      <c r="U248" s="641"/>
      <c r="V248" s="642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34" t="s">
        <v>423</v>
      </c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4"/>
      <c r="P249" s="634"/>
      <c r="Q249" s="634"/>
      <c r="R249" s="634"/>
      <c r="S249" s="634"/>
      <c r="T249" s="634"/>
      <c r="U249" s="634"/>
      <c r="V249" s="634"/>
      <c r="W249" s="634"/>
      <c r="X249" s="634"/>
      <c r="Y249" s="634"/>
      <c r="Z249" s="634"/>
      <c r="AA249" s="66"/>
      <c r="AB249" s="66"/>
      <c r="AC249" s="80"/>
    </row>
    <row r="250" spans="1:68" ht="27" customHeight="1" x14ac:dyDescent="0.25">
      <c r="A250" s="63" t="s">
        <v>424</v>
      </c>
      <c r="B250" s="63" t="s">
        <v>425</v>
      </c>
      <c r="C250" s="36">
        <v>4301040362</v>
      </c>
      <c r="D250" s="635">
        <v>4680115886803</v>
      </c>
      <c r="E250" s="635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329</v>
      </c>
      <c r="L250" s="37" t="s">
        <v>45</v>
      </c>
      <c r="M250" s="38" t="s">
        <v>289</v>
      </c>
      <c r="N250" s="38"/>
      <c r="O250" s="37">
        <v>45</v>
      </c>
      <c r="P250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637"/>
      <c r="R250" s="637"/>
      <c r="S250" s="637"/>
      <c r="T250" s="63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426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customHeight="1" x14ac:dyDescent="0.25">
      <c r="A253" s="634" t="s">
        <v>427</v>
      </c>
      <c r="B253" s="634"/>
      <c r="C253" s="634"/>
      <c r="D253" s="634"/>
      <c r="E253" s="634"/>
      <c r="F253" s="634"/>
      <c r="G253" s="634"/>
      <c r="H253" s="634"/>
      <c r="I253" s="634"/>
      <c r="J253" s="634"/>
      <c r="K253" s="634"/>
      <c r="L253" s="634"/>
      <c r="M253" s="634"/>
      <c r="N253" s="634"/>
      <c r="O253" s="634"/>
      <c r="P253" s="634"/>
      <c r="Q253" s="634"/>
      <c r="R253" s="634"/>
      <c r="S253" s="634"/>
      <c r="T253" s="634"/>
      <c r="U253" s="634"/>
      <c r="V253" s="634"/>
      <c r="W253" s="634"/>
      <c r="X253" s="634"/>
      <c r="Y253" s="634"/>
      <c r="Z253" s="634"/>
      <c r="AA253" s="66"/>
      <c r="AB253" s="66"/>
      <c r="AC253" s="80"/>
    </row>
    <row r="254" spans="1:68" ht="27" customHeight="1" x14ac:dyDescent="0.25">
      <c r="A254" s="63" t="s">
        <v>428</v>
      </c>
      <c r="B254" s="63" t="s">
        <v>429</v>
      </c>
      <c r="C254" s="36">
        <v>4301041004</v>
      </c>
      <c r="D254" s="635">
        <v>4680115886704</v>
      </c>
      <c r="E254" s="635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329</v>
      </c>
      <c r="L254" s="37" t="s">
        <v>45</v>
      </c>
      <c r="M254" s="38" t="s">
        <v>289</v>
      </c>
      <c r="N254" s="38"/>
      <c r="O254" s="37">
        <v>90</v>
      </c>
      <c r="P254" s="76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637"/>
      <c r="R254" s="637"/>
      <c r="S254" s="637"/>
      <c r="T254" s="63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430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431</v>
      </c>
      <c r="B255" s="63" t="s">
        <v>432</v>
      </c>
      <c r="C255" s="36">
        <v>4301041008</v>
      </c>
      <c r="D255" s="635">
        <v>4680115886681</v>
      </c>
      <c r="E255" s="635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329</v>
      </c>
      <c r="L255" s="37" t="s">
        <v>45</v>
      </c>
      <c r="M255" s="38" t="s">
        <v>289</v>
      </c>
      <c r="N255" s="38"/>
      <c r="O255" s="37">
        <v>90</v>
      </c>
      <c r="P255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637"/>
      <c r="R255" s="637"/>
      <c r="S255" s="637"/>
      <c r="T255" s="63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430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4301041007</v>
      </c>
      <c r="D256" s="635">
        <v>4680115886735</v>
      </c>
      <c r="E256" s="635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329</v>
      </c>
      <c r="L256" s="37" t="s">
        <v>45</v>
      </c>
      <c r="M256" s="38" t="s">
        <v>289</v>
      </c>
      <c r="N256" s="38"/>
      <c r="O256" s="37">
        <v>90</v>
      </c>
      <c r="P256" s="76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637"/>
      <c r="R256" s="637"/>
      <c r="S256" s="637"/>
      <c r="T256" s="63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430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435</v>
      </c>
      <c r="B257" s="63" t="s">
        <v>436</v>
      </c>
      <c r="C257" s="36">
        <v>4301041006</v>
      </c>
      <c r="D257" s="635">
        <v>4680115886728</v>
      </c>
      <c r="E257" s="63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329</v>
      </c>
      <c r="L257" s="37" t="s">
        <v>45</v>
      </c>
      <c r="M257" s="38" t="s">
        <v>289</v>
      </c>
      <c r="N257" s="38"/>
      <c r="O257" s="37">
        <v>90</v>
      </c>
      <c r="P257" s="76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637"/>
      <c r="R257" s="637"/>
      <c r="S257" s="637"/>
      <c r="T257" s="63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430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437</v>
      </c>
      <c r="B258" s="63" t="s">
        <v>438</v>
      </c>
      <c r="C258" s="36">
        <v>4301041005</v>
      </c>
      <c r="D258" s="635">
        <v>4680115886711</v>
      </c>
      <c r="E258" s="635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329</v>
      </c>
      <c r="L258" s="37" t="s">
        <v>45</v>
      </c>
      <c r="M258" s="38" t="s">
        <v>289</v>
      </c>
      <c r="N258" s="38"/>
      <c r="O258" s="37">
        <v>90</v>
      </c>
      <c r="P258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637"/>
      <c r="R258" s="637"/>
      <c r="S258" s="637"/>
      <c r="T258" s="63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430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3"/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4"/>
      <c r="P259" s="640" t="s">
        <v>40</v>
      </c>
      <c r="Q259" s="641"/>
      <c r="R259" s="641"/>
      <c r="S259" s="641"/>
      <c r="T259" s="641"/>
      <c r="U259" s="641"/>
      <c r="V259" s="642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43"/>
      <c r="B260" s="643"/>
      <c r="C260" s="643"/>
      <c r="D260" s="643"/>
      <c r="E260" s="643"/>
      <c r="F260" s="643"/>
      <c r="G260" s="643"/>
      <c r="H260" s="643"/>
      <c r="I260" s="643"/>
      <c r="J260" s="643"/>
      <c r="K260" s="643"/>
      <c r="L260" s="643"/>
      <c r="M260" s="643"/>
      <c r="N260" s="643"/>
      <c r="O260" s="644"/>
      <c r="P260" s="640" t="s">
        <v>40</v>
      </c>
      <c r="Q260" s="641"/>
      <c r="R260" s="641"/>
      <c r="S260" s="641"/>
      <c r="T260" s="641"/>
      <c r="U260" s="641"/>
      <c r="V260" s="642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33" t="s">
        <v>439</v>
      </c>
      <c r="B261" s="633"/>
      <c r="C261" s="633"/>
      <c r="D261" s="633"/>
      <c r="E261" s="633"/>
      <c r="F261" s="633"/>
      <c r="G261" s="633"/>
      <c r="H261" s="633"/>
      <c r="I261" s="633"/>
      <c r="J261" s="633"/>
      <c r="K261" s="633"/>
      <c r="L261" s="633"/>
      <c r="M261" s="633"/>
      <c r="N261" s="633"/>
      <c r="O261" s="633"/>
      <c r="P261" s="633"/>
      <c r="Q261" s="633"/>
      <c r="R261" s="633"/>
      <c r="S261" s="633"/>
      <c r="T261" s="633"/>
      <c r="U261" s="633"/>
      <c r="V261" s="633"/>
      <c r="W261" s="633"/>
      <c r="X261" s="633"/>
      <c r="Y261" s="633"/>
      <c r="Z261" s="633"/>
      <c r="AA261" s="65"/>
      <c r="AB261" s="65"/>
      <c r="AC261" s="79"/>
    </row>
    <row r="262" spans="1:68" ht="14.25" customHeight="1" x14ac:dyDescent="0.25">
      <c r="A262" s="634" t="s">
        <v>112</v>
      </c>
      <c r="B262" s="634"/>
      <c r="C262" s="634"/>
      <c r="D262" s="634"/>
      <c r="E262" s="634"/>
      <c r="F262" s="634"/>
      <c r="G262" s="634"/>
      <c r="H262" s="634"/>
      <c r="I262" s="634"/>
      <c r="J262" s="634"/>
      <c r="K262" s="634"/>
      <c r="L262" s="634"/>
      <c r="M262" s="634"/>
      <c r="N262" s="634"/>
      <c r="O262" s="634"/>
      <c r="P262" s="634"/>
      <c r="Q262" s="634"/>
      <c r="R262" s="634"/>
      <c r="S262" s="634"/>
      <c r="T262" s="634"/>
      <c r="U262" s="634"/>
      <c r="V262" s="634"/>
      <c r="W262" s="634"/>
      <c r="X262" s="634"/>
      <c r="Y262" s="634"/>
      <c r="Z262" s="634"/>
      <c r="AA262" s="66"/>
      <c r="AB262" s="66"/>
      <c r="AC262" s="80"/>
    </row>
    <row r="263" spans="1:68" ht="27" customHeight="1" x14ac:dyDescent="0.25">
      <c r="A263" s="63" t="s">
        <v>440</v>
      </c>
      <c r="B263" s="63" t="s">
        <v>441</v>
      </c>
      <c r="C263" s="36">
        <v>4301011855</v>
      </c>
      <c r="D263" s="635">
        <v>4680115885837</v>
      </c>
      <c r="E263" s="63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637"/>
      <c r="R263" s="637"/>
      <c r="S263" s="637"/>
      <c r="T263" s="63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442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443</v>
      </c>
      <c r="B264" s="63" t="s">
        <v>444</v>
      </c>
      <c r="C264" s="36">
        <v>4301011853</v>
      </c>
      <c r="D264" s="635">
        <v>4680115885851</v>
      </c>
      <c r="E264" s="63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116</v>
      </c>
      <c r="N264" s="38"/>
      <c r="O264" s="37">
        <v>55</v>
      </c>
      <c r="P264" s="76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637"/>
      <c r="R264" s="637"/>
      <c r="S264" s="637"/>
      <c r="T264" s="63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445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446</v>
      </c>
      <c r="B265" s="63" t="s">
        <v>447</v>
      </c>
      <c r="C265" s="36">
        <v>4301011850</v>
      </c>
      <c r="D265" s="635">
        <v>4680115885806</v>
      </c>
      <c r="E265" s="635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116</v>
      </c>
      <c r="N265" s="38"/>
      <c r="O265" s="37">
        <v>55</v>
      </c>
      <c r="P265" s="76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637"/>
      <c r="R265" s="637"/>
      <c r="S265" s="637"/>
      <c r="T265" s="63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448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449</v>
      </c>
      <c r="B266" s="63" t="s">
        <v>450</v>
      </c>
      <c r="C266" s="36">
        <v>4301011852</v>
      </c>
      <c r="D266" s="635">
        <v>4680115885844</v>
      </c>
      <c r="E266" s="63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116</v>
      </c>
      <c r="N266" s="38"/>
      <c r="O266" s="37">
        <v>55</v>
      </c>
      <c r="P266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37"/>
      <c r="R266" s="637"/>
      <c r="S266" s="637"/>
      <c r="T266" s="63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451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452</v>
      </c>
      <c r="B267" s="63" t="s">
        <v>453</v>
      </c>
      <c r="C267" s="36">
        <v>4301011851</v>
      </c>
      <c r="D267" s="635">
        <v>4680115885820</v>
      </c>
      <c r="E267" s="635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122</v>
      </c>
      <c r="L267" s="37" t="s">
        <v>45</v>
      </c>
      <c r="M267" s="38" t="s">
        <v>116</v>
      </c>
      <c r="N267" s="38"/>
      <c r="O267" s="37">
        <v>55</v>
      </c>
      <c r="P267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37"/>
      <c r="R267" s="637"/>
      <c r="S267" s="637"/>
      <c r="T267" s="63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454</v>
      </c>
      <c r="AG267" s="78"/>
      <c r="AJ267" s="84" t="s">
        <v>45</v>
      </c>
      <c r="AK267" s="84">
        <v>0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43"/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4"/>
      <c r="P268" s="640" t="s">
        <v>40</v>
      </c>
      <c r="Q268" s="641"/>
      <c r="R268" s="641"/>
      <c r="S268" s="641"/>
      <c r="T268" s="641"/>
      <c r="U268" s="641"/>
      <c r="V268" s="642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43"/>
      <c r="B269" s="643"/>
      <c r="C269" s="643"/>
      <c r="D269" s="643"/>
      <c r="E269" s="643"/>
      <c r="F269" s="643"/>
      <c r="G269" s="643"/>
      <c r="H269" s="643"/>
      <c r="I269" s="643"/>
      <c r="J269" s="643"/>
      <c r="K269" s="643"/>
      <c r="L269" s="643"/>
      <c r="M269" s="643"/>
      <c r="N269" s="643"/>
      <c r="O269" s="644"/>
      <c r="P269" s="640" t="s">
        <v>40</v>
      </c>
      <c r="Q269" s="641"/>
      <c r="R269" s="641"/>
      <c r="S269" s="641"/>
      <c r="T269" s="641"/>
      <c r="U269" s="641"/>
      <c r="V269" s="642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customHeight="1" x14ac:dyDescent="0.25">
      <c r="A270" s="633" t="s">
        <v>455</v>
      </c>
      <c r="B270" s="633"/>
      <c r="C270" s="633"/>
      <c r="D270" s="633"/>
      <c r="E270" s="633"/>
      <c r="F270" s="633"/>
      <c r="G270" s="633"/>
      <c r="H270" s="633"/>
      <c r="I270" s="633"/>
      <c r="J270" s="633"/>
      <c r="K270" s="633"/>
      <c r="L270" s="633"/>
      <c r="M270" s="633"/>
      <c r="N270" s="633"/>
      <c r="O270" s="633"/>
      <c r="P270" s="633"/>
      <c r="Q270" s="633"/>
      <c r="R270" s="633"/>
      <c r="S270" s="633"/>
      <c r="T270" s="633"/>
      <c r="U270" s="633"/>
      <c r="V270" s="633"/>
      <c r="W270" s="633"/>
      <c r="X270" s="633"/>
      <c r="Y270" s="633"/>
      <c r="Z270" s="633"/>
      <c r="AA270" s="65"/>
      <c r="AB270" s="65"/>
      <c r="AC270" s="79"/>
    </row>
    <row r="271" spans="1:68" ht="14.25" customHeight="1" x14ac:dyDescent="0.25">
      <c r="A271" s="634" t="s">
        <v>112</v>
      </c>
      <c r="B271" s="634"/>
      <c r="C271" s="634"/>
      <c r="D271" s="634"/>
      <c r="E271" s="634"/>
      <c r="F271" s="634"/>
      <c r="G271" s="634"/>
      <c r="H271" s="634"/>
      <c r="I271" s="634"/>
      <c r="J271" s="634"/>
      <c r="K271" s="634"/>
      <c r="L271" s="634"/>
      <c r="M271" s="634"/>
      <c r="N271" s="634"/>
      <c r="O271" s="634"/>
      <c r="P271" s="634"/>
      <c r="Q271" s="634"/>
      <c r="R271" s="634"/>
      <c r="S271" s="634"/>
      <c r="T271" s="634"/>
      <c r="U271" s="634"/>
      <c r="V271" s="634"/>
      <c r="W271" s="634"/>
      <c r="X271" s="634"/>
      <c r="Y271" s="634"/>
      <c r="Z271" s="634"/>
      <c r="AA271" s="66"/>
      <c r="AB271" s="66"/>
      <c r="AC271" s="80"/>
    </row>
    <row r="272" spans="1:68" ht="27" customHeight="1" x14ac:dyDescent="0.25">
      <c r="A272" s="63" t="s">
        <v>456</v>
      </c>
      <c r="B272" s="63" t="s">
        <v>457</v>
      </c>
      <c r="C272" s="36">
        <v>4301011223</v>
      </c>
      <c r="D272" s="635">
        <v>4607091383423</v>
      </c>
      <c r="E272" s="635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7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637"/>
      <c r="R272" s="637"/>
      <c r="S272" s="637"/>
      <c r="T272" s="63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4301012199</v>
      </c>
      <c r="D273" s="635">
        <v>4680115886957</v>
      </c>
      <c r="E273" s="63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117</v>
      </c>
      <c r="L273" s="37" t="s">
        <v>45</v>
      </c>
      <c r="M273" s="38" t="s">
        <v>92</v>
      </c>
      <c r="N273" s="38"/>
      <c r="O273" s="37">
        <v>30</v>
      </c>
      <c r="P273" s="77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637"/>
      <c r="R273" s="637"/>
      <c r="S273" s="637"/>
      <c r="T273" s="63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4301012098</v>
      </c>
      <c r="D274" s="635">
        <v>4680115885660</v>
      </c>
      <c r="E274" s="635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117</v>
      </c>
      <c r="L274" s="37" t="s">
        <v>45</v>
      </c>
      <c r="M274" s="38" t="s">
        <v>92</v>
      </c>
      <c r="N274" s="38"/>
      <c r="O274" s="37">
        <v>35</v>
      </c>
      <c r="P274" s="77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637"/>
      <c r="R274" s="637"/>
      <c r="S274" s="637"/>
      <c r="T274" s="63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407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customHeight="1" x14ac:dyDescent="0.25">
      <c r="A275" s="63" t="s">
        <v>463</v>
      </c>
      <c r="B275" s="63" t="s">
        <v>464</v>
      </c>
      <c r="C275" s="36">
        <v>4301012176</v>
      </c>
      <c r="D275" s="635">
        <v>4680115886773</v>
      </c>
      <c r="E275" s="635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117</v>
      </c>
      <c r="L275" s="37" t="s">
        <v>45</v>
      </c>
      <c r="M275" s="38" t="s">
        <v>116</v>
      </c>
      <c r="N275" s="38"/>
      <c r="O275" s="37">
        <v>31</v>
      </c>
      <c r="P275" s="77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637"/>
      <c r="R275" s="637"/>
      <c r="S275" s="637"/>
      <c r="T275" s="638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465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43"/>
      <c r="B276" s="643"/>
      <c r="C276" s="643"/>
      <c r="D276" s="643"/>
      <c r="E276" s="643"/>
      <c r="F276" s="643"/>
      <c r="G276" s="643"/>
      <c r="H276" s="643"/>
      <c r="I276" s="643"/>
      <c r="J276" s="643"/>
      <c r="K276" s="643"/>
      <c r="L276" s="643"/>
      <c r="M276" s="643"/>
      <c r="N276" s="643"/>
      <c r="O276" s="644"/>
      <c r="P276" s="640" t="s">
        <v>40</v>
      </c>
      <c r="Q276" s="641"/>
      <c r="R276" s="641"/>
      <c r="S276" s="641"/>
      <c r="T276" s="641"/>
      <c r="U276" s="641"/>
      <c r="V276" s="642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customHeight="1" x14ac:dyDescent="0.25">
      <c r="A278" s="633" t="s">
        <v>466</v>
      </c>
      <c r="B278" s="633"/>
      <c r="C278" s="633"/>
      <c r="D278" s="633"/>
      <c r="E278" s="633"/>
      <c r="F278" s="633"/>
      <c r="G278" s="633"/>
      <c r="H278" s="633"/>
      <c r="I278" s="633"/>
      <c r="J278" s="633"/>
      <c r="K278" s="633"/>
      <c r="L278" s="633"/>
      <c r="M278" s="633"/>
      <c r="N278" s="633"/>
      <c r="O278" s="633"/>
      <c r="P278" s="633"/>
      <c r="Q278" s="633"/>
      <c r="R278" s="633"/>
      <c r="S278" s="633"/>
      <c r="T278" s="633"/>
      <c r="U278" s="633"/>
      <c r="V278" s="633"/>
      <c r="W278" s="633"/>
      <c r="X278" s="633"/>
      <c r="Y278" s="633"/>
      <c r="Z278" s="633"/>
      <c r="AA278" s="65"/>
      <c r="AB278" s="65"/>
      <c r="AC278" s="79"/>
    </row>
    <row r="279" spans="1:68" ht="14.25" customHeight="1" x14ac:dyDescent="0.25">
      <c r="A279" s="634" t="s">
        <v>88</v>
      </c>
      <c r="B279" s="634"/>
      <c r="C279" s="634"/>
      <c r="D279" s="634"/>
      <c r="E279" s="634"/>
      <c r="F279" s="634"/>
      <c r="G279" s="634"/>
      <c r="H279" s="634"/>
      <c r="I279" s="634"/>
      <c r="J279" s="634"/>
      <c r="K279" s="634"/>
      <c r="L279" s="634"/>
      <c r="M279" s="634"/>
      <c r="N279" s="634"/>
      <c r="O279" s="634"/>
      <c r="P279" s="634"/>
      <c r="Q279" s="634"/>
      <c r="R279" s="634"/>
      <c r="S279" s="634"/>
      <c r="T279" s="634"/>
      <c r="U279" s="634"/>
      <c r="V279" s="634"/>
      <c r="W279" s="634"/>
      <c r="X279" s="634"/>
      <c r="Y279" s="634"/>
      <c r="Z279" s="634"/>
      <c r="AA279" s="66"/>
      <c r="AB279" s="66"/>
      <c r="AC279" s="80"/>
    </row>
    <row r="280" spans="1:68" ht="27" customHeight="1" x14ac:dyDescent="0.25">
      <c r="A280" s="63" t="s">
        <v>467</v>
      </c>
      <c r="B280" s="63" t="s">
        <v>468</v>
      </c>
      <c r="C280" s="36">
        <v>4301051893</v>
      </c>
      <c r="D280" s="635">
        <v>4680115886186</v>
      </c>
      <c r="E280" s="635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637"/>
      <c r="R280" s="637"/>
      <c r="S280" s="637"/>
      <c r="T280" s="63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469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470</v>
      </c>
      <c r="B281" s="63" t="s">
        <v>471</v>
      </c>
      <c r="C281" s="36">
        <v>4301051795</v>
      </c>
      <c r="D281" s="635">
        <v>4680115881228</v>
      </c>
      <c r="E281" s="635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83</v>
      </c>
      <c r="L281" s="37" t="s">
        <v>233</v>
      </c>
      <c r="M281" s="38" t="s">
        <v>98</v>
      </c>
      <c r="N281" s="38"/>
      <c r="O281" s="37">
        <v>40</v>
      </c>
      <c r="P281" s="7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637"/>
      <c r="R281" s="637"/>
      <c r="S281" s="637"/>
      <c r="T281" s="63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472</v>
      </c>
      <c r="AG281" s="78"/>
      <c r="AJ281" s="84" t="s">
        <v>119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473</v>
      </c>
      <c r="B282" s="63" t="s">
        <v>474</v>
      </c>
      <c r="C282" s="36">
        <v>4301051388</v>
      </c>
      <c r="D282" s="635">
        <v>4680115881211</v>
      </c>
      <c r="E282" s="635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83</v>
      </c>
      <c r="L282" s="37" t="s">
        <v>45</v>
      </c>
      <c r="M282" s="38" t="s">
        <v>92</v>
      </c>
      <c r="N282" s="38"/>
      <c r="O282" s="37">
        <v>45</v>
      </c>
      <c r="P282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637"/>
      <c r="R282" s="637"/>
      <c r="S282" s="637"/>
      <c r="T282" s="638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469</v>
      </c>
      <c r="AG282" s="78"/>
      <c r="AJ282" s="84" t="s">
        <v>45</v>
      </c>
      <c r="AK282" s="84">
        <v>0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43"/>
      <c r="B283" s="643"/>
      <c r="C283" s="643"/>
      <c r="D283" s="643"/>
      <c r="E283" s="643"/>
      <c r="F283" s="643"/>
      <c r="G283" s="643"/>
      <c r="H283" s="643"/>
      <c r="I283" s="643"/>
      <c r="J283" s="643"/>
      <c r="K283" s="643"/>
      <c r="L283" s="643"/>
      <c r="M283" s="643"/>
      <c r="N283" s="643"/>
      <c r="O283" s="644"/>
      <c r="P283" s="640" t="s">
        <v>40</v>
      </c>
      <c r="Q283" s="641"/>
      <c r="R283" s="641"/>
      <c r="S283" s="641"/>
      <c r="T283" s="641"/>
      <c r="U283" s="641"/>
      <c r="V283" s="642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43"/>
      <c r="B284" s="643"/>
      <c r="C284" s="643"/>
      <c r="D284" s="643"/>
      <c r="E284" s="643"/>
      <c r="F284" s="643"/>
      <c r="G284" s="643"/>
      <c r="H284" s="643"/>
      <c r="I284" s="643"/>
      <c r="J284" s="643"/>
      <c r="K284" s="643"/>
      <c r="L284" s="643"/>
      <c r="M284" s="643"/>
      <c r="N284" s="643"/>
      <c r="O284" s="644"/>
      <c r="P284" s="640" t="s">
        <v>40</v>
      </c>
      <c r="Q284" s="641"/>
      <c r="R284" s="641"/>
      <c r="S284" s="641"/>
      <c r="T284" s="641"/>
      <c r="U284" s="641"/>
      <c r="V284" s="642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customHeight="1" x14ac:dyDescent="0.25">
      <c r="A285" s="633" t="s">
        <v>475</v>
      </c>
      <c r="B285" s="633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3"/>
      <c r="P285" s="633"/>
      <c r="Q285" s="633"/>
      <c r="R285" s="633"/>
      <c r="S285" s="633"/>
      <c r="T285" s="633"/>
      <c r="U285" s="633"/>
      <c r="V285" s="633"/>
      <c r="W285" s="633"/>
      <c r="X285" s="633"/>
      <c r="Y285" s="633"/>
      <c r="Z285" s="633"/>
      <c r="AA285" s="65"/>
      <c r="AB285" s="65"/>
      <c r="AC285" s="79"/>
    </row>
    <row r="286" spans="1:68" ht="14.25" customHeight="1" x14ac:dyDescent="0.25">
      <c r="A286" s="634" t="s">
        <v>78</v>
      </c>
      <c r="B286" s="634"/>
      <c r="C286" s="634"/>
      <c r="D286" s="634"/>
      <c r="E286" s="634"/>
      <c r="F286" s="634"/>
      <c r="G286" s="634"/>
      <c r="H286" s="634"/>
      <c r="I286" s="634"/>
      <c r="J286" s="634"/>
      <c r="K286" s="634"/>
      <c r="L286" s="634"/>
      <c r="M286" s="634"/>
      <c r="N286" s="634"/>
      <c r="O286" s="634"/>
      <c r="P286" s="634"/>
      <c r="Q286" s="634"/>
      <c r="R286" s="634"/>
      <c r="S286" s="634"/>
      <c r="T286" s="634"/>
      <c r="U286" s="634"/>
      <c r="V286" s="634"/>
      <c r="W286" s="634"/>
      <c r="X286" s="634"/>
      <c r="Y286" s="634"/>
      <c r="Z286" s="634"/>
      <c r="AA286" s="66"/>
      <c r="AB286" s="66"/>
      <c r="AC286" s="80"/>
    </row>
    <row r="287" spans="1:68" ht="27" customHeight="1" x14ac:dyDescent="0.25">
      <c r="A287" s="63" t="s">
        <v>476</v>
      </c>
      <c r="B287" s="63" t="s">
        <v>477</v>
      </c>
      <c r="C287" s="36">
        <v>4301031307</v>
      </c>
      <c r="D287" s="635">
        <v>4680115880344</v>
      </c>
      <c r="E287" s="635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87</v>
      </c>
      <c r="L287" s="37" t="s">
        <v>45</v>
      </c>
      <c r="M287" s="38" t="s">
        <v>82</v>
      </c>
      <c r="N287" s="38"/>
      <c r="O287" s="37">
        <v>40</v>
      </c>
      <c r="P28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637"/>
      <c r="R287" s="637"/>
      <c r="S287" s="637"/>
      <c r="T287" s="63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478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customHeight="1" x14ac:dyDescent="0.25">
      <c r="A288" s="63" t="s">
        <v>479</v>
      </c>
      <c r="B288" s="63" t="s">
        <v>480</v>
      </c>
      <c r="C288" s="36">
        <v>4301031429</v>
      </c>
      <c r="D288" s="635">
        <v>4680115886919</v>
      </c>
      <c r="E288" s="635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83</v>
      </c>
      <c r="L288" s="37" t="s">
        <v>45</v>
      </c>
      <c r="M288" s="38" t="s">
        <v>82</v>
      </c>
      <c r="N288" s="38"/>
      <c r="O288" s="37">
        <v>40</v>
      </c>
      <c r="P288" s="7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637"/>
      <c r="R288" s="637"/>
      <c r="S288" s="637"/>
      <c r="T288" s="638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481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0" t="s">
        <v>40</v>
      </c>
      <c r="Q289" s="641"/>
      <c r="R289" s="641"/>
      <c r="S289" s="641"/>
      <c r="T289" s="641"/>
      <c r="U289" s="641"/>
      <c r="V289" s="642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x14ac:dyDescent="0.2">
      <c r="A290" s="643"/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4"/>
      <c r="P290" s="640" t="s">
        <v>40</v>
      </c>
      <c r="Q290" s="641"/>
      <c r="R290" s="641"/>
      <c r="S290" s="641"/>
      <c r="T290" s="641"/>
      <c r="U290" s="641"/>
      <c r="V290" s="642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customHeight="1" x14ac:dyDescent="0.25">
      <c r="A291" s="634" t="s">
        <v>88</v>
      </c>
      <c r="B291" s="634"/>
      <c r="C291" s="634"/>
      <c r="D291" s="634"/>
      <c r="E291" s="634"/>
      <c r="F291" s="634"/>
      <c r="G291" s="634"/>
      <c r="H291" s="634"/>
      <c r="I291" s="634"/>
      <c r="J291" s="634"/>
      <c r="K291" s="634"/>
      <c r="L291" s="634"/>
      <c r="M291" s="634"/>
      <c r="N291" s="634"/>
      <c r="O291" s="634"/>
      <c r="P291" s="634"/>
      <c r="Q291" s="634"/>
      <c r="R291" s="634"/>
      <c r="S291" s="634"/>
      <c r="T291" s="634"/>
      <c r="U291" s="634"/>
      <c r="V291" s="634"/>
      <c r="W291" s="634"/>
      <c r="X291" s="634"/>
      <c r="Y291" s="634"/>
      <c r="Z291" s="634"/>
      <c r="AA291" s="66"/>
      <c r="AB291" s="66"/>
      <c r="AC291" s="80"/>
    </row>
    <row r="292" spans="1:68" ht="37.5" customHeight="1" x14ac:dyDescent="0.25">
      <c r="A292" s="63" t="s">
        <v>482</v>
      </c>
      <c r="B292" s="63" t="s">
        <v>483</v>
      </c>
      <c r="C292" s="36">
        <v>4301051782</v>
      </c>
      <c r="D292" s="635">
        <v>4680115884618</v>
      </c>
      <c r="E292" s="635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122</v>
      </c>
      <c r="L292" s="37" t="s">
        <v>45</v>
      </c>
      <c r="M292" s="38" t="s">
        <v>92</v>
      </c>
      <c r="N292" s="38"/>
      <c r="O292" s="37">
        <v>45</v>
      </c>
      <c r="P292" s="7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637"/>
      <c r="R292" s="637"/>
      <c r="S292" s="637"/>
      <c r="T292" s="63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484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485</v>
      </c>
      <c r="B293" s="63" t="s">
        <v>486</v>
      </c>
      <c r="C293" s="36">
        <v>4301052057</v>
      </c>
      <c r="D293" s="635">
        <v>4680115887114</v>
      </c>
      <c r="E293" s="635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122</v>
      </c>
      <c r="L293" s="37" t="s">
        <v>45</v>
      </c>
      <c r="M293" s="38" t="s">
        <v>92</v>
      </c>
      <c r="N293" s="38"/>
      <c r="O293" s="37">
        <v>45</v>
      </c>
      <c r="P293" s="7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637"/>
      <c r="R293" s="637"/>
      <c r="S293" s="637"/>
      <c r="T293" s="638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487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0" t="s">
        <v>40</v>
      </c>
      <c r="Q294" s="641"/>
      <c r="R294" s="641"/>
      <c r="S294" s="641"/>
      <c r="T294" s="641"/>
      <c r="U294" s="641"/>
      <c r="V294" s="642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643"/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4"/>
      <c r="P295" s="640" t="s">
        <v>40</v>
      </c>
      <c r="Q295" s="641"/>
      <c r="R295" s="641"/>
      <c r="S295" s="641"/>
      <c r="T295" s="641"/>
      <c r="U295" s="641"/>
      <c r="V295" s="642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33" t="s">
        <v>488</v>
      </c>
      <c r="B296" s="633"/>
      <c r="C296" s="633"/>
      <c r="D296" s="633"/>
      <c r="E296" s="633"/>
      <c r="F296" s="633"/>
      <c r="G296" s="633"/>
      <c r="H296" s="633"/>
      <c r="I296" s="633"/>
      <c r="J296" s="633"/>
      <c r="K296" s="633"/>
      <c r="L296" s="633"/>
      <c r="M296" s="633"/>
      <c r="N296" s="633"/>
      <c r="O296" s="633"/>
      <c r="P296" s="633"/>
      <c r="Q296" s="633"/>
      <c r="R296" s="633"/>
      <c r="S296" s="633"/>
      <c r="T296" s="633"/>
      <c r="U296" s="633"/>
      <c r="V296" s="633"/>
      <c r="W296" s="633"/>
      <c r="X296" s="633"/>
      <c r="Y296" s="633"/>
      <c r="Z296" s="633"/>
      <c r="AA296" s="65"/>
      <c r="AB296" s="65"/>
      <c r="AC296" s="79"/>
    </row>
    <row r="297" spans="1:68" ht="14.25" customHeight="1" x14ac:dyDescent="0.25">
      <c r="A297" s="634" t="s">
        <v>112</v>
      </c>
      <c r="B297" s="634"/>
      <c r="C297" s="634"/>
      <c r="D297" s="634"/>
      <c r="E297" s="634"/>
      <c r="F297" s="634"/>
      <c r="G297" s="634"/>
      <c r="H297" s="634"/>
      <c r="I297" s="634"/>
      <c r="J297" s="634"/>
      <c r="K297" s="634"/>
      <c r="L297" s="634"/>
      <c r="M297" s="634"/>
      <c r="N297" s="634"/>
      <c r="O297" s="634"/>
      <c r="P297" s="634"/>
      <c r="Q297" s="634"/>
      <c r="R297" s="634"/>
      <c r="S297" s="634"/>
      <c r="T297" s="634"/>
      <c r="U297" s="634"/>
      <c r="V297" s="634"/>
      <c r="W297" s="634"/>
      <c r="X297" s="634"/>
      <c r="Y297" s="634"/>
      <c r="Z297" s="634"/>
      <c r="AA297" s="66"/>
      <c r="AB297" s="66"/>
      <c r="AC297" s="80"/>
    </row>
    <row r="298" spans="1:68" ht="27" customHeight="1" x14ac:dyDescent="0.25">
      <c r="A298" s="63" t="s">
        <v>489</v>
      </c>
      <c r="B298" s="63" t="s">
        <v>490</v>
      </c>
      <c r="C298" s="36">
        <v>4301012024</v>
      </c>
      <c r="D298" s="635">
        <v>4680115885615</v>
      </c>
      <c r="E298" s="63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637"/>
      <c r="R298" s="637"/>
      <c r="S298" s="637"/>
      <c r="T298" s="63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491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37.5" customHeight="1" x14ac:dyDescent="0.25">
      <c r="A299" s="63" t="s">
        <v>492</v>
      </c>
      <c r="B299" s="63" t="s">
        <v>493</v>
      </c>
      <c r="C299" s="36">
        <v>4301011858</v>
      </c>
      <c r="D299" s="635">
        <v>4680115885646</v>
      </c>
      <c r="E299" s="63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116</v>
      </c>
      <c r="N299" s="38"/>
      <c r="O299" s="37">
        <v>55</v>
      </c>
      <c r="P299" s="78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637"/>
      <c r="R299" s="637"/>
      <c r="S299" s="637"/>
      <c r="T299" s="63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494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4301012016</v>
      </c>
      <c r="D300" s="635">
        <v>4680115885554</v>
      </c>
      <c r="E300" s="635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117</v>
      </c>
      <c r="L300" s="37" t="s">
        <v>45</v>
      </c>
      <c r="M300" s="38" t="s">
        <v>92</v>
      </c>
      <c r="N300" s="38"/>
      <c r="O300" s="37">
        <v>55</v>
      </c>
      <c r="P300" s="7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637"/>
      <c r="R300" s="637"/>
      <c r="S300" s="637"/>
      <c r="T300" s="63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498</v>
      </c>
      <c r="B301" s="63" t="s">
        <v>499</v>
      </c>
      <c r="C301" s="36">
        <v>4301011857</v>
      </c>
      <c r="D301" s="635">
        <v>4680115885622</v>
      </c>
      <c r="E301" s="63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116</v>
      </c>
      <c r="N301" s="38"/>
      <c r="O301" s="37">
        <v>55</v>
      </c>
      <c r="P301" s="78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637"/>
      <c r="R301" s="637"/>
      <c r="S301" s="637"/>
      <c r="T301" s="63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491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500</v>
      </c>
      <c r="B302" s="63" t="s">
        <v>501</v>
      </c>
      <c r="C302" s="36">
        <v>4301011859</v>
      </c>
      <c r="D302" s="635">
        <v>4680115885608</v>
      </c>
      <c r="E302" s="63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122</v>
      </c>
      <c r="L302" s="37" t="s">
        <v>45</v>
      </c>
      <c r="M302" s="38" t="s">
        <v>116</v>
      </c>
      <c r="N302" s="38"/>
      <c r="O302" s="37">
        <v>55</v>
      </c>
      <c r="P302" s="7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637"/>
      <c r="R302" s="637"/>
      <c r="S302" s="637"/>
      <c r="T302" s="638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502</v>
      </c>
      <c r="AG302" s="78"/>
      <c r="AJ302" s="84" t="s">
        <v>45</v>
      </c>
      <c r="AK302" s="84">
        <v>0</v>
      </c>
      <c r="BB302" s="375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643"/>
      <c r="B303" s="643"/>
      <c r="C303" s="643"/>
      <c r="D303" s="643"/>
      <c r="E303" s="643"/>
      <c r="F303" s="643"/>
      <c r="G303" s="643"/>
      <c r="H303" s="643"/>
      <c r="I303" s="643"/>
      <c r="J303" s="643"/>
      <c r="K303" s="643"/>
      <c r="L303" s="643"/>
      <c r="M303" s="643"/>
      <c r="N303" s="643"/>
      <c r="O303" s="644"/>
      <c r="P303" s="640" t="s">
        <v>40</v>
      </c>
      <c r="Q303" s="641"/>
      <c r="R303" s="641"/>
      <c r="S303" s="641"/>
      <c r="T303" s="641"/>
      <c r="U303" s="641"/>
      <c r="V303" s="642"/>
      <c r="W303" s="42" t="s">
        <v>39</v>
      </c>
      <c r="X303" s="43">
        <f>IFERROR(X298/H298,"0")+IFERROR(X299/H299,"0")+IFERROR(X300/H300,"0")+IFERROR(X301/H301,"0")+IFERROR(X302/H302,"0")</f>
        <v>0</v>
      </c>
      <c r="Y303" s="43">
        <f>IFERROR(Y298/H298,"0")+IFERROR(Y299/H299,"0")+IFERROR(Y300/H300,"0")+IFERROR(Y301/H301,"0")+IFERROR(Y302/H302,"0")</f>
        <v>0</v>
      </c>
      <c r="Z303" s="43">
        <f>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43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0" t="s">
        <v>40</v>
      </c>
      <c r="Q304" s="641"/>
      <c r="R304" s="641"/>
      <c r="S304" s="641"/>
      <c r="T304" s="641"/>
      <c r="U304" s="641"/>
      <c r="V304" s="642"/>
      <c r="W304" s="42" t="s">
        <v>0</v>
      </c>
      <c r="X304" s="43">
        <f>IFERROR(SUM(X298:X302),"0")</f>
        <v>0</v>
      </c>
      <c r="Y304" s="43">
        <f>IFERROR(SUM(Y298:Y302),"0")</f>
        <v>0</v>
      </c>
      <c r="Z304" s="42"/>
      <c r="AA304" s="67"/>
      <c r="AB304" s="67"/>
      <c r="AC304" s="67"/>
    </row>
    <row r="305" spans="1:68" ht="14.25" customHeight="1" x14ac:dyDescent="0.25">
      <c r="A305" s="634" t="s">
        <v>78</v>
      </c>
      <c r="B305" s="634"/>
      <c r="C305" s="634"/>
      <c r="D305" s="634"/>
      <c r="E305" s="634"/>
      <c r="F305" s="634"/>
      <c r="G305" s="634"/>
      <c r="H305" s="634"/>
      <c r="I305" s="634"/>
      <c r="J305" s="634"/>
      <c r="K305" s="634"/>
      <c r="L305" s="634"/>
      <c r="M305" s="634"/>
      <c r="N305" s="634"/>
      <c r="O305" s="634"/>
      <c r="P305" s="634"/>
      <c r="Q305" s="634"/>
      <c r="R305" s="634"/>
      <c r="S305" s="634"/>
      <c r="T305" s="634"/>
      <c r="U305" s="634"/>
      <c r="V305" s="634"/>
      <c r="W305" s="634"/>
      <c r="X305" s="634"/>
      <c r="Y305" s="634"/>
      <c r="Z305" s="634"/>
      <c r="AA305" s="66"/>
      <c r="AB305" s="66"/>
      <c r="AC305" s="80"/>
    </row>
    <row r="306" spans="1:68" ht="27" customHeight="1" x14ac:dyDescent="0.25">
      <c r="A306" s="63" t="s">
        <v>503</v>
      </c>
      <c r="B306" s="63" t="s">
        <v>504</v>
      </c>
      <c r="C306" s="36">
        <v>4301030878</v>
      </c>
      <c r="D306" s="635">
        <v>4607091387193</v>
      </c>
      <c r="E306" s="63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35</v>
      </c>
      <c r="P306" s="7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637"/>
      <c r="R306" s="637"/>
      <c r="S306" s="637"/>
      <c r="T306" s="63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ref="Y306:Y311" si="31"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505</v>
      </c>
      <c r="AG306" s="78"/>
      <c r="AJ306" s="84" t="s">
        <v>45</v>
      </c>
      <c r="AK306" s="84">
        <v>0</v>
      </c>
      <c r="BB306" s="377" t="s">
        <v>66</v>
      </c>
      <c r="BM306" s="78">
        <f t="shared" ref="BM306:BM311" si="32">IFERROR(X306*I306/H306,"0")</f>
        <v>0</v>
      </c>
      <c r="BN306" s="78">
        <f t="shared" ref="BN306:BN311" si="33">IFERROR(Y306*I306/H306,"0")</f>
        <v>0</v>
      </c>
      <c r="BO306" s="78">
        <f t="shared" ref="BO306:BO311" si="34">IFERROR(1/J306*(X306/H306),"0")</f>
        <v>0</v>
      </c>
      <c r="BP306" s="78">
        <f t="shared" ref="BP306:BP311" si="35">IFERROR(1/J306*(Y306/H306),"0")</f>
        <v>0</v>
      </c>
    </row>
    <row r="307" spans="1:68" ht="27" customHeight="1" x14ac:dyDescent="0.25">
      <c r="A307" s="63" t="s">
        <v>506</v>
      </c>
      <c r="B307" s="63" t="s">
        <v>507</v>
      </c>
      <c r="C307" s="36">
        <v>4301031153</v>
      </c>
      <c r="D307" s="635">
        <v>4607091387230</v>
      </c>
      <c r="E307" s="635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122</v>
      </c>
      <c r="L307" s="37" t="s">
        <v>45</v>
      </c>
      <c r="M307" s="38" t="s">
        <v>82</v>
      </c>
      <c r="N307" s="38"/>
      <c r="O307" s="37">
        <v>40</v>
      </c>
      <c r="P307" s="7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637"/>
      <c r="R307" s="637"/>
      <c r="S307" s="637"/>
      <c r="T307" s="63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508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4301031154</v>
      </c>
      <c r="D308" s="635">
        <v>4607091387292</v>
      </c>
      <c r="E308" s="635"/>
      <c r="F308" s="62">
        <v>0.73</v>
      </c>
      <c r="G308" s="37">
        <v>6</v>
      </c>
      <c r="H308" s="62">
        <v>4.38</v>
      </c>
      <c r="I308" s="62">
        <v>4.63</v>
      </c>
      <c r="J308" s="37">
        <v>132</v>
      </c>
      <c r="K308" s="37" t="s">
        <v>122</v>
      </c>
      <c r="L308" s="37" t="s">
        <v>45</v>
      </c>
      <c r="M308" s="38" t="s">
        <v>82</v>
      </c>
      <c r="N308" s="38"/>
      <c r="O308" s="37">
        <v>45</v>
      </c>
      <c r="P308" s="7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637"/>
      <c r="R308" s="637"/>
      <c r="S308" s="637"/>
      <c r="T308" s="63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4301031152</v>
      </c>
      <c r="D309" s="635">
        <v>4607091387285</v>
      </c>
      <c r="E309" s="635"/>
      <c r="F309" s="62">
        <v>0.35</v>
      </c>
      <c r="G309" s="37">
        <v>6</v>
      </c>
      <c r="H309" s="62">
        <v>2.1</v>
      </c>
      <c r="I309" s="62">
        <v>2.23</v>
      </c>
      <c r="J309" s="37">
        <v>234</v>
      </c>
      <c r="K309" s="37" t="s">
        <v>87</v>
      </c>
      <c r="L309" s="37" t="s">
        <v>307</v>
      </c>
      <c r="M309" s="38" t="s">
        <v>82</v>
      </c>
      <c r="N309" s="38"/>
      <c r="O309" s="37">
        <v>40</v>
      </c>
      <c r="P309" s="7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637"/>
      <c r="R309" s="637"/>
      <c r="S309" s="637"/>
      <c r="T309" s="63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508</v>
      </c>
      <c r="AG309" s="78"/>
      <c r="AJ309" s="84" t="s">
        <v>119</v>
      </c>
      <c r="AK309" s="84">
        <v>37.799999999999997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514</v>
      </c>
      <c r="B310" s="63" t="s">
        <v>515</v>
      </c>
      <c r="C310" s="36">
        <v>4301031305</v>
      </c>
      <c r="D310" s="635">
        <v>4607091389845</v>
      </c>
      <c r="E310" s="635"/>
      <c r="F310" s="62">
        <v>0.35</v>
      </c>
      <c r="G310" s="37">
        <v>6</v>
      </c>
      <c r="H310" s="62">
        <v>2.1</v>
      </c>
      <c r="I310" s="62">
        <v>2.2000000000000002</v>
      </c>
      <c r="J310" s="37">
        <v>234</v>
      </c>
      <c r="K310" s="37" t="s">
        <v>87</v>
      </c>
      <c r="L310" s="37" t="s">
        <v>307</v>
      </c>
      <c r="M310" s="38" t="s">
        <v>82</v>
      </c>
      <c r="N310" s="38"/>
      <c r="O310" s="37">
        <v>40</v>
      </c>
      <c r="P310" s="7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637"/>
      <c r="R310" s="637"/>
      <c r="S310" s="637"/>
      <c r="T310" s="63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516</v>
      </c>
      <c r="AG310" s="78"/>
      <c r="AJ310" s="84" t="s">
        <v>119</v>
      </c>
      <c r="AK310" s="84">
        <v>37.799999999999997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t="27" customHeight="1" x14ac:dyDescent="0.25">
      <c r="A311" s="63" t="s">
        <v>517</v>
      </c>
      <c r="B311" s="63" t="s">
        <v>518</v>
      </c>
      <c r="C311" s="36">
        <v>4301031066</v>
      </c>
      <c r="D311" s="635">
        <v>4607091383836</v>
      </c>
      <c r="E311" s="63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83</v>
      </c>
      <c r="L311" s="37" t="s">
        <v>233</v>
      </c>
      <c r="M311" s="38" t="s">
        <v>82</v>
      </c>
      <c r="N311" s="38"/>
      <c r="O311" s="37">
        <v>40</v>
      </c>
      <c r="P311" s="7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37"/>
      <c r="R311" s="637"/>
      <c r="S311" s="637"/>
      <c r="T311" s="63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1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519</v>
      </c>
      <c r="AG311" s="78"/>
      <c r="AJ311" s="84" t="s">
        <v>119</v>
      </c>
      <c r="AK311" s="84">
        <v>25.2</v>
      </c>
      <c r="BB311" s="387" t="s">
        <v>66</v>
      </c>
      <c r="BM311" s="78">
        <f t="shared" si="32"/>
        <v>0</v>
      </c>
      <c r="BN311" s="78">
        <f t="shared" si="33"/>
        <v>0</v>
      </c>
      <c r="BO311" s="78">
        <f t="shared" si="34"/>
        <v>0</v>
      </c>
      <c r="BP311" s="78">
        <f t="shared" si="35"/>
        <v>0</v>
      </c>
    </row>
    <row r="312" spans="1:68" x14ac:dyDescent="0.2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0" t="s">
        <v>40</v>
      </c>
      <c r="Q312" s="641"/>
      <c r="R312" s="641"/>
      <c r="S312" s="641"/>
      <c r="T312" s="641"/>
      <c r="U312" s="641"/>
      <c r="V312" s="642"/>
      <c r="W312" s="42" t="s">
        <v>39</v>
      </c>
      <c r="X312" s="43">
        <f>IFERROR(X306/H306,"0")+IFERROR(X307/H307,"0")+IFERROR(X308/H308,"0")+IFERROR(X309/H309,"0")+IFERROR(X310/H310,"0")+IFERROR(X311/H311,"0")</f>
        <v>0</v>
      </c>
      <c r="Y312" s="43">
        <f>IFERROR(Y306/H306,"0")+IFERROR(Y307/H307,"0")+IFERROR(Y308/H308,"0")+IFERROR(Y309/H309,"0")+IFERROR(Y310/H310,"0")+IFERROR(Y311/H311,"0")</f>
        <v>0</v>
      </c>
      <c r="Z312" s="43">
        <f>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0</v>
      </c>
      <c r="X313" s="43">
        <f>IFERROR(SUM(X306:X311),"0")</f>
        <v>0</v>
      </c>
      <c r="Y313" s="43">
        <f>IFERROR(SUM(Y306:Y311),"0")</f>
        <v>0</v>
      </c>
      <c r="Z313" s="42"/>
      <c r="AA313" s="67"/>
      <c r="AB313" s="67"/>
      <c r="AC313" s="67"/>
    </row>
    <row r="314" spans="1:68" ht="14.25" customHeight="1" x14ac:dyDescent="0.25">
      <c r="A314" s="634" t="s">
        <v>88</v>
      </c>
      <c r="B314" s="634"/>
      <c r="C314" s="634"/>
      <c r="D314" s="634"/>
      <c r="E314" s="634"/>
      <c r="F314" s="634"/>
      <c r="G314" s="634"/>
      <c r="H314" s="634"/>
      <c r="I314" s="634"/>
      <c r="J314" s="634"/>
      <c r="K314" s="634"/>
      <c r="L314" s="634"/>
      <c r="M314" s="634"/>
      <c r="N314" s="634"/>
      <c r="O314" s="634"/>
      <c r="P314" s="634"/>
      <c r="Q314" s="634"/>
      <c r="R314" s="634"/>
      <c r="S314" s="634"/>
      <c r="T314" s="634"/>
      <c r="U314" s="634"/>
      <c r="V314" s="634"/>
      <c r="W314" s="634"/>
      <c r="X314" s="634"/>
      <c r="Y314" s="634"/>
      <c r="Z314" s="634"/>
      <c r="AA314" s="66"/>
      <c r="AB314" s="66"/>
      <c r="AC314" s="80"/>
    </row>
    <row r="315" spans="1:68" ht="27" customHeight="1" x14ac:dyDescent="0.25">
      <c r="A315" s="63" t="s">
        <v>520</v>
      </c>
      <c r="B315" s="63" t="s">
        <v>521</v>
      </c>
      <c r="C315" s="36">
        <v>4301051100</v>
      </c>
      <c r="D315" s="635">
        <v>4607091387766</v>
      </c>
      <c r="E315" s="63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37"/>
      <c r="R315" s="637"/>
      <c r="S315" s="637"/>
      <c r="T315" s="63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522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523</v>
      </c>
      <c r="B316" s="63" t="s">
        <v>524</v>
      </c>
      <c r="C316" s="36">
        <v>4301051818</v>
      </c>
      <c r="D316" s="635">
        <v>4607091387957</v>
      </c>
      <c r="E316" s="63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7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37"/>
      <c r="R316" s="637"/>
      <c r="S316" s="637"/>
      <c r="T316" s="63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525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526</v>
      </c>
      <c r="B317" s="63" t="s">
        <v>527</v>
      </c>
      <c r="C317" s="36">
        <v>4301051819</v>
      </c>
      <c r="D317" s="635">
        <v>4607091387964</v>
      </c>
      <c r="E317" s="63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117</v>
      </c>
      <c r="L317" s="37" t="s">
        <v>45</v>
      </c>
      <c r="M317" s="38" t="s">
        <v>92</v>
      </c>
      <c r="N317" s="38"/>
      <c r="O317" s="37">
        <v>40</v>
      </c>
      <c r="P317" s="7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37"/>
      <c r="R317" s="637"/>
      <c r="S317" s="637"/>
      <c r="T317" s="63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528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529</v>
      </c>
      <c r="B318" s="63" t="s">
        <v>530</v>
      </c>
      <c r="C318" s="36">
        <v>4301051734</v>
      </c>
      <c r="D318" s="635">
        <v>4680115884588</v>
      </c>
      <c r="E318" s="63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83</v>
      </c>
      <c r="L318" s="37" t="s">
        <v>45</v>
      </c>
      <c r="M318" s="38" t="s">
        <v>92</v>
      </c>
      <c r="N318" s="38"/>
      <c r="O318" s="37">
        <v>40</v>
      </c>
      <c r="P318" s="7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37"/>
      <c r="R318" s="637"/>
      <c r="S318" s="637"/>
      <c r="T318" s="63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531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0" t="s">
        <v>40</v>
      </c>
      <c r="Q319" s="641"/>
      <c r="R319" s="641"/>
      <c r="S319" s="641"/>
      <c r="T319" s="641"/>
      <c r="U319" s="641"/>
      <c r="V319" s="642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43"/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4"/>
      <c r="P320" s="640" t="s">
        <v>40</v>
      </c>
      <c r="Q320" s="641"/>
      <c r="R320" s="641"/>
      <c r="S320" s="641"/>
      <c r="T320" s="641"/>
      <c r="U320" s="641"/>
      <c r="V320" s="642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34" t="s">
        <v>173</v>
      </c>
      <c r="B321" s="634"/>
      <c r="C321" s="634"/>
      <c r="D321" s="634"/>
      <c r="E321" s="634"/>
      <c r="F321" s="634"/>
      <c r="G321" s="634"/>
      <c r="H321" s="634"/>
      <c r="I321" s="634"/>
      <c r="J321" s="634"/>
      <c r="K321" s="634"/>
      <c r="L321" s="634"/>
      <c r="M321" s="634"/>
      <c r="N321" s="634"/>
      <c r="O321" s="634"/>
      <c r="P321" s="634"/>
      <c r="Q321" s="634"/>
      <c r="R321" s="634"/>
      <c r="S321" s="634"/>
      <c r="T321" s="634"/>
      <c r="U321" s="634"/>
      <c r="V321" s="634"/>
      <c r="W321" s="634"/>
      <c r="X321" s="634"/>
      <c r="Y321" s="634"/>
      <c r="Z321" s="634"/>
      <c r="AA321" s="66"/>
      <c r="AB321" s="66"/>
      <c r="AC321" s="80"/>
    </row>
    <row r="322" spans="1:68" ht="27" customHeight="1" x14ac:dyDescent="0.25">
      <c r="A322" s="63" t="s">
        <v>532</v>
      </c>
      <c r="B322" s="63" t="s">
        <v>533</v>
      </c>
      <c r="C322" s="36">
        <v>4301060387</v>
      </c>
      <c r="D322" s="635">
        <v>4607091380880</v>
      </c>
      <c r="E322" s="63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92</v>
      </c>
      <c r="N322" s="38"/>
      <c r="O322" s="37">
        <v>30</v>
      </c>
      <c r="P322" s="7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37"/>
      <c r="R322" s="637"/>
      <c r="S322" s="637"/>
      <c r="T322" s="63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534</v>
      </c>
      <c r="AG322" s="78"/>
      <c r="AJ322" s="84" t="s">
        <v>119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535</v>
      </c>
      <c r="B323" s="63" t="s">
        <v>536</v>
      </c>
      <c r="C323" s="36">
        <v>4301060406</v>
      </c>
      <c r="D323" s="635">
        <v>4607091384482</v>
      </c>
      <c r="E323" s="63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117</v>
      </c>
      <c r="L323" s="37" t="s">
        <v>118</v>
      </c>
      <c r="M323" s="38" t="s">
        <v>92</v>
      </c>
      <c r="N323" s="38"/>
      <c r="O323" s="37">
        <v>30</v>
      </c>
      <c r="P323" s="7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37"/>
      <c r="R323" s="637"/>
      <c r="S323" s="637"/>
      <c r="T323" s="63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537</v>
      </c>
      <c r="AG323" s="78"/>
      <c r="AJ323" s="84" t="s">
        <v>119</v>
      </c>
      <c r="AK323" s="84">
        <v>62.4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customHeight="1" x14ac:dyDescent="0.25">
      <c r="A324" s="63" t="s">
        <v>538</v>
      </c>
      <c r="B324" s="63" t="s">
        <v>539</v>
      </c>
      <c r="C324" s="36">
        <v>4301060484</v>
      </c>
      <c r="D324" s="635">
        <v>4607091380897</v>
      </c>
      <c r="E324" s="63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117</v>
      </c>
      <c r="L324" s="37" t="s">
        <v>118</v>
      </c>
      <c r="M324" s="38" t="s">
        <v>98</v>
      </c>
      <c r="N324" s="38"/>
      <c r="O324" s="37">
        <v>30</v>
      </c>
      <c r="P324" s="8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37"/>
      <c r="R324" s="637"/>
      <c r="S324" s="637"/>
      <c r="T324" s="63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540</v>
      </c>
      <c r="AG324" s="78"/>
      <c r="AJ324" s="84" t="s">
        <v>119</v>
      </c>
      <c r="AK324" s="84">
        <v>67.2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43"/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4"/>
      <c r="P325" s="640" t="s">
        <v>40</v>
      </c>
      <c r="Q325" s="641"/>
      <c r="R325" s="641"/>
      <c r="S325" s="641"/>
      <c r="T325" s="641"/>
      <c r="U325" s="641"/>
      <c r="V325" s="64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43"/>
      <c r="B326" s="643"/>
      <c r="C326" s="643"/>
      <c r="D326" s="643"/>
      <c r="E326" s="643"/>
      <c r="F326" s="643"/>
      <c r="G326" s="643"/>
      <c r="H326" s="643"/>
      <c r="I326" s="643"/>
      <c r="J326" s="643"/>
      <c r="K326" s="643"/>
      <c r="L326" s="643"/>
      <c r="M326" s="643"/>
      <c r="N326" s="643"/>
      <c r="O326" s="644"/>
      <c r="P326" s="640" t="s">
        <v>40</v>
      </c>
      <c r="Q326" s="641"/>
      <c r="R326" s="641"/>
      <c r="S326" s="641"/>
      <c r="T326" s="641"/>
      <c r="U326" s="641"/>
      <c r="V326" s="64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customHeight="1" x14ac:dyDescent="0.25">
      <c r="A327" s="634" t="s">
        <v>104</v>
      </c>
      <c r="B327" s="634"/>
      <c r="C327" s="634"/>
      <c r="D327" s="634"/>
      <c r="E327" s="634"/>
      <c r="F327" s="634"/>
      <c r="G327" s="634"/>
      <c r="H327" s="634"/>
      <c r="I327" s="634"/>
      <c r="J327" s="634"/>
      <c r="K327" s="634"/>
      <c r="L327" s="634"/>
      <c r="M327" s="634"/>
      <c r="N327" s="634"/>
      <c r="O327" s="634"/>
      <c r="P327" s="634"/>
      <c r="Q327" s="634"/>
      <c r="R327" s="634"/>
      <c r="S327" s="634"/>
      <c r="T327" s="634"/>
      <c r="U327" s="634"/>
      <c r="V327" s="634"/>
      <c r="W327" s="634"/>
      <c r="X327" s="634"/>
      <c r="Y327" s="634"/>
      <c r="Z327" s="634"/>
      <c r="AA327" s="66"/>
      <c r="AB327" s="66"/>
      <c r="AC327" s="80"/>
    </row>
    <row r="328" spans="1:68" ht="27" customHeight="1" x14ac:dyDescent="0.25">
      <c r="A328" s="63" t="s">
        <v>541</v>
      </c>
      <c r="B328" s="63" t="s">
        <v>542</v>
      </c>
      <c r="C328" s="36">
        <v>4301030235</v>
      </c>
      <c r="D328" s="635">
        <v>4607091388381</v>
      </c>
      <c r="E328" s="63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109</v>
      </c>
      <c r="N328" s="38"/>
      <c r="O328" s="37">
        <v>180</v>
      </c>
      <c r="P328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37"/>
      <c r="R328" s="637"/>
      <c r="S328" s="637"/>
      <c r="T328" s="63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4301030232</v>
      </c>
      <c r="D329" s="635">
        <v>4607091388374</v>
      </c>
      <c r="E329" s="63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109</v>
      </c>
      <c r="N329" s="38"/>
      <c r="O329" s="37">
        <v>180</v>
      </c>
      <c r="P329" s="8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37"/>
      <c r="R329" s="637"/>
      <c r="S329" s="637"/>
      <c r="T329" s="63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543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546</v>
      </c>
      <c r="B330" s="63" t="s">
        <v>547</v>
      </c>
      <c r="C330" s="36">
        <v>4301032015</v>
      </c>
      <c r="D330" s="635">
        <v>4607091383102</v>
      </c>
      <c r="E330" s="63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83</v>
      </c>
      <c r="L330" s="37" t="s">
        <v>233</v>
      </c>
      <c r="M330" s="38" t="s">
        <v>109</v>
      </c>
      <c r="N330" s="38"/>
      <c r="O330" s="37">
        <v>180</v>
      </c>
      <c r="P330" s="8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37"/>
      <c r="R330" s="637"/>
      <c r="S330" s="637"/>
      <c r="T330" s="63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548</v>
      </c>
      <c r="AG330" s="78"/>
      <c r="AJ330" s="84" t="s">
        <v>119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549</v>
      </c>
      <c r="B331" s="63" t="s">
        <v>550</v>
      </c>
      <c r="C331" s="36">
        <v>4301030233</v>
      </c>
      <c r="D331" s="635">
        <v>4607091388404</v>
      </c>
      <c r="E331" s="63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83</v>
      </c>
      <c r="L331" s="37" t="s">
        <v>233</v>
      </c>
      <c r="M331" s="38" t="s">
        <v>109</v>
      </c>
      <c r="N331" s="38"/>
      <c r="O331" s="37">
        <v>180</v>
      </c>
      <c r="P331" s="8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37"/>
      <c r="R331" s="637"/>
      <c r="S331" s="637"/>
      <c r="T331" s="63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543</v>
      </c>
      <c r="AG331" s="78"/>
      <c r="AJ331" s="84" t="s">
        <v>119</v>
      </c>
      <c r="AK331" s="84">
        <v>35.700000000000003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4"/>
      <c r="P332" s="640" t="s">
        <v>40</v>
      </c>
      <c r="Q332" s="641"/>
      <c r="R332" s="641"/>
      <c r="S332" s="641"/>
      <c r="T332" s="641"/>
      <c r="U332" s="641"/>
      <c r="V332" s="642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43"/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4"/>
      <c r="P333" s="640" t="s">
        <v>40</v>
      </c>
      <c r="Q333" s="641"/>
      <c r="R333" s="641"/>
      <c r="S333" s="641"/>
      <c r="T333" s="641"/>
      <c r="U333" s="641"/>
      <c r="V333" s="642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34" t="s">
        <v>551</v>
      </c>
      <c r="B334" s="634"/>
      <c r="C334" s="634"/>
      <c r="D334" s="634"/>
      <c r="E334" s="634"/>
      <c r="F334" s="634"/>
      <c r="G334" s="634"/>
      <c r="H334" s="634"/>
      <c r="I334" s="634"/>
      <c r="J334" s="634"/>
      <c r="K334" s="634"/>
      <c r="L334" s="634"/>
      <c r="M334" s="634"/>
      <c r="N334" s="634"/>
      <c r="O334" s="634"/>
      <c r="P334" s="634"/>
      <c r="Q334" s="634"/>
      <c r="R334" s="634"/>
      <c r="S334" s="634"/>
      <c r="T334" s="634"/>
      <c r="U334" s="634"/>
      <c r="V334" s="634"/>
      <c r="W334" s="634"/>
      <c r="X334" s="634"/>
      <c r="Y334" s="634"/>
      <c r="Z334" s="634"/>
      <c r="AA334" s="66"/>
      <c r="AB334" s="66"/>
      <c r="AC334" s="80"/>
    </row>
    <row r="335" spans="1:68" ht="16.5" customHeight="1" x14ac:dyDescent="0.25">
      <c r="A335" s="63" t="s">
        <v>552</v>
      </c>
      <c r="B335" s="63" t="s">
        <v>553</v>
      </c>
      <c r="C335" s="36">
        <v>4301180007</v>
      </c>
      <c r="D335" s="635">
        <v>4680115881808</v>
      </c>
      <c r="E335" s="63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233</v>
      </c>
      <c r="M335" s="38" t="s">
        <v>555</v>
      </c>
      <c r="N335" s="38"/>
      <c r="O335" s="37">
        <v>730</v>
      </c>
      <c r="P335" s="8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37"/>
      <c r="R335" s="637"/>
      <c r="S335" s="637"/>
      <c r="T335" s="63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554</v>
      </c>
      <c r="AG335" s="78"/>
      <c r="AJ335" s="84" t="s">
        <v>119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556</v>
      </c>
      <c r="B336" s="63" t="s">
        <v>557</v>
      </c>
      <c r="C336" s="36">
        <v>4301180006</v>
      </c>
      <c r="D336" s="635">
        <v>4680115881822</v>
      </c>
      <c r="E336" s="63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555</v>
      </c>
      <c r="N336" s="38"/>
      <c r="O336" s="37">
        <v>730</v>
      </c>
      <c r="P336" s="8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37"/>
      <c r="R336" s="637"/>
      <c r="S336" s="637"/>
      <c r="T336" s="63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554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558</v>
      </c>
      <c r="B337" s="63" t="s">
        <v>559</v>
      </c>
      <c r="C337" s="36">
        <v>4301180001</v>
      </c>
      <c r="D337" s="635">
        <v>4680115880016</v>
      </c>
      <c r="E337" s="63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233</v>
      </c>
      <c r="M337" s="38" t="s">
        <v>555</v>
      </c>
      <c r="N337" s="38"/>
      <c r="O337" s="37">
        <v>730</v>
      </c>
      <c r="P337" s="8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37"/>
      <c r="R337" s="637"/>
      <c r="S337" s="637"/>
      <c r="T337" s="63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554</v>
      </c>
      <c r="AG337" s="78"/>
      <c r="AJ337" s="84" t="s">
        <v>119</v>
      </c>
      <c r="AK337" s="84">
        <v>28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4"/>
      <c r="P338" s="640" t="s">
        <v>40</v>
      </c>
      <c r="Q338" s="641"/>
      <c r="R338" s="641"/>
      <c r="S338" s="641"/>
      <c r="T338" s="641"/>
      <c r="U338" s="641"/>
      <c r="V338" s="64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33" t="s">
        <v>560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65"/>
      <c r="AB340" s="65"/>
      <c r="AC340" s="79"/>
    </row>
    <row r="341" spans="1:68" ht="14.25" customHeight="1" x14ac:dyDescent="0.25">
      <c r="A341" s="634" t="s">
        <v>88</v>
      </c>
      <c r="B341" s="634"/>
      <c r="C341" s="634"/>
      <c r="D341" s="634"/>
      <c r="E341" s="634"/>
      <c r="F341" s="634"/>
      <c r="G341" s="634"/>
      <c r="H341" s="634"/>
      <c r="I341" s="634"/>
      <c r="J341" s="634"/>
      <c r="K341" s="634"/>
      <c r="L341" s="634"/>
      <c r="M341" s="634"/>
      <c r="N341" s="634"/>
      <c r="O341" s="634"/>
      <c r="P341" s="634"/>
      <c r="Q341" s="634"/>
      <c r="R341" s="634"/>
      <c r="S341" s="634"/>
      <c r="T341" s="634"/>
      <c r="U341" s="634"/>
      <c r="V341" s="634"/>
      <c r="W341" s="634"/>
      <c r="X341" s="634"/>
      <c r="Y341" s="634"/>
      <c r="Z341" s="634"/>
      <c r="AA341" s="66"/>
      <c r="AB341" s="66"/>
      <c r="AC341" s="80"/>
    </row>
    <row r="342" spans="1:68" ht="27" customHeight="1" x14ac:dyDescent="0.25">
      <c r="A342" s="63" t="s">
        <v>561</v>
      </c>
      <c r="B342" s="63" t="s">
        <v>562</v>
      </c>
      <c r="C342" s="36">
        <v>4301051489</v>
      </c>
      <c r="D342" s="635">
        <v>4607091387919</v>
      </c>
      <c r="E342" s="63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117</v>
      </c>
      <c r="L342" s="37" t="s">
        <v>45</v>
      </c>
      <c r="M342" s="38" t="s">
        <v>98</v>
      </c>
      <c r="N342" s="38"/>
      <c r="O342" s="37">
        <v>45</v>
      </c>
      <c r="P342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37"/>
      <c r="R342" s="637"/>
      <c r="S342" s="637"/>
      <c r="T342" s="638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563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564</v>
      </c>
      <c r="B343" s="63" t="s">
        <v>565</v>
      </c>
      <c r="C343" s="36">
        <v>4301051461</v>
      </c>
      <c r="D343" s="635">
        <v>4680115883604</v>
      </c>
      <c r="E343" s="63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83</v>
      </c>
      <c r="L343" s="37" t="s">
        <v>233</v>
      </c>
      <c r="M343" s="38" t="s">
        <v>92</v>
      </c>
      <c r="N343" s="38"/>
      <c r="O343" s="37">
        <v>45</v>
      </c>
      <c r="P343" s="8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37"/>
      <c r="R343" s="637"/>
      <c r="S343" s="637"/>
      <c r="T343" s="63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566</v>
      </c>
      <c r="AG343" s="78"/>
      <c r="AJ343" s="84" t="s">
        <v>119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567</v>
      </c>
      <c r="B344" s="63" t="s">
        <v>568</v>
      </c>
      <c r="C344" s="36">
        <v>4301051864</v>
      </c>
      <c r="D344" s="635">
        <v>4680115883567</v>
      </c>
      <c r="E344" s="63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83</v>
      </c>
      <c r="L344" s="37" t="s">
        <v>233</v>
      </c>
      <c r="M344" s="38" t="s">
        <v>98</v>
      </c>
      <c r="N344" s="38"/>
      <c r="O344" s="37">
        <v>40</v>
      </c>
      <c r="P344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37"/>
      <c r="R344" s="637"/>
      <c r="S344" s="637"/>
      <c r="T344" s="63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569</v>
      </c>
      <c r="AG344" s="78"/>
      <c r="AJ344" s="84" t="s">
        <v>119</v>
      </c>
      <c r="AK344" s="84">
        <v>29.4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3"/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4"/>
      <c r="P345" s="640" t="s">
        <v>40</v>
      </c>
      <c r="Q345" s="641"/>
      <c r="R345" s="641"/>
      <c r="S345" s="641"/>
      <c r="T345" s="641"/>
      <c r="U345" s="641"/>
      <c r="V345" s="642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3"/>
      <c r="B346" s="643"/>
      <c r="C346" s="643"/>
      <c r="D346" s="643"/>
      <c r="E346" s="643"/>
      <c r="F346" s="643"/>
      <c r="G346" s="643"/>
      <c r="H346" s="643"/>
      <c r="I346" s="643"/>
      <c r="J346" s="643"/>
      <c r="K346" s="643"/>
      <c r="L346" s="643"/>
      <c r="M346" s="643"/>
      <c r="N346" s="643"/>
      <c r="O346" s="644"/>
      <c r="P346" s="640" t="s">
        <v>40</v>
      </c>
      <c r="Q346" s="641"/>
      <c r="R346" s="641"/>
      <c r="S346" s="641"/>
      <c r="T346" s="641"/>
      <c r="U346" s="641"/>
      <c r="V346" s="642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632" t="s">
        <v>570</v>
      </c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2"/>
      <c r="P347" s="632"/>
      <c r="Q347" s="632"/>
      <c r="R347" s="632"/>
      <c r="S347" s="632"/>
      <c r="T347" s="632"/>
      <c r="U347" s="632"/>
      <c r="V347" s="632"/>
      <c r="W347" s="632"/>
      <c r="X347" s="632"/>
      <c r="Y347" s="632"/>
      <c r="Z347" s="632"/>
      <c r="AA347" s="54"/>
      <c r="AB347" s="54"/>
      <c r="AC347" s="54"/>
    </row>
    <row r="348" spans="1:68" ht="16.5" customHeight="1" x14ac:dyDescent="0.25">
      <c r="A348" s="633" t="s">
        <v>571</v>
      </c>
      <c r="B348" s="633"/>
      <c r="C348" s="633"/>
      <c r="D348" s="633"/>
      <c r="E348" s="633"/>
      <c r="F348" s="633"/>
      <c r="G348" s="633"/>
      <c r="H348" s="633"/>
      <c r="I348" s="633"/>
      <c r="J348" s="633"/>
      <c r="K348" s="633"/>
      <c r="L348" s="633"/>
      <c r="M348" s="633"/>
      <c r="N348" s="633"/>
      <c r="O348" s="633"/>
      <c r="P348" s="633"/>
      <c r="Q348" s="633"/>
      <c r="R348" s="633"/>
      <c r="S348" s="633"/>
      <c r="T348" s="633"/>
      <c r="U348" s="633"/>
      <c r="V348" s="633"/>
      <c r="W348" s="633"/>
      <c r="X348" s="633"/>
      <c r="Y348" s="633"/>
      <c r="Z348" s="633"/>
      <c r="AA348" s="65"/>
      <c r="AB348" s="65"/>
      <c r="AC348" s="79"/>
    </row>
    <row r="349" spans="1:68" ht="14.25" customHeight="1" x14ac:dyDescent="0.25">
      <c r="A349" s="634" t="s">
        <v>112</v>
      </c>
      <c r="B349" s="634"/>
      <c r="C349" s="634"/>
      <c r="D349" s="634"/>
      <c r="E349" s="634"/>
      <c r="F349" s="634"/>
      <c r="G349" s="634"/>
      <c r="H349" s="634"/>
      <c r="I349" s="634"/>
      <c r="J349" s="634"/>
      <c r="K349" s="634"/>
      <c r="L349" s="634"/>
      <c r="M349" s="634"/>
      <c r="N349" s="634"/>
      <c r="O349" s="634"/>
      <c r="P349" s="634"/>
      <c r="Q349" s="634"/>
      <c r="R349" s="634"/>
      <c r="S349" s="634"/>
      <c r="T349" s="634"/>
      <c r="U349" s="634"/>
      <c r="V349" s="634"/>
      <c r="W349" s="634"/>
      <c r="X349" s="634"/>
      <c r="Y349" s="634"/>
      <c r="Z349" s="634"/>
      <c r="AA349" s="66"/>
      <c r="AB349" s="66"/>
      <c r="AC349" s="80"/>
    </row>
    <row r="350" spans="1:68" ht="37.5" customHeight="1" x14ac:dyDescent="0.25">
      <c r="A350" s="63" t="s">
        <v>572</v>
      </c>
      <c r="B350" s="63" t="s">
        <v>573</v>
      </c>
      <c r="C350" s="36">
        <v>4301011869</v>
      </c>
      <c r="D350" s="635">
        <v>4680115884847</v>
      </c>
      <c r="E350" s="63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82</v>
      </c>
      <c r="N350" s="38"/>
      <c r="O350" s="37">
        <v>60</v>
      </c>
      <c r="P350" s="81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37"/>
      <c r="R350" s="637"/>
      <c r="S350" s="637"/>
      <c r="T350" s="638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36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574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7">IFERROR(X350*I350/H350,"0")</f>
        <v>0</v>
      </c>
      <c r="BN350" s="78">
        <f t="shared" ref="BN350:BN356" si="38">IFERROR(Y350*I350/H350,"0")</f>
        <v>0</v>
      </c>
      <c r="BO350" s="78">
        <f t="shared" ref="BO350:BO356" si="39">IFERROR(1/J350*(X350/H350),"0")</f>
        <v>0</v>
      </c>
      <c r="BP350" s="78">
        <f t="shared" ref="BP350:BP356" si="40">IFERROR(1/J350*(Y350/H350),"0")</f>
        <v>0</v>
      </c>
    </row>
    <row r="351" spans="1:68" ht="27" customHeight="1" x14ac:dyDescent="0.25">
      <c r="A351" s="63" t="s">
        <v>575</v>
      </c>
      <c r="B351" s="63" t="s">
        <v>576</v>
      </c>
      <c r="C351" s="36">
        <v>4301011870</v>
      </c>
      <c r="D351" s="635">
        <v>4680115884854</v>
      </c>
      <c r="E351" s="63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82</v>
      </c>
      <c r="N351" s="38"/>
      <c r="O351" s="37">
        <v>60</v>
      </c>
      <c r="P351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37"/>
      <c r="R351" s="637"/>
      <c r="S351" s="637"/>
      <c r="T351" s="63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577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customHeight="1" x14ac:dyDescent="0.25">
      <c r="A352" s="63" t="s">
        <v>578</v>
      </c>
      <c r="B352" s="63" t="s">
        <v>579</v>
      </c>
      <c r="C352" s="36">
        <v>4301011867</v>
      </c>
      <c r="D352" s="635">
        <v>4680115884830</v>
      </c>
      <c r="E352" s="63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45</v>
      </c>
      <c r="M352" s="38" t="s">
        <v>82</v>
      </c>
      <c r="N352" s="38"/>
      <c r="O352" s="37">
        <v>60</v>
      </c>
      <c r="P352" s="81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37"/>
      <c r="R352" s="637"/>
      <c r="S352" s="637"/>
      <c r="T352" s="63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580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581</v>
      </c>
      <c r="B353" s="63" t="s">
        <v>582</v>
      </c>
      <c r="C353" s="36">
        <v>4301012215</v>
      </c>
      <c r="D353" s="635">
        <v>4680115887046</v>
      </c>
      <c r="E353" s="63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98</v>
      </c>
      <c r="N353" s="38"/>
      <c r="O353" s="37">
        <v>60</v>
      </c>
      <c r="P353" s="81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37"/>
      <c r="R353" s="637"/>
      <c r="S353" s="637"/>
      <c r="T353" s="63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583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584</v>
      </c>
      <c r="B354" s="63" t="s">
        <v>585</v>
      </c>
      <c r="C354" s="36">
        <v>4301011433</v>
      </c>
      <c r="D354" s="635">
        <v>4680115882638</v>
      </c>
      <c r="E354" s="63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116</v>
      </c>
      <c r="N354" s="38"/>
      <c r="O354" s="37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37"/>
      <c r="R354" s="637"/>
      <c r="S354" s="637"/>
      <c r="T354" s="63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586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27" customHeight="1" x14ac:dyDescent="0.25">
      <c r="A355" s="63" t="s">
        <v>587</v>
      </c>
      <c r="B355" s="63" t="s">
        <v>588</v>
      </c>
      <c r="C355" s="36">
        <v>4301011952</v>
      </c>
      <c r="D355" s="635">
        <v>4680115884922</v>
      </c>
      <c r="E355" s="63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82</v>
      </c>
      <c r="N355" s="38"/>
      <c r="O355" s="37">
        <v>60</v>
      </c>
      <c r="P355" s="8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37"/>
      <c r="R355" s="637"/>
      <c r="S355" s="637"/>
      <c r="T355" s="63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t="37.5" customHeight="1" x14ac:dyDescent="0.25">
      <c r="A356" s="63" t="s">
        <v>589</v>
      </c>
      <c r="B356" s="63" t="s">
        <v>590</v>
      </c>
      <c r="C356" s="36">
        <v>4301011868</v>
      </c>
      <c r="D356" s="635">
        <v>4680115884861</v>
      </c>
      <c r="E356" s="63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82</v>
      </c>
      <c r="N356" s="38"/>
      <c r="O356" s="37">
        <v>60</v>
      </c>
      <c r="P356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37"/>
      <c r="R356" s="637"/>
      <c r="S356" s="637"/>
      <c r="T356" s="63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6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580</v>
      </c>
      <c r="AG356" s="78"/>
      <c r="AJ356" s="84" t="s">
        <v>45</v>
      </c>
      <c r="AK356" s="84">
        <v>0</v>
      </c>
      <c r="BB356" s="435" t="s">
        <v>66</v>
      </c>
      <c r="BM356" s="78">
        <f t="shared" si="37"/>
        <v>0</v>
      </c>
      <c r="BN356" s="78">
        <f t="shared" si="38"/>
        <v>0</v>
      </c>
      <c r="BO356" s="78">
        <f t="shared" si="39"/>
        <v>0</v>
      </c>
      <c r="BP356" s="78">
        <f t="shared" si="40"/>
        <v>0</v>
      </c>
    </row>
    <row r="357" spans="1:68" x14ac:dyDescent="0.2">
      <c r="A357" s="643"/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4"/>
      <c r="P357" s="640" t="s">
        <v>40</v>
      </c>
      <c r="Q357" s="641"/>
      <c r="R357" s="641"/>
      <c r="S357" s="641"/>
      <c r="T357" s="641"/>
      <c r="U357" s="641"/>
      <c r="V357" s="642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3"/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4"/>
      <c r="P358" s="640" t="s">
        <v>40</v>
      </c>
      <c r="Q358" s="641"/>
      <c r="R358" s="641"/>
      <c r="S358" s="641"/>
      <c r="T358" s="641"/>
      <c r="U358" s="641"/>
      <c r="V358" s="642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customHeight="1" x14ac:dyDescent="0.25">
      <c r="A359" s="634" t="s">
        <v>148</v>
      </c>
      <c r="B359" s="634"/>
      <c r="C359" s="634"/>
      <c r="D359" s="634"/>
      <c r="E359" s="634"/>
      <c r="F359" s="634"/>
      <c r="G359" s="634"/>
      <c r="H359" s="634"/>
      <c r="I359" s="634"/>
      <c r="J359" s="634"/>
      <c r="K359" s="634"/>
      <c r="L359" s="634"/>
      <c r="M359" s="634"/>
      <c r="N359" s="634"/>
      <c r="O359" s="634"/>
      <c r="P359" s="634"/>
      <c r="Q359" s="634"/>
      <c r="R359" s="634"/>
      <c r="S359" s="634"/>
      <c r="T359" s="634"/>
      <c r="U359" s="634"/>
      <c r="V359" s="634"/>
      <c r="W359" s="634"/>
      <c r="X359" s="634"/>
      <c r="Y359" s="634"/>
      <c r="Z359" s="634"/>
      <c r="AA359" s="66"/>
      <c r="AB359" s="66"/>
      <c r="AC359" s="80"/>
    </row>
    <row r="360" spans="1:68" ht="27" customHeight="1" x14ac:dyDescent="0.25">
      <c r="A360" s="63" t="s">
        <v>591</v>
      </c>
      <c r="B360" s="63" t="s">
        <v>592</v>
      </c>
      <c r="C360" s="36">
        <v>4301020178</v>
      </c>
      <c r="D360" s="635">
        <v>4607091383980</v>
      </c>
      <c r="E360" s="63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117</v>
      </c>
      <c r="L360" s="37" t="s">
        <v>45</v>
      </c>
      <c r="M360" s="38" t="s">
        <v>116</v>
      </c>
      <c r="N360" s="38"/>
      <c r="O360" s="37">
        <v>50</v>
      </c>
      <c r="P360" s="8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37"/>
      <c r="R360" s="637"/>
      <c r="S360" s="637"/>
      <c r="T360" s="638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593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594</v>
      </c>
      <c r="B361" s="63" t="s">
        <v>595</v>
      </c>
      <c r="C361" s="36">
        <v>4301020179</v>
      </c>
      <c r="D361" s="635">
        <v>4607091384178</v>
      </c>
      <c r="E361" s="63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116</v>
      </c>
      <c r="N361" s="38"/>
      <c r="O361" s="37">
        <v>50</v>
      </c>
      <c r="P361" s="8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37"/>
      <c r="R361" s="637"/>
      <c r="S361" s="637"/>
      <c r="T361" s="63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596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43"/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4"/>
      <c r="P362" s="640" t="s">
        <v>40</v>
      </c>
      <c r="Q362" s="641"/>
      <c r="R362" s="641"/>
      <c r="S362" s="641"/>
      <c r="T362" s="641"/>
      <c r="U362" s="641"/>
      <c r="V362" s="642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43"/>
      <c r="B363" s="643"/>
      <c r="C363" s="643"/>
      <c r="D363" s="643"/>
      <c r="E363" s="643"/>
      <c r="F363" s="643"/>
      <c r="G363" s="643"/>
      <c r="H363" s="643"/>
      <c r="I363" s="643"/>
      <c r="J363" s="643"/>
      <c r="K363" s="643"/>
      <c r="L363" s="643"/>
      <c r="M363" s="643"/>
      <c r="N363" s="643"/>
      <c r="O363" s="644"/>
      <c r="P363" s="640" t="s">
        <v>40</v>
      </c>
      <c r="Q363" s="641"/>
      <c r="R363" s="641"/>
      <c r="S363" s="641"/>
      <c r="T363" s="641"/>
      <c r="U363" s="641"/>
      <c r="V363" s="642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34" t="s">
        <v>88</v>
      </c>
      <c r="B364" s="634"/>
      <c r="C364" s="634"/>
      <c r="D364" s="634"/>
      <c r="E364" s="634"/>
      <c r="F364" s="634"/>
      <c r="G364" s="634"/>
      <c r="H364" s="634"/>
      <c r="I364" s="634"/>
      <c r="J364" s="634"/>
      <c r="K364" s="634"/>
      <c r="L364" s="634"/>
      <c r="M364" s="634"/>
      <c r="N364" s="634"/>
      <c r="O364" s="634"/>
      <c r="P364" s="634"/>
      <c r="Q364" s="634"/>
      <c r="R364" s="634"/>
      <c r="S364" s="634"/>
      <c r="T364" s="634"/>
      <c r="U364" s="634"/>
      <c r="V364" s="634"/>
      <c r="W364" s="634"/>
      <c r="X364" s="634"/>
      <c r="Y364" s="634"/>
      <c r="Z364" s="634"/>
      <c r="AA364" s="66"/>
      <c r="AB364" s="66"/>
      <c r="AC364" s="80"/>
    </row>
    <row r="365" spans="1:68" ht="27" customHeight="1" x14ac:dyDescent="0.25">
      <c r="A365" s="63" t="s">
        <v>597</v>
      </c>
      <c r="B365" s="63" t="s">
        <v>598</v>
      </c>
      <c r="C365" s="36">
        <v>4301051903</v>
      </c>
      <c r="D365" s="635">
        <v>4607091383928</v>
      </c>
      <c r="E365" s="63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117</v>
      </c>
      <c r="L365" s="37" t="s">
        <v>45</v>
      </c>
      <c r="M365" s="38" t="s">
        <v>92</v>
      </c>
      <c r="N365" s="38"/>
      <c r="O365" s="37">
        <v>40</v>
      </c>
      <c r="P365" s="8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37"/>
      <c r="R365" s="637"/>
      <c r="S365" s="637"/>
      <c r="T365" s="63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599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600</v>
      </c>
      <c r="B366" s="63" t="s">
        <v>601</v>
      </c>
      <c r="C366" s="36">
        <v>4301051897</v>
      </c>
      <c r="D366" s="635">
        <v>4607091384260</v>
      </c>
      <c r="E366" s="63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117</v>
      </c>
      <c r="L366" s="37" t="s">
        <v>118</v>
      </c>
      <c r="M366" s="38" t="s">
        <v>92</v>
      </c>
      <c r="N366" s="38"/>
      <c r="O366" s="37">
        <v>40</v>
      </c>
      <c r="P366" s="82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37"/>
      <c r="R366" s="637"/>
      <c r="S366" s="637"/>
      <c r="T366" s="63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602</v>
      </c>
      <c r="AG366" s="78"/>
      <c r="AJ366" s="84" t="s">
        <v>119</v>
      </c>
      <c r="AK366" s="84">
        <v>72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43"/>
      <c r="B367" s="643"/>
      <c r="C367" s="643"/>
      <c r="D367" s="643"/>
      <c r="E367" s="643"/>
      <c r="F367" s="643"/>
      <c r="G367" s="643"/>
      <c r="H367" s="643"/>
      <c r="I367" s="643"/>
      <c r="J367" s="643"/>
      <c r="K367" s="643"/>
      <c r="L367" s="643"/>
      <c r="M367" s="643"/>
      <c r="N367" s="643"/>
      <c r="O367" s="644"/>
      <c r="P367" s="640" t="s">
        <v>40</v>
      </c>
      <c r="Q367" s="641"/>
      <c r="R367" s="641"/>
      <c r="S367" s="641"/>
      <c r="T367" s="641"/>
      <c r="U367" s="641"/>
      <c r="V367" s="642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34" t="s">
        <v>173</v>
      </c>
      <c r="B369" s="634"/>
      <c r="C369" s="634"/>
      <c r="D369" s="634"/>
      <c r="E369" s="634"/>
      <c r="F369" s="634"/>
      <c r="G369" s="634"/>
      <c r="H369" s="634"/>
      <c r="I369" s="634"/>
      <c r="J369" s="634"/>
      <c r="K369" s="634"/>
      <c r="L369" s="634"/>
      <c r="M369" s="634"/>
      <c r="N369" s="634"/>
      <c r="O369" s="634"/>
      <c r="P369" s="634"/>
      <c r="Q369" s="634"/>
      <c r="R369" s="634"/>
      <c r="S369" s="634"/>
      <c r="T369" s="634"/>
      <c r="U369" s="634"/>
      <c r="V369" s="634"/>
      <c r="W369" s="634"/>
      <c r="X369" s="634"/>
      <c r="Y369" s="634"/>
      <c r="Z369" s="634"/>
      <c r="AA369" s="66"/>
      <c r="AB369" s="66"/>
      <c r="AC369" s="80"/>
    </row>
    <row r="370" spans="1:68" ht="16.5" customHeight="1" x14ac:dyDescent="0.25">
      <c r="A370" s="63" t="s">
        <v>603</v>
      </c>
      <c r="B370" s="63" t="s">
        <v>604</v>
      </c>
      <c r="C370" s="36">
        <v>4301060524</v>
      </c>
      <c r="D370" s="635">
        <v>4607091384673</v>
      </c>
      <c r="E370" s="63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117</v>
      </c>
      <c r="L370" s="37" t="s">
        <v>45</v>
      </c>
      <c r="M370" s="38" t="s">
        <v>92</v>
      </c>
      <c r="N370" s="38"/>
      <c r="O370" s="37">
        <v>40</v>
      </c>
      <c r="P370" s="82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37"/>
      <c r="R370" s="637"/>
      <c r="S370" s="637"/>
      <c r="T370" s="638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605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43"/>
      <c r="B371" s="643"/>
      <c r="C371" s="643"/>
      <c r="D371" s="643"/>
      <c r="E371" s="643"/>
      <c r="F371" s="643"/>
      <c r="G371" s="643"/>
      <c r="H371" s="643"/>
      <c r="I371" s="643"/>
      <c r="J371" s="643"/>
      <c r="K371" s="643"/>
      <c r="L371" s="643"/>
      <c r="M371" s="643"/>
      <c r="N371" s="643"/>
      <c r="O371" s="644"/>
      <c r="P371" s="640" t="s">
        <v>40</v>
      </c>
      <c r="Q371" s="641"/>
      <c r="R371" s="641"/>
      <c r="S371" s="641"/>
      <c r="T371" s="641"/>
      <c r="U371" s="641"/>
      <c r="V371" s="642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643"/>
      <c r="B372" s="643"/>
      <c r="C372" s="643"/>
      <c r="D372" s="643"/>
      <c r="E372" s="643"/>
      <c r="F372" s="643"/>
      <c r="G372" s="643"/>
      <c r="H372" s="643"/>
      <c r="I372" s="643"/>
      <c r="J372" s="643"/>
      <c r="K372" s="643"/>
      <c r="L372" s="643"/>
      <c r="M372" s="643"/>
      <c r="N372" s="643"/>
      <c r="O372" s="644"/>
      <c r="P372" s="640" t="s">
        <v>40</v>
      </c>
      <c r="Q372" s="641"/>
      <c r="R372" s="641"/>
      <c r="S372" s="641"/>
      <c r="T372" s="641"/>
      <c r="U372" s="641"/>
      <c r="V372" s="642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33" t="s">
        <v>606</v>
      </c>
      <c r="B373" s="633"/>
      <c r="C373" s="633"/>
      <c r="D373" s="633"/>
      <c r="E373" s="633"/>
      <c r="F373" s="633"/>
      <c r="G373" s="633"/>
      <c r="H373" s="633"/>
      <c r="I373" s="633"/>
      <c r="J373" s="633"/>
      <c r="K373" s="633"/>
      <c r="L373" s="633"/>
      <c r="M373" s="633"/>
      <c r="N373" s="633"/>
      <c r="O373" s="633"/>
      <c r="P373" s="633"/>
      <c r="Q373" s="633"/>
      <c r="R373" s="633"/>
      <c r="S373" s="633"/>
      <c r="T373" s="633"/>
      <c r="U373" s="633"/>
      <c r="V373" s="633"/>
      <c r="W373" s="633"/>
      <c r="X373" s="633"/>
      <c r="Y373" s="633"/>
      <c r="Z373" s="633"/>
      <c r="AA373" s="65"/>
      <c r="AB373" s="65"/>
      <c r="AC373" s="79"/>
    </row>
    <row r="374" spans="1:68" ht="14.25" customHeight="1" x14ac:dyDescent="0.25">
      <c r="A374" s="634" t="s">
        <v>112</v>
      </c>
      <c r="B374" s="634"/>
      <c r="C374" s="634"/>
      <c r="D374" s="634"/>
      <c r="E374" s="634"/>
      <c r="F374" s="634"/>
      <c r="G374" s="634"/>
      <c r="H374" s="634"/>
      <c r="I374" s="634"/>
      <c r="J374" s="634"/>
      <c r="K374" s="634"/>
      <c r="L374" s="634"/>
      <c r="M374" s="634"/>
      <c r="N374" s="634"/>
      <c r="O374" s="634"/>
      <c r="P374" s="634"/>
      <c r="Q374" s="634"/>
      <c r="R374" s="634"/>
      <c r="S374" s="634"/>
      <c r="T374" s="634"/>
      <c r="U374" s="634"/>
      <c r="V374" s="634"/>
      <c r="W374" s="634"/>
      <c r="X374" s="634"/>
      <c r="Y374" s="634"/>
      <c r="Z374" s="634"/>
      <c r="AA374" s="66"/>
      <c r="AB374" s="66"/>
      <c r="AC374" s="80"/>
    </row>
    <row r="375" spans="1:68" ht="37.5" customHeight="1" x14ac:dyDescent="0.25">
      <c r="A375" s="63" t="s">
        <v>607</v>
      </c>
      <c r="B375" s="63" t="s">
        <v>608</v>
      </c>
      <c r="C375" s="36">
        <v>4301011875</v>
      </c>
      <c r="D375" s="635">
        <v>4680115884885</v>
      </c>
      <c r="E375" s="63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117</v>
      </c>
      <c r="L375" s="37" t="s">
        <v>118</v>
      </c>
      <c r="M375" s="38" t="s">
        <v>82</v>
      </c>
      <c r="N375" s="38"/>
      <c r="O375" s="37">
        <v>60</v>
      </c>
      <c r="P375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37"/>
      <c r="R375" s="637"/>
      <c r="S375" s="637"/>
      <c r="T375" s="638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609</v>
      </c>
      <c r="AG375" s="78"/>
      <c r="AJ375" s="84" t="s">
        <v>119</v>
      </c>
      <c r="AK375" s="84">
        <v>96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610</v>
      </c>
      <c r="B376" s="63" t="s">
        <v>611</v>
      </c>
      <c r="C376" s="36">
        <v>4301011871</v>
      </c>
      <c r="D376" s="635">
        <v>4680115884908</v>
      </c>
      <c r="E376" s="63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82</v>
      </c>
      <c r="N376" s="38"/>
      <c r="O376" s="37">
        <v>60</v>
      </c>
      <c r="P376" s="8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37"/>
      <c r="R376" s="637"/>
      <c r="S376" s="637"/>
      <c r="T376" s="63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609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43"/>
      <c r="B377" s="643"/>
      <c r="C377" s="643"/>
      <c r="D377" s="643"/>
      <c r="E377" s="643"/>
      <c r="F377" s="643"/>
      <c r="G377" s="643"/>
      <c r="H377" s="643"/>
      <c r="I377" s="643"/>
      <c r="J377" s="643"/>
      <c r="K377" s="643"/>
      <c r="L377" s="643"/>
      <c r="M377" s="643"/>
      <c r="N377" s="643"/>
      <c r="O377" s="644"/>
      <c r="P377" s="640" t="s">
        <v>40</v>
      </c>
      <c r="Q377" s="641"/>
      <c r="R377" s="641"/>
      <c r="S377" s="641"/>
      <c r="T377" s="641"/>
      <c r="U377" s="641"/>
      <c r="V377" s="642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34" t="s">
        <v>78</v>
      </c>
      <c r="B379" s="634"/>
      <c r="C379" s="634"/>
      <c r="D379" s="634"/>
      <c r="E379" s="634"/>
      <c r="F379" s="634"/>
      <c r="G379" s="634"/>
      <c r="H379" s="634"/>
      <c r="I379" s="634"/>
      <c r="J379" s="634"/>
      <c r="K379" s="634"/>
      <c r="L379" s="634"/>
      <c r="M379" s="634"/>
      <c r="N379" s="634"/>
      <c r="O379" s="634"/>
      <c r="P379" s="634"/>
      <c r="Q379" s="634"/>
      <c r="R379" s="634"/>
      <c r="S379" s="634"/>
      <c r="T379" s="634"/>
      <c r="U379" s="634"/>
      <c r="V379" s="634"/>
      <c r="W379" s="634"/>
      <c r="X379" s="634"/>
      <c r="Y379" s="634"/>
      <c r="Z379" s="634"/>
      <c r="AA379" s="66"/>
      <c r="AB379" s="66"/>
      <c r="AC379" s="80"/>
    </row>
    <row r="380" spans="1:68" ht="27" customHeight="1" x14ac:dyDescent="0.25">
      <c r="A380" s="63" t="s">
        <v>612</v>
      </c>
      <c r="B380" s="63" t="s">
        <v>613</v>
      </c>
      <c r="C380" s="36">
        <v>4301031303</v>
      </c>
      <c r="D380" s="635">
        <v>4607091384802</v>
      </c>
      <c r="E380" s="63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122</v>
      </c>
      <c r="L380" s="37" t="s">
        <v>45</v>
      </c>
      <c r="M380" s="38" t="s">
        <v>82</v>
      </c>
      <c r="N380" s="38"/>
      <c r="O380" s="37">
        <v>35</v>
      </c>
      <c r="P380" s="82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637"/>
      <c r="R380" s="637"/>
      <c r="S380" s="637"/>
      <c r="T380" s="63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614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612</v>
      </c>
      <c r="B381" s="63" t="s">
        <v>615</v>
      </c>
      <c r="C381" s="36">
        <v>4301031457</v>
      </c>
      <c r="D381" s="635">
        <v>4607091384802</v>
      </c>
      <c r="E381" s="63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122</v>
      </c>
      <c r="L381" s="37" t="s">
        <v>45</v>
      </c>
      <c r="M381" s="38" t="s">
        <v>82</v>
      </c>
      <c r="N381" s="38"/>
      <c r="O381" s="37">
        <v>50</v>
      </c>
      <c r="P381" s="8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637"/>
      <c r="R381" s="637"/>
      <c r="S381" s="637"/>
      <c r="T381" s="63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616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0" t="s">
        <v>40</v>
      </c>
      <c r="Q382" s="641"/>
      <c r="R382" s="641"/>
      <c r="S382" s="641"/>
      <c r="T382" s="641"/>
      <c r="U382" s="641"/>
      <c r="V382" s="642"/>
      <c r="W382" s="42" t="s">
        <v>39</v>
      </c>
      <c r="X382" s="43">
        <f>IFERROR(X380/H380,"0")+IFERROR(X381/H381,"0")</f>
        <v>0</v>
      </c>
      <c r="Y382" s="43">
        <f>IFERROR(Y380/H380,"0")+IFERROR(Y381/H381,"0")</f>
        <v>0</v>
      </c>
      <c r="Z382" s="43">
        <f>IFERROR(IF(Z380="",0,Z380),"0")+IFERROR(IF(Z381="",0,Z381),"0")</f>
        <v>0</v>
      </c>
      <c r="AA382" s="67"/>
      <c r="AB382" s="67"/>
      <c r="AC382" s="67"/>
    </row>
    <row r="383" spans="1:68" x14ac:dyDescent="0.2">
      <c r="A383" s="643"/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4"/>
      <c r="P383" s="640" t="s">
        <v>40</v>
      </c>
      <c r="Q383" s="641"/>
      <c r="R383" s="641"/>
      <c r="S383" s="641"/>
      <c r="T383" s="641"/>
      <c r="U383" s="641"/>
      <c r="V383" s="642"/>
      <c r="W383" s="42" t="s">
        <v>0</v>
      </c>
      <c r="X383" s="43">
        <f>IFERROR(SUM(X380:X381),"0")</f>
        <v>0</v>
      </c>
      <c r="Y383" s="43">
        <f>IFERROR(SUM(Y380:Y381),"0")</f>
        <v>0</v>
      </c>
      <c r="Z383" s="42"/>
      <c r="AA383" s="67"/>
      <c r="AB383" s="67"/>
      <c r="AC383" s="67"/>
    </row>
    <row r="384" spans="1:68" ht="14.25" customHeight="1" x14ac:dyDescent="0.25">
      <c r="A384" s="634" t="s">
        <v>88</v>
      </c>
      <c r="B384" s="634"/>
      <c r="C384" s="634"/>
      <c r="D384" s="634"/>
      <c r="E384" s="634"/>
      <c r="F384" s="634"/>
      <c r="G384" s="634"/>
      <c r="H384" s="634"/>
      <c r="I384" s="634"/>
      <c r="J384" s="634"/>
      <c r="K384" s="634"/>
      <c r="L384" s="634"/>
      <c r="M384" s="634"/>
      <c r="N384" s="634"/>
      <c r="O384" s="634"/>
      <c r="P384" s="634"/>
      <c r="Q384" s="634"/>
      <c r="R384" s="634"/>
      <c r="S384" s="634"/>
      <c r="T384" s="634"/>
      <c r="U384" s="634"/>
      <c r="V384" s="634"/>
      <c r="W384" s="634"/>
      <c r="X384" s="634"/>
      <c r="Y384" s="634"/>
      <c r="Z384" s="634"/>
      <c r="AA384" s="66"/>
      <c r="AB384" s="66"/>
      <c r="AC384" s="80"/>
    </row>
    <row r="385" spans="1:68" ht="27" customHeight="1" x14ac:dyDescent="0.25">
      <c r="A385" s="63" t="s">
        <v>617</v>
      </c>
      <c r="B385" s="63" t="s">
        <v>618</v>
      </c>
      <c r="C385" s="36">
        <v>4301051899</v>
      </c>
      <c r="D385" s="635">
        <v>4607091384246</v>
      </c>
      <c r="E385" s="635"/>
      <c r="F385" s="62">
        <v>1.5</v>
      </c>
      <c r="G385" s="37">
        <v>6</v>
      </c>
      <c r="H385" s="62">
        <v>9</v>
      </c>
      <c r="I385" s="62">
        <v>9.4939999999999998</v>
      </c>
      <c r="J385" s="37">
        <v>64</v>
      </c>
      <c r="K385" s="37" t="s">
        <v>117</v>
      </c>
      <c r="L385" s="37" t="s">
        <v>118</v>
      </c>
      <c r="M385" s="38" t="s">
        <v>92</v>
      </c>
      <c r="N385" s="38"/>
      <c r="O385" s="37">
        <v>40</v>
      </c>
      <c r="P385" s="8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637"/>
      <c r="R385" s="637"/>
      <c r="S385" s="637"/>
      <c r="T385" s="638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45</v>
      </c>
      <c r="AB385" s="69" t="s">
        <v>45</v>
      </c>
      <c r="AC385" s="454" t="s">
        <v>619</v>
      </c>
      <c r="AG385" s="78"/>
      <c r="AJ385" s="84" t="s">
        <v>119</v>
      </c>
      <c r="AK385" s="84">
        <v>72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620</v>
      </c>
      <c r="B386" s="63" t="s">
        <v>621</v>
      </c>
      <c r="C386" s="36">
        <v>4301051660</v>
      </c>
      <c r="D386" s="635">
        <v>4607091384253</v>
      </c>
      <c r="E386" s="63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8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37"/>
      <c r="R386" s="637"/>
      <c r="S386" s="637"/>
      <c r="T386" s="63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619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620</v>
      </c>
      <c r="B387" s="63" t="s">
        <v>622</v>
      </c>
      <c r="C387" s="36">
        <v>4301052069</v>
      </c>
      <c r="D387" s="635">
        <v>4607091384253</v>
      </c>
      <c r="E387" s="635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8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637"/>
      <c r="R387" s="637"/>
      <c r="S387" s="637"/>
      <c r="T387" s="638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623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0" t="s">
        <v>40</v>
      </c>
      <c r="Q388" s="641"/>
      <c r="R388" s="641"/>
      <c r="S388" s="641"/>
      <c r="T388" s="641"/>
      <c r="U388" s="641"/>
      <c r="V388" s="642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43"/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4"/>
      <c r="P389" s="640" t="s">
        <v>40</v>
      </c>
      <c r="Q389" s="641"/>
      <c r="R389" s="641"/>
      <c r="S389" s="641"/>
      <c r="T389" s="641"/>
      <c r="U389" s="641"/>
      <c r="V389" s="642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27.75" customHeight="1" x14ac:dyDescent="0.2">
      <c r="A390" s="632" t="s">
        <v>624</v>
      </c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2"/>
      <c r="P390" s="632"/>
      <c r="Q390" s="632"/>
      <c r="R390" s="632"/>
      <c r="S390" s="632"/>
      <c r="T390" s="632"/>
      <c r="U390" s="632"/>
      <c r="V390" s="632"/>
      <c r="W390" s="632"/>
      <c r="X390" s="632"/>
      <c r="Y390" s="632"/>
      <c r="Z390" s="632"/>
      <c r="AA390" s="54"/>
      <c r="AB390" s="54"/>
      <c r="AC390" s="54"/>
    </row>
    <row r="391" spans="1:68" ht="16.5" customHeight="1" x14ac:dyDescent="0.25">
      <c r="A391" s="633" t="s">
        <v>625</v>
      </c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3"/>
      <c r="P391" s="633"/>
      <c r="Q391" s="633"/>
      <c r="R391" s="633"/>
      <c r="S391" s="633"/>
      <c r="T391" s="633"/>
      <c r="U391" s="633"/>
      <c r="V391" s="633"/>
      <c r="W391" s="633"/>
      <c r="X391" s="633"/>
      <c r="Y391" s="633"/>
      <c r="Z391" s="633"/>
      <c r="AA391" s="65"/>
      <c r="AB391" s="65"/>
      <c r="AC391" s="79"/>
    </row>
    <row r="392" spans="1:68" ht="14.25" customHeight="1" x14ac:dyDescent="0.25">
      <c r="A392" s="634" t="s">
        <v>78</v>
      </c>
      <c r="B392" s="634"/>
      <c r="C392" s="634"/>
      <c r="D392" s="634"/>
      <c r="E392" s="634"/>
      <c r="F392" s="634"/>
      <c r="G392" s="634"/>
      <c r="H392" s="634"/>
      <c r="I392" s="634"/>
      <c r="J392" s="634"/>
      <c r="K392" s="634"/>
      <c r="L392" s="634"/>
      <c r="M392" s="634"/>
      <c r="N392" s="634"/>
      <c r="O392" s="634"/>
      <c r="P392" s="634"/>
      <c r="Q392" s="634"/>
      <c r="R392" s="634"/>
      <c r="S392" s="634"/>
      <c r="T392" s="634"/>
      <c r="U392" s="634"/>
      <c r="V392" s="634"/>
      <c r="W392" s="634"/>
      <c r="X392" s="634"/>
      <c r="Y392" s="634"/>
      <c r="Z392" s="634"/>
      <c r="AA392" s="66"/>
      <c r="AB392" s="66"/>
      <c r="AC392" s="80"/>
    </row>
    <row r="393" spans="1:68" ht="27" customHeight="1" x14ac:dyDescent="0.25">
      <c r="A393" s="63" t="s">
        <v>626</v>
      </c>
      <c r="B393" s="63" t="s">
        <v>627</v>
      </c>
      <c r="C393" s="36">
        <v>4301031405</v>
      </c>
      <c r="D393" s="635">
        <v>4680115886100</v>
      </c>
      <c r="E393" s="63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82</v>
      </c>
      <c r="N393" s="38"/>
      <c r="O393" s="37">
        <v>50</v>
      </c>
      <c r="P393" s="83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637"/>
      <c r="R393" s="637"/>
      <c r="S393" s="637"/>
      <c r="T393" s="63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ref="Y393:Y401" si="41">IFERROR(IF(X393="",0,CEILING((X393/$H393),1)*$H393),"")</f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628</v>
      </c>
      <c r="AG393" s="78"/>
      <c r="AJ393" s="84" t="s">
        <v>45</v>
      </c>
      <c r="AK393" s="84">
        <v>0</v>
      </c>
      <c r="BB393" s="461" t="s">
        <v>66</v>
      </c>
      <c r="BM393" s="78">
        <f t="shared" ref="BM393:BM401" si="42">IFERROR(X393*I393/H393,"0")</f>
        <v>0</v>
      </c>
      <c r="BN393" s="78">
        <f t="shared" ref="BN393:BN401" si="43">IFERROR(Y393*I393/H393,"0")</f>
        <v>0</v>
      </c>
      <c r="BO393" s="78">
        <f t="shared" ref="BO393:BO401" si="44">IFERROR(1/J393*(X393/H393),"0")</f>
        <v>0</v>
      </c>
      <c r="BP393" s="78">
        <f t="shared" ref="BP393:BP401" si="45">IFERROR(1/J393*(Y393/H393),"0")</f>
        <v>0</v>
      </c>
    </row>
    <row r="394" spans="1:68" ht="27" customHeight="1" x14ac:dyDescent="0.25">
      <c r="A394" s="63" t="s">
        <v>629</v>
      </c>
      <c r="B394" s="63" t="s">
        <v>630</v>
      </c>
      <c r="C394" s="36">
        <v>4301031406</v>
      </c>
      <c r="D394" s="635">
        <v>4680115886117</v>
      </c>
      <c r="E394" s="63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82</v>
      </c>
      <c r="N394" s="38"/>
      <c r="O394" s="37">
        <v>50</v>
      </c>
      <c r="P394" s="83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637"/>
      <c r="R394" s="637"/>
      <c r="S394" s="637"/>
      <c r="T394" s="63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631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4301031402</v>
      </c>
      <c r="D395" s="635">
        <v>4680115886124</v>
      </c>
      <c r="E395" s="635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122</v>
      </c>
      <c r="L395" s="37" t="s">
        <v>45</v>
      </c>
      <c r="M395" s="38" t="s">
        <v>82</v>
      </c>
      <c r="N395" s="38"/>
      <c r="O395" s="37">
        <v>50</v>
      </c>
      <c r="P395" s="8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637"/>
      <c r="R395" s="637"/>
      <c r="S395" s="637"/>
      <c r="T395" s="63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634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635</v>
      </c>
      <c r="B396" s="63" t="s">
        <v>636</v>
      </c>
      <c r="C396" s="36">
        <v>4301031366</v>
      </c>
      <c r="D396" s="635">
        <v>4680115883147</v>
      </c>
      <c r="E396" s="635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637"/>
      <c r="R396" s="637"/>
      <c r="S396" s="637"/>
      <c r="T396" s="63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ref="Z396:Z401" si="46">IFERROR(IF(Y396=0,"",ROUNDUP(Y396/H396,0)*0.00502),"")</f>
        <v/>
      </c>
      <c r="AA396" s="68" t="s">
        <v>45</v>
      </c>
      <c r="AB396" s="69" t="s">
        <v>45</v>
      </c>
      <c r="AC396" s="466" t="s">
        <v>628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4301031362</v>
      </c>
      <c r="D397" s="635">
        <v>4607091384338</v>
      </c>
      <c r="E397" s="63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307</v>
      </c>
      <c r="M397" s="38" t="s">
        <v>82</v>
      </c>
      <c r="N397" s="38"/>
      <c r="O397" s="37">
        <v>50</v>
      </c>
      <c r="P397" s="83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637"/>
      <c r="R397" s="637"/>
      <c r="S397" s="637"/>
      <c r="T397" s="63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628</v>
      </c>
      <c r="AG397" s="78"/>
      <c r="AJ397" s="84" t="s">
        <v>119</v>
      </c>
      <c r="AK397" s="84">
        <v>37.799999999999997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639</v>
      </c>
      <c r="B398" s="63" t="s">
        <v>640</v>
      </c>
      <c r="C398" s="36">
        <v>4301031361</v>
      </c>
      <c r="D398" s="635">
        <v>4607091389524</v>
      </c>
      <c r="E398" s="635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307</v>
      </c>
      <c r="M398" s="38" t="s">
        <v>82</v>
      </c>
      <c r="N398" s="38"/>
      <c r="O398" s="37">
        <v>50</v>
      </c>
      <c r="P398" s="83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637"/>
      <c r="R398" s="637"/>
      <c r="S398" s="637"/>
      <c r="T398" s="63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641</v>
      </c>
      <c r="AG398" s="78"/>
      <c r="AJ398" s="84" t="s">
        <v>119</v>
      </c>
      <c r="AK398" s="84">
        <v>37.799999999999997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642</v>
      </c>
      <c r="B399" s="63" t="s">
        <v>643</v>
      </c>
      <c r="C399" s="36">
        <v>4301031364</v>
      </c>
      <c r="D399" s="635">
        <v>4680115883161</v>
      </c>
      <c r="E399" s="635"/>
      <c r="F399" s="62">
        <v>0.28000000000000003</v>
      </c>
      <c r="G399" s="37">
        <v>6</v>
      </c>
      <c r="H399" s="62">
        <v>1.68</v>
      </c>
      <c r="I399" s="62">
        <v>1.81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637"/>
      <c r="R399" s="637"/>
      <c r="S399" s="637"/>
      <c r="T399" s="63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27" customHeight="1" x14ac:dyDescent="0.25">
      <c r="A400" s="63" t="s">
        <v>645</v>
      </c>
      <c r="B400" s="63" t="s">
        <v>646</v>
      </c>
      <c r="C400" s="36">
        <v>4301031358</v>
      </c>
      <c r="D400" s="635">
        <v>4607091389531</v>
      </c>
      <c r="E400" s="63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307</v>
      </c>
      <c r="M400" s="38" t="s">
        <v>82</v>
      </c>
      <c r="N400" s="38"/>
      <c r="O400" s="37">
        <v>50</v>
      </c>
      <c r="P400" s="83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637"/>
      <c r="R400" s="637"/>
      <c r="S400" s="637"/>
      <c r="T400" s="63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647</v>
      </c>
      <c r="AG400" s="78"/>
      <c r="AJ400" s="84" t="s">
        <v>119</v>
      </c>
      <c r="AK400" s="84">
        <v>37.799999999999997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t="37.5" customHeight="1" x14ac:dyDescent="0.25">
      <c r="A401" s="63" t="s">
        <v>648</v>
      </c>
      <c r="B401" s="63" t="s">
        <v>649</v>
      </c>
      <c r="C401" s="36">
        <v>4301031360</v>
      </c>
      <c r="D401" s="635">
        <v>4607091384345</v>
      </c>
      <c r="E401" s="635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8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637"/>
      <c r="R401" s="637"/>
      <c r="S401" s="637"/>
      <c r="T401" s="638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1"/>
        <v>0</v>
      </c>
      <c r="Z401" s="41" t="str">
        <f t="shared" si="46"/>
        <v/>
      </c>
      <c r="AA401" s="68" t="s">
        <v>45</v>
      </c>
      <c r="AB401" s="69" t="s">
        <v>45</v>
      </c>
      <c r="AC401" s="476" t="s">
        <v>644</v>
      </c>
      <c r="AG401" s="78"/>
      <c r="AJ401" s="84" t="s">
        <v>45</v>
      </c>
      <c r="AK401" s="84">
        <v>0</v>
      </c>
      <c r="BB401" s="477" t="s">
        <v>66</v>
      </c>
      <c r="BM401" s="78">
        <f t="shared" si="42"/>
        <v>0</v>
      </c>
      <c r="BN401" s="78">
        <f t="shared" si="43"/>
        <v>0</v>
      </c>
      <c r="BO401" s="78">
        <f t="shared" si="44"/>
        <v>0</v>
      </c>
      <c r="BP401" s="78">
        <f t="shared" si="45"/>
        <v>0</v>
      </c>
    </row>
    <row r="402" spans="1:68" x14ac:dyDescent="0.2">
      <c r="A402" s="643"/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4"/>
      <c r="P402" s="640" t="s">
        <v>40</v>
      </c>
      <c r="Q402" s="641"/>
      <c r="R402" s="641"/>
      <c r="S402" s="641"/>
      <c r="T402" s="641"/>
      <c r="U402" s="641"/>
      <c r="V402" s="642"/>
      <c r="W402" s="42" t="s">
        <v>39</v>
      </c>
      <c r="X402" s="43">
        <f>IFERROR(X393/H393,"0")+IFERROR(X394/H394,"0")+IFERROR(X395/H395,"0")+IFERROR(X396/H396,"0")+IFERROR(X397/H397,"0")+IFERROR(X398/H398,"0")+IFERROR(X399/H399,"0")+IFERROR(X400/H400,"0")+IFERROR(X401/H401,"0")</f>
        <v>0</v>
      </c>
      <c r="Y402" s="43">
        <f>IFERROR(Y393/H393,"0")+IFERROR(Y394/H394,"0")+IFERROR(Y395/H395,"0")+IFERROR(Y396/H396,"0")+IFERROR(Y397/H397,"0")+IFERROR(Y398/H398,"0")+IFERROR(Y399/H399,"0")+IFERROR(Y400/H400,"0")+IFERROR(Y401/H401,"0")</f>
        <v>0</v>
      </c>
      <c r="Z402" s="4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3"/>
      <c r="B403" s="643"/>
      <c r="C403" s="643"/>
      <c r="D403" s="643"/>
      <c r="E403" s="643"/>
      <c r="F403" s="643"/>
      <c r="G403" s="643"/>
      <c r="H403" s="643"/>
      <c r="I403" s="643"/>
      <c r="J403" s="643"/>
      <c r="K403" s="643"/>
      <c r="L403" s="643"/>
      <c r="M403" s="643"/>
      <c r="N403" s="643"/>
      <c r="O403" s="644"/>
      <c r="P403" s="640" t="s">
        <v>40</v>
      </c>
      <c r="Q403" s="641"/>
      <c r="R403" s="641"/>
      <c r="S403" s="641"/>
      <c r="T403" s="641"/>
      <c r="U403" s="641"/>
      <c r="V403" s="642"/>
      <c r="W403" s="42" t="s">
        <v>0</v>
      </c>
      <c r="X403" s="43">
        <f>IFERROR(SUM(X393:X401),"0")</f>
        <v>0</v>
      </c>
      <c r="Y403" s="43">
        <f>IFERROR(SUM(Y393:Y401),"0")</f>
        <v>0</v>
      </c>
      <c r="Z403" s="42"/>
      <c r="AA403" s="67"/>
      <c r="AB403" s="67"/>
      <c r="AC403" s="67"/>
    </row>
    <row r="404" spans="1:68" ht="14.25" customHeight="1" x14ac:dyDescent="0.25">
      <c r="A404" s="634" t="s">
        <v>88</v>
      </c>
      <c r="B404" s="634"/>
      <c r="C404" s="634"/>
      <c r="D404" s="634"/>
      <c r="E404" s="634"/>
      <c r="F404" s="634"/>
      <c r="G404" s="634"/>
      <c r="H404" s="634"/>
      <c r="I404" s="634"/>
      <c r="J404" s="634"/>
      <c r="K404" s="634"/>
      <c r="L404" s="634"/>
      <c r="M404" s="634"/>
      <c r="N404" s="634"/>
      <c r="O404" s="634"/>
      <c r="P404" s="634"/>
      <c r="Q404" s="634"/>
      <c r="R404" s="634"/>
      <c r="S404" s="634"/>
      <c r="T404" s="634"/>
      <c r="U404" s="634"/>
      <c r="V404" s="634"/>
      <c r="W404" s="634"/>
      <c r="X404" s="634"/>
      <c r="Y404" s="634"/>
      <c r="Z404" s="634"/>
      <c r="AA404" s="66"/>
      <c r="AB404" s="66"/>
      <c r="AC404" s="80"/>
    </row>
    <row r="405" spans="1:68" ht="27" customHeight="1" x14ac:dyDescent="0.25">
      <c r="A405" s="63" t="s">
        <v>650</v>
      </c>
      <c r="B405" s="63" t="s">
        <v>651</v>
      </c>
      <c r="C405" s="36">
        <v>4301051284</v>
      </c>
      <c r="D405" s="635">
        <v>4607091384352</v>
      </c>
      <c r="E405" s="635"/>
      <c r="F405" s="62">
        <v>0.6</v>
      </c>
      <c r="G405" s="37">
        <v>4</v>
      </c>
      <c r="H405" s="62">
        <v>2.4</v>
      </c>
      <c r="I405" s="62">
        <v>2.6259999999999999</v>
      </c>
      <c r="J405" s="37">
        <v>132</v>
      </c>
      <c r="K405" s="37" t="s">
        <v>122</v>
      </c>
      <c r="L405" s="37" t="s">
        <v>45</v>
      </c>
      <c r="M405" s="38" t="s">
        <v>92</v>
      </c>
      <c r="N405" s="38"/>
      <c r="O405" s="37">
        <v>45</v>
      </c>
      <c r="P405" s="8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637"/>
      <c r="R405" s="637"/>
      <c r="S405" s="637"/>
      <c r="T405" s="63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45</v>
      </c>
      <c r="AB405" s="69" t="s">
        <v>45</v>
      </c>
      <c r="AC405" s="478" t="s">
        <v>652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653</v>
      </c>
      <c r="B406" s="63" t="s">
        <v>654</v>
      </c>
      <c r="C406" s="36">
        <v>4301051431</v>
      </c>
      <c r="D406" s="635">
        <v>4607091389654</v>
      </c>
      <c r="E406" s="635"/>
      <c r="F406" s="62">
        <v>0.33</v>
      </c>
      <c r="G406" s="37">
        <v>6</v>
      </c>
      <c r="H406" s="62">
        <v>1.98</v>
      </c>
      <c r="I406" s="62">
        <v>2.238</v>
      </c>
      <c r="J406" s="37">
        <v>182</v>
      </c>
      <c r="K406" s="37" t="s">
        <v>83</v>
      </c>
      <c r="L406" s="37" t="s">
        <v>45</v>
      </c>
      <c r="M406" s="38" t="s">
        <v>92</v>
      </c>
      <c r="N406" s="38"/>
      <c r="O406" s="37">
        <v>45</v>
      </c>
      <c r="P406" s="84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637"/>
      <c r="R406" s="637"/>
      <c r="S406" s="637"/>
      <c r="T406" s="638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80" t="s">
        <v>655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0" t="s">
        <v>40</v>
      </c>
      <c r="Q407" s="641"/>
      <c r="R407" s="641"/>
      <c r="S407" s="641"/>
      <c r="T407" s="641"/>
      <c r="U407" s="641"/>
      <c r="V407" s="642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">
      <c r="A408" s="643"/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4"/>
      <c r="P408" s="640" t="s">
        <v>40</v>
      </c>
      <c r="Q408" s="641"/>
      <c r="R408" s="641"/>
      <c r="S408" s="641"/>
      <c r="T408" s="641"/>
      <c r="U408" s="641"/>
      <c r="V408" s="642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633" t="s">
        <v>656</v>
      </c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3"/>
      <c r="P409" s="633"/>
      <c r="Q409" s="633"/>
      <c r="R409" s="633"/>
      <c r="S409" s="633"/>
      <c r="T409" s="633"/>
      <c r="U409" s="633"/>
      <c r="V409" s="633"/>
      <c r="W409" s="633"/>
      <c r="X409" s="633"/>
      <c r="Y409" s="633"/>
      <c r="Z409" s="633"/>
      <c r="AA409" s="65"/>
      <c r="AB409" s="65"/>
      <c r="AC409" s="79"/>
    </row>
    <row r="410" spans="1:68" ht="14.25" customHeight="1" x14ac:dyDescent="0.25">
      <c r="A410" s="634" t="s">
        <v>148</v>
      </c>
      <c r="B410" s="634"/>
      <c r="C410" s="634"/>
      <c r="D410" s="634"/>
      <c r="E410" s="634"/>
      <c r="F410" s="634"/>
      <c r="G410" s="634"/>
      <c r="H410" s="634"/>
      <c r="I410" s="634"/>
      <c r="J410" s="634"/>
      <c r="K410" s="634"/>
      <c r="L410" s="634"/>
      <c r="M410" s="634"/>
      <c r="N410" s="634"/>
      <c r="O410" s="634"/>
      <c r="P410" s="634"/>
      <c r="Q410" s="634"/>
      <c r="R410" s="634"/>
      <c r="S410" s="634"/>
      <c r="T410" s="634"/>
      <c r="U410" s="634"/>
      <c r="V410" s="634"/>
      <c r="W410" s="634"/>
      <c r="X410" s="634"/>
      <c r="Y410" s="634"/>
      <c r="Z410" s="634"/>
      <c r="AA410" s="66"/>
      <c r="AB410" s="66"/>
      <c r="AC410" s="80"/>
    </row>
    <row r="411" spans="1:68" ht="27" customHeight="1" x14ac:dyDescent="0.25">
      <c r="A411" s="63" t="s">
        <v>657</v>
      </c>
      <c r="B411" s="63" t="s">
        <v>658</v>
      </c>
      <c r="C411" s="36">
        <v>4301020319</v>
      </c>
      <c r="D411" s="635">
        <v>4680115885240</v>
      </c>
      <c r="E411" s="635"/>
      <c r="F411" s="62">
        <v>0.35</v>
      </c>
      <c r="G411" s="37">
        <v>6</v>
      </c>
      <c r="H411" s="62">
        <v>2.1</v>
      </c>
      <c r="I411" s="62">
        <v>2.31</v>
      </c>
      <c r="J411" s="37">
        <v>182</v>
      </c>
      <c r="K411" s="37" t="s">
        <v>83</v>
      </c>
      <c r="L411" s="37" t="s">
        <v>45</v>
      </c>
      <c r="M411" s="38" t="s">
        <v>82</v>
      </c>
      <c r="N411" s="38"/>
      <c r="O411" s="37">
        <v>40</v>
      </c>
      <c r="P411" s="8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637"/>
      <c r="R411" s="637"/>
      <c r="S411" s="637"/>
      <c r="T411" s="638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82" t="s">
        <v>659</v>
      </c>
      <c r="AG411" s="78"/>
      <c r="AJ411" s="84" t="s">
        <v>45</v>
      </c>
      <c r="AK411" s="84">
        <v>0</v>
      </c>
      <c r="BB411" s="483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3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0" t="s">
        <v>40</v>
      </c>
      <c r="Q412" s="641"/>
      <c r="R412" s="641"/>
      <c r="S412" s="641"/>
      <c r="T412" s="641"/>
      <c r="U412" s="641"/>
      <c r="V412" s="642"/>
      <c r="W412" s="42" t="s">
        <v>39</v>
      </c>
      <c r="X412" s="43">
        <f>IFERROR(X411/H411,"0")</f>
        <v>0</v>
      </c>
      <c r="Y412" s="43">
        <f>IFERROR(Y411/H411,"0")</f>
        <v>0</v>
      </c>
      <c r="Z412" s="43">
        <f>IFERROR(IF(Z411="",0,Z411),"0")</f>
        <v>0</v>
      </c>
      <c r="AA412" s="67"/>
      <c r="AB412" s="67"/>
      <c r="AC412" s="67"/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0" t="s">
        <v>40</v>
      </c>
      <c r="Q413" s="641"/>
      <c r="R413" s="641"/>
      <c r="S413" s="641"/>
      <c r="T413" s="641"/>
      <c r="U413" s="641"/>
      <c r="V413" s="642"/>
      <c r="W413" s="42" t="s">
        <v>0</v>
      </c>
      <c r="X413" s="43">
        <f>IFERROR(SUM(X411:X411),"0")</f>
        <v>0</v>
      </c>
      <c r="Y413" s="43">
        <f>IFERROR(SUM(Y411:Y411),"0")</f>
        <v>0</v>
      </c>
      <c r="Z413" s="42"/>
      <c r="AA413" s="67"/>
      <c r="AB413" s="67"/>
      <c r="AC413" s="67"/>
    </row>
    <row r="414" spans="1:68" ht="14.25" customHeight="1" x14ac:dyDescent="0.25">
      <c r="A414" s="634" t="s">
        <v>78</v>
      </c>
      <c r="B414" s="634"/>
      <c r="C414" s="634"/>
      <c r="D414" s="634"/>
      <c r="E414" s="634"/>
      <c r="F414" s="634"/>
      <c r="G414" s="634"/>
      <c r="H414" s="634"/>
      <c r="I414" s="634"/>
      <c r="J414" s="634"/>
      <c r="K414" s="634"/>
      <c r="L414" s="634"/>
      <c r="M414" s="634"/>
      <c r="N414" s="634"/>
      <c r="O414" s="634"/>
      <c r="P414" s="634"/>
      <c r="Q414" s="634"/>
      <c r="R414" s="634"/>
      <c r="S414" s="634"/>
      <c r="T414" s="634"/>
      <c r="U414" s="634"/>
      <c r="V414" s="634"/>
      <c r="W414" s="634"/>
      <c r="X414" s="634"/>
      <c r="Y414" s="634"/>
      <c r="Z414" s="634"/>
      <c r="AA414" s="66"/>
      <c r="AB414" s="66"/>
      <c r="AC414" s="80"/>
    </row>
    <row r="415" spans="1:68" ht="27" customHeight="1" x14ac:dyDescent="0.25">
      <c r="A415" s="63" t="s">
        <v>660</v>
      </c>
      <c r="B415" s="63" t="s">
        <v>661</v>
      </c>
      <c r="C415" s="36">
        <v>4301031403</v>
      </c>
      <c r="D415" s="635">
        <v>4680115886094</v>
      </c>
      <c r="E415" s="635"/>
      <c r="F415" s="62">
        <v>0.9</v>
      </c>
      <c r="G415" s="37">
        <v>6</v>
      </c>
      <c r="H415" s="62">
        <v>5.4</v>
      </c>
      <c r="I415" s="62">
        <v>5.59</v>
      </c>
      <c r="J415" s="37">
        <v>132</v>
      </c>
      <c r="K415" s="37" t="s">
        <v>122</v>
      </c>
      <c r="L415" s="37" t="s">
        <v>45</v>
      </c>
      <c r="M415" s="38" t="s">
        <v>116</v>
      </c>
      <c r="N415" s="38"/>
      <c r="O415" s="37">
        <v>50</v>
      </c>
      <c r="P415" s="8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637"/>
      <c r="R415" s="637"/>
      <c r="S415" s="637"/>
      <c r="T415" s="63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4" t="s">
        <v>662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663</v>
      </c>
      <c r="B416" s="63" t="s">
        <v>664</v>
      </c>
      <c r="C416" s="36">
        <v>4301031363</v>
      </c>
      <c r="D416" s="635">
        <v>4607091389425</v>
      </c>
      <c r="E416" s="63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637"/>
      <c r="R416" s="637"/>
      <c r="S416" s="637"/>
      <c r="T416" s="63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665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666</v>
      </c>
      <c r="B417" s="63" t="s">
        <v>667</v>
      </c>
      <c r="C417" s="36">
        <v>4301031373</v>
      </c>
      <c r="D417" s="635">
        <v>4680115880771</v>
      </c>
      <c r="E417" s="635"/>
      <c r="F417" s="62">
        <v>0.28000000000000003</v>
      </c>
      <c r="G417" s="37">
        <v>6</v>
      </c>
      <c r="H417" s="62">
        <v>1.68</v>
      </c>
      <c r="I417" s="62">
        <v>1.81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637"/>
      <c r="R417" s="637"/>
      <c r="S417" s="637"/>
      <c r="T417" s="638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668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669</v>
      </c>
      <c r="B418" s="63" t="s">
        <v>670</v>
      </c>
      <c r="C418" s="36">
        <v>4301031359</v>
      </c>
      <c r="D418" s="635">
        <v>4607091389500</v>
      </c>
      <c r="E418" s="635"/>
      <c r="F418" s="62">
        <v>0.35</v>
      </c>
      <c r="G418" s="37">
        <v>6</v>
      </c>
      <c r="H418" s="62">
        <v>2.1</v>
      </c>
      <c r="I418" s="62">
        <v>2.23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84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637"/>
      <c r="R418" s="637"/>
      <c r="S418" s="637"/>
      <c r="T418" s="638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668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43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0" t="s">
        <v>40</v>
      </c>
      <c r="Q419" s="641"/>
      <c r="R419" s="641"/>
      <c r="S419" s="641"/>
      <c r="T419" s="641"/>
      <c r="U419" s="641"/>
      <c r="V419" s="642"/>
      <c r="W419" s="42" t="s">
        <v>39</v>
      </c>
      <c r="X419" s="43">
        <f>IFERROR(X415/H415,"0")+IFERROR(X416/H416,"0")+IFERROR(X417/H417,"0")+IFERROR(X418/H418,"0")</f>
        <v>0</v>
      </c>
      <c r="Y419" s="43">
        <f>IFERROR(Y415/H415,"0")+IFERROR(Y416/H416,"0")+IFERROR(Y417/H417,"0")+IFERROR(Y418/H418,"0")</f>
        <v>0</v>
      </c>
      <c r="Z419" s="43">
        <f>IFERROR(IF(Z415="",0,Z415),"0")+IFERROR(IF(Z416="",0,Z416),"0")+IFERROR(IF(Z417="",0,Z417),"0")+IFERROR(IF(Z418="",0,Z418),"0")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0" t="s">
        <v>40</v>
      </c>
      <c r="Q420" s="641"/>
      <c r="R420" s="641"/>
      <c r="S420" s="641"/>
      <c r="T420" s="641"/>
      <c r="U420" s="641"/>
      <c r="V420" s="642"/>
      <c r="W420" s="42" t="s">
        <v>0</v>
      </c>
      <c r="X420" s="43">
        <f>IFERROR(SUM(X415:X418),"0")</f>
        <v>0</v>
      </c>
      <c r="Y420" s="43">
        <f>IFERROR(SUM(Y415:Y418),"0")</f>
        <v>0</v>
      </c>
      <c r="Z420" s="42"/>
      <c r="AA420" s="67"/>
      <c r="AB420" s="67"/>
      <c r="AC420" s="67"/>
    </row>
    <row r="421" spans="1:68" ht="16.5" customHeight="1" x14ac:dyDescent="0.25">
      <c r="A421" s="633" t="s">
        <v>671</v>
      </c>
      <c r="B421" s="633"/>
      <c r="C421" s="633"/>
      <c r="D421" s="633"/>
      <c r="E421" s="633"/>
      <c r="F421" s="633"/>
      <c r="G421" s="633"/>
      <c r="H421" s="633"/>
      <c r="I421" s="633"/>
      <c r="J421" s="633"/>
      <c r="K421" s="633"/>
      <c r="L421" s="633"/>
      <c r="M421" s="633"/>
      <c r="N421" s="633"/>
      <c r="O421" s="633"/>
      <c r="P421" s="633"/>
      <c r="Q421" s="633"/>
      <c r="R421" s="633"/>
      <c r="S421" s="633"/>
      <c r="T421" s="633"/>
      <c r="U421" s="633"/>
      <c r="V421" s="633"/>
      <c r="W421" s="633"/>
      <c r="X421" s="633"/>
      <c r="Y421" s="633"/>
      <c r="Z421" s="633"/>
      <c r="AA421" s="65"/>
      <c r="AB421" s="65"/>
      <c r="AC421" s="79"/>
    </row>
    <row r="422" spans="1:68" ht="14.25" customHeight="1" x14ac:dyDescent="0.25">
      <c r="A422" s="634" t="s">
        <v>78</v>
      </c>
      <c r="B422" s="634"/>
      <c r="C422" s="634"/>
      <c r="D422" s="634"/>
      <c r="E422" s="634"/>
      <c r="F422" s="634"/>
      <c r="G422" s="634"/>
      <c r="H422" s="634"/>
      <c r="I422" s="634"/>
      <c r="J422" s="634"/>
      <c r="K422" s="634"/>
      <c r="L422" s="634"/>
      <c r="M422" s="634"/>
      <c r="N422" s="634"/>
      <c r="O422" s="634"/>
      <c r="P422" s="634"/>
      <c r="Q422" s="634"/>
      <c r="R422" s="634"/>
      <c r="S422" s="634"/>
      <c r="T422" s="634"/>
      <c r="U422" s="634"/>
      <c r="V422" s="634"/>
      <c r="W422" s="634"/>
      <c r="X422" s="634"/>
      <c r="Y422" s="634"/>
      <c r="Z422" s="634"/>
      <c r="AA422" s="66"/>
      <c r="AB422" s="66"/>
      <c r="AC422" s="80"/>
    </row>
    <row r="423" spans="1:68" ht="27" customHeight="1" x14ac:dyDescent="0.25">
      <c r="A423" s="63" t="s">
        <v>672</v>
      </c>
      <c r="B423" s="63" t="s">
        <v>673</v>
      </c>
      <c r="C423" s="36">
        <v>4301031347</v>
      </c>
      <c r="D423" s="635">
        <v>4680115885110</v>
      </c>
      <c r="E423" s="635"/>
      <c r="F423" s="62">
        <v>0.2</v>
      </c>
      <c r="G423" s="37">
        <v>6</v>
      </c>
      <c r="H423" s="62">
        <v>1.2</v>
      </c>
      <c r="I423" s="62">
        <v>2.1</v>
      </c>
      <c r="J423" s="37">
        <v>182</v>
      </c>
      <c r="K423" s="37" t="s">
        <v>83</v>
      </c>
      <c r="L423" s="37" t="s">
        <v>233</v>
      </c>
      <c r="M423" s="38" t="s">
        <v>82</v>
      </c>
      <c r="N423" s="38"/>
      <c r="O423" s="37">
        <v>50</v>
      </c>
      <c r="P423" s="8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637"/>
      <c r="R423" s="637"/>
      <c r="S423" s="637"/>
      <c r="T423" s="638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492" t="s">
        <v>674</v>
      </c>
      <c r="AG423" s="78"/>
      <c r="AJ423" s="84" t="s">
        <v>119</v>
      </c>
      <c r="AK423" s="84">
        <v>16.8</v>
      </c>
      <c r="BB423" s="493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43"/>
      <c r="B424" s="643"/>
      <c r="C424" s="643"/>
      <c r="D424" s="643"/>
      <c r="E424" s="643"/>
      <c r="F424" s="643"/>
      <c r="G424" s="643"/>
      <c r="H424" s="643"/>
      <c r="I424" s="643"/>
      <c r="J424" s="643"/>
      <c r="K424" s="643"/>
      <c r="L424" s="643"/>
      <c r="M424" s="643"/>
      <c r="N424" s="643"/>
      <c r="O424" s="644"/>
      <c r="P424" s="640" t="s">
        <v>40</v>
      </c>
      <c r="Q424" s="641"/>
      <c r="R424" s="641"/>
      <c r="S424" s="641"/>
      <c r="T424" s="641"/>
      <c r="U424" s="641"/>
      <c r="V424" s="642"/>
      <c r="W424" s="42" t="s">
        <v>39</v>
      </c>
      <c r="X424" s="43">
        <f>IFERROR(X423/H423,"0")</f>
        <v>0</v>
      </c>
      <c r="Y424" s="43">
        <f>IFERROR(Y423/H423,"0")</f>
        <v>0</v>
      </c>
      <c r="Z424" s="43">
        <f>IFERROR(IF(Z423="",0,Z423),"0")</f>
        <v>0</v>
      </c>
      <c r="AA424" s="67"/>
      <c r="AB424" s="67"/>
      <c r="AC424" s="67"/>
    </row>
    <row r="425" spans="1:68" x14ac:dyDescent="0.2">
      <c r="A425" s="643"/>
      <c r="B425" s="643"/>
      <c r="C425" s="643"/>
      <c r="D425" s="643"/>
      <c r="E425" s="643"/>
      <c r="F425" s="643"/>
      <c r="G425" s="643"/>
      <c r="H425" s="643"/>
      <c r="I425" s="643"/>
      <c r="J425" s="643"/>
      <c r="K425" s="643"/>
      <c r="L425" s="643"/>
      <c r="M425" s="643"/>
      <c r="N425" s="643"/>
      <c r="O425" s="644"/>
      <c r="P425" s="640" t="s">
        <v>40</v>
      </c>
      <c r="Q425" s="641"/>
      <c r="R425" s="641"/>
      <c r="S425" s="641"/>
      <c r="T425" s="641"/>
      <c r="U425" s="641"/>
      <c r="V425" s="642"/>
      <c r="W425" s="42" t="s">
        <v>0</v>
      </c>
      <c r="X425" s="43">
        <f>IFERROR(SUM(X423:X423),"0")</f>
        <v>0</v>
      </c>
      <c r="Y425" s="43">
        <f>IFERROR(SUM(Y423:Y423),"0")</f>
        <v>0</v>
      </c>
      <c r="Z425" s="42"/>
      <c r="AA425" s="67"/>
      <c r="AB425" s="67"/>
      <c r="AC425" s="67"/>
    </row>
    <row r="426" spans="1:68" ht="27.75" customHeight="1" x14ac:dyDescent="0.2">
      <c r="A426" s="632" t="s">
        <v>675</v>
      </c>
      <c r="B426" s="632"/>
      <c r="C426" s="632"/>
      <c r="D426" s="632"/>
      <c r="E426" s="632"/>
      <c r="F426" s="632"/>
      <c r="G426" s="632"/>
      <c r="H426" s="632"/>
      <c r="I426" s="632"/>
      <c r="J426" s="632"/>
      <c r="K426" s="632"/>
      <c r="L426" s="632"/>
      <c r="M426" s="632"/>
      <c r="N426" s="632"/>
      <c r="O426" s="632"/>
      <c r="P426" s="632"/>
      <c r="Q426" s="632"/>
      <c r="R426" s="632"/>
      <c r="S426" s="632"/>
      <c r="T426" s="632"/>
      <c r="U426" s="632"/>
      <c r="V426" s="632"/>
      <c r="W426" s="632"/>
      <c r="X426" s="632"/>
      <c r="Y426" s="632"/>
      <c r="Z426" s="632"/>
      <c r="AA426" s="54"/>
      <c r="AB426" s="54"/>
      <c r="AC426" s="54"/>
    </row>
    <row r="427" spans="1:68" ht="16.5" customHeight="1" x14ac:dyDescent="0.25">
      <c r="A427" s="633" t="s">
        <v>675</v>
      </c>
      <c r="B427" s="633"/>
      <c r="C427" s="633"/>
      <c r="D427" s="633"/>
      <c r="E427" s="633"/>
      <c r="F427" s="633"/>
      <c r="G427" s="633"/>
      <c r="H427" s="633"/>
      <c r="I427" s="633"/>
      <c r="J427" s="633"/>
      <c r="K427" s="633"/>
      <c r="L427" s="633"/>
      <c r="M427" s="633"/>
      <c r="N427" s="633"/>
      <c r="O427" s="633"/>
      <c r="P427" s="633"/>
      <c r="Q427" s="633"/>
      <c r="R427" s="633"/>
      <c r="S427" s="633"/>
      <c r="T427" s="633"/>
      <c r="U427" s="633"/>
      <c r="V427" s="633"/>
      <c r="W427" s="633"/>
      <c r="X427" s="633"/>
      <c r="Y427" s="633"/>
      <c r="Z427" s="633"/>
      <c r="AA427" s="65"/>
      <c r="AB427" s="65"/>
      <c r="AC427" s="79"/>
    </row>
    <row r="428" spans="1:68" ht="14.25" customHeight="1" x14ac:dyDescent="0.25">
      <c r="A428" s="634" t="s">
        <v>112</v>
      </c>
      <c r="B428" s="634"/>
      <c r="C428" s="634"/>
      <c r="D428" s="634"/>
      <c r="E428" s="634"/>
      <c r="F428" s="634"/>
      <c r="G428" s="634"/>
      <c r="H428" s="634"/>
      <c r="I428" s="634"/>
      <c r="J428" s="634"/>
      <c r="K428" s="634"/>
      <c r="L428" s="634"/>
      <c r="M428" s="634"/>
      <c r="N428" s="634"/>
      <c r="O428" s="634"/>
      <c r="P428" s="634"/>
      <c r="Q428" s="634"/>
      <c r="R428" s="634"/>
      <c r="S428" s="634"/>
      <c r="T428" s="634"/>
      <c r="U428" s="634"/>
      <c r="V428" s="634"/>
      <c r="W428" s="634"/>
      <c r="X428" s="634"/>
      <c r="Y428" s="634"/>
      <c r="Z428" s="634"/>
      <c r="AA428" s="66"/>
      <c r="AB428" s="66"/>
      <c r="AC428" s="80"/>
    </row>
    <row r="429" spans="1:68" ht="27" customHeight="1" x14ac:dyDescent="0.25">
      <c r="A429" s="63" t="s">
        <v>676</v>
      </c>
      <c r="B429" s="63" t="s">
        <v>677</v>
      </c>
      <c r="C429" s="36">
        <v>4301011795</v>
      </c>
      <c r="D429" s="635">
        <v>4607091389067</v>
      </c>
      <c r="E429" s="63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118</v>
      </c>
      <c r="M429" s="38" t="s">
        <v>116</v>
      </c>
      <c r="N429" s="38"/>
      <c r="O429" s="37">
        <v>60</v>
      </c>
      <c r="P429" s="8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637"/>
      <c r="R429" s="637"/>
      <c r="S429" s="637"/>
      <c r="T429" s="63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ref="Y429:Y440" si="47">IFERROR(IF(X429="",0,CEILING((X429/$H429),1)*$H429),"")</f>
        <v>0</v>
      </c>
      <c r="Z429" s="41" t="str">
        <f t="shared" ref="Z429:Z435" si="48">IFERROR(IF(Y429=0,"",ROUNDUP(Y429/H429,0)*0.01196),"")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119</v>
      </c>
      <c r="AK429" s="84">
        <v>42.24</v>
      </c>
      <c r="BB429" s="495" t="s">
        <v>66</v>
      </c>
      <c r="BM429" s="78">
        <f t="shared" ref="BM429:BM440" si="49">IFERROR(X429*I429/H429,"0")</f>
        <v>0</v>
      </c>
      <c r="BN429" s="78">
        <f t="shared" ref="BN429:BN440" si="50">IFERROR(Y429*I429/H429,"0")</f>
        <v>0</v>
      </c>
      <c r="BO429" s="78">
        <f t="shared" ref="BO429:BO440" si="51">IFERROR(1/J429*(X429/H429),"0")</f>
        <v>0</v>
      </c>
      <c r="BP429" s="78">
        <f t="shared" ref="BP429:BP440" si="52">IFERROR(1/J429*(Y429/H429),"0")</f>
        <v>0</v>
      </c>
    </row>
    <row r="430" spans="1:68" ht="27" customHeight="1" x14ac:dyDescent="0.25">
      <c r="A430" s="63" t="s">
        <v>678</v>
      </c>
      <c r="B430" s="63" t="s">
        <v>679</v>
      </c>
      <c r="C430" s="36">
        <v>4301012210</v>
      </c>
      <c r="D430" s="635">
        <v>4607091383522</v>
      </c>
      <c r="E430" s="63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637"/>
      <c r="R430" s="637"/>
      <c r="S430" s="637"/>
      <c r="T430" s="63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680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678</v>
      </c>
      <c r="B431" s="63" t="s">
        <v>681</v>
      </c>
      <c r="C431" s="36">
        <v>4301012145</v>
      </c>
      <c r="D431" s="635">
        <v>4607091383522</v>
      </c>
      <c r="E431" s="63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84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637"/>
      <c r="R431" s="637"/>
      <c r="S431" s="637"/>
      <c r="T431" s="63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682</v>
      </c>
      <c r="B432" s="63" t="s">
        <v>683</v>
      </c>
      <c r="C432" s="36">
        <v>4301011961</v>
      </c>
      <c r="D432" s="635">
        <v>4680115885271</v>
      </c>
      <c r="E432" s="63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637"/>
      <c r="R432" s="637"/>
      <c r="S432" s="637"/>
      <c r="T432" s="63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684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685</v>
      </c>
      <c r="B433" s="63" t="s">
        <v>686</v>
      </c>
      <c r="C433" s="36">
        <v>4301011376</v>
      </c>
      <c r="D433" s="635">
        <v>4680115885226</v>
      </c>
      <c r="E433" s="63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92</v>
      </c>
      <c r="N433" s="38"/>
      <c r="O433" s="37">
        <v>60</v>
      </c>
      <c r="P433" s="8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637"/>
      <c r="R433" s="637"/>
      <c r="S433" s="637"/>
      <c r="T433" s="63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687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16.5" customHeight="1" x14ac:dyDescent="0.25">
      <c r="A434" s="63" t="s">
        <v>688</v>
      </c>
      <c r="B434" s="63" t="s">
        <v>689</v>
      </c>
      <c r="C434" s="36">
        <v>4301011774</v>
      </c>
      <c r="D434" s="635">
        <v>4680115884502</v>
      </c>
      <c r="E434" s="635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45</v>
      </c>
      <c r="M434" s="38" t="s">
        <v>116</v>
      </c>
      <c r="N434" s="38"/>
      <c r="O434" s="37">
        <v>60</v>
      </c>
      <c r="P434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637"/>
      <c r="R434" s="637"/>
      <c r="S434" s="637"/>
      <c r="T434" s="63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690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4301011771</v>
      </c>
      <c r="D435" s="635">
        <v>4607091389104</v>
      </c>
      <c r="E435" s="635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116</v>
      </c>
      <c r="N435" s="38"/>
      <c r="O435" s="37">
        <v>60</v>
      </c>
      <c r="P435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637"/>
      <c r="R435" s="637"/>
      <c r="S435" s="637"/>
      <c r="T435" s="63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 t="shared" si="48"/>
        <v/>
      </c>
      <c r="AA435" s="68" t="s">
        <v>45</v>
      </c>
      <c r="AB435" s="69" t="s">
        <v>45</v>
      </c>
      <c r="AC435" s="506" t="s">
        <v>693</v>
      </c>
      <c r="AG435" s="78"/>
      <c r="AJ435" s="84" t="s">
        <v>119</v>
      </c>
      <c r="AK435" s="84">
        <v>42.24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694</v>
      </c>
      <c r="B436" s="63" t="s">
        <v>695</v>
      </c>
      <c r="C436" s="36">
        <v>4301012125</v>
      </c>
      <c r="D436" s="635">
        <v>4680115886391</v>
      </c>
      <c r="E436" s="635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92</v>
      </c>
      <c r="N436" s="38"/>
      <c r="O436" s="37">
        <v>60</v>
      </c>
      <c r="P436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637"/>
      <c r="R436" s="637"/>
      <c r="S436" s="637"/>
      <c r="T436" s="63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696</v>
      </c>
      <c r="B437" s="63" t="s">
        <v>697</v>
      </c>
      <c r="C437" s="36">
        <v>4301012035</v>
      </c>
      <c r="D437" s="635">
        <v>4680115880603</v>
      </c>
      <c r="E437" s="635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122</v>
      </c>
      <c r="L437" s="37" t="s">
        <v>45</v>
      </c>
      <c r="M437" s="38" t="s">
        <v>116</v>
      </c>
      <c r="N437" s="38"/>
      <c r="O437" s="37">
        <v>60</v>
      </c>
      <c r="P437" s="8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637"/>
      <c r="R437" s="637"/>
      <c r="S437" s="637"/>
      <c r="T437" s="63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115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4301012036</v>
      </c>
      <c r="D438" s="635">
        <v>4680115882782</v>
      </c>
      <c r="E438" s="635"/>
      <c r="F438" s="62">
        <v>0.6</v>
      </c>
      <c r="G438" s="37">
        <v>8</v>
      </c>
      <c r="H438" s="62">
        <v>4.8</v>
      </c>
      <c r="I438" s="62">
        <v>6.96</v>
      </c>
      <c r="J438" s="37">
        <v>120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85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637"/>
      <c r="R438" s="637"/>
      <c r="S438" s="637"/>
      <c r="T438" s="63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IFERROR(IF(Y438=0,"",ROUNDUP(Y438/H438,0)*0.00937),"")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700</v>
      </c>
      <c r="B439" s="63" t="s">
        <v>701</v>
      </c>
      <c r="C439" s="36">
        <v>4301012050</v>
      </c>
      <c r="D439" s="635">
        <v>4680115885479</v>
      </c>
      <c r="E439" s="635"/>
      <c r="F439" s="62">
        <v>0.4</v>
      </c>
      <c r="G439" s="37">
        <v>6</v>
      </c>
      <c r="H439" s="62">
        <v>2.4</v>
      </c>
      <c r="I439" s="62">
        <v>2.58</v>
      </c>
      <c r="J439" s="37">
        <v>182</v>
      </c>
      <c r="K439" s="37" t="s">
        <v>83</v>
      </c>
      <c r="L439" s="37" t="s">
        <v>45</v>
      </c>
      <c r="M439" s="38" t="s">
        <v>116</v>
      </c>
      <c r="N439" s="38"/>
      <c r="O439" s="37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637"/>
      <c r="R439" s="637"/>
      <c r="S439" s="637"/>
      <c r="T439" s="638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IFERROR(IF(Y439=0,"",ROUNDUP(Y439/H439,0)*0.00651),"")</f>
        <v/>
      </c>
      <c r="AA439" s="68" t="s">
        <v>45</v>
      </c>
      <c r="AB439" s="69" t="s">
        <v>45</v>
      </c>
      <c r="AC439" s="514" t="s">
        <v>702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t="27" customHeight="1" x14ac:dyDescent="0.25">
      <c r="A440" s="63" t="s">
        <v>703</v>
      </c>
      <c r="B440" s="63" t="s">
        <v>704</v>
      </c>
      <c r="C440" s="36">
        <v>4301012034</v>
      </c>
      <c r="D440" s="635">
        <v>4607091389982</v>
      </c>
      <c r="E440" s="635"/>
      <c r="F440" s="62">
        <v>0.6</v>
      </c>
      <c r="G440" s="37">
        <v>8</v>
      </c>
      <c r="H440" s="62">
        <v>4.8</v>
      </c>
      <c r="I440" s="62">
        <v>6.91</v>
      </c>
      <c r="J440" s="37">
        <v>132</v>
      </c>
      <c r="K440" s="37" t="s">
        <v>122</v>
      </c>
      <c r="L440" s="37" t="s">
        <v>45</v>
      </c>
      <c r="M440" s="38" t="s">
        <v>116</v>
      </c>
      <c r="N440" s="38"/>
      <c r="O440" s="37">
        <v>60</v>
      </c>
      <c r="P440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637"/>
      <c r="R440" s="637"/>
      <c r="S440" s="637"/>
      <c r="T440" s="638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47"/>
        <v>0</v>
      </c>
      <c r="Z440" s="41" t="str">
        <f>IFERROR(IF(Y440=0,"",ROUNDUP(Y440/H440,0)*0.00902),"")</f>
        <v/>
      </c>
      <c r="AA440" s="68" t="s">
        <v>45</v>
      </c>
      <c r="AB440" s="69" t="s">
        <v>45</v>
      </c>
      <c r="AC440" s="516" t="s">
        <v>693</v>
      </c>
      <c r="AG440" s="78"/>
      <c r="AJ440" s="84" t="s">
        <v>45</v>
      </c>
      <c r="AK440" s="84">
        <v>0</v>
      </c>
      <c r="BB440" s="517" t="s">
        <v>66</v>
      </c>
      <c r="BM440" s="78">
        <f t="shared" si="49"/>
        <v>0</v>
      </c>
      <c r="BN440" s="78">
        <f t="shared" si="50"/>
        <v>0</v>
      </c>
      <c r="BO440" s="78">
        <f t="shared" si="51"/>
        <v>0</v>
      </c>
      <c r="BP440" s="78">
        <f t="shared" si="52"/>
        <v>0</v>
      </c>
    </row>
    <row r="441" spans="1:68" x14ac:dyDescent="0.2">
      <c r="A441" s="643"/>
      <c r="B441" s="643"/>
      <c r="C441" s="643"/>
      <c r="D441" s="643"/>
      <c r="E441" s="643"/>
      <c r="F441" s="643"/>
      <c r="G441" s="643"/>
      <c r="H441" s="643"/>
      <c r="I441" s="643"/>
      <c r="J441" s="643"/>
      <c r="K441" s="643"/>
      <c r="L441" s="643"/>
      <c r="M441" s="643"/>
      <c r="N441" s="643"/>
      <c r="O441" s="644"/>
      <c r="P441" s="640" t="s">
        <v>40</v>
      </c>
      <c r="Q441" s="641"/>
      <c r="R441" s="641"/>
      <c r="S441" s="641"/>
      <c r="T441" s="641"/>
      <c r="U441" s="641"/>
      <c r="V441" s="642"/>
      <c r="W441" s="42" t="s">
        <v>39</v>
      </c>
      <c r="X441" s="4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4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4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0</v>
      </c>
      <c r="X442" s="43">
        <f>IFERROR(SUM(X429:X440),"0")</f>
        <v>0</v>
      </c>
      <c r="Y442" s="43">
        <f>IFERROR(SUM(Y429:Y440),"0")</f>
        <v>0</v>
      </c>
      <c r="Z442" s="42"/>
      <c r="AA442" s="67"/>
      <c r="AB442" s="67"/>
      <c r="AC442" s="67"/>
    </row>
    <row r="443" spans="1:68" ht="14.25" customHeight="1" x14ac:dyDescent="0.25">
      <c r="A443" s="634" t="s">
        <v>148</v>
      </c>
      <c r="B443" s="634"/>
      <c r="C443" s="634"/>
      <c r="D443" s="634"/>
      <c r="E443" s="634"/>
      <c r="F443" s="634"/>
      <c r="G443" s="634"/>
      <c r="H443" s="634"/>
      <c r="I443" s="634"/>
      <c r="J443" s="634"/>
      <c r="K443" s="634"/>
      <c r="L443" s="634"/>
      <c r="M443" s="634"/>
      <c r="N443" s="634"/>
      <c r="O443" s="634"/>
      <c r="P443" s="634"/>
      <c r="Q443" s="634"/>
      <c r="R443" s="634"/>
      <c r="S443" s="634"/>
      <c r="T443" s="634"/>
      <c r="U443" s="634"/>
      <c r="V443" s="634"/>
      <c r="W443" s="634"/>
      <c r="X443" s="634"/>
      <c r="Y443" s="634"/>
      <c r="Z443" s="634"/>
      <c r="AA443" s="66"/>
      <c r="AB443" s="66"/>
      <c r="AC443" s="80"/>
    </row>
    <row r="444" spans="1:68" ht="16.5" customHeight="1" x14ac:dyDescent="0.25">
      <c r="A444" s="63" t="s">
        <v>705</v>
      </c>
      <c r="B444" s="63" t="s">
        <v>706</v>
      </c>
      <c r="C444" s="36">
        <v>4301020334</v>
      </c>
      <c r="D444" s="635">
        <v>4607091388930</v>
      </c>
      <c r="E444" s="635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92</v>
      </c>
      <c r="N444" s="38"/>
      <c r="O444" s="37">
        <v>70</v>
      </c>
      <c r="P444" s="8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637"/>
      <c r="R444" s="637"/>
      <c r="S444" s="637"/>
      <c r="T444" s="63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8" t="s">
        <v>707</v>
      </c>
      <c r="AG444" s="78"/>
      <c r="AJ444" s="84" t="s">
        <v>119</v>
      </c>
      <c r="AK444" s="84">
        <v>42.24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708</v>
      </c>
      <c r="B445" s="63" t="s">
        <v>709</v>
      </c>
      <c r="C445" s="36">
        <v>4301020384</v>
      </c>
      <c r="D445" s="635">
        <v>4680115886407</v>
      </c>
      <c r="E445" s="635"/>
      <c r="F445" s="62">
        <v>0.4</v>
      </c>
      <c r="G445" s="37">
        <v>6</v>
      </c>
      <c r="H445" s="62">
        <v>2.4</v>
      </c>
      <c r="I445" s="62">
        <v>2.58</v>
      </c>
      <c r="J445" s="37">
        <v>182</v>
      </c>
      <c r="K445" s="37" t="s">
        <v>83</v>
      </c>
      <c r="L445" s="37" t="s">
        <v>45</v>
      </c>
      <c r="M445" s="38" t="s">
        <v>92</v>
      </c>
      <c r="N445" s="38"/>
      <c r="O445" s="37">
        <v>70</v>
      </c>
      <c r="P445" s="8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637"/>
      <c r="R445" s="637"/>
      <c r="S445" s="637"/>
      <c r="T445" s="638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45</v>
      </c>
      <c r="AB445" s="69" t="s">
        <v>45</v>
      </c>
      <c r="AC445" s="520" t="s">
        <v>707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710</v>
      </c>
      <c r="B446" s="63" t="s">
        <v>711</v>
      </c>
      <c r="C446" s="36">
        <v>4301020385</v>
      </c>
      <c r="D446" s="635">
        <v>4680115880054</v>
      </c>
      <c r="E446" s="635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122</v>
      </c>
      <c r="L446" s="37" t="s">
        <v>45</v>
      </c>
      <c r="M446" s="38" t="s">
        <v>116</v>
      </c>
      <c r="N446" s="38"/>
      <c r="O446" s="37">
        <v>70</v>
      </c>
      <c r="P446" s="8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637"/>
      <c r="R446" s="637"/>
      <c r="S446" s="637"/>
      <c r="T446" s="638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2" t="s">
        <v>707</v>
      </c>
      <c r="AG446" s="78"/>
      <c r="AJ446" s="84" t="s">
        <v>45</v>
      </c>
      <c r="AK446" s="84">
        <v>0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4"/>
      <c r="P447" s="640" t="s">
        <v>40</v>
      </c>
      <c r="Q447" s="641"/>
      <c r="R447" s="641"/>
      <c r="S447" s="641"/>
      <c r="T447" s="641"/>
      <c r="U447" s="641"/>
      <c r="V447" s="64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34" t="s">
        <v>78</v>
      </c>
      <c r="B449" s="634"/>
      <c r="C449" s="634"/>
      <c r="D449" s="634"/>
      <c r="E449" s="634"/>
      <c r="F449" s="634"/>
      <c r="G449" s="634"/>
      <c r="H449" s="634"/>
      <c r="I449" s="634"/>
      <c r="J449" s="634"/>
      <c r="K449" s="634"/>
      <c r="L449" s="634"/>
      <c r="M449" s="634"/>
      <c r="N449" s="634"/>
      <c r="O449" s="634"/>
      <c r="P449" s="634"/>
      <c r="Q449" s="634"/>
      <c r="R449" s="634"/>
      <c r="S449" s="634"/>
      <c r="T449" s="634"/>
      <c r="U449" s="634"/>
      <c r="V449" s="634"/>
      <c r="W449" s="634"/>
      <c r="X449" s="634"/>
      <c r="Y449" s="634"/>
      <c r="Z449" s="634"/>
      <c r="AA449" s="66"/>
      <c r="AB449" s="66"/>
      <c r="AC449" s="80"/>
    </row>
    <row r="450" spans="1:68" ht="27" customHeight="1" x14ac:dyDescent="0.25">
      <c r="A450" s="63" t="s">
        <v>712</v>
      </c>
      <c r="B450" s="63" t="s">
        <v>713</v>
      </c>
      <c r="C450" s="36">
        <v>4301031349</v>
      </c>
      <c r="D450" s="635">
        <v>4680115883116</v>
      </c>
      <c r="E450" s="63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116</v>
      </c>
      <c r="N450" s="38"/>
      <c r="O450" s="37">
        <v>70</v>
      </c>
      <c r="P450" s="86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637"/>
      <c r="R450" s="637"/>
      <c r="S450" s="637"/>
      <c r="T450" s="63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ref="Y450:Y455" si="53">IFERROR(IF(X450="",0,CEILING((X450/$H450),1)*$H450),"")</f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714</v>
      </c>
      <c r="AG450" s="78"/>
      <c r="AJ450" s="84" t="s">
        <v>119</v>
      </c>
      <c r="AK450" s="84">
        <v>42.24</v>
      </c>
      <c r="BB450" s="525" t="s">
        <v>66</v>
      </c>
      <c r="BM450" s="78">
        <f t="shared" ref="BM450:BM455" si="54">IFERROR(X450*I450/H450,"0")</f>
        <v>0</v>
      </c>
      <c r="BN450" s="78">
        <f t="shared" ref="BN450:BN455" si="55">IFERROR(Y450*I450/H450,"0")</f>
        <v>0</v>
      </c>
      <c r="BO450" s="78">
        <f t="shared" ref="BO450:BO455" si="56">IFERROR(1/J450*(X450/H450),"0")</f>
        <v>0</v>
      </c>
      <c r="BP450" s="78">
        <f t="shared" ref="BP450:BP455" si="57">IFERROR(1/J450*(Y450/H450),"0")</f>
        <v>0</v>
      </c>
    </row>
    <row r="451" spans="1:68" ht="27" customHeight="1" x14ac:dyDescent="0.25">
      <c r="A451" s="63" t="s">
        <v>715</v>
      </c>
      <c r="B451" s="63" t="s">
        <v>716</v>
      </c>
      <c r="C451" s="36">
        <v>4301031350</v>
      </c>
      <c r="D451" s="635">
        <v>4680115883093</v>
      </c>
      <c r="E451" s="635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637"/>
      <c r="R451" s="637"/>
      <c r="S451" s="637"/>
      <c r="T451" s="63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717</v>
      </c>
      <c r="AG451" s="78"/>
      <c r="AJ451" s="84" t="s">
        <v>119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4301031353</v>
      </c>
      <c r="D452" s="635">
        <v>4680115883109</v>
      </c>
      <c r="E452" s="635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117</v>
      </c>
      <c r="L452" s="37" t="s">
        <v>118</v>
      </c>
      <c r="M452" s="38" t="s">
        <v>82</v>
      </c>
      <c r="N452" s="38"/>
      <c r="O452" s="37">
        <v>70</v>
      </c>
      <c r="P452" s="86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637"/>
      <c r="R452" s="637"/>
      <c r="S452" s="637"/>
      <c r="T452" s="63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720</v>
      </c>
      <c r="AG452" s="78"/>
      <c r="AJ452" s="84" t="s">
        <v>119</v>
      </c>
      <c r="AK452" s="84">
        <v>42.24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721</v>
      </c>
      <c r="B453" s="63" t="s">
        <v>722</v>
      </c>
      <c r="C453" s="36">
        <v>4301031419</v>
      </c>
      <c r="D453" s="635">
        <v>4680115882072</v>
      </c>
      <c r="E453" s="635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122</v>
      </c>
      <c r="L453" s="37" t="s">
        <v>125</v>
      </c>
      <c r="M453" s="38" t="s">
        <v>116</v>
      </c>
      <c r="N453" s="38"/>
      <c r="O453" s="37">
        <v>70</v>
      </c>
      <c r="P453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637"/>
      <c r="R453" s="637"/>
      <c r="S453" s="637"/>
      <c r="T453" s="63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714</v>
      </c>
      <c r="AG453" s="78"/>
      <c r="AJ453" s="84" t="s">
        <v>119</v>
      </c>
      <c r="AK453" s="84">
        <v>57.6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723</v>
      </c>
      <c r="B454" s="63" t="s">
        <v>724</v>
      </c>
      <c r="C454" s="36">
        <v>4301031418</v>
      </c>
      <c r="D454" s="635">
        <v>4680115882102</v>
      </c>
      <c r="E454" s="63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125</v>
      </c>
      <c r="M454" s="38" t="s">
        <v>82</v>
      </c>
      <c r="N454" s="38"/>
      <c r="O454" s="37">
        <v>70</v>
      </c>
      <c r="P454" s="8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637"/>
      <c r="R454" s="637"/>
      <c r="S454" s="637"/>
      <c r="T454" s="63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717</v>
      </c>
      <c r="AG454" s="78"/>
      <c r="AJ454" s="84" t="s">
        <v>119</v>
      </c>
      <c r="AK454" s="84">
        <v>57.6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t="27" customHeight="1" x14ac:dyDescent="0.25">
      <c r="A455" s="63" t="s">
        <v>725</v>
      </c>
      <c r="B455" s="63" t="s">
        <v>726</v>
      </c>
      <c r="C455" s="36">
        <v>4301031417</v>
      </c>
      <c r="D455" s="635">
        <v>4680115882096</v>
      </c>
      <c r="E455" s="635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122</v>
      </c>
      <c r="L455" s="37" t="s">
        <v>125</v>
      </c>
      <c r="M455" s="38" t="s">
        <v>82</v>
      </c>
      <c r="N455" s="38"/>
      <c r="O455" s="37">
        <v>70</v>
      </c>
      <c r="P455" s="8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637"/>
      <c r="R455" s="637"/>
      <c r="S455" s="637"/>
      <c r="T455" s="638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3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720</v>
      </c>
      <c r="AG455" s="78"/>
      <c r="AJ455" s="84" t="s">
        <v>119</v>
      </c>
      <c r="AK455" s="84">
        <v>57.6</v>
      </c>
      <c r="BB455" s="535" t="s">
        <v>66</v>
      </c>
      <c r="BM455" s="78">
        <f t="shared" si="54"/>
        <v>0</v>
      </c>
      <c r="BN455" s="78">
        <f t="shared" si="55"/>
        <v>0</v>
      </c>
      <c r="BO455" s="78">
        <f t="shared" si="56"/>
        <v>0</v>
      </c>
      <c r="BP455" s="78">
        <f t="shared" si="57"/>
        <v>0</v>
      </c>
    </row>
    <row r="456" spans="1:68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0" t="s">
        <v>40</v>
      </c>
      <c r="Q456" s="641"/>
      <c r="R456" s="641"/>
      <c r="S456" s="641"/>
      <c r="T456" s="641"/>
      <c r="U456" s="641"/>
      <c r="V456" s="642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634" t="s">
        <v>88</v>
      </c>
      <c r="B458" s="634"/>
      <c r="C458" s="634"/>
      <c r="D458" s="634"/>
      <c r="E458" s="634"/>
      <c r="F458" s="634"/>
      <c r="G458" s="634"/>
      <c r="H458" s="634"/>
      <c r="I458" s="634"/>
      <c r="J458" s="634"/>
      <c r="K458" s="634"/>
      <c r="L458" s="634"/>
      <c r="M458" s="634"/>
      <c r="N458" s="634"/>
      <c r="O458" s="634"/>
      <c r="P458" s="634"/>
      <c r="Q458" s="634"/>
      <c r="R458" s="634"/>
      <c r="S458" s="634"/>
      <c r="T458" s="634"/>
      <c r="U458" s="634"/>
      <c r="V458" s="634"/>
      <c r="W458" s="634"/>
      <c r="X458" s="634"/>
      <c r="Y458" s="634"/>
      <c r="Z458" s="634"/>
      <c r="AA458" s="66"/>
      <c r="AB458" s="66"/>
      <c r="AC458" s="80"/>
    </row>
    <row r="459" spans="1:68" ht="27" customHeight="1" x14ac:dyDescent="0.25">
      <c r="A459" s="63" t="s">
        <v>727</v>
      </c>
      <c r="B459" s="63" t="s">
        <v>728</v>
      </c>
      <c r="C459" s="36">
        <v>4301051064</v>
      </c>
      <c r="D459" s="635">
        <v>4680115883536</v>
      </c>
      <c r="E459" s="635"/>
      <c r="F459" s="62">
        <v>0.3</v>
      </c>
      <c r="G459" s="37">
        <v>6</v>
      </c>
      <c r="H459" s="62">
        <v>1.8</v>
      </c>
      <c r="I459" s="62">
        <v>2.0459999999999998</v>
      </c>
      <c r="J459" s="37">
        <v>182</v>
      </c>
      <c r="K459" s="37" t="s">
        <v>83</v>
      </c>
      <c r="L459" s="37" t="s">
        <v>45</v>
      </c>
      <c r="M459" s="38" t="s">
        <v>92</v>
      </c>
      <c r="N459" s="38"/>
      <c r="O459" s="37">
        <v>45</v>
      </c>
      <c r="P459" s="86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637"/>
      <c r="R459" s="637"/>
      <c r="S459" s="637"/>
      <c r="T459" s="638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45</v>
      </c>
      <c r="AB459" s="69" t="s">
        <v>45</v>
      </c>
      <c r="AC459" s="536" t="s">
        <v>729</v>
      </c>
      <c r="AG459" s="78"/>
      <c r="AJ459" s="84" t="s">
        <v>45</v>
      </c>
      <c r="AK459" s="84">
        <v>0</v>
      </c>
      <c r="BB459" s="53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0" t="s">
        <v>40</v>
      </c>
      <c r="Q460" s="641"/>
      <c r="R460" s="641"/>
      <c r="S460" s="641"/>
      <c r="T460" s="641"/>
      <c r="U460" s="641"/>
      <c r="V460" s="642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43"/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4"/>
      <c r="P461" s="640" t="s">
        <v>40</v>
      </c>
      <c r="Q461" s="641"/>
      <c r="R461" s="641"/>
      <c r="S461" s="641"/>
      <c r="T461" s="641"/>
      <c r="U461" s="641"/>
      <c r="V461" s="642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27.75" customHeight="1" x14ac:dyDescent="0.2">
      <c r="A462" s="632" t="s">
        <v>730</v>
      </c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2"/>
      <c r="P462" s="632"/>
      <c r="Q462" s="632"/>
      <c r="R462" s="632"/>
      <c r="S462" s="632"/>
      <c r="T462" s="632"/>
      <c r="U462" s="632"/>
      <c r="V462" s="632"/>
      <c r="W462" s="632"/>
      <c r="X462" s="632"/>
      <c r="Y462" s="632"/>
      <c r="Z462" s="632"/>
      <c r="AA462" s="54"/>
      <c r="AB462" s="54"/>
      <c r="AC462" s="54"/>
    </row>
    <row r="463" spans="1:68" ht="16.5" customHeight="1" x14ac:dyDescent="0.25">
      <c r="A463" s="633" t="s">
        <v>730</v>
      </c>
      <c r="B463" s="633"/>
      <c r="C463" s="633"/>
      <c r="D463" s="633"/>
      <c r="E463" s="633"/>
      <c r="F463" s="633"/>
      <c r="G463" s="633"/>
      <c r="H463" s="633"/>
      <c r="I463" s="633"/>
      <c r="J463" s="633"/>
      <c r="K463" s="633"/>
      <c r="L463" s="633"/>
      <c r="M463" s="633"/>
      <c r="N463" s="633"/>
      <c r="O463" s="633"/>
      <c r="P463" s="633"/>
      <c r="Q463" s="633"/>
      <c r="R463" s="633"/>
      <c r="S463" s="633"/>
      <c r="T463" s="633"/>
      <c r="U463" s="633"/>
      <c r="V463" s="633"/>
      <c r="W463" s="633"/>
      <c r="X463" s="633"/>
      <c r="Y463" s="633"/>
      <c r="Z463" s="633"/>
      <c r="AA463" s="65"/>
      <c r="AB463" s="65"/>
      <c r="AC463" s="79"/>
    </row>
    <row r="464" spans="1:68" ht="14.25" customHeight="1" x14ac:dyDescent="0.25">
      <c r="A464" s="634" t="s">
        <v>112</v>
      </c>
      <c r="B464" s="634"/>
      <c r="C464" s="634"/>
      <c r="D464" s="634"/>
      <c r="E464" s="634"/>
      <c r="F464" s="634"/>
      <c r="G464" s="634"/>
      <c r="H464" s="634"/>
      <c r="I464" s="634"/>
      <c r="J464" s="634"/>
      <c r="K464" s="634"/>
      <c r="L464" s="634"/>
      <c r="M464" s="634"/>
      <c r="N464" s="634"/>
      <c r="O464" s="634"/>
      <c r="P464" s="634"/>
      <c r="Q464" s="634"/>
      <c r="R464" s="634"/>
      <c r="S464" s="634"/>
      <c r="T464" s="634"/>
      <c r="U464" s="634"/>
      <c r="V464" s="634"/>
      <c r="W464" s="634"/>
      <c r="X464" s="634"/>
      <c r="Y464" s="634"/>
      <c r="Z464" s="634"/>
      <c r="AA464" s="66"/>
      <c r="AB464" s="66"/>
      <c r="AC464" s="80"/>
    </row>
    <row r="465" spans="1:68" ht="27" customHeight="1" x14ac:dyDescent="0.25">
      <c r="A465" s="63" t="s">
        <v>731</v>
      </c>
      <c r="B465" s="63" t="s">
        <v>732</v>
      </c>
      <c r="C465" s="36">
        <v>4301011763</v>
      </c>
      <c r="D465" s="635">
        <v>4640242181011</v>
      </c>
      <c r="E465" s="635"/>
      <c r="F465" s="62">
        <v>1.35</v>
      </c>
      <c r="G465" s="37">
        <v>8</v>
      </c>
      <c r="H465" s="62">
        <v>10.8</v>
      </c>
      <c r="I465" s="62">
        <v>11.21</v>
      </c>
      <c r="J465" s="37">
        <v>64</v>
      </c>
      <c r="K465" s="37" t="s">
        <v>117</v>
      </c>
      <c r="L465" s="37" t="s">
        <v>45</v>
      </c>
      <c r="M465" s="38" t="s">
        <v>92</v>
      </c>
      <c r="N465" s="38"/>
      <c r="O465" s="37">
        <v>55</v>
      </c>
      <c r="P465" s="86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637"/>
      <c r="R465" s="637"/>
      <c r="S465" s="637"/>
      <c r="T465" s="638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733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734</v>
      </c>
      <c r="B466" s="63" t="s">
        <v>735</v>
      </c>
      <c r="C466" s="36">
        <v>4301011585</v>
      </c>
      <c r="D466" s="635">
        <v>4640242180441</v>
      </c>
      <c r="E466" s="635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7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637"/>
      <c r="R466" s="637"/>
      <c r="S466" s="637"/>
      <c r="T466" s="63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737</v>
      </c>
      <c r="B467" s="63" t="s">
        <v>738</v>
      </c>
      <c r="C467" s="36">
        <v>4301011584</v>
      </c>
      <c r="D467" s="635">
        <v>4640242180564</v>
      </c>
      <c r="E467" s="63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8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637"/>
      <c r="R467" s="637"/>
      <c r="S467" s="637"/>
      <c r="T467" s="63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739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740</v>
      </c>
      <c r="B468" s="63" t="s">
        <v>741</v>
      </c>
      <c r="C468" s="36">
        <v>4301011764</v>
      </c>
      <c r="D468" s="635">
        <v>4640242181189</v>
      </c>
      <c r="E468" s="635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122</v>
      </c>
      <c r="L468" s="37" t="s">
        <v>45</v>
      </c>
      <c r="M468" s="38" t="s">
        <v>92</v>
      </c>
      <c r="N468" s="38"/>
      <c r="O468" s="37">
        <v>55</v>
      </c>
      <c r="P468" s="8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637"/>
      <c r="R468" s="637"/>
      <c r="S468" s="637"/>
      <c r="T468" s="63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44" t="s">
        <v>733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43"/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4"/>
      <c r="P469" s="640" t="s">
        <v>40</v>
      </c>
      <c r="Q469" s="641"/>
      <c r="R469" s="641"/>
      <c r="S469" s="641"/>
      <c r="T469" s="641"/>
      <c r="U469" s="641"/>
      <c r="V469" s="642"/>
      <c r="W469" s="42" t="s">
        <v>39</v>
      </c>
      <c r="X469" s="43">
        <f>IFERROR(X465/H465,"0")+IFERROR(X466/H466,"0")+IFERROR(X467/H467,"0")+IFERROR(X468/H468,"0")</f>
        <v>0</v>
      </c>
      <c r="Y469" s="43">
        <f>IFERROR(Y465/H465,"0")+IFERROR(Y466/H466,"0")+IFERROR(Y467/H467,"0")+IFERROR(Y468/H468,"0")</f>
        <v>0</v>
      </c>
      <c r="Z469" s="43">
        <f>IFERROR(IF(Z465="",0,Z465),"0")+IFERROR(IF(Z466="",0,Z466),"0")+IFERROR(IF(Z467="",0,Z467),"0")+IFERROR(IF(Z468="",0,Z468),"0")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43"/>
      <c r="B470" s="643"/>
      <c r="C470" s="643"/>
      <c r="D470" s="643"/>
      <c r="E470" s="643"/>
      <c r="F470" s="643"/>
      <c r="G470" s="643"/>
      <c r="H470" s="643"/>
      <c r="I470" s="643"/>
      <c r="J470" s="643"/>
      <c r="K470" s="643"/>
      <c r="L470" s="643"/>
      <c r="M470" s="643"/>
      <c r="N470" s="643"/>
      <c r="O470" s="644"/>
      <c r="P470" s="640" t="s">
        <v>40</v>
      </c>
      <c r="Q470" s="641"/>
      <c r="R470" s="641"/>
      <c r="S470" s="641"/>
      <c r="T470" s="641"/>
      <c r="U470" s="641"/>
      <c r="V470" s="642"/>
      <c r="W470" s="42" t="s">
        <v>0</v>
      </c>
      <c r="X470" s="43">
        <f>IFERROR(SUM(X465:X468),"0")</f>
        <v>0</v>
      </c>
      <c r="Y470" s="43">
        <f>IFERROR(SUM(Y465:Y468),"0")</f>
        <v>0</v>
      </c>
      <c r="Z470" s="42"/>
      <c r="AA470" s="67"/>
      <c r="AB470" s="67"/>
      <c r="AC470" s="67"/>
    </row>
    <row r="471" spans="1:68" ht="14.25" customHeight="1" x14ac:dyDescent="0.25">
      <c r="A471" s="634" t="s">
        <v>148</v>
      </c>
      <c r="B471" s="634"/>
      <c r="C471" s="634"/>
      <c r="D471" s="634"/>
      <c r="E471" s="634"/>
      <c r="F471" s="634"/>
      <c r="G471" s="634"/>
      <c r="H471" s="634"/>
      <c r="I471" s="634"/>
      <c r="J471" s="634"/>
      <c r="K471" s="634"/>
      <c r="L471" s="634"/>
      <c r="M471" s="634"/>
      <c r="N471" s="634"/>
      <c r="O471" s="634"/>
      <c r="P471" s="634"/>
      <c r="Q471" s="634"/>
      <c r="R471" s="634"/>
      <c r="S471" s="634"/>
      <c r="T471" s="634"/>
      <c r="U471" s="634"/>
      <c r="V471" s="634"/>
      <c r="W471" s="634"/>
      <c r="X471" s="634"/>
      <c r="Y471" s="634"/>
      <c r="Z471" s="634"/>
      <c r="AA471" s="66"/>
      <c r="AB471" s="66"/>
      <c r="AC471" s="80"/>
    </row>
    <row r="472" spans="1:68" ht="27" customHeight="1" x14ac:dyDescent="0.25">
      <c r="A472" s="63" t="s">
        <v>742</v>
      </c>
      <c r="B472" s="63" t="s">
        <v>743</v>
      </c>
      <c r="C472" s="36">
        <v>4301020400</v>
      </c>
      <c r="D472" s="635">
        <v>4640242180519</v>
      </c>
      <c r="E472" s="635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8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637"/>
      <c r="R472" s="637"/>
      <c r="S472" s="637"/>
      <c r="T472" s="638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744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745</v>
      </c>
      <c r="B473" s="63" t="s">
        <v>746</v>
      </c>
      <c r="C473" s="36">
        <v>4301020260</v>
      </c>
      <c r="D473" s="635">
        <v>4640242180526</v>
      </c>
      <c r="E473" s="635"/>
      <c r="F473" s="62">
        <v>1.8</v>
      </c>
      <c r="G473" s="37">
        <v>6</v>
      </c>
      <c r="H473" s="62">
        <v>10.8</v>
      </c>
      <c r="I473" s="62">
        <v>11.21</v>
      </c>
      <c r="J473" s="37">
        <v>64</v>
      </c>
      <c r="K473" s="37" t="s">
        <v>117</v>
      </c>
      <c r="L473" s="37" t="s">
        <v>45</v>
      </c>
      <c r="M473" s="38" t="s">
        <v>116</v>
      </c>
      <c r="N473" s="38"/>
      <c r="O473" s="37">
        <v>50</v>
      </c>
      <c r="P473" s="87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637"/>
      <c r="R473" s="637"/>
      <c r="S473" s="637"/>
      <c r="T473" s="63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747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4"/>
      <c r="P474" s="640" t="s">
        <v>40</v>
      </c>
      <c r="Q474" s="641"/>
      <c r="R474" s="641"/>
      <c r="S474" s="641"/>
      <c r="T474" s="641"/>
      <c r="U474" s="641"/>
      <c r="V474" s="642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34" t="s">
        <v>78</v>
      </c>
      <c r="B476" s="634"/>
      <c r="C476" s="634"/>
      <c r="D476" s="634"/>
      <c r="E476" s="634"/>
      <c r="F476" s="634"/>
      <c r="G476" s="634"/>
      <c r="H476" s="634"/>
      <c r="I476" s="634"/>
      <c r="J476" s="634"/>
      <c r="K476" s="634"/>
      <c r="L476" s="634"/>
      <c r="M476" s="634"/>
      <c r="N476" s="634"/>
      <c r="O476" s="634"/>
      <c r="P476" s="634"/>
      <c r="Q476" s="634"/>
      <c r="R476" s="634"/>
      <c r="S476" s="634"/>
      <c r="T476" s="634"/>
      <c r="U476" s="634"/>
      <c r="V476" s="634"/>
      <c r="W476" s="634"/>
      <c r="X476" s="634"/>
      <c r="Y476" s="634"/>
      <c r="Z476" s="634"/>
      <c r="AA476" s="66"/>
      <c r="AB476" s="66"/>
      <c r="AC476" s="80"/>
    </row>
    <row r="477" spans="1:68" ht="27" customHeight="1" x14ac:dyDescent="0.25">
      <c r="A477" s="63" t="s">
        <v>748</v>
      </c>
      <c r="B477" s="63" t="s">
        <v>749</v>
      </c>
      <c r="C477" s="36">
        <v>4301031244</v>
      </c>
      <c r="D477" s="635">
        <v>4640242180595</v>
      </c>
      <c r="E477" s="635"/>
      <c r="F477" s="62">
        <v>0.7</v>
      </c>
      <c r="G477" s="37">
        <v>6</v>
      </c>
      <c r="H477" s="62">
        <v>4.2</v>
      </c>
      <c r="I477" s="62">
        <v>4.45</v>
      </c>
      <c r="J477" s="37">
        <v>132</v>
      </c>
      <c r="K477" s="37" t="s">
        <v>122</v>
      </c>
      <c r="L477" s="37" t="s">
        <v>45</v>
      </c>
      <c r="M477" s="38" t="s">
        <v>82</v>
      </c>
      <c r="N477" s="38"/>
      <c r="O477" s="37">
        <v>40</v>
      </c>
      <c r="P477" s="87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637"/>
      <c r="R477" s="637"/>
      <c r="S477" s="637"/>
      <c r="T477" s="638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45</v>
      </c>
      <c r="AB477" s="69" t="s">
        <v>45</v>
      </c>
      <c r="AC477" s="550" t="s">
        <v>750</v>
      </c>
      <c r="AG477" s="78"/>
      <c r="AJ477" s="84" t="s">
        <v>45</v>
      </c>
      <c r="AK477" s="84">
        <v>0</v>
      </c>
      <c r="BB477" s="551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748</v>
      </c>
      <c r="B478" s="63" t="s">
        <v>751</v>
      </c>
      <c r="C478" s="36">
        <v>4301031467</v>
      </c>
      <c r="D478" s="635">
        <v>4640242180595</v>
      </c>
      <c r="E478" s="635"/>
      <c r="F478" s="62">
        <v>0.8</v>
      </c>
      <c r="G478" s="37">
        <v>6</v>
      </c>
      <c r="H478" s="62">
        <v>4.8</v>
      </c>
      <c r="I478" s="62">
        <v>5.05</v>
      </c>
      <c r="J478" s="37">
        <v>132</v>
      </c>
      <c r="K478" s="37" t="s">
        <v>122</v>
      </c>
      <c r="L478" s="37" t="s">
        <v>45</v>
      </c>
      <c r="M478" s="38" t="s">
        <v>82</v>
      </c>
      <c r="N478" s="38"/>
      <c r="O478" s="37">
        <v>40</v>
      </c>
      <c r="P478" s="87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637"/>
      <c r="R478" s="637"/>
      <c r="S478" s="637"/>
      <c r="T478" s="63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752</v>
      </c>
      <c r="AG478" s="78"/>
      <c r="AJ478" s="84" t="s">
        <v>45</v>
      </c>
      <c r="AK478" s="84">
        <v>0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4"/>
      <c r="P479" s="640" t="s">
        <v>40</v>
      </c>
      <c r="Q479" s="641"/>
      <c r="R479" s="641"/>
      <c r="S479" s="641"/>
      <c r="T479" s="641"/>
      <c r="U479" s="641"/>
      <c r="V479" s="642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4.25" customHeight="1" x14ac:dyDescent="0.25">
      <c r="A481" s="634" t="s">
        <v>88</v>
      </c>
      <c r="B481" s="634"/>
      <c r="C481" s="634"/>
      <c r="D481" s="634"/>
      <c r="E481" s="634"/>
      <c r="F481" s="634"/>
      <c r="G481" s="634"/>
      <c r="H481" s="634"/>
      <c r="I481" s="634"/>
      <c r="J481" s="634"/>
      <c r="K481" s="634"/>
      <c r="L481" s="634"/>
      <c r="M481" s="634"/>
      <c r="N481" s="634"/>
      <c r="O481" s="634"/>
      <c r="P481" s="634"/>
      <c r="Q481" s="634"/>
      <c r="R481" s="634"/>
      <c r="S481" s="634"/>
      <c r="T481" s="634"/>
      <c r="U481" s="634"/>
      <c r="V481" s="634"/>
      <c r="W481" s="634"/>
      <c r="X481" s="634"/>
      <c r="Y481" s="634"/>
      <c r="Z481" s="634"/>
      <c r="AA481" s="66"/>
      <c r="AB481" s="66"/>
      <c r="AC481" s="80"/>
    </row>
    <row r="482" spans="1:68" ht="27" customHeight="1" x14ac:dyDescent="0.25">
      <c r="A482" s="63" t="s">
        <v>753</v>
      </c>
      <c r="B482" s="63" t="s">
        <v>754</v>
      </c>
      <c r="C482" s="36">
        <v>4301052046</v>
      </c>
      <c r="D482" s="635">
        <v>4640242180533</v>
      </c>
      <c r="E482" s="635"/>
      <c r="F482" s="62">
        <v>1.5</v>
      </c>
      <c r="G482" s="37">
        <v>6</v>
      </c>
      <c r="H482" s="62">
        <v>9</v>
      </c>
      <c r="I482" s="62">
        <v>9.4939999999999998</v>
      </c>
      <c r="J482" s="37">
        <v>64</v>
      </c>
      <c r="K482" s="37" t="s">
        <v>117</v>
      </c>
      <c r="L482" s="37" t="s">
        <v>118</v>
      </c>
      <c r="M482" s="38" t="s">
        <v>98</v>
      </c>
      <c r="N482" s="38"/>
      <c r="O482" s="37">
        <v>45</v>
      </c>
      <c r="P482" s="87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637"/>
      <c r="R482" s="637"/>
      <c r="S482" s="637"/>
      <c r="T482" s="638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54" t="s">
        <v>755</v>
      </c>
      <c r="AG482" s="78"/>
      <c r="AJ482" s="84" t="s">
        <v>119</v>
      </c>
      <c r="AK482" s="84">
        <v>72</v>
      </c>
      <c r="BB482" s="555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3"/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4"/>
      <c r="P483" s="640" t="s">
        <v>40</v>
      </c>
      <c r="Q483" s="641"/>
      <c r="R483" s="641"/>
      <c r="S483" s="641"/>
      <c r="T483" s="641"/>
      <c r="U483" s="641"/>
      <c r="V483" s="642"/>
      <c r="W483" s="42" t="s">
        <v>39</v>
      </c>
      <c r="X483" s="43">
        <f>IFERROR(X482/H482,"0")</f>
        <v>0</v>
      </c>
      <c r="Y483" s="43">
        <f>IFERROR(Y482/H482,"0")</f>
        <v>0</v>
      </c>
      <c r="Z483" s="43">
        <f>IFERROR(IF(Z482="",0,Z482),"0")</f>
        <v>0</v>
      </c>
      <c r="AA483" s="67"/>
      <c r="AB483" s="67"/>
      <c r="AC483" s="67"/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0</v>
      </c>
      <c r="X484" s="43">
        <f>IFERROR(SUM(X482:X482),"0")</f>
        <v>0</v>
      </c>
      <c r="Y484" s="43">
        <f>IFERROR(SUM(Y482:Y482),"0")</f>
        <v>0</v>
      </c>
      <c r="Z484" s="42"/>
      <c r="AA484" s="67"/>
      <c r="AB484" s="67"/>
      <c r="AC484" s="67"/>
    </row>
    <row r="485" spans="1:68" ht="14.25" customHeight="1" x14ac:dyDescent="0.25">
      <c r="A485" s="634" t="s">
        <v>173</v>
      </c>
      <c r="B485" s="634"/>
      <c r="C485" s="634"/>
      <c r="D485" s="634"/>
      <c r="E485" s="634"/>
      <c r="F485" s="634"/>
      <c r="G485" s="634"/>
      <c r="H485" s="634"/>
      <c r="I485" s="634"/>
      <c r="J485" s="634"/>
      <c r="K485" s="634"/>
      <c r="L485" s="634"/>
      <c r="M485" s="634"/>
      <c r="N485" s="634"/>
      <c r="O485" s="634"/>
      <c r="P485" s="634"/>
      <c r="Q485" s="634"/>
      <c r="R485" s="634"/>
      <c r="S485" s="634"/>
      <c r="T485" s="634"/>
      <c r="U485" s="634"/>
      <c r="V485" s="634"/>
      <c r="W485" s="634"/>
      <c r="X485" s="634"/>
      <c r="Y485" s="634"/>
      <c r="Z485" s="634"/>
      <c r="AA485" s="66"/>
      <c r="AB485" s="66"/>
      <c r="AC485" s="80"/>
    </row>
    <row r="486" spans="1:68" ht="27" customHeight="1" x14ac:dyDescent="0.25">
      <c r="A486" s="63" t="s">
        <v>756</v>
      </c>
      <c r="B486" s="63" t="s">
        <v>757</v>
      </c>
      <c r="C486" s="36">
        <v>4301060491</v>
      </c>
      <c r="D486" s="635">
        <v>4640242180120</v>
      </c>
      <c r="E486" s="635"/>
      <c r="F486" s="62">
        <v>1.5</v>
      </c>
      <c r="G486" s="37">
        <v>6</v>
      </c>
      <c r="H486" s="62">
        <v>9</v>
      </c>
      <c r="I486" s="62">
        <v>9.41</v>
      </c>
      <c r="J486" s="37">
        <v>64</v>
      </c>
      <c r="K486" s="37" t="s">
        <v>117</v>
      </c>
      <c r="L486" s="37" t="s">
        <v>45</v>
      </c>
      <c r="M486" s="38" t="s">
        <v>92</v>
      </c>
      <c r="N486" s="38"/>
      <c r="O486" s="37">
        <v>40</v>
      </c>
      <c r="P486" s="8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637"/>
      <c r="R486" s="637"/>
      <c r="S486" s="637"/>
      <c r="T486" s="638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6" t="s">
        <v>758</v>
      </c>
      <c r="AG486" s="78"/>
      <c r="AJ486" s="84" t="s">
        <v>45</v>
      </c>
      <c r="AK486" s="84">
        <v>0</v>
      </c>
      <c r="BB486" s="557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759</v>
      </c>
      <c r="B487" s="63" t="s">
        <v>760</v>
      </c>
      <c r="C487" s="36">
        <v>4301060493</v>
      </c>
      <c r="D487" s="635">
        <v>4640242180137</v>
      </c>
      <c r="E487" s="635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117</v>
      </c>
      <c r="L487" s="37" t="s">
        <v>45</v>
      </c>
      <c r="M487" s="38" t="s">
        <v>92</v>
      </c>
      <c r="N487" s="38"/>
      <c r="O487" s="37">
        <v>40</v>
      </c>
      <c r="P487" s="87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637"/>
      <c r="R487" s="637"/>
      <c r="S487" s="637"/>
      <c r="T487" s="638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761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3"/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4"/>
      <c r="P488" s="640" t="s">
        <v>40</v>
      </c>
      <c r="Q488" s="641"/>
      <c r="R488" s="641"/>
      <c r="S488" s="641"/>
      <c r="T488" s="641"/>
      <c r="U488" s="641"/>
      <c r="V488" s="642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643"/>
      <c r="B489" s="643"/>
      <c r="C489" s="643"/>
      <c r="D489" s="643"/>
      <c r="E489" s="643"/>
      <c r="F489" s="643"/>
      <c r="G489" s="643"/>
      <c r="H489" s="643"/>
      <c r="I489" s="643"/>
      <c r="J489" s="643"/>
      <c r="K489" s="643"/>
      <c r="L489" s="643"/>
      <c r="M489" s="643"/>
      <c r="N489" s="643"/>
      <c r="O489" s="644"/>
      <c r="P489" s="640" t="s">
        <v>40</v>
      </c>
      <c r="Q489" s="641"/>
      <c r="R489" s="641"/>
      <c r="S489" s="641"/>
      <c r="T489" s="641"/>
      <c r="U489" s="641"/>
      <c r="V489" s="642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633" t="s">
        <v>762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5"/>
      <c r="AB490" s="65"/>
      <c r="AC490" s="79"/>
    </row>
    <row r="491" spans="1:68" ht="14.25" customHeight="1" x14ac:dyDescent="0.25">
      <c r="A491" s="634" t="s">
        <v>148</v>
      </c>
      <c r="B491" s="634"/>
      <c r="C491" s="634"/>
      <c r="D491" s="634"/>
      <c r="E491" s="634"/>
      <c r="F491" s="634"/>
      <c r="G491" s="634"/>
      <c r="H491" s="634"/>
      <c r="I491" s="634"/>
      <c r="J491" s="634"/>
      <c r="K491" s="634"/>
      <c r="L491" s="634"/>
      <c r="M491" s="634"/>
      <c r="N491" s="634"/>
      <c r="O491" s="634"/>
      <c r="P491" s="634"/>
      <c r="Q491" s="634"/>
      <c r="R491" s="634"/>
      <c r="S491" s="634"/>
      <c r="T491" s="634"/>
      <c r="U491" s="634"/>
      <c r="V491" s="634"/>
      <c r="W491" s="634"/>
      <c r="X491" s="634"/>
      <c r="Y491" s="634"/>
      <c r="Z491" s="634"/>
      <c r="AA491" s="66"/>
      <c r="AB491" s="66"/>
      <c r="AC491" s="80"/>
    </row>
    <row r="492" spans="1:68" ht="27" customHeight="1" x14ac:dyDescent="0.25">
      <c r="A492" s="63" t="s">
        <v>763</v>
      </c>
      <c r="B492" s="63" t="s">
        <v>764</v>
      </c>
      <c r="C492" s="36">
        <v>4301020314</v>
      </c>
      <c r="D492" s="635">
        <v>4640242180090</v>
      </c>
      <c r="E492" s="635"/>
      <c r="F492" s="62">
        <v>1.5</v>
      </c>
      <c r="G492" s="37">
        <v>8</v>
      </c>
      <c r="H492" s="62">
        <v>12</v>
      </c>
      <c r="I492" s="62">
        <v>12.41</v>
      </c>
      <c r="J492" s="37">
        <v>64</v>
      </c>
      <c r="K492" s="37" t="s">
        <v>117</v>
      </c>
      <c r="L492" s="37" t="s">
        <v>45</v>
      </c>
      <c r="M492" s="38" t="s">
        <v>116</v>
      </c>
      <c r="N492" s="38"/>
      <c r="O492" s="37">
        <v>50</v>
      </c>
      <c r="P492" s="88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637"/>
      <c r="R492" s="637"/>
      <c r="S492" s="637"/>
      <c r="T492" s="638"/>
      <c r="U492" s="39" t="s">
        <v>45</v>
      </c>
      <c r="V492" s="39" t="s">
        <v>45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IFERROR(IF(Y492=0,"",ROUNDUP(Y492/H492,0)*0.01898),"")</f>
        <v/>
      </c>
      <c r="AA492" s="68" t="s">
        <v>45</v>
      </c>
      <c r="AB492" s="69" t="s">
        <v>45</v>
      </c>
      <c r="AC492" s="560" t="s">
        <v>765</v>
      </c>
      <c r="AG492" s="78"/>
      <c r="AJ492" s="84" t="s">
        <v>45</v>
      </c>
      <c r="AK492" s="84">
        <v>0</v>
      </c>
      <c r="BB492" s="561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0" t="s">
        <v>40</v>
      </c>
      <c r="Q493" s="641"/>
      <c r="R493" s="641"/>
      <c r="S493" s="641"/>
      <c r="T493" s="641"/>
      <c r="U493" s="641"/>
      <c r="V493" s="642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643"/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4"/>
      <c r="P494" s="640" t="s">
        <v>40</v>
      </c>
      <c r="Q494" s="641"/>
      <c r="R494" s="641"/>
      <c r="S494" s="641"/>
      <c r="T494" s="641"/>
      <c r="U494" s="641"/>
      <c r="V494" s="642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5" customHeight="1" x14ac:dyDescent="0.2">
      <c r="A495" s="643"/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884"/>
      <c r="P495" s="881" t="s">
        <v>33</v>
      </c>
      <c r="Q495" s="882"/>
      <c r="R495" s="882"/>
      <c r="S495" s="882"/>
      <c r="T495" s="882"/>
      <c r="U495" s="882"/>
      <c r="V495" s="883"/>
      <c r="W495" s="42" t="s">
        <v>0</v>
      </c>
      <c r="X495" s="43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0</v>
      </c>
      <c r="Y495" s="43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0</v>
      </c>
      <c r="Z495" s="42"/>
      <c r="AA495" s="67"/>
      <c r="AB495" s="67"/>
      <c r="AC495" s="67"/>
    </row>
    <row r="496" spans="1:68" x14ac:dyDescent="0.2">
      <c r="A496" s="643"/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884"/>
      <c r="P496" s="881" t="s">
        <v>34</v>
      </c>
      <c r="Q496" s="882"/>
      <c r="R496" s="882"/>
      <c r="S496" s="882"/>
      <c r="T496" s="882"/>
      <c r="U496" s="882"/>
      <c r="V496" s="883"/>
      <c r="W496" s="42" t="s">
        <v>0</v>
      </c>
      <c r="X496" s="43">
        <f>IFERROR(SUM(BM22:BM492),"0")</f>
        <v>0</v>
      </c>
      <c r="Y496" s="43">
        <f>IFERROR(SUM(BN22:BN492),"0")</f>
        <v>0</v>
      </c>
      <c r="Z496" s="42"/>
      <c r="AA496" s="67"/>
      <c r="AB496" s="67"/>
      <c r="AC496" s="67"/>
    </row>
    <row r="497" spans="1:32" x14ac:dyDescent="0.2">
      <c r="A497" s="643"/>
      <c r="B497" s="643"/>
      <c r="C497" s="643"/>
      <c r="D497" s="643"/>
      <c r="E497" s="643"/>
      <c r="F497" s="643"/>
      <c r="G497" s="643"/>
      <c r="H497" s="643"/>
      <c r="I497" s="643"/>
      <c r="J497" s="643"/>
      <c r="K497" s="643"/>
      <c r="L497" s="643"/>
      <c r="M497" s="643"/>
      <c r="N497" s="643"/>
      <c r="O497" s="884"/>
      <c r="P497" s="881" t="s">
        <v>35</v>
      </c>
      <c r="Q497" s="882"/>
      <c r="R497" s="882"/>
      <c r="S497" s="882"/>
      <c r="T497" s="882"/>
      <c r="U497" s="882"/>
      <c r="V497" s="883"/>
      <c r="W497" s="42" t="s">
        <v>20</v>
      </c>
      <c r="X497" s="44">
        <f>ROUNDUP(SUM(BO22:BO492),0)</f>
        <v>0</v>
      </c>
      <c r="Y497" s="44">
        <f>ROUNDUP(SUM(BP22:BP492),0)</f>
        <v>0</v>
      </c>
      <c r="Z497" s="42"/>
      <c r="AA497" s="67"/>
      <c r="AB497" s="67"/>
      <c r="AC497" s="67"/>
    </row>
    <row r="498" spans="1:32" x14ac:dyDescent="0.2">
      <c r="A498" s="643"/>
      <c r="B498" s="643"/>
      <c r="C498" s="643"/>
      <c r="D498" s="643"/>
      <c r="E498" s="643"/>
      <c r="F498" s="643"/>
      <c r="G498" s="643"/>
      <c r="H498" s="643"/>
      <c r="I498" s="643"/>
      <c r="J498" s="643"/>
      <c r="K498" s="643"/>
      <c r="L498" s="643"/>
      <c r="M498" s="643"/>
      <c r="N498" s="643"/>
      <c r="O498" s="884"/>
      <c r="P498" s="881" t="s">
        <v>36</v>
      </c>
      <c r="Q498" s="882"/>
      <c r="R498" s="882"/>
      <c r="S498" s="882"/>
      <c r="T498" s="882"/>
      <c r="U498" s="882"/>
      <c r="V498" s="883"/>
      <c r="W498" s="42" t="s">
        <v>0</v>
      </c>
      <c r="X498" s="43">
        <f>GrossWeightTotal+PalletQtyTotal*25</f>
        <v>0</v>
      </c>
      <c r="Y498" s="43">
        <f>GrossWeightTotalR+PalletQtyTotalR*25</f>
        <v>0</v>
      </c>
      <c r="Z498" s="42"/>
      <c r="AA498" s="67"/>
      <c r="AB498" s="67"/>
      <c r="AC498" s="67"/>
    </row>
    <row r="499" spans="1:32" x14ac:dyDescent="0.2">
      <c r="A499" s="643"/>
      <c r="B499" s="643"/>
      <c r="C499" s="643"/>
      <c r="D499" s="643"/>
      <c r="E499" s="643"/>
      <c r="F499" s="643"/>
      <c r="G499" s="643"/>
      <c r="H499" s="643"/>
      <c r="I499" s="643"/>
      <c r="J499" s="643"/>
      <c r="K499" s="643"/>
      <c r="L499" s="643"/>
      <c r="M499" s="643"/>
      <c r="N499" s="643"/>
      <c r="O499" s="884"/>
      <c r="P499" s="881" t="s">
        <v>37</v>
      </c>
      <c r="Q499" s="882"/>
      <c r="R499" s="882"/>
      <c r="S499" s="882"/>
      <c r="T499" s="882"/>
      <c r="U499" s="882"/>
      <c r="V499" s="883"/>
      <c r="W499" s="42" t="s">
        <v>20</v>
      </c>
      <c r="X499" s="43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0</v>
      </c>
      <c r="Y499" s="43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0</v>
      </c>
      <c r="Z499" s="42"/>
      <c r="AA499" s="67"/>
      <c r="AB499" s="67"/>
      <c r="AC499" s="67"/>
    </row>
    <row r="500" spans="1:32" ht="14.25" x14ac:dyDescent="0.2">
      <c r="A500" s="643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  <c r="L500" s="643"/>
      <c r="M500" s="643"/>
      <c r="N500" s="643"/>
      <c r="O500" s="884"/>
      <c r="P500" s="881" t="s">
        <v>38</v>
      </c>
      <c r="Q500" s="882"/>
      <c r="R500" s="882"/>
      <c r="S500" s="882"/>
      <c r="T500" s="882"/>
      <c r="U500" s="882"/>
      <c r="V500" s="883"/>
      <c r="W500" s="45" t="s">
        <v>51</v>
      </c>
      <c r="X500" s="42"/>
      <c r="Y500" s="42"/>
      <c r="Z500" s="42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0</v>
      </c>
      <c r="AA500" s="67"/>
      <c r="AB500" s="67"/>
      <c r="AC500" s="67"/>
    </row>
    <row r="501" spans="1:32" ht="13.5" thickBot="1" x14ac:dyDescent="0.25"/>
    <row r="502" spans="1:32" ht="27" thickTop="1" thickBot="1" x14ac:dyDescent="0.25">
      <c r="A502" s="46" t="s">
        <v>9</v>
      </c>
      <c r="B502" s="85" t="s">
        <v>77</v>
      </c>
      <c r="C502" s="887" t="s">
        <v>110</v>
      </c>
      <c r="D502" s="887" t="s">
        <v>110</v>
      </c>
      <c r="E502" s="887" t="s">
        <v>110</v>
      </c>
      <c r="F502" s="887" t="s">
        <v>110</v>
      </c>
      <c r="G502" s="887" t="s">
        <v>110</v>
      </c>
      <c r="H502" s="887" t="s">
        <v>110</v>
      </c>
      <c r="I502" s="887" t="s">
        <v>279</v>
      </c>
      <c r="J502" s="887" t="s">
        <v>279</v>
      </c>
      <c r="K502" s="887" t="s">
        <v>279</v>
      </c>
      <c r="L502" s="887" t="s">
        <v>279</v>
      </c>
      <c r="M502" s="887" t="s">
        <v>279</v>
      </c>
      <c r="N502" s="888"/>
      <c r="O502" s="887" t="s">
        <v>279</v>
      </c>
      <c r="P502" s="887" t="s">
        <v>279</v>
      </c>
      <c r="Q502" s="887" t="s">
        <v>279</v>
      </c>
      <c r="R502" s="887" t="s">
        <v>279</v>
      </c>
      <c r="S502" s="887" t="s">
        <v>570</v>
      </c>
      <c r="T502" s="887" t="s">
        <v>570</v>
      </c>
      <c r="U502" s="887" t="s">
        <v>624</v>
      </c>
      <c r="V502" s="887" t="s">
        <v>624</v>
      </c>
      <c r="W502" s="887" t="s">
        <v>624</v>
      </c>
      <c r="X502" s="85" t="s">
        <v>675</v>
      </c>
      <c r="Y502" s="887" t="s">
        <v>730</v>
      </c>
      <c r="Z502" s="887" t="s">
        <v>730</v>
      </c>
      <c r="AB502" s="60"/>
      <c r="AC502" s="60"/>
      <c r="AF502" s="1"/>
    </row>
    <row r="503" spans="1:32" ht="14.25" customHeight="1" thickTop="1" x14ac:dyDescent="0.2">
      <c r="A503" s="885" t="s">
        <v>10</v>
      </c>
      <c r="B503" s="887" t="s">
        <v>77</v>
      </c>
      <c r="C503" s="887" t="s">
        <v>111</v>
      </c>
      <c r="D503" s="887" t="s">
        <v>129</v>
      </c>
      <c r="E503" s="887" t="s">
        <v>180</v>
      </c>
      <c r="F503" s="887" t="s">
        <v>202</v>
      </c>
      <c r="G503" s="887" t="s">
        <v>240</v>
      </c>
      <c r="H503" s="887" t="s">
        <v>110</v>
      </c>
      <c r="I503" s="887" t="s">
        <v>280</v>
      </c>
      <c r="J503" s="887" t="s">
        <v>338</v>
      </c>
      <c r="K503" s="887" t="s">
        <v>398</v>
      </c>
      <c r="L503" s="887" t="s">
        <v>439</v>
      </c>
      <c r="M503" s="887" t="s">
        <v>455</v>
      </c>
      <c r="N503" s="1"/>
      <c r="O503" s="887" t="s">
        <v>466</v>
      </c>
      <c r="P503" s="887" t="s">
        <v>475</v>
      </c>
      <c r="Q503" s="887" t="s">
        <v>488</v>
      </c>
      <c r="R503" s="887" t="s">
        <v>560</v>
      </c>
      <c r="S503" s="887" t="s">
        <v>571</v>
      </c>
      <c r="T503" s="887" t="s">
        <v>606</v>
      </c>
      <c r="U503" s="887" t="s">
        <v>625</v>
      </c>
      <c r="V503" s="887" t="s">
        <v>656</v>
      </c>
      <c r="W503" s="887" t="s">
        <v>671</v>
      </c>
      <c r="X503" s="887" t="s">
        <v>675</v>
      </c>
      <c r="Y503" s="887" t="s">
        <v>730</v>
      </c>
      <c r="Z503" s="887" t="s">
        <v>762</v>
      </c>
      <c r="AB503" s="60"/>
      <c r="AC503" s="60"/>
      <c r="AF503" s="1"/>
    </row>
    <row r="504" spans="1:32" ht="13.5" thickBot="1" x14ac:dyDescent="0.25">
      <c r="A504" s="886"/>
      <c r="B504" s="887"/>
      <c r="C504" s="887"/>
      <c r="D504" s="887"/>
      <c r="E504" s="887"/>
      <c r="F504" s="887"/>
      <c r="G504" s="887"/>
      <c r="H504" s="887"/>
      <c r="I504" s="887"/>
      <c r="J504" s="887"/>
      <c r="K504" s="887"/>
      <c r="L504" s="887"/>
      <c r="M504" s="887"/>
      <c r="N504" s="1"/>
      <c r="O504" s="887"/>
      <c r="P504" s="887"/>
      <c r="Q504" s="887"/>
      <c r="R504" s="887"/>
      <c r="S504" s="887"/>
      <c r="T504" s="887"/>
      <c r="U504" s="887"/>
      <c r="V504" s="887"/>
      <c r="W504" s="887"/>
      <c r="X504" s="887"/>
      <c r="Y504" s="887"/>
      <c r="Z504" s="887"/>
      <c r="AB504" s="60"/>
      <c r="AC504" s="60"/>
      <c r="AF504" s="1"/>
    </row>
    <row r="505" spans="1:32" ht="18" thickTop="1" thickBot="1" x14ac:dyDescent="0.25">
      <c r="A505" s="46" t="s">
        <v>13</v>
      </c>
      <c r="B505" s="52">
        <f>IFERROR(Y22*1,"0")+IFERROR(Y23*1,"0")+IFERROR(Y27*1,"0")+IFERROR(Y28*1,"0")+IFERROR(Y29*1,"0")+IFERROR(Y30*1,"0")+IFERROR(Y31*1,"0")+IFERROR(Y35*1,"0")</f>
        <v>0</v>
      </c>
      <c r="C505" s="52">
        <f>IFERROR(Y41*1,"0")+IFERROR(Y42*1,"0")+IFERROR(Y43*1,"0")+IFERROR(Y47*1,"0")</f>
        <v>0</v>
      </c>
      <c r="D505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52">
        <f>IFERROR(Y85*1,"0")+IFERROR(Y86*1,"0")+IFERROR(Y87*1,"0")+IFERROR(Y88*1,"0")+IFERROR(Y92*1,"0")+IFERROR(Y93*1,"0")+IFERROR(Y94*1,"0")+IFERROR(Y95*1,"0")</f>
        <v>0</v>
      </c>
      <c r="F505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52">
        <f>IFERROR(Y127*1,"0")+IFERROR(Y128*1,"0")+IFERROR(Y132*1,"0")+IFERROR(Y133*1,"0")+IFERROR(Y137*1,"0")+IFERROR(Y138*1,"0")</f>
        <v>0</v>
      </c>
      <c r="H505" s="52">
        <f>IFERROR(Y143*1,"0")+IFERROR(Y144*1,"0")+IFERROR(Y148*1,"0")+IFERROR(Y149*1,"0")+IFERROR(Y150*1,"0")+IFERROR(Y151*1,"0")+IFERROR(Y152*1,"0")+IFERROR(Y153*1,"0")+IFERROR(Y157*1,"0")</f>
        <v>0</v>
      </c>
      <c r="I505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52">
        <f>IFERROR(Y263*1,"0")+IFERROR(Y264*1,"0")+IFERROR(Y265*1,"0")+IFERROR(Y266*1,"0")+IFERROR(Y267*1,"0")</f>
        <v>0</v>
      </c>
      <c r="M505" s="52">
        <f>IFERROR(Y272*1,"0")+IFERROR(Y273*1,"0")+IFERROR(Y274*1,"0")+IFERROR(Y275*1,"0")</f>
        <v>0</v>
      </c>
      <c r="N505" s="1"/>
      <c r="O505" s="52">
        <f>IFERROR(Y280*1,"0")+IFERROR(Y281*1,"0")+IFERROR(Y282*1,"0")</f>
        <v>0</v>
      </c>
      <c r="P505" s="52">
        <f>IFERROR(Y287*1,"0")+IFERROR(Y288*1,"0")+IFERROR(Y292*1,"0")+IFERROR(Y293*1,"0")</f>
        <v>0</v>
      </c>
      <c r="Q505" s="52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52">
        <f>IFERROR(Y342*1,"0")+IFERROR(Y343*1,"0")+IFERROR(Y344*1,"0")</f>
        <v>0</v>
      </c>
      <c r="S505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52">
        <f>IFERROR(Y375*1,"0")+IFERROR(Y376*1,"0")+IFERROR(Y380*1,"0")+IFERROR(Y381*1,"0")+IFERROR(Y385*1,"0")+IFERROR(Y386*1,"0")+IFERROR(Y387*1,"0")</f>
        <v>0</v>
      </c>
      <c r="U505" s="52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52">
        <f>IFERROR(Y411*1,"0")+IFERROR(Y415*1,"0")+IFERROR(Y416*1,"0")+IFERROR(Y417*1,"0")+IFERROR(Y418*1,"0")</f>
        <v>0</v>
      </c>
      <c r="W505" s="52">
        <f>IFERROR(Y423*1,"0")</f>
        <v>0</v>
      </c>
      <c r="X505" s="52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52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52">
        <f>IFERROR(Y492*1,"0")</f>
        <v>0</v>
      </c>
      <c r="AB505" s="60"/>
      <c r="AC505" s="60"/>
      <c r="AF505" s="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6">
    <mergeCell ref="U503:U504"/>
    <mergeCell ref="V503:V504"/>
    <mergeCell ref="W503:W504"/>
    <mergeCell ref="X503:X504"/>
    <mergeCell ref="Y503:Y504"/>
    <mergeCell ref="Z503:Z504"/>
    <mergeCell ref="C502:H502"/>
    <mergeCell ref="I502:R502"/>
    <mergeCell ref="S502:T502"/>
    <mergeCell ref="U502:W502"/>
    <mergeCell ref="Y502:Z502"/>
    <mergeCell ref="J503:J504"/>
    <mergeCell ref="K503:K504"/>
    <mergeCell ref="L503:L504"/>
    <mergeCell ref="M503:M504"/>
    <mergeCell ref="O503:O504"/>
    <mergeCell ref="P503:P504"/>
    <mergeCell ref="Q503:Q504"/>
    <mergeCell ref="R503:R504"/>
    <mergeCell ref="S503:S504"/>
    <mergeCell ref="T503:T504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A490:Z490"/>
    <mergeCell ref="A491:Z491"/>
    <mergeCell ref="D492:E492"/>
    <mergeCell ref="P492:T492"/>
    <mergeCell ref="P493:V493"/>
    <mergeCell ref="A493:O494"/>
    <mergeCell ref="P494:V494"/>
    <mergeCell ref="P495:V495"/>
    <mergeCell ref="A495:O500"/>
    <mergeCell ref="P496:V496"/>
    <mergeCell ref="P497:V497"/>
    <mergeCell ref="P498:V498"/>
    <mergeCell ref="P499:V499"/>
    <mergeCell ref="P500:V500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58:Z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A391:Z391"/>
    <mergeCell ref="A392:Z392"/>
    <mergeCell ref="D393:E393"/>
    <mergeCell ref="P393:T393"/>
    <mergeCell ref="D394:E394"/>
    <mergeCell ref="P394:T394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82 X450:X455 X444 X435 X433 X429 X423 X400 X397:X398 X385 X375 X366 X343:X344 X337 X335 X330:X331 X322:X324 X309:X311 X281 X241 X236:X237 X234 X228:X229 X223:X224 X221 X218:X219 X205:X212 X178 X175 X173 X169:X171 X138 X133 X127 X122 X117:X118 X115 X108 X103 X100 X92 X85 X79 X61 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9"/>
    </row>
    <row r="3" spans="2:8" x14ac:dyDescent="0.2">
      <c r="B3" s="53" t="s">
        <v>767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769</v>
      </c>
      <c r="D6" s="53" t="s">
        <v>770</v>
      </c>
      <c r="E6" s="53" t="s">
        <v>45</v>
      </c>
    </row>
    <row r="8" spans="2:8" x14ac:dyDescent="0.2">
      <c r="B8" s="53" t="s">
        <v>76</v>
      </c>
      <c r="C8" s="53" t="s">
        <v>769</v>
      </c>
      <c r="D8" s="53" t="s">
        <v>45</v>
      </c>
      <c r="E8" s="53" t="s">
        <v>45</v>
      </c>
    </row>
    <row r="10" spans="2:8" x14ac:dyDescent="0.2">
      <c r="B10" s="53" t="s">
        <v>771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772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773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780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781</v>
      </c>
      <c r="C20" s="53" t="s">
        <v>45</v>
      </c>
      <c r="D20" s="53" t="s">
        <v>45</v>
      </c>
      <c r="E20" s="53" t="s">
        <v>45</v>
      </c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994</vt:i4>
      </vt:variant>
    </vt:vector>
  </HeadingPairs>
  <TitlesOfParts>
    <vt:vector size="99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2025-12-24T13:29:20Z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