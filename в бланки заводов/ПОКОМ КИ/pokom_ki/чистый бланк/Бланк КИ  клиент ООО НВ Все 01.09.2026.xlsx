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50AEBFA-7071-443F-99C3-198E33AA5BEE}" xr6:coauthVersionLast="47" xr6:coauthVersionMax="47" xr10:uidLastSave="{00000000-0000-0000-0000-000000000000}"/>
  <bookViews>
    <workbookView xWindow="105" yWindow="15" windowWidth="24720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Z539" i="2"/>
  <c r="Y539" i="2"/>
  <c r="X539" i="2"/>
  <c r="BO538" i="2"/>
  <c r="BM538" i="2"/>
  <c r="Z538" i="2"/>
  <c r="Y538" i="2"/>
  <c r="Y540" i="2" s="1"/>
  <c r="P538" i="2"/>
  <c r="X536" i="2"/>
  <c r="X535" i="2"/>
  <c r="BO534" i="2"/>
  <c r="BN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N526" i="2"/>
  <c r="BM526" i="2"/>
  <c r="Y526" i="2"/>
  <c r="BP526" i="2" s="1"/>
  <c r="P526" i="2"/>
  <c r="BO525" i="2"/>
  <c r="BN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N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Z512" i="2"/>
  <c r="Y512" i="2"/>
  <c r="BN512" i="2" s="1"/>
  <c r="P512" i="2"/>
  <c r="BO511" i="2"/>
  <c r="BM511" i="2"/>
  <c r="Y511" i="2"/>
  <c r="BP511" i="2" s="1"/>
  <c r="P511" i="2"/>
  <c r="BO510" i="2"/>
  <c r="BM510" i="2"/>
  <c r="Z510" i="2"/>
  <c r="Y510" i="2"/>
  <c r="BN510" i="2" s="1"/>
  <c r="P510" i="2"/>
  <c r="BO509" i="2"/>
  <c r="BM509" i="2"/>
  <c r="Z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P498" i="2"/>
  <c r="BO498" i="2"/>
  <c r="BM498" i="2"/>
  <c r="Z498" i="2"/>
  <c r="Y498" i="2"/>
  <c r="BN498" i="2" s="1"/>
  <c r="P498" i="2"/>
  <c r="BP497" i="2"/>
  <c r="BO497" i="2"/>
  <c r="BM497" i="2"/>
  <c r="Y497" i="2"/>
  <c r="P497" i="2"/>
  <c r="BO496" i="2"/>
  <c r="BM496" i="2"/>
  <c r="Y496" i="2"/>
  <c r="Z496" i="2" s="1"/>
  <c r="P496" i="2"/>
  <c r="X494" i="2"/>
  <c r="Y493" i="2"/>
  <c r="X493" i="2"/>
  <c r="BO492" i="2"/>
  <c r="BM492" i="2"/>
  <c r="Z492" i="2"/>
  <c r="Z493" i="2" s="1"/>
  <c r="Y492" i="2"/>
  <c r="P492" i="2"/>
  <c r="X489" i="2"/>
  <c r="Y488" i="2"/>
  <c r="X488" i="2"/>
  <c r="BO487" i="2"/>
  <c r="BN487" i="2"/>
  <c r="BM487" i="2"/>
  <c r="Y487" i="2"/>
  <c r="Z487" i="2" s="1"/>
  <c r="P487" i="2"/>
  <c r="BP486" i="2"/>
  <c r="BO486" i="2"/>
  <c r="BM486" i="2"/>
  <c r="Z486" i="2"/>
  <c r="Z488" i="2" s="1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Y483" i="2" s="1"/>
  <c r="P480" i="2"/>
  <c r="BO479" i="2"/>
  <c r="BN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N469" i="2"/>
  <c r="BM469" i="2"/>
  <c r="Y469" i="2"/>
  <c r="BP469" i="2" s="1"/>
  <c r="P469" i="2"/>
  <c r="X467" i="2"/>
  <c r="X466" i="2"/>
  <c r="BP465" i="2"/>
  <c r="BO465" i="2"/>
  <c r="BM465" i="2"/>
  <c r="Y465" i="2"/>
  <c r="P465" i="2"/>
  <c r="X463" i="2"/>
  <c r="X462" i="2"/>
  <c r="BP461" i="2"/>
  <c r="BO461" i="2"/>
  <c r="BM461" i="2"/>
  <c r="Z461" i="2"/>
  <c r="Y461" i="2"/>
  <c r="BN461" i="2" s="1"/>
  <c r="P461" i="2"/>
  <c r="BO460" i="2"/>
  <c r="BM460" i="2"/>
  <c r="Z460" i="2"/>
  <c r="Z462" i="2" s="1"/>
  <c r="Y460" i="2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P438" i="2"/>
  <c r="BO438" i="2"/>
  <c r="BM438" i="2"/>
  <c r="Z438" i="2"/>
  <c r="Y438" i="2"/>
  <c r="BN438" i="2" s="1"/>
  <c r="P438" i="2"/>
  <c r="BO437" i="2"/>
  <c r="BM437" i="2"/>
  <c r="Z437" i="2"/>
  <c r="Y437" i="2"/>
  <c r="BN437" i="2" s="1"/>
  <c r="P437" i="2"/>
  <c r="BO436" i="2"/>
  <c r="BM436" i="2"/>
  <c r="Y436" i="2"/>
  <c r="BN436" i="2" s="1"/>
  <c r="P436" i="2"/>
  <c r="BP435" i="2"/>
  <c r="BO435" i="2"/>
  <c r="BM435" i="2"/>
  <c r="Z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Z432" i="2"/>
  <c r="Y432" i="2"/>
  <c r="BN432" i="2" s="1"/>
  <c r="P432" i="2"/>
  <c r="BO431" i="2"/>
  <c r="BM431" i="2"/>
  <c r="Y431" i="2"/>
  <c r="P431" i="2"/>
  <c r="Y427" i="2"/>
  <c r="X427" i="2"/>
  <c r="X426" i="2"/>
  <c r="BP425" i="2"/>
  <c r="BO425" i="2"/>
  <c r="BN425" i="2"/>
  <c r="BM425" i="2"/>
  <c r="Z425" i="2"/>
  <c r="Y425" i="2"/>
  <c r="P425" i="2"/>
  <c r="BO424" i="2"/>
  <c r="BM424" i="2"/>
  <c r="Y424" i="2"/>
  <c r="BP424" i="2" s="1"/>
  <c r="P424" i="2"/>
  <c r="BO423" i="2"/>
  <c r="BN423" i="2"/>
  <c r="BM423" i="2"/>
  <c r="Y423" i="2"/>
  <c r="P423" i="2"/>
  <c r="Y420" i="2"/>
  <c r="X420" i="2"/>
  <c r="X419" i="2"/>
  <c r="BO418" i="2"/>
  <c r="BM418" i="2"/>
  <c r="Y418" i="2"/>
  <c r="P418" i="2"/>
  <c r="BP417" i="2"/>
  <c r="BO417" i="2"/>
  <c r="BM417" i="2"/>
  <c r="Y417" i="2"/>
  <c r="P417" i="2"/>
  <c r="X414" i="2"/>
  <c r="X413" i="2"/>
  <c r="BO412" i="2"/>
  <c r="BN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Z406" i="2"/>
  <c r="Y406" i="2"/>
  <c r="BN406" i="2" s="1"/>
  <c r="P406" i="2"/>
  <c r="BO405" i="2"/>
  <c r="BM405" i="2"/>
  <c r="Y405" i="2"/>
  <c r="BP405" i="2" s="1"/>
  <c r="P405" i="2"/>
  <c r="BO404" i="2"/>
  <c r="BN404" i="2"/>
  <c r="BM404" i="2"/>
  <c r="Y404" i="2"/>
  <c r="P404" i="2"/>
  <c r="X402" i="2"/>
  <c r="X401" i="2"/>
  <c r="BP400" i="2"/>
  <c r="BO400" i="2"/>
  <c r="BM400" i="2"/>
  <c r="Y400" i="2"/>
  <c r="P400" i="2"/>
  <c r="BO399" i="2"/>
  <c r="BN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N393" i="2"/>
  <c r="BM393" i="2"/>
  <c r="Y393" i="2"/>
  <c r="BP393" i="2" s="1"/>
  <c r="P393" i="2"/>
  <c r="BP392" i="2"/>
  <c r="BO392" i="2"/>
  <c r="BM392" i="2"/>
  <c r="Z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N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N378" i="2"/>
  <c r="BM378" i="2"/>
  <c r="Y378" i="2"/>
  <c r="BP378" i="2" s="1"/>
  <c r="P378" i="2"/>
  <c r="BO377" i="2"/>
  <c r="BM377" i="2"/>
  <c r="Y377" i="2"/>
  <c r="BN377" i="2" s="1"/>
  <c r="P377" i="2"/>
  <c r="BO376" i="2"/>
  <c r="BN376" i="2"/>
  <c r="BM376" i="2"/>
  <c r="Y376" i="2"/>
  <c r="BP376" i="2" s="1"/>
  <c r="P376" i="2"/>
  <c r="BO375" i="2"/>
  <c r="BM375" i="2"/>
  <c r="Y375" i="2"/>
  <c r="BP375" i="2" s="1"/>
  <c r="P375" i="2"/>
  <c r="BP374" i="2"/>
  <c r="BO374" i="2"/>
  <c r="BM374" i="2"/>
  <c r="Y374" i="2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N366" i="2"/>
  <c r="BM366" i="2"/>
  <c r="Y366" i="2"/>
  <c r="BP366" i="2" s="1"/>
  <c r="P366" i="2"/>
  <c r="X363" i="2"/>
  <c r="X362" i="2"/>
  <c r="BO361" i="2"/>
  <c r="BN361" i="2"/>
  <c r="BM361" i="2"/>
  <c r="Y361" i="2"/>
  <c r="P361" i="2"/>
  <c r="BO360" i="2"/>
  <c r="BM360" i="2"/>
  <c r="Y360" i="2"/>
  <c r="BP360" i="2" s="1"/>
  <c r="P360" i="2"/>
  <c r="BO359" i="2"/>
  <c r="BN359" i="2"/>
  <c r="BM359" i="2"/>
  <c r="Y359" i="2"/>
  <c r="Z359" i="2" s="1"/>
  <c r="P359" i="2"/>
  <c r="X356" i="2"/>
  <c r="X355" i="2"/>
  <c r="BO354" i="2"/>
  <c r="BM354" i="2"/>
  <c r="Z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P348" i="2"/>
  <c r="BO348" i="2"/>
  <c r="BN348" i="2"/>
  <c r="BM348" i="2"/>
  <c r="Z348" i="2"/>
  <c r="Y348" i="2"/>
  <c r="P348" i="2"/>
  <c r="BP347" i="2"/>
  <c r="BO347" i="2"/>
  <c r="BM347" i="2"/>
  <c r="Z347" i="2"/>
  <c r="Y347" i="2"/>
  <c r="BN347" i="2" s="1"/>
  <c r="P347" i="2"/>
  <c r="BP346" i="2"/>
  <c r="BO346" i="2"/>
  <c r="BM346" i="2"/>
  <c r="Y346" i="2"/>
  <c r="P346" i="2"/>
  <c r="BP345" i="2"/>
  <c r="BO345" i="2"/>
  <c r="BN345" i="2"/>
  <c r="BM345" i="2"/>
  <c r="Z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N338" i="2"/>
  <c r="BM338" i="2"/>
  <c r="Y338" i="2"/>
  <c r="P338" i="2"/>
  <c r="X335" i="2"/>
  <c r="X334" i="2"/>
  <c r="BO333" i="2"/>
  <c r="BM333" i="2"/>
  <c r="Y333" i="2"/>
  <c r="BP333" i="2" s="1"/>
  <c r="P333" i="2"/>
  <c r="BO332" i="2"/>
  <c r="BN332" i="2"/>
  <c r="BM332" i="2"/>
  <c r="Y332" i="2"/>
  <c r="BP332" i="2" s="1"/>
  <c r="P332" i="2"/>
  <c r="BO331" i="2"/>
  <c r="BM331" i="2"/>
  <c r="Y331" i="2"/>
  <c r="P331" i="2"/>
  <c r="BO330" i="2"/>
  <c r="BN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Y316" i="2"/>
  <c r="X316" i="2"/>
  <c r="X315" i="2"/>
  <c r="BO314" i="2"/>
  <c r="BM314" i="2"/>
  <c r="Z314" i="2"/>
  <c r="Z315" i="2" s="1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N305" i="2"/>
  <c r="BM305" i="2"/>
  <c r="Y305" i="2"/>
  <c r="Z305" i="2" s="1"/>
  <c r="P305" i="2"/>
  <c r="BP304" i="2"/>
  <c r="BO304" i="2"/>
  <c r="BM304" i="2"/>
  <c r="Z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Z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N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N286" i="2"/>
  <c r="BM286" i="2"/>
  <c r="Y286" i="2"/>
  <c r="BP286" i="2" s="1"/>
  <c r="P286" i="2"/>
  <c r="BO285" i="2"/>
  <c r="BM285" i="2"/>
  <c r="Y285" i="2"/>
  <c r="BP285" i="2" s="1"/>
  <c r="P285" i="2"/>
  <c r="BP284" i="2"/>
  <c r="BO284" i="2"/>
  <c r="BM284" i="2"/>
  <c r="Y284" i="2"/>
  <c r="P284" i="2"/>
  <c r="BP283" i="2"/>
  <c r="BO283" i="2"/>
  <c r="BN283" i="2"/>
  <c r="BM283" i="2"/>
  <c r="Z283" i="2"/>
  <c r="Y283" i="2"/>
  <c r="P283" i="2"/>
  <c r="X281" i="2"/>
  <c r="X280" i="2"/>
  <c r="BO279" i="2"/>
  <c r="BM279" i="2"/>
  <c r="Y279" i="2"/>
  <c r="BP279" i="2" s="1"/>
  <c r="P279" i="2"/>
  <c r="BO278" i="2"/>
  <c r="BN278" i="2"/>
  <c r="BM278" i="2"/>
  <c r="Y278" i="2"/>
  <c r="BP278" i="2" s="1"/>
  <c r="P278" i="2"/>
  <c r="BO277" i="2"/>
  <c r="BM277" i="2"/>
  <c r="Y277" i="2"/>
  <c r="P277" i="2"/>
  <c r="BO276" i="2"/>
  <c r="BN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P272" i="2"/>
  <c r="BO272" i="2"/>
  <c r="BN272" i="2"/>
  <c r="BM272" i="2"/>
  <c r="Z272" i="2"/>
  <c r="Y272" i="2"/>
  <c r="P272" i="2"/>
  <c r="X270" i="2"/>
  <c r="Y269" i="2"/>
  <c r="X269" i="2"/>
  <c r="BO268" i="2"/>
  <c r="BN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N262" i="2"/>
  <c r="BM262" i="2"/>
  <c r="Y262" i="2"/>
  <c r="P262" i="2"/>
  <c r="X259" i="2"/>
  <c r="X258" i="2"/>
  <c r="BO257" i="2"/>
  <c r="BM257" i="2"/>
  <c r="Y257" i="2"/>
  <c r="P257" i="2"/>
  <c r="X255" i="2"/>
  <c r="X254" i="2"/>
  <c r="BO253" i="2"/>
  <c r="BN253" i="2"/>
  <c r="BM253" i="2"/>
  <c r="Y253" i="2"/>
  <c r="BP253" i="2" s="1"/>
  <c r="P253" i="2"/>
  <c r="BO252" i="2"/>
  <c r="BM252" i="2"/>
  <c r="Y252" i="2"/>
  <c r="BP252" i="2" s="1"/>
  <c r="P252" i="2"/>
  <c r="BP251" i="2"/>
  <c r="BO251" i="2"/>
  <c r="BM251" i="2"/>
  <c r="Y251" i="2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N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N239" i="2"/>
  <c r="BM239" i="2"/>
  <c r="Y239" i="2"/>
  <c r="P239" i="2"/>
  <c r="BO238" i="2"/>
  <c r="BN238" i="2"/>
  <c r="BM238" i="2"/>
  <c r="Z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N231" i="2"/>
  <c r="BM231" i="2"/>
  <c r="Y231" i="2"/>
  <c r="Z231" i="2" s="1"/>
  <c r="P231" i="2"/>
  <c r="BO230" i="2"/>
  <c r="BM230" i="2"/>
  <c r="Z230" i="2"/>
  <c r="Y230" i="2"/>
  <c r="BN230" i="2" s="1"/>
  <c r="P230" i="2"/>
  <c r="BO229" i="2"/>
  <c r="BM229" i="2"/>
  <c r="Z229" i="2"/>
  <c r="Y229" i="2"/>
  <c r="BN229" i="2" s="1"/>
  <c r="P229" i="2"/>
  <c r="BO228" i="2"/>
  <c r="BN228" i="2"/>
  <c r="BM228" i="2"/>
  <c r="Y228" i="2"/>
  <c r="P228" i="2"/>
  <c r="BO227" i="2"/>
  <c r="BM227" i="2"/>
  <c r="Z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N217" i="2"/>
  <c r="BM217" i="2"/>
  <c r="Z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N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P201" i="2"/>
  <c r="BO201" i="2"/>
  <c r="BN201" i="2"/>
  <c r="BM201" i="2"/>
  <c r="Z201" i="2"/>
  <c r="Z202" i="2" s="1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P195" i="2"/>
  <c r="BO195" i="2"/>
  <c r="BN195" i="2"/>
  <c r="BM195" i="2"/>
  <c r="Z195" i="2"/>
  <c r="Y195" i="2"/>
  <c r="P195" i="2"/>
  <c r="X193" i="2"/>
  <c r="X192" i="2"/>
  <c r="BO191" i="2"/>
  <c r="BN191" i="2"/>
  <c r="BM191" i="2"/>
  <c r="Y191" i="2"/>
  <c r="BP191" i="2" s="1"/>
  <c r="P191" i="2"/>
  <c r="BO190" i="2"/>
  <c r="BN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N186" i="2"/>
  <c r="BM186" i="2"/>
  <c r="Y186" i="2"/>
  <c r="Z186" i="2" s="1"/>
  <c r="BO185" i="2"/>
  <c r="BM185" i="2"/>
  <c r="Z185" i="2"/>
  <c r="Y185" i="2"/>
  <c r="BN185" i="2" s="1"/>
  <c r="P185" i="2"/>
  <c r="BO184" i="2"/>
  <c r="BM184" i="2"/>
  <c r="Y184" i="2"/>
  <c r="Z184" i="2" s="1"/>
  <c r="BO183" i="2"/>
  <c r="BN183" i="2"/>
  <c r="BM183" i="2"/>
  <c r="Y183" i="2"/>
  <c r="BP183" i="2" s="1"/>
  <c r="P183" i="2"/>
  <c r="BO182" i="2"/>
  <c r="BN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N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P171" i="2"/>
  <c r="BO171" i="2"/>
  <c r="BN171" i="2"/>
  <c r="BM171" i="2"/>
  <c r="Z171" i="2"/>
  <c r="Y171" i="2"/>
  <c r="P171" i="2"/>
  <c r="BO170" i="2"/>
  <c r="BM170" i="2"/>
  <c r="Z170" i="2"/>
  <c r="Y170" i="2"/>
  <c r="BN170" i="2" s="1"/>
  <c r="P170" i="2"/>
  <c r="BO169" i="2"/>
  <c r="BM169" i="2"/>
  <c r="Y169" i="2"/>
  <c r="P169" i="2"/>
  <c r="Y166" i="2"/>
  <c r="X166" i="2"/>
  <c r="X165" i="2"/>
  <c r="BO164" i="2"/>
  <c r="BM164" i="2"/>
  <c r="Z164" i="2"/>
  <c r="Z165" i="2" s="1"/>
  <c r="Y164" i="2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Y161" i="2" s="1"/>
  <c r="P158" i="2"/>
  <c r="BO157" i="2"/>
  <c r="BN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N149" i="2"/>
  <c r="BM149" i="2"/>
  <c r="Y149" i="2"/>
  <c r="P149" i="2"/>
  <c r="BO148" i="2"/>
  <c r="BM148" i="2"/>
  <c r="Y148" i="2"/>
  <c r="BP148" i="2" s="1"/>
  <c r="P148" i="2"/>
  <c r="X146" i="2"/>
  <c r="X145" i="2"/>
  <c r="BO144" i="2"/>
  <c r="BM144" i="2"/>
  <c r="Z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Z138" i="2"/>
  <c r="Y138" i="2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P126" i="2"/>
  <c r="BO126" i="2"/>
  <c r="BN126" i="2"/>
  <c r="BM126" i="2"/>
  <c r="Z126" i="2"/>
  <c r="Y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N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N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P106" i="2"/>
  <c r="BO106" i="2"/>
  <c r="BN106" i="2"/>
  <c r="BM106" i="2"/>
  <c r="Z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P103" i="2"/>
  <c r="BO103" i="2"/>
  <c r="BN103" i="2"/>
  <c r="BM103" i="2"/>
  <c r="Z103" i="2"/>
  <c r="Y103" i="2"/>
  <c r="Y112" i="2" s="1"/>
  <c r="P103" i="2"/>
  <c r="X100" i="2"/>
  <c r="X99" i="2"/>
  <c r="BO98" i="2"/>
  <c r="BM98" i="2"/>
  <c r="Y98" i="2"/>
  <c r="BN98" i="2" s="1"/>
  <c r="P98" i="2"/>
  <c r="BO97" i="2"/>
  <c r="BN97" i="2"/>
  <c r="BM97" i="2"/>
  <c r="Y97" i="2"/>
  <c r="Z97" i="2" s="1"/>
  <c r="BO96" i="2"/>
  <c r="BM96" i="2"/>
  <c r="Z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P85" i="2"/>
  <c r="BO85" i="2"/>
  <c r="BM85" i="2"/>
  <c r="Y85" i="2"/>
  <c r="P85" i="2"/>
  <c r="X82" i="2"/>
  <c r="X81" i="2"/>
  <c r="BO80" i="2"/>
  <c r="BN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N71" i="2"/>
  <c r="BM71" i="2"/>
  <c r="Y71" i="2"/>
  <c r="Z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P59" i="2"/>
  <c r="BO59" i="2"/>
  <c r="BN59" i="2"/>
  <c r="BM59" i="2"/>
  <c r="Z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P56" i="2"/>
  <c r="BO56" i="2"/>
  <c r="BN56" i="2"/>
  <c r="BM56" i="2"/>
  <c r="Z56" i="2"/>
  <c r="Y56" i="2"/>
  <c r="P56" i="2"/>
  <c r="BO55" i="2"/>
  <c r="BM55" i="2"/>
  <c r="Z55" i="2"/>
  <c r="Y55" i="2"/>
  <c r="P55" i="2"/>
  <c r="X52" i="2"/>
  <c r="X51" i="2"/>
  <c r="BO50" i="2"/>
  <c r="BN50" i="2"/>
  <c r="BM50" i="2"/>
  <c r="Y50" i="2"/>
  <c r="Z50" i="2" s="1"/>
  <c r="P50" i="2"/>
  <c r="BP49" i="2"/>
  <c r="BO49" i="2"/>
  <c r="BN49" i="2"/>
  <c r="BM49" i="2"/>
  <c r="Z49" i="2"/>
  <c r="Y49" i="2"/>
  <c r="P49" i="2"/>
  <c r="BO48" i="2"/>
  <c r="BM48" i="2"/>
  <c r="Y48" i="2"/>
  <c r="Y52" i="2" s="1"/>
  <c r="P48" i="2"/>
  <c r="BP47" i="2"/>
  <c r="BO47" i="2"/>
  <c r="BN47" i="2"/>
  <c r="BM47" i="2"/>
  <c r="Z47" i="2"/>
  <c r="Y47" i="2"/>
  <c r="P47" i="2"/>
  <c r="X43" i="2"/>
  <c r="X42" i="2"/>
  <c r="BO41" i="2"/>
  <c r="BM41" i="2"/>
  <c r="Y41" i="2"/>
  <c r="Z41" i="2" s="1"/>
  <c r="P41" i="2"/>
  <c r="BO40" i="2"/>
  <c r="BN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C569" i="2" s="1"/>
  <c r="P37" i="2"/>
  <c r="X33" i="2"/>
  <c r="X32" i="2"/>
  <c r="BO31" i="2"/>
  <c r="BN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Y25" i="2"/>
  <c r="X25" i="2"/>
  <c r="Y24" i="2"/>
  <c r="X24" i="2"/>
  <c r="BO23" i="2"/>
  <c r="BN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Y51" i="2" l="1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Z61" i="2" s="1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01" i="2" s="1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Z51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Z68" i="2" s="1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0" i="2"/>
  <c r="Z355" i="2"/>
  <c r="BP354" i="2"/>
  <c r="Z362" i="2"/>
  <c r="BP384" i="2"/>
  <c r="Y394" i="2"/>
  <c r="Z393" i="2"/>
  <c r="Z399" i="2"/>
  <c r="Y419" i="2"/>
  <c r="Z423" i="2"/>
  <c r="Z426" i="2" s="1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Z198" i="2" s="1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Z341" i="2" s="1"/>
  <c r="BN353" i="2"/>
  <c r="BP367" i="2"/>
  <c r="Z375" i="2"/>
  <c r="BP377" i="2"/>
  <c r="Z385" i="2"/>
  <c r="Z388" i="2" s="1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Z264" i="2" s="1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0" i="2" s="1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0" i="2" s="1"/>
  <c r="Z243" i="2"/>
  <c r="Z253" i="2"/>
  <c r="Z254" i="2" s="1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29" i="2" s="1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269" i="2" l="1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<sst xmlns="http://schemas.openxmlformats.org/spreadsheetml/2006/main" count="4335" uniqueCount="917">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</sst>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/>
      <c r="I5" s="998"/>
      <c r="J5" s="998"/>
      <c r="K5" s="998"/>
      <c r="L5" s="998"/>
      <c r="M5" s="998"/>
      <c r="N5" s="72"/>
      <c r="P5" s="27" t="s">
        <v>4</v>
      </c>
      <c r="Q5" s="1000">
        <v>46265</v>
      </c>
      <c r="R5" s="1000"/>
      <c r="T5" s="1001" t="s">
        <v>3</v>
      </c>
      <c r="U5" s="1002"/>
      <c r="V5" s="1003" t="s">
        <v>877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/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>
        <f>IFERROR(VLOOKUP(DeliveryAddress,Table,3,0),1)</f>
        <v>1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0.41666666666666669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66">
        <v>4680115880283</v>
      </c>
      <c r="E57" s="666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66">
        <v>4680115881525</v>
      </c>
      <c r="E58" s="666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666">
        <v>4680115885899</v>
      </c>
      <c r="E59" s="666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66">
        <v>4680115881419</v>
      </c>
      <c r="E60" s="666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customHeight="1" x14ac:dyDescent="0.25">
      <c r="A63" s="665" t="s">
        <v>155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66">
        <v>4680115881440</v>
      </c>
      <c r="E64" s="666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666">
        <v>4680115885950</v>
      </c>
      <c r="E65" s="666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666">
        <v>4680115887688</v>
      </c>
      <c r="E66" s="666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66">
        <v>4680115881433</v>
      </c>
      <c r="E67" s="666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customHeight="1" x14ac:dyDescent="0.25">
      <c r="A70" s="665" t="s">
        <v>86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666">
        <v>4680115884311</v>
      </c>
      <c r="E71" s="666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66">
        <v>4680115884403</v>
      </c>
      <c r="E72" s="666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666">
        <v>4680115884403</v>
      </c>
      <c r="E73" s="666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665" t="s">
        <v>173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66">
        <v>4680115881532</v>
      </c>
      <c r="E77" s="666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666">
        <v>4680115881532</v>
      </c>
      <c r="E78" s="666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666">
        <v>4680115881464</v>
      </c>
      <c r="E79" s="666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666">
        <v>4680115881464</v>
      </c>
      <c r="E80" s="666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672" t="s">
        <v>182</v>
      </c>
      <c r="B83" s="672"/>
      <c r="C83" s="672"/>
      <c r="D83" s="672"/>
      <c r="E83" s="672"/>
      <c r="F83" s="672"/>
      <c r="G83" s="672"/>
      <c r="H83" s="672"/>
      <c r="I83" s="672"/>
      <c r="J83" s="672"/>
      <c r="K83" s="672"/>
      <c r="L83" s="672"/>
      <c r="M83" s="672"/>
      <c r="N83" s="672"/>
      <c r="O83" s="672"/>
      <c r="P83" s="672"/>
      <c r="Q83" s="672"/>
      <c r="R83" s="672"/>
      <c r="S83" s="672"/>
      <c r="T83" s="672"/>
      <c r="U83" s="672"/>
      <c r="V83" s="672"/>
      <c r="W83" s="672"/>
      <c r="X83" s="672"/>
      <c r="Y83" s="672"/>
      <c r="Z83" s="672"/>
      <c r="AA83" s="65"/>
      <c r="AB83" s="65"/>
      <c r="AC83" s="79"/>
    </row>
    <row r="84" spans="1:68" ht="14.25" customHeight="1" x14ac:dyDescent="0.25">
      <c r="A84" s="665" t="s">
        <v>122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66">
        <v>4680115881327</v>
      </c>
      <c r="E85" s="666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666">
        <v>4680115887732</v>
      </c>
      <c r="E86" s="666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666">
        <v>4680115887732</v>
      </c>
      <c r="E87" s="666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1" t="s">
        <v>190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66">
        <v>4680115881518</v>
      </c>
      <c r="E88" s="666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66">
        <v>4680115881303</v>
      </c>
      <c r="E89" s="666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665" t="s">
        <v>86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66">
        <v>4607091386967</v>
      </c>
      <c r="E93" s="666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666">
        <v>4607091386967</v>
      </c>
      <c r="E94" s="666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2" t="s">
        <v>199</v>
      </c>
      <c r="Q94" s="668"/>
      <c r="R94" s="668"/>
      <c r="S94" s="668"/>
      <c r="T94" s="669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666">
        <v>4680115884953</v>
      </c>
      <c r="E95" s="666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4301051718</v>
      </c>
      <c r="D96" s="666">
        <v>4607091385731</v>
      </c>
      <c r="E96" s="666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202</v>
      </c>
      <c r="B97" s="63" t="s">
        <v>204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5" t="s">
        <v>205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66">
        <v>4680115887718</v>
      </c>
      <c r="E104" s="666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66">
        <v>4680115887718</v>
      </c>
      <c r="E105" s="666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213</v>
      </c>
      <c r="B106" s="63" t="s">
        <v>217</v>
      </c>
      <c r="C106" s="36">
        <v>4301012379</v>
      </c>
      <c r="D106" s="666">
        <v>4680115887718</v>
      </c>
      <c r="E106" s="666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0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218</v>
      </c>
      <c r="B107" s="63" t="s">
        <v>219</v>
      </c>
      <c r="C107" s="36">
        <v>4301011417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220</v>
      </c>
      <c r="B108" s="63" t="s">
        <v>221</v>
      </c>
      <c r="C108" s="36">
        <v>4301011415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220</v>
      </c>
      <c r="B109" s="63" t="s">
        <v>222</v>
      </c>
      <c r="C109" s="36">
        <v>4301012254</v>
      </c>
      <c r="D109" s="666">
        <v>4680115880429</v>
      </c>
      <c r="E109" s="666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897" t="s">
        <v>223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225</v>
      </c>
      <c r="B110" s="63" t="s">
        <v>226</v>
      </c>
      <c r="C110" s="36">
        <v>4301011462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89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customHeight="1" x14ac:dyDescent="0.25">
      <c r="A113" s="665" t="s">
        <v>155</v>
      </c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65"/>
      <c r="P113" s="665"/>
      <c r="Q113" s="665"/>
      <c r="R113" s="665"/>
      <c r="S113" s="665"/>
      <c r="T113" s="665"/>
      <c r="U113" s="665"/>
      <c r="V113" s="665"/>
      <c r="W113" s="665"/>
      <c r="X113" s="665"/>
      <c r="Y113" s="665"/>
      <c r="Z113" s="665"/>
      <c r="AA113" s="66"/>
      <c r="AB113" s="66"/>
      <c r="AC113" s="80"/>
    </row>
    <row r="114" spans="1:68" ht="27" customHeight="1" x14ac:dyDescent="0.25">
      <c r="A114" s="63" t="s">
        <v>227</v>
      </c>
      <c r="B114" s="63" t="s">
        <v>228</v>
      </c>
      <c r="C114" s="36">
        <v>4301020391</v>
      </c>
      <c r="D114" s="666">
        <v>4680115881488</v>
      </c>
      <c r="E114" s="666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8"/>
      <c r="R114" s="668"/>
      <c r="S114" s="668"/>
      <c r="T114" s="669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230</v>
      </c>
      <c r="B115" s="63" t="s">
        <v>231</v>
      </c>
      <c r="C115" s="36">
        <v>4301020186</v>
      </c>
      <c r="D115" s="666">
        <v>4680115887664</v>
      </c>
      <c r="E115" s="666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234</v>
      </c>
      <c r="C116" s="36">
        <v>4301020430</v>
      </c>
      <c r="D116" s="666">
        <v>4680115887664</v>
      </c>
      <c r="E116" s="666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235</v>
      </c>
      <c r="B117" s="63" t="s">
        <v>236</v>
      </c>
      <c r="C117" s="36">
        <v>4301020393</v>
      </c>
      <c r="D117" s="666">
        <v>4680115882775</v>
      </c>
      <c r="E117" s="666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237</v>
      </c>
      <c r="B118" s="63" t="s">
        <v>238</v>
      </c>
      <c r="C118" s="36">
        <v>4301020392</v>
      </c>
      <c r="D118" s="666">
        <v>4680115880658</v>
      </c>
      <c r="E118" s="666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8"/>
      <c r="R118" s="668"/>
      <c r="S118" s="668"/>
      <c r="T118" s="669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customHeight="1" x14ac:dyDescent="0.25">
      <c r="A121" s="665" t="s">
        <v>86</v>
      </c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66">
        <v>4607091385168</v>
      </c>
      <c r="E122" s="666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customHeight="1" x14ac:dyDescent="0.25">
      <c r="A123" s="63" t="s">
        <v>239</v>
      </c>
      <c r="B123" s="63" t="s">
        <v>242</v>
      </c>
      <c r="C123" s="36">
        <v>4301052088</v>
      </c>
      <c r="D123" s="666">
        <v>4607091385168</v>
      </c>
      <c r="E123" s="666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1" t="s">
        <v>243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4301051730</v>
      </c>
      <c r="D124" s="666">
        <v>4607091383256</v>
      </c>
      <c r="E124" s="666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246</v>
      </c>
      <c r="B125" s="63" t="s">
        <v>247</v>
      </c>
      <c r="C125" s="36">
        <v>4301051721</v>
      </c>
      <c r="D125" s="666">
        <v>4607091385748</v>
      </c>
      <c r="E125" s="666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8"/>
      <c r="R125" s="668"/>
      <c r="S125" s="668"/>
      <c r="T125" s="669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246</v>
      </c>
      <c r="B126" s="63" t="s">
        <v>248</v>
      </c>
      <c r="C126" s="36">
        <v>4301052086</v>
      </c>
      <c r="D126" s="666">
        <v>4607091385748</v>
      </c>
      <c r="E126" s="666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4" t="s">
        <v>249</v>
      </c>
      <c r="Q126" s="668"/>
      <c r="R126" s="668"/>
      <c r="S126" s="668"/>
      <c r="T126" s="669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customHeight="1" x14ac:dyDescent="0.25">
      <c r="A127" s="63" t="s">
        <v>250</v>
      </c>
      <c r="B127" s="63" t="s">
        <v>251</v>
      </c>
      <c r="C127" s="36">
        <v>4301051740</v>
      </c>
      <c r="D127" s="666">
        <v>4680115884533</v>
      </c>
      <c r="E127" s="666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8"/>
      <c r="R127" s="668"/>
      <c r="S127" s="668"/>
      <c r="T127" s="669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customHeight="1" x14ac:dyDescent="0.25">
      <c r="A128" s="63" t="s">
        <v>250</v>
      </c>
      <c r="B128" s="63" t="s">
        <v>253</v>
      </c>
      <c r="C128" s="36">
        <v>4301052085</v>
      </c>
      <c r="D128" s="666">
        <v>4680115884533</v>
      </c>
      <c r="E128" s="666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6" t="s">
        <v>254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customHeight="1" x14ac:dyDescent="0.25">
      <c r="A131" s="665" t="s">
        <v>173</v>
      </c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65"/>
      <c r="P131" s="665"/>
      <c r="Q131" s="665"/>
      <c r="R131" s="665"/>
      <c r="S131" s="665"/>
      <c r="T131" s="665"/>
      <c r="U131" s="665"/>
      <c r="V131" s="665"/>
      <c r="W131" s="665"/>
      <c r="X131" s="665"/>
      <c r="Y131" s="665"/>
      <c r="Z131" s="665"/>
      <c r="AA131" s="66"/>
      <c r="AB131" s="66"/>
      <c r="AC131" s="80"/>
    </row>
    <row r="132" spans="1:68" ht="16.5" customHeight="1" x14ac:dyDescent="0.25">
      <c r="A132" s="63" t="s">
        <v>255</v>
      </c>
      <c r="B132" s="63" t="s">
        <v>256</v>
      </c>
      <c r="C132" s="36">
        <v>4301060317</v>
      </c>
      <c r="D132" s="666">
        <v>4680115880238</v>
      </c>
      <c r="E132" s="666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customHeight="1" x14ac:dyDescent="0.25">
      <c r="A133" s="63" t="s">
        <v>255</v>
      </c>
      <c r="B133" s="63" t="s">
        <v>258</v>
      </c>
      <c r="C133" s="36">
        <v>4301060525</v>
      </c>
      <c r="D133" s="666">
        <v>4680115880238</v>
      </c>
      <c r="E133" s="666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87" t="s">
        <v>259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customHeight="1" x14ac:dyDescent="0.25">
      <c r="A136" s="672" t="s">
        <v>260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5"/>
      <c r="AB136" s="65"/>
      <c r="AC136" s="79"/>
    </row>
    <row r="137" spans="1:68" ht="14.25" customHeight="1" x14ac:dyDescent="0.25">
      <c r="A137" s="665" t="s">
        <v>122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customHeight="1" x14ac:dyDescent="0.25">
      <c r="A138" s="63" t="s">
        <v>261</v>
      </c>
      <c r="B138" s="63" t="s">
        <v>262</v>
      </c>
      <c r="C138" s="36">
        <v>4301011562</v>
      </c>
      <c r="D138" s="666">
        <v>4680115882577</v>
      </c>
      <c r="E138" s="666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261</v>
      </c>
      <c r="B139" s="63" t="s">
        <v>265</v>
      </c>
      <c r="C139" s="36">
        <v>4301011564</v>
      </c>
      <c r="D139" s="666">
        <v>4680115882577</v>
      </c>
      <c r="E139" s="666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customHeight="1" x14ac:dyDescent="0.25">
      <c r="A142" s="665" t="s">
        <v>77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27" customHeight="1" x14ac:dyDescent="0.25">
      <c r="A143" s="63" t="s">
        <v>266</v>
      </c>
      <c r="B143" s="63" t="s">
        <v>267</v>
      </c>
      <c r="C143" s="36">
        <v>4301031234</v>
      </c>
      <c r="D143" s="666">
        <v>4680115883444</v>
      </c>
      <c r="E143" s="666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266</v>
      </c>
      <c r="B144" s="63" t="s">
        <v>269</v>
      </c>
      <c r="C144" s="36">
        <v>4301031235</v>
      </c>
      <c r="D144" s="666">
        <v>4680115883444</v>
      </c>
      <c r="E144" s="666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65" t="s">
        <v>86</v>
      </c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65"/>
      <c r="P147" s="665"/>
      <c r="Q147" s="665"/>
      <c r="R147" s="665"/>
      <c r="S147" s="665"/>
      <c r="T147" s="665"/>
      <c r="U147" s="665"/>
      <c r="V147" s="665"/>
      <c r="W147" s="665"/>
      <c r="X147" s="665"/>
      <c r="Y147" s="665"/>
      <c r="Z147" s="665"/>
      <c r="AA147" s="66"/>
      <c r="AB147" s="66"/>
      <c r="AC147" s="80"/>
    </row>
    <row r="148" spans="1:68" ht="16.5" customHeight="1" x14ac:dyDescent="0.25">
      <c r="A148" s="63" t="s">
        <v>270</v>
      </c>
      <c r="B148" s="63" t="s">
        <v>271</v>
      </c>
      <c r="C148" s="36">
        <v>4301051476</v>
      </c>
      <c r="D148" s="666">
        <v>4680115882584</v>
      </c>
      <c r="E148" s="666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270</v>
      </c>
      <c r="B149" s="63" t="s">
        <v>272</v>
      </c>
      <c r="C149" s="36">
        <v>4301051477</v>
      </c>
      <c r="D149" s="666">
        <v>4680115882584</v>
      </c>
      <c r="E149" s="666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customHeight="1" x14ac:dyDescent="0.25">
      <c r="A152" s="672" t="s">
        <v>273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5"/>
      <c r="AB152" s="65"/>
      <c r="AC152" s="79"/>
    </row>
    <row r="153" spans="1:68" ht="14.25" customHeight="1" x14ac:dyDescent="0.25">
      <c r="A153" s="665" t="s">
        <v>86</v>
      </c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65"/>
      <c r="P153" s="665"/>
      <c r="Q153" s="665"/>
      <c r="R153" s="665"/>
      <c r="S153" s="665"/>
      <c r="T153" s="665"/>
      <c r="U153" s="665"/>
      <c r="V153" s="665"/>
      <c r="W153" s="665"/>
      <c r="X153" s="665"/>
      <c r="Y153" s="665"/>
      <c r="Z153" s="665"/>
      <c r="AA153" s="66"/>
      <c r="AB153" s="66"/>
      <c r="AC153" s="80"/>
    </row>
    <row r="154" spans="1:68" ht="27" customHeight="1" x14ac:dyDescent="0.25">
      <c r="A154" s="63" t="s">
        <v>274</v>
      </c>
      <c r="B154" s="63" t="s">
        <v>275</v>
      </c>
      <c r="C154" s="36">
        <v>4301052254</v>
      </c>
      <c r="D154" s="666">
        <v>4680115888203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customHeight="1" x14ac:dyDescent="0.25">
      <c r="A155" s="63" t="s">
        <v>277</v>
      </c>
      <c r="B155" s="63" t="s">
        <v>278</v>
      </c>
      <c r="C155" s="36">
        <v>4301052172</v>
      </c>
      <c r="D155" s="666">
        <v>4680115888180</v>
      </c>
      <c r="E155" s="666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8"/>
      <c r="R155" s="668"/>
      <c r="S155" s="668"/>
      <c r="T155" s="669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customHeight="1" x14ac:dyDescent="0.25">
      <c r="A156" s="63" t="s">
        <v>277</v>
      </c>
      <c r="B156" s="63" t="s">
        <v>280</v>
      </c>
      <c r="C156" s="36">
        <v>4301052252</v>
      </c>
      <c r="D156" s="666">
        <v>4680115888180</v>
      </c>
      <c r="E156" s="666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7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8"/>
      <c r="R156" s="668"/>
      <c r="S156" s="668"/>
      <c r="T156" s="669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customHeight="1" x14ac:dyDescent="0.25">
      <c r="A157" s="63" t="s">
        <v>281</v>
      </c>
      <c r="B157" s="63" t="s">
        <v>282</v>
      </c>
      <c r="C157" s="36">
        <v>4301052173</v>
      </c>
      <c r="D157" s="666">
        <v>4680115888197</v>
      </c>
      <c r="E157" s="666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8"/>
      <c r="R157" s="668"/>
      <c r="S157" s="668"/>
      <c r="T157" s="669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customHeight="1" x14ac:dyDescent="0.25">
      <c r="A158" s="63" t="s">
        <v>281</v>
      </c>
      <c r="B158" s="63" t="s">
        <v>284</v>
      </c>
      <c r="C158" s="36">
        <v>4301052253</v>
      </c>
      <c r="D158" s="666">
        <v>4680115888197</v>
      </c>
      <c r="E158" s="666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7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customHeight="1" x14ac:dyDescent="0.25">
      <c r="A159" s="63" t="s">
        <v>285</v>
      </c>
      <c r="B159" s="63" t="s">
        <v>286</v>
      </c>
      <c r="C159" s="36">
        <v>4301052175</v>
      </c>
      <c r="D159" s="666">
        <v>4680115888210</v>
      </c>
      <c r="E159" s="666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8"/>
      <c r="R159" s="668"/>
      <c r="S159" s="668"/>
      <c r="T159" s="669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customHeight="1" x14ac:dyDescent="0.25">
      <c r="A160" s="63" t="s">
        <v>285</v>
      </c>
      <c r="B160" s="63" t="s">
        <v>288</v>
      </c>
      <c r="C160" s="36">
        <v>4301052255</v>
      </c>
      <c r="D160" s="666">
        <v>4680115888210</v>
      </c>
      <c r="E160" s="666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8"/>
      <c r="R160" s="668"/>
      <c r="S160" s="668"/>
      <c r="T160" s="669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customHeight="1" x14ac:dyDescent="0.25">
      <c r="A163" s="665" t="s">
        <v>289</v>
      </c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4301032067</v>
      </c>
      <c r="D164" s="666">
        <v>4680115889132</v>
      </c>
      <c r="E164" s="666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customHeight="1" x14ac:dyDescent="0.25">
      <c r="A167" s="672" t="s">
        <v>120</v>
      </c>
      <c r="B167" s="672"/>
      <c r="C167" s="672"/>
      <c r="D167" s="672"/>
      <c r="E167" s="672"/>
      <c r="F167" s="672"/>
      <c r="G167" s="672"/>
      <c r="H167" s="672"/>
      <c r="I167" s="672"/>
      <c r="J167" s="672"/>
      <c r="K167" s="672"/>
      <c r="L167" s="672"/>
      <c r="M167" s="672"/>
      <c r="N167" s="672"/>
      <c r="O167" s="672"/>
      <c r="P167" s="672"/>
      <c r="Q167" s="672"/>
      <c r="R167" s="672"/>
      <c r="S167" s="672"/>
      <c r="T167" s="672"/>
      <c r="U167" s="672"/>
      <c r="V167" s="672"/>
      <c r="W167" s="672"/>
      <c r="X167" s="672"/>
      <c r="Y167" s="672"/>
      <c r="Z167" s="672"/>
      <c r="AA167" s="65"/>
      <c r="AB167" s="65"/>
      <c r="AC167" s="79"/>
    </row>
    <row r="168" spans="1:68" ht="14.25" customHeight="1" x14ac:dyDescent="0.25">
      <c r="A168" s="665" t="s">
        <v>122</v>
      </c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65"/>
      <c r="P168" s="665"/>
      <c r="Q168" s="665"/>
      <c r="R168" s="665"/>
      <c r="S168" s="665"/>
      <c r="T168" s="665"/>
      <c r="U168" s="665"/>
      <c r="V168" s="665"/>
      <c r="W168" s="665"/>
      <c r="X168" s="665"/>
      <c r="Y168" s="665"/>
      <c r="Z168" s="665"/>
      <c r="AA168" s="66"/>
      <c r="AB168" s="66"/>
      <c r="AC168" s="80"/>
    </row>
    <row r="169" spans="1:68" ht="27" customHeight="1" x14ac:dyDescent="0.25">
      <c r="A169" s="63" t="s">
        <v>296</v>
      </c>
      <c r="B169" s="63" t="s">
        <v>297</v>
      </c>
      <c r="C169" s="36">
        <v>4301012338</v>
      </c>
      <c r="D169" s="666">
        <v>4680115887374</v>
      </c>
      <c r="E169" s="666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8"/>
      <c r="R169" s="668"/>
      <c r="S169" s="668"/>
      <c r="T169" s="669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customHeight="1" x14ac:dyDescent="0.25">
      <c r="A170" s="63" t="s">
        <v>299</v>
      </c>
      <c r="B170" s="63" t="s">
        <v>300</v>
      </c>
      <c r="C170" s="36">
        <v>4301011705</v>
      </c>
      <c r="D170" s="666">
        <v>4607091384604</v>
      </c>
      <c r="E170" s="666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4301012344</v>
      </c>
      <c r="D171" s="666">
        <v>4680115888876</v>
      </c>
      <c r="E171" s="666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customHeight="1" x14ac:dyDescent="0.25">
      <c r="A174" s="665" t="s">
        <v>155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16.5" customHeight="1" x14ac:dyDescent="0.25">
      <c r="A175" s="63" t="s">
        <v>305</v>
      </c>
      <c r="B175" s="63" t="s">
        <v>306</v>
      </c>
      <c r="C175" s="36">
        <v>4301020410</v>
      </c>
      <c r="D175" s="666">
        <v>4680115887695</v>
      </c>
      <c r="E175" s="666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customHeight="1" x14ac:dyDescent="0.25">
      <c r="A176" s="63" t="s">
        <v>308</v>
      </c>
      <c r="B176" s="63" t="s">
        <v>309</v>
      </c>
      <c r="C176" s="36">
        <v>4301020439</v>
      </c>
      <c r="D176" s="666">
        <v>4680115889491</v>
      </c>
      <c r="E176" s="666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customHeight="1" x14ac:dyDescent="0.25">
      <c r="A179" s="665" t="s">
        <v>77</v>
      </c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65"/>
      <c r="P179" s="665"/>
      <c r="Q179" s="665"/>
      <c r="R179" s="665"/>
      <c r="S179" s="665"/>
      <c r="T179" s="665"/>
      <c r="U179" s="665"/>
      <c r="V179" s="665"/>
      <c r="W179" s="665"/>
      <c r="X179" s="665"/>
      <c r="Y179" s="665"/>
      <c r="Z179" s="665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666">
        <v>4680115887428</v>
      </c>
      <c r="E180" s="666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customHeight="1" x14ac:dyDescent="0.25">
      <c r="A181" s="63" t="s">
        <v>314</v>
      </c>
      <c r="B181" s="63" t="s">
        <v>315</v>
      </c>
      <c r="C181" s="36">
        <v>4301031509</v>
      </c>
      <c r="D181" s="666">
        <v>4680115889170</v>
      </c>
      <c r="E181" s="666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4301031498</v>
      </c>
      <c r="D182" s="666">
        <v>4680115887398</v>
      </c>
      <c r="E182" s="666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4301031497</v>
      </c>
      <c r="D183" s="666">
        <v>4680115887336</v>
      </c>
      <c r="E183" s="666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customHeight="1" x14ac:dyDescent="0.25">
      <c r="A184" s="63" t="s">
        <v>320</v>
      </c>
      <c r="B184" s="63" t="s">
        <v>323</v>
      </c>
      <c r="C184" s="36">
        <v>4301031520</v>
      </c>
      <c r="D184" s="666">
        <v>4680115887336</v>
      </c>
      <c r="E184" s="666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57" t="s">
        <v>324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customHeight="1" x14ac:dyDescent="0.25">
      <c r="A185" s="63" t="s">
        <v>326</v>
      </c>
      <c r="B185" s="63" t="s">
        <v>327</v>
      </c>
      <c r="C185" s="36">
        <v>4301032049</v>
      </c>
      <c r="D185" s="666">
        <v>4680115887787</v>
      </c>
      <c r="E185" s="666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5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customHeight="1" x14ac:dyDescent="0.25">
      <c r="A186" s="63" t="s">
        <v>326</v>
      </c>
      <c r="B186" s="63" t="s">
        <v>329</v>
      </c>
      <c r="C186" s="36">
        <v>4301031528</v>
      </c>
      <c r="D186" s="666">
        <v>4680115887787</v>
      </c>
      <c r="E186" s="666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59" t="s">
        <v>330</v>
      </c>
      <c r="Q186" s="668"/>
      <c r="R186" s="668"/>
      <c r="S186" s="668"/>
      <c r="T186" s="669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customHeight="1" x14ac:dyDescent="0.25">
      <c r="A187" s="63" t="s">
        <v>331</v>
      </c>
      <c r="B187" s="63" t="s">
        <v>332</v>
      </c>
      <c r="C187" s="36">
        <v>4301031448</v>
      </c>
      <c r="D187" s="666">
        <v>4680115887503</v>
      </c>
      <c r="E187" s="666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8"/>
      <c r="R187" s="668"/>
      <c r="S187" s="668"/>
      <c r="T187" s="669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customHeight="1" x14ac:dyDescent="0.25">
      <c r="A188" s="63" t="s">
        <v>333</v>
      </c>
      <c r="B188" s="63" t="s">
        <v>334</v>
      </c>
      <c r="C188" s="36">
        <v>4301031389</v>
      </c>
      <c r="D188" s="666">
        <v>4680115887763</v>
      </c>
      <c r="E188" s="666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8"/>
      <c r="R188" s="668"/>
      <c r="S188" s="668"/>
      <c r="T188" s="669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customHeight="1" x14ac:dyDescent="0.25">
      <c r="A189" s="63" t="s">
        <v>336</v>
      </c>
      <c r="B189" s="63" t="s">
        <v>337</v>
      </c>
      <c r="C189" s="36">
        <v>4301031454</v>
      </c>
      <c r="D189" s="666">
        <v>4680115887480</v>
      </c>
      <c r="E189" s="666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customHeight="1" x14ac:dyDescent="0.25">
      <c r="A190" s="63" t="s">
        <v>338</v>
      </c>
      <c r="B190" s="63" t="s">
        <v>339</v>
      </c>
      <c r="C190" s="36">
        <v>4301031434</v>
      </c>
      <c r="D190" s="666">
        <v>4680115888067</v>
      </c>
      <c r="E190" s="666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4301031519</v>
      </c>
      <c r="D191" s="666">
        <v>4680115887435</v>
      </c>
      <c r="E191" s="666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customHeight="1" x14ac:dyDescent="0.25">
      <c r="A194" s="665" t="s">
        <v>86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customHeight="1" x14ac:dyDescent="0.25">
      <c r="A195" s="63" t="s">
        <v>343</v>
      </c>
      <c r="B195" s="63" t="s">
        <v>344</v>
      </c>
      <c r="C195" s="36">
        <v>4301052193</v>
      </c>
      <c r="D195" s="666">
        <v>4680115888395</v>
      </c>
      <c r="E195" s="666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customHeight="1" x14ac:dyDescent="0.25">
      <c r="A196" s="63" t="s">
        <v>346</v>
      </c>
      <c r="B196" s="63" t="s">
        <v>347</v>
      </c>
      <c r="C196" s="36">
        <v>4301052191</v>
      </c>
      <c r="D196" s="666">
        <v>4680115888371</v>
      </c>
      <c r="E196" s="666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8"/>
      <c r="R196" s="668"/>
      <c r="S196" s="668"/>
      <c r="T196" s="669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349</v>
      </c>
      <c r="B197" s="63" t="s">
        <v>350</v>
      </c>
      <c r="C197" s="36">
        <v>4301052064</v>
      </c>
      <c r="D197" s="666">
        <v>4680115887459</v>
      </c>
      <c r="E197" s="666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8"/>
      <c r="R197" s="668"/>
      <c r="S197" s="668"/>
      <c r="T197" s="669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customHeight="1" x14ac:dyDescent="0.25">
      <c r="A200" s="665" t="s">
        <v>289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66"/>
      <c r="AB200" s="66"/>
      <c r="AC200" s="80"/>
    </row>
    <row r="201" spans="1:68" ht="16.5" customHeight="1" x14ac:dyDescent="0.25">
      <c r="A201" s="63" t="s">
        <v>352</v>
      </c>
      <c r="B201" s="63" t="s">
        <v>353</v>
      </c>
      <c r="C201" s="36">
        <v>4301032058</v>
      </c>
      <c r="D201" s="666">
        <v>4680115889026</v>
      </c>
      <c r="E201" s="666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8"/>
      <c r="R201" s="668"/>
      <c r="S201" s="668"/>
      <c r="T201" s="669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customHeight="1" x14ac:dyDescent="0.25">
      <c r="A204" s="665" t="s">
        <v>356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customHeight="1" x14ac:dyDescent="0.25">
      <c r="A205" s="63" t="s">
        <v>357</v>
      </c>
      <c r="B205" s="63" t="s">
        <v>358</v>
      </c>
      <c r="C205" s="36">
        <v>4301041009</v>
      </c>
      <c r="D205" s="666">
        <v>4680115889033</v>
      </c>
      <c r="E205" s="666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customHeight="1" x14ac:dyDescent="0.2">
      <c r="A208" s="683" t="s">
        <v>360</v>
      </c>
      <c r="B208" s="683"/>
      <c r="C208" s="683"/>
      <c r="D208" s="683"/>
      <c r="E208" s="683"/>
      <c r="F208" s="683"/>
      <c r="G208" s="683"/>
      <c r="H208" s="683"/>
      <c r="I208" s="683"/>
      <c r="J208" s="683"/>
      <c r="K208" s="683"/>
      <c r="L208" s="683"/>
      <c r="M208" s="683"/>
      <c r="N208" s="683"/>
      <c r="O208" s="683"/>
      <c r="P208" s="683"/>
      <c r="Q208" s="683"/>
      <c r="R208" s="683"/>
      <c r="S208" s="683"/>
      <c r="T208" s="683"/>
      <c r="U208" s="683"/>
      <c r="V208" s="683"/>
      <c r="W208" s="683"/>
      <c r="X208" s="683"/>
      <c r="Y208" s="683"/>
      <c r="Z208" s="683"/>
      <c r="AA208" s="54"/>
      <c r="AB208" s="54"/>
      <c r="AC208" s="54"/>
    </row>
    <row r="209" spans="1:68" ht="16.5" customHeight="1" x14ac:dyDescent="0.25">
      <c r="A209" s="672" t="s">
        <v>361</v>
      </c>
      <c r="B209" s="672"/>
      <c r="C209" s="672"/>
      <c r="D209" s="672"/>
      <c r="E209" s="672"/>
      <c r="F209" s="672"/>
      <c r="G209" s="672"/>
      <c r="H209" s="672"/>
      <c r="I209" s="672"/>
      <c r="J209" s="672"/>
      <c r="K209" s="672"/>
      <c r="L209" s="672"/>
      <c r="M209" s="672"/>
      <c r="N209" s="672"/>
      <c r="O209" s="672"/>
      <c r="P209" s="672"/>
      <c r="Q209" s="672"/>
      <c r="R209" s="672"/>
      <c r="S209" s="672"/>
      <c r="T209" s="672"/>
      <c r="U209" s="672"/>
      <c r="V209" s="672"/>
      <c r="W209" s="672"/>
      <c r="X209" s="672"/>
      <c r="Y209" s="672"/>
      <c r="Z209" s="672"/>
      <c r="AA209" s="65"/>
      <c r="AB209" s="65"/>
      <c r="AC209" s="79"/>
    </row>
    <row r="210" spans="1:68" ht="14.25" customHeight="1" x14ac:dyDescent="0.25">
      <c r="A210" s="665" t="s">
        <v>122</v>
      </c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65"/>
      <c r="P210" s="665"/>
      <c r="Q210" s="665"/>
      <c r="R210" s="665"/>
      <c r="S210" s="665"/>
      <c r="T210" s="665"/>
      <c r="U210" s="665"/>
      <c r="V210" s="665"/>
      <c r="W210" s="665"/>
      <c r="X210" s="665"/>
      <c r="Y210" s="665"/>
      <c r="Z210" s="665"/>
      <c r="AA210" s="66"/>
      <c r="AB210" s="66"/>
      <c r="AC210" s="80"/>
    </row>
    <row r="211" spans="1:68" ht="27" customHeight="1" x14ac:dyDescent="0.25">
      <c r="A211" s="63" t="s">
        <v>362</v>
      </c>
      <c r="B211" s="63" t="s">
        <v>363</v>
      </c>
      <c r="C211" s="36">
        <v>4301011223</v>
      </c>
      <c r="D211" s="666">
        <v>4607091383423</v>
      </c>
      <c r="E211" s="666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4301012340</v>
      </c>
      <c r="D212" s="666">
        <v>4680115888760</v>
      </c>
      <c r="E212" s="666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8"/>
      <c r="R212" s="668"/>
      <c r="S212" s="668"/>
      <c r="T212" s="669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4301012341</v>
      </c>
      <c r="D213" s="666">
        <v>4680115888807</v>
      </c>
      <c r="E213" s="666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8"/>
      <c r="R213" s="668"/>
      <c r="S213" s="668"/>
      <c r="T213" s="669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customHeight="1" x14ac:dyDescent="0.25">
      <c r="A214" s="63" t="s">
        <v>370</v>
      </c>
      <c r="B214" s="63" t="s">
        <v>371</v>
      </c>
      <c r="C214" s="36">
        <v>4301012342</v>
      </c>
      <c r="D214" s="666">
        <v>4680115888852</v>
      </c>
      <c r="E214" s="666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8"/>
      <c r="R214" s="668"/>
      <c r="S214" s="668"/>
      <c r="T214" s="669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customHeight="1" x14ac:dyDescent="0.25">
      <c r="A215" s="63" t="s">
        <v>373</v>
      </c>
      <c r="B215" s="63" t="s">
        <v>374</v>
      </c>
      <c r="C215" s="36">
        <v>4301012370</v>
      </c>
      <c r="D215" s="666">
        <v>4680115886957</v>
      </c>
      <c r="E215" s="666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8"/>
      <c r="R215" s="668"/>
      <c r="S215" s="668"/>
      <c r="T215" s="669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376</v>
      </c>
      <c r="B216" s="63" t="s">
        <v>377</v>
      </c>
      <c r="C216" s="36">
        <v>4301012098</v>
      </c>
      <c r="D216" s="666">
        <v>4680115885660</v>
      </c>
      <c r="E216" s="666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customHeight="1" x14ac:dyDescent="0.25">
      <c r="A217" s="63" t="s">
        <v>379</v>
      </c>
      <c r="B217" s="63" t="s">
        <v>380</v>
      </c>
      <c r="C217" s="36">
        <v>4301012369</v>
      </c>
      <c r="D217" s="666">
        <v>4680115886773</v>
      </c>
      <c r="E217" s="666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8"/>
      <c r="R217" s="668"/>
      <c r="S217" s="668"/>
      <c r="T217" s="669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customHeight="1" x14ac:dyDescent="0.25">
      <c r="A220" s="672" t="s">
        <v>382</v>
      </c>
      <c r="B220" s="672"/>
      <c r="C220" s="672"/>
      <c r="D220" s="672"/>
      <c r="E220" s="672"/>
      <c r="F220" s="672"/>
      <c r="G220" s="672"/>
      <c r="H220" s="672"/>
      <c r="I220" s="672"/>
      <c r="J220" s="672"/>
      <c r="K220" s="672"/>
      <c r="L220" s="672"/>
      <c r="M220" s="672"/>
      <c r="N220" s="672"/>
      <c r="O220" s="672"/>
      <c r="P220" s="672"/>
      <c r="Q220" s="672"/>
      <c r="R220" s="672"/>
      <c r="S220" s="672"/>
      <c r="T220" s="672"/>
      <c r="U220" s="672"/>
      <c r="V220" s="672"/>
      <c r="W220" s="672"/>
      <c r="X220" s="672"/>
      <c r="Y220" s="672"/>
      <c r="Z220" s="672"/>
      <c r="AA220" s="65"/>
      <c r="AB220" s="65"/>
      <c r="AC220" s="79"/>
    </row>
    <row r="221" spans="1:68" ht="14.25" customHeight="1" x14ac:dyDescent="0.25">
      <c r="A221" s="665" t="s">
        <v>155</v>
      </c>
      <c r="B221" s="665"/>
      <c r="C221" s="665"/>
      <c r="D221" s="665"/>
      <c r="E221" s="665"/>
      <c r="F221" s="665"/>
      <c r="G221" s="665"/>
      <c r="H221" s="665"/>
      <c r="I221" s="665"/>
      <c r="J221" s="665"/>
      <c r="K221" s="665"/>
      <c r="L221" s="665"/>
      <c r="M221" s="665"/>
      <c r="N221" s="665"/>
      <c r="O221" s="665"/>
      <c r="P221" s="665"/>
      <c r="Q221" s="665"/>
      <c r="R221" s="665"/>
      <c r="S221" s="665"/>
      <c r="T221" s="665"/>
      <c r="U221" s="665"/>
      <c r="V221" s="665"/>
      <c r="W221" s="665"/>
      <c r="X221" s="665"/>
      <c r="Y221" s="665"/>
      <c r="Z221" s="665"/>
      <c r="AA221" s="66"/>
      <c r="AB221" s="66"/>
      <c r="AC221" s="80"/>
    </row>
    <row r="222" spans="1:68" ht="27" customHeight="1" x14ac:dyDescent="0.25">
      <c r="A222" s="63" t="s">
        <v>383</v>
      </c>
      <c r="B222" s="63" t="s">
        <v>384</v>
      </c>
      <c r="C222" s="36">
        <v>4301020323</v>
      </c>
      <c r="D222" s="666">
        <v>4680115886223</v>
      </c>
      <c r="E222" s="666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customHeight="1" x14ac:dyDescent="0.25">
      <c r="A225" s="665" t="s">
        <v>77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6"/>
      <c r="AB225" s="66"/>
      <c r="AC225" s="80"/>
    </row>
    <row r="226" spans="1:68" ht="27" customHeight="1" x14ac:dyDescent="0.25">
      <c r="A226" s="63" t="s">
        <v>386</v>
      </c>
      <c r="B226" s="63" t="s">
        <v>387</v>
      </c>
      <c r="C226" s="36">
        <v>4301031191</v>
      </c>
      <c r="D226" s="666">
        <v>4680115880993</v>
      </c>
      <c r="E226" s="666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4301031204</v>
      </c>
      <c r="D227" s="666">
        <v>4680115881761</v>
      </c>
      <c r="E227" s="666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customHeight="1" x14ac:dyDescent="0.25">
      <c r="A228" s="63" t="s">
        <v>392</v>
      </c>
      <c r="B228" s="63" t="s">
        <v>393</v>
      </c>
      <c r="C228" s="36">
        <v>4301031201</v>
      </c>
      <c r="D228" s="666">
        <v>4680115881563</v>
      </c>
      <c r="E228" s="666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4301031447</v>
      </c>
      <c r="D229" s="666">
        <v>4680115887565</v>
      </c>
      <c r="E229" s="666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customHeight="1" x14ac:dyDescent="0.25">
      <c r="A230" s="63" t="s">
        <v>398</v>
      </c>
      <c r="B230" s="63" t="s">
        <v>399</v>
      </c>
      <c r="C230" s="36">
        <v>4301031199</v>
      </c>
      <c r="D230" s="666">
        <v>4680115880986</v>
      </c>
      <c r="E230" s="666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4301031443</v>
      </c>
      <c r="D231" s="666">
        <v>4680115887213</v>
      </c>
      <c r="E231" s="666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customHeight="1" x14ac:dyDescent="0.25">
      <c r="A232" s="63" t="s">
        <v>403</v>
      </c>
      <c r="B232" s="63" t="s">
        <v>404</v>
      </c>
      <c r="C232" s="36">
        <v>4301031205</v>
      </c>
      <c r="D232" s="666">
        <v>4680115881785</v>
      </c>
      <c r="E232" s="666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customHeight="1" x14ac:dyDescent="0.25">
      <c r="A233" s="63" t="s">
        <v>405</v>
      </c>
      <c r="B233" s="63" t="s">
        <v>406</v>
      </c>
      <c r="C233" s="36">
        <v>4301031499</v>
      </c>
      <c r="D233" s="666">
        <v>4680115888432</v>
      </c>
      <c r="E233" s="666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4301031427</v>
      </c>
      <c r="D234" s="666">
        <v>4680115888104</v>
      </c>
      <c r="E234" s="666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4301031399</v>
      </c>
      <c r="D235" s="666">
        <v>4680115886537</v>
      </c>
      <c r="E235" s="666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8"/>
      <c r="R235" s="668"/>
      <c r="S235" s="668"/>
      <c r="T235" s="669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customHeight="1" x14ac:dyDescent="0.25">
      <c r="A236" s="63" t="s">
        <v>414</v>
      </c>
      <c r="B236" s="63" t="s">
        <v>415</v>
      </c>
      <c r="C236" s="36">
        <v>4301031279</v>
      </c>
      <c r="D236" s="666">
        <v>4680115887596</v>
      </c>
      <c r="E236" s="666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8"/>
      <c r="R236" s="668"/>
      <c r="S236" s="668"/>
      <c r="T236" s="669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customHeight="1" x14ac:dyDescent="0.25">
      <c r="A237" s="63" t="s">
        <v>417</v>
      </c>
      <c r="B237" s="63" t="s">
        <v>418</v>
      </c>
      <c r="C237" s="36">
        <v>4301031202</v>
      </c>
      <c r="D237" s="666">
        <v>4680115881679</v>
      </c>
      <c r="E237" s="666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8"/>
      <c r="R237" s="668"/>
      <c r="S237" s="668"/>
      <c r="T237" s="669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customHeight="1" x14ac:dyDescent="0.25">
      <c r="A238" s="63" t="s">
        <v>419</v>
      </c>
      <c r="B238" s="63" t="s">
        <v>420</v>
      </c>
      <c r="C238" s="36">
        <v>4301031158</v>
      </c>
      <c r="D238" s="666">
        <v>4680115880191</v>
      </c>
      <c r="E238" s="666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2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4301031245</v>
      </c>
      <c r="D239" s="666">
        <v>4680115883963</v>
      </c>
      <c r="E239" s="666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customHeight="1" x14ac:dyDescent="0.25">
      <c r="A242" s="665" t="s">
        <v>86</v>
      </c>
      <c r="B242" s="665"/>
      <c r="C242" s="665"/>
      <c r="D242" s="665"/>
      <c r="E242" s="665"/>
      <c r="F242" s="665"/>
      <c r="G242" s="665"/>
      <c r="H242" s="665"/>
      <c r="I242" s="665"/>
      <c r="J242" s="665"/>
      <c r="K242" s="665"/>
      <c r="L242" s="665"/>
      <c r="M242" s="665"/>
      <c r="N242" s="665"/>
      <c r="O242" s="665"/>
      <c r="P242" s="665"/>
      <c r="Q242" s="665"/>
      <c r="R242" s="665"/>
      <c r="S242" s="665"/>
      <c r="T242" s="665"/>
      <c r="U242" s="665"/>
      <c r="V242" s="665"/>
      <c r="W242" s="665"/>
      <c r="X242" s="665"/>
      <c r="Y242" s="665"/>
      <c r="Z242" s="665"/>
      <c r="AA242" s="66"/>
      <c r="AB242" s="66"/>
      <c r="AC242" s="80"/>
    </row>
    <row r="243" spans="1:68" ht="16.5" customHeight="1" x14ac:dyDescent="0.25">
      <c r="A243" s="63" t="s">
        <v>424</v>
      </c>
      <c r="B243" s="63" t="s">
        <v>425</v>
      </c>
      <c r="C243" s="36">
        <v>4301052209</v>
      </c>
      <c r="D243" s="666">
        <v>4680115888692</v>
      </c>
      <c r="E243" s="666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427</v>
      </c>
      <c r="B244" s="63" t="s">
        <v>428</v>
      </c>
      <c r="C244" s="36">
        <v>4301052213</v>
      </c>
      <c r="D244" s="666">
        <v>4680115888722</v>
      </c>
      <c r="E244" s="666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430</v>
      </c>
      <c r="B245" s="63" t="s">
        <v>431</v>
      </c>
      <c r="C245" s="36">
        <v>4301052177</v>
      </c>
      <c r="D245" s="666">
        <v>4680115888951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433</v>
      </c>
      <c r="B246" s="63" t="s">
        <v>434</v>
      </c>
      <c r="C246" s="36">
        <v>4301052178</v>
      </c>
      <c r="D246" s="666">
        <v>4680115888975</v>
      </c>
      <c r="E246" s="666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436</v>
      </c>
      <c r="B247" s="63" t="s">
        <v>437</v>
      </c>
      <c r="C247" s="36">
        <v>4301052176</v>
      </c>
      <c r="D247" s="666">
        <v>4680115888982</v>
      </c>
      <c r="E247" s="666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8"/>
      <c r="R247" s="668"/>
      <c r="S247" s="668"/>
      <c r="T247" s="669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customHeight="1" x14ac:dyDescent="0.25">
      <c r="A250" s="665" t="s">
        <v>289</v>
      </c>
      <c r="B250" s="665"/>
      <c r="C250" s="665"/>
      <c r="D250" s="665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4301032053</v>
      </c>
      <c r="D251" s="666">
        <v>4680115886780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441</v>
      </c>
      <c r="B252" s="63" t="s">
        <v>442</v>
      </c>
      <c r="C252" s="36">
        <v>4301032051</v>
      </c>
      <c r="D252" s="666">
        <v>4680115886742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444</v>
      </c>
      <c r="B253" s="63" t="s">
        <v>445</v>
      </c>
      <c r="C253" s="36">
        <v>4301032052</v>
      </c>
      <c r="D253" s="666">
        <v>4680115886766</v>
      </c>
      <c r="E253" s="666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8"/>
      <c r="R253" s="668"/>
      <c r="S253" s="668"/>
      <c r="T253" s="669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customHeight="1" x14ac:dyDescent="0.25">
      <c r="A256" s="665" t="s">
        <v>446</v>
      </c>
      <c r="B256" s="665"/>
      <c r="C256" s="665"/>
      <c r="D256" s="665"/>
      <c r="E256" s="66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6"/>
      <c r="AB256" s="66"/>
      <c r="AC256" s="80"/>
    </row>
    <row r="257" spans="1:68" ht="27" customHeight="1" x14ac:dyDescent="0.25">
      <c r="A257" s="63" t="s">
        <v>447</v>
      </c>
      <c r="B257" s="63" t="s">
        <v>448</v>
      </c>
      <c r="C257" s="36">
        <v>4301170013</v>
      </c>
      <c r="D257" s="666">
        <v>4680115886797</v>
      </c>
      <c r="E257" s="666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8"/>
      <c r="R257" s="668"/>
      <c r="S257" s="668"/>
      <c r="T257" s="669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customHeight="1" x14ac:dyDescent="0.25">
      <c r="A260" s="672" t="s">
        <v>449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5"/>
      <c r="AB260" s="65"/>
      <c r="AC260" s="79"/>
    </row>
    <row r="261" spans="1:68" ht="14.25" customHeight="1" x14ac:dyDescent="0.25">
      <c r="A261" s="665" t="s">
        <v>122</v>
      </c>
      <c r="B261" s="665"/>
      <c r="C261" s="665"/>
      <c r="D261" s="665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6"/>
      <c r="AB261" s="66"/>
      <c r="AC261" s="80"/>
    </row>
    <row r="262" spans="1:68" ht="27" customHeight="1" x14ac:dyDescent="0.25">
      <c r="A262" s="63" t="s">
        <v>450</v>
      </c>
      <c r="B262" s="63" t="s">
        <v>451</v>
      </c>
      <c r="C262" s="36">
        <v>4301011450</v>
      </c>
      <c r="D262" s="666">
        <v>4680115881402</v>
      </c>
      <c r="E262" s="66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453</v>
      </c>
      <c r="B263" s="63" t="s">
        <v>454</v>
      </c>
      <c r="C263" s="36">
        <v>4301011768</v>
      </c>
      <c r="D263" s="666">
        <v>4680115881396</v>
      </c>
      <c r="E263" s="666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8"/>
      <c r="R263" s="668"/>
      <c r="S263" s="668"/>
      <c r="T263" s="669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5" t="s">
        <v>155</v>
      </c>
      <c r="B266" s="665"/>
      <c r="C266" s="665"/>
      <c r="D266" s="665"/>
      <c r="E266" s="66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6"/>
      <c r="AB266" s="66"/>
      <c r="AC266" s="80"/>
    </row>
    <row r="267" spans="1:68" ht="16.5" customHeight="1" x14ac:dyDescent="0.25">
      <c r="A267" s="63" t="s">
        <v>455</v>
      </c>
      <c r="B267" s="63" t="s">
        <v>456</v>
      </c>
      <c r="C267" s="36">
        <v>4301020261</v>
      </c>
      <c r="D267" s="666">
        <v>4680115882935</v>
      </c>
      <c r="E267" s="666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customHeight="1" x14ac:dyDescent="0.25">
      <c r="A268" s="63" t="s">
        <v>458</v>
      </c>
      <c r="B268" s="63" t="s">
        <v>459</v>
      </c>
      <c r="C268" s="36">
        <v>4301020220</v>
      </c>
      <c r="D268" s="666">
        <v>4680115880764</v>
      </c>
      <c r="E268" s="666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8"/>
      <c r="R268" s="668"/>
      <c r="S268" s="668"/>
      <c r="T268" s="669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25">
      <c r="A271" s="665" t="s">
        <v>77</v>
      </c>
      <c r="B271" s="665"/>
      <c r="C271" s="665"/>
      <c r="D271" s="665"/>
      <c r="E271" s="66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666">
        <v>4680115882683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463</v>
      </c>
      <c r="B273" s="63" t="s">
        <v>464</v>
      </c>
      <c r="C273" s="36">
        <v>4301031230</v>
      </c>
      <c r="D273" s="666">
        <v>4680115882690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466</v>
      </c>
      <c r="B274" s="63" t="s">
        <v>467</v>
      </c>
      <c r="C274" s="36">
        <v>4301031220</v>
      </c>
      <c r="D274" s="666">
        <v>4680115882669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4301031221</v>
      </c>
      <c r="D275" s="666">
        <v>4680115882676</v>
      </c>
      <c r="E275" s="666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4301031223</v>
      </c>
      <c r="D276" s="666">
        <v>4680115884014</v>
      </c>
      <c r="E276" s="666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4301031222</v>
      </c>
      <c r="D277" s="666">
        <v>4680115884007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4301031229</v>
      </c>
      <c r="D278" s="666">
        <v>4680115884038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4301031225</v>
      </c>
      <c r="D279" s="666">
        <v>4680115884021</v>
      </c>
      <c r="E279" s="666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8"/>
      <c r="R279" s="668"/>
      <c r="S279" s="668"/>
      <c r="T279" s="669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customHeight="1" x14ac:dyDescent="0.25">
      <c r="A282" s="665" t="s">
        <v>86</v>
      </c>
      <c r="B282" s="665"/>
      <c r="C282" s="665"/>
      <c r="D282" s="665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6"/>
      <c r="AB282" s="66"/>
      <c r="AC282" s="80"/>
    </row>
    <row r="283" spans="1:68" ht="27" customHeight="1" x14ac:dyDescent="0.25">
      <c r="A283" s="63" t="s">
        <v>480</v>
      </c>
      <c r="B283" s="63" t="s">
        <v>481</v>
      </c>
      <c r="C283" s="36">
        <v>4301051408</v>
      </c>
      <c r="D283" s="666">
        <v>4680115881594</v>
      </c>
      <c r="E283" s="666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4301051411</v>
      </c>
      <c r="D284" s="666">
        <v>4680115881617</v>
      </c>
      <c r="E284" s="666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486</v>
      </c>
      <c r="B285" s="63" t="s">
        <v>487</v>
      </c>
      <c r="C285" s="36">
        <v>4301051656</v>
      </c>
      <c r="D285" s="666">
        <v>4680115880573</v>
      </c>
      <c r="E285" s="666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489</v>
      </c>
      <c r="B286" s="63" t="s">
        <v>490</v>
      </c>
      <c r="C286" s="36">
        <v>4301051407</v>
      </c>
      <c r="D286" s="666">
        <v>4680115882195</v>
      </c>
      <c r="E286" s="666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491</v>
      </c>
      <c r="B287" s="63" t="s">
        <v>492</v>
      </c>
      <c r="C287" s="36">
        <v>4301051752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4301052143</v>
      </c>
      <c r="D288" s="666">
        <v>4680115882607</v>
      </c>
      <c r="E288" s="666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4301051666</v>
      </c>
      <c r="D289" s="666">
        <v>4680115880092</v>
      </c>
      <c r="E289" s="666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498</v>
      </c>
      <c r="B290" s="63" t="s">
        <v>499</v>
      </c>
      <c r="C290" s="36">
        <v>4301052214</v>
      </c>
      <c r="D290" s="666">
        <v>4680115889064</v>
      </c>
      <c r="E290" s="666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500</v>
      </c>
      <c r="B291" s="63" t="s">
        <v>501</v>
      </c>
      <c r="C291" s="36">
        <v>4301051668</v>
      </c>
      <c r="D291" s="666">
        <v>4680115880221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502</v>
      </c>
      <c r="B292" s="63" t="s">
        <v>503</v>
      </c>
      <c r="C292" s="36">
        <v>4301051945</v>
      </c>
      <c r="D292" s="666">
        <v>4680115880504</v>
      </c>
      <c r="E292" s="666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666">
        <v>4680115882164</v>
      </c>
      <c r="E293" s="666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4301052180</v>
      </c>
      <c r="D294" s="666">
        <v>4680115888340</v>
      </c>
      <c r="E294" s="666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8"/>
      <c r="R294" s="668"/>
      <c r="S294" s="668"/>
      <c r="T294" s="669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customHeight="1" x14ac:dyDescent="0.25">
      <c r="A297" s="665" t="s">
        <v>173</v>
      </c>
      <c r="B297" s="665"/>
      <c r="C297" s="665"/>
      <c r="D297" s="665"/>
      <c r="E297" s="66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6"/>
      <c r="AB297" s="66"/>
      <c r="AC297" s="80"/>
    </row>
    <row r="298" spans="1:68" ht="27" customHeight="1" x14ac:dyDescent="0.25">
      <c r="A298" s="63" t="s">
        <v>511</v>
      </c>
      <c r="B298" s="63" t="s">
        <v>512</v>
      </c>
      <c r="C298" s="36">
        <v>4301060463</v>
      </c>
      <c r="D298" s="666">
        <v>4680115880818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514</v>
      </c>
      <c r="B299" s="63" t="s">
        <v>515</v>
      </c>
      <c r="C299" s="36">
        <v>4301060389</v>
      </c>
      <c r="D299" s="666">
        <v>4680115880801</v>
      </c>
      <c r="E299" s="666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8"/>
      <c r="R299" s="668"/>
      <c r="S299" s="668"/>
      <c r="T299" s="669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customHeight="1" x14ac:dyDescent="0.25">
      <c r="A302" s="672" t="s">
        <v>517</v>
      </c>
      <c r="B302" s="672"/>
      <c r="C302" s="672"/>
      <c r="D302" s="672"/>
      <c r="E302" s="672"/>
      <c r="F302" s="672"/>
      <c r="G302" s="672"/>
      <c r="H302" s="672"/>
      <c r="I302" s="672"/>
      <c r="J302" s="672"/>
      <c r="K302" s="672"/>
      <c r="L302" s="672"/>
      <c r="M302" s="672"/>
      <c r="N302" s="672"/>
      <c r="O302" s="672"/>
      <c r="P302" s="672"/>
      <c r="Q302" s="672"/>
      <c r="R302" s="672"/>
      <c r="S302" s="672"/>
      <c r="T302" s="672"/>
      <c r="U302" s="672"/>
      <c r="V302" s="672"/>
      <c r="W302" s="672"/>
      <c r="X302" s="672"/>
      <c r="Y302" s="672"/>
      <c r="Z302" s="672"/>
      <c r="AA302" s="65"/>
      <c r="AB302" s="65"/>
      <c r="AC302" s="79"/>
    </row>
    <row r="303" spans="1:68" ht="14.25" customHeight="1" x14ac:dyDescent="0.25">
      <c r="A303" s="665" t="s">
        <v>122</v>
      </c>
      <c r="B303" s="665"/>
      <c r="C303" s="665"/>
      <c r="D303" s="665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6"/>
      <c r="AB303" s="66"/>
      <c r="AC303" s="80"/>
    </row>
    <row r="304" spans="1:68" ht="27" customHeight="1" x14ac:dyDescent="0.25">
      <c r="A304" s="63" t="s">
        <v>518</v>
      </c>
      <c r="B304" s="63" t="s">
        <v>519</v>
      </c>
      <c r="C304" s="36">
        <v>4301011826</v>
      </c>
      <c r="D304" s="666">
        <v>4680115884137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customHeight="1" x14ac:dyDescent="0.25">
      <c r="A305" s="63" t="s">
        <v>521</v>
      </c>
      <c r="B305" s="63" t="s">
        <v>522</v>
      </c>
      <c r="C305" s="36">
        <v>4301011724</v>
      </c>
      <c r="D305" s="666">
        <v>4680115884236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524</v>
      </c>
      <c r="B306" s="63" t="s">
        <v>525</v>
      </c>
      <c r="C306" s="36">
        <v>4301011721</v>
      </c>
      <c r="D306" s="666">
        <v>4680115884175</v>
      </c>
      <c r="E306" s="666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526</v>
      </c>
      <c r="B307" s="63" t="s">
        <v>527</v>
      </c>
      <c r="C307" s="36">
        <v>4301011824</v>
      </c>
      <c r="D307" s="666">
        <v>4680115884144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customHeight="1" x14ac:dyDescent="0.25">
      <c r="A308" s="63" t="s">
        <v>528</v>
      </c>
      <c r="B308" s="63" t="s">
        <v>529</v>
      </c>
      <c r="C308" s="36">
        <v>4301012149</v>
      </c>
      <c r="D308" s="666">
        <v>4680115886551</v>
      </c>
      <c r="E308" s="666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4301012228</v>
      </c>
      <c r="D309" s="666">
        <v>4680115887282</v>
      </c>
      <c r="E309" s="666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4301011722</v>
      </c>
      <c r="D310" s="666">
        <v>4680115884205</v>
      </c>
      <c r="E310" s="666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8"/>
      <c r="R310" s="668"/>
      <c r="S310" s="668"/>
      <c r="T310" s="669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customHeight="1" x14ac:dyDescent="0.25">
      <c r="A313" s="665" t="s">
        <v>155</v>
      </c>
      <c r="B313" s="665"/>
      <c r="C313" s="665"/>
      <c r="D313" s="665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6"/>
      <c r="AB313" s="66"/>
      <c r="AC313" s="80"/>
    </row>
    <row r="314" spans="1:68" ht="27" customHeight="1" x14ac:dyDescent="0.25">
      <c r="A314" s="63" t="s">
        <v>536</v>
      </c>
      <c r="B314" s="63" t="s">
        <v>537</v>
      </c>
      <c r="C314" s="36">
        <v>4301020377</v>
      </c>
      <c r="D314" s="666">
        <v>4680115885981</v>
      </c>
      <c r="E314" s="666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8"/>
      <c r="R314" s="668"/>
      <c r="S314" s="668"/>
      <c r="T314" s="669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customHeight="1" x14ac:dyDescent="0.25">
      <c r="A317" s="665" t="s">
        <v>539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6"/>
      <c r="AB317" s="66"/>
      <c r="AC317" s="80"/>
    </row>
    <row r="318" spans="1:68" ht="27" customHeight="1" x14ac:dyDescent="0.25">
      <c r="A318" s="63" t="s">
        <v>540</v>
      </c>
      <c r="B318" s="63" t="s">
        <v>541</v>
      </c>
      <c r="C318" s="36">
        <v>4301040362</v>
      </c>
      <c r="D318" s="666">
        <v>4680115886803</v>
      </c>
      <c r="E318" s="666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8"/>
      <c r="R318" s="668"/>
      <c r="S318" s="668"/>
      <c r="T318" s="669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65" t="s">
        <v>356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6"/>
      <c r="AB321" s="66"/>
      <c r="AC321" s="80"/>
    </row>
    <row r="322" spans="1:68" ht="27" customHeight="1" x14ac:dyDescent="0.25">
      <c r="A322" s="63" t="s">
        <v>543</v>
      </c>
      <c r="B322" s="63" t="s">
        <v>544</v>
      </c>
      <c r="C322" s="36">
        <v>4301041004</v>
      </c>
      <c r="D322" s="666">
        <v>4680115886704</v>
      </c>
      <c r="E322" s="666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8"/>
      <c r="R322" s="668"/>
      <c r="S322" s="668"/>
      <c r="T322" s="669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546</v>
      </c>
      <c r="B323" s="63" t="s">
        <v>547</v>
      </c>
      <c r="C323" s="36">
        <v>4301041008</v>
      </c>
      <c r="D323" s="666">
        <v>4680115886681</v>
      </c>
      <c r="E323" s="666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8"/>
      <c r="R323" s="668"/>
      <c r="S323" s="668"/>
      <c r="T323" s="669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548</v>
      </c>
      <c r="B324" s="63" t="s">
        <v>549</v>
      </c>
      <c r="C324" s="36">
        <v>4301041007</v>
      </c>
      <c r="D324" s="666">
        <v>4680115886735</v>
      </c>
      <c r="E324" s="666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8"/>
      <c r="R324" s="668"/>
      <c r="S324" s="668"/>
      <c r="T324" s="669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customHeight="1" x14ac:dyDescent="0.25">
      <c r="A327" s="672" t="s">
        <v>550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5"/>
      <c r="AB327" s="65"/>
      <c r="AC327" s="79"/>
    </row>
    <row r="328" spans="1:68" ht="14.25" customHeight="1" x14ac:dyDescent="0.25">
      <c r="A328" s="665" t="s">
        <v>122</v>
      </c>
      <c r="B328" s="665"/>
      <c r="C328" s="665"/>
      <c r="D328" s="665"/>
      <c r="E328" s="665"/>
      <c r="F328" s="665"/>
      <c r="G328" s="665"/>
      <c r="H328" s="665"/>
      <c r="I328" s="665"/>
      <c r="J328" s="665"/>
      <c r="K328" s="665"/>
      <c r="L328" s="665"/>
      <c r="M328" s="665"/>
      <c r="N328" s="665"/>
      <c r="O328" s="665"/>
      <c r="P328" s="665"/>
      <c r="Q328" s="665"/>
      <c r="R328" s="665"/>
      <c r="S328" s="665"/>
      <c r="T328" s="665"/>
      <c r="U328" s="665"/>
      <c r="V328" s="665"/>
      <c r="W328" s="665"/>
      <c r="X328" s="665"/>
      <c r="Y328" s="665"/>
      <c r="Z328" s="665"/>
      <c r="AA328" s="66"/>
      <c r="AB328" s="66"/>
      <c r="AC328" s="80"/>
    </row>
    <row r="329" spans="1:68" ht="27" customHeight="1" x14ac:dyDescent="0.25">
      <c r="A329" s="63" t="s">
        <v>551</v>
      </c>
      <c r="B329" s="63" t="s">
        <v>552</v>
      </c>
      <c r="C329" s="36">
        <v>4301011855</v>
      </c>
      <c r="D329" s="666">
        <v>4680115885837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554</v>
      </c>
      <c r="B330" s="63" t="s">
        <v>555</v>
      </c>
      <c r="C330" s="36">
        <v>4301012234</v>
      </c>
      <c r="D330" s="666">
        <v>4680115887237</v>
      </c>
      <c r="E330" s="666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557</v>
      </c>
      <c r="B331" s="63" t="s">
        <v>558</v>
      </c>
      <c r="C331" s="36">
        <v>4301011850</v>
      </c>
      <c r="D331" s="666">
        <v>4680115885806</v>
      </c>
      <c r="E331" s="666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560</v>
      </c>
      <c r="B332" s="63" t="s">
        <v>561</v>
      </c>
      <c r="C332" s="36">
        <v>4301011852</v>
      </c>
      <c r="D332" s="666">
        <v>4680115885844</v>
      </c>
      <c r="E332" s="666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8"/>
      <c r="R332" s="668"/>
      <c r="S332" s="668"/>
      <c r="T332" s="669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customHeight="1" x14ac:dyDescent="0.25">
      <c r="A333" s="63" t="s">
        <v>563</v>
      </c>
      <c r="B333" s="63" t="s">
        <v>564</v>
      </c>
      <c r="C333" s="36">
        <v>4301011851</v>
      </c>
      <c r="D333" s="666">
        <v>4680115885820</v>
      </c>
      <c r="E333" s="666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8"/>
      <c r="R333" s="668"/>
      <c r="S333" s="668"/>
      <c r="T333" s="669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customHeight="1" x14ac:dyDescent="0.25">
      <c r="A336" s="672" t="s">
        <v>566</v>
      </c>
      <c r="B336" s="672"/>
      <c r="C336" s="672"/>
      <c r="D336" s="672"/>
      <c r="E336" s="672"/>
      <c r="F336" s="672"/>
      <c r="G336" s="672"/>
      <c r="H336" s="672"/>
      <c r="I336" s="672"/>
      <c r="J336" s="672"/>
      <c r="K336" s="672"/>
      <c r="L336" s="672"/>
      <c r="M336" s="672"/>
      <c r="N336" s="672"/>
      <c r="O336" s="672"/>
      <c r="P336" s="672"/>
      <c r="Q336" s="672"/>
      <c r="R336" s="672"/>
      <c r="S336" s="672"/>
      <c r="T336" s="672"/>
      <c r="U336" s="672"/>
      <c r="V336" s="672"/>
      <c r="W336" s="672"/>
      <c r="X336" s="672"/>
      <c r="Y336" s="672"/>
      <c r="Z336" s="672"/>
      <c r="AA336" s="65"/>
      <c r="AB336" s="65"/>
      <c r="AC336" s="79"/>
    </row>
    <row r="337" spans="1:68" ht="14.25" customHeight="1" x14ac:dyDescent="0.25">
      <c r="A337" s="665" t="s">
        <v>86</v>
      </c>
      <c r="B337" s="665"/>
      <c r="C337" s="665"/>
      <c r="D337" s="665"/>
      <c r="E337" s="665"/>
      <c r="F337" s="665"/>
      <c r="G337" s="665"/>
      <c r="H337" s="665"/>
      <c r="I337" s="665"/>
      <c r="J337" s="665"/>
      <c r="K337" s="665"/>
      <c r="L337" s="665"/>
      <c r="M337" s="665"/>
      <c r="N337" s="665"/>
      <c r="O337" s="665"/>
      <c r="P337" s="665"/>
      <c r="Q337" s="665"/>
      <c r="R337" s="665"/>
      <c r="S337" s="665"/>
      <c r="T337" s="665"/>
      <c r="U337" s="665"/>
      <c r="V337" s="665"/>
      <c r="W337" s="665"/>
      <c r="X337" s="665"/>
      <c r="Y337" s="665"/>
      <c r="Z337" s="665"/>
      <c r="AA337" s="66"/>
      <c r="AB337" s="66"/>
      <c r="AC337" s="80"/>
    </row>
    <row r="338" spans="1:68" ht="27" customHeight="1" x14ac:dyDescent="0.25">
      <c r="A338" s="63" t="s">
        <v>567</v>
      </c>
      <c r="B338" s="63" t="s">
        <v>568</v>
      </c>
      <c r="C338" s="36">
        <v>4301051893</v>
      </c>
      <c r="D338" s="666">
        <v>4680115886186</v>
      </c>
      <c r="E338" s="666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570</v>
      </c>
      <c r="B339" s="63" t="s">
        <v>571</v>
      </c>
      <c r="C339" s="36">
        <v>4301051795</v>
      </c>
      <c r="D339" s="666">
        <v>4680115881228</v>
      </c>
      <c r="E339" s="666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8"/>
      <c r="R339" s="668"/>
      <c r="S339" s="668"/>
      <c r="T339" s="669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573</v>
      </c>
      <c r="B340" s="63" t="s">
        <v>574</v>
      </c>
      <c r="C340" s="36">
        <v>4301051388</v>
      </c>
      <c r="D340" s="666">
        <v>4680115881211</v>
      </c>
      <c r="E340" s="666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8"/>
      <c r="R340" s="668"/>
      <c r="S340" s="668"/>
      <c r="T340" s="669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customHeight="1" x14ac:dyDescent="0.25">
      <c r="A343" s="672" t="s">
        <v>575</v>
      </c>
      <c r="B343" s="672"/>
      <c r="C343" s="672"/>
      <c r="D343" s="672"/>
      <c r="E343" s="672"/>
      <c r="F343" s="672"/>
      <c r="G343" s="672"/>
      <c r="H343" s="672"/>
      <c r="I343" s="672"/>
      <c r="J343" s="672"/>
      <c r="K343" s="672"/>
      <c r="L343" s="672"/>
      <c r="M343" s="672"/>
      <c r="N343" s="672"/>
      <c r="O343" s="672"/>
      <c r="P343" s="672"/>
      <c r="Q343" s="672"/>
      <c r="R343" s="672"/>
      <c r="S343" s="672"/>
      <c r="T343" s="672"/>
      <c r="U343" s="672"/>
      <c r="V343" s="672"/>
      <c r="W343" s="672"/>
      <c r="X343" s="672"/>
      <c r="Y343" s="672"/>
      <c r="Z343" s="672"/>
      <c r="AA343" s="65"/>
      <c r="AB343" s="65"/>
      <c r="AC343" s="79"/>
    </row>
    <row r="344" spans="1:68" ht="14.25" customHeight="1" x14ac:dyDescent="0.25">
      <c r="A344" s="665" t="s">
        <v>77</v>
      </c>
      <c r="B344" s="665"/>
      <c r="C344" s="665"/>
      <c r="D344" s="665"/>
      <c r="E344" s="665"/>
      <c r="F344" s="665"/>
      <c r="G344" s="665"/>
      <c r="H344" s="665"/>
      <c r="I344" s="665"/>
      <c r="J344" s="665"/>
      <c r="K344" s="665"/>
      <c r="L344" s="665"/>
      <c r="M344" s="665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"/>
      <c r="AB344" s="66"/>
      <c r="AC344" s="80"/>
    </row>
    <row r="345" spans="1:68" ht="27" customHeight="1" x14ac:dyDescent="0.25">
      <c r="A345" s="63" t="s">
        <v>576</v>
      </c>
      <c r="B345" s="63" t="s">
        <v>577</v>
      </c>
      <c r="C345" s="36">
        <v>4301031445</v>
      </c>
      <c r="D345" s="666">
        <v>4680115888319</v>
      </c>
      <c r="E345" s="666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4301031502</v>
      </c>
      <c r="D346" s="666">
        <v>4680115884700</v>
      </c>
      <c r="E346" s="666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581</v>
      </c>
      <c r="B347" s="63" t="s">
        <v>582</v>
      </c>
      <c r="C347" s="36">
        <v>4301031307</v>
      </c>
      <c r="D347" s="666">
        <v>4680115880344</v>
      </c>
      <c r="E347" s="666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584</v>
      </c>
      <c r="B348" s="63" t="s">
        <v>585</v>
      </c>
      <c r="C348" s="36">
        <v>4301031501</v>
      </c>
      <c r="D348" s="666">
        <v>4680115886919</v>
      </c>
      <c r="E348" s="666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8"/>
      <c r="R348" s="668"/>
      <c r="S348" s="668"/>
      <c r="T348" s="669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587</v>
      </c>
      <c r="B349" s="63" t="s">
        <v>588</v>
      </c>
      <c r="C349" s="36">
        <v>4301031246</v>
      </c>
      <c r="D349" s="666">
        <v>4680115883970</v>
      </c>
      <c r="E349" s="666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8"/>
      <c r="R349" s="668"/>
      <c r="S349" s="668"/>
      <c r="T349" s="669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customHeight="1" x14ac:dyDescent="0.25">
      <c r="A352" s="665" t="s">
        <v>86</v>
      </c>
      <c r="B352" s="665"/>
      <c r="C352" s="665"/>
      <c r="D352" s="665"/>
      <c r="E352" s="665"/>
      <c r="F352" s="665"/>
      <c r="G352" s="665"/>
      <c r="H352" s="665"/>
      <c r="I352" s="665"/>
      <c r="J352" s="665"/>
      <c r="K352" s="665"/>
      <c r="L352" s="665"/>
      <c r="M352" s="665"/>
      <c r="N352" s="665"/>
      <c r="O352" s="665"/>
      <c r="P352" s="665"/>
      <c r="Q352" s="665"/>
      <c r="R352" s="665"/>
      <c r="S352" s="665"/>
      <c r="T352" s="665"/>
      <c r="U352" s="665"/>
      <c r="V352" s="665"/>
      <c r="W352" s="665"/>
      <c r="X352" s="665"/>
      <c r="Y352" s="665"/>
      <c r="Z352" s="665"/>
      <c r="AA352" s="66"/>
      <c r="AB352" s="66"/>
      <c r="AC352" s="80"/>
    </row>
    <row r="353" spans="1:68" ht="27" customHeight="1" x14ac:dyDescent="0.25">
      <c r="A353" s="63" t="s">
        <v>590</v>
      </c>
      <c r="B353" s="63" t="s">
        <v>591</v>
      </c>
      <c r="C353" s="36">
        <v>4301051782</v>
      </c>
      <c r="D353" s="666">
        <v>4680115884618</v>
      </c>
      <c r="E353" s="666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8"/>
      <c r="R353" s="668"/>
      <c r="S353" s="668"/>
      <c r="T353" s="669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593</v>
      </c>
      <c r="B354" s="63" t="s">
        <v>594</v>
      </c>
      <c r="C354" s="36">
        <v>4301052057</v>
      </c>
      <c r="D354" s="666">
        <v>4680115887114</v>
      </c>
      <c r="E354" s="666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8"/>
      <c r="R354" s="668"/>
      <c r="S354" s="668"/>
      <c r="T354" s="669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customHeight="1" x14ac:dyDescent="0.25">
      <c r="A357" s="672" t="s">
        <v>596</v>
      </c>
      <c r="B357" s="672"/>
      <c r="C357" s="672"/>
      <c r="D357" s="672"/>
      <c r="E357" s="672"/>
      <c r="F357" s="672"/>
      <c r="G357" s="672"/>
      <c r="H357" s="672"/>
      <c r="I357" s="672"/>
      <c r="J357" s="672"/>
      <c r="K357" s="672"/>
      <c r="L357" s="672"/>
      <c r="M357" s="672"/>
      <c r="N357" s="672"/>
      <c r="O357" s="672"/>
      <c r="P357" s="672"/>
      <c r="Q357" s="672"/>
      <c r="R357" s="672"/>
      <c r="S357" s="672"/>
      <c r="T357" s="672"/>
      <c r="U357" s="672"/>
      <c r="V357" s="672"/>
      <c r="W357" s="672"/>
      <c r="X357" s="672"/>
      <c r="Y357" s="672"/>
      <c r="Z357" s="672"/>
      <c r="AA357" s="65"/>
      <c r="AB357" s="65"/>
      <c r="AC357" s="79"/>
    </row>
    <row r="358" spans="1:68" ht="14.25" customHeight="1" x14ac:dyDescent="0.25">
      <c r="A358" s="665" t="s">
        <v>122</v>
      </c>
      <c r="B358" s="665"/>
      <c r="C358" s="665"/>
      <c r="D358" s="665"/>
      <c r="E358" s="665"/>
      <c r="F358" s="665"/>
      <c r="G358" s="665"/>
      <c r="H358" s="665"/>
      <c r="I358" s="665"/>
      <c r="J358" s="665"/>
      <c r="K358" s="665"/>
      <c r="L358" s="665"/>
      <c r="M358" s="665"/>
      <c r="N358" s="665"/>
      <c r="O358" s="665"/>
      <c r="P358" s="665"/>
      <c r="Q358" s="665"/>
      <c r="R358" s="665"/>
      <c r="S358" s="665"/>
      <c r="T358" s="665"/>
      <c r="U358" s="665"/>
      <c r="V358" s="665"/>
      <c r="W358" s="665"/>
      <c r="X358" s="665"/>
      <c r="Y358" s="665"/>
      <c r="Z358" s="665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4301012324</v>
      </c>
      <c r="D359" s="666">
        <v>4680115887947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599</v>
      </c>
      <c r="B360" s="63" t="s">
        <v>600</v>
      </c>
      <c r="C360" s="36">
        <v>4301012325</v>
      </c>
      <c r="D360" s="666">
        <v>4680115887978</v>
      </c>
      <c r="E360" s="666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8"/>
      <c r="R360" s="668"/>
      <c r="S360" s="668"/>
      <c r="T360" s="669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602</v>
      </c>
      <c r="B361" s="63" t="s">
        <v>603</v>
      </c>
      <c r="C361" s="36">
        <v>4301012327</v>
      </c>
      <c r="D361" s="666">
        <v>4680115887992</v>
      </c>
      <c r="E361" s="666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8"/>
      <c r="R361" s="668"/>
      <c r="S361" s="668"/>
      <c r="T361" s="669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customHeight="1" x14ac:dyDescent="0.25">
      <c r="A364" s="672" t="s">
        <v>605</v>
      </c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72"/>
      <c r="P364" s="672"/>
      <c r="Q364" s="672"/>
      <c r="R364" s="672"/>
      <c r="S364" s="672"/>
      <c r="T364" s="672"/>
      <c r="U364" s="672"/>
      <c r="V364" s="672"/>
      <c r="W364" s="672"/>
      <c r="X364" s="672"/>
      <c r="Y364" s="672"/>
      <c r="Z364" s="672"/>
      <c r="AA364" s="65"/>
      <c r="AB364" s="65"/>
      <c r="AC364" s="79"/>
    </row>
    <row r="365" spans="1:68" ht="14.25" customHeight="1" x14ac:dyDescent="0.25">
      <c r="A365" s="665" t="s">
        <v>122</v>
      </c>
      <c r="B365" s="665"/>
      <c r="C365" s="665"/>
      <c r="D365" s="665"/>
      <c r="E365" s="665"/>
      <c r="F365" s="665"/>
      <c r="G365" s="665"/>
      <c r="H365" s="665"/>
      <c r="I365" s="665"/>
      <c r="J365" s="665"/>
      <c r="K365" s="665"/>
      <c r="L365" s="665"/>
      <c r="M365" s="665"/>
      <c r="N365" s="665"/>
      <c r="O365" s="665"/>
      <c r="P365" s="665"/>
      <c r="Q365" s="665"/>
      <c r="R365" s="665"/>
      <c r="S365" s="665"/>
      <c r="T365" s="665"/>
      <c r="U365" s="665"/>
      <c r="V365" s="665"/>
      <c r="W365" s="665"/>
      <c r="X365" s="665"/>
      <c r="Y365" s="665"/>
      <c r="Z365" s="665"/>
      <c r="AA365" s="66"/>
      <c r="AB365" s="66"/>
      <c r="AC365" s="80"/>
    </row>
    <row r="366" spans="1:68" ht="27" customHeight="1" x14ac:dyDescent="0.25">
      <c r="A366" s="63" t="s">
        <v>606</v>
      </c>
      <c r="B366" s="63" t="s">
        <v>607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customHeight="1" x14ac:dyDescent="0.25">
      <c r="A367" s="63" t="s">
        <v>609</v>
      </c>
      <c r="B367" s="63" t="s">
        <v>610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customHeight="1" x14ac:dyDescent="0.25">
      <c r="A368" s="63" t="s">
        <v>612</v>
      </c>
      <c r="B368" s="63" t="s">
        <v>613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608</v>
      </c>
      <c r="AG369" s="78"/>
      <c r="AJ369" s="84" t="s">
        <v>46</v>
      </c>
      <c r="AK369" s="84">
        <v>0</v>
      </c>
      <c r="BB369" s="471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617</v>
      </c>
      <c r="B370" s="63" t="s">
        <v>618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619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customHeight="1" x14ac:dyDescent="0.25">
      <c r="A374" s="63" t="s">
        <v>620</v>
      </c>
      <c r="B374" s="63" t="s">
        <v>621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customHeight="1" x14ac:dyDescent="0.25">
      <c r="A375" s="63" t="s">
        <v>623</v>
      </c>
      <c r="B375" s="63" t="s">
        <v>624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customHeight="1" x14ac:dyDescent="0.25">
      <c r="A376" s="63" t="s">
        <v>626</v>
      </c>
      <c r="B376" s="63" t="s">
        <v>627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customHeight="1" x14ac:dyDescent="0.25">
      <c r="A377" s="63" t="s">
        <v>629</v>
      </c>
      <c r="B377" s="63" t="s">
        <v>630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67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customHeight="1" x14ac:dyDescent="0.25">
      <c r="A378" s="63" t="s">
        <v>631</v>
      </c>
      <c r="B378" s="63" t="s">
        <v>632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633</v>
      </c>
      <c r="AG378" s="78"/>
      <c r="AJ378" s="84" t="s">
        <v>46</v>
      </c>
      <c r="AK378" s="84">
        <v>0</v>
      </c>
      <c r="BB378" s="483" t="s">
        <v>67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customHeight="1" x14ac:dyDescent="0.25">
      <c r="A384" s="63" t="s">
        <v>639</v>
      </c>
      <c r="B384" s="63" t="s">
        <v>640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642</v>
      </c>
      <c r="B385" s="63" t="s">
        <v>643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648</v>
      </c>
      <c r="B387" s="63" t="s">
        <v>649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641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customHeight="1" x14ac:dyDescent="0.25">
      <c r="A390" s="665" t="s">
        <v>173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customHeight="1" x14ac:dyDescent="0.25">
      <c r="A391" s="63" t="s">
        <v>650</v>
      </c>
      <c r="B391" s="63" t="s">
        <v>651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653</v>
      </c>
      <c r="B392" s="63" t="s">
        <v>654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customHeight="1" x14ac:dyDescent="0.25">
      <c r="A396" s="665" t="s">
        <v>289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customHeight="1" x14ac:dyDescent="0.25">
      <c r="A397" s="63" t="s">
        <v>659</v>
      </c>
      <c r="B397" s="63" t="s">
        <v>660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264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661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662</v>
      </c>
      <c r="B398" s="63" t="s">
        <v>663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661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664</v>
      </c>
      <c r="B399" s="63" t="s">
        <v>665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264</v>
      </c>
      <c r="N399" s="38"/>
      <c r="O399" s="37">
        <v>180</v>
      </c>
      <c r="P399" s="74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customHeight="1" x14ac:dyDescent="0.25">
      <c r="A403" s="665" t="s">
        <v>668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customHeight="1" x14ac:dyDescent="0.25">
      <c r="A404" s="63" t="s">
        <v>669</v>
      </c>
      <c r="B404" s="63" t="s">
        <v>670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672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671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673</v>
      </c>
      <c r="B405" s="63" t="s">
        <v>674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672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671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675</v>
      </c>
      <c r="B406" s="63" t="s">
        <v>676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672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customHeight="1" x14ac:dyDescent="0.25">
      <c r="A409" s="665" t="s">
        <v>677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customHeight="1" x14ac:dyDescent="0.25">
      <c r="A410" s="63" t="s">
        <v>678</v>
      </c>
      <c r="B410" s="63" t="s">
        <v>679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672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680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681</v>
      </c>
      <c r="B411" s="63" t="s">
        <v>682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672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684</v>
      </c>
      <c r="B412" s="63" t="s">
        <v>685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672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customHeight="1" x14ac:dyDescent="0.25">
      <c r="A415" s="672" t="s">
        <v>686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customHeight="1" x14ac:dyDescent="0.25">
      <c r="A417" s="63" t="s">
        <v>687</v>
      </c>
      <c r="B417" s="63" t="s">
        <v>688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689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customHeight="1" x14ac:dyDescent="0.25">
      <c r="A418" s="63" t="s">
        <v>690</v>
      </c>
      <c r="B418" s="63" t="s">
        <v>691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customHeight="1" x14ac:dyDescent="0.25">
      <c r="A421" s="672" t="s">
        <v>693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customHeight="1" x14ac:dyDescent="0.25">
      <c r="A423" s="63" t="s">
        <v>694</v>
      </c>
      <c r="B423" s="63" t="s">
        <v>695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customHeight="1" x14ac:dyDescent="0.25">
      <c r="A424" s="63" t="s">
        <v>697</v>
      </c>
      <c r="B424" s="63" t="s">
        <v>698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700</v>
      </c>
      <c r="B425" s="63" t="s">
        <v>701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customHeight="1" x14ac:dyDescent="0.2">
      <c r="A428" s="683" t="s">
        <v>703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customHeight="1" x14ac:dyDescent="0.25">
      <c r="A429" s="672" t="s">
        <v>704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customHeight="1" x14ac:dyDescent="0.25">
      <c r="A431" s="63" t="s">
        <v>705</v>
      </c>
      <c r="B431" s="63" t="s">
        <v>706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customHeight="1" x14ac:dyDescent="0.25">
      <c r="A432" s="63" t="s">
        <v>708</v>
      </c>
      <c r="B432" s="63" t="s">
        <v>709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3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4"/>
        <v>0</v>
      </c>
      <c r="BN432" s="78">
        <f t="shared" si="65"/>
        <v>0</v>
      </c>
      <c r="BO432" s="78">
        <f t="shared" si="66"/>
        <v>0</v>
      </c>
      <c r="BP432" s="78">
        <f t="shared" si="67"/>
        <v>0</v>
      </c>
    </row>
    <row r="433" spans="1:68" ht="27" customHeight="1" x14ac:dyDescent="0.25">
      <c r="A433" s="63" t="s">
        <v>711</v>
      </c>
      <c r="B433" s="63" t="s">
        <v>712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4"/>
        <v>0</v>
      </c>
      <c r="BN433" s="78">
        <f t="shared" si="65"/>
        <v>0</v>
      </c>
      <c r="BO433" s="78">
        <f t="shared" si="66"/>
        <v>0</v>
      </c>
      <c r="BP433" s="78">
        <f t="shared" si="67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4"/>
        <v>0</v>
      </c>
      <c r="BN434" s="78">
        <f t="shared" si="65"/>
        <v>0</v>
      </c>
      <c r="BO434" s="78">
        <f t="shared" si="66"/>
        <v>0</v>
      </c>
      <c r="BP434" s="78">
        <f t="shared" si="67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customHeight="1" x14ac:dyDescent="0.25">
      <c r="A436" s="63" t="s">
        <v>720</v>
      </c>
      <c r="B436" s="63" t="s">
        <v>721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customHeight="1" x14ac:dyDescent="0.25">
      <c r="A437" s="63" t="s">
        <v>723</v>
      </c>
      <c r="B437" s="63" t="s">
        <v>724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customHeight="1" x14ac:dyDescent="0.25">
      <c r="A438" s="63" t="s">
        <v>726</v>
      </c>
      <c r="B438" s="63" t="s">
        <v>727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0</v>
      </c>
      <c r="Y439" s="43">
        <f>IFERROR(Y431/H431,"0")+IFERROR(Y432/H432,"0")+IFERROR(Y433/H433,"0")+IFERROR(Y434/H434,"0")+IFERROR(Y435/H435,"0")+IFERROR(Y436/H436,"0")+IFERROR(Y437/H437,"0")+IFERROR(Y438/H438,"0")</f>
        <v>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0</v>
      </c>
      <c r="Y440" s="43">
        <f>IFERROR(SUM(Y431:Y438),"0")</f>
        <v>0</v>
      </c>
      <c r="Z440" s="42"/>
      <c r="AA440" s="67"/>
      <c r="AB440" s="67"/>
      <c r="AC440" s="67"/>
    </row>
    <row r="441" spans="1:68" ht="14.25" customHeight="1" x14ac:dyDescent="0.25">
      <c r="A441" s="665" t="s">
        <v>155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customHeight="1" x14ac:dyDescent="0.25">
      <c r="A442" s="63" t="s">
        <v>729</v>
      </c>
      <c r="B442" s="63" t="s">
        <v>730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732</v>
      </c>
      <c r="B443" s="63" t="s">
        <v>733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735</v>
      </c>
      <c r="B444" s="63" t="s">
        <v>736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customHeight="1" x14ac:dyDescent="0.25">
      <c r="A448" s="63" t="s">
        <v>738</v>
      </c>
      <c r="B448" s="63" t="s">
        <v>739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741</v>
      </c>
      <c r="B449" s="63" t="s">
        <v>742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744</v>
      </c>
      <c r="B450" s="63" t="s">
        <v>745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customHeight="1" x14ac:dyDescent="0.25">
      <c r="A453" s="665" t="s">
        <v>173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customHeight="1" x14ac:dyDescent="0.25">
      <c r="A454" s="63" t="s">
        <v>747</v>
      </c>
      <c r="B454" s="63" t="s">
        <v>748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749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customHeight="1" x14ac:dyDescent="0.25">
      <c r="A455" s="63" t="s">
        <v>750</v>
      </c>
      <c r="B455" s="63" t="s">
        <v>751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customHeight="1" x14ac:dyDescent="0.25">
      <c r="A458" s="672" t="s">
        <v>753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customHeight="1" x14ac:dyDescent="0.25">
      <c r="A460" s="63" t="s">
        <v>754</v>
      </c>
      <c r="B460" s="63" t="s">
        <v>755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756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customHeight="1" x14ac:dyDescent="0.25">
      <c r="A461" s="63" t="s">
        <v>757</v>
      </c>
      <c r="B461" s="63" t="s">
        <v>758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756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customHeight="1" x14ac:dyDescent="0.25">
      <c r="A465" s="63" t="s">
        <v>759</v>
      </c>
      <c r="B465" s="63" t="s">
        <v>760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761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customHeight="1" x14ac:dyDescent="0.25">
      <c r="A469" s="63" t="s">
        <v>762</v>
      </c>
      <c r="B469" s="63" t="s">
        <v>763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764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customHeight="1" x14ac:dyDescent="0.25">
      <c r="A470" s="63" t="s">
        <v>765</v>
      </c>
      <c r="B470" s="63" t="s">
        <v>766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764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765</v>
      </c>
      <c r="B471" s="63" t="s">
        <v>767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768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customHeight="1" x14ac:dyDescent="0.2">
      <c r="A474" s="683" t="s">
        <v>769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customHeight="1" x14ac:dyDescent="0.25">
      <c r="A475" s="672" t="s">
        <v>770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customHeight="1" x14ac:dyDescent="0.25">
      <c r="A477" s="63" t="s">
        <v>771</v>
      </c>
      <c r="B477" s="63" t="s">
        <v>772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773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customHeight="1" x14ac:dyDescent="0.25">
      <c r="A478" s="63" t="s">
        <v>774</v>
      </c>
      <c r="B478" s="63" t="s">
        <v>775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customHeight="1" x14ac:dyDescent="0.25">
      <c r="A479" s="63" t="s">
        <v>777</v>
      </c>
      <c r="B479" s="63" t="s">
        <v>778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779</v>
      </c>
      <c r="B480" s="63" t="s">
        <v>780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781</v>
      </c>
      <c r="AG480" s="78"/>
      <c r="AJ480" s="84" t="s">
        <v>46</v>
      </c>
      <c r="AK480" s="84">
        <v>0</v>
      </c>
      <c r="BB480" s="583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782</v>
      </c>
      <c r="B481" s="63" t="s">
        <v>783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customHeight="1" x14ac:dyDescent="0.25">
      <c r="A482" s="63" t="s">
        <v>785</v>
      </c>
      <c r="B482" s="63" t="s">
        <v>786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customHeight="1" x14ac:dyDescent="0.25">
      <c r="A486" s="63" t="s">
        <v>787</v>
      </c>
      <c r="B486" s="63" t="s">
        <v>788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789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customHeight="1" x14ac:dyDescent="0.25">
      <c r="A487" s="63" t="s">
        <v>790</v>
      </c>
      <c r="B487" s="63" t="s">
        <v>791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customHeight="1" x14ac:dyDescent="0.25">
      <c r="A490" s="672" t="s">
        <v>793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customHeight="1" x14ac:dyDescent="0.25">
      <c r="A491" s="665" t="s">
        <v>155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customHeight="1" x14ac:dyDescent="0.25">
      <c r="A492" s="63" t="s">
        <v>794</v>
      </c>
      <c r="B492" s="63" t="s">
        <v>795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796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customHeight="1" x14ac:dyDescent="0.25">
      <c r="A496" s="63" t="s">
        <v>797</v>
      </c>
      <c r="B496" s="63" t="s">
        <v>798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799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customHeight="1" x14ac:dyDescent="0.25">
      <c r="A497" s="63" t="s">
        <v>800</v>
      </c>
      <c r="B497" s="63" t="s">
        <v>801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customHeight="1" x14ac:dyDescent="0.25">
      <c r="A498" s="63" t="s">
        <v>803</v>
      </c>
      <c r="B498" s="63" t="s">
        <v>804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customHeight="1" x14ac:dyDescent="0.2">
      <c r="A501" s="683" t="s">
        <v>805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customHeight="1" x14ac:dyDescent="0.25">
      <c r="A502" s="672" t="s">
        <v>805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customHeight="1" x14ac:dyDescent="0.25">
      <c r="A504" s="63" t="s">
        <v>806</v>
      </c>
      <c r="B504" s="63" t="s">
        <v>807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customHeight="1" x14ac:dyDescent="0.25">
      <c r="A505" s="63" t="s">
        <v>808</v>
      </c>
      <c r="B505" s="63" t="s">
        <v>809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customHeight="1" x14ac:dyDescent="0.25">
      <c r="A506" s="63" t="s">
        <v>811</v>
      </c>
      <c r="B506" s="63" t="s">
        <v>812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3"/>
        <v>0</v>
      </c>
      <c r="Z507" s="41" t="str">
        <f t="shared" si="74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75"/>
        <v>0</v>
      </c>
      <c r="BN507" s="78">
        <f t="shared" si="76"/>
        <v>0</v>
      </c>
      <c r="BO507" s="78">
        <f t="shared" si="77"/>
        <v>0</v>
      </c>
      <c r="BP507" s="78">
        <f t="shared" si="78"/>
        <v>0</v>
      </c>
    </row>
    <row r="508" spans="1:68" ht="16.5" customHeight="1" x14ac:dyDescent="0.25">
      <c r="A508" s="63" t="s">
        <v>817</v>
      </c>
      <c r="B508" s="63" t="s">
        <v>818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customHeight="1" x14ac:dyDescent="0.25">
      <c r="A509" s="63" t="s">
        <v>820</v>
      </c>
      <c r="B509" s="63" t="s">
        <v>821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customHeight="1" x14ac:dyDescent="0.25">
      <c r="A511" s="63" t="s">
        <v>825</v>
      </c>
      <c r="B511" s="63" t="s">
        <v>826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822</v>
      </c>
      <c r="AG512" s="78"/>
      <c r="AJ512" s="84" t="s">
        <v>46</v>
      </c>
      <c r="AK512" s="84">
        <v>0</v>
      </c>
      <c r="BB512" s="617" t="s">
        <v>67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customHeight="1" x14ac:dyDescent="0.25">
      <c r="A515" s="665" t="s">
        <v>155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customHeight="1" x14ac:dyDescent="0.25">
      <c r="A516" s="63" t="s">
        <v>829</v>
      </c>
      <c r="B516" s="63" t="s">
        <v>830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831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customHeight="1" x14ac:dyDescent="0.25">
      <c r="A517" s="63" t="s">
        <v>832</v>
      </c>
      <c r="B517" s="63" t="s">
        <v>833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831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834</v>
      </c>
      <c r="B518" s="63" t="s">
        <v>835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customHeight="1" x14ac:dyDescent="0.25">
      <c r="A522" s="63" t="s">
        <v>836</v>
      </c>
      <c r="B522" s="63" t="s">
        <v>837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customHeight="1" x14ac:dyDescent="0.25">
      <c r="A523" s="63" t="s">
        <v>839</v>
      </c>
      <c r="B523" s="63" t="s">
        <v>840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customHeight="1" x14ac:dyDescent="0.25">
      <c r="A524" s="63" t="s">
        <v>842</v>
      </c>
      <c r="B524" s="63" t="s">
        <v>843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customHeight="1" x14ac:dyDescent="0.25">
      <c r="A525" s="63" t="s">
        <v>845</v>
      </c>
      <c r="B525" s="63" t="s">
        <v>846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838</v>
      </c>
      <c r="AG525" s="78"/>
      <c r="AJ525" s="84" t="s">
        <v>46</v>
      </c>
      <c r="AK525" s="84">
        <v>0</v>
      </c>
      <c r="BB525" s="631" t="s">
        <v>67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customHeight="1" x14ac:dyDescent="0.25">
      <c r="A526" s="63" t="s">
        <v>847</v>
      </c>
      <c r="B526" s="63" t="s">
        <v>848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customHeight="1" x14ac:dyDescent="0.25">
      <c r="A527" s="63" t="s">
        <v>847</v>
      </c>
      <c r="B527" s="63" t="s">
        <v>849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customHeight="1" x14ac:dyDescent="0.25">
      <c r="A528" s="63" t="s">
        <v>850</v>
      </c>
      <c r="B528" s="63" t="s">
        <v>851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customHeight="1" x14ac:dyDescent="0.2">
      <c r="A531" s="683" t="s">
        <v>852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customHeight="1" x14ac:dyDescent="0.25">
      <c r="A532" s="672" t="s">
        <v>852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855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665" t="s">
        <v>155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4301020400</v>
      </c>
      <c r="D538" s="666">
        <v>4640242180519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861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customHeight="1" x14ac:dyDescent="0.25">
      <c r="A546" s="63" t="s">
        <v>862</v>
      </c>
      <c r="B546" s="63" t="s">
        <v>863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864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customHeight="1" x14ac:dyDescent="0.25">
      <c r="A549" s="665" t="s">
        <v>173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customHeight="1" x14ac:dyDescent="0.25">
      <c r="A550" s="63" t="s">
        <v>865</v>
      </c>
      <c r="B550" s="63" t="s">
        <v>866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867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customHeight="1" x14ac:dyDescent="0.25">
      <c r="A551" s="63" t="s">
        <v>868</v>
      </c>
      <c r="B551" s="63" t="s">
        <v>869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customHeight="1" x14ac:dyDescent="0.25">
      <c r="A554" s="672" t="s">
        <v>871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customHeight="1" x14ac:dyDescent="0.25">
      <c r="A555" s="665" t="s">
        <v>155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customHeight="1" x14ac:dyDescent="0.25">
      <c r="A556" s="63" t="s">
        <v>872</v>
      </c>
      <c r="B556" s="63" t="s">
        <v>873</v>
      </c>
      <c r="C556" s="36">
        <v>4301020428</v>
      </c>
      <c r="D556" s="666">
        <v>4640242180090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874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0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0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0</v>
      </c>
      <c r="Y560" s="43">
        <f>IFERROR(SUM(BN22:BN556),"0")</f>
        <v>0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0</v>
      </c>
      <c r="Y561" s="44">
        <f>ROUNDUP(SUM(BP22:BP556),0)</f>
        <v>0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0</v>
      </c>
      <c r="Y562" s="43">
        <f>GrossWeightTotalR+PalletQtyTotalR*25</f>
        <v>0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0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0</v>
      </c>
      <c r="Z563" s="42"/>
      <c r="AA563" s="67"/>
      <c r="AB563" s="67"/>
      <c r="AC563" s="67"/>
    </row>
    <row r="564" spans="1:32" ht="14.25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0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360</v>
      </c>
      <c r="L566" s="652" t="s">
        <v>360</v>
      </c>
      <c r="M566" s="652" t="s">
        <v>360</v>
      </c>
      <c r="N566" s="662"/>
      <c r="O566" s="652" t="s">
        <v>360</v>
      </c>
      <c r="P566" s="652" t="s">
        <v>360</v>
      </c>
      <c r="Q566" s="652" t="s">
        <v>360</v>
      </c>
      <c r="R566" s="652" t="s">
        <v>360</v>
      </c>
      <c r="S566" s="652" t="s">
        <v>360</v>
      </c>
      <c r="T566" s="652" t="s">
        <v>360</v>
      </c>
      <c r="U566" s="652" t="s">
        <v>360</v>
      </c>
      <c r="V566" s="652" t="s">
        <v>360</v>
      </c>
      <c r="W566" s="652" t="s">
        <v>703</v>
      </c>
      <c r="X566" s="652" t="s">
        <v>703</v>
      </c>
      <c r="Y566" s="652" t="s">
        <v>769</v>
      </c>
      <c r="Z566" s="652" t="s">
        <v>769</v>
      </c>
      <c r="AA566" s="85" t="s">
        <v>805</v>
      </c>
      <c r="AB566" s="652" t="s">
        <v>852</v>
      </c>
      <c r="AC566" s="652" t="s">
        <v>852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182</v>
      </c>
      <c r="G567" s="652" t="s">
        <v>209</v>
      </c>
      <c r="H567" s="652" t="s">
        <v>260</v>
      </c>
      <c r="I567" s="652" t="s">
        <v>273</v>
      </c>
      <c r="J567" s="652" t="s">
        <v>120</v>
      </c>
      <c r="K567" s="652" t="s">
        <v>361</v>
      </c>
      <c r="L567" s="652" t="s">
        <v>382</v>
      </c>
      <c r="M567" s="652" t="s">
        <v>449</v>
      </c>
      <c r="N567" s="1"/>
      <c r="O567" s="652" t="s">
        <v>517</v>
      </c>
      <c r="P567" s="652" t="s">
        <v>550</v>
      </c>
      <c r="Q567" s="652" t="s">
        <v>566</v>
      </c>
      <c r="R567" s="652" t="s">
        <v>575</v>
      </c>
      <c r="S567" s="652" t="s">
        <v>596</v>
      </c>
      <c r="T567" s="652" t="s">
        <v>605</v>
      </c>
      <c r="U567" s="652" t="s">
        <v>686</v>
      </c>
      <c r="V567" s="652" t="s">
        <v>693</v>
      </c>
      <c r="W567" s="652" t="s">
        <v>704</v>
      </c>
      <c r="X567" s="652" t="s">
        <v>753</v>
      </c>
      <c r="Y567" s="652" t="s">
        <v>770</v>
      </c>
      <c r="Z567" s="652" t="s">
        <v>793</v>
      </c>
      <c r="AA567" s="652" t="s">
        <v>805</v>
      </c>
      <c r="AB567" s="652" t="s">
        <v>852</v>
      </c>
      <c r="AC567" s="652" t="s">
        <v>871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2" spans="2:8" x14ac:dyDescent="0.2">
      <c r="B12" s="53" t="s">
        <v>896</v>
      </c>
      <c r="C12" s="53" t="s">
        <v>897</v>
      </c>
      <c r="D12" s="53" t="s">
        <v>898</v>
      </c>
      <c r="E12" s="53" t="s">
        <v>46</v>
      </c>
    </row>
    <row r="14" spans="2:8" x14ac:dyDescent="0.2">
      <c r="B14" s="53" t="s">
        <v>899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900</v>
      </c>
      <c r="C16" s="53" t="s">
        <v>882</v>
      </c>
      <c r="D16" s="53" t="s">
        <v>46</v>
      </c>
      <c r="E16" s="53" t="s">
        <v>46</v>
      </c>
    </row>
    <row r="18" spans="2:5" x14ac:dyDescent="0.2">
      <c r="B18" s="53" t="s">
        <v>901</v>
      </c>
      <c r="C18" s="53" t="s">
        <v>885</v>
      </c>
      <c r="D18" s="53" t="s">
        <v>46</v>
      </c>
      <c r="E18" s="53" t="s">
        <v>46</v>
      </c>
    </row>
    <row r="20" spans="2:5" x14ac:dyDescent="0.2">
      <c r="B20" s="53" t="s">
        <v>902</v>
      </c>
      <c r="C20" s="53" t="s">
        <v>888</v>
      </c>
      <c r="D20" s="53" t="s">
        <v>46</v>
      </c>
      <c r="E20" s="53" t="s">
        <v>46</v>
      </c>
    </row>
    <row r="22" spans="2:5" x14ac:dyDescent="0.2">
      <c r="B22" s="53" t="s">
        <v>903</v>
      </c>
      <c r="C22" s="53" t="s">
        <v>891</v>
      </c>
      <c r="D22" s="53" t="s">
        <v>46</v>
      </c>
      <c r="E22" s="53" t="s">
        <v>46</v>
      </c>
    </row>
    <row r="24" spans="2:5" x14ac:dyDescent="0.2">
      <c r="B24" s="53" t="s">
        <v>904</v>
      </c>
      <c r="C24" s="53" t="s">
        <v>894</v>
      </c>
      <c r="D24" s="53" t="s">
        <v>46</v>
      </c>
      <c r="E24" s="53" t="s">
        <v>46</v>
      </c>
    </row>
    <row r="26" spans="2:5" x14ac:dyDescent="0.2">
      <c r="B26" s="53" t="s">
        <v>905</v>
      </c>
      <c r="C26" s="53" t="s">
        <v>897</v>
      </c>
      <c r="D26" s="53" t="s">
        <v>46</v>
      </c>
      <c r="E26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916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1186</vt:i4>
      </vt:variant>
    </vt:vector>
  </HeadingPairs>
  <TitlesOfParts>
    <vt:vector size="118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2026-08-27T13:50:34Z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