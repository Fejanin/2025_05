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заказы26\заказы\заказ Поком\"/>
    </mc:Choice>
  </mc:AlternateContent>
  <bookViews>
    <workbookView xWindow="0" yWindow="0" windowWidth="19476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Y549" i="2"/>
  <c r="X549" i="2"/>
  <c r="BO548" i="2"/>
  <c r="BM548" i="2"/>
  <c r="Y548" i="2"/>
  <c r="BP548" i="2" s="1"/>
  <c r="P548" i="2"/>
  <c r="BO547" i="2"/>
  <c r="BM547" i="2"/>
  <c r="Z547" i="2"/>
  <c r="Y547" i="2"/>
  <c r="BP547" i="2" s="1"/>
  <c r="P547" i="2"/>
  <c r="Y545" i="2"/>
  <c r="X545" i="2"/>
  <c r="Z544" i="2"/>
  <c r="X544" i="2"/>
  <c r="BO543" i="2"/>
  <c r="BM543" i="2"/>
  <c r="Z543" i="2"/>
  <c r="Y543" i="2"/>
  <c r="Y544" i="2" s="1"/>
  <c r="P543" i="2"/>
  <c r="Y541" i="2"/>
  <c r="X541" i="2"/>
  <c r="Y540" i="2"/>
  <c r="X540" i="2"/>
  <c r="BP539" i="2"/>
  <c r="BO539" i="2"/>
  <c r="BN539" i="2"/>
  <c r="BM539" i="2"/>
  <c r="Y539" i="2"/>
  <c r="Z539" i="2" s="1"/>
  <c r="Z540" i="2" s="1"/>
  <c r="P539" i="2"/>
  <c r="X537" i="2"/>
  <c r="Y536" i="2"/>
  <c r="X536" i="2"/>
  <c r="BO535" i="2"/>
  <c r="BM535" i="2"/>
  <c r="Z535" i="2"/>
  <c r="Z536" i="2" s="1"/>
  <c r="Y535" i="2"/>
  <c r="AB566" i="2" s="1"/>
  <c r="P535" i="2"/>
  <c r="X531" i="2"/>
  <c r="X530" i="2"/>
  <c r="BO529" i="2"/>
  <c r="BM529" i="2"/>
  <c r="Z529" i="2"/>
  <c r="Y529" i="2"/>
  <c r="BP529" i="2" s="1"/>
  <c r="P529" i="2"/>
  <c r="BO528" i="2"/>
  <c r="BM528" i="2"/>
  <c r="Y528" i="2"/>
  <c r="BP528" i="2" s="1"/>
  <c r="P528" i="2"/>
  <c r="BP527" i="2"/>
  <c r="BO527" i="2"/>
  <c r="BM527" i="2"/>
  <c r="Y527" i="2"/>
  <c r="BN527" i="2" s="1"/>
  <c r="P527" i="2"/>
  <c r="BO526" i="2"/>
  <c r="BM526" i="2"/>
  <c r="Z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N523" i="2"/>
  <c r="BM523" i="2"/>
  <c r="Z523" i="2"/>
  <c r="Y523" i="2"/>
  <c r="Y530" i="2" s="1"/>
  <c r="P523" i="2"/>
  <c r="Y521" i="2"/>
  <c r="X521" i="2"/>
  <c r="X520" i="2"/>
  <c r="BO519" i="2"/>
  <c r="BM519" i="2"/>
  <c r="Z519" i="2"/>
  <c r="Y519" i="2"/>
  <c r="BP519" i="2" s="1"/>
  <c r="P519" i="2"/>
  <c r="BO518" i="2"/>
  <c r="BM518" i="2"/>
  <c r="Y518" i="2"/>
  <c r="BP518" i="2" s="1"/>
  <c r="P518" i="2"/>
  <c r="BP517" i="2"/>
  <c r="BO517" i="2"/>
  <c r="BM517" i="2"/>
  <c r="Y517" i="2"/>
  <c r="Y520" i="2" s="1"/>
  <c r="P517" i="2"/>
  <c r="X515" i="2"/>
  <c r="X514" i="2"/>
  <c r="BO513" i="2"/>
  <c r="BM513" i="2"/>
  <c r="Y513" i="2"/>
  <c r="BP513" i="2" s="1"/>
  <c r="P513" i="2"/>
  <c r="BP512" i="2"/>
  <c r="BO512" i="2"/>
  <c r="BN512" i="2"/>
  <c r="BM512" i="2"/>
  <c r="Z512" i="2"/>
  <c r="Y512" i="2"/>
  <c r="P512" i="2"/>
  <c r="BP511" i="2"/>
  <c r="BO511" i="2"/>
  <c r="BM511" i="2"/>
  <c r="Y511" i="2"/>
  <c r="BN511" i="2" s="1"/>
  <c r="P511" i="2"/>
  <c r="BO510" i="2"/>
  <c r="BN510" i="2"/>
  <c r="BM510" i="2"/>
  <c r="Z510" i="2"/>
  <c r="Y510" i="2"/>
  <c r="BP510" i="2" s="1"/>
  <c r="P510" i="2"/>
  <c r="BO509" i="2"/>
  <c r="BM509" i="2"/>
  <c r="Z509" i="2"/>
  <c r="Y509" i="2"/>
  <c r="BP509" i="2" s="1"/>
  <c r="P509" i="2"/>
  <c r="BO508" i="2"/>
  <c r="BM508" i="2"/>
  <c r="Y508" i="2"/>
  <c r="BP508" i="2" s="1"/>
  <c r="P508" i="2"/>
  <c r="BP507" i="2"/>
  <c r="BO507" i="2"/>
  <c r="BM507" i="2"/>
  <c r="Y507" i="2"/>
  <c r="BN507" i="2" s="1"/>
  <c r="P507" i="2"/>
  <c r="BO506" i="2"/>
  <c r="BM506" i="2"/>
  <c r="Z506" i="2"/>
  <c r="Y506" i="2"/>
  <c r="BP506" i="2" s="1"/>
  <c r="P506" i="2"/>
  <c r="BO505" i="2"/>
  <c r="BM505" i="2"/>
  <c r="Y505" i="2"/>
  <c r="AA566" i="2" s="1"/>
  <c r="P505" i="2"/>
  <c r="X501" i="2"/>
  <c r="X500" i="2"/>
  <c r="BP499" i="2"/>
  <c r="BO499" i="2"/>
  <c r="BM499" i="2"/>
  <c r="Y499" i="2"/>
  <c r="BN499" i="2" s="1"/>
  <c r="P499" i="2"/>
  <c r="BO498" i="2"/>
  <c r="BN498" i="2"/>
  <c r="BM498" i="2"/>
  <c r="Z498" i="2"/>
  <c r="Y498" i="2"/>
  <c r="BP498" i="2" s="1"/>
  <c r="P498" i="2"/>
  <c r="BO497" i="2"/>
  <c r="BM497" i="2"/>
  <c r="Z497" i="2"/>
  <c r="Y497" i="2"/>
  <c r="Y501" i="2" s="1"/>
  <c r="P497" i="2"/>
  <c r="Y495" i="2"/>
  <c r="X495" i="2"/>
  <c r="Y494" i="2"/>
  <c r="X494" i="2"/>
  <c r="BP493" i="2"/>
  <c r="BO493" i="2"/>
  <c r="BN493" i="2"/>
  <c r="BM493" i="2"/>
  <c r="Y493" i="2"/>
  <c r="Z493" i="2" s="1"/>
  <c r="Z494" i="2" s="1"/>
  <c r="P493" i="2"/>
  <c r="Y490" i="2"/>
  <c r="X490" i="2"/>
  <c r="Y489" i="2"/>
  <c r="X489" i="2"/>
  <c r="BO488" i="2"/>
  <c r="BN488" i="2"/>
  <c r="BM488" i="2"/>
  <c r="Z488" i="2"/>
  <c r="Y488" i="2"/>
  <c r="BP488" i="2" s="1"/>
  <c r="P488" i="2"/>
  <c r="BP487" i="2"/>
  <c r="BO487" i="2"/>
  <c r="BN487" i="2"/>
  <c r="BM487" i="2"/>
  <c r="Z487" i="2"/>
  <c r="Z489" i="2" s="1"/>
  <c r="Y487" i="2"/>
  <c r="P487" i="2"/>
  <c r="X485" i="2"/>
  <c r="X484" i="2"/>
  <c r="BO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Z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N478" i="2"/>
  <c r="BM478" i="2"/>
  <c r="Z478" i="2"/>
  <c r="Y478" i="2"/>
  <c r="Y566" i="2" s="1"/>
  <c r="P478" i="2"/>
  <c r="Y474" i="2"/>
  <c r="X474" i="2"/>
  <c r="X473" i="2"/>
  <c r="BO472" i="2"/>
  <c r="BM472" i="2"/>
  <c r="Z472" i="2"/>
  <c r="Y472" i="2"/>
  <c r="BP472" i="2" s="1"/>
  <c r="P472" i="2"/>
  <c r="BO471" i="2"/>
  <c r="BM471" i="2"/>
  <c r="Y471" i="2"/>
  <c r="BP471" i="2" s="1"/>
  <c r="P471" i="2"/>
  <c r="BP470" i="2"/>
  <c r="BO470" i="2"/>
  <c r="BM470" i="2"/>
  <c r="Y470" i="2"/>
  <c r="Y473" i="2" s="1"/>
  <c r="P470" i="2"/>
  <c r="X468" i="2"/>
  <c r="X467" i="2"/>
  <c r="BO466" i="2"/>
  <c r="BM466" i="2"/>
  <c r="Y466" i="2"/>
  <c r="Y468" i="2" s="1"/>
  <c r="P466" i="2"/>
  <c r="Y464" i="2"/>
  <c r="X464" i="2"/>
  <c r="X463" i="2"/>
  <c r="BO462" i="2"/>
  <c r="BN462" i="2"/>
  <c r="BM462" i="2"/>
  <c r="Y462" i="2"/>
  <c r="BP462" i="2" s="1"/>
  <c r="P462" i="2"/>
  <c r="BO461" i="2"/>
  <c r="BM461" i="2"/>
  <c r="Z461" i="2"/>
  <c r="Y461" i="2"/>
  <c r="Y463" i="2" s="1"/>
  <c r="P461" i="2"/>
  <c r="X458" i="2"/>
  <c r="X457" i="2"/>
  <c r="BO456" i="2"/>
  <c r="BM456" i="2"/>
  <c r="Z456" i="2"/>
  <c r="Y456" i="2"/>
  <c r="BP456" i="2" s="1"/>
  <c r="P456" i="2"/>
  <c r="BO455" i="2"/>
  <c r="BM455" i="2"/>
  <c r="Y455" i="2"/>
  <c r="Y458" i="2" s="1"/>
  <c r="P455" i="2"/>
  <c r="X453" i="2"/>
  <c r="X452" i="2"/>
  <c r="BP451" i="2"/>
  <c r="BO451" i="2"/>
  <c r="BM451" i="2"/>
  <c r="Y451" i="2"/>
  <c r="BN451" i="2" s="1"/>
  <c r="P451" i="2"/>
  <c r="BO450" i="2"/>
  <c r="BN450" i="2"/>
  <c r="BM450" i="2"/>
  <c r="Z450" i="2"/>
  <c r="Y450" i="2"/>
  <c r="BP450" i="2" s="1"/>
  <c r="P450" i="2"/>
  <c r="BO449" i="2"/>
  <c r="BM449" i="2"/>
  <c r="Z449" i="2"/>
  <c r="Y449" i="2"/>
  <c r="Y453" i="2" s="1"/>
  <c r="P449" i="2"/>
  <c r="X447" i="2"/>
  <c r="X446" i="2"/>
  <c r="BP445" i="2"/>
  <c r="BO445" i="2"/>
  <c r="BN445" i="2"/>
  <c r="BM445" i="2"/>
  <c r="Z445" i="2"/>
  <c r="Y445" i="2"/>
  <c r="P445" i="2"/>
  <c r="BP444" i="2"/>
  <c r="BO444" i="2"/>
  <c r="BM444" i="2"/>
  <c r="Z444" i="2"/>
  <c r="Y444" i="2"/>
  <c r="BN444" i="2" s="1"/>
  <c r="P444" i="2"/>
  <c r="BO443" i="2"/>
  <c r="BM443" i="2"/>
  <c r="Y443" i="2"/>
  <c r="Y447" i="2" s="1"/>
  <c r="P443" i="2"/>
  <c r="Y441" i="2"/>
  <c r="X441" i="2"/>
  <c r="X440" i="2"/>
  <c r="BO439" i="2"/>
  <c r="BM439" i="2"/>
  <c r="Y439" i="2"/>
  <c r="BP439" i="2" s="1"/>
  <c r="P439" i="2"/>
  <c r="BO438" i="2"/>
  <c r="BM438" i="2"/>
  <c r="Z438" i="2"/>
  <c r="Y438" i="2"/>
  <c r="BP438" i="2" s="1"/>
  <c r="P438" i="2"/>
  <c r="BP437" i="2"/>
  <c r="BO437" i="2"/>
  <c r="BN437" i="2"/>
  <c r="BM437" i="2"/>
  <c r="Z437" i="2"/>
  <c r="Y437" i="2"/>
  <c r="P437" i="2"/>
  <c r="BO436" i="2"/>
  <c r="BN436" i="2"/>
  <c r="BM436" i="2"/>
  <c r="Y436" i="2"/>
  <c r="BP436" i="2" s="1"/>
  <c r="P436" i="2"/>
  <c r="BP435" i="2"/>
  <c r="BO435" i="2"/>
  <c r="BN435" i="2"/>
  <c r="BM435" i="2"/>
  <c r="Z435" i="2"/>
  <c r="Y435" i="2"/>
  <c r="P435" i="2"/>
  <c r="BP434" i="2"/>
  <c r="BO434" i="2"/>
  <c r="BM434" i="2"/>
  <c r="Z434" i="2"/>
  <c r="Y434" i="2"/>
  <c r="BN434" i="2" s="1"/>
  <c r="P434" i="2"/>
  <c r="BO433" i="2"/>
  <c r="BM433" i="2"/>
  <c r="Y433" i="2"/>
  <c r="BP433" i="2" s="1"/>
  <c r="P433" i="2"/>
  <c r="BP432" i="2"/>
  <c r="BO432" i="2"/>
  <c r="BM432" i="2"/>
  <c r="Y432" i="2"/>
  <c r="BN432" i="2" s="1"/>
  <c r="P432" i="2"/>
  <c r="Y428" i="2"/>
  <c r="X428" i="2"/>
  <c r="Y427" i="2"/>
  <c r="X427" i="2"/>
  <c r="BO426" i="2"/>
  <c r="BM426" i="2"/>
  <c r="Z426" i="2"/>
  <c r="Y426" i="2"/>
  <c r="BP426" i="2" s="1"/>
  <c r="P426" i="2"/>
  <c r="BP425" i="2"/>
  <c r="BO425" i="2"/>
  <c r="BN425" i="2"/>
  <c r="BM425" i="2"/>
  <c r="Z425" i="2"/>
  <c r="Y425" i="2"/>
  <c r="P425" i="2"/>
  <c r="BO424" i="2"/>
  <c r="BN424" i="2"/>
  <c r="BM424" i="2"/>
  <c r="Y424" i="2"/>
  <c r="V566" i="2" s="1"/>
  <c r="P424" i="2"/>
  <c r="Y421" i="2"/>
  <c r="X421" i="2"/>
  <c r="Y420" i="2"/>
  <c r="X420" i="2"/>
  <c r="BO419" i="2"/>
  <c r="BM419" i="2"/>
  <c r="Y419" i="2"/>
  <c r="BP419" i="2" s="1"/>
  <c r="P419" i="2"/>
  <c r="BO418" i="2"/>
  <c r="BN418" i="2"/>
  <c r="BM418" i="2"/>
  <c r="Z418" i="2"/>
  <c r="Y418" i="2"/>
  <c r="U566" i="2" s="1"/>
  <c r="P418" i="2"/>
  <c r="Y415" i="2"/>
  <c r="X415" i="2"/>
  <c r="X414" i="2"/>
  <c r="BO413" i="2"/>
  <c r="BM413" i="2"/>
  <c r="Z413" i="2"/>
  <c r="Y413" i="2"/>
  <c r="BP413" i="2" s="1"/>
  <c r="P413" i="2"/>
  <c r="BO412" i="2"/>
  <c r="BM412" i="2"/>
  <c r="Y412" i="2"/>
  <c r="BP412" i="2" s="1"/>
  <c r="P412" i="2"/>
  <c r="BP411" i="2"/>
  <c r="BO411" i="2"/>
  <c r="BM411" i="2"/>
  <c r="Y411" i="2"/>
  <c r="Y414" i="2" s="1"/>
  <c r="P411" i="2"/>
  <c r="X409" i="2"/>
  <c r="X408" i="2"/>
  <c r="BO407" i="2"/>
  <c r="BM407" i="2"/>
  <c r="Y407" i="2"/>
  <c r="BP407" i="2" s="1"/>
  <c r="P407" i="2"/>
  <c r="BP406" i="2"/>
  <c r="BO406" i="2"/>
  <c r="BM406" i="2"/>
  <c r="Y406" i="2"/>
  <c r="BN406" i="2" s="1"/>
  <c r="P406" i="2"/>
  <c r="BP405" i="2"/>
  <c r="BO405" i="2"/>
  <c r="BM405" i="2"/>
  <c r="Y405" i="2"/>
  <c r="Y409" i="2" s="1"/>
  <c r="P405" i="2"/>
  <c r="X403" i="2"/>
  <c r="X402" i="2"/>
  <c r="BP401" i="2"/>
  <c r="BO401" i="2"/>
  <c r="BN401" i="2"/>
  <c r="BM401" i="2"/>
  <c r="Z401" i="2"/>
  <c r="Y401" i="2"/>
  <c r="P401" i="2"/>
  <c r="BO400" i="2"/>
  <c r="BN400" i="2"/>
  <c r="BM400" i="2"/>
  <c r="Y400" i="2"/>
  <c r="BP400" i="2" s="1"/>
  <c r="P400" i="2"/>
  <c r="BP399" i="2"/>
  <c r="BO399" i="2"/>
  <c r="BN399" i="2"/>
  <c r="BM399" i="2"/>
  <c r="Z399" i="2"/>
  <c r="Y399" i="2"/>
  <c r="Y403" i="2" s="1"/>
  <c r="P399" i="2"/>
  <c r="BP398" i="2"/>
  <c r="BO398" i="2"/>
  <c r="BM398" i="2"/>
  <c r="Z398" i="2"/>
  <c r="Y398" i="2"/>
  <c r="BN398" i="2" s="1"/>
  <c r="P398" i="2"/>
  <c r="X396" i="2"/>
  <c r="X395" i="2"/>
  <c r="BP394" i="2"/>
  <c r="BO394" i="2"/>
  <c r="BN394" i="2"/>
  <c r="BM394" i="2"/>
  <c r="Z394" i="2"/>
  <c r="Y394" i="2"/>
  <c r="P394" i="2"/>
  <c r="BO393" i="2"/>
  <c r="BN393" i="2"/>
  <c r="BM393" i="2"/>
  <c r="Y393" i="2"/>
  <c r="BP393" i="2" s="1"/>
  <c r="P393" i="2"/>
  <c r="BO392" i="2"/>
  <c r="BM392" i="2"/>
  <c r="Z392" i="2"/>
  <c r="Y392" i="2"/>
  <c r="Y396" i="2" s="1"/>
  <c r="P392" i="2"/>
  <c r="X390" i="2"/>
  <c r="X389" i="2"/>
  <c r="BO388" i="2"/>
  <c r="BN388" i="2"/>
  <c r="BM388" i="2"/>
  <c r="Z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Y390" i="2" s="1"/>
  <c r="P386" i="2"/>
  <c r="BO385" i="2"/>
  <c r="BN385" i="2"/>
  <c r="BM385" i="2"/>
  <c r="Z385" i="2"/>
  <c r="Y385" i="2"/>
  <c r="BP385" i="2" s="1"/>
  <c r="P385" i="2"/>
  <c r="X383" i="2"/>
  <c r="X382" i="2"/>
  <c r="BO381" i="2"/>
  <c r="BM381" i="2"/>
  <c r="Z381" i="2"/>
  <c r="Y381" i="2"/>
  <c r="BP381" i="2" s="1"/>
  <c r="P381" i="2"/>
  <c r="BO380" i="2"/>
  <c r="BM380" i="2"/>
  <c r="Y380" i="2"/>
  <c r="BP380" i="2" s="1"/>
  <c r="P380" i="2"/>
  <c r="BP379" i="2"/>
  <c r="BO379" i="2"/>
  <c r="BM379" i="2"/>
  <c r="Y379" i="2"/>
  <c r="BN379" i="2" s="1"/>
  <c r="P379" i="2"/>
  <c r="BO378" i="2"/>
  <c r="BN378" i="2"/>
  <c r="BM378" i="2"/>
  <c r="Z378" i="2"/>
  <c r="Y378" i="2"/>
  <c r="BP378" i="2" s="1"/>
  <c r="P378" i="2"/>
  <c r="BO377" i="2"/>
  <c r="BM377" i="2"/>
  <c r="Y377" i="2"/>
  <c r="Y383" i="2" s="1"/>
  <c r="P377" i="2"/>
  <c r="BO376" i="2"/>
  <c r="BM376" i="2"/>
  <c r="Y376" i="2"/>
  <c r="Y382" i="2" s="1"/>
  <c r="P376" i="2"/>
  <c r="BO375" i="2"/>
  <c r="BN375" i="2"/>
  <c r="BM375" i="2"/>
  <c r="Z375" i="2"/>
  <c r="Y375" i="2"/>
  <c r="BP375" i="2" s="1"/>
  <c r="P375" i="2"/>
  <c r="X373" i="2"/>
  <c r="X372" i="2"/>
  <c r="BO371" i="2"/>
  <c r="BM371" i="2"/>
  <c r="Z371" i="2"/>
  <c r="Y371" i="2"/>
  <c r="BP371" i="2" s="1"/>
  <c r="P371" i="2"/>
  <c r="BO370" i="2"/>
  <c r="BM370" i="2"/>
  <c r="Y370" i="2"/>
  <c r="BP370" i="2" s="1"/>
  <c r="P370" i="2"/>
  <c r="BP369" i="2"/>
  <c r="BO369" i="2"/>
  <c r="BM369" i="2"/>
  <c r="Y369" i="2"/>
  <c r="BN369" i="2" s="1"/>
  <c r="P369" i="2"/>
  <c r="BO368" i="2"/>
  <c r="BN368" i="2"/>
  <c r="BM368" i="2"/>
  <c r="Z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Y372" i="2" s="1"/>
  <c r="P366" i="2"/>
  <c r="BO365" i="2"/>
  <c r="BN365" i="2"/>
  <c r="BM365" i="2"/>
  <c r="Z365" i="2"/>
  <c r="Y365" i="2"/>
  <c r="BP365" i="2" s="1"/>
  <c r="P365" i="2"/>
  <c r="Y362" i="2"/>
  <c r="X362" i="2"/>
  <c r="X361" i="2"/>
  <c r="BO360" i="2"/>
  <c r="BM360" i="2"/>
  <c r="Z360" i="2"/>
  <c r="Y360" i="2"/>
  <c r="BP360" i="2" s="1"/>
  <c r="P360" i="2"/>
  <c r="BO359" i="2"/>
  <c r="BM359" i="2"/>
  <c r="Y359" i="2"/>
  <c r="BP359" i="2" s="1"/>
  <c r="P359" i="2"/>
  <c r="BP358" i="2"/>
  <c r="BO358" i="2"/>
  <c r="BM358" i="2"/>
  <c r="Y358" i="2"/>
  <c r="Y361" i="2" s="1"/>
  <c r="P358" i="2"/>
  <c r="X355" i="2"/>
  <c r="X354" i="2"/>
  <c r="BO353" i="2"/>
  <c r="BM353" i="2"/>
  <c r="Y353" i="2"/>
  <c r="BP353" i="2" s="1"/>
  <c r="P353" i="2"/>
  <c r="BP352" i="2"/>
  <c r="BO352" i="2"/>
  <c r="BM352" i="2"/>
  <c r="Y352" i="2"/>
  <c r="BN352" i="2" s="1"/>
  <c r="P352" i="2"/>
  <c r="X350" i="2"/>
  <c r="X349" i="2"/>
  <c r="BO348" i="2"/>
  <c r="BM348" i="2"/>
  <c r="Y348" i="2"/>
  <c r="Y350" i="2" s="1"/>
  <c r="P348" i="2"/>
  <c r="BP347" i="2"/>
  <c r="BO347" i="2"/>
  <c r="BN347" i="2"/>
  <c r="BM347" i="2"/>
  <c r="Z347" i="2"/>
  <c r="Y347" i="2"/>
  <c r="P347" i="2"/>
  <c r="BO346" i="2"/>
  <c r="BN346" i="2"/>
  <c r="BM346" i="2"/>
  <c r="Y346" i="2"/>
  <c r="BP346" i="2" s="1"/>
  <c r="P346" i="2"/>
  <c r="BP345" i="2"/>
  <c r="BO345" i="2"/>
  <c r="BN345" i="2"/>
  <c r="BM345" i="2"/>
  <c r="Z345" i="2"/>
  <c r="Y345" i="2"/>
  <c r="P345" i="2"/>
  <c r="BP344" i="2"/>
  <c r="BO344" i="2"/>
  <c r="BM344" i="2"/>
  <c r="Z344" i="2"/>
  <c r="Y344" i="2"/>
  <c r="BN344" i="2" s="1"/>
  <c r="P344" i="2"/>
  <c r="X341" i="2"/>
  <c r="X340" i="2"/>
  <c r="BP339" i="2"/>
  <c r="BO339" i="2"/>
  <c r="BN339" i="2"/>
  <c r="BM339" i="2"/>
  <c r="Z339" i="2"/>
  <c r="Y339" i="2"/>
  <c r="P339" i="2"/>
  <c r="BO338" i="2"/>
  <c r="BN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N332" i="2"/>
  <c r="BM332" i="2"/>
  <c r="Z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N329" i="2"/>
  <c r="BM329" i="2"/>
  <c r="Z329" i="2"/>
  <c r="Y329" i="2"/>
  <c r="BP329" i="2" s="1"/>
  <c r="P329" i="2"/>
  <c r="BP328" i="2"/>
  <c r="BO328" i="2"/>
  <c r="BN328" i="2"/>
  <c r="BM328" i="2"/>
  <c r="Z328" i="2"/>
  <c r="Y328" i="2"/>
  <c r="P328" i="2"/>
  <c r="BO327" i="2"/>
  <c r="BN327" i="2"/>
  <c r="BM327" i="2"/>
  <c r="Y327" i="2"/>
  <c r="Y334" i="2" s="1"/>
  <c r="P327" i="2"/>
  <c r="Y324" i="2"/>
  <c r="X324" i="2"/>
  <c r="Y323" i="2"/>
  <c r="X323" i="2"/>
  <c r="BP322" i="2"/>
  <c r="BO322" i="2"/>
  <c r="BM322" i="2"/>
  <c r="Y322" i="2"/>
  <c r="BN322" i="2" s="1"/>
  <c r="P322" i="2"/>
  <c r="X320" i="2"/>
  <c r="X319" i="2"/>
  <c r="BO318" i="2"/>
  <c r="BM318" i="2"/>
  <c r="Y318" i="2"/>
  <c r="Y320" i="2" s="1"/>
  <c r="P318" i="2"/>
  <c r="Y316" i="2"/>
  <c r="X316" i="2"/>
  <c r="X315" i="2"/>
  <c r="BO314" i="2"/>
  <c r="BN314" i="2"/>
  <c r="BM314" i="2"/>
  <c r="Y314" i="2"/>
  <c r="Y315" i="2" s="1"/>
  <c r="P314" i="2"/>
  <c r="X312" i="2"/>
  <c r="X311" i="2"/>
  <c r="BP310" i="2"/>
  <c r="BO310" i="2"/>
  <c r="BM310" i="2"/>
  <c r="Y310" i="2"/>
  <c r="BN310" i="2" s="1"/>
  <c r="P310" i="2"/>
  <c r="BO309" i="2"/>
  <c r="BN309" i="2"/>
  <c r="BM309" i="2"/>
  <c r="Z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N306" i="2"/>
  <c r="BM306" i="2"/>
  <c r="Z306" i="2"/>
  <c r="Y306" i="2"/>
  <c r="BP306" i="2" s="1"/>
  <c r="P306" i="2"/>
  <c r="BP305" i="2"/>
  <c r="BO305" i="2"/>
  <c r="BN305" i="2"/>
  <c r="BM305" i="2"/>
  <c r="Z305" i="2"/>
  <c r="Y305" i="2"/>
  <c r="P305" i="2"/>
  <c r="BO304" i="2"/>
  <c r="BN304" i="2"/>
  <c r="BM304" i="2"/>
  <c r="Y304" i="2"/>
  <c r="BP304" i="2" s="1"/>
  <c r="P304" i="2"/>
  <c r="Y301" i="2"/>
  <c r="X301" i="2"/>
  <c r="Y300" i="2"/>
  <c r="X300" i="2"/>
  <c r="BP299" i="2"/>
  <c r="BO299" i="2"/>
  <c r="BM299" i="2"/>
  <c r="Y299" i="2"/>
  <c r="BN299" i="2" s="1"/>
  <c r="P299" i="2"/>
  <c r="BO298" i="2"/>
  <c r="BN298" i="2"/>
  <c r="BM298" i="2"/>
  <c r="Z298" i="2"/>
  <c r="Y298" i="2"/>
  <c r="BP298" i="2" s="1"/>
  <c r="P298" i="2"/>
  <c r="X296" i="2"/>
  <c r="X295" i="2"/>
  <c r="BP294" i="2"/>
  <c r="BO294" i="2"/>
  <c r="BM294" i="2"/>
  <c r="Y294" i="2"/>
  <c r="BN294" i="2" s="1"/>
  <c r="P294" i="2"/>
  <c r="BP293" i="2"/>
  <c r="BO293" i="2"/>
  <c r="BM293" i="2"/>
  <c r="Y293" i="2"/>
  <c r="BN293" i="2" s="1"/>
  <c r="P293" i="2"/>
  <c r="BO292" i="2"/>
  <c r="BN292" i="2"/>
  <c r="BM292" i="2"/>
  <c r="Z292" i="2"/>
  <c r="Y292" i="2"/>
  <c r="BP292" i="2" s="1"/>
  <c r="P292" i="2"/>
  <c r="BO291" i="2"/>
  <c r="BM291" i="2"/>
  <c r="Z291" i="2"/>
  <c r="Y291" i="2"/>
  <c r="BP291" i="2" s="1"/>
  <c r="P291" i="2"/>
  <c r="BO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Z285" i="2"/>
  <c r="Y285" i="2"/>
  <c r="BP285" i="2" s="1"/>
  <c r="P285" i="2"/>
  <c r="BP284" i="2"/>
  <c r="BO284" i="2"/>
  <c r="BN284" i="2"/>
  <c r="BM284" i="2"/>
  <c r="Z284" i="2"/>
  <c r="Y284" i="2"/>
  <c r="P284" i="2"/>
  <c r="BO283" i="2"/>
  <c r="BN283" i="2"/>
  <c r="BM283" i="2"/>
  <c r="Y283" i="2"/>
  <c r="BP283" i="2" s="1"/>
  <c r="P283" i="2"/>
  <c r="X281" i="2"/>
  <c r="X280" i="2"/>
  <c r="BP279" i="2"/>
  <c r="BO279" i="2"/>
  <c r="BM279" i="2"/>
  <c r="Y279" i="2"/>
  <c r="BN279" i="2" s="1"/>
  <c r="P279" i="2"/>
  <c r="BO278" i="2"/>
  <c r="BN278" i="2"/>
  <c r="BM278" i="2"/>
  <c r="Z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N275" i="2"/>
  <c r="BM275" i="2"/>
  <c r="Z275" i="2"/>
  <c r="Y275" i="2"/>
  <c r="BP275" i="2" s="1"/>
  <c r="P275" i="2"/>
  <c r="BP274" i="2"/>
  <c r="BO274" i="2"/>
  <c r="BN274" i="2"/>
  <c r="BM274" i="2"/>
  <c r="Z274" i="2"/>
  <c r="Y274" i="2"/>
  <c r="P274" i="2"/>
  <c r="BO273" i="2"/>
  <c r="BN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N268" i="2"/>
  <c r="BM268" i="2"/>
  <c r="Z268" i="2"/>
  <c r="Y268" i="2"/>
  <c r="BP268" i="2" s="1"/>
  <c r="P268" i="2"/>
  <c r="BO267" i="2"/>
  <c r="BM267" i="2"/>
  <c r="Y267" i="2"/>
  <c r="Y270" i="2" s="1"/>
  <c r="P267" i="2"/>
  <c r="X265" i="2"/>
  <c r="Y264" i="2"/>
  <c r="X264" i="2"/>
  <c r="BP263" i="2"/>
  <c r="BO263" i="2"/>
  <c r="BM263" i="2"/>
  <c r="Y263" i="2"/>
  <c r="BN263" i="2" s="1"/>
  <c r="P263" i="2"/>
  <c r="BO262" i="2"/>
  <c r="BN262" i="2"/>
  <c r="BM262" i="2"/>
  <c r="Z262" i="2"/>
  <c r="Y262" i="2"/>
  <c r="Y265" i="2" s="1"/>
  <c r="P262" i="2"/>
  <c r="X259" i="2"/>
  <c r="X258" i="2"/>
  <c r="BP257" i="2"/>
  <c r="BO257" i="2"/>
  <c r="BN257" i="2"/>
  <c r="BM257" i="2"/>
  <c r="Y257" i="2"/>
  <c r="Y259" i="2" s="1"/>
  <c r="P257" i="2"/>
  <c r="Y255" i="2"/>
  <c r="X255" i="2"/>
  <c r="Y254" i="2"/>
  <c r="X254" i="2"/>
  <c r="BO253" i="2"/>
  <c r="BM253" i="2"/>
  <c r="Y253" i="2"/>
  <c r="BP253" i="2" s="1"/>
  <c r="P253" i="2"/>
  <c r="BO252" i="2"/>
  <c r="BN252" i="2"/>
  <c r="BM252" i="2"/>
  <c r="Z252" i="2"/>
  <c r="Y252" i="2"/>
  <c r="BP252" i="2" s="1"/>
  <c r="P252" i="2"/>
  <c r="BP251" i="2"/>
  <c r="BO251" i="2"/>
  <c r="BN251" i="2"/>
  <c r="BM251" i="2"/>
  <c r="Z251" i="2"/>
  <c r="Y251" i="2"/>
  <c r="P251" i="2"/>
  <c r="X249" i="2"/>
  <c r="X248" i="2"/>
  <c r="BO247" i="2"/>
  <c r="BM247" i="2"/>
  <c r="Y247" i="2"/>
  <c r="BP247" i="2" s="1"/>
  <c r="P247" i="2"/>
  <c r="BP246" i="2"/>
  <c r="BO246" i="2"/>
  <c r="BM246" i="2"/>
  <c r="Y246" i="2"/>
  <c r="BN246" i="2" s="1"/>
  <c r="P246" i="2"/>
  <c r="BO245" i="2"/>
  <c r="BN245" i="2"/>
  <c r="BM245" i="2"/>
  <c r="Z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N242" i="2"/>
  <c r="BM242" i="2"/>
  <c r="Z242" i="2"/>
  <c r="Y242" i="2"/>
  <c r="BP242" i="2" s="1"/>
  <c r="P242" i="2"/>
  <c r="BP241" i="2"/>
  <c r="BO241" i="2"/>
  <c r="BN241" i="2"/>
  <c r="BM241" i="2"/>
  <c r="Z241" i="2"/>
  <c r="Y241" i="2"/>
  <c r="P241" i="2"/>
  <c r="BO240" i="2"/>
  <c r="BN240" i="2"/>
  <c r="BM240" i="2"/>
  <c r="Y240" i="2"/>
  <c r="BP240" i="2" s="1"/>
  <c r="P240" i="2"/>
  <c r="BO239" i="2"/>
  <c r="BM239" i="2"/>
  <c r="Y239" i="2"/>
  <c r="Y249" i="2" s="1"/>
  <c r="P239" i="2"/>
  <c r="X237" i="2"/>
  <c r="X236" i="2"/>
  <c r="BO235" i="2"/>
  <c r="BN235" i="2"/>
  <c r="BM235" i="2"/>
  <c r="Z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N232" i="2"/>
  <c r="BM232" i="2"/>
  <c r="Z232" i="2"/>
  <c r="Y232" i="2"/>
  <c r="BP232" i="2" s="1"/>
  <c r="P232" i="2"/>
  <c r="BP231" i="2"/>
  <c r="BO231" i="2"/>
  <c r="BN231" i="2"/>
  <c r="BM231" i="2"/>
  <c r="Z231" i="2"/>
  <c r="Y231" i="2"/>
  <c r="P231" i="2"/>
  <c r="BO230" i="2"/>
  <c r="BN230" i="2"/>
  <c r="BM230" i="2"/>
  <c r="Y230" i="2"/>
  <c r="BP230" i="2" s="1"/>
  <c r="P230" i="2"/>
  <c r="BO229" i="2"/>
  <c r="BM229" i="2"/>
  <c r="Y229" i="2"/>
  <c r="Z229" i="2" s="1"/>
  <c r="P229" i="2"/>
  <c r="BP228" i="2"/>
  <c r="BO228" i="2"/>
  <c r="BN228" i="2"/>
  <c r="BM228" i="2"/>
  <c r="Z228" i="2"/>
  <c r="Y228" i="2"/>
  <c r="P228" i="2"/>
  <c r="BP227" i="2"/>
  <c r="BO227" i="2"/>
  <c r="BN227" i="2"/>
  <c r="BM227" i="2"/>
  <c r="Y227" i="2"/>
  <c r="Z227" i="2" s="1"/>
  <c r="P227" i="2"/>
  <c r="BP226" i="2"/>
  <c r="BO226" i="2"/>
  <c r="BN226" i="2"/>
  <c r="BM226" i="2"/>
  <c r="Z226" i="2"/>
  <c r="Y226" i="2"/>
  <c r="P226" i="2"/>
  <c r="BP225" i="2"/>
  <c r="BO225" i="2"/>
  <c r="BM225" i="2"/>
  <c r="Z225" i="2"/>
  <c r="Y225" i="2"/>
  <c r="BN225" i="2" s="1"/>
  <c r="P225" i="2"/>
  <c r="BO224" i="2"/>
  <c r="BM224" i="2"/>
  <c r="Y224" i="2"/>
  <c r="Z224" i="2" s="1"/>
  <c r="P224" i="2"/>
  <c r="BP223" i="2"/>
  <c r="BO223" i="2"/>
  <c r="BM223" i="2"/>
  <c r="Y223" i="2"/>
  <c r="BN223" i="2" s="1"/>
  <c r="P223" i="2"/>
  <c r="BP222" i="2"/>
  <c r="BO222" i="2"/>
  <c r="BM222" i="2"/>
  <c r="Y222" i="2"/>
  <c r="BN222" i="2" s="1"/>
  <c r="P222" i="2"/>
  <c r="BO221" i="2"/>
  <c r="BM221" i="2"/>
  <c r="Z221" i="2"/>
  <c r="Y221" i="2"/>
  <c r="Y237" i="2" s="1"/>
  <c r="P221" i="2"/>
  <c r="X219" i="2"/>
  <c r="X218" i="2"/>
  <c r="BP217" i="2"/>
  <c r="BO217" i="2"/>
  <c r="BN217" i="2"/>
  <c r="BM217" i="2"/>
  <c r="Y217" i="2"/>
  <c r="Y219" i="2" s="1"/>
  <c r="P217" i="2"/>
  <c r="X214" i="2"/>
  <c r="Y213" i="2"/>
  <c r="X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N209" i="2"/>
  <c r="BM209" i="2"/>
  <c r="Y209" i="2"/>
  <c r="BP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P206" i="2"/>
  <c r="BO206" i="2"/>
  <c r="BN206" i="2"/>
  <c r="BM206" i="2"/>
  <c r="Y206" i="2"/>
  <c r="Z206" i="2" s="1"/>
  <c r="P206" i="2"/>
  <c r="Y202" i="2"/>
  <c r="X202" i="2"/>
  <c r="Y201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X194" i="2"/>
  <c r="X193" i="2"/>
  <c r="BP192" i="2"/>
  <c r="BO192" i="2"/>
  <c r="BN192" i="2"/>
  <c r="BM192" i="2"/>
  <c r="Y192" i="2"/>
  <c r="Z192" i="2" s="1"/>
  <c r="P192" i="2"/>
  <c r="BP191" i="2"/>
  <c r="BO191" i="2"/>
  <c r="BN191" i="2"/>
  <c r="BM191" i="2"/>
  <c r="Z191" i="2"/>
  <c r="Y191" i="2"/>
  <c r="Y194" i="2" s="1"/>
  <c r="P191" i="2"/>
  <c r="BP190" i="2"/>
  <c r="BO190" i="2"/>
  <c r="BM190" i="2"/>
  <c r="Z190" i="2"/>
  <c r="Y190" i="2"/>
  <c r="Y193" i="2" s="1"/>
  <c r="P190" i="2"/>
  <c r="X188" i="2"/>
  <c r="X187" i="2"/>
  <c r="BP186" i="2"/>
  <c r="BO186" i="2"/>
  <c r="BN186" i="2"/>
  <c r="BM186" i="2"/>
  <c r="Z186" i="2"/>
  <c r="Y186" i="2"/>
  <c r="P186" i="2"/>
  <c r="BO185" i="2"/>
  <c r="BN185" i="2"/>
  <c r="BM185" i="2"/>
  <c r="Y185" i="2"/>
  <c r="BP185" i="2" s="1"/>
  <c r="P185" i="2"/>
  <c r="BO184" i="2"/>
  <c r="BM184" i="2"/>
  <c r="Y184" i="2"/>
  <c r="BP184" i="2" s="1"/>
  <c r="P184" i="2"/>
  <c r="BP183" i="2"/>
  <c r="BO183" i="2"/>
  <c r="BN183" i="2"/>
  <c r="BM183" i="2"/>
  <c r="Z183" i="2"/>
  <c r="Y183" i="2"/>
  <c r="P183" i="2"/>
  <c r="BP182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P180" i="2"/>
  <c r="BO180" i="2"/>
  <c r="BM180" i="2"/>
  <c r="Z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Z178" i="2"/>
  <c r="Y178" i="2"/>
  <c r="BN178" i="2" s="1"/>
  <c r="P178" i="2"/>
  <c r="BP177" i="2"/>
  <c r="BO177" i="2"/>
  <c r="BM177" i="2"/>
  <c r="Z177" i="2"/>
  <c r="Y177" i="2"/>
  <c r="BN177" i="2" s="1"/>
  <c r="P177" i="2"/>
  <c r="BO176" i="2"/>
  <c r="BM176" i="2"/>
  <c r="Y176" i="2"/>
  <c r="Z176" i="2" s="1"/>
  <c r="P176" i="2"/>
  <c r="X174" i="2"/>
  <c r="X173" i="2"/>
  <c r="BP172" i="2"/>
  <c r="BO172" i="2"/>
  <c r="BN172" i="2"/>
  <c r="BM172" i="2"/>
  <c r="Y172" i="2"/>
  <c r="Z172" i="2" s="1"/>
  <c r="P172" i="2"/>
  <c r="BP171" i="2"/>
  <c r="BO171" i="2"/>
  <c r="BN171" i="2"/>
  <c r="BM171" i="2"/>
  <c r="Z171" i="2"/>
  <c r="Z173" i="2" s="1"/>
  <c r="Y171" i="2"/>
  <c r="Y174" i="2" s="1"/>
  <c r="P171" i="2"/>
  <c r="X169" i="2"/>
  <c r="X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N165" i="2"/>
  <c r="BM165" i="2"/>
  <c r="Y165" i="2"/>
  <c r="BP165" i="2" s="1"/>
  <c r="P165" i="2"/>
  <c r="BO164" i="2"/>
  <c r="BM164" i="2"/>
  <c r="Y164" i="2"/>
  <c r="J566" i="2" s="1"/>
  <c r="P164" i="2"/>
  <c r="Y161" i="2"/>
  <c r="X161" i="2"/>
  <c r="Y160" i="2"/>
  <c r="X160" i="2"/>
  <c r="BO159" i="2"/>
  <c r="BN159" i="2"/>
  <c r="BM159" i="2"/>
  <c r="Z159" i="2"/>
  <c r="Z160" i="2" s="1"/>
  <c r="Y159" i="2"/>
  <c r="BP159" i="2" s="1"/>
  <c r="P159" i="2"/>
  <c r="X157" i="2"/>
  <c r="X156" i="2"/>
  <c r="BP155" i="2"/>
  <c r="BO155" i="2"/>
  <c r="BM155" i="2"/>
  <c r="Z155" i="2"/>
  <c r="Y155" i="2"/>
  <c r="BN155" i="2" s="1"/>
  <c r="P155" i="2"/>
  <c r="BP154" i="2"/>
  <c r="BO154" i="2"/>
  <c r="BM154" i="2"/>
  <c r="Z154" i="2"/>
  <c r="Y154" i="2"/>
  <c r="BN154" i="2" s="1"/>
  <c r="P154" i="2"/>
  <c r="BO153" i="2"/>
  <c r="BM153" i="2"/>
  <c r="Y153" i="2"/>
  <c r="Y156" i="2" s="1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P150" i="2"/>
  <c r="BO150" i="2"/>
  <c r="BN150" i="2"/>
  <c r="BM150" i="2"/>
  <c r="Y150" i="2"/>
  <c r="I566" i="2" s="1"/>
  <c r="P150" i="2"/>
  <c r="X147" i="2"/>
  <c r="X146" i="2"/>
  <c r="BO145" i="2"/>
  <c r="BM145" i="2"/>
  <c r="Y145" i="2"/>
  <c r="BP145" i="2" s="1"/>
  <c r="P145" i="2"/>
  <c r="BP144" i="2"/>
  <c r="BO144" i="2"/>
  <c r="BM144" i="2"/>
  <c r="Z144" i="2"/>
  <c r="Y144" i="2"/>
  <c r="BN144" i="2" s="1"/>
  <c r="P144" i="2"/>
  <c r="X142" i="2"/>
  <c r="X141" i="2"/>
  <c r="BO140" i="2"/>
  <c r="BM140" i="2"/>
  <c r="Y140" i="2"/>
  <c r="Y142" i="2" s="1"/>
  <c r="P140" i="2"/>
  <c r="BP139" i="2"/>
  <c r="BO139" i="2"/>
  <c r="BN139" i="2"/>
  <c r="BM139" i="2"/>
  <c r="Z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P125" i="2"/>
  <c r="BO125" i="2"/>
  <c r="BN125" i="2"/>
  <c r="BM125" i="2"/>
  <c r="Y125" i="2"/>
  <c r="Z125" i="2" s="1"/>
  <c r="P125" i="2"/>
  <c r="BP124" i="2"/>
  <c r="BO124" i="2"/>
  <c r="BN124" i="2"/>
  <c r="BM124" i="2"/>
  <c r="Z124" i="2"/>
  <c r="Y124" i="2"/>
  <c r="P124" i="2"/>
  <c r="BP123" i="2"/>
  <c r="BO123" i="2"/>
  <c r="BM123" i="2"/>
  <c r="Z123" i="2"/>
  <c r="Y123" i="2"/>
  <c r="BN123" i="2" s="1"/>
  <c r="P123" i="2"/>
  <c r="BO122" i="2"/>
  <c r="BM122" i="2"/>
  <c r="Y122" i="2"/>
  <c r="Y127" i="2" s="1"/>
  <c r="P122" i="2"/>
  <c r="Y120" i="2"/>
  <c r="X120" i="2"/>
  <c r="X119" i="2"/>
  <c r="BO118" i="2"/>
  <c r="BN118" i="2"/>
  <c r="BM118" i="2"/>
  <c r="Y118" i="2"/>
  <c r="BP118" i="2" s="1"/>
  <c r="P118" i="2"/>
  <c r="BO117" i="2"/>
  <c r="BM117" i="2"/>
  <c r="Y117" i="2"/>
  <c r="Y119" i="2" s="1"/>
  <c r="P117" i="2"/>
  <c r="BP116" i="2"/>
  <c r="BO116" i="2"/>
  <c r="BN116" i="2"/>
  <c r="BM116" i="2"/>
  <c r="Z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N108" i="2"/>
  <c r="BM108" i="2"/>
  <c r="Y108" i="2"/>
  <c r="BP108" i="2" s="1"/>
  <c r="P108" i="2"/>
  <c r="BO107" i="2"/>
  <c r="BM107" i="2"/>
  <c r="Y107" i="2"/>
  <c r="Y114" i="2" s="1"/>
  <c r="P107" i="2"/>
  <c r="BP106" i="2"/>
  <c r="BO106" i="2"/>
  <c r="BN106" i="2"/>
  <c r="BM106" i="2"/>
  <c r="Z106" i="2"/>
  <c r="Y106" i="2"/>
  <c r="P106" i="2"/>
  <c r="BP105" i="2"/>
  <c r="BO105" i="2"/>
  <c r="BN105" i="2"/>
  <c r="BM105" i="2"/>
  <c r="Y105" i="2"/>
  <c r="Y113" i="2" s="1"/>
  <c r="P105" i="2"/>
  <c r="BP104" i="2"/>
  <c r="BO104" i="2"/>
  <c r="BN104" i="2"/>
  <c r="BM104" i="2"/>
  <c r="Z104" i="2"/>
  <c r="Y104" i="2"/>
  <c r="G566" i="2" s="1"/>
  <c r="P104" i="2"/>
  <c r="X101" i="2"/>
  <c r="X100" i="2"/>
  <c r="BO99" i="2"/>
  <c r="BM99" i="2"/>
  <c r="Y99" i="2"/>
  <c r="BP99" i="2" s="1"/>
  <c r="P99" i="2"/>
  <c r="BP98" i="2"/>
  <c r="BO98" i="2"/>
  <c r="BN98" i="2"/>
  <c r="BM98" i="2"/>
  <c r="Z98" i="2"/>
  <c r="Y98" i="2"/>
  <c r="P98" i="2"/>
  <c r="BO97" i="2"/>
  <c r="BN97" i="2"/>
  <c r="BM97" i="2"/>
  <c r="Y97" i="2"/>
  <c r="BP97" i="2" s="1"/>
  <c r="P97" i="2"/>
  <c r="BO96" i="2"/>
  <c r="BM96" i="2"/>
  <c r="Y96" i="2"/>
  <c r="Y101" i="2" s="1"/>
  <c r="P96" i="2"/>
  <c r="Y94" i="2"/>
  <c r="X94" i="2"/>
  <c r="X93" i="2"/>
  <c r="BO92" i="2"/>
  <c r="BN92" i="2"/>
  <c r="BM92" i="2"/>
  <c r="Z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F566" i="2" s="1"/>
  <c r="P88" i="2"/>
  <c r="X85" i="2"/>
  <c r="X84" i="2"/>
  <c r="BO83" i="2"/>
  <c r="BM83" i="2"/>
  <c r="Y83" i="2"/>
  <c r="BP83" i="2" s="1"/>
  <c r="P83" i="2"/>
  <c r="BP82" i="2"/>
  <c r="BO82" i="2"/>
  <c r="BN82" i="2"/>
  <c r="BM82" i="2"/>
  <c r="Y82" i="2"/>
  <c r="Z82" i="2" s="1"/>
  <c r="P82" i="2"/>
  <c r="BO81" i="2"/>
  <c r="BN81" i="2"/>
  <c r="BM81" i="2"/>
  <c r="Z81" i="2"/>
  <c r="Y81" i="2"/>
  <c r="BP81" i="2" s="1"/>
  <c r="P81" i="2"/>
  <c r="X79" i="2"/>
  <c r="Z78" i="2"/>
  <c r="Y78" i="2"/>
  <c r="X78" i="2"/>
  <c r="BP77" i="2"/>
  <c r="BO77" i="2"/>
  <c r="BM77" i="2"/>
  <c r="Z77" i="2"/>
  <c r="Y77" i="2"/>
  <c r="BN77" i="2" s="1"/>
  <c r="P77" i="2"/>
  <c r="BP76" i="2"/>
  <c r="BO76" i="2"/>
  <c r="BM76" i="2"/>
  <c r="Z76" i="2"/>
  <c r="Y76" i="2"/>
  <c r="BN76" i="2" s="1"/>
  <c r="P76" i="2"/>
  <c r="X74" i="2"/>
  <c r="Y73" i="2"/>
  <c r="X73" i="2"/>
  <c r="BP72" i="2"/>
  <c r="BO72" i="2"/>
  <c r="BM72" i="2"/>
  <c r="Y72" i="2"/>
  <c r="BN72" i="2" s="1"/>
  <c r="P72" i="2"/>
  <c r="BP71" i="2"/>
  <c r="BO71" i="2"/>
  <c r="BN71" i="2"/>
  <c r="BM71" i="2"/>
  <c r="Y71" i="2"/>
  <c r="Z71" i="2" s="1"/>
  <c r="P71" i="2"/>
  <c r="BP70" i="2"/>
  <c r="BO70" i="2"/>
  <c r="BN70" i="2"/>
  <c r="BM70" i="2"/>
  <c r="Z70" i="2"/>
  <c r="Y70" i="2"/>
  <c r="P70" i="2"/>
  <c r="BP69" i="2"/>
  <c r="BO69" i="2"/>
  <c r="BN69" i="2"/>
  <c r="BM69" i="2"/>
  <c r="Z69" i="2"/>
  <c r="Y69" i="2"/>
  <c r="P69" i="2"/>
  <c r="BO68" i="2"/>
  <c r="BM68" i="2"/>
  <c r="Y68" i="2"/>
  <c r="Z68" i="2" s="1"/>
  <c r="P68" i="2"/>
  <c r="BP67" i="2"/>
  <c r="BO67" i="2"/>
  <c r="BM67" i="2"/>
  <c r="Z67" i="2"/>
  <c r="Y67" i="2"/>
  <c r="BN67" i="2" s="1"/>
  <c r="P67" i="2"/>
  <c r="X65" i="2"/>
  <c r="X64" i="2"/>
  <c r="BO63" i="2"/>
  <c r="BM63" i="2"/>
  <c r="Y63" i="2"/>
  <c r="Z63" i="2" s="1"/>
  <c r="P63" i="2"/>
  <c r="BP62" i="2"/>
  <c r="BO62" i="2"/>
  <c r="BM62" i="2"/>
  <c r="Y62" i="2"/>
  <c r="BN62" i="2" s="1"/>
  <c r="P62" i="2"/>
  <c r="BP61" i="2"/>
  <c r="BO61" i="2"/>
  <c r="BN61" i="2"/>
  <c r="BM61" i="2"/>
  <c r="Y61" i="2"/>
  <c r="Z61" i="2" s="1"/>
  <c r="P61" i="2"/>
  <c r="BP60" i="2"/>
  <c r="BO60" i="2"/>
  <c r="BN60" i="2"/>
  <c r="BM60" i="2"/>
  <c r="Z60" i="2"/>
  <c r="Y60" i="2"/>
  <c r="P60" i="2"/>
  <c r="BP59" i="2"/>
  <c r="BO59" i="2"/>
  <c r="BN59" i="2"/>
  <c r="BM59" i="2"/>
  <c r="Z59" i="2"/>
  <c r="Y59" i="2"/>
  <c r="P59" i="2"/>
  <c r="BO58" i="2"/>
  <c r="BM58" i="2"/>
  <c r="Y58" i="2"/>
  <c r="BP58" i="2" s="1"/>
  <c r="P58" i="2"/>
  <c r="BP57" i="2"/>
  <c r="BO57" i="2"/>
  <c r="BM57" i="2"/>
  <c r="Z57" i="2"/>
  <c r="Y57" i="2"/>
  <c r="BN57" i="2" s="1"/>
  <c r="P57" i="2"/>
  <c r="BP56" i="2"/>
  <c r="BO56" i="2"/>
  <c r="BM56" i="2"/>
  <c r="Z56" i="2"/>
  <c r="Y56" i="2"/>
  <c r="BN56" i="2" s="1"/>
  <c r="P56" i="2"/>
  <c r="BO55" i="2"/>
  <c r="BM55" i="2"/>
  <c r="Y55" i="2"/>
  <c r="Y65" i="2" s="1"/>
  <c r="P55" i="2"/>
  <c r="X52" i="2"/>
  <c r="X51" i="2"/>
  <c r="BP50" i="2"/>
  <c r="BO50" i="2"/>
  <c r="BN50" i="2"/>
  <c r="BM50" i="2"/>
  <c r="Y50" i="2"/>
  <c r="Z50" i="2" s="1"/>
  <c r="P50" i="2"/>
  <c r="BP49" i="2"/>
  <c r="BO49" i="2"/>
  <c r="BN49" i="2"/>
  <c r="BM49" i="2"/>
  <c r="Z49" i="2"/>
  <c r="Y49" i="2"/>
  <c r="P49" i="2"/>
  <c r="BP48" i="2"/>
  <c r="BO48" i="2"/>
  <c r="BN48" i="2"/>
  <c r="BM48" i="2"/>
  <c r="Z48" i="2"/>
  <c r="Y48" i="2"/>
  <c r="P48" i="2"/>
  <c r="BO47" i="2"/>
  <c r="BM47" i="2"/>
  <c r="Y47" i="2"/>
  <c r="Y52" i="2" s="1"/>
  <c r="P47" i="2"/>
  <c r="Y43" i="2"/>
  <c r="X43" i="2"/>
  <c r="X42" i="2"/>
  <c r="BO41" i="2"/>
  <c r="BN41" i="2"/>
  <c r="BM41" i="2"/>
  <c r="Y41" i="2"/>
  <c r="BP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P38" i="2"/>
  <c r="BO38" i="2"/>
  <c r="BN38" i="2"/>
  <c r="BM38" i="2"/>
  <c r="Y38" i="2"/>
  <c r="Z38" i="2" s="1"/>
  <c r="P38" i="2"/>
  <c r="BP37" i="2"/>
  <c r="BO37" i="2"/>
  <c r="BN37" i="2"/>
  <c r="BM37" i="2"/>
  <c r="Z37" i="2"/>
  <c r="Y37" i="2"/>
  <c r="Y42" i="2" s="1"/>
  <c r="P37" i="2"/>
  <c r="X33" i="2"/>
  <c r="X32" i="2"/>
  <c r="BO31" i="2"/>
  <c r="BM31" i="2"/>
  <c r="Y31" i="2"/>
  <c r="BP31" i="2" s="1"/>
  <c r="P31" i="2"/>
  <c r="BP30" i="2"/>
  <c r="BO30" i="2"/>
  <c r="X558" i="2" s="1"/>
  <c r="BN30" i="2"/>
  <c r="BM30" i="2"/>
  <c r="Z30" i="2"/>
  <c r="Y30" i="2"/>
  <c r="P30" i="2"/>
  <c r="BO29" i="2"/>
  <c r="BN29" i="2"/>
  <c r="BM29" i="2"/>
  <c r="Y29" i="2"/>
  <c r="BP29" i="2" s="1"/>
  <c r="P29" i="2"/>
  <c r="BO28" i="2"/>
  <c r="BM28" i="2"/>
  <c r="Y28" i="2"/>
  <c r="Y33" i="2" s="1"/>
  <c r="P28" i="2"/>
  <c r="BP27" i="2"/>
  <c r="BO27" i="2"/>
  <c r="BM27" i="2"/>
  <c r="Y27" i="2"/>
  <c r="BN27" i="2" s="1"/>
  <c r="P27" i="2"/>
  <c r="X25" i="2"/>
  <c r="X556" i="2" s="1"/>
  <c r="X24" i="2"/>
  <c r="X560" i="2" s="1"/>
  <c r="BO23" i="2"/>
  <c r="BM23" i="2"/>
  <c r="X557" i="2" s="1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280" i="2" l="1"/>
  <c r="Z420" i="2"/>
  <c r="X559" i="2"/>
  <c r="Z193" i="2"/>
  <c r="K566" i="2"/>
  <c r="Z153" i="2"/>
  <c r="Z367" i="2"/>
  <c r="Z377" i="2"/>
  <c r="Z387" i="2"/>
  <c r="Y402" i="2"/>
  <c r="Z455" i="2"/>
  <c r="Z457" i="2" s="1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13" i="2" s="1"/>
  <c r="Z239" i="2"/>
  <c r="Z348" i="2"/>
  <c r="Y373" i="2"/>
  <c r="Y531" i="2"/>
  <c r="Z58" i="2"/>
  <c r="BN112" i="2"/>
  <c r="Z145" i="2"/>
  <c r="Z146" i="2" s="1"/>
  <c r="Y214" i="2"/>
  <c r="Z318" i="2"/>
  <c r="Z319" i="2" s="1"/>
  <c r="Z443" i="2"/>
  <c r="Z446" i="2" s="1"/>
  <c r="Z513" i="2"/>
  <c r="BN525" i="2"/>
  <c r="BN40" i="2"/>
  <c r="Y74" i="2"/>
  <c r="Z83" i="2"/>
  <c r="Z84" i="2" s="1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Z93" i="2" s="1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Z187" i="2" s="1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Y558" i="2" s="1"/>
  <c r="BP63" i="2"/>
  <c r="BN83" i="2"/>
  <c r="BP96" i="2"/>
  <c r="Z105" i="2"/>
  <c r="Z113" i="2" s="1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Z349" i="2" s="1"/>
  <c r="BP348" i="2"/>
  <c r="BN359" i="2"/>
  <c r="BN370" i="2"/>
  <c r="BN380" i="2"/>
  <c r="BP392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R566" i="2"/>
  <c r="Z267" i="2"/>
  <c r="Z269" i="2" s="1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Z236" i="2" s="1"/>
  <c r="BP224" i="2"/>
  <c r="Z263" i="2"/>
  <c r="Z264" i="2" s="1"/>
  <c r="Z293" i="2"/>
  <c r="BP318" i="2"/>
  <c r="Y341" i="2"/>
  <c r="Z405" i="2"/>
  <c r="BP443" i="2"/>
  <c r="Z451" i="2"/>
  <c r="Z452" i="2" s="1"/>
  <c r="BP466" i="2"/>
  <c r="Z499" i="2"/>
  <c r="Z500" i="2" s="1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Z119" i="2" s="1"/>
  <c r="BN153" i="2"/>
  <c r="Y295" i="2"/>
  <c r="Z122" i="2"/>
  <c r="Z126" i="2" s="1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Z340" i="2" s="1"/>
  <c r="Y354" i="2"/>
  <c r="Z393" i="2"/>
  <c r="Z395" i="2" s="1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Z141" i="2" s="1"/>
  <c r="Y32" i="2"/>
  <c r="Y100" i="2"/>
  <c r="BN439" i="2"/>
  <c r="D566" i="2"/>
  <c r="W566" i="2"/>
  <c r="Z47" i="2"/>
  <c r="Z51" i="2" s="1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Z254" i="2" s="1"/>
  <c r="Y258" i="2"/>
  <c r="Z276" i="2"/>
  <c r="Z286" i="2"/>
  <c r="Z307" i="2"/>
  <c r="Z330" i="2"/>
  <c r="Y355" i="2"/>
  <c r="Z366" i="2"/>
  <c r="Z376" i="2"/>
  <c r="Z382" i="2" s="1"/>
  <c r="Z386" i="2"/>
  <c r="Z389" i="2" s="1"/>
  <c r="Z419" i="2"/>
  <c r="Z479" i="2"/>
  <c r="Y515" i="2"/>
  <c r="Z524" i="2"/>
  <c r="Z548" i="2"/>
  <c r="Z549" i="2" s="1"/>
  <c r="Y554" i="2"/>
  <c r="E566" i="2"/>
  <c r="X566" i="2"/>
  <c r="Z55" i="2"/>
  <c r="Z164" i="2"/>
  <c r="Z168" i="2" s="1"/>
  <c r="Y168" i="2"/>
  <c r="Z22" i="2"/>
  <c r="Z24" i="2" s="1"/>
  <c r="Z27" i="2"/>
  <c r="Z32" i="2" s="1"/>
  <c r="Z39" i="2"/>
  <c r="Z42" i="2" s="1"/>
  <c r="Z62" i="2"/>
  <c r="Z72" i="2"/>
  <c r="Z73" i="2" s="1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156" i="2" s="1"/>
  <c r="Z246" i="2"/>
  <c r="Z279" i="2"/>
  <c r="Z289" i="2"/>
  <c r="Z299" i="2"/>
  <c r="Z300" i="2" s="1"/>
  <c r="Z310" i="2"/>
  <c r="Z322" i="2"/>
  <c r="Z323" i="2" s="1"/>
  <c r="Z358" i="2"/>
  <c r="Z361" i="2" s="1"/>
  <c r="Z369" i="2"/>
  <c r="Z379" i="2"/>
  <c r="Z411" i="2"/>
  <c r="Z414" i="2" s="1"/>
  <c r="Y440" i="2"/>
  <c r="BP449" i="2"/>
  <c r="Z470" i="2"/>
  <c r="Z473" i="2" s="1"/>
  <c r="Z482" i="2"/>
  <c r="BP497" i="2"/>
  <c r="Z507" i="2"/>
  <c r="Z517" i="2"/>
  <c r="Z527" i="2"/>
  <c r="BP543" i="2"/>
  <c r="Y555" i="2"/>
  <c r="H566" i="2"/>
  <c r="Z96" i="2"/>
  <c r="Z100" i="2" s="1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372" i="2" l="1"/>
  <c r="Z514" i="2"/>
  <c r="Z333" i="2"/>
  <c r="Y557" i="2"/>
  <c r="Y559" i="2" s="1"/>
  <c r="Z311" i="2"/>
  <c r="Z440" i="2"/>
  <c r="Z408" i="2"/>
  <c r="Z64" i="2"/>
  <c r="Y560" i="2"/>
  <c r="Y556" i="2"/>
  <c r="Z295" i="2"/>
  <c r="Z354" i="2"/>
  <c r="Z520" i="2"/>
  <c r="Z530" i="2"/>
  <c r="Z484" i="2"/>
  <c r="Z248" i="2"/>
  <c r="Z561" i="2" s="1"/>
</calcChain>
</file>

<file path=xl/sharedStrings.xml><?xml version="1.0" encoding="utf-8"?>
<sst xmlns="http://schemas.openxmlformats.org/spreadsheetml/2006/main" count="4281" uniqueCount="891">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</sst>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6"/>
  <sheetViews>
    <sheetView showGridLines="0" tabSelected="1" topLeftCell="C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1011" t="s">
        <v>26</v>
      </c>
      <c r="E1" s="1011"/>
      <c r="F1" s="1011"/>
      <c r="G1" s="14" t="s">
        <v>67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68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/>
      <c r="I5" s="1015"/>
      <c r="J5" s="1015"/>
      <c r="K5" s="1015"/>
      <c r="L5" s="1015"/>
      <c r="M5" s="1015"/>
      <c r="N5" s="72"/>
      <c r="P5" s="27" t="s">
        <v>4</v>
      </c>
      <c r="Q5" s="1017">
        <v>46290</v>
      </c>
      <c r="R5" s="1017"/>
      <c r="T5" s="1018" t="s">
        <v>3</v>
      </c>
      <c r="U5" s="1019"/>
      <c r="V5" s="1020" t="s">
        <v>872</v>
      </c>
      <c r="W5" s="1021"/>
      <c r="AB5" s="59"/>
      <c r="AC5" s="59"/>
      <c r="AD5" s="59"/>
      <c r="AE5" s="59"/>
    </row>
    <row r="6" spans="1:32" s="17" customFormat="1" ht="24" customHeight="1" x14ac:dyDescent="0.25">
      <c r="A6" s="993" t="s">
        <v>1</v>
      </c>
      <c r="B6" s="993"/>
      <c r="C6" s="993"/>
      <c r="D6" s="994" t="s">
        <v>873</v>
      </c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Пятница</v>
      </c>
      <c r="R6" s="995"/>
      <c r="T6" s="996" t="s">
        <v>5</v>
      </c>
      <c r="U6" s="997"/>
      <c r="V6" s="998" t="s">
        <v>70</v>
      </c>
      <c r="W6" s="999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04" t="str">
        <f>IFERROR(VLOOKUP(DeliveryAddress,Table,3,0),1)</f>
        <v>1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5">
      <c r="A8" s="1007" t="s">
        <v>58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4.1666666666666664E-2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" customHeight="1" x14ac:dyDescent="0.25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55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8" t="s">
        <v>72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5">
      <c r="A13" s="968" t="s">
        <v>73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8" t="s">
        <v>74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70" t="s">
        <v>75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61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54" t="s">
        <v>59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66</v>
      </c>
      <c r="L17" s="954" t="s">
        <v>64</v>
      </c>
      <c r="M17" s="954" t="s">
        <v>2</v>
      </c>
      <c r="N17" s="954" t="s">
        <v>63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56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60</v>
      </c>
      <c r="AB17" s="960" t="s">
        <v>19</v>
      </c>
      <c r="AC17" s="960" t="s">
        <v>65</v>
      </c>
      <c r="AD17" s="962" t="s">
        <v>57</v>
      </c>
      <c r="AE17" s="963"/>
      <c r="AF17" s="964"/>
      <c r="AG17" s="82"/>
      <c r="BD17" s="81" t="s">
        <v>62</v>
      </c>
    </row>
    <row r="18" spans="1:68" ht="14.25" customHeight="1" x14ac:dyDescent="0.25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customHeight="1" x14ac:dyDescent="0.25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76" t="s">
        <v>120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5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5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670" t="s">
        <v>159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customHeight="1" x14ac:dyDescent="0.25">
      <c r="A72" s="63" t="s">
        <v>170</v>
      </c>
      <c r="B72" s="63" t="s">
        <v>172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5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5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customHeight="1" x14ac:dyDescent="0.25">
      <c r="A76" s="63" t="s">
        <v>173</v>
      </c>
      <c r="B76" s="63" t="s">
        <v>174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176</v>
      </c>
      <c r="B77" s="63" t="s">
        <v>177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5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0" t="s">
        <v>179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customHeight="1" x14ac:dyDescent="0.25">
      <c r="A81" s="63" t="s">
        <v>180</v>
      </c>
      <c r="B81" s="63" t="s">
        <v>181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180</v>
      </c>
      <c r="B82" s="63" t="s">
        <v>183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185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5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5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customHeight="1" x14ac:dyDescent="0.25">
      <c r="A86" s="669" t="s">
        <v>187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customHeight="1" x14ac:dyDescent="0.25">
      <c r="A87" s="670" t="s">
        <v>122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5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5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customHeight="1" x14ac:dyDescent="0.25">
      <c r="A95" s="670" t="s">
        <v>86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5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5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669" t="s">
        <v>210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670" t="s">
        <v>159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5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670" t="s">
        <v>86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70" t="s">
        <v>179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69" t="s">
        <v>250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customHeight="1" x14ac:dyDescent="0.25">
      <c r="A133" s="670" t="s">
        <v>122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0" t="s">
        <v>77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0" t="s">
        <v>86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69" t="s">
        <v>263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5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670" t="s">
        <v>278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9" t="s">
        <v>120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customHeight="1" x14ac:dyDescent="0.25">
      <c r="A163" s="670" t="s">
        <v>122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70" t="s">
        <v>159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70" t="s">
        <v>77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5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70" t="s">
        <v>86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5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670" t="s">
        <v>278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5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5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670" t="s">
        <v>342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5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5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5">
      <c r="A203" s="676" t="s">
        <v>346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customHeight="1" x14ac:dyDescent="0.25">
      <c r="A204" s="669" t="s">
        <v>347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customHeight="1" x14ac:dyDescent="0.25">
      <c r="A205" s="670" t="s">
        <v>122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5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5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9" t="s">
        <v>368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customHeight="1" x14ac:dyDescent="0.25">
      <c r="A216" s="670" t="s">
        <v>159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5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5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70" t="s">
        <v>77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5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670" t="s">
        <v>86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5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670" t="s">
        <v>278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5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5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70" t="s">
        <v>439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5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9" t="s">
        <v>442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customHeight="1" x14ac:dyDescent="0.25">
      <c r="A261" s="670" t="s">
        <v>122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5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5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70" t="s">
        <v>159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5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5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70" t="s">
        <v>77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5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5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70" t="s">
        <v>86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5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5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70" t="s">
        <v>179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5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5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9" t="s">
        <v>510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customHeight="1" x14ac:dyDescent="0.25">
      <c r="A303" s="670" t="s">
        <v>122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5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5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70" t="s">
        <v>159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5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5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70" t="s">
        <v>532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5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0" t="s">
        <v>342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5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5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customHeight="1" x14ac:dyDescent="0.25">
      <c r="A325" s="669" t="s">
        <v>539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customHeight="1" x14ac:dyDescent="0.25">
      <c r="A326" s="670" t="s">
        <v>122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customHeight="1" x14ac:dyDescent="0.25">
      <c r="A327" s="63" t="s">
        <v>540</v>
      </c>
      <c r="B327" s="63" t="s">
        <v>541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customHeight="1" x14ac:dyDescent="0.25">
      <c r="A329" s="63" t="s">
        <v>547</v>
      </c>
      <c r="B329" s="63" t="s">
        <v>548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550</v>
      </c>
      <c r="B330" s="63" t="s">
        <v>551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customHeight="1" x14ac:dyDescent="0.25">
      <c r="A332" s="63" t="s">
        <v>556</v>
      </c>
      <c r="B332" s="63" t="s">
        <v>557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5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5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customHeight="1" x14ac:dyDescent="0.25">
      <c r="A335" s="669" t="s">
        <v>559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customHeight="1" x14ac:dyDescent="0.25">
      <c r="A336" s="670" t="s">
        <v>86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customHeight="1" x14ac:dyDescent="0.25">
      <c r="A337" s="63" t="s">
        <v>560</v>
      </c>
      <c r="B337" s="63" t="s">
        <v>561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563</v>
      </c>
      <c r="B338" s="63" t="s">
        <v>564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5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x14ac:dyDescent="0.25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customHeight="1" x14ac:dyDescent="0.25">
      <c r="A342" s="669" t="s">
        <v>568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customHeight="1" x14ac:dyDescent="0.25">
      <c r="A343" s="670" t="s">
        <v>77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571</v>
      </c>
      <c r="B345" s="63" t="s">
        <v>572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5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5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customHeight="1" x14ac:dyDescent="0.25">
      <c r="A351" s="670" t="s">
        <v>86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customHeight="1" x14ac:dyDescent="0.25">
      <c r="A352" s="63" t="s">
        <v>583</v>
      </c>
      <c r="B352" s="63" t="s">
        <v>584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586</v>
      </c>
      <c r="B353" s="63" t="s">
        <v>587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5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5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customHeight="1" x14ac:dyDescent="0.25">
      <c r="A356" s="669" t="s">
        <v>589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customHeight="1" x14ac:dyDescent="0.25">
      <c r="A357" s="670" t="s">
        <v>122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5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5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customHeight="1" x14ac:dyDescent="0.25">
      <c r="A363" s="669" t="s">
        <v>598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customHeight="1" x14ac:dyDescent="0.25">
      <c r="A364" s="670" t="s">
        <v>122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customHeight="1" x14ac:dyDescent="0.25">
      <c r="A365" s="63" t="s">
        <v>599</v>
      </c>
      <c r="B365" s="63" t="s">
        <v>600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customHeight="1" x14ac:dyDescent="0.25">
      <c r="A366" s="63" t="s">
        <v>601</v>
      </c>
      <c r="B366" s="63" t="s">
        <v>602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customHeight="1" x14ac:dyDescent="0.25">
      <c r="A368" s="63" t="s">
        <v>607</v>
      </c>
      <c r="B368" s="63" t="s">
        <v>608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x14ac:dyDescent="0.25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5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customHeight="1" x14ac:dyDescent="0.25">
      <c r="A374" s="670" t="s">
        <v>77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customHeight="1" x14ac:dyDescent="0.25">
      <c r="A375" s="63" t="s">
        <v>618</v>
      </c>
      <c r="B375" s="63" t="s">
        <v>619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x14ac:dyDescent="0.25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670" t="s">
        <v>86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5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5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70" t="s">
        <v>179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customHeight="1" x14ac:dyDescent="0.25">
      <c r="A392" s="63" t="s">
        <v>648</v>
      </c>
      <c r="B392" s="63" t="s">
        <v>649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70" t="s">
        <v>278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customHeight="1" x14ac:dyDescent="0.25">
      <c r="A398" s="63" t="s">
        <v>657</v>
      </c>
      <c r="B398" s="63" t="s">
        <v>658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660</v>
      </c>
      <c r="B399" s="63" t="s">
        <v>661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5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5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670" t="s">
        <v>666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customHeight="1" x14ac:dyDescent="0.25">
      <c r="A405" s="63" t="s">
        <v>667</v>
      </c>
      <c r="B405" s="63" t="s">
        <v>668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670" t="s">
        <v>675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5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669" t="s">
        <v>684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customHeight="1" x14ac:dyDescent="0.25">
      <c r="A417" s="670" t="s">
        <v>86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customHeight="1" x14ac:dyDescent="0.25">
      <c r="A418" s="63" t="s">
        <v>685</v>
      </c>
      <c r="B418" s="63" t="s">
        <v>686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688</v>
      </c>
      <c r="B419" s="63" t="s">
        <v>689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5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669" t="s">
        <v>691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customHeight="1" x14ac:dyDescent="0.25">
      <c r="A423" s="670" t="s">
        <v>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customHeight="1" x14ac:dyDescent="0.25">
      <c r="A424" s="63" t="s">
        <v>692</v>
      </c>
      <c r="B424" s="63" t="s">
        <v>693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695</v>
      </c>
      <c r="B425" s="63" t="s">
        <v>696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5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5">
      <c r="A429" s="676" t="s">
        <v>701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customHeight="1" x14ac:dyDescent="0.25">
      <c r="A430" s="669" t="s">
        <v>702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customHeight="1" x14ac:dyDescent="0.25">
      <c r="A431" s="670" t="s">
        <v>122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customHeight="1" x14ac:dyDescent="0.25">
      <c r="A432" s="63" t="s">
        <v>703</v>
      </c>
      <c r="B432" s="63" t="s">
        <v>704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724</v>
      </c>
      <c r="B439" s="63" t="s">
        <v>725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5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5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670" t="s">
        <v>159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730</v>
      </c>
      <c r="B444" s="63" t="s">
        <v>731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5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5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70" t="s">
        <v>86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customHeight="1" x14ac:dyDescent="0.25">
      <c r="A449" s="63" t="s">
        <v>736</v>
      </c>
      <c r="B449" s="63" t="s">
        <v>737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739</v>
      </c>
      <c r="B450" s="63" t="s">
        <v>740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5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5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70" t="s">
        <v>179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customHeight="1" x14ac:dyDescent="0.25">
      <c r="A455" s="63" t="s">
        <v>745</v>
      </c>
      <c r="B455" s="63" t="s">
        <v>746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748</v>
      </c>
      <c r="B456" s="63" t="s">
        <v>749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5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5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69" t="s">
        <v>751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customHeight="1" x14ac:dyDescent="0.25">
      <c r="A460" s="670" t="s">
        <v>122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755</v>
      </c>
      <c r="B462" s="63" t="s">
        <v>756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5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5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670" t="s">
        <v>77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customHeight="1" x14ac:dyDescent="0.25">
      <c r="A466" s="63" t="s">
        <v>757</v>
      </c>
      <c r="B466" s="63" t="s">
        <v>758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5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5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70" t="s">
        <v>86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763</v>
      </c>
      <c r="B472" s="63" t="s">
        <v>765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5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5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5">
      <c r="A475" s="676" t="s">
        <v>767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customHeight="1" x14ac:dyDescent="0.25">
      <c r="A476" s="669" t="s">
        <v>768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customHeight="1" x14ac:dyDescent="0.25">
      <c r="A477" s="670" t="s">
        <v>77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customHeight="1" x14ac:dyDescent="0.25">
      <c r="A478" s="63" t="s">
        <v>769</v>
      </c>
      <c r="B478" s="63" t="s">
        <v>770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772</v>
      </c>
      <c r="B479" s="63" t="s">
        <v>773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777</v>
      </c>
      <c r="B481" s="63" t="s">
        <v>778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customHeight="1" x14ac:dyDescent="0.25">
      <c r="A483" s="63" t="s">
        <v>783</v>
      </c>
      <c r="B483" s="63" t="s">
        <v>784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5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5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670" t="s">
        <v>86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customHeight="1" x14ac:dyDescent="0.25">
      <c r="A487" s="63" t="s">
        <v>785</v>
      </c>
      <c r="B487" s="63" t="s">
        <v>786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788</v>
      </c>
      <c r="B488" s="63" t="s">
        <v>789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5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5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69" t="s">
        <v>791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customHeight="1" x14ac:dyDescent="0.25">
      <c r="A492" s="670" t="s">
        <v>159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customHeight="1" x14ac:dyDescent="0.25">
      <c r="A493" s="63" t="s">
        <v>792</v>
      </c>
      <c r="B493" s="63" t="s">
        <v>793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5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5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670" t="s">
        <v>77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5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5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5">
      <c r="A502" s="676" t="s">
        <v>803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customHeight="1" x14ac:dyDescent="0.25">
      <c r="A503" s="669" t="s">
        <v>803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customHeight="1" x14ac:dyDescent="0.25">
      <c r="A504" s="670" t="s">
        <v>122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customHeight="1" x14ac:dyDescent="0.25">
      <c r="A505" s="63" t="s">
        <v>804</v>
      </c>
      <c r="B505" s="63" t="s">
        <v>805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customHeight="1" x14ac:dyDescent="0.25">
      <c r="A506" s="63" t="s">
        <v>806</v>
      </c>
      <c r="B506" s="63" t="s">
        <v>807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809</v>
      </c>
      <c r="B507" s="63" t="s">
        <v>810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customHeight="1" x14ac:dyDescent="0.25">
      <c r="A509" s="63" t="s">
        <v>815</v>
      </c>
      <c r="B509" s="63" t="s">
        <v>816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825</v>
      </c>
      <c r="B513" s="63" t="s">
        <v>826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5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5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670" t="s">
        <v>159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830</v>
      </c>
      <c r="B518" s="63" t="s">
        <v>831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5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5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670" t="s">
        <v>77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845</v>
      </c>
      <c r="B528" s="63" t="s">
        <v>847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849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5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5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5">
      <c r="A532" s="676" t="s">
        <v>850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customHeight="1" x14ac:dyDescent="0.25">
      <c r="A533" s="669" t="s">
        <v>850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customHeight="1" x14ac:dyDescent="0.25">
      <c r="A534" s="670" t="s">
        <v>122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customHeight="1" x14ac:dyDescent="0.25">
      <c r="A535" s="63" t="s">
        <v>851</v>
      </c>
      <c r="B535" s="63" t="s">
        <v>852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5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5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70" t="s">
        <v>77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customHeight="1" x14ac:dyDescent="0.25">
      <c r="A539" s="63" t="s">
        <v>854</v>
      </c>
      <c r="B539" s="63" t="s">
        <v>855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5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5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70" t="s">
        <v>86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customHeight="1" x14ac:dyDescent="0.25">
      <c r="A543" s="63" t="s">
        <v>857</v>
      </c>
      <c r="B543" s="63" t="s">
        <v>858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5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5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0" t="s">
        <v>179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customHeight="1" x14ac:dyDescent="0.25">
      <c r="A547" s="63" t="s">
        <v>860</v>
      </c>
      <c r="B547" s="63" t="s">
        <v>861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customHeight="1" x14ac:dyDescent="0.25">
      <c r="A548" s="63" t="s">
        <v>863</v>
      </c>
      <c r="B548" s="63" t="s">
        <v>864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x14ac:dyDescent="0.25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customHeight="1" x14ac:dyDescent="0.25">
      <c r="A551" s="669" t="s">
        <v>866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customHeight="1" x14ac:dyDescent="0.25">
      <c r="A552" s="670" t="s">
        <v>159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5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x14ac:dyDescent="0.25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5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0</v>
      </c>
      <c r="Z556" s="42"/>
      <c r="AA556" s="67"/>
      <c r="AB556" s="67"/>
      <c r="AC556" s="67"/>
    </row>
    <row r="557" spans="1:68" x14ac:dyDescent="0.25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0</v>
      </c>
      <c r="Y557" s="43">
        <f>IFERROR(SUM(BN22:BN553),"0")</f>
        <v>0</v>
      </c>
      <c r="Z557" s="42"/>
      <c r="AA557" s="67"/>
      <c r="AB557" s="67"/>
      <c r="AC557" s="67"/>
    </row>
    <row r="558" spans="1:68" x14ac:dyDescent="0.25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0</v>
      </c>
      <c r="Y558" s="44">
        <f>ROUNDUP(SUM(BP22:BP553),0)</f>
        <v>0</v>
      </c>
      <c r="Z558" s="42"/>
      <c r="AA558" s="67"/>
      <c r="AB558" s="67"/>
      <c r="AC558" s="67"/>
    </row>
    <row r="559" spans="1:68" x14ac:dyDescent="0.25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0</v>
      </c>
      <c r="Y559" s="43">
        <f>GrossWeightTotalR+PalletQtyTotalR*25</f>
        <v>0</v>
      </c>
      <c r="Z559" s="42"/>
      <c r="AA559" s="67"/>
      <c r="AB559" s="67"/>
      <c r="AC559" s="67"/>
    </row>
    <row r="560" spans="1:68" x14ac:dyDescent="0.25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0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0</v>
      </c>
      <c r="Z560" s="42"/>
      <c r="AA560" s="67"/>
      <c r="AB560" s="67"/>
      <c r="AC560" s="67"/>
    </row>
    <row r="561" spans="1:32" ht="15.6" x14ac:dyDescent="0.25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0</v>
      </c>
      <c r="AA561" s="67"/>
      <c r="AB561" s="67"/>
      <c r="AC561" s="67"/>
    </row>
    <row r="562" spans="1:32" ht="13.8" thickBot="1" x14ac:dyDescent="0.3"/>
    <row r="563" spans="1:32" ht="28.8" thickTop="1" thickBot="1" x14ac:dyDescent="0.3">
      <c r="A563" s="46" t="s">
        <v>9</v>
      </c>
      <c r="B563" s="85" t="s">
        <v>76</v>
      </c>
      <c r="C563" s="85" t="s">
        <v>45</v>
      </c>
      <c r="D563" s="652" t="s">
        <v>120</v>
      </c>
      <c r="E563" s="652" t="s">
        <v>120</v>
      </c>
      <c r="F563" s="652" t="s">
        <v>120</v>
      </c>
      <c r="G563" s="652" t="s">
        <v>120</v>
      </c>
      <c r="H563" s="652" t="s">
        <v>120</v>
      </c>
      <c r="I563" s="652" t="s">
        <v>120</v>
      </c>
      <c r="J563" s="652" t="s">
        <v>120</v>
      </c>
      <c r="K563" s="652" t="s">
        <v>346</v>
      </c>
      <c r="L563" s="652" t="s">
        <v>346</v>
      </c>
      <c r="M563" s="652" t="s">
        <v>346</v>
      </c>
      <c r="N563" s="653"/>
      <c r="O563" s="652" t="s">
        <v>346</v>
      </c>
      <c r="P563" s="652" t="s">
        <v>346</v>
      </c>
      <c r="Q563" s="652" t="s">
        <v>346</v>
      </c>
      <c r="R563" s="652" t="s">
        <v>346</v>
      </c>
      <c r="S563" s="652" t="s">
        <v>346</v>
      </c>
      <c r="T563" s="652" t="s">
        <v>346</v>
      </c>
      <c r="U563" s="652" t="s">
        <v>346</v>
      </c>
      <c r="V563" s="652" t="s">
        <v>346</v>
      </c>
      <c r="W563" s="652" t="s">
        <v>701</v>
      </c>
      <c r="X563" s="652" t="s">
        <v>701</v>
      </c>
      <c r="Y563" s="652" t="s">
        <v>767</v>
      </c>
      <c r="Z563" s="652" t="s">
        <v>767</v>
      </c>
      <c r="AA563" s="85" t="s">
        <v>803</v>
      </c>
      <c r="AB563" s="652" t="s">
        <v>850</v>
      </c>
      <c r="AC563" s="652" t="s">
        <v>850</v>
      </c>
      <c r="AF563" s="1"/>
    </row>
    <row r="564" spans="1:32" ht="14.25" customHeight="1" thickTop="1" x14ac:dyDescent="0.25">
      <c r="A564" s="654" t="s">
        <v>10</v>
      </c>
      <c r="B564" s="652" t="s">
        <v>76</v>
      </c>
      <c r="C564" s="652" t="s">
        <v>104</v>
      </c>
      <c r="D564" s="652" t="s">
        <v>121</v>
      </c>
      <c r="E564" s="652" t="s">
        <v>137</v>
      </c>
      <c r="F564" s="652" t="s">
        <v>187</v>
      </c>
      <c r="G564" s="652" t="s">
        <v>210</v>
      </c>
      <c r="H564" s="652" t="s">
        <v>250</v>
      </c>
      <c r="I564" s="652" t="s">
        <v>263</v>
      </c>
      <c r="J564" s="652" t="s">
        <v>120</v>
      </c>
      <c r="K564" s="652" t="s">
        <v>347</v>
      </c>
      <c r="L564" s="652" t="s">
        <v>368</v>
      </c>
      <c r="M564" s="652" t="s">
        <v>442</v>
      </c>
      <c r="N564" s="1"/>
      <c r="O564" s="652" t="s">
        <v>510</v>
      </c>
      <c r="P564" s="652" t="s">
        <v>539</v>
      </c>
      <c r="Q564" s="652" t="s">
        <v>559</v>
      </c>
      <c r="R564" s="652" t="s">
        <v>568</v>
      </c>
      <c r="S564" s="652" t="s">
        <v>589</v>
      </c>
      <c r="T564" s="652" t="s">
        <v>598</v>
      </c>
      <c r="U564" s="652" t="s">
        <v>684</v>
      </c>
      <c r="V564" s="652" t="s">
        <v>691</v>
      </c>
      <c r="W564" s="652" t="s">
        <v>702</v>
      </c>
      <c r="X564" s="652" t="s">
        <v>751</v>
      </c>
      <c r="Y564" s="652" t="s">
        <v>768</v>
      </c>
      <c r="Z564" s="652" t="s">
        <v>791</v>
      </c>
      <c r="AA564" s="652" t="s">
        <v>803</v>
      </c>
      <c r="AB564" s="652" t="s">
        <v>850</v>
      </c>
      <c r="AC564" s="652" t="s">
        <v>866</v>
      </c>
      <c r="AF564" s="1"/>
    </row>
    <row r="565" spans="1:32" ht="13.8" thickBot="1" x14ac:dyDescent="0.3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5" thickTop="1" thickBot="1" x14ac:dyDescent="0.3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5">
      <c r="B7" s="53" t="s">
        <v>876</v>
      </c>
      <c r="C7" s="53" t="s">
        <v>877</v>
      </c>
      <c r="D7" s="53" t="s">
        <v>878</v>
      </c>
      <c r="E7" s="53" t="s">
        <v>46</v>
      </c>
    </row>
    <row r="9" spans="2:8" x14ac:dyDescent="0.25">
      <c r="B9" s="53" t="s">
        <v>879</v>
      </c>
      <c r="C9" s="53" t="s">
        <v>874</v>
      </c>
      <c r="D9" s="53" t="s">
        <v>46</v>
      </c>
      <c r="E9" s="53" t="s">
        <v>46</v>
      </c>
    </row>
    <row r="11" spans="2:8" x14ac:dyDescent="0.25">
      <c r="B11" s="53" t="s">
        <v>879</v>
      </c>
      <c r="C11" s="53" t="s">
        <v>877</v>
      </c>
      <c r="D11" s="53" t="s">
        <v>46</v>
      </c>
      <c r="E11" s="53" t="s">
        <v>46</v>
      </c>
    </row>
    <row r="13" spans="2:8" x14ac:dyDescent="0.25">
      <c r="B13" s="53" t="s">
        <v>880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881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882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890</v>
      </c>
      <c r="C23" s="53" t="s">
        <v>46</v>
      </c>
      <c r="D23" s="53" t="s">
        <v>46</v>
      </c>
      <c r="E23" s="53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1176</vt:i4>
      </vt:variant>
    </vt:vector>
  </HeadingPairs>
  <TitlesOfParts>
    <vt:vector size="11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2026-09-22T20:40:09Z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