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3E8F6F-B005-4425-93D6-4192BF7EAD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N480" i="2"/>
  <c r="BM480" i="2"/>
  <c r="Z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P468" i="2"/>
  <c r="BO468" i="2"/>
  <c r="BN468" i="2"/>
  <c r="BM468" i="2"/>
  <c r="Z468" i="2"/>
  <c r="Y468" i="2"/>
  <c r="P468" i="2"/>
  <c r="BO467" i="2"/>
  <c r="BM467" i="2"/>
  <c r="Y467" i="2"/>
  <c r="Y470" i="2" s="1"/>
  <c r="P467" i="2"/>
  <c r="X465" i="2"/>
  <c r="X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BP461" i="2" s="1"/>
  <c r="P461" i="2"/>
  <c r="BO460" i="2"/>
  <c r="BM460" i="2"/>
  <c r="Y460" i="2"/>
  <c r="Y499" i="2" s="1"/>
  <c r="P460" i="2"/>
  <c r="X456" i="2"/>
  <c r="X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BP451" i="2" s="1"/>
  <c r="P451" i="2"/>
  <c r="BO450" i="2"/>
  <c r="BN450" i="2"/>
  <c r="BM450" i="2"/>
  <c r="Z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Z445" i="2" s="1"/>
  <c r="P445" i="2"/>
  <c r="BO444" i="2"/>
  <c r="BN444" i="2"/>
  <c r="BM444" i="2"/>
  <c r="Z444" i="2"/>
  <c r="Y444" i="2"/>
  <c r="BP444" i="2" s="1"/>
  <c r="P444" i="2"/>
  <c r="BO443" i="2"/>
  <c r="BM443" i="2"/>
  <c r="Y443" i="2"/>
  <c r="Y447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P436" i="2"/>
  <c r="BO436" i="2"/>
  <c r="BM436" i="2"/>
  <c r="Y436" i="2"/>
  <c r="BN436" i="2" s="1"/>
  <c r="P436" i="2"/>
  <c r="BO435" i="2"/>
  <c r="BM435" i="2"/>
  <c r="Y435" i="2"/>
  <c r="Z435" i="2" s="1"/>
  <c r="P435" i="2"/>
  <c r="BO434" i="2"/>
  <c r="BN434" i="2"/>
  <c r="BM434" i="2"/>
  <c r="Z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N430" i="2"/>
  <c r="BM430" i="2"/>
  <c r="Z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4" i="2"/>
  <c r="X423" i="2"/>
  <c r="BO422" i="2"/>
  <c r="BM422" i="2"/>
  <c r="Y422" i="2"/>
  <c r="P422" i="2"/>
  <c r="X419" i="2"/>
  <c r="X418" i="2"/>
  <c r="BP417" i="2"/>
  <c r="BO417" i="2"/>
  <c r="BN417" i="2"/>
  <c r="BM417" i="2"/>
  <c r="Z417" i="2"/>
  <c r="Y417" i="2"/>
  <c r="P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BP414" i="2" s="1"/>
  <c r="P414" i="2"/>
  <c r="Y412" i="2"/>
  <c r="X412" i="2"/>
  <c r="X411" i="2"/>
  <c r="BO410" i="2"/>
  <c r="BM410" i="2"/>
  <c r="Y410" i="2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P400" i="2"/>
  <c r="BO400" i="2"/>
  <c r="BM400" i="2"/>
  <c r="Y400" i="2"/>
  <c r="BN400" i="2" s="1"/>
  <c r="P400" i="2"/>
  <c r="BO399" i="2"/>
  <c r="BM399" i="2"/>
  <c r="Y399" i="2"/>
  <c r="Z399" i="2" s="1"/>
  <c r="P399" i="2"/>
  <c r="BO398" i="2"/>
  <c r="BN398" i="2"/>
  <c r="BM398" i="2"/>
  <c r="Z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BO395" i="2"/>
  <c r="BM395" i="2"/>
  <c r="Y395" i="2"/>
  <c r="BP395" i="2" s="1"/>
  <c r="P395" i="2"/>
  <c r="BO394" i="2"/>
  <c r="BN394" i="2"/>
  <c r="BM394" i="2"/>
  <c r="Z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8" i="2"/>
  <c r="X387" i="2"/>
  <c r="BO386" i="2"/>
  <c r="BM386" i="2"/>
  <c r="Y386" i="2"/>
  <c r="P386" i="2"/>
  <c r="BO385" i="2"/>
  <c r="BM385" i="2"/>
  <c r="Y385" i="2"/>
  <c r="BP385" i="2" s="1"/>
  <c r="P385" i="2"/>
  <c r="BP384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Y377" i="2"/>
  <c r="X377" i="2"/>
  <c r="X376" i="2"/>
  <c r="BO375" i="2"/>
  <c r="BM375" i="2"/>
  <c r="Y375" i="2"/>
  <c r="P375" i="2"/>
  <c r="BO374" i="2"/>
  <c r="BM374" i="2"/>
  <c r="Y374" i="2"/>
  <c r="P374" i="2"/>
  <c r="Y371" i="2"/>
  <c r="X371" i="2"/>
  <c r="X370" i="2"/>
  <c r="BO369" i="2"/>
  <c r="BN369" i="2"/>
  <c r="BM369" i="2"/>
  <c r="Z369" i="2"/>
  <c r="Z370" i="2" s="1"/>
  <c r="Y369" i="2"/>
  <c r="Y370" i="2" s="1"/>
  <c r="P369" i="2"/>
  <c r="X367" i="2"/>
  <c r="Y366" i="2"/>
  <c r="X366" i="2"/>
  <c r="BP365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Z360" i="2"/>
  <c r="Y360" i="2"/>
  <c r="BN360" i="2" s="1"/>
  <c r="P360" i="2"/>
  <c r="BO359" i="2"/>
  <c r="BM359" i="2"/>
  <c r="Y359" i="2"/>
  <c r="P359" i="2"/>
  <c r="X357" i="2"/>
  <c r="X356" i="2"/>
  <c r="BO355" i="2"/>
  <c r="BM355" i="2"/>
  <c r="Y355" i="2"/>
  <c r="P355" i="2"/>
  <c r="BP354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Y357" i="2" s="1"/>
  <c r="P352" i="2"/>
  <c r="BP351" i="2"/>
  <c r="BO351" i="2"/>
  <c r="BN351" i="2"/>
  <c r="BM351" i="2"/>
  <c r="Z351" i="2"/>
  <c r="Y351" i="2"/>
  <c r="P351" i="2"/>
  <c r="BO350" i="2"/>
  <c r="BM350" i="2"/>
  <c r="Y350" i="2"/>
  <c r="P350" i="2"/>
  <c r="BP349" i="2"/>
  <c r="BO349" i="2"/>
  <c r="BN349" i="2"/>
  <c r="BM349" i="2"/>
  <c r="Z349" i="2"/>
  <c r="Y349" i="2"/>
  <c r="P349" i="2"/>
  <c r="X345" i="2"/>
  <c r="X344" i="2"/>
  <c r="BO343" i="2"/>
  <c r="BM343" i="2"/>
  <c r="Y343" i="2"/>
  <c r="P343" i="2"/>
  <c r="BO342" i="2"/>
  <c r="BM342" i="2"/>
  <c r="Y342" i="2"/>
  <c r="BN342" i="2" s="1"/>
  <c r="P342" i="2"/>
  <c r="BP341" i="2"/>
  <c r="BO341" i="2"/>
  <c r="BN341" i="2"/>
  <c r="BM341" i="2"/>
  <c r="Z341" i="2"/>
  <c r="Y341" i="2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N334" i="2"/>
  <c r="BM334" i="2"/>
  <c r="Z334" i="2"/>
  <c r="Y334" i="2"/>
  <c r="BP334" i="2" s="1"/>
  <c r="P334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BO327" i="2"/>
  <c r="BM327" i="2"/>
  <c r="Y327" i="2"/>
  <c r="Y332" i="2" s="1"/>
  <c r="P327" i="2"/>
  <c r="X325" i="2"/>
  <c r="X324" i="2"/>
  <c r="BO323" i="2"/>
  <c r="BM323" i="2"/>
  <c r="Z323" i="2"/>
  <c r="Y323" i="2"/>
  <c r="BP323" i="2" s="1"/>
  <c r="P323" i="2"/>
  <c r="BO322" i="2"/>
  <c r="BM322" i="2"/>
  <c r="Y322" i="2"/>
  <c r="P322" i="2"/>
  <c r="BO321" i="2"/>
  <c r="BM321" i="2"/>
  <c r="Y321" i="2"/>
  <c r="BP321" i="2" s="1"/>
  <c r="P321" i="2"/>
  <c r="Y319" i="2"/>
  <c r="X319" i="2"/>
  <c r="X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BP314" i="2"/>
  <c r="BO314" i="2"/>
  <c r="BN314" i="2"/>
  <c r="BM314" i="2"/>
  <c r="Z314" i="2"/>
  <c r="Y314" i="2"/>
  <c r="P314" i="2"/>
  <c r="X312" i="2"/>
  <c r="X311" i="2"/>
  <c r="BP310" i="2"/>
  <c r="BO310" i="2"/>
  <c r="BM310" i="2"/>
  <c r="Y310" i="2"/>
  <c r="BN310" i="2" s="1"/>
  <c r="P310" i="2"/>
  <c r="BO309" i="2"/>
  <c r="BM309" i="2"/>
  <c r="Y309" i="2"/>
  <c r="P309" i="2"/>
  <c r="BP308" i="2"/>
  <c r="BO308" i="2"/>
  <c r="BN308" i="2"/>
  <c r="BM308" i="2"/>
  <c r="Z308" i="2"/>
  <c r="Y308" i="2"/>
  <c r="P308" i="2"/>
  <c r="BO307" i="2"/>
  <c r="BM307" i="2"/>
  <c r="Y307" i="2"/>
  <c r="P307" i="2"/>
  <c r="BO306" i="2"/>
  <c r="BM306" i="2"/>
  <c r="Y306" i="2"/>
  <c r="P306" i="2"/>
  <c r="BP305" i="2"/>
  <c r="BO305" i="2"/>
  <c r="BM305" i="2"/>
  <c r="Y305" i="2"/>
  <c r="P305" i="2"/>
  <c r="X303" i="2"/>
  <c r="X302" i="2"/>
  <c r="BO301" i="2"/>
  <c r="BM301" i="2"/>
  <c r="Y301" i="2"/>
  <c r="BP301" i="2" s="1"/>
  <c r="P301" i="2"/>
  <c r="BP300" i="2"/>
  <c r="BO300" i="2"/>
  <c r="BM300" i="2"/>
  <c r="Y300" i="2"/>
  <c r="BN300" i="2" s="1"/>
  <c r="P300" i="2"/>
  <c r="BO299" i="2"/>
  <c r="BM299" i="2"/>
  <c r="Y299" i="2"/>
  <c r="P299" i="2"/>
  <c r="BP298" i="2"/>
  <c r="BO298" i="2"/>
  <c r="BN298" i="2"/>
  <c r="BM298" i="2"/>
  <c r="Z298" i="2"/>
  <c r="Y298" i="2"/>
  <c r="P298" i="2"/>
  <c r="BO297" i="2"/>
  <c r="BM297" i="2"/>
  <c r="Y297" i="2"/>
  <c r="P297" i="2"/>
  <c r="BO296" i="2"/>
  <c r="BM296" i="2"/>
  <c r="Y296" i="2"/>
  <c r="P296" i="2"/>
  <c r="X293" i="2"/>
  <c r="X292" i="2"/>
  <c r="BO291" i="2"/>
  <c r="BM291" i="2"/>
  <c r="Y291" i="2"/>
  <c r="P291" i="2"/>
  <c r="BO290" i="2"/>
  <c r="BM290" i="2"/>
  <c r="Y290" i="2"/>
  <c r="BP290" i="2" s="1"/>
  <c r="P290" i="2"/>
  <c r="X288" i="2"/>
  <c r="X287" i="2"/>
  <c r="BO286" i="2"/>
  <c r="BM286" i="2"/>
  <c r="Y286" i="2"/>
  <c r="Z286" i="2" s="1"/>
  <c r="P286" i="2"/>
  <c r="BO285" i="2"/>
  <c r="BM285" i="2"/>
  <c r="Y285" i="2"/>
  <c r="P285" i="2"/>
  <c r="X282" i="2"/>
  <c r="X281" i="2"/>
  <c r="BP280" i="2"/>
  <c r="BO280" i="2"/>
  <c r="BN280" i="2"/>
  <c r="BM280" i="2"/>
  <c r="Z280" i="2"/>
  <c r="Y280" i="2"/>
  <c r="P280" i="2"/>
  <c r="BO279" i="2"/>
  <c r="BM279" i="2"/>
  <c r="Y279" i="2"/>
  <c r="P279" i="2"/>
  <c r="BO278" i="2"/>
  <c r="BM278" i="2"/>
  <c r="Z278" i="2"/>
  <c r="Y278" i="2"/>
  <c r="P278" i="2"/>
  <c r="X275" i="2"/>
  <c r="X274" i="2"/>
  <c r="BO273" i="2"/>
  <c r="BM273" i="2"/>
  <c r="Y273" i="2"/>
  <c r="P273" i="2"/>
  <c r="BO272" i="2"/>
  <c r="BM272" i="2"/>
  <c r="Y272" i="2"/>
  <c r="Y275" i="2" s="1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X267" i="2"/>
  <c r="X266" i="2"/>
  <c r="BO265" i="2"/>
  <c r="BM265" i="2"/>
  <c r="Y265" i="2"/>
  <c r="BP265" i="2" s="1"/>
  <c r="P265" i="2"/>
  <c r="BP264" i="2"/>
  <c r="BO264" i="2"/>
  <c r="BM264" i="2"/>
  <c r="Y264" i="2"/>
  <c r="BN264" i="2" s="1"/>
  <c r="P264" i="2"/>
  <c r="BO263" i="2"/>
  <c r="BM263" i="2"/>
  <c r="Y263" i="2"/>
  <c r="P263" i="2"/>
  <c r="BP262" i="2"/>
  <c r="BO262" i="2"/>
  <c r="BN262" i="2"/>
  <c r="BM262" i="2"/>
  <c r="Z262" i="2"/>
  <c r="Y262" i="2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P253" i="2"/>
  <c r="BO253" i="2"/>
  <c r="BM253" i="2"/>
  <c r="Y253" i="2"/>
  <c r="BN253" i="2" s="1"/>
  <c r="P253" i="2"/>
  <c r="BO252" i="2"/>
  <c r="BM252" i="2"/>
  <c r="Y252" i="2"/>
  <c r="P252" i="2"/>
  <c r="X250" i="2"/>
  <c r="X249" i="2"/>
  <c r="BO248" i="2"/>
  <c r="BM248" i="2"/>
  <c r="Y248" i="2"/>
  <c r="Y250" i="2" s="1"/>
  <c r="P248" i="2"/>
  <c r="X246" i="2"/>
  <c r="X245" i="2"/>
  <c r="BO244" i="2"/>
  <c r="BM244" i="2"/>
  <c r="Z244" i="2"/>
  <c r="Z245" i="2" s="1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P237" i="2"/>
  <c r="BO237" i="2"/>
  <c r="BN237" i="2"/>
  <c r="BM237" i="2"/>
  <c r="Z237" i="2"/>
  <c r="Y237" i="2"/>
  <c r="P237" i="2"/>
  <c r="BO236" i="2"/>
  <c r="BM236" i="2"/>
  <c r="Y236" i="2"/>
  <c r="P236" i="2"/>
  <c r="BP235" i="2"/>
  <c r="BO235" i="2"/>
  <c r="BN235" i="2"/>
  <c r="BM235" i="2"/>
  <c r="Z235" i="2"/>
  <c r="Y235" i="2"/>
  <c r="P235" i="2"/>
  <c r="BO234" i="2"/>
  <c r="BM234" i="2"/>
  <c r="Y234" i="2"/>
  <c r="P234" i="2"/>
  <c r="BP233" i="2"/>
  <c r="BO233" i="2"/>
  <c r="BM233" i="2"/>
  <c r="Y233" i="2"/>
  <c r="P233" i="2"/>
  <c r="BP232" i="2"/>
  <c r="BO232" i="2"/>
  <c r="BM232" i="2"/>
  <c r="Y232" i="2"/>
  <c r="BN232" i="2" s="1"/>
  <c r="P232" i="2"/>
  <c r="X229" i="2"/>
  <c r="X228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Z219" i="2" s="1"/>
  <c r="P219" i="2"/>
  <c r="BP218" i="2"/>
  <c r="BO218" i="2"/>
  <c r="BN218" i="2"/>
  <c r="BM218" i="2"/>
  <c r="Z218" i="2"/>
  <c r="Y218" i="2"/>
  <c r="P218" i="2"/>
  <c r="BO217" i="2"/>
  <c r="BM217" i="2"/>
  <c r="Y217" i="2"/>
  <c r="P217" i="2"/>
  <c r="BO216" i="2"/>
  <c r="BM216" i="2"/>
  <c r="Y216" i="2"/>
  <c r="P216" i="2"/>
  <c r="BP215" i="2"/>
  <c r="BO215" i="2"/>
  <c r="BN215" i="2"/>
  <c r="BM215" i="2"/>
  <c r="Z215" i="2"/>
  <c r="Y215" i="2"/>
  <c r="P215" i="2"/>
  <c r="BO214" i="2"/>
  <c r="BM214" i="2"/>
  <c r="Y214" i="2"/>
  <c r="P214" i="2"/>
  <c r="X212" i="2"/>
  <c r="X211" i="2"/>
  <c r="BO210" i="2"/>
  <c r="BM210" i="2"/>
  <c r="Y210" i="2"/>
  <c r="Z210" i="2" s="1"/>
  <c r="P210" i="2"/>
  <c r="BO209" i="2"/>
  <c r="BM209" i="2"/>
  <c r="Y209" i="2"/>
  <c r="Z209" i="2" s="1"/>
  <c r="P209" i="2"/>
  <c r="BP208" i="2"/>
  <c r="BO208" i="2"/>
  <c r="BN208" i="2"/>
  <c r="BM208" i="2"/>
  <c r="Z208" i="2"/>
  <c r="Y208" i="2"/>
  <c r="P208" i="2"/>
  <c r="BO207" i="2"/>
  <c r="BM207" i="2"/>
  <c r="Y207" i="2"/>
  <c r="P207" i="2"/>
  <c r="BO206" i="2"/>
  <c r="BM206" i="2"/>
  <c r="Y206" i="2"/>
  <c r="P206" i="2"/>
  <c r="BP205" i="2"/>
  <c r="BO205" i="2"/>
  <c r="BN205" i="2"/>
  <c r="BM205" i="2"/>
  <c r="Z205" i="2"/>
  <c r="Y205" i="2"/>
  <c r="P205" i="2"/>
  <c r="BO204" i="2"/>
  <c r="BM204" i="2"/>
  <c r="Y204" i="2"/>
  <c r="P204" i="2"/>
  <c r="BO203" i="2"/>
  <c r="BM203" i="2"/>
  <c r="Z203" i="2"/>
  <c r="Y203" i="2"/>
  <c r="P203" i="2"/>
  <c r="X201" i="2"/>
  <c r="X200" i="2"/>
  <c r="BO199" i="2"/>
  <c r="BM199" i="2"/>
  <c r="Y199" i="2"/>
  <c r="Z199" i="2" s="1"/>
  <c r="P199" i="2"/>
  <c r="BO198" i="2"/>
  <c r="BM198" i="2"/>
  <c r="Y198" i="2"/>
  <c r="P198" i="2"/>
  <c r="X196" i="2"/>
  <c r="X195" i="2"/>
  <c r="BO194" i="2"/>
  <c r="BM194" i="2"/>
  <c r="Y194" i="2"/>
  <c r="P194" i="2"/>
  <c r="BO193" i="2"/>
  <c r="BM193" i="2"/>
  <c r="Y193" i="2"/>
  <c r="BP193" i="2" s="1"/>
  <c r="P193" i="2"/>
  <c r="X190" i="2"/>
  <c r="X189" i="2"/>
  <c r="BO188" i="2"/>
  <c r="BM188" i="2"/>
  <c r="Y188" i="2"/>
  <c r="P188" i="2"/>
  <c r="X186" i="2"/>
  <c r="X185" i="2"/>
  <c r="BO184" i="2"/>
  <c r="BM184" i="2"/>
  <c r="Y184" i="2"/>
  <c r="P184" i="2"/>
  <c r="BP183" i="2"/>
  <c r="BO183" i="2"/>
  <c r="BN183" i="2"/>
  <c r="BM183" i="2"/>
  <c r="Z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M174" i="2"/>
  <c r="Y174" i="2"/>
  <c r="BP174" i="2" s="1"/>
  <c r="P174" i="2"/>
  <c r="BO173" i="2"/>
  <c r="BM173" i="2"/>
  <c r="Y173" i="2"/>
  <c r="P173" i="2"/>
  <c r="BP172" i="2"/>
  <c r="BO172" i="2"/>
  <c r="BN172" i="2"/>
  <c r="BM172" i="2"/>
  <c r="Z172" i="2"/>
  <c r="Y172" i="2"/>
  <c r="P172" i="2"/>
  <c r="BO171" i="2"/>
  <c r="BM171" i="2"/>
  <c r="Y171" i="2"/>
  <c r="P171" i="2"/>
  <c r="BO170" i="2"/>
  <c r="BM170" i="2"/>
  <c r="Z170" i="2"/>
  <c r="Y170" i="2"/>
  <c r="BP170" i="2" s="1"/>
  <c r="P170" i="2"/>
  <c r="BO169" i="2"/>
  <c r="BM169" i="2"/>
  <c r="Z169" i="2"/>
  <c r="Y169" i="2"/>
  <c r="BN169" i="2" s="1"/>
  <c r="P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O165" i="2"/>
  <c r="BM165" i="2"/>
  <c r="Y165" i="2"/>
  <c r="P165" i="2"/>
  <c r="Y163" i="2"/>
  <c r="X163" i="2"/>
  <c r="X162" i="2"/>
  <c r="BO161" i="2"/>
  <c r="BM161" i="2"/>
  <c r="Z161" i="2"/>
  <c r="Z162" i="2" s="1"/>
  <c r="Y161" i="2"/>
  <c r="P161" i="2"/>
  <c r="X157" i="2"/>
  <c r="X156" i="2"/>
  <c r="BO155" i="2"/>
  <c r="BM155" i="2"/>
  <c r="Y155" i="2"/>
  <c r="Z155" i="2" s="1"/>
  <c r="Z156" i="2" s="1"/>
  <c r="P155" i="2"/>
  <c r="X153" i="2"/>
  <c r="X152" i="2"/>
  <c r="BO151" i="2"/>
  <c r="BN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P147" i="2"/>
  <c r="X145" i="2"/>
  <c r="X144" i="2"/>
  <c r="BP143" i="2"/>
  <c r="BO143" i="2"/>
  <c r="BN143" i="2"/>
  <c r="BM143" i="2"/>
  <c r="Z143" i="2"/>
  <c r="Y143" i="2"/>
  <c r="P143" i="2"/>
  <c r="BO142" i="2"/>
  <c r="BM142" i="2"/>
  <c r="Y142" i="2"/>
  <c r="Y145" i="2" s="1"/>
  <c r="P142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Y138" i="2" s="1"/>
  <c r="P136" i="2"/>
  <c r="X134" i="2"/>
  <c r="X133" i="2"/>
  <c r="BO132" i="2"/>
  <c r="BM132" i="2"/>
  <c r="Y132" i="2"/>
  <c r="P132" i="2"/>
  <c r="BO131" i="2"/>
  <c r="BM131" i="2"/>
  <c r="Y131" i="2"/>
  <c r="Z131" i="2" s="1"/>
  <c r="P131" i="2"/>
  <c r="X129" i="2"/>
  <c r="X128" i="2"/>
  <c r="BO127" i="2"/>
  <c r="BM127" i="2"/>
  <c r="Y127" i="2"/>
  <c r="P127" i="2"/>
  <c r="BO126" i="2"/>
  <c r="BM126" i="2"/>
  <c r="Y126" i="2"/>
  <c r="G499" i="2" s="1"/>
  <c r="P126" i="2"/>
  <c r="X123" i="2"/>
  <c r="X122" i="2"/>
  <c r="BO121" i="2"/>
  <c r="BM121" i="2"/>
  <c r="Z121" i="2"/>
  <c r="Z122" i="2" s="1"/>
  <c r="Y121" i="2"/>
  <c r="Y123" i="2" s="1"/>
  <c r="P121" i="2"/>
  <c r="X119" i="2"/>
  <c r="X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BP115" i="2" s="1"/>
  <c r="P115" i="2"/>
  <c r="BP114" i="2"/>
  <c r="BO114" i="2"/>
  <c r="BN114" i="2"/>
  <c r="BM114" i="2"/>
  <c r="Z114" i="2"/>
  <c r="Y114" i="2"/>
  <c r="Y119" i="2" s="1"/>
  <c r="P114" i="2"/>
  <c r="X112" i="2"/>
  <c r="X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Z108" i="2" s="1"/>
  <c r="P108" i="2"/>
  <c r="BP107" i="2"/>
  <c r="BO107" i="2"/>
  <c r="BN107" i="2"/>
  <c r="BM107" i="2"/>
  <c r="Z107" i="2"/>
  <c r="Y107" i="2"/>
  <c r="P107" i="2"/>
  <c r="X105" i="2"/>
  <c r="X104" i="2"/>
  <c r="BO103" i="2"/>
  <c r="BM103" i="2"/>
  <c r="Y103" i="2"/>
  <c r="BN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P92" i="2"/>
  <c r="BO92" i="2"/>
  <c r="BM92" i="2"/>
  <c r="Y92" i="2"/>
  <c r="BN92" i="2" s="1"/>
  <c r="P92" i="2"/>
  <c r="BO91" i="2"/>
  <c r="BM91" i="2"/>
  <c r="Y91" i="2"/>
  <c r="Y95" i="2" s="1"/>
  <c r="P91" i="2"/>
  <c r="X89" i="2"/>
  <c r="X88" i="2"/>
  <c r="BP87" i="2"/>
  <c r="BO87" i="2"/>
  <c r="BM87" i="2"/>
  <c r="Y87" i="2"/>
  <c r="BN87" i="2" s="1"/>
  <c r="P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BO84" i="2"/>
  <c r="BM84" i="2"/>
  <c r="Y84" i="2"/>
  <c r="BP84" i="2" s="1"/>
  <c r="P84" i="2"/>
  <c r="X81" i="2"/>
  <c r="X80" i="2"/>
  <c r="BP79" i="2"/>
  <c r="BO79" i="2"/>
  <c r="BN79" i="2"/>
  <c r="BM79" i="2"/>
  <c r="Z79" i="2"/>
  <c r="Y79" i="2"/>
  <c r="P79" i="2"/>
  <c r="BO78" i="2"/>
  <c r="BM78" i="2"/>
  <c r="Y78" i="2"/>
  <c r="BP78" i="2" s="1"/>
  <c r="P78" i="2"/>
  <c r="X76" i="2"/>
  <c r="X75" i="2"/>
  <c r="BO74" i="2"/>
  <c r="BM74" i="2"/>
  <c r="Y74" i="2"/>
  <c r="Z74" i="2" s="1"/>
  <c r="P74" i="2"/>
  <c r="BP73" i="2"/>
  <c r="BO73" i="2"/>
  <c r="BN73" i="2"/>
  <c r="BM73" i="2"/>
  <c r="Z73" i="2"/>
  <c r="Y73" i="2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Y54" i="2"/>
  <c r="BN54" i="2" s="1"/>
  <c r="P54" i="2"/>
  <c r="BP53" i="2"/>
  <c r="BO53" i="2"/>
  <c r="BN53" i="2"/>
  <c r="BM53" i="2"/>
  <c r="Z53" i="2"/>
  <c r="Y53" i="2"/>
  <c r="P53" i="2"/>
  <c r="BO52" i="2"/>
  <c r="BM52" i="2"/>
  <c r="Y52" i="2"/>
  <c r="BP52" i="2" s="1"/>
  <c r="P52" i="2"/>
  <c r="BO51" i="2"/>
  <c r="BM51" i="2"/>
  <c r="Y51" i="2"/>
  <c r="Y57" i="2" s="1"/>
  <c r="P51" i="2"/>
  <c r="X48" i="2"/>
  <c r="X47" i="2"/>
  <c r="BO46" i="2"/>
  <c r="BM46" i="2"/>
  <c r="Y46" i="2"/>
  <c r="Y47" i="2" s="1"/>
  <c r="P46" i="2"/>
  <c r="X44" i="2"/>
  <c r="X43" i="2"/>
  <c r="BO42" i="2"/>
  <c r="BM42" i="2"/>
  <c r="Y42" i="2"/>
  <c r="P42" i="2"/>
  <c r="BO41" i="2"/>
  <c r="BM41" i="2"/>
  <c r="Y41" i="2"/>
  <c r="Z41" i="2" s="1"/>
  <c r="P41" i="2"/>
  <c r="BO40" i="2"/>
  <c r="BM40" i="2"/>
  <c r="Y40" i="2"/>
  <c r="C499" i="2" s="1"/>
  <c r="P40" i="2"/>
  <c r="Y36" i="2"/>
  <c r="X36" i="2"/>
  <c r="Y35" i="2"/>
  <c r="X35" i="2"/>
  <c r="BP34" i="2"/>
  <c r="BO34" i="2"/>
  <c r="BM34" i="2"/>
  <c r="Y34" i="2"/>
  <c r="BN34" i="2" s="1"/>
  <c r="P34" i="2"/>
  <c r="X32" i="2"/>
  <c r="X31" i="2"/>
  <c r="BO30" i="2"/>
  <c r="BM30" i="2"/>
  <c r="Z30" i="2"/>
  <c r="Y30" i="2"/>
  <c r="BN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Y32" i="2" s="1"/>
  <c r="P27" i="2"/>
  <c r="X25" i="2"/>
  <c r="X24" i="2"/>
  <c r="BP23" i="2"/>
  <c r="BO23" i="2"/>
  <c r="BN23" i="2"/>
  <c r="BM23" i="2"/>
  <c r="Z23" i="2"/>
  <c r="Y23" i="2"/>
  <c r="P23" i="2"/>
  <c r="BO22" i="2"/>
  <c r="X491" i="2" s="1"/>
  <c r="BM22" i="2"/>
  <c r="X490" i="2" s="1"/>
  <c r="Y22" i="2"/>
  <c r="B499" i="2" s="1"/>
  <c r="P22" i="2"/>
  <c r="H10" i="2"/>
  <c r="H9" i="2"/>
  <c r="A9" i="2"/>
  <c r="F10" i="2" s="1"/>
  <c r="D7" i="2"/>
  <c r="Q6" i="2"/>
  <c r="P2" i="2"/>
  <c r="Y48" i="2" l="1"/>
  <c r="BN74" i="2"/>
  <c r="BP74" i="2"/>
  <c r="BN91" i="2"/>
  <c r="BP108" i="2"/>
  <c r="Y111" i="2"/>
  <c r="BP210" i="2"/>
  <c r="BP214" i="2"/>
  <c r="BN214" i="2"/>
  <c r="Z214" i="2"/>
  <c r="BN219" i="2"/>
  <c r="BP219" i="2"/>
  <c r="BN220" i="2"/>
  <c r="BP226" i="2"/>
  <c r="BN226" i="2"/>
  <c r="Z226" i="2"/>
  <c r="BP234" i="2"/>
  <c r="Z234" i="2"/>
  <c r="BP239" i="2"/>
  <c r="BN239" i="2"/>
  <c r="Z239" i="2"/>
  <c r="BN256" i="2"/>
  <c r="BP273" i="2"/>
  <c r="BN273" i="2"/>
  <c r="Z273" i="2"/>
  <c r="BP322" i="2"/>
  <c r="Z322" i="2"/>
  <c r="BN343" i="2"/>
  <c r="BP343" i="2"/>
  <c r="BP380" i="2"/>
  <c r="Z380" i="2"/>
  <c r="BP404" i="2"/>
  <c r="Y407" i="2"/>
  <c r="Y406" i="2"/>
  <c r="BN404" i="2"/>
  <c r="Z404" i="2"/>
  <c r="BN405" i="2"/>
  <c r="BP415" i="2"/>
  <c r="Z415" i="2"/>
  <c r="BP438" i="2"/>
  <c r="Z438" i="2"/>
  <c r="BN452" i="2"/>
  <c r="BP452" i="2"/>
  <c r="BP454" i="2"/>
  <c r="BN454" i="2"/>
  <c r="Z454" i="2"/>
  <c r="BP462" i="2"/>
  <c r="Z462" i="2"/>
  <c r="Y25" i="2"/>
  <c r="BN108" i="2"/>
  <c r="Y139" i="2"/>
  <c r="Y144" i="2"/>
  <c r="BP165" i="2"/>
  <c r="Y179" i="2"/>
  <c r="BN165" i="2"/>
  <c r="Z165" i="2"/>
  <c r="BP166" i="2"/>
  <c r="BN166" i="2"/>
  <c r="Z166" i="2"/>
  <c r="BP173" i="2"/>
  <c r="BN173" i="2"/>
  <c r="Z173" i="2"/>
  <c r="BP182" i="2"/>
  <c r="BN182" i="2"/>
  <c r="Z182" i="2"/>
  <c r="BP204" i="2"/>
  <c r="BN204" i="2"/>
  <c r="Z204" i="2"/>
  <c r="BN209" i="2"/>
  <c r="BP209" i="2"/>
  <c r="BN210" i="2"/>
  <c r="BP220" i="2"/>
  <c r="BN263" i="2"/>
  <c r="BP263" i="2"/>
  <c r="BP353" i="2"/>
  <c r="BN353" i="2"/>
  <c r="Z353" i="2"/>
  <c r="J9" i="2"/>
  <c r="Z22" i="2"/>
  <c r="Z24" i="2" s="1"/>
  <c r="BN22" i="2"/>
  <c r="BP22" i="2"/>
  <c r="X493" i="2"/>
  <c r="X489" i="2"/>
  <c r="Z27" i="2"/>
  <c r="BN27" i="2"/>
  <c r="BP27" i="2"/>
  <c r="BP29" i="2"/>
  <c r="BP30" i="2"/>
  <c r="Z40" i="2"/>
  <c r="BN40" i="2"/>
  <c r="BP40" i="2"/>
  <c r="BN41" i="2"/>
  <c r="BP41" i="2"/>
  <c r="Y44" i="2"/>
  <c r="Y43" i="2"/>
  <c r="Z46" i="2"/>
  <c r="Z47" i="2" s="1"/>
  <c r="BN46" i="2"/>
  <c r="BP46" i="2"/>
  <c r="Z52" i="2"/>
  <c r="BN52" i="2"/>
  <c r="BP54" i="2"/>
  <c r="BP55" i="2"/>
  <c r="Y58" i="2"/>
  <c r="Z71" i="2"/>
  <c r="BN71" i="2"/>
  <c r="Y76" i="2"/>
  <c r="Z78" i="2"/>
  <c r="Z80" i="2" s="1"/>
  <c r="Z84" i="2"/>
  <c r="Z86" i="2"/>
  <c r="BN86" i="2"/>
  <c r="Z94" i="2"/>
  <c r="F499" i="2"/>
  <c r="BN102" i="2"/>
  <c r="BP103" i="2"/>
  <c r="Z115" i="2"/>
  <c r="Z118" i="2" s="1"/>
  <c r="BN115" i="2"/>
  <c r="Y118" i="2"/>
  <c r="BP121" i="2"/>
  <c r="Y122" i="2"/>
  <c r="BP126" i="2"/>
  <c r="Y129" i="2"/>
  <c r="BN131" i="2"/>
  <c r="BP131" i="2"/>
  <c r="Y134" i="2"/>
  <c r="Y133" i="2"/>
  <c r="Z136" i="2"/>
  <c r="Z138" i="2" s="1"/>
  <c r="BN136" i="2"/>
  <c r="BP136" i="2"/>
  <c r="Z142" i="2"/>
  <c r="Z144" i="2" s="1"/>
  <c r="BN142" i="2"/>
  <c r="BP142" i="2"/>
  <c r="Y152" i="2"/>
  <c r="BN148" i="2"/>
  <c r="BP149" i="2"/>
  <c r="BN155" i="2"/>
  <c r="BP155" i="2"/>
  <c r="Y156" i="2"/>
  <c r="Y157" i="2"/>
  <c r="I499" i="2"/>
  <c r="Y162" i="2"/>
  <c r="BP161" i="2"/>
  <c r="BN161" i="2"/>
  <c r="BN168" i="2"/>
  <c r="BP168" i="2"/>
  <c r="BP171" i="2"/>
  <c r="BN171" i="2"/>
  <c r="Z171" i="2"/>
  <c r="BN176" i="2"/>
  <c r="Y186" i="2"/>
  <c r="BN188" i="2"/>
  <c r="BP188" i="2"/>
  <c r="BN194" i="2"/>
  <c r="BP194" i="2"/>
  <c r="Y201" i="2"/>
  <c r="BP198" i="2"/>
  <c r="BN198" i="2"/>
  <c r="Z198" i="2"/>
  <c r="BP206" i="2"/>
  <c r="BN206" i="2"/>
  <c r="Z206" i="2"/>
  <c r="BP216" i="2"/>
  <c r="BN216" i="2"/>
  <c r="Z216" i="2"/>
  <c r="BN233" i="2"/>
  <c r="Z233" i="2"/>
  <c r="BP236" i="2"/>
  <c r="BN236" i="2"/>
  <c r="Z236" i="2"/>
  <c r="M499" i="2"/>
  <c r="BP270" i="2"/>
  <c r="BN270" i="2"/>
  <c r="Z270" i="2"/>
  <c r="BP279" i="2"/>
  <c r="Z279" i="2"/>
  <c r="Z281" i="2" s="1"/>
  <c r="BN299" i="2"/>
  <c r="BP299" i="2"/>
  <c r="BP306" i="2"/>
  <c r="BN306" i="2"/>
  <c r="Z306" i="2"/>
  <c r="Y311" i="2"/>
  <c r="Y318" i="2"/>
  <c r="Z315" i="2"/>
  <c r="BP315" i="2"/>
  <c r="BP169" i="2"/>
  <c r="BN177" i="2"/>
  <c r="BP177" i="2"/>
  <c r="BN193" i="2"/>
  <c r="Y195" i="2"/>
  <c r="BN199" i="2"/>
  <c r="Y212" i="2"/>
  <c r="Y211" i="2"/>
  <c r="Y224" i="2"/>
  <c r="Y229" i="2"/>
  <c r="BN240" i="2"/>
  <c r="BP240" i="2"/>
  <c r="Y246" i="2"/>
  <c r="Y258" i="2"/>
  <c r="BN252" i="2"/>
  <c r="BP252" i="2"/>
  <c r="Y266" i="2"/>
  <c r="Y282" i="2"/>
  <c r="BP285" i="2"/>
  <c r="BN285" i="2"/>
  <c r="Z285" i="2"/>
  <c r="Z287" i="2" s="1"/>
  <c r="BN286" i="2"/>
  <c r="BP286" i="2"/>
  <c r="BP291" i="2"/>
  <c r="BN291" i="2"/>
  <c r="Z291" i="2"/>
  <c r="Q499" i="2"/>
  <c r="BP296" i="2"/>
  <c r="BN296" i="2"/>
  <c r="Z296" i="2"/>
  <c r="BN305" i="2"/>
  <c r="Z305" i="2"/>
  <c r="BN309" i="2"/>
  <c r="BP309" i="2"/>
  <c r="BP316" i="2"/>
  <c r="BN316" i="2"/>
  <c r="Z316" i="2"/>
  <c r="BP328" i="2"/>
  <c r="BN328" i="2"/>
  <c r="Z328" i="2"/>
  <c r="BN329" i="2"/>
  <c r="BP329" i="2"/>
  <c r="BN330" i="2"/>
  <c r="BP330" i="2"/>
  <c r="BN336" i="2"/>
  <c r="BP336" i="2"/>
  <c r="BP350" i="2"/>
  <c r="BN350" i="2"/>
  <c r="Z350" i="2"/>
  <c r="BN355" i="2"/>
  <c r="BP355" i="2"/>
  <c r="Y361" i="2"/>
  <c r="Y362" i="2"/>
  <c r="BP359" i="2"/>
  <c r="BN359" i="2"/>
  <c r="Z359" i="2"/>
  <c r="Z361" i="2" s="1"/>
  <c r="T499" i="2"/>
  <c r="BP374" i="2"/>
  <c r="BN374" i="2"/>
  <c r="Z374" i="2"/>
  <c r="BP386" i="2"/>
  <c r="BN386" i="2"/>
  <c r="Z386" i="2"/>
  <c r="Y402" i="2"/>
  <c r="BP392" i="2"/>
  <c r="BN396" i="2"/>
  <c r="BP396" i="2"/>
  <c r="Y423" i="2"/>
  <c r="BN422" i="2"/>
  <c r="Z422" i="2"/>
  <c r="Z423" i="2" s="1"/>
  <c r="X499" i="2"/>
  <c r="BP428" i="2"/>
  <c r="BN432" i="2"/>
  <c r="BP432" i="2"/>
  <c r="Y473" i="2"/>
  <c r="Y302" i="2"/>
  <c r="Y312" i="2"/>
  <c r="BN335" i="2"/>
  <c r="Y337" i="2"/>
  <c r="Y338" i="2"/>
  <c r="R499" i="2"/>
  <c r="Y344" i="2"/>
  <c r="Y345" i="2"/>
  <c r="S499" i="2"/>
  <c r="Y356" i="2"/>
  <c r="BP360" i="2"/>
  <c r="BN364" i="2"/>
  <c r="BP364" i="2"/>
  <c r="Y376" i="2"/>
  <c r="Y387" i="2"/>
  <c r="BN395" i="2"/>
  <c r="BN399" i="2"/>
  <c r="BP399" i="2"/>
  <c r="V499" i="2"/>
  <c r="BN431" i="2"/>
  <c r="BN435" i="2"/>
  <c r="BP435" i="2"/>
  <c r="BN445" i="2"/>
  <c r="BP445" i="2"/>
  <c r="Y455" i="2"/>
  <c r="BN451" i="2"/>
  <c r="BN453" i="2"/>
  <c r="Z318" i="2"/>
  <c r="Z200" i="2"/>
  <c r="X492" i="2"/>
  <c r="Z67" i="2"/>
  <c r="Z255" i="2"/>
  <c r="Y325" i="2"/>
  <c r="Y441" i="2"/>
  <c r="BP476" i="2"/>
  <c r="Y488" i="2"/>
  <c r="H499" i="2"/>
  <c r="Z147" i="2"/>
  <c r="Z222" i="2"/>
  <c r="Z72" i="2"/>
  <c r="Z75" i="2" s="1"/>
  <c r="Y88" i="2"/>
  <c r="Y96" i="2"/>
  <c r="Z116" i="2"/>
  <c r="Y153" i="2"/>
  <c r="Z174" i="2"/>
  <c r="BP176" i="2"/>
  <c r="Z184" i="2"/>
  <c r="Z185" i="2" s="1"/>
  <c r="Y189" i="2"/>
  <c r="BP199" i="2"/>
  <c r="Z207" i="2"/>
  <c r="Z211" i="2" s="1"/>
  <c r="Z217" i="2"/>
  <c r="Z227" i="2"/>
  <c r="Z228" i="2" s="1"/>
  <c r="Z238" i="2"/>
  <c r="Z261" i="2"/>
  <c r="Z272" i="2"/>
  <c r="Z274" i="2" s="1"/>
  <c r="Z297" i="2"/>
  <c r="Z307" i="2"/>
  <c r="Z317" i="2"/>
  <c r="BP342" i="2"/>
  <c r="Z352" i="2"/>
  <c r="Z375" i="2"/>
  <c r="Z376" i="2" s="1"/>
  <c r="Y388" i="2"/>
  <c r="Z410" i="2"/>
  <c r="Z411" i="2" s="1"/>
  <c r="Y424" i="2"/>
  <c r="Y456" i="2"/>
  <c r="Z467" i="2"/>
  <c r="Z469" i="2" s="1"/>
  <c r="BP481" i="2"/>
  <c r="Z101" i="2"/>
  <c r="BN101" i="2"/>
  <c r="Y112" i="2"/>
  <c r="BN147" i="2"/>
  <c r="Y180" i="2"/>
  <c r="BN222" i="2"/>
  <c r="BN255" i="2"/>
  <c r="Y267" i="2"/>
  <c r="Y303" i="2"/>
  <c r="BN462" i="2"/>
  <c r="Z472" i="2"/>
  <c r="Z473" i="2" s="1"/>
  <c r="Y477" i="2"/>
  <c r="J499" i="2"/>
  <c r="Y104" i="2"/>
  <c r="BN72" i="2"/>
  <c r="Y75" i="2"/>
  <c r="Z93" i="2"/>
  <c r="BN116" i="2"/>
  <c r="Z127" i="2"/>
  <c r="Z150" i="2"/>
  <c r="BN174" i="2"/>
  <c r="BN184" i="2"/>
  <c r="Y200" i="2"/>
  <c r="BN207" i="2"/>
  <c r="BN217" i="2"/>
  <c r="BN227" i="2"/>
  <c r="BN238" i="2"/>
  <c r="Y241" i="2"/>
  <c r="Z248" i="2"/>
  <c r="Z249" i="2" s="1"/>
  <c r="BN261" i="2"/>
  <c r="BN272" i="2"/>
  <c r="BN297" i="2"/>
  <c r="BN307" i="2"/>
  <c r="BN317" i="2"/>
  <c r="Z327" i="2"/>
  <c r="BN352" i="2"/>
  <c r="BN375" i="2"/>
  <c r="Z385" i="2"/>
  <c r="Z397" i="2"/>
  <c r="BN410" i="2"/>
  <c r="Z433" i="2"/>
  <c r="Z443" i="2"/>
  <c r="Z446" i="2" s="1"/>
  <c r="Z453" i="2"/>
  <c r="BN467" i="2"/>
  <c r="Y482" i="2"/>
  <c r="K499" i="2"/>
  <c r="Z42" i="2"/>
  <c r="BP67" i="2"/>
  <c r="Y80" i="2"/>
  <c r="Y89" i="2"/>
  <c r="Z99" i="2"/>
  <c r="Z109" i="2"/>
  <c r="Z111" i="2" s="1"/>
  <c r="BN121" i="2"/>
  <c r="Z132" i="2"/>
  <c r="Z133" i="2" s="1"/>
  <c r="BP147" i="2"/>
  <c r="Y190" i="2"/>
  <c r="Z253" i="2"/>
  <c r="Z264" i="2"/>
  <c r="BN278" i="2"/>
  <c r="Y281" i="2"/>
  <c r="Z300" i="2"/>
  <c r="Z310" i="2"/>
  <c r="BN322" i="2"/>
  <c r="Z343" i="2"/>
  <c r="Z355" i="2"/>
  <c r="BP369" i="2"/>
  <c r="BN380" i="2"/>
  <c r="Z392" i="2"/>
  <c r="BN415" i="2"/>
  <c r="Y418" i="2"/>
  <c r="Z428" i="2"/>
  <c r="BN438" i="2"/>
  <c r="Z460" i="2"/>
  <c r="BN472" i="2"/>
  <c r="L499" i="2"/>
  <c r="Z60" i="2"/>
  <c r="Z63" i="2" s="1"/>
  <c r="BN60" i="2"/>
  <c r="Y63" i="2"/>
  <c r="BP72" i="2"/>
  <c r="BN93" i="2"/>
  <c r="Y105" i="2"/>
  <c r="BP116" i="2"/>
  <c r="BN127" i="2"/>
  <c r="BN150" i="2"/>
  <c r="BP184" i="2"/>
  <c r="Y196" i="2"/>
  <c r="BP207" i="2"/>
  <c r="BP217" i="2"/>
  <c r="BP227" i="2"/>
  <c r="BN248" i="2"/>
  <c r="BP261" i="2"/>
  <c r="BP272" i="2"/>
  <c r="Y287" i="2"/>
  <c r="BP297" i="2"/>
  <c r="BP307" i="2"/>
  <c r="BN327" i="2"/>
  <c r="BP352" i="2"/>
  <c r="BP375" i="2"/>
  <c r="BN385" i="2"/>
  <c r="BN397" i="2"/>
  <c r="BP410" i="2"/>
  <c r="BN433" i="2"/>
  <c r="BN443" i="2"/>
  <c r="Y446" i="2"/>
  <c r="BP467" i="2"/>
  <c r="Y478" i="2"/>
  <c r="BN42" i="2"/>
  <c r="Y68" i="2"/>
  <c r="BN99" i="2"/>
  <c r="BN109" i="2"/>
  <c r="BN132" i="2"/>
  <c r="Y223" i="2"/>
  <c r="Y242" i="2"/>
  <c r="BP278" i="2"/>
  <c r="Y292" i="2"/>
  <c r="Z330" i="2"/>
  <c r="Z365" i="2"/>
  <c r="Z366" i="2" s="1"/>
  <c r="BN392" i="2"/>
  <c r="Z400" i="2"/>
  <c r="BN428" i="2"/>
  <c r="Z436" i="2"/>
  <c r="BN460" i="2"/>
  <c r="BP472" i="2"/>
  <c r="Y483" i="2"/>
  <c r="O499" i="2"/>
  <c r="BP60" i="2"/>
  <c r="Y81" i="2"/>
  <c r="Z91" i="2"/>
  <c r="Z95" i="2" s="1"/>
  <c r="Z102" i="2"/>
  <c r="BP127" i="2"/>
  <c r="Z148" i="2"/>
  <c r="Y185" i="2"/>
  <c r="Z193" i="2"/>
  <c r="Y228" i="2"/>
  <c r="BP248" i="2"/>
  <c r="Z256" i="2"/>
  <c r="BN315" i="2"/>
  <c r="BP327" i="2"/>
  <c r="Z335" i="2"/>
  <c r="Z395" i="2"/>
  <c r="Z405" i="2"/>
  <c r="Z406" i="2" s="1"/>
  <c r="Y411" i="2"/>
  <c r="Y419" i="2"/>
  <c r="Z431" i="2"/>
  <c r="BP443" i="2"/>
  <c r="Z451" i="2"/>
  <c r="Z463" i="2"/>
  <c r="P499" i="2"/>
  <c r="F9" i="2"/>
  <c r="Y31" i="2"/>
  <c r="BP42" i="2"/>
  <c r="BP99" i="2"/>
  <c r="BP132" i="2"/>
  <c r="Y288" i="2"/>
  <c r="Y381" i="2"/>
  <c r="BP460" i="2"/>
  <c r="Y69" i="2"/>
  <c r="Y128" i="2"/>
  <c r="Y249" i="2"/>
  <c r="Y293" i="2"/>
  <c r="Z416" i="2"/>
  <c r="Z439" i="2"/>
  <c r="BN463" i="2"/>
  <c r="Z486" i="2"/>
  <c r="Z487" i="2" s="1"/>
  <c r="A10" i="2"/>
  <c r="Y24" i="2"/>
  <c r="BN56" i="2"/>
  <c r="Z66" i="2"/>
  <c r="Z68" i="2" s="1"/>
  <c r="BN78" i="2"/>
  <c r="BP91" i="2"/>
  <c r="Z100" i="2"/>
  <c r="Z110" i="2"/>
  <c r="BN170" i="2"/>
  <c r="Z178" i="2"/>
  <c r="BN203" i="2"/>
  <c r="Z221" i="2"/>
  <c r="BN234" i="2"/>
  <c r="BN244" i="2"/>
  <c r="Z254" i="2"/>
  <c r="Z265" i="2"/>
  <c r="BN279" i="2"/>
  <c r="Z290" i="2"/>
  <c r="Z292" i="2" s="1"/>
  <c r="Z301" i="2"/>
  <c r="BN323" i="2"/>
  <c r="Y382" i="2"/>
  <c r="Z393" i="2"/>
  <c r="BN416" i="2"/>
  <c r="Z429" i="2"/>
  <c r="BN439" i="2"/>
  <c r="Z449" i="2"/>
  <c r="Z461" i="2"/>
  <c r="BN486" i="2"/>
  <c r="Z51" i="2"/>
  <c r="BN51" i="2"/>
  <c r="BN61" i="2"/>
  <c r="BN84" i="2"/>
  <c r="Y331" i="2"/>
  <c r="Y401" i="2"/>
  <c r="U499" i="2"/>
  <c r="Z54" i="2"/>
  <c r="BN66" i="2"/>
  <c r="Z87" i="2"/>
  <c r="Z88" i="2" s="1"/>
  <c r="BN100" i="2"/>
  <c r="BN110" i="2"/>
  <c r="Z168" i="2"/>
  <c r="BN178" i="2"/>
  <c r="Z188" i="2"/>
  <c r="Z189" i="2" s="1"/>
  <c r="BP203" i="2"/>
  <c r="BN221" i="2"/>
  <c r="Z232" i="2"/>
  <c r="BP244" i="2"/>
  <c r="BN254" i="2"/>
  <c r="Y257" i="2"/>
  <c r="BN265" i="2"/>
  <c r="BN290" i="2"/>
  <c r="BN301" i="2"/>
  <c r="Z321" i="2"/>
  <c r="Z379" i="2"/>
  <c r="Z381" i="2" s="1"/>
  <c r="BN393" i="2"/>
  <c r="Z414" i="2"/>
  <c r="Z418" i="2" s="1"/>
  <c r="BN429" i="2"/>
  <c r="Z437" i="2"/>
  <c r="BN449" i="2"/>
  <c r="BN461" i="2"/>
  <c r="Y464" i="2"/>
  <c r="BP486" i="2"/>
  <c r="Z29" i="2"/>
  <c r="Z31" i="2" s="1"/>
  <c r="BP61" i="2"/>
  <c r="BP94" i="2"/>
  <c r="Z126" i="2"/>
  <c r="Z149" i="2"/>
  <c r="Y274" i="2"/>
  <c r="Z336" i="2"/>
  <c r="Z337" i="2" s="1"/>
  <c r="Z384" i="2"/>
  <c r="Z396" i="2"/>
  <c r="BP422" i="2"/>
  <c r="Z432" i="2"/>
  <c r="Z452" i="2"/>
  <c r="Y469" i="2"/>
  <c r="Z476" i="2"/>
  <c r="Z477" i="2" s="1"/>
  <c r="D499" i="2"/>
  <c r="W499" i="2"/>
  <c r="Z34" i="2"/>
  <c r="Z35" i="2" s="1"/>
  <c r="BP51" i="2"/>
  <c r="Y491" i="2" s="1"/>
  <c r="Z194" i="2"/>
  <c r="Z252" i="2"/>
  <c r="Z263" i="2"/>
  <c r="Z299" i="2"/>
  <c r="Z302" i="2" s="1"/>
  <c r="Z309" i="2"/>
  <c r="BN321" i="2"/>
  <c r="Y324" i="2"/>
  <c r="Z342" i="2"/>
  <c r="Z344" i="2" s="1"/>
  <c r="Z354" i="2"/>
  <c r="Y367" i="2"/>
  <c r="BN379" i="2"/>
  <c r="BN414" i="2"/>
  <c r="BN437" i="2"/>
  <c r="Y440" i="2"/>
  <c r="BP449" i="2"/>
  <c r="Z481" i="2"/>
  <c r="Z482" i="2" s="1"/>
  <c r="Y487" i="2"/>
  <c r="E499" i="2"/>
  <c r="Z92" i="2"/>
  <c r="Z103" i="2"/>
  <c r="BN126" i="2"/>
  <c r="BN384" i="2"/>
  <c r="Y465" i="2"/>
  <c r="Z223" i="2" l="1"/>
  <c r="Z311" i="2"/>
  <c r="Z324" i="2"/>
  <c r="Z179" i="2"/>
  <c r="Y489" i="2"/>
  <c r="Y490" i="2"/>
  <c r="Z43" i="2"/>
  <c r="Z331" i="2"/>
  <c r="Z356" i="2"/>
  <c r="Y492" i="2"/>
  <c r="Z266" i="2"/>
  <c r="Z464" i="2"/>
  <c r="Z104" i="2"/>
  <c r="Z128" i="2"/>
  <c r="Z401" i="2"/>
  <c r="Z440" i="2"/>
  <c r="Y493" i="2"/>
  <c r="Z57" i="2"/>
  <c r="Z257" i="2"/>
  <c r="Z387" i="2"/>
  <c r="Z455" i="2"/>
  <c r="Z241" i="2"/>
  <c r="Z195" i="2"/>
  <c r="Z152" i="2"/>
  <c r="Z494" i="2" l="1"/>
</calcChain>
</file>

<file path=xl/sharedStrings.xml><?xml version="1.0" encoding="utf-8"?>
<sst xmlns="http://schemas.openxmlformats.org/spreadsheetml/2006/main" count="3615" uniqueCount="771">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</sst>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46051</v>
      </c>
      <c r="R5" s="563"/>
      <c r="T5" s="564" t="s">
        <v>3</v>
      </c>
      <c r="U5" s="565"/>
      <c r="V5" s="566" t="s">
        <v>757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Четверг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4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5"/>
      <c r="C9" s="585"/>
      <c r="D9" s="586" t="s">
        <v>45</v>
      </c>
      <c r="E9" s="587"/>
      <c r="F9" s="5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5"/>
      <c r="H9" s="588" t="str">
        <f>IF(AND($A$9="Тип доверенности/получателя при получении в адресе перегруза:",$D$9="Разовая доверенность"),"Введите ФИО","")</f>
        <v/>
      </c>
      <c r="I9" s="588"/>
      <c r="J9" s="5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8"/>
      <c r="L9" s="588"/>
      <c r="M9" s="588"/>
      <c r="N9" s="70"/>
      <c r="P9" s="31" t="s">
        <v>15</v>
      </c>
      <c r="Q9" s="589"/>
      <c r="R9" s="589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5"/>
      <c r="C10" s="585"/>
      <c r="D10" s="586"/>
      <c r="E10" s="587"/>
      <c r="F10" s="5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5"/>
      <c r="H10" s="590" t="str">
        <f>IFERROR(VLOOKUP($D$10,Proxy,2,FALSE),"")</f>
        <v/>
      </c>
      <c r="I10" s="590"/>
      <c r="J10" s="590"/>
      <c r="K10" s="590"/>
      <c r="L10" s="590"/>
      <c r="M10" s="590"/>
      <c r="N10" s="71"/>
      <c r="P10" s="31" t="s">
        <v>32</v>
      </c>
      <c r="Q10" s="591"/>
      <c r="R10" s="591"/>
      <c r="U10" s="29" t="s">
        <v>12</v>
      </c>
      <c r="V10" s="592" t="s">
        <v>70</v>
      </c>
      <c r="W10" s="59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4"/>
      <c r="R11" s="594"/>
      <c r="U11" s="29" t="s">
        <v>28</v>
      </c>
      <c r="V11" s="595" t="s">
        <v>54</v>
      </c>
      <c r="W11" s="59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6" t="s">
        <v>71</v>
      </c>
      <c r="B12" s="596"/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96"/>
      <c r="N12" s="76"/>
      <c r="P12" s="27" t="s">
        <v>30</v>
      </c>
      <c r="Q12" s="583"/>
      <c r="R12" s="583"/>
      <c r="S12" s="28"/>
      <c r="T12"/>
      <c r="U12" s="29" t="s">
        <v>45</v>
      </c>
      <c r="V12" s="597"/>
      <c r="W12" s="597"/>
      <c r="X12"/>
      <c r="AB12" s="59"/>
      <c r="AC12" s="59"/>
      <c r="AD12" s="59"/>
      <c r="AE12" s="59"/>
    </row>
    <row r="13" spans="1:32" s="17" customFormat="1" ht="23.25" customHeight="1" x14ac:dyDescent="0.2">
      <c r="A13" s="596" t="s">
        <v>72</v>
      </c>
      <c r="B13" s="596"/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96"/>
      <c r="N13" s="76"/>
      <c r="O13" s="31"/>
      <c r="P13" s="31" t="s">
        <v>31</v>
      </c>
      <c r="Q13" s="595"/>
      <c r="R13" s="59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6" t="s">
        <v>73</v>
      </c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8" t="s">
        <v>74</v>
      </c>
      <c r="B15" s="598"/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8"/>
      <c r="N15" s="77"/>
      <c r="O15"/>
      <c r="P15" s="599" t="s">
        <v>60</v>
      </c>
      <c r="Q15" s="599"/>
      <c r="R15" s="599"/>
      <c r="S15" s="599"/>
      <c r="T15" s="59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0"/>
      <c r="Q16" s="600"/>
      <c r="R16" s="600"/>
      <c r="S16" s="600"/>
      <c r="T16" s="60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3" t="s">
        <v>58</v>
      </c>
      <c r="B17" s="603" t="s">
        <v>48</v>
      </c>
      <c r="C17" s="605" t="s">
        <v>47</v>
      </c>
      <c r="D17" s="607" t="s">
        <v>49</v>
      </c>
      <c r="E17" s="608"/>
      <c r="F17" s="603" t="s">
        <v>21</v>
      </c>
      <c r="G17" s="603" t="s">
        <v>24</v>
      </c>
      <c r="H17" s="603" t="s">
        <v>22</v>
      </c>
      <c r="I17" s="603" t="s">
        <v>23</v>
      </c>
      <c r="J17" s="603" t="s">
        <v>16</v>
      </c>
      <c r="K17" s="603" t="s">
        <v>65</v>
      </c>
      <c r="L17" s="603" t="s">
        <v>63</v>
      </c>
      <c r="M17" s="603" t="s">
        <v>2</v>
      </c>
      <c r="N17" s="603" t="s">
        <v>62</v>
      </c>
      <c r="O17" s="603" t="s">
        <v>25</v>
      </c>
      <c r="P17" s="607" t="s">
        <v>17</v>
      </c>
      <c r="Q17" s="611"/>
      <c r="R17" s="611"/>
      <c r="S17" s="611"/>
      <c r="T17" s="608"/>
      <c r="U17" s="601" t="s">
        <v>55</v>
      </c>
      <c r="V17" s="602"/>
      <c r="W17" s="603" t="s">
        <v>6</v>
      </c>
      <c r="X17" s="603" t="s">
        <v>41</v>
      </c>
      <c r="Y17" s="613" t="s">
        <v>53</v>
      </c>
      <c r="Z17" s="615" t="s">
        <v>18</v>
      </c>
      <c r="AA17" s="617" t="s">
        <v>59</v>
      </c>
      <c r="AB17" s="617" t="s">
        <v>19</v>
      </c>
      <c r="AC17" s="617" t="s">
        <v>64</v>
      </c>
      <c r="AD17" s="619" t="s">
        <v>56</v>
      </c>
      <c r="AE17" s="620"/>
      <c r="AF17" s="621"/>
      <c r="AG17" s="82"/>
      <c r="BD17" s="81" t="s">
        <v>61</v>
      </c>
    </row>
    <row r="18" spans="1:68" ht="14.25" customHeight="1" x14ac:dyDescent="0.2">
      <c r="A18" s="604"/>
      <c r="B18" s="604"/>
      <c r="C18" s="606"/>
      <c r="D18" s="609"/>
      <c r="E18" s="610"/>
      <c r="F18" s="604"/>
      <c r="G18" s="604"/>
      <c r="H18" s="604"/>
      <c r="I18" s="604"/>
      <c r="J18" s="604"/>
      <c r="K18" s="604"/>
      <c r="L18" s="604"/>
      <c r="M18" s="604"/>
      <c r="N18" s="604"/>
      <c r="O18" s="604"/>
      <c r="P18" s="609"/>
      <c r="Q18" s="612"/>
      <c r="R18" s="612"/>
      <c r="S18" s="612"/>
      <c r="T18" s="610"/>
      <c r="U18" s="83" t="s">
        <v>44</v>
      </c>
      <c r="V18" s="83" t="s">
        <v>43</v>
      </c>
      <c r="W18" s="604"/>
      <c r="X18" s="604"/>
      <c r="Y18" s="614"/>
      <c r="Z18" s="616"/>
      <c r="AA18" s="618"/>
      <c r="AB18" s="618"/>
      <c r="AC18" s="618"/>
      <c r="AD18" s="622"/>
      <c r="AE18" s="623"/>
      <c r="AF18" s="624"/>
      <c r="AG18" s="82"/>
      <c r="BD18" s="81"/>
    </row>
    <row r="19" spans="1:68" ht="27.75" customHeight="1" x14ac:dyDescent="0.2">
      <c r="A19" s="625" t="s">
        <v>77</v>
      </c>
      <c r="B19" s="625"/>
      <c r="C19" s="625"/>
      <c r="D19" s="625"/>
      <c r="E19" s="625"/>
      <c r="F19" s="625"/>
      <c r="G19" s="625"/>
      <c r="H19" s="625"/>
      <c r="I19" s="625"/>
      <c r="J19" s="625"/>
      <c r="K19" s="625"/>
      <c r="L19" s="625"/>
      <c r="M19" s="625"/>
      <c r="N19" s="625"/>
      <c r="O19" s="625"/>
      <c r="P19" s="625"/>
      <c r="Q19" s="625"/>
      <c r="R19" s="625"/>
      <c r="S19" s="625"/>
      <c r="T19" s="625"/>
      <c r="U19" s="625"/>
      <c r="V19" s="625"/>
      <c r="W19" s="625"/>
      <c r="X19" s="625"/>
      <c r="Y19" s="625"/>
      <c r="Z19" s="625"/>
      <c r="AA19" s="54"/>
      <c r="AB19" s="54"/>
      <c r="AC19" s="54"/>
    </row>
    <row r="20" spans="1:68" ht="16.5" customHeight="1" x14ac:dyDescent="0.25">
      <c r="A20" s="626" t="s">
        <v>77</v>
      </c>
      <c r="B20" s="626"/>
      <c r="C20" s="626"/>
      <c r="D20" s="626"/>
      <c r="E20" s="626"/>
      <c r="F20" s="626"/>
      <c r="G20" s="626"/>
      <c r="H20" s="626"/>
      <c r="I20" s="626"/>
      <c r="J20" s="626"/>
      <c r="K20" s="626"/>
      <c r="L20" s="626"/>
      <c r="M20" s="626"/>
      <c r="N20" s="626"/>
      <c r="O20" s="626"/>
      <c r="P20" s="626"/>
      <c r="Q20" s="626"/>
      <c r="R20" s="626"/>
      <c r="S20" s="626"/>
      <c r="T20" s="626"/>
      <c r="U20" s="626"/>
      <c r="V20" s="626"/>
      <c r="W20" s="626"/>
      <c r="X20" s="626"/>
      <c r="Y20" s="626"/>
      <c r="Z20" s="626"/>
      <c r="AA20" s="65"/>
      <c r="AB20" s="65"/>
      <c r="AC20" s="79"/>
    </row>
    <row r="21" spans="1:68" ht="14.25" customHeight="1" x14ac:dyDescent="0.25">
      <c r="A21" s="627" t="s">
        <v>78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8">
        <v>4680115887510</v>
      </c>
      <c r="E22" s="628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0"/>
      <c r="R22" s="630"/>
      <c r="S22" s="630"/>
      <c r="T22" s="631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8">
        <v>4680115886643</v>
      </c>
      <c r="E23" s="628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0"/>
      <c r="R23" s="630"/>
      <c r="S23" s="630"/>
      <c r="T23" s="631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6"/>
      <c r="B24" s="636"/>
      <c r="C24" s="636"/>
      <c r="D24" s="636"/>
      <c r="E24" s="636"/>
      <c r="F24" s="636"/>
      <c r="G24" s="636"/>
      <c r="H24" s="636"/>
      <c r="I24" s="636"/>
      <c r="J24" s="636"/>
      <c r="K24" s="636"/>
      <c r="L24" s="636"/>
      <c r="M24" s="636"/>
      <c r="N24" s="636"/>
      <c r="O24" s="637"/>
      <c r="P24" s="633" t="s">
        <v>40</v>
      </c>
      <c r="Q24" s="634"/>
      <c r="R24" s="634"/>
      <c r="S24" s="634"/>
      <c r="T24" s="634"/>
      <c r="U24" s="634"/>
      <c r="V24" s="63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6"/>
      <c r="B25" s="636"/>
      <c r="C25" s="636"/>
      <c r="D25" s="636"/>
      <c r="E25" s="636"/>
      <c r="F25" s="636"/>
      <c r="G25" s="636"/>
      <c r="H25" s="636"/>
      <c r="I25" s="636"/>
      <c r="J25" s="636"/>
      <c r="K25" s="636"/>
      <c r="L25" s="636"/>
      <c r="M25" s="636"/>
      <c r="N25" s="636"/>
      <c r="O25" s="637"/>
      <c r="P25" s="633" t="s">
        <v>40</v>
      </c>
      <c r="Q25" s="634"/>
      <c r="R25" s="634"/>
      <c r="S25" s="634"/>
      <c r="T25" s="634"/>
      <c r="U25" s="634"/>
      <c r="V25" s="63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7" t="s">
        <v>88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8">
        <v>4680115885912</v>
      </c>
      <c r="E27" s="62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0"/>
      <c r="R27" s="630"/>
      <c r="S27" s="630"/>
      <c r="T27" s="631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8">
        <v>4607091388237</v>
      </c>
      <c r="E28" s="62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0"/>
      <c r="R28" s="630"/>
      <c r="S28" s="630"/>
      <c r="T28" s="631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8">
        <v>4680115887350</v>
      </c>
      <c r="E29" s="62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0"/>
      <c r="R29" s="630"/>
      <c r="S29" s="630"/>
      <c r="T29" s="631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8">
        <v>4680115885905</v>
      </c>
      <c r="E30" s="62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102</v>
      </c>
      <c r="M30" s="38" t="s">
        <v>98</v>
      </c>
      <c r="N30" s="38"/>
      <c r="O30" s="37">
        <v>40</v>
      </c>
      <c r="P30" s="64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0"/>
      <c r="R30" s="630"/>
      <c r="S30" s="630"/>
      <c r="T30" s="631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103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6"/>
      <c r="B31" s="636"/>
      <c r="C31" s="636"/>
      <c r="D31" s="636"/>
      <c r="E31" s="636"/>
      <c r="F31" s="636"/>
      <c r="G31" s="636"/>
      <c r="H31" s="636"/>
      <c r="I31" s="636"/>
      <c r="J31" s="636"/>
      <c r="K31" s="636"/>
      <c r="L31" s="636"/>
      <c r="M31" s="636"/>
      <c r="N31" s="636"/>
      <c r="O31" s="637"/>
      <c r="P31" s="633" t="s">
        <v>40</v>
      </c>
      <c r="Q31" s="634"/>
      <c r="R31" s="634"/>
      <c r="S31" s="634"/>
      <c r="T31" s="634"/>
      <c r="U31" s="634"/>
      <c r="V31" s="635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6"/>
      <c r="B32" s="636"/>
      <c r="C32" s="636"/>
      <c r="D32" s="636"/>
      <c r="E32" s="636"/>
      <c r="F32" s="636"/>
      <c r="G32" s="636"/>
      <c r="H32" s="636"/>
      <c r="I32" s="636"/>
      <c r="J32" s="636"/>
      <c r="K32" s="636"/>
      <c r="L32" s="636"/>
      <c r="M32" s="636"/>
      <c r="N32" s="636"/>
      <c r="O32" s="637"/>
      <c r="P32" s="633" t="s">
        <v>40</v>
      </c>
      <c r="Q32" s="634"/>
      <c r="R32" s="634"/>
      <c r="S32" s="634"/>
      <c r="T32" s="634"/>
      <c r="U32" s="634"/>
      <c r="V32" s="635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7" t="s">
        <v>104</v>
      </c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R33" s="627"/>
      <c r="S33" s="627"/>
      <c r="T33" s="627"/>
      <c r="U33" s="627"/>
      <c r="V33" s="627"/>
      <c r="W33" s="627"/>
      <c r="X33" s="627"/>
      <c r="Y33" s="627"/>
      <c r="Z33" s="627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8">
        <v>4607091388503</v>
      </c>
      <c r="E34" s="628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109</v>
      </c>
      <c r="N34" s="38"/>
      <c r="O34" s="37">
        <v>120</v>
      </c>
      <c r="P34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0"/>
      <c r="R34" s="630"/>
      <c r="S34" s="630"/>
      <c r="T34" s="631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6"/>
      <c r="B35" s="636"/>
      <c r="C35" s="636"/>
      <c r="D35" s="636"/>
      <c r="E35" s="636"/>
      <c r="F35" s="636"/>
      <c r="G35" s="636"/>
      <c r="H35" s="636"/>
      <c r="I35" s="636"/>
      <c r="J35" s="636"/>
      <c r="K35" s="636"/>
      <c r="L35" s="636"/>
      <c r="M35" s="636"/>
      <c r="N35" s="636"/>
      <c r="O35" s="637"/>
      <c r="P35" s="633" t="s">
        <v>40</v>
      </c>
      <c r="Q35" s="634"/>
      <c r="R35" s="634"/>
      <c r="S35" s="634"/>
      <c r="T35" s="634"/>
      <c r="U35" s="634"/>
      <c r="V35" s="63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6"/>
      <c r="B36" s="636"/>
      <c r="C36" s="636"/>
      <c r="D36" s="636"/>
      <c r="E36" s="636"/>
      <c r="F36" s="636"/>
      <c r="G36" s="636"/>
      <c r="H36" s="636"/>
      <c r="I36" s="636"/>
      <c r="J36" s="636"/>
      <c r="K36" s="636"/>
      <c r="L36" s="636"/>
      <c r="M36" s="636"/>
      <c r="N36" s="636"/>
      <c r="O36" s="637"/>
      <c r="P36" s="633" t="s">
        <v>40</v>
      </c>
      <c r="Q36" s="634"/>
      <c r="R36" s="634"/>
      <c r="S36" s="634"/>
      <c r="T36" s="634"/>
      <c r="U36" s="634"/>
      <c r="V36" s="63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5" t="s">
        <v>110</v>
      </c>
      <c r="B37" s="625"/>
      <c r="C37" s="625"/>
      <c r="D37" s="625"/>
      <c r="E37" s="625"/>
      <c r="F37" s="625"/>
      <c r="G37" s="625"/>
      <c r="H37" s="625"/>
      <c r="I37" s="625"/>
      <c r="J37" s="625"/>
      <c r="K37" s="625"/>
      <c r="L37" s="625"/>
      <c r="M37" s="625"/>
      <c r="N37" s="625"/>
      <c r="O37" s="625"/>
      <c r="P37" s="625"/>
      <c r="Q37" s="625"/>
      <c r="R37" s="625"/>
      <c r="S37" s="625"/>
      <c r="T37" s="625"/>
      <c r="U37" s="625"/>
      <c r="V37" s="625"/>
      <c r="W37" s="625"/>
      <c r="X37" s="625"/>
      <c r="Y37" s="625"/>
      <c r="Z37" s="625"/>
      <c r="AA37" s="54"/>
      <c r="AB37" s="54"/>
      <c r="AC37" s="54"/>
    </row>
    <row r="38" spans="1:68" ht="16.5" customHeight="1" x14ac:dyDescent="0.25">
      <c r="A38" s="626" t="s">
        <v>111</v>
      </c>
      <c r="B38" s="626"/>
      <c r="C38" s="626"/>
      <c r="D38" s="626"/>
      <c r="E38" s="626"/>
      <c r="F38" s="626"/>
      <c r="G38" s="626"/>
      <c r="H38" s="626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65"/>
      <c r="AB38" s="65"/>
      <c r="AC38" s="79"/>
    </row>
    <row r="39" spans="1:68" ht="14.25" customHeight="1" x14ac:dyDescent="0.25">
      <c r="A39" s="627" t="s">
        <v>112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8">
        <v>4607091385670</v>
      </c>
      <c r="E40" s="628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0"/>
      <c r="R40" s="630"/>
      <c r="S40" s="630"/>
      <c r="T40" s="631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103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4301011565</v>
      </c>
      <c r="D41" s="628">
        <v>4680115882539</v>
      </c>
      <c r="E41" s="628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121</v>
      </c>
      <c r="L41" s="37" t="s">
        <v>45</v>
      </c>
      <c r="M41" s="38" t="s">
        <v>92</v>
      </c>
      <c r="N41" s="38"/>
      <c r="O41" s="37">
        <v>50</v>
      </c>
      <c r="P41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30"/>
      <c r="R41" s="630"/>
      <c r="S41" s="630"/>
      <c r="T41" s="631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8">
        <v>4607091385687</v>
      </c>
      <c r="E42" s="628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121</v>
      </c>
      <c r="L42" s="37" t="s">
        <v>124</v>
      </c>
      <c r="M42" s="38" t="s">
        <v>92</v>
      </c>
      <c r="N42" s="38"/>
      <c r="O42" s="37">
        <v>50</v>
      </c>
      <c r="P42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0"/>
      <c r="R42" s="630"/>
      <c r="S42" s="630"/>
      <c r="T42" s="631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103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6"/>
      <c r="B43" s="636"/>
      <c r="C43" s="636"/>
      <c r="D43" s="636"/>
      <c r="E43" s="636"/>
      <c r="F43" s="636"/>
      <c r="G43" s="636"/>
      <c r="H43" s="636"/>
      <c r="I43" s="636"/>
      <c r="J43" s="636"/>
      <c r="K43" s="636"/>
      <c r="L43" s="636"/>
      <c r="M43" s="636"/>
      <c r="N43" s="636"/>
      <c r="O43" s="637"/>
      <c r="P43" s="633" t="s">
        <v>40</v>
      </c>
      <c r="Q43" s="634"/>
      <c r="R43" s="634"/>
      <c r="S43" s="634"/>
      <c r="T43" s="634"/>
      <c r="U43" s="634"/>
      <c r="V43" s="63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6"/>
      <c r="B44" s="636"/>
      <c r="C44" s="636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7"/>
      <c r="P44" s="633" t="s">
        <v>40</v>
      </c>
      <c r="Q44" s="634"/>
      <c r="R44" s="634"/>
      <c r="S44" s="634"/>
      <c r="T44" s="634"/>
      <c r="U44" s="634"/>
      <c r="V44" s="63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7" t="s">
        <v>88</v>
      </c>
      <c r="B45" s="627"/>
      <c r="C45" s="627"/>
      <c r="D45" s="627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T45" s="627"/>
      <c r="U45" s="627"/>
      <c r="V45" s="627"/>
      <c r="W45" s="627"/>
      <c r="X45" s="627"/>
      <c r="Y45" s="627"/>
      <c r="Z45" s="627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8">
        <v>4680115884915</v>
      </c>
      <c r="E46" s="628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102</v>
      </c>
      <c r="M46" s="38" t="s">
        <v>92</v>
      </c>
      <c r="N46" s="38"/>
      <c r="O46" s="37">
        <v>40</v>
      </c>
      <c r="P46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0"/>
      <c r="R46" s="630"/>
      <c r="S46" s="630"/>
      <c r="T46" s="631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103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6"/>
      <c r="B47" s="636"/>
      <c r="C47" s="636"/>
      <c r="D47" s="636"/>
      <c r="E47" s="636"/>
      <c r="F47" s="636"/>
      <c r="G47" s="636"/>
      <c r="H47" s="636"/>
      <c r="I47" s="636"/>
      <c r="J47" s="636"/>
      <c r="K47" s="636"/>
      <c r="L47" s="636"/>
      <c r="M47" s="636"/>
      <c r="N47" s="636"/>
      <c r="O47" s="637"/>
      <c r="P47" s="633" t="s">
        <v>40</v>
      </c>
      <c r="Q47" s="634"/>
      <c r="R47" s="634"/>
      <c r="S47" s="634"/>
      <c r="T47" s="634"/>
      <c r="U47" s="634"/>
      <c r="V47" s="63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6"/>
      <c r="B48" s="636"/>
      <c r="C48" s="636"/>
      <c r="D48" s="636"/>
      <c r="E48" s="636"/>
      <c r="F48" s="636"/>
      <c r="G48" s="636"/>
      <c r="H48" s="636"/>
      <c r="I48" s="636"/>
      <c r="J48" s="636"/>
      <c r="K48" s="636"/>
      <c r="L48" s="636"/>
      <c r="M48" s="636"/>
      <c r="N48" s="636"/>
      <c r="O48" s="637"/>
      <c r="P48" s="633" t="s">
        <v>40</v>
      </c>
      <c r="Q48" s="634"/>
      <c r="R48" s="634"/>
      <c r="S48" s="634"/>
      <c r="T48" s="634"/>
      <c r="U48" s="634"/>
      <c r="V48" s="63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6" t="s">
        <v>128</v>
      </c>
      <c r="B49" s="626"/>
      <c r="C49" s="626"/>
      <c r="D49" s="626"/>
      <c r="E49" s="626"/>
      <c r="F49" s="626"/>
      <c r="G49" s="626"/>
      <c r="H49" s="626"/>
      <c r="I49" s="626"/>
      <c r="J49" s="626"/>
      <c r="K49" s="626"/>
      <c r="L49" s="626"/>
      <c r="M49" s="626"/>
      <c r="N49" s="626"/>
      <c r="O49" s="626"/>
      <c r="P49" s="626"/>
      <c r="Q49" s="626"/>
      <c r="R49" s="626"/>
      <c r="S49" s="626"/>
      <c r="T49" s="626"/>
      <c r="U49" s="626"/>
      <c r="V49" s="626"/>
      <c r="W49" s="626"/>
      <c r="X49" s="626"/>
      <c r="Y49" s="626"/>
      <c r="Z49" s="626"/>
      <c r="AA49" s="65"/>
      <c r="AB49" s="65"/>
      <c r="AC49" s="79"/>
    </row>
    <row r="50" spans="1:68" ht="14.25" customHeight="1" x14ac:dyDescent="0.25">
      <c r="A50" s="627" t="s">
        <v>112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8">
        <v>4680115885882</v>
      </c>
      <c r="E51" s="628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92</v>
      </c>
      <c r="N51" s="38"/>
      <c r="O51" s="37">
        <v>50</v>
      </c>
      <c r="P51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0"/>
      <c r="R51" s="630"/>
      <c r="S51" s="630"/>
      <c r="T51" s="631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103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8">
        <v>4680115881426</v>
      </c>
      <c r="E52" s="628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0"/>
      <c r="R52" s="630"/>
      <c r="S52" s="630"/>
      <c r="T52" s="631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8">
        <v>4680115880283</v>
      </c>
      <c r="E53" s="628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0"/>
      <c r="R53" s="630"/>
      <c r="S53" s="630"/>
      <c r="T53" s="631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4301011806</v>
      </c>
      <c r="D54" s="628">
        <v>4680115881525</v>
      </c>
      <c r="E54" s="628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0"/>
      <c r="R54" s="630"/>
      <c r="S54" s="630"/>
      <c r="T54" s="631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8">
        <v>4680115885899</v>
      </c>
      <c r="E55" s="628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102</v>
      </c>
      <c r="M55" s="38" t="s">
        <v>98</v>
      </c>
      <c r="N55" s="38"/>
      <c r="O55" s="37">
        <v>50</v>
      </c>
      <c r="P55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0"/>
      <c r="R55" s="630"/>
      <c r="S55" s="630"/>
      <c r="T55" s="631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103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144</v>
      </c>
      <c r="B56" s="63" t="s">
        <v>145</v>
      </c>
      <c r="C56" s="36">
        <v>4301011801</v>
      </c>
      <c r="D56" s="628">
        <v>4680115881419</v>
      </c>
      <c r="E56" s="628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0"/>
      <c r="R56" s="630"/>
      <c r="S56" s="630"/>
      <c r="T56" s="631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6"/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7"/>
      <c r="P57" s="633" t="s">
        <v>40</v>
      </c>
      <c r="Q57" s="634"/>
      <c r="R57" s="634"/>
      <c r="S57" s="634"/>
      <c r="T57" s="634"/>
      <c r="U57" s="634"/>
      <c r="V57" s="63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6"/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7"/>
      <c r="P58" s="633" t="s">
        <v>40</v>
      </c>
      <c r="Q58" s="634"/>
      <c r="R58" s="634"/>
      <c r="S58" s="634"/>
      <c r="T58" s="634"/>
      <c r="U58" s="634"/>
      <c r="V58" s="63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7" t="s">
        <v>147</v>
      </c>
      <c r="B59" s="627"/>
      <c r="C59" s="627"/>
      <c r="D59" s="627"/>
      <c r="E59" s="627"/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T59" s="627"/>
      <c r="U59" s="627"/>
      <c r="V59" s="627"/>
      <c r="W59" s="627"/>
      <c r="X59" s="627"/>
      <c r="Y59" s="627"/>
      <c r="Z59" s="627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8">
        <v>4680115881440</v>
      </c>
      <c r="E60" s="62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0"/>
      <c r="R60" s="630"/>
      <c r="S60" s="630"/>
      <c r="T60" s="631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103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8">
        <v>4680115885950</v>
      </c>
      <c r="E61" s="628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0"/>
      <c r="R61" s="630"/>
      <c r="S61" s="630"/>
      <c r="T61" s="631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8">
        <v>4680115881433</v>
      </c>
      <c r="E62" s="628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116</v>
      </c>
      <c r="N62" s="38"/>
      <c r="O62" s="37">
        <v>50</v>
      </c>
      <c r="P62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0"/>
      <c r="R62" s="630"/>
      <c r="S62" s="630"/>
      <c r="T62" s="631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6"/>
      <c r="B63" s="636"/>
      <c r="C63" s="636"/>
      <c r="D63" s="636"/>
      <c r="E63" s="636"/>
      <c r="F63" s="636"/>
      <c r="G63" s="636"/>
      <c r="H63" s="636"/>
      <c r="I63" s="636"/>
      <c r="J63" s="636"/>
      <c r="K63" s="636"/>
      <c r="L63" s="636"/>
      <c r="M63" s="636"/>
      <c r="N63" s="636"/>
      <c r="O63" s="637"/>
      <c r="P63" s="633" t="s">
        <v>40</v>
      </c>
      <c r="Q63" s="634"/>
      <c r="R63" s="634"/>
      <c r="S63" s="634"/>
      <c r="T63" s="634"/>
      <c r="U63" s="634"/>
      <c r="V63" s="63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6"/>
      <c r="B64" s="636"/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7"/>
      <c r="P64" s="633" t="s">
        <v>40</v>
      </c>
      <c r="Q64" s="634"/>
      <c r="R64" s="634"/>
      <c r="S64" s="634"/>
      <c r="T64" s="634"/>
      <c r="U64" s="634"/>
      <c r="V64" s="63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7" t="s">
        <v>78</v>
      </c>
      <c r="B65" s="627"/>
      <c r="C65" s="627"/>
      <c r="D65" s="627"/>
      <c r="E65" s="627"/>
      <c r="F65" s="627"/>
      <c r="G65" s="627"/>
      <c r="H65" s="627"/>
      <c r="I65" s="627"/>
      <c r="J65" s="627"/>
      <c r="K65" s="627"/>
      <c r="L65" s="627"/>
      <c r="M65" s="627"/>
      <c r="N65" s="627"/>
      <c r="O65" s="627"/>
      <c r="P65" s="627"/>
      <c r="Q65" s="627"/>
      <c r="R65" s="627"/>
      <c r="S65" s="627"/>
      <c r="T65" s="627"/>
      <c r="U65" s="627"/>
      <c r="V65" s="627"/>
      <c r="W65" s="627"/>
      <c r="X65" s="627"/>
      <c r="Y65" s="627"/>
      <c r="Z65" s="627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8">
        <v>4680115885073</v>
      </c>
      <c r="E66" s="628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0"/>
      <c r="R66" s="630"/>
      <c r="S66" s="630"/>
      <c r="T66" s="631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4301031316</v>
      </c>
      <c r="D67" s="628">
        <v>4680115885097</v>
      </c>
      <c r="E67" s="628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0"/>
      <c r="R67" s="630"/>
      <c r="S67" s="630"/>
      <c r="T67" s="631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6"/>
      <c r="B68" s="636"/>
      <c r="C68" s="636"/>
      <c r="D68" s="636"/>
      <c r="E68" s="636"/>
      <c r="F68" s="636"/>
      <c r="G68" s="636"/>
      <c r="H68" s="636"/>
      <c r="I68" s="636"/>
      <c r="J68" s="636"/>
      <c r="K68" s="636"/>
      <c r="L68" s="636"/>
      <c r="M68" s="636"/>
      <c r="N68" s="636"/>
      <c r="O68" s="637"/>
      <c r="P68" s="633" t="s">
        <v>40</v>
      </c>
      <c r="Q68" s="634"/>
      <c r="R68" s="634"/>
      <c r="S68" s="634"/>
      <c r="T68" s="634"/>
      <c r="U68" s="634"/>
      <c r="V68" s="635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6"/>
      <c r="B69" s="636"/>
      <c r="C69" s="636"/>
      <c r="D69" s="636"/>
      <c r="E69" s="636"/>
      <c r="F69" s="636"/>
      <c r="G69" s="636"/>
      <c r="H69" s="636"/>
      <c r="I69" s="636"/>
      <c r="J69" s="636"/>
      <c r="K69" s="636"/>
      <c r="L69" s="636"/>
      <c r="M69" s="636"/>
      <c r="N69" s="636"/>
      <c r="O69" s="637"/>
      <c r="P69" s="633" t="s">
        <v>40</v>
      </c>
      <c r="Q69" s="634"/>
      <c r="R69" s="634"/>
      <c r="S69" s="634"/>
      <c r="T69" s="634"/>
      <c r="U69" s="634"/>
      <c r="V69" s="635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7" t="s">
        <v>88</v>
      </c>
      <c r="B70" s="627"/>
      <c r="C70" s="627"/>
      <c r="D70" s="627"/>
      <c r="E70" s="627"/>
      <c r="F70" s="627"/>
      <c r="G70" s="627"/>
      <c r="H70" s="627"/>
      <c r="I70" s="627"/>
      <c r="J70" s="627"/>
      <c r="K70" s="627"/>
      <c r="L70" s="627"/>
      <c r="M70" s="627"/>
      <c r="N70" s="627"/>
      <c r="O70" s="627"/>
      <c r="P70" s="627"/>
      <c r="Q70" s="627"/>
      <c r="R70" s="627"/>
      <c r="S70" s="627"/>
      <c r="T70" s="627"/>
      <c r="U70" s="627"/>
      <c r="V70" s="627"/>
      <c r="W70" s="627"/>
      <c r="X70" s="627"/>
      <c r="Y70" s="627"/>
      <c r="Z70" s="627"/>
      <c r="AA70" s="66"/>
      <c r="AB70" s="66"/>
      <c r="AC70" s="80"/>
    </row>
    <row r="71" spans="1:68" ht="27" customHeight="1" x14ac:dyDescent="0.25">
      <c r="A71" s="63" t="s">
        <v>161</v>
      </c>
      <c r="B71" s="63" t="s">
        <v>162</v>
      </c>
      <c r="C71" s="36">
        <v>4301051846</v>
      </c>
      <c r="D71" s="628">
        <v>4680115885769</v>
      </c>
      <c r="E71" s="628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117</v>
      </c>
      <c r="L71" s="37" t="s">
        <v>45</v>
      </c>
      <c r="M71" s="38" t="s">
        <v>92</v>
      </c>
      <c r="N71" s="38"/>
      <c r="O71" s="37">
        <v>45</v>
      </c>
      <c r="P71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0"/>
      <c r="R71" s="630"/>
      <c r="S71" s="630"/>
      <c r="T71" s="631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163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164</v>
      </c>
      <c r="B72" s="63" t="s">
        <v>165</v>
      </c>
      <c r="C72" s="36">
        <v>4301051837</v>
      </c>
      <c r="D72" s="628">
        <v>4680115884311</v>
      </c>
      <c r="E72" s="628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102</v>
      </c>
      <c r="M72" s="38" t="s">
        <v>92</v>
      </c>
      <c r="N72" s="38"/>
      <c r="O72" s="37">
        <v>40</v>
      </c>
      <c r="P72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0"/>
      <c r="R72" s="630"/>
      <c r="S72" s="630"/>
      <c r="T72" s="631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103</v>
      </c>
      <c r="AK72" s="84">
        <v>25.2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167</v>
      </c>
      <c r="B73" s="63" t="s">
        <v>168</v>
      </c>
      <c r="C73" s="36">
        <v>4301051844</v>
      </c>
      <c r="D73" s="628">
        <v>4680115885929</v>
      </c>
      <c r="E73" s="628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0"/>
      <c r="R73" s="630"/>
      <c r="S73" s="630"/>
      <c r="T73" s="631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4301051929</v>
      </c>
      <c r="D74" s="628">
        <v>4680115884403</v>
      </c>
      <c r="E74" s="628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102</v>
      </c>
      <c r="M74" s="38" t="s">
        <v>92</v>
      </c>
      <c r="N74" s="38"/>
      <c r="O74" s="37">
        <v>40</v>
      </c>
      <c r="P74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0"/>
      <c r="R74" s="630"/>
      <c r="S74" s="630"/>
      <c r="T74" s="631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103</v>
      </c>
      <c r="AK74" s="84">
        <v>25.2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6"/>
      <c r="B75" s="636"/>
      <c r="C75" s="636"/>
      <c r="D75" s="636"/>
      <c r="E75" s="636"/>
      <c r="F75" s="636"/>
      <c r="G75" s="636"/>
      <c r="H75" s="636"/>
      <c r="I75" s="636"/>
      <c r="J75" s="636"/>
      <c r="K75" s="636"/>
      <c r="L75" s="636"/>
      <c r="M75" s="636"/>
      <c r="N75" s="636"/>
      <c r="O75" s="637"/>
      <c r="P75" s="633" t="s">
        <v>40</v>
      </c>
      <c r="Q75" s="634"/>
      <c r="R75" s="634"/>
      <c r="S75" s="634"/>
      <c r="T75" s="634"/>
      <c r="U75" s="634"/>
      <c r="V75" s="635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6"/>
      <c r="B76" s="636"/>
      <c r="C76" s="636"/>
      <c r="D76" s="636"/>
      <c r="E76" s="636"/>
      <c r="F76" s="636"/>
      <c r="G76" s="636"/>
      <c r="H76" s="636"/>
      <c r="I76" s="636"/>
      <c r="J76" s="636"/>
      <c r="K76" s="636"/>
      <c r="L76" s="636"/>
      <c r="M76" s="636"/>
      <c r="N76" s="636"/>
      <c r="O76" s="637"/>
      <c r="P76" s="633" t="s">
        <v>40</v>
      </c>
      <c r="Q76" s="634"/>
      <c r="R76" s="634"/>
      <c r="S76" s="634"/>
      <c r="T76" s="634"/>
      <c r="U76" s="634"/>
      <c r="V76" s="635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7" t="s">
        <v>172</v>
      </c>
      <c r="B77" s="627"/>
      <c r="C77" s="627"/>
      <c r="D77" s="627"/>
      <c r="E77" s="627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T77" s="627"/>
      <c r="U77" s="627"/>
      <c r="V77" s="627"/>
      <c r="W77" s="627"/>
      <c r="X77" s="627"/>
      <c r="Y77" s="627"/>
      <c r="Z77" s="627"/>
      <c r="AA77" s="66"/>
      <c r="AB77" s="66"/>
      <c r="AC77" s="80"/>
    </row>
    <row r="78" spans="1:68" ht="27" customHeight="1" x14ac:dyDescent="0.25">
      <c r="A78" s="63" t="s">
        <v>173</v>
      </c>
      <c r="B78" s="63" t="s">
        <v>174</v>
      </c>
      <c r="C78" s="36">
        <v>4301060455</v>
      </c>
      <c r="D78" s="628">
        <v>4680115881532</v>
      </c>
      <c r="E78" s="628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117</v>
      </c>
      <c r="L78" s="37" t="s">
        <v>118</v>
      </c>
      <c r="M78" s="38" t="s">
        <v>98</v>
      </c>
      <c r="N78" s="38"/>
      <c r="O78" s="37">
        <v>30</v>
      </c>
      <c r="P78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0"/>
      <c r="R78" s="630"/>
      <c r="S78" s="630"/>
      <c r="T78" s="631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175</v>
      </c>
      <c r="AG78" s="78"/>
      <c r="AJ78" s="84" t="s">
        <v>103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177</v>
      </c>
      <c r="C79" s="36">
        <v>4301060351</v>
      </c>
      <c r="D79" s="628">
        <v>4680115881464</v>
      </c>
      <c r="E79" s="628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121</v>
      </c>
      <c r="L79" s="37" t="s">
        <v>124</v>
      </c>
      <c r="M79" s="38" t="s">
        <v>92</v>
      </c>
      <c r="N79" s="38"/>
      <c r="O79" s="37">
        <v>30</v>
      </c>
      <c r="P79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0"/>
      <c r="R79" s="630"/>
      <c r="S79" s="630"/>
      <c r="T79" s="631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103</v>
      </c>
      <c r="AK79" s="84">
        <v>28.8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6"/>
      <c r="B80" s="636"/>
      <c r="C80" s="636"/>
      <c r="D80" s="636"/>
      <c r="E80" s="636"/>
      <c r="F80" s="636"/>
      <c r="G80" s="636"/>
      <c r="H80" s="636"/>
      <c r="I80" s="636"/>
      <c r="J80" s="636"/>
      <c r="K80" s="636"/>
      <c r="L80" s="636"/>
      <c r="M80" s="636"/>
      <c r="N80" s="636"/>
      <c r="O80" s="637"/>
      <c r="P80" s="633" t="s">
        <v>40</v>
      </c>
      <c r="Q80" s="634"/>
      <c r="R80" s="634"/>
      <c r="S80" s="634"/>
      <c r="T80" s="634"/>
      <c r="U80" s="634"/>
      <c r="V80" s="635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6"/>
      <c r="B81" s="636"/>
      <c r="C81" s="636"/>
      <c r="D81" s="636"/>
      <c r="E81" s="636"/>
      <c r="F81" s="636"/>
      <c r="G81" s="636"/>
      <c r="H81" s="636"/>
      <c r="I81" s="636"/>
      <c r="J81" s="636"/>
      <c r="K81" s="636"/>
      <c r="L81" s="636"/>
      <c r="M81" s="636"/>
      <c r="N81" s="636"/>
      <c r="O81" s="637"/>
      <c r="P81" s="633" t="s">
        <v>40</v>
      </c>
      <c r="Q81" s="634"/>
      <c r="R81" s="634"/>
      <c r="S81" s="634"/>
      <c r="T81" s="634"/>
      <c r="U81" s="634"/>
      <c r="V81" s="635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6" t="s">
        <v>179</v>
      </c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6"/>
      <c r="P82" s="626"/>
      <c r="Q82" s="626"/>
      <c r="R82" s="626"/>
      <c r="S82" s="626"/>
      <c r="T82" s="626"/>
      <c r="U82" s="626"/>
      <c r="V82" s="626"/>
      <c r="W82" s="626"/>
      <c r="X82" s="626"/>
      <c r="Y82" s="626"/>
      <c r="Z82" s="626"/>
      <c r="AA82" s="65"/>
      <c r="AB82" s="65"/>
      <c r="AC82" s="79"/>
    </row>
    <row r="83" spans="1:68" ht="14.25" customHeight="1" x14ac:dyDescent="0.25">
      <c r="A83" s="627" t="s">
        <v>112</v>
      </c>
      <c r="B83" s="627"/>
      <c r="C83" s="627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6"/>
      <c r="AB83" s="66"/>
      <c r="AC83" s="80"/>
    </row>
    <row r="84" spans="1:68" ht="27" customHeight="1" x14ac:dyDescent="0.25">
      <c r="A84" s="63" t="s">
        <v>180</v>
      </c>
      <c r="B84" s="63" t="s">
        <v>181</v>
      </c>
      <c r="C84" s="36">
        <v>4301011468</v>
      </c>
      <c r="D84" s="628">
        <v>4680115881327</v>
      </c>
      <c r="E84" s="628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117</v>
      </c>
      <c r="L84" s="37" t="s">
        <v>118</v>
      </c>
      <c r="M84" s="38" t="s">
        <v>98</v>
      </c>
      <c r="N84" s="38"/>
      <c r="O84" s="37">
        <v>50</v>
      </c>
      <c r="P84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0"/>
      <c r="R84" s="630"/>
      <c r="S84" s="630"/>
      <c r="T84" s="631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182</v>
      </c>
      <c r="AG84" s="78"/>
      <c r="AJ84" s="84" t="s">
        <v>103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4301011261</v>
      </c>
      <c r="D85" s="628">
        <v>4680115887732</v>
      </c>
      <c r="E85" s="628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186</v>
      </c>
      <c r="L85" s="37" t="s">
        <v>45</v>
      </c>
      <c r="M85" s="38" t="s">
        <v>82</v>
      </c>
      <c r="N85" s="38"/>
      <c r="O85" s="37">
        <v>30</v>
      </c>
      <c r="P85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0"/>
      <c r="R85" s="630"/>
      <c r="S85" s="630"/>
      <c r="T85" s="631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4301011476</v>
      </c>
      <c r="D86" s="628">
        <v>4680115881518</v>
      </c>
      <c r="E86" s="628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92</v>
      </c>
      <c r="N86" s="38"/>
      <c r="O86" s="37">
        <v>50</v>
      </c>
      <c r="P86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0"/>
      <c r="R86" s="630"/>
      <c r="S86" s="630"/>
      <c r="T86" s="631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4301011443</v>
      </c>
      <c r="D87" s="628">
        <v>4680115881303</v>
      </c>
      <c r="E87" s="628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124</v>
      </c>
      <c r="M87" s="38" t="s">
        <v>98</v>
      </c>
      <c r="N87" s="38"/>
      <c r="O87" s="37">
        <v>50</v>
      </c>
      <c r="P87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0"/>
      <c r="R87" s="630"/>
      <c r="S87" s="630"/>
      <c r="T87" s="631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103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6"/>
      <c r="B88" s="636"/>
      <c r="C88" s="636"/>
      <c r="D88" s="636"/>
      <c r="E88" s="636"/>
      <c r="F88" s="636"/>
      <c r="G88" s="636"/>
      <c r="H88" s="636"/>
      <c r="I88" s="636"/>
      <c r="J88" s="636"/>
      <c r="K88" s="636"/>
      <c r="L88" s="636"/>
      <c r="M88" s="636"/>
      <c r="N88" s="636"/>
      <c r="O88" s="637"/>
      <c r="P88" s="633" t="s">
        <v>40</v>
      </c>
      <c r="Q88" s="634"/>
      <c r="R88" s="634"/>
      <c r="S88" s="634"/>
      <c r="T88" s="634"/>
      <c r="U88" s="634"/>
      <c r="V88" s="635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6"/>
      <c r="B89" s="636"/>
      <c r="C89" s="636"/>
      <c r="D89" s="636"/>
      <c r="E89" s="636"/>
      <c r="F89" s="636"/>
      <c r="G89" s="636"/>
      <c r="H89" s="636"/>
      <c r="I89" s="636"/>
      <c r="J89" s="636"/>
      <c r="K89" s="636"/>
      <c r="L89" s="636"/>
      <c r="M89" s="636"/>
      <c r="N89" s="636"/>
      <c r="O89" s="637"/>
      <c r="P89" s="633" t="s">
        <v>40</v>
      </c>
      <c r="Q89" s="634"/>
      <c r="R89" s="634"/>
      <c r="S89" s="634"/>
      <c r="T89" s="634"/>
      <c r="U89" s="634"/>
      <c r="V89" s="635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7" t="s">
        <v>88</v>
      </c>
      <c r="B90" s="627"/>
      <c r="C90" s="627"/>
      <c r="D90" s="627"/>
      <c r="E90" s="627"/>
      <c r="F90" s="627"/>
      <c r="G90" s="627"/>
      <c r="H90" s="627"/>
      <c r="I90" s="627"/>
      <c r="J90" s="627"/>
      <c r="K90" s="627"/>
      <c r="L90" s="627"/>
      <c r="M90" s="627"/>
      <c r="N90" s="627"/>
      <c r="O90" s="627"/>
      <c r="P90" s="627"/>
      <c r="Q90" s="627"/>
      <c r="R90" s="627"/>
      <c r="S90" s="627"/>
      <c r="T90" s="627"/>
      <c r="U90" s="627"/>
      <c r="V90" s="627"/>
      <c r="W90" s="627"/>
      <c r="X90" s="627"/>
      <c r="Y90" s="627"/>
      <c r="Z90" s="627"/>
      <c r="AA90" s="66"/>
      <c r="AB90" s="66"/>
      <c r="AC90" s="80"/>
    </row>
    <row r="91" spans="1:68" ht="27" customHeight="1" x14ac:dyDescent="0.25">
      <c r="A91" s="63" t="s">
        <v>191</v>
      </c>
      <c r="B91" s="63" t="s">
        <v>192</v>
      </c>
      <c r="C91" s="36">
        <v>4301051712</v>
      </c>
      <c r="D91" s="628">
        <v>4607091386967</v>
      </c>
      <c r="E91" s="628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98</v>
      </c>
      <c r="N91" s="38"/>
      <c r="O91" s="37">
        <v>45</v>
      </c>
      <c r="P91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0"/>
      <c r="R91" s="630"/>
      <c r="S91" s="630"/>
      <c r="T91" s="631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193</v>
      </c>
      <c r="AG91" s="78"/>
      <c r="AJ91" s="84" t="s">
        <v>103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194</v>
      </c>
      <c r="B92" s="63" t="s">
        <v>195</v>
      </c>
      <c r="C92" s="36">
        <v>4301051788</v>
      </c>
      <c r="D92" s="628">
        <v>4680115884953</v>
      </c>
      <c r="E92" s="628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0"/>
      <c r="R92" s="630"/>
      <c r="S92" s="630"/>
      <c r="T92" s="631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8">
        <v>4607091385731</v>
      </c>
      <c r="E93" s="628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0"/>
      <c r="R93" s="630"/>
      <c r="S93" s="630"/>
      <c r="T93" s="631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8">
        <v>4680115880894</v>
      </c>
      <c r="E94" s="628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102</v>
      </c>
      <c r="M94" s="38" t="s">
        <v>92</v>
      </c>
      <c r="N94" s="38"/>
      <c r="O94" s="37">
        <v>45</v>
      </c>
      <c r="P94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0"/>
      <c r="R94" s="630"/>
      <c r="S94" s="630"/>
      <c r="T94" s="631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103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6"/>
      <c r="B95" s="636"/>
      <c r="C95" s="636"/>
      <c r="D95" s="636"/>
      <c r="E95" s="636"/>
      <c r="F95" s="636"/>
      <c r="G95" s="636"/>
      <c r="H95" s="636"/>
      <c r="I95" s="636"/>
      <c r="J95" s="636"/>
      <c r="K95" s="636"/>
      <c r="L95" s="636"/>
      <c r="M95" s="636"/>
      <c r="N95" s="636"/>
      <c r="O95" s="637"/>
      <c r="P95" s="633" t="s">
        <v>40</v>
      </c>
      <c r="Q95" s="634"/>
      <c r="R95" s="634"/>
      <c r="S95" s="634"/>
      <c r="T95" s="634"/>
      <c r="U95" s="634"/>
      <c r="V95" s="63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6"/>
      <c r="B96" s="636"/>
      <c r="C96" s="636"/>
      <c r="D96" s="636"/>
      <c r="E96" s="636"/>
      <c r="F96" s="636"/>
      <c r="G96" s="636"/>
      <c r="H96" s="636"/>
      <c r="I96" s="636"/>
      <c r="J96" s="636"/>
      <c r="K96" s="636"/>
      <c r="L96" s="636"/>
      <c r="M96" s="636"/>
      <c r="N96" s="636"/>
      <c r="O96" s="637"/>
      <c r="P96" s="633" t="s">
        <v>40</v>
      </c>
      <c r="Q96" s="634"/>
      <c r="R96" s="634"/>
      <c r="S96" s="634"/>
      <c r="T96" s="634"/>
      <c r="U96" s="634"/>
      <c r="V96" s="63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6" t="s">
        <v>201</v>
      </c>
      <c r="B97" s="626"/>
      <c r="C97" s="626"/>
      <c r="D97" s="626"/>
      <c r="E97" s="626"/>
      <c r="F97" s="626"/>
      <c r="G97" s="626"/>
      <c r="H97" s="626"/>
      <c r="I97" s="626"/>
      <c r="J97" s="626"/>
      <c r="K97" s="626"/>
      <c r="L97" s="626"/>
      <c r="M97" s="626"/>
      <c r="N97" s="626"/>
      <c r="O97" s="626"/>
      <c r="P97" s="626"/>
      <c r="Q97" s="626"/>
      <c r="R97" s="626"/>
      <c r="S97" s="626"/>
      <c r="T97" s="626"/>
      <c r="U97" s="626"/>
      <c r="V97" s="626"/>
      <c r="W97" s="626"/>
      <c r="X97" s="626"/>
      <c r="Y97" s="626"/>
      <c r="Z97" s="626"/>
      <c r="AA97" s="65"/>
      <c r="AB97" s="65"/>
      <c r="AC97" s="79"/>
    </row>
    <row r="98" spans="1:68" ht="14.25" customHeight="1" x14ac:dyDescent="0.25">
      <c r="A98" s="627" t="s">
        <v>112</v>
      </c>
      <c r="B98" s="627"/>
      <c r="C98" s="627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  <c r="Z98" s="627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8">
        <v>4680115882133</v>
      </c>
      <c r="E99" s="628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0"/>
      <c r="R99" s="630"/>
      <c r="S99" s="630"/>
      <c r="T99" s="631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103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28">
        <v>4680115887718</v>
      </c>
      <c r="E100" s="628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186</v>
      </c>
      <c r="L100" s="37" t="s">
        <v>45</v>
      </c>
      <c r="M100" s="38" t="s">
        <v>82</v>
      </c>
      <c r="N100" s="38"/>
      <c r="O100" s="37">
        <v>30</v>
      </c>
      <c r="P100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0"/>
      <c r="R100" s="630"/>
      <c r="S100" s="630"/>
      <c r="T100" s="631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28">
        <v>4680115880269</v>
      </c>
      <c r="E101" s="628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121</v>
      </c>
      <c r="L101" s="37" t="s">
        <v>124</v>
      </c>
      <c r="M101" s="38" t="s">
        <v>92</v>
      </c>
      <c r="N101" s="38"/>
      <c r="O101" s="37">
        <v>50</v>
      </c>
      <c r="P101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0"/>
      <c r="R101" s="630"/>
      <c r="S101" s="630"/>
      <c r="T101" s="631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103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28">
        <v>4680115880429</v>
      </c>
      <c r="E102" s="628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124</v>
      </c>
      <c r="M102" s="38" t="s">
        <v>92</v>
      </c>
      <c r="N102" s="38"/>
      <c r="O102" s="37">
        <v>50</v>
      </c>
      <c r="P102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0"/>
      <c r="R102" s="630"/>
      <c r="S102" s="630"/>
      <c r="T102" s="631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103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8">
        <v>4680115881457</v>
      </c>
      <c r="E103" s="628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121</v>
      </c>
      <c r="L103" s="37" t="s">
        <v>45</v>
      </c>
      <c r="M103" s="38" t="s">
        <v>92</v>
      </c>
      <c r="N103" s="38"/>
      <c r="O103" s="37">
        <v>50</v>
      </c>
      <c r="P103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0"/>
      <c r="R103" s="630"/>
      <c r="S103" s="630"/>
      <c r="T103" s="631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6"/>
      <c r="B104" s="636"/>
      <c r="C104" s="636"/>
      <c r="D104" s="636"/>
      <c r="E104" s="636"/>
      <c r="F104" s="636"/>
      <c r="G104" s="636"/>
      <c r="H104" s="636"/>
      <c r="I104" s="636"/>
      <c r="J104" s="636"/>
      <c r="K104" s="636"/>
      <c r="L104" s="636"/>
      <c r="M104" s="636"/>
      <c r="N104" s="636"/>
      <c r="O104" s="637"/>
      <c r="P104" s="633" t="s">
        <v>40</v>
      </c>
      <c r="Q104" s="634"/>
      <c r="R104" s="634"/>
      <c r="S104" s="634"/>
      <c r="T104" s="634"/>
      <c r="U104" s="634"/>
      <c r="V104" s="635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6"/>
      <c r="B105" s="636"/>
      <c r="C105" s="636"/>
      <c r="D105" s="636"/>
      <c r="E105" s="636"/>
      <c r="F105" s="636"/>
      <c r="G105" s="636"/>
      <c r="H105" s="636"/>
      <c r="I105" s="636"/>
      <c r="J105" s="636"/>
      <c r="K105" s="636"/>
      <c r="L105" s="636"/>
      <c r="M105" s="636"/>
      <c r="N105" s="636"/>
      <c r="O105" s="637"/>
      <c r="P105" s="633" t="s">
        <v>40</v>
      </c>
      <c r="Q105" s="634"/>
      <c r="R105" s="634"/>
      <c r="S105" s="634"/>
      <c r="T105" s="634"/>
      <c r="U105" s="634"/>
      <c r="V105" s="635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7" t="s">
        <v>147</v>
      </c>
      <c r="B106" s="627"/>
      <c r="C106" s="627"/>
      <c r="D106" s="627"/>
      <c r="E106" s="627"/>
      <c r="F106" s="627"/>
      <c r="G106" s="627"/>
      <c r="H106" s="627"/>
      <c r="I106" s="627"/>
      <c r="J106" s="627"/>
      <c r="K106" s="627"/>
      <c r="L106" s="627"/>
      <c r="M106" s="627"/>
      <c r="N106" s="627"/>
      <c r="O106" s="627"/>
      <c r="P106" s="627"/>
      <c r="Q106" s="627"/>
      <c r="R106" s="627"/>
      <c r="S106" s="627"/>
      <c r="T106" s="627"/>
      <c r="U106" s="627"/>
      <c r="V106" s="627"/>
      <c r="W106" s="627"/>
      <c r="X106" s="627"/>
      <c r="Y106" s="627"/>
      <c r="Z106" s="627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8">
        <v>4680115881488</v>
      </c>
      <c r="E107" s="62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117</v>
      </c>
      <c r="L107" s="37" t="s">
        <v>45</v>
      </c>
      <c r="M107" s="38" t="s">
        <v>116</v>
      </c>
      <c r="N107" s="38"/>
      <c r="O107" s="37">
        <v>55</v>
      </c>
      <c r="P107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0"/>
      <c r="R107" s="630"/>
      <c r="S107" s="630"/>
      <c r="T107" s="631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28">
        <v>4680115887664</v>
      </c>
      <c r="E108" s="628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0"/>
      <c r="R108" s="630"/>
      <c r="S108" s="630"/>
      <c r="T108" s="631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28">
        <v>4680115882775</v>
      </c>
      <c r="E109" s="628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116</v>
      </c>
      <c r="N109" s="38"/>
      <c r="O109" s="37">
        <v>55</v>
      </c>
      <c r="P109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0"/>
      <c r="R109" s="630"/>
      <c r="S109" s="630"/>
      <c r="T109" s="631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28">
        <v>4680115880658</v>
      </c>
      <c r="E110" s="628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116</v>
      </c>
      <c r="N110" s="38"/>
      <c r="O110" s="37">
        <v>55</v>
      </c>
      <c r="P110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0"/>
      <c r="R110" s="630"/>
      <c r="S110" s="630"/>
      <c r="T110" s="631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6"/>
      <c r="B111" s="636"/>
      <c r="C111" s="636"/>
      <c r="D111" s="636"/>
      <c r="E111" s="636"/>
      <c r="F111" s="636"/>
      <c r="G111" s="636"/>
      <c r="H111" s="636"/>
      <c r="I111" s="636"/>
      <c r="J111" s="636"/>
      <c r="K111" s="636"/>
      <c r="L111" s="636"/>
      <c r="M111" s="636"/>
      <c r="N111" s="636"/>
      <c r="O111" s="637"/>
      <c r="P111" s="633" t="s">
        <v>40</v>
      </c>
      <c r="Q111" s="634"/>
      <c r="R111" s="634"/>
      <c r="S111" s="634"/>
      <c r="T111" s="634"/>
      <c r="U111" s="634"/>
      <c r="V111" s="635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6"/>
      <c r="B112" s="636"/>
      <c r="C112" s="636"/>
      <c r="D112" s="636"/>
      <c r="E112" s="636"/>
      <c r="F112" s="636"/>
      <c r="G112" s="636"/>
      <c r="H112" s="636"/>
      <c r="I112" s="636"/>
      <c r="J112" s="636"/>
      <c r="K112" s="636"/>
      <c r="L112" s="636"/>
      <c r="M112" s="636"/>
      <c r="N112" s="636"/>
      <c r="O112" s="637"/>
      <c r="P112" s="633" t="s">
        <v>40</v>
      </c>
      <c r="Q112" s="634"/>
      <c r="R112" s="634"/>
      <c r="S112" s="634"/>
      <c r="T112" s="634"/>
      <c r="U112" s="634"/>
      <c r="V112" s="635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7" t="s">
        <v>88</v>
      </c>
      <c r="B113" s="627"/>
      <c r="C113" s="627"/>
      <c r="D113" s="627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T113" s="627"/>
      <c r="U113" s="627"/>
      <c r="V113" s="627"/>
      <c r="W113" s="627"/>
      <c r="X113" s="627"/>
      <c r="Y113" s="627"/>
      <c r="Z113" s="627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28">
        <v>4607091385168</v>
      </c>
      <c r="E114" s="628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117</v>
      </c>
      <c r="L114" s="37" t="s">
        <v>118</v>
      </c>
      <c r="M114" s="38" t="s">
        <v>98</v>
      </c>
      <c r="N114" s="38"/>
      <c r="O114" s="37">
        <v>45</v>
      </c>
      <c r="P114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0"/>
      <c r="R114" s="630"/>
      <c r="S114" s="630"/>
      <c r="T114" s="631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103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28">
        <v>4607091383256</v>
      </c>
      <c r="E115" s="628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102</v>
      </c>
      <c r="M115" s="38" t="s">
        <v>98</v>
      </c>
      <c r="N115" s="38"/>
      <c r="O115" s="37">
        <v>45</v>
      </c>
      <c r="P115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0"/>
      <c r="R115" s="630"/>
      <c r="S115" s="630"/>
      <c r="T115" s="631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103</v>
      </c>
      <c r="AK115" s="84">
        <v>27.72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28">
        <v>4607091385748</v>
      </c>
      <c r="E116" s="628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102</v>
      </c>
      <c r="M116" s="38" t="s">
        <v>98</v>
      </c>
      <c r="N116" s="38"/>
      <c r="O116" s="37">
        <v>45</v>
      </c>
      <c r="P116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0"/>
      <c r="R116" s="630"/>
      <c r="S116" s="630"/>
      <c r="T116" s="631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103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8">
        <v>4680115884533</v>
      </c>
      <c r="E117" s="628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102</v>
      </c>
      <c r="M117" s="38" t="s">
        <v>92</v>
      </c>
      <c r="N117" s="38"/>
      <c r="O117" s="37">
        <v>45</v>
      </c>
      <c r="P117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0"/>
      <c r="R117" s="630"/>
      <c r="S117" s="630"/>
      <c r="T117" s="631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103</v>
      </c>
      <c r="AK117" s="84">
        <v>25.2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6"/>
      <c r="B118" s="636"/>
      <c r="C118" s="636"/>
      <c r="D118" s="636"/>
      <c r="E118" s="636"/>
      <c r="F118" s="636"/>
      <c r="G118" s="636"/>
      <c r="H118" s="636"/>
      <c r="I118" s="636"/>
      <c r="J118" s="636"/>
      <c r="K118" s="636"/>
      <c r="L118" s="636"/>
      <c r="M118" s="636"/>
      <c r="N118" s="636"/>
      <c r="O118" s="637"/>
      <c r="P118" s="633" t="s">
        <v>40</v>
      </c>
      <c r="Q118" s="634"/>
      <c r="R118" s="634"/>
      <c r="S118" s="634"/>
      <c r="T118" s="634"/>
      <c r="U118" s="634"/>
      <c r="V118" s="635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6"/>
      <c r="B119" s="636"/>
      <c r="C119" s="636"/>
      <c r="D119" s="636"/>
      <c r="E119" s="636"/>
      <c r="F119" s="636"/>
      <c r="G119" s="636"/>
      <c r="H119" s="636"/>
      <c r="I119" s="636"/>
      <c r="J119" s="636"/>
      <c r="K119" s="636"/>
      <c r="L119" s="636"/>
      <c r="M119" s="636"/>
      <c r="N119" s="636"/>
      <c r="O119" s="637"/>
      <c r="P119" s="633" t="s">
        <v>40</v>
      </c>
      <c r="Q119" s="634"/>
      <c r="R119" s="634"/>
      <c r="S119" s="634"/>
      <c r="T119" s="634"/>
      <c r="U119" s="634"/>
      <c r="V119" s="635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7" t="s">
        <v>172</v>
      </c>
      <c r="B120" s="627"/>
      <c r="C120" s="627"/>
      <c r="D120" s="627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T120" s="627"/>
      <c r="U120" s="627"/>
      <c r="V120" s="627"/>
      <c r="W120" s="627"/>
      <c r="X120" s="627"/>
      <c r="Y120" s="627"/>
      <c r="Z120" s="627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8">
        <v>4680115880238</v>
      </c>
      <c r="E121" s="628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102</v>
      </c>
      <c r="M121" s="38" t="s">
        <v>92</v>
      </c>
      <c r="N121" s="38"/>
      <c r="O121" s="37">
        <v>40</v>
      </c>
      <c r="P121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0"/>
      <c r="R121" s="630"/>
      <c r="S121" s="630"/>
      <c r="T121" s="631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103</v>
      </c>
      <c r="AK121" s="84">
        <v>27.72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6"/>
      <c r="B122" s="636"/>
      <c r="C122" s="636"/>
      <c r="D122" s="636"/>
      <c r="E122" s="636"/>
      <c r="F122" s="636"/>
      <c r="G122" s="636"/>
      <c r="H122" s="636"/>
      <c r="I122" s="636"/>
      <c r="J122" s="636"/>
      <c r="K122" s="636"/>
      <c r="L122" s="636"/>
      <c r="M122" s="636"/>
      <c r="N122" s="636"/>
      <c r="O122" s="637"/>
      <c r="P122" s="633" t="s">
        <v>40</v>
      </c>
      <c r="Q122" s="634"/>
      <c r="R122" s="634"/>
      <c r="S122" s="634"/>
      <c r="T122" s="634"/>
      <c r="U122" s="634"/>
      <c r="V122" s="635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6"/>
      <c r="B123" s="636"/>
      <c r="C123" s="636"/>
      <c r="D123" s="636"/>
      <c r="E123" s="636"/>
      <c r="F123" s="636"/>
      <c r="G123" s="636"/>
      <c r="H123" s="636"/>
      <c r="I123" s="636"/>
      <c r="J123" s="636"/>
      <c r="K123" s="636"/>
      <c r="L123" s="636"/>
      <c r="M123" s="636"/>
      <c r="N123" s="636"/>
      <c r="O123" s="637"/>
      <c r="P123" s="633" t="s">
        <v>40</v>
      </c>
      <c r="Q123" s="634"/>
      <c r="R123" s="634"/>
      <c r="S123" s="634"/>
      <c r="T123" s="634"/>
      <c r="U123" s="634"/>
      <c r="V123" s="635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6" t="s">
        <v>238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6"/>
      <c r="Q124" s="626"/>
      <c r="R124" s="626"/>
      <c r="S124" s="626"/>
      <c r="T124" s="626"/>
      <c r="U124" s="626"/>
      <c r="V124" s="626"/>
      <c r="W124" s="626"/>
      <c r="X124" s="626"/>
      <c r="Y124" s="626"/>
      <c r="Z124" s="626"/>
      <c r="AA124" s="65"/>
      <c r="AB124" s="65"/>
      <c r="AC124" s="79"/>
    </row>
    <row r="125" spans="1:68" ht="14.25" customHeight="1" x14ac:dyDescent="0.25">
      <c r="A125" s="627" t="s">
        <v>112</v>
      </c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8">
        <v>4680115882577</v>
      </c>
      <c r="E126" s="628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102</v>
      </c>
      <c r="M126" s="38" t="s">
        <v>109</v>
      </c>
      <c r="N126" s="38"/>
      <c r="O126" s="37">
        <v>90</v>
      </c>
      <c r="P126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30"/>
      <c r="R126" s="630"/>
      <c r="S126" s="630"/>
      <c r="T126" s="631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103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8">
        <v>4680115882577</v>
      </c>
      <c r="E127" s="628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102</v>
      </c>
      <c r="M127" s="38" t="s">
        <v>109</v>
      </c>
      <c r="N127" s="38"/>
      <c r="O127" s="37">
        <v>90</v>
      </c>
      <c r="P127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0"/>
      <c r="R127" s="630"/>
      <c r="S127" s="630"/>
      <c r="T127" s="631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103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6"/>
      <c r="B128" s="636"/>
      <c r="C128" s="636"/>
      <c r="D128" s="636"/>
      <c r="E128" s="636"/>
      <c r="F128" s="636"/>
      <c r="G128" s="636"/>
      <c r="H128" s="636"/>
      <c r="I128" s="636"/>
      <c r="J128" s="636"/>
      <c r="K128" s="636"/>
      <c r="L128" s="636"/>
      <c r="M128" s="636"/>
      <c r="N128" s="636"/>
      <c r="O128" s="637"/>
      <c r="P128" s="633" t="s">
        <v>40</v>
      </c>
      <c r="Q128" s="634"/>
      <c r="R128" s="634"/>
      <c r="S128" s="634"/>
      <c r="T128" s="634"/>
      <c r="U128" s="634"/>
      <c r="V128" s="635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6"/>
      <c r="B129" s="636"/>
      <c r="C129" s="636"/>
      <c r="D129" s="636"/>
      <c r="E129" s="636"/>
      <c r="F129" s="636"/>
      <c r="G129" s="636"/>
      <c r="H129" s="636"/>
      <c r="I129" s="636"/>
      <c r="J129" s="636"/>
      <c r="K129" s="636"/>
      <c r="L129" s="636"/>
      <c r="M129" s="636"/>
      <c r="N129" s="636"/>
      <c r="O129" s="637"/>
      <c r="P129" s="633" t="s">
        <v>40</v>
      </c>
      <c r="Q129" s="634"/>
      <c r="R129" s="634"/>
      <c r="S129" s="634"/>
      <c r="T129" s="634"/>
      <c r="U129" s="634"/>
      <c r="V129" s="635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7" t="s">
        <v>78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8">
        <v>4680115883444</v>
      </c>
      <c r="E131" s="628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102</v>
      </c>
      <c r="M131" s="38" t="s">
        <v>109</v>
      </c>
      <c r="N131" s="38"/>
      <c r="O131" s="37">
        <v>90</v>
      </c>
      <c r="P131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30"/>
      <c r="R131" s="630"/>
      <c r="S131" s="630"/>
      <c r="T131" s="631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103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8">
        <v>4680115883444</v>
      </c>
      <c r="E132" s="628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102</v>
      </c>
      <c r="M132" s="38" t="s">
        <v>109</v>
      </c>
      <c r="N132" s="38"/>
      <c r="O132" s="37">
        <v>90</v>
      </c>
      <c r="P132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0"/>
      <c r="R132" s="630"/>
      <c r="S132" s="630"/>
      <c r="T132" s="631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103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6"/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7"/>
      <c r="P133" s="633" t="s">
        <v>40</v>
      </c>
      <c r="Q133" s="634"/>
      <c r="R133" s="634"/>
      <c r="S133" s="634"/>
      <c r="T133" s="634"/>
      <c r="U133" s="634"/>
      <c r="V133" s="635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6"/>
      <c r="B134" s="636"/>
      <c r="C134" s="636"/>
      <c r="D134" s="636"/>
      <c r="E134" s="636"/>
      <c r="F134" s="636"/>
      <c r="G134" s="636"/>
      <c r="H134" s="636"/>
      <c r="I134" s="636"/>
      <c r="J134" s="636"/>
      <c r="K134" s="636"/>
      <c r="L134" s="636"/>
      <c r="M134" s="636"/>
      <c r="N134" s="636"/>
      <c r="O134" s="637"/>
      <c r="P134" s="633" t="s">
        <v>40</v>
      </c>
      <c r="Q134" s="634"/>
      <c r="R134" s="634"/>
      <c r="S134" s="634"/>
      <c r="T134" s="634"/>
      <c r="U134" s="634"/>
      <c r="V134" s="635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7" t="s">
        <v>88</v>
      </c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T135" s="627"/>
      <c r="U135" s="627"/>
      <c r="V135" s="627"/>
      <c r="W135" s="627"/>
      <c r="X135" s="627"/>
      <c r="Y135" s="627"/>
      <c r="Z135" s="627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8">
        <v>4680115882584</v>
      </c>
      <c r="E136" s="628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109</v>
      </c>
      <c r="N136" s="38"/>
      <c r="O136" s="37">
        <v>60</v>
      </c>
      <c r="P136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0"/>
      <c r="R136" s="630"/>
      <c r="S136" s="630"/>
      <c r="T136" s="631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8">
        <v>4680115882584</v>
      </c>
      <c r="E137" s="628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102</v>
      </c>
      <c r="M137" s="38" t="s">
        <v>109</v>
      </c>
      <c r="N137" s="38"/>
      <c r="O137" s="37">
        <v>60</v>
      </c>
      <c r="P137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0"/>
      <c r="R137" s="630"/>
      <c r="S137" s="630"/>
      <c r="T137" s="631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103</v>
      </c>
      <c r="AK137" s="84">
        <v>36.96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6"/>
      <c r="B138" s="636"/>
      <c r="C138" s="636"/>
      <c r="D138" s="636"/>
      <c r="E138" s="636"/>
      <c r="F138" s="636"/>
      <c r="G138" s="636"/>
      <c r="H138" s="636"/>
      <c r="I138" s="636"/>
      <c r="J138" s="636"/>
      <c r="K138" s="636"/>
      <c r="L138" s="636"/>
      <c r="M138" s="636"/>
      <c r="N138" s="636"/>
      <c r="O138" s="637"/>
      <c r="P138" s="633" t="s">
        <v>40</v>
      </c>
      <c r="Q138" s="634"/>
      <c r="R138" s="634"/>
      <c r="S138" s="634"/>
      <c r="T138" s="634"/>
      <c r="U138" s="634"/>
      <c r="V138" s="635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6"/>
      <c r="B139" s="636"/>
      <c r="C139" s="636"/>
      <c r="D139" s="636"/>
      <c r="E139" s="636"/>
      <c r="F139" s="636"/>
      <c r="G139" s="636"/>
      <c r="H139" s="636"/>
      <c r="I139" s="636"/>
      <c r="J139" s="636"/>
      <c r="K139" s="636"/>
      <c r="L139" s="636"/>
      <c r="M139" s="636"/>
      <c r="N139" s="636"/>
      <c r="O139" s="637"/>
      <c r="P139" s="633" t="s">
        <v>40</v>
      </c>
      <c r="Q139" s="634"/>
      <c r="R139" s="634"/>
      <c r="S139" s="634"/>
      <c r="T139" s="634"/>
      <c r="U139" s="634"/>
      <c r="V139" s="635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6" t="s">
        <v>110</v>
      </c>
      <c r="B140" s="626"/>
      <c r="C140" s="626"/>
      <c r="D140" s="626"/>
      <c r="E140" s="626"/>
      <c r="F140" s="626"/>
      <c r="G140" s="626"/>
      <c r="H140" s="626"/>
      <c r="I140" s="626"/>
      <c r="J140" s="626"/>
      <c r="K140" s="626"/>
      <c r="L140" s="626"/>
      <c r="M140" s="626"/>
      <c r="N140" s="626"/>
      <c r="O140" s="626"/>
      <c r="P140" s="626"/>
      <c r="Q140" s="626"/>
      <c r="R140" s="626"/>
      <c r="S140" s="626"/>
      <c r="T140" s="626"/>
      <c r="U140" s="626"/>
      <c r="V140" s="626"/>
      <c r="W140" s="626"/>
      <c r="X140" s="626"/>
      <c r="Y140" s="626"/>
      <c r="Z140" s="626"/>
      <c r="AA140" s="65"/>
      <c r="AB140" s="65"/>
      <c r="AC140" s="79"/>
    </row>
    <row r="141" spans="1:68" ht="14.25" customHeight="1" x14ac:dyDescent="0.25">
      <c r="A141" s="627" t="s">
        <v>112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8">
        <v>4680115887374</v>
      </c>
      <c r="E142" s="628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117</v>
      </c>
      <c r="L142" s="37" t="s">
        <v>45</v>
      </c>
      <c r="M142" s="38" t="s">
        <v>116</v>
      </c>
      <c r="N142" s="38"/>
      <c r="O142" s="37">
        <v>55</v>
      </c>
      <c r="P142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0"/>
      <c r="R142" s="630"/>
      <c r="S142" s="630"/>
      <c r="T142" s="631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8">
        <v>4607091384604</v>
      </c>
      <c r="E143" s="628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121</v>
      </c>
      <c r="L143" s="37" t="s">
        <v>124</v>
      </c>
      <c r="M143" s="38" t="s">
        <v>116</v>
      </c>
      <c r="N143" s="38"/>
      <c r="O143" s="37">
        <v>50</v>
      </c>
      <c r="P143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0"/>
      <c r="R143" s="630"/>
      <c r="S143" s="630"/>
      <c r="T143" s="631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103</v>
      </c>
      <c r="AK143" s="84">
        <v>48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6"/>
      <c r="B144" s="636"/>
      <c r="C144" s="636"/>
      <c r="D144" s="636"/>
      <c r="E144" s="636"/>
      <c r="F144" s="636"/>
      <c r="G144" s="636"/>
      <c r="H144" s="636"/>
      <c r="I144" s="636"/>
      <c r="J144" s="636"/>
      <c r="K144" s="636"/>
      <c r="L144" s="636"/>
      <c r="M144" s="636"/>
      <c r="N144" s="636"/>
      <c r="O144" s="637"/>
      <c r="P144" s="633" t="s">
        <v>40</v>
      </c>
      <c r="Q144" s="634"/>
      <c r="R144" s="634"/>
      <c r="S144" s="634"/>
      <c r="T144" s="634"/>
      <c r="U144" s="634"/>
      <c r="V144" s="635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6"/>
      <c r="B145" s="636"/>
      <c r="C145" s="636"/>
      <c r="D145" s="636"/>
      <c r="E145" s="636"/>
      <c r="F145" s="636"/>
      <c r="G145" s="636"/>
      <c r="H145" s="636"/>
      <c r="I145" s="636"/>
      <c r="J145" s="636"/>
      <c r="K145" s="636"/>
      <c r="L145" s="636"/>
      <c r="M145" s="636"/>
      <c r="N145" s="636"/>
      <c r="O145" s="637"/>
      <c r="P145" s="633" t="s">
        <v>40</v>
      </c>
      <c r="Q145" s="634"/>
      <c r="R145" s="634"/>
      <c r="S145" s="634"/>
      <c r="T145" s="634"/>
      <c r="U145" s="634"/>
      <c r="V145" s="635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7" t="s">
        <v>78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8">
        <v>4680115887428</v>
      </c>
      <c r="E147" s="628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121</v>
      </c>
      <c r="L147" s="37" t="s">
        <v>45</v>
      </c>
      <c r="M147" s="38" t="s">
        <v>82</v>
      </c>
      <c r="N147" s="38"/>
      <c r="O147" s="37">
        <v>40</v>
      </c>
      <c r="P147" s="69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30"/>
      <c r="R147" s="630"/>
      <c r="S147" s="630"/>
      <c r="T147" s="631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8">
        <v>4607091387636</v>
      </c>
      <c r="E148" s="628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30"/>
      <c r="R148" s="630"/>
      <c r="S148" s="630"/>
      <c r="T148" s="631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8">
        <v>4680115887336</v>
      </c>
      <c r="E149" s="628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121</v>
      </c>
      <c r="L149" s="37" t="s">
        <v>45</v>
      </c>
      <c r="M149" s="38" t="s">
        <v>82</v>
      </c>
      <c r="N149" s="38"/>
      <c r="O149" s="37">
        <v>40</v>
      </c>
      <c r="P149" s="69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30"/>
      <c r="R149" s="630"/>
      <c r="S149" s="630"/>
      <c r="T149" s="631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8">
        <v>4607091382426</v>
      </c>
      <c r="E150" s="628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117</v>
      </c>
      <c r="L150" s="37" t="s">
        <v>118</v>
      </c>
      <c r="M150" s="38" t="s">
        <v>82</v>
      </c>
      <c r="N150" s="38"/>
      <c r="O150" s="37">
        <v>40</v>
      </c>
      <c r="P150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30"/>
      <c r="R150" s="630"/>
      <c r="S150" s="630"/>
      <c r="T150" s="631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103</v>
      </c>
      <c r="AK150" s="84">
        <v>72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8">
        <v>4680115887398</v>
      </c>
      <c r="E151" s="628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121</v>
      </c>
      <c r="L151" s="37" t="s">
        <v>45</v>
      </c>
      <c r="M151" s="38" t="s">
        <v>82</v>
      </c>
      <c r="N151" s="38"/>
      <c r="O151" s="37">
        <v>40</v>
      </c>
      <c r="P151" s="69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30"/>
      <c r="R151" s="630"/>
      <c r="S151" s="630"/>
      <c r="T151" s="631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6"/>
      <c r="B152" s="636"/>
      <c r="C152" s="636"/>
      <c r="D152" s="636"/>
      <c r="E152" s="636"/>
      <c r="F152" s="636"/>
      <c r="G152" s="636"/>
      <c r="H152" s="636"/>
      <c r="I152" s="636"/>
      <c r="J152" s="636"/>
      <c r="K152" s="636"/>
      <c r="L152" s="636"/>
      <c r="M152" s="636"/>
      <c r="N152" s="636"/>
      <c r="O152" s="637"/>
      <c r="P152" s="633" t="s">
        <v>40</v>
      </c>
      <c r="Q152" s="634"/>
      <c r="R152" s="634"/>
      <c r="S152" s="634"/>
      <c r="T152" s="634"/>
      <c r="U152" s="634"/>
      <c r="V152" s="635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6"/>
      <c r="B153" s="636"/>
      <c r="C153" s="636"/>
      <c r="D153" s="636"/>
      <c r="E153" s="636"/>
      <c r="F153" s="636"/>
      <c r="G153" s="636"/>
      <c r="H153" s="636"/>
      <c r="I153" s="636"/>
      <c r="J153" s="636"/>
      <c r="K153" s="636"/>
      <c r="L153" s="636"/>
      <c r="M153" s="636"/>
      <c r="N153" s="636"/>
      <c r="O153" s="637"/>
      <c r="P153" s="633" t="s">
        <v>40</v>
      </c>
      <c r="Q153" s="634"/>
      <c r="R153" s="634"/>
      <c r="S153" s="634"/>
      <c r="T153" s="634"/>
      <c r="U153" s="634"/>
      <c r="V153" s="635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7" t="s">
        <v>88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8">
        <v>4680115887459</v>
      </c>
      <c r="E155" s="628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30"/>
      <c r="R155" s="630"/>
      <c r="S155" s="630"/>
      <c r="T155" s="631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6"/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7"/>
      <c r="P156" s="633" t="s">
        <v>40</v>
      </c>
      <c r="Q156" s="634"/>
      <c r="R156" s="634"/>
      <c r="S156" s="634"/>
      <c r="T156" s="634"/>
      <c r="U156" s="634"/>
      <c r="V156" s="635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6"/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7"/>
      <c r="P157" s="633" t="s">
        <v>40</v>
      </c>
      <c r="Q157" s="634"/>
      <c r="R157" s="634"/>
      <c r="S157" s="634"/>
      <c r="T157" s="634"/>
      <c r="U157" s="634"/>
      <c r="V157" s="635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5" t="s">
        <v>274</v>
      </c>
      <c r="B158" s="625"/>
      <c r="C158" s="625"/>
      <c r="D158" s="625"/>
      <c r="E158" s="625"/>
      <c r="F158" s="625"/>
      <c r="G158" s="625"/>
      <c r="H158" s="625"/>
      <c r="I158" s="625"/>
      <c r="J158" s="625"/>
      <c r="K158" s="625"/>
      <c r="L158" s="625"/>
      <c r="M158" s="625"/>
      <c r="N158" s="625"/>
      <c r="O158" s="625"/>
      <c r="P158" s="625"/>
      <c r="Q158" s="625"/>
      <c r="R158" s="625"/>
      <c r="S158" s="625"/>
      <c r="T158" s="625"/>
      <c r="U158" s="625"/>
      <c r="V158" s="625"/>
      <c r="W158" s="625"/>
      <c r="X158" s="625"/>
      <c r="Y158" s="625"/>
      <c r="Z158" s="625"/>
      <c r="AA158" s="54"/>
      <c r="AB158" s="54"/>
      <c r="AC158" s="54"/>
    </row>
    <row r="159" spans="1:68" ht="16.5" customHeight="1" x14ac:dyDescent="0.25">
      <c r="A159" s="626" t="s">
        <v>275</v>
      </c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6"/>
      <c r="P159" s="626"/>
      <c r="Q159" s="626"/>
      <c r="R159" s="626"/>
      <c r="S159" s="626"/>
      <c r="T159" s="626"/>
      <c r="U159" s="626"/>
      <c r="V159" s="626"/>
      <c r="W159" s="626"/>
      <c r="X159" s="626"/>
      <c r="Y159" s="626"/>
      <c r="Z159" s="626"/>
      <c r="AA159" s="65"/>
      <c r="AB159" s="65"/>
      <c r="AC159" s="79"/>
    </row>
    <row r="160" spans="1:68" ht="14.25" customHeight="1" x14ac:dyDescent="0.25">
      <c r="A160" s="627" t="s">
        <v>147</v>
      </c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7"/>
      <c r="P160" s="627"/>
      <c r="Q160" s="627"/>
      <c r="R160" s="627"/>
      <c r="S160" s="627"/>
      <c r="T160" s="627"/>
      <c r="U160" s="627"/>
      <c r="V160" s="627"/>
      <c r="W160" s="627"/>
      <c r="X160" s="627"/>
      <c r="Y160" s="627"/>
      <c r="Z160" s="627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8">
        <v>4680115886223</v>
      </c>
      <c r="E161" s="628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7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30"/>
      <c r="R161" s="630"/>
      <c r="S161" s="630"/>
      <c r="T161" s="631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6"/>
      <c r="B162" s="636"/>
      <c r="C162" s="636"/>
      <c r="D162" s="636"/>
      <c r="E162" s="636"/>
      <c r="F162" s="636"/>
      <c r="G162" s="636"/>
      <c r="H162" s="636"/>
      <c r="I162" s="636"/>
      <c r="J162" s="636"/>
      <c r="K162" s="636"/>
      <c r="L162" s="636"/>
      <c r="M162" s="636"/>
      <c r="N162" s="636"/>
      <c r="O162" s="637"/>
      <c r="P162" s="633" t="s">
        <v>40</v>
      </c>
      <c r="Q162" s="634"/>
      <c r="R162" s="634"/>
      <c r="S162" s="634"/>
      <c r="T162" s="634"/>
      <c r="U162" s="634"/>
      <c r="V162" s="635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6"/>
      <c r="B163" s="636"/>
      <c r="C163" s="636"/>
      <c r="D163" s="636"/>
      <c r="E163" s="636"/>
      <c r="F163" s="636"/>
      <c r="G163" s="636"/>
      <c r="H163" s="636"/>
      <c r="I163" s="636"/>
      <c r="J163" s="636"/>
      <c r="K163" s="636"/>
      <c r="L163" s="636"/>
      <c r="M163" s="636"/>
      <c r="N163" s="636"/>
      <c r="O163" s="637"/>
      <c r="P163" s="633" t="s">
        <v>40</v>
      </c>
      <c r="Q163" s="634"/>
      <c r="R163" s="634"/>
      <c r="S163" s="634"/>
      <c r="T163" s="634"/>
      <c r="U163" s="634"/>
      <c r="V163" s="635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7" t="s">
        <v>78</v>
      </c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T164" s="627"/>
      <c r="U164" s="627"/>
      <c r="V164" s="627"/>
      <c r="W164" s="627"/>
      <c r="X164" s="627"/>
      <c r="Y164" s="627"/>
      <c r="Z164" s="627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8">
        <v>4680115880993</v>
      </c>
      <c r="E165" s="628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121</v>
      </c>
      <c r="L165" s="37" t="s">
        <v>124</v>
      </c>
      <c r="M165" s="38" t="s">
        <v>82</v>
      </c>
      <c r="N165" s="38"/>
      <c r="O165" s="37">
        <v>40</v>
      </c>
      <c r="P165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30"/>
      <c r="R165" s="630"/>
      <c r="S165" s="630"/>
      <c r="T165" s="631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103</v>
      </c>
      <c r="AK165" s="84">
        <v>50.4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8">
        <v>4680115881761</v>
      </c>
      <c r="E166" s="628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121</v>
      </c>
      <c r="L166" s="37" t="s">
        <v>45</v>
      </c>
      <c r="M166" s="38" t="s">
        <v>82</v>
      </c>
      <c r="N166" s="38"/>
      <c r="O166" s="37">
        <v>40</v>
      </c>
      <c r="P166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30"/>
      <c r="R166" s="630"/>
      <c r="S166" s="630"/>
      <c r="T166" s="631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8">
        <v>4680115881563</v>
      </c>
      <c r="E167" s="628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121</v>
      </c>
      <c r="L167" s="37" t="s">
        <v>124</v>
      </c>
      <c r="M167" s="38" t="s">
        <v>82</v>
      </c>
      <c r="N167" s="38"/>
      <c r="O167" s="37">
        <v>40</v>
      </c>
      <c r="P167" s="70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30"/>
      <c r="R167" s="630"/>
      <c r="S167" s="630"/>
      <c r="T167" s="631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103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8">
        <v>4680115887565</v>
      </c>
      <c r="E168" s="628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30"/>
      <c r="R168" s="630"/>
      <c r="S168" s="630"/>
      <c r="T168" s="631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8">
        <v>4680115880986</v>
      </c>
      <c r="E169" s="628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293</v>
      </c>
      <c r="M169" s="38" t="s">
        <v>82</v>
      </c>
      <c r="N169" s="38"/>
      <c r="O169" s="37">
        <v>40</v>
      </c>
      <c r="P169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30"/>
      <c r="R169" s="630"/>
      <c r="S169" s="630"/>
      <c r="T169" s="631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103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4301031443</v>
      </c>
      <c r="D170" s="628">
        <v>4680115887213</v>
      </c>
      <c r="E170" s="628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30"/>
      <c r="R170" s="630"/>
      <c r="S170" s="630"/>
      <c r="T170" s="631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4301031205</v>
      </c>
      <c r="D171" s="628">
        <v>4680115881785</v>
      </c>
      <c r="E171" s="628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293</v>
      </c>
      <c r="M171" s="38" t="s">
        <v>82</v>
      </c>
      <c r="N171" s="38"/>
      <c r="O171" s="37">
        <v>40</v>
      </c>
      <c r="P171" s="7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30"/>
      <c r="R171" s="630"/>
      <c r="S171" s="630"/>
      <c r="T171" s="631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103</v>
      </c>
      <c r="AK171" s="84">
        <v>37.799999999999997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8">
        <v>4680115887824</v>
      </c>
      <c r="E172" s="628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30"/>
      <c r="R172" s="630"/>
      <c r="S172" s="630"/>
      <c r="T172" s="631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8">
        <v>4680115887701</v>
      </c>
      <c r="E173" s="628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30"/>
      <c r="R173" s="630"/>
      <c r="S173" s="630"/>
      <c r="T173" s="631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8">
        <v>4680115886537</v>
      </c>
      <c r="E174" s="628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30"/>
      <c r="R174" s="630"/>
      <c r="S174" s="630"/>
      <c r="T174" s="631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8">
        <v>4680115887596</v>
      </c>
      <c r="E175" s="628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186</v>
      </c>
      <c r="L175" s="37" t="s">
        <v>45</v>
      </c>
      <c r="M175" s="38" t="s">
        <v>82</v>
      </c>
      <c r="N175" s="38"/>
      <c r="O175" s="37">
        <v>45</v>
      </c>
      <c r="P175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30"/>
      <c r="R175" s="630"/>
      <c r="S175" s="630"/>
      <c r="T175" s="631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8">
        <v>4680115881679</v>
      </c>
      <c r="E176" s="628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293</v>
      </c>
      <c r="M176" s="38" t="s">
        <v>82</v>
      </c>
      <c r="N176" s="38"/>
      <c r="O176" s="37">
        <v>40</v>
      </c>
      <c r="P176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30"/>
      <c r="R176" s="630"/>
      <c r="S176" s="630"/>
      <c r="T176" s="631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103</v>
      </c>
      <c r="AK176" s="84">
        <v>37.799999999999997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8">
        <v>4680115880191</v>
      </c>
      <c r="E177" s="628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30"/>
      <c r="R177" s="630"/>
      <c r="S177" s="630"/>
      <c r="T177" s="631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8">
        <v>4680115883963</v>
      </c>
      <c r="E178" s="628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30"/>
      <c r="R178" s="630"/>
      <c r="S178" s="630"/>
      <c r="T178" s="631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6"/>
      <c r="B179" s="636"/>
      <c r="C179" s="636"/>
      <c r="D179" s="636"/>
      <c r="E179" s="636"/>
      <c r="F179" s="636"/>
      <c r="G179" s="636"/>
      <c r="H179" s="636"/>
      <c r="I179" s="636"/>
      <c r="J179" s="636"/>
      <c r="K179" s="636"/>
      <c r="L179" s="636"/>
      <c r="M179" s="636"/>
      <c r="N179" s="636"/>
      <c r="O179" s="637"/>
      <c r="P179" s="633" t="s">
        <v>40</v>
      </c>
      <c r="Q179" s="634"/>
      <c r="R179" s="634"/>
      <c r="S179" s="634"/>
      <c r="T179" s="634"/>
      <c r="U179" s="634"/>
      <c r="V179" s="635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6"/>
      <c r="B180" s="636"/>
      <c r="C180" s="636"/>
      <c r="D180" s="636"/>
      <c r="E180" s="636"/>
      <c r="F180" s="636"/>
      <c r="G180" s="636"/>
      <c r="H180" s="636"/>
      <c r="I180" s="636"/>
      <c r="J180" s="636"/>
      <c r="K180" s="636"/>
      <c r="L180" s="636"/>
      <c r="M180" s="636"/>
      <c r="N180" s="636"/>
      <c r="O180" s="637"/>
      <c r="P180" s="633" t="s">
        <v>40</v>
      </c>
      <c r="Q180" s="634"/>
      <c r="R180" s="634"/>
      <c r="S180" s="634"/>
      <c r="T180" s="634"/>
      <c r="U180" s="634"/>
      <c r="V180" s="635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7" t="s">
        <v>104</v>
      </c>
      <c r="B181" s="627"/>
      <c r="C181" s="627"/>
      <c r="D181" s="627"/>
      <c r="E181" s="627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T181" s="627"/>
      <c r="U181" s="627"/>
      <c r="V181" s="627"/>
      <c r="W181" s="627"/>
      <c r="X181" s="627"/>
      <c r="Y181" s="627"/>
      <c r="Z181" s="627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8">
        <v>4680115886780</v>
      </c>
      <c r="E182" s="628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30"/>
      <c r="R182" s="630"/>
      <c r="S182" s="630"/>
      <c r="T182" s="631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8">
        <v>4680115886742</v>
      </c>
      <c r="E183" s="628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30"/>
      <c r="R183" s="630"/>
      <c r="S183" s="630"/>
      <c r="T183" s="631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8">
        <v>4680115886766</v>
      </c>
      <c r="E184" s="628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30"/>
      <c r="R184" s="630"/>
      <c r="S184" s="630"/>
      <c r="T184" s="631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6"/>
      <c r="B185" s="636"/>
      <c r="C185" s="636"/>
      <c r="D185" s="636"/>
      <c r="E185" s="636"/>
      <c r="F185" s="636"/>
      <c r="G185" s="636"/>
      <c r="H185" s="636"/>
      <c r="I185" s="636"/>
      <c r="J185" s="636"/>
      <c r="K185" s="636"/>
      <c r="L185" s="636"/>
      <c r="M185" s="636"/>
      <c r="N185" s="636"/>
      <c r="O185" s="637"/>
      <c r="P185" s="633" t="s">
        <v>40</v>
      </c>
      <c r="Q185" s="634"/>
      <c r="R185" s="634"/>
      <c r="S185" s="634"/>
      <c r="T185" s="634"/>
      <c r="U185" s="634"/>
      <c r="V185" s="635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6"/>
      <c r="B186" s="636"/>
      <c r="C186" s="636"/>
      <c r="D186" s="636"/>
      <c r="E186" s="636"/>
      <c r="F186" s="636"/>
      <c r="G186" s="636"/>
      <c r="H186" s="636"/>
      <c r="I186" s="636"/>
      <c r="J186" s="636"/>
      <c r="K186" s="636"/>
      <c r="L186" s="636"/>
      <c r="M186" s="636"/>
      <c r="N186" s="636"/>
      <c r="O186" s="637"/>
      <c r="P186" s="633" t="s">
        <v>40</v>
      </c>
      <c r="Q186" s="634"/>
      <c r="R186" s="634"/>
      <c r="S186" s="634"/>
      <c r="T186" s="634"/>
      <c r="U186" s="634"/>
      <c r="V186" s="635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7" t="s">
        <v>327</v>
      </c>
      <c r="B187" s="627"/>
      <c r="C187" s="627"/>
      <c r="D187" s="627"/>
      <c r="E187" s="627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T187" s="627"/>
      <c r="U187" s="627"/>
      <c r="V187" s="627"/>
      <c r="W187" s="627"/>
      <c r="X187" s="627"/>
      <c r="Y187" s="627"/>
      <c r="Z187" s="627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8">
        <v>4680115886797</v>
      </c>
      <c r="E188" s="628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30"/>
      <c r="R188" s="630"/>
      <c r="S188" s="630"/>
      <c r="T188" s="631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6"/>
      <c r="B189" s="636"/>
      <c r="C189" s="636"/>
      <c r="D189" s="636"/>
      <c r="E189" s="636"/>
      <c r="F189" s="636"/>
      <c r="G189" s="636"/>
      <c r="H189" s="636"/>
      <c r="I189" s="636"/>
      <c r="J189" s="636"/>
      <c r="K189" s="636"/>
      <c r="L189" s="636"/>
      <c r="M189" s="636"/>
      <c r="N189" s="636"/>
      <c r="O189" s="637"/>
      <c r="P189" s="633" t="s">
        <v>40</v>
      </c>
      <c r="Q189" s="634"/>
      <c r="R189" s="634"/>
      <c r="S189" s="634"/>
      <c r="T189" s="634"/>
      <c r="U189" s="634"/>
      <c r="V189" s="635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6"/>
      <c r="B190" s="636"/>
      <c r="C190" s="636"/>
      <c r="D190" s="636"/>
      <c r="E190" s="636"/>
      <c r="F190" s="636"/>
      <c r="G190" s="636"/>
      <c r="H190" s="636"/>
      <c r="I190" s="636"/>
      <c r="J190" s="636"/>
      <c r="K190" s="636"/>
      <c r="L190" s="636"/>
      <c r="M190" s="636"/>
      <c r="N190" s="636"/>
      <c r="O190" s="637"/>
      <c r="P190" s="633" t="s">
        <v>40</v>
      </c>
      <c r="Q190" s="634"/>
      <c r="R190" s="634"/>
      <c r="S190" s="634"/>
      <c r="T190" s="634"/>
      <c r="U190" s="634"/>
      <c r="V190" s="635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6" t="s">
        <v>330</v>
      </c>
      <c r="B191" s="626"/>
      <c r="C191" s="626"/>
      <c r="D191" s="626"/>
      <c r="E191" s="626"/>
      <c r="F191" s="626"/>
      <c r="G191" s="626"/>
      <c r="H191" s="626"/>
      <c r="I191" s="626"/>
      <c r="J191" s="626"/>
      <c r="K191" s="626"/>
      <c r="L191" s="626"/>
      <c r="M191" s="626"/>
      <c r="N191" s="626"/>
      <c r="O191" s="626"/>
      <c r="P191" s="626"/>
      <c r="Q191" s="626"/>
      <c r="R191" s="626"/>
      <c r="S191" s="626"/>
      <c r="T191" s="626"/>
      <c r="U191" s="626"/>
      <c r="V191" s="626"/>
      <c r="W191" s="626"/>
      <c r="X191" s="626"/>
      <c r="Y191" s="626"/>
      <c r="Z191" s="626"/>
      <c r="AA191" s="65"/>
      <c r="AB191" s="65"/>
      <c r="AC191" s="79"/>
    </row>
    <row r="192" spans="1:68" ht="14.25" customHeight="1" x14ac:dyDescent="0.25">
      <c r="A192" s="627" t="s">
        <v>112</v>
      </c>
      <c r="B192" s="627"/>
      <c r="C192" s="627"/>
      <c r="D192" s="627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T192" s="627"/>
      <c r="U192" s="627"/>
      <c r="V192" s="627"/>
      <c r="W192" s="627"/>
      <c r="X192" s="627"/>
      <c r="Y192" s="627"/>
      <c r="Z192" s="627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8">
        <v>4680115881402</v>
      </c>
      <c r="E193" s="628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30"/>
      <c r="R193" s="630"/>
      <c r="S193" s="630"/>
      <c r="T193" s="631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8">
        <v>4680115881396</v>
      </c>
      <c r="E194" s="628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102</v>
      </c>
      <c r="M194" s="38" t="s">
        <v>116</v>
      </c>
      <c r="N194" s="38"/>
      <c r="O194" s="37">
        <v>55</v>
      </c>
      <c r="P194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30"/>
      <c r="R194" s="630"/>
      <c r="S194" s="630"/>
      <c r="T194" s="631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103</v>
      </c>
      <c r="AK194" s="84">
        <v>37.799999999999997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6"/>
      <c r="B195" s="636"/>
      <c r="C195" s="636"/>
      <c r="D195" s="636"/>
      <c r="E195" s="636"/>
      <c r="F195" s="636"/>
      <c r="G195" s="636"/>
      <c r="H195" s="636"/>
      <c r="I195" s="636"/>
      <c r="J195" s="636"/>
      <c r="K195" s="636"/>
      <c r="L195" s="636"/>
      <c r="M195" s="636"/>
      <c r="N195" s="636"/>
      <c r="O195" s="637"/>
      <c r="P195" s="633" t="s">
        <v>40</v>
      </c>
      <c r="Q195" s="634"/>
      <c r="R195" s="634"/>
      <c r="S195" s="634"/>
      <c r="T195" s="634"/>
      <c r="U195" s="634"/>
      <c r="V195" s="635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6"/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7"/>
      <c r="P196" s="633" t="s">
        <v>40</v>
      </c>
      <c r="Q196" s="634"/>
      <c r="R196" s="634"/>
      <c r="S196" s="634"/>
      <c r="T196" s="634"/>
      <c r="U196" s="634"/>
      <c r="V196" s="635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7" t="s">
        <v>147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8">
        <v>4680115882935</v>
      </c>
      <c r="E198" s="628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30"/>
      <c r="R198" s="630"/>
      <c r="S198" s="630"/>
      <c r="T198" s="631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8">
        <v>4680115880764</v>
      </c>
      <c r="E199" s="628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30"/>
      <c r="R199" s="630"/>
      <c r="S199" s="630"/>
      <c r="T199" s="631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6"/>
      <c r="B200" s="636"/>
      <c r="C200" s="636"/>
      <c r="D200" s="636"/>
      <c r="E200" s="636"/>
      <c r="F200" s="636"/>
      <c r="G200" s="636"/>
      <c r="H200" s="636"/>
      <c r="I200" s="636"/>
      <c r="J200" s="636"/>
      <c r="K200" s="636"/>
      <c r="L200" s="636"/>
      <c r="M200" s="636"/>
      <c r="N200" s="636"/>
      <c r="O200" s="637"/>
      <c r="P200" s="633" t="s">
        <v>40</v>
      </c>
      <c r="Q200" s="634"/>
      <c r="R200" s="634"/>
      <c r="S200" s="634"/>
      <c r="T200" s="634"/>
      <c r="U200" s="634"/>
      <c r="V200" s="635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6"/>
      <c r="B201" s="636"/>
      <c r="C201" s="636"/>
      <c r="D201" s="636"/>
      <c r="E201" s="636"/>
      <c r="F201" s="636"/>
      <c r="G201" s="636"/>
      <c r="H201" s="636"/>
      <c r="I201" s="636"/>
      <c r="J201" s="636"/>
      <c r="K201" s="636"/>
      <c r="L201" s="636"/>
      <c r="M201" s="636"/>
      <c r="N201" s="636"/>
      <c r="O201" s="637"/>
      <c r="P201" s="633" t="s">
        <v>40</v>
      </c>
      <c r="Q201" s="634"/>
      <c r="R201" s="634"/>
      <c r="S201" s="634"/>
      <c r="T201" s="634"/>
      <c r="U201" s="634"/>
      <c r="V201" s="635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7" t="s">
        <v>78</v>
      </c>
      <c r="B202" s="627"/>
      <c r="C202" s="627"/>
      <c r="D202" s="627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T202" s="627"/>
      <c r="U202" s="627"/>
      <c r="V202" s="627"/>
      <c r="W202" s="627"/>
      <c r="X202" s="627"/>
      <c r="Y202" s="627"/>
      <c r="Z202" s="627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8">
        <v>4680115882683</v>
      </c>
      <c r="E203" s="628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121</v>
      </c>
      <c r="L203" s="37" t="s">
        <v>124</v>
      </c>
      <c r="M203" s="38" t="s">
        <v>82</v>
      </c>
      <c r="N203" s="38"/>
      <c r="O203" s="37">
        <v>40</v>
      </c>
      <c r="P203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30"/>
      <c r="R203" s="630"/>
      <c r="S203" s="630"/>
      <c r="T203" s="631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103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8">
        <v>4680115882690</v>
      </c>
      <c r="E204" s="628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124</v>
      </c>
      <c r="M204" s="38" t="s">
        <v>82</v>
      </c>
      <c r="N204" s="38"/>
      <c r="O204" s="37">
        <v>40</v>
      </c>
      <c r="P204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30"/>
      <c r="R204" s="630"/>
      <c r="S204" s="630"/>
      <c r="T204" s="631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103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8">
        <v>4680115882669</v>
      </c>
      <c r="E205" s="628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121</v>
      </c>
      <c r="L205" s="37" t="s">
        <v>124</v>
      </c>
      <c r="M205" s="38" t="s">
        <v>82</v>
      </c>
      <c r="N205" s="38"/>
      <c r="O205" s="37">
        <v>40</v>
      </c>
      <c r="P205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30"/>
      <c r="R205" s="630"/>
      <c r="S205" s="630"/>
      <c r="T205" s="631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103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8">
        <v>4680115882676</v>
      </c>
      <c r="E206" s="628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121</v>
      </c>
      <c r="L206" s="37" t="s">
        <v>124</v>
      </c>
      <c r="M206" s="38" t="s">
        <v>82</v>
      </c>
      <c r="N206" s="38"/>
      <c r="O206" s="37">
        <v>40</v>
      </c>
      <c r="P206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30"/>
      <c r="R206" s="630"/>
      <c r="S206" s="630"/>
      <c r="T206" s="631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103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8">
        <v>4680115884014</v>
      </c>
      <c r="E207" s="628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293</v>
      </c>
      <c r="M207" s="38" t="s">
        <v>82</v>
      </c>
      <c r="N207" s="38"/>
      <c r="O207" s="37">
        <v>40</v>
      </c>
      <c r="P207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30"/>
      <c r="R207" s="630"/>
      <c r="S207" s="630"/>
      <c r="T207" s="631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103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8">
        <v>4680115884007</v>
      </c>
      <c r="E208" s="628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293</v>
      </c>
      <c r="M208" s="38" t="s">
        <v>82</v>
      </c>
      <c r="N208" s="38"/>
      <c r="O208" s="37">
        <v>40</v>
      </c>
      <c r="P208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30"/>
      <c r="R208" s="630"/>
      <c r="S208" s="630"/>
      <c r="T208" s="631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103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8">
        <v>4680115884038</v>
      </c>
      <c r="E209" s="628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30"/>
      <c r="R209" s="630"/>
      <c r="S209" s="630"/>
      <c r="T209" s="631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8">
        <v>4680115884021</v>
      </c>
      <c r="E210" s="628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293</v>
      </c>
      <c r="M210" s="38" t="s">
        <v>82</v>
      </c>
      <c r="N210" s="38"/>
      <c r="O210" s="37">
        <v>40</v>
      </c>
      <c r="P210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30"/>
      <c r="R210" s="630"/>
      <c r="S210" s="630"/>
      <c r="T210" s="631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103</v>
      </c>
      <c r="AK210" s="84">
        <v>32.4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6"/>
      <c r="B211" s="636"/>
      <c r="C211" s="636"/>
      <c r="D211" s="636"/>
      <c r="E211" s="636"/>
      <c r="F211" s="636"/>
      <c r="G211" s="636"/>
      <c r="H211" s="636"/>
      <c r="I211" s="636"/>
      <c r="J211" s="636"/>
      <c r="K211" s="636"/>
      <c r="L211" s="636"/>
      <c r="M211" s="636"/>
      <c r="N211" s="636"/>
      <c r="O211" s="637"/>
      <c r="P211" s="633" t="s">
        <v>40</v>
      </c>
      <c r="Q211" s="634"/>
      <c r="R211" s="634"/>
      <c r="S211" s="634"/>
      <c r="T211" s="634"/>
      <c r="U211" s="634"/>
      <c r="V211" s="635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6"/>
      <c r="B212" s="636"/>
      <c r="C212" s="636"/>
      <c r="D212" s="636"/>
      <c r="E212" s="636"/>
      <c r="F212" s="636"/>
      <c r="G212" s="636"/>
      <c r="H212" s="636"/>
      <c r="I212" s="636"/>
      <c r="J212" s="636"/>
      <c r="K212" s="636"/>
      <c r="L212" s="636"/>
      <c r="M212" s="636"/>
      <c r="N212" s="636"/>
      <c r="O212" s="637"/>
      <c r="P212" s="633" t="s">
        <v>40</v>
      </c>
      <c r="Q212" s="634"/>
      <c r="R212" s="634"/>
      <c r="S212" s="634"/>
      <c r="T212" s="634"/>
      <c r="U212" s="634"/>
      <c r="V212" s="635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7" t="s">
        <v>88</v>
      </c>
      <c r="B213" s="627"/>
      <c r="C213" s="627"/>
      <c r="D213" s="627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R213" s="627"/>
      <c r="S213" s="627"/>
      <c r="T213" s="627"/>
      <c r="U213" s="627"/>
      <c r="V213" s="627"/>
      <c r="W213" s="627"/>
      <c r="X213" s="627"/>
      <c r="Y213" s="627"/>
      <c r="Z213" s="627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8">
        <v>4680115881594</v>
      </c>
      <c r="E214" s="628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30"/>
      <c r="R214" s="630"/>
      <c r="S214" s="630"/>
      <c r="T214" s="631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8">
        <v>4680115881617</v>
      </c>
      <c r="E215" s="628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30"/>
      <c r="R215" s="630"/>
      <c r="S215" s="630"/>
      <c r="T215" s="631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8">
        <v>4680115880573</v>
      </c>
      <c r="E216" s="628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30"/>
      <c r="R216" s="630"/>
      <c r="S216" s="630"/>
      <c r="T216" s="631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103</v>
      </c>
      <c r="AK216" s="84">
        <v>69.599999999999994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8">
        <v>4680115882195</v>
      </c>
      <c r="E217" s="628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102</v>
      </c>
      <c r="M217" s="38" t="s">
        <v>92</v>
      </c>
      <c r="N217" s="38"/>
      <c r="O217" s="37">
        <v>40</v>
      </c>
      <c r="P217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30"/>
      <c r="R217" s="630"/>
      <c r="S217" s="630"/>
      <c r="T217" s="631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103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8">
        <v>4680115882607</v>
      </c>
      <c r="E218" s="628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102</v>
      </c>
      <c r="M218" s="38" t="s">
        <v>98</v>
      </c>
      <c r="N218" s="38"/>
      <c r="O218" s="37">
        <v>45</v>
      </c>
      <c r="P218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30"/>
      <c r="R218" s="630"/>
      <c r="S218" s="630"/>
      <c r="T218" s="631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103</v>
      </c>
      <c r="AK218" s="84">
        <v>25.2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8">
        <v>4680115880092</v>
      </c>
      <c r="E219" s="628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102</v>
      </c>
      <c r="M219" s="38" t="s">
        <v>92</v>
      </c>
      <c r="N219" s="38"/>
      <c r="O219" s="37">
        <v>45</v>
      </c>
      <c r="P219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30"/>
      <c r="R219" s="630"/>
      <c r="S219" s="630"/>
      <c r="T219" s="631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103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8">
        <v>4680115880221</v>
      </c>
      <c r="E220" s="628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102</v>
      </c>
      <c r="M220" s="38" t="s">
        <v>92</v>
      </c>
      <c r="N220" s="38"/>
      <c r="O220" s="37">
        <v>45</v>
      </c>
      <c r="P220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30"/>
      <c r="R220" s="630"/>
      <c r="S220" s="630"/>
      <c r="T220" s="631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103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8">
        <v>4680115880504</v>
      </c>
      <c r="E221" s="628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102</v>
      </c>
      <c r="M221" s="38" t="s">
        <v>98</v>
      </c>
      <c r="N221" s="38"/>
      <c r="O221" s="37">
        <v>40</v>
      </c>
      <c r="P221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30"/>
      <c r="R221" s="630"/>
      <c r="S221" s="630"/>
      <c r="T221" s="631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103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8">
        <v>4680115882164</v>
      </c>
      <c r="E222" s="628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102</v>
      </c>
      <c r="M222" s="38" t="s">
        <v>92</v>
      </c>
      <c r="N222" s="38"/>
      <c r="O222" s="37">
        <v>40</v>
      </c>
      <c r="P222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30"/>
      <c r="R222" s="630"/>
      <c r="S222" s="630"/>
      <c r="T222" s="631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103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6"/>
      <c r="B223" s="636"/>
      <c r="C223" s="636"/>
      <c r="D223" s="636"/>
      <c r="E223" s="636"/>
      <c r="F223" s="636"/>
      <c r="G223" s="636"/>
      <c r="H223" s="636"/>
      <c r="I223" s="636"/>
      <c r="J223" s="636"/>
      <c r="K223" s="636"/>
      <c r="L223" s="636"/>
      <c r="M223" s="636"/>
      <c r="N223" s="636"/>
      <c r="O223" s="637"/>
      <c r="P223" s="633" t="s">
        <v>40</v>
      </c>
      <c r="Q223" s="634"/>
      <c r="R223" s="634"/>
      <c r="S223" s="634"/>
      <c r="T223" s="634"/>
      <c r="U223" s="634"/>
      <c r="V223" s="635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6"/>
      <c r="B224" s="636"/>
      <c r="C224" s="636"/>
      <c r="D224" s="636"/>
      <c r="E224" s="636"/>
      <c r="F224" s="636"/>
      <c r="G224" s="636"/>
      <c r="H224" s="636"/>
      <c r="I224" s="636"/>
      <c r="J224" s="636"/>
      <c r="K224" s="636"/>
      <c r="L224" s="636"/>
      <c r="M224" s="636"/>
      <c r="N224" s="636"/>
      <c r="O224" s="637"/>
      <c r="P224" s="633" t="s">
        <v>40</v>
      </c>
      <c r="Q224" s="634"/>
      <c r="R224" s="634"/>
      <c r="S224" s="634"/>
      <c r="T224" s="634"/>
      <c r="U224" s="634"/>
      <c r="V224" s="635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7" t="s">
        <v>172</v>
      </c>
      <c r="B225" s="627"/>
      <c r="C225" s="627"/>
      <c r="D225" s="627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T225" s="627"/>
      <c r="U225" s="627"/>
      <c r="V225" s="627"/>
      <c r="W225" s="627"/>
      <c r="X225" s="627"/>
      <c r="Y225" s="627"/>
      <c r="Z225" s="627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8">
        <v>4680115880818</v>
      </c>
      <c r="E226" s="628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102</v>
      </c>
      <c r="M226" s="38" t="s">
        <v>98</v>
      </c>
      <c r="N226" s="38"/>
      <c r="O226" s="37">
        <v>40</v>
      </c>
      <c r="P226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30"/>
      <c r="R226" s="630"/>
      <c r="S226" s="630"/>
      <c r="T226" s="631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103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8">
        <v>4680115880801</v>
      </c>
      <c r="E227" s="628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30"/>
      <c r="R227" s="630"/>
      <c r="S227" s="630"/>
      <c r="T227" s="631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6"/>
      <c r="B228" s="636"/>
      <c r="C228" s="636"/>
      <c r="D228" s="636"/>
      <c r="E228" s="636"/>
      <c r="F228" s="636"/>
      <c r="G228" s="636"/>
      <c r="H228" s="636"/>
      <c r="I228" s="636"/>
      <c r="J228" s="636"/>
      <c r="K228" s="636"/>
      <c r="L228" s="636"/>
      <c r="M228" s="636"/>
      <c r="N228" s="636"/>
      <c r="O228" s="637"/>
      <c r="P228" s="633" t="s">
        <v>40</v>
      </c>
      <c r="Q228" s="634"/>
      <c r="R228" s="634"/>
      <c r="S228" s="634"/>
      <c r="T228" s="634"/>
      <c r="U228" s="634"/>
      <c r="V228" s="635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6"/>
      <c r="B229" s="636"/>
      <c r="C229" s="636"/>
      <c r="D229" s="636"/>
      <c r="E229" s="636"/>
      <c r="F229" s="636"/>
      <c r="G229" s="636"/>
      <c r="H229" s="636"/>
      <c r="I229" s="636"/>
      <c r="J229" s="636"/>
      <c r="K229" s="636"/>
      <c r="L229" s="636"/>
      <c r="M229" s="636"/>
      <c r="N229" s="636"/>
      <c r="O229" s="637"/>
      <c r="P229" s="633" t="s">
        <v>40</v>
      </c>
      <c r="Q229" s="634"/>
      <c r="R229" s="634"/>
      <c r="S229" s="634"/>
      <c r="T229" s="634"/>
      <c r="U229" s="634"/>
      <c r="V229" s="635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6" t="s">
        <v>390</v>
      </c>
      <c r="B230" s="626"/>
      <c r="C230" s="626"/>
      <c r="D230" s="626"/>
      <c r="E230" s="626"/>
      <c r="F230" s="626"/>
      <c r="G230" s="626"/>
      <c r="H230" s="626"/>
      <c r="I230" s="626"/>
      <c r="J230" s="626"/>
      <c r="K230" s="626"/>
      <c r="L230" s="626"/>
      <c r="M230" s="626"/>
      <c r="N230" s="626"/>
      <c r="O230" s="626"/>
      <c r="P230" s="626"/>
      <c r="Q230" s="626"/>
      <c r="R230" s="626"/>
      <c r="S230" s="626"/>
      <c r="T230" s="626"/>
      <c r="U230" s="626"/>
      <c r="V230" s="626"/>
      <c r="W230" s="626"/>
      <c r="X230" s="626"/>
      <c r="Y230" s="626"/>
      <c r="Z230" s="626"/>
      <c r="AA230" s="65"/>
      <c r="AB230" s="65"/>
      <c r="AC230" s="79"/>
    </row>
    <row r="231" spans="1:68" ht="14.25" customHeight="1" x14ac:dyDescent="0.25">
      <c r="A231" s="627" t="s">
        <v>112</v>
      </c>
      <c r="B231" s="627"/>
      <c r="C231" s="627"/>
      <c r="D231" s="627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R231" s="627"/>
      <c r="S231" s="627"/>
      <c r="T231" s="627"/>
      <c r="U231" s="627"/>
      <c r="V231" s="627"/>
      <c r="W231" s="627"/>
      <c r="X231" s="627"/>
      <c r="Y231" s="627"/>
      <c r="Z231" s="627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8">
        <v>4680115884137</v>
      </c>
      <c r="E232" s="628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30"/>
      <c r="R232" s="630"/>
      <c r="S232" s="630"/>
      <c r="T232" s="631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8">
        <v>4680115884236</v>
      </c>
      <c r="E233" s="628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30"/>
      <c r="R233" s="630"/>
      <c r="S233" s="630"/>
      <c r="T233" s="631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8">
        <v>4680115884175</v>
      </c>
      <c r="E234" s="628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30"/>
      <c r="R234" s="630"/>
      <c r="S234" s="630"/>
      <c r="T234" s="631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8">
        <v>4680115884144</v>
      </c>
      <c r="E235" s="628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121</v>
      </c>
      <c r="L235" s="37" t="s">
        <v>124</v>
      </c>
      <c r="M235" s="38" t="s">
        <v>116</v>
      </c>
      <c r="N235" s="38"/>
      <c r="O235" s="37">
        <v>55</v>
      </c>
      <c r="P235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30"/>
      <c r="R235" s="630"/>
      <c r="S235" s="630"/>
      <c r="T235" s="631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103</v>
      </c>
      <c r="AK235" s="84">
        <v>48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8">
        <v>4680115884144</v>
      </c>
      <c r="E236" s="628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121</v>
      </c>
      <c r="L236" s="37" t="s">
        <v>45</v>
      </c>
      <c r="M236" s="38" t="s">
        <v>116</v>
      </c>
      <c r="N236" s="38"/>
      <c r="O236" s="37">
        <v>55</v>
      </c>
      <c r="P236" s="7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0"/>
      <c r="R236" s="630"/>
      <c r="S236" s="630"/>
      <c r="T236" s="631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8">
        <v>4680115886551</v>
      </c>
      <c r="E237" s="628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121</v>
      </c>
      <c r="L237" s="37" t="s">
        <v>45</v>
      </c>
      <c r="M237" s="38" t="s">
        <v>116</v>
      </c>
      <c r="N237" s="38"/>
      <c r="O237" s="37">
        <v>55</v>
      </c>
      <c r="P237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30"/>
      <c r="R237" s="630"/>
      <c r="S237" s="630"/>
      <c r="T237" s="631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8">
        <v>4680115887282</v>
      </c>
      <c r="E238" s="628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30"/>
      <c r="R238" s="630"/>
      <c r="S238" s="630"/>
      <c r="T238" s="631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8">
        <v>4680115884205</v>
      </c>
      <c r="E239" s="628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121</v>
      </c>
      <c r="L239" s="37" t="s">
        <v>124</v>
      </c>
      <c r="M239" s="38" t="s">
        <v>116</v>
      </c>
      <c r="N239" s="38"/>
      <c r="O239" s="37">
        <v>55</v>
      </c>
      <c r="P239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30"/>
      <c r="R239" s="630"/>
      <c r="S239" s="630"/>
      <c r="T239" s="631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103</v>
      </c>
      <c r="AK239" s="84">
        <v>48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8">
        <v>4680115884205</v>
      </c>
      <c r="E240" s="628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121</v>
      </c>
      <c r="L240" s="37" t="s">
        <v>45</v>
      </c>
      <c r="M240" s="38" t="s">
        <v>116</v>
      </c>
      <c r="N240" s="38"/>
      <c r="O240" s="37">
        <v>55</v>
      </c>
      <c r="P240" s="75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0"/>
      <c r="R240" s="630"/>
      <c r="S240" s="630"/>
      <c r="T240" s="631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6"/>
      <c r="B241" s="636"/>
      <c r="C241" s="636"/>
      <c r="D241" s="636"/>
      <c r="E241" s="636"/>
      <c r="F241" s="636"/>
      <c r="G241" s="636"/>
      <c r="H241" s="636"/>
      <c r="I241" s="636"/>
      <c r="J241" s="636"/>
      <c r="K241" s="636"/>
      <c r="L241" s="636"/>
      <c r="M241" s="636"/>
      <c r="N241" s="636"/>
      <c r="O241" s="637"/>
      <c r="P241" s="633" t="s">
        <v>40</v>
      </c>
      <c r="Q241" s="634"/>
      <c r="R241" s="634"/>
      <c r="S241" s="634"/>
      <c r="T241" s="634"/>
      <c r="U241" s="634"/>
      <c r="V241" s="635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6"/>
      <c r="B242" s="636"/>
      <c r="C242" s="636"/>
      <c r="D242" s="636"/>
      <c r="E242" s="636"/>
      <c r="F242" s="636"/>
      <c r="G242" s="636"/>
      <c r="H242" s="636"/>
      <c r="I242" s="636"/>
      <c r="J242" s="636"/>
      <c r="K242" s="636"/>
      <c r="L242" s="636"/>
      <c r="M242" s="636"/>
      <c r="N242" s="636"/>
      <c r="O242" s="637"/>
      <c r="P242" s="633" t="s">
        <v>40</v>
      </c>
      <c r="Q242" s="634"/>
      <c r="R242" s="634"/>
      <c r="S242" s="634"/>
      <c r="T242" s="634"/>
      <c r="U242" s="634"/>
      <c r="V242" s="635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7" t="s">
        <v>147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8">
        <v>4680115885981</v>
      </c>
      <c r="E244" s="628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30"/>
      <c r="R244" s="630"/>
      <c r="S244" s="630"/>
      <c r="T244" s="631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6"/>
      <c r="B245" s="636"/>
      <c r="C245" s="636"/>
      <c r="D245" s="636"/>
      <c r="E245" s="636"/>
      <c r="F245" s="636"/>
      <c r="G245" s="636"/>
      <c r="H245" s="636"/>
      <c r="I245" s="636"/>
      <c r="J245" s="636"/>
      <c r="K245" s="636"/>
      <c r="L245" s="636"/>
      <c r="M245" s="636"/>
      <c r="N245" s="636"/>
      <c r="O245" s="637"/>
      <c r="P245" s="633" t="s">
        <v>40</v>
      </c>
      <c r="Q245" s="634"/>
      <c r="R245" s="634"/>
      <c r="S245" s="634"/>
      <c r="T245" s="634"/>
      <c r="U245" s="634"/>
      <c r="V245" s="63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6"/>
      <c r="B246" s="636"/>
      <c r="C246" s="636"/>
      <c r="D246" s="636"/>
      <c r="E246" s="636"/>
      <c r="F246" s="636"/>
      <c r="G246" s="636"/>
      <c r="H246" s="636"/>
      <c r="I246" s="636"/>
      <c r="J246" s="636"/>
      <c r="K246" s="636"/>
      <c r="L246" s="636"/>
      <c r="M246" s="636"/>
      <c r="N246" s="636"/>
      <c r="O246" s="637"/>
      <c r="P246" s="633" t="s">
        <v>40</v>
      </c>
      <c r="Q246" s="634"/>
      <c r="R246" s="634"/>
      <c r="S246" s="634"/>
      <c r="T246" s="634"/>
      <c r="U246" s="634"/>
      <c r="V246" s="63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7" t="s">
        <v>415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8">
        <v>4680115886803</v>
      </c>
      <c r="E248" s="628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30"/>
      <c r="R248" s="630"/>
      <c r="S248" s="630"/>
      <c r="T248" s="631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6"/>
      <c r="B249" s="636"/>
      <c r="C249" s="636"/>
      <c r="D249" s="636"/>
      <c r="E249" s="636"/>
      <c r="F249" s="636"/>
      <c r="G249" s="636"/>
      <c r="H249" s="636"/>
      <c r="I249" s="636"/>
      <c r="J249" s="636"/>
      <c r="K249" s="636"/>
      <c r="L249" s="636"/>
      <c r="M249" s="636"/>
      <c r="N249" s="636"/>
      <c r="O249" s="637"/>
      <c r="P249" s="633" t="s">
        <v>40</v>
      </c>
      <c r="Q249" s="634"/>
      <c r="R249" s="634"/>
      <c r="S249" s="634"/>
      <c r="T249" s="634"/>
      <c r="U249" s="634"/>
      <c r="V249" s="635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6"/>
      <c r="B250" s="636"/>
      <c r="C250" s="636"/>
      <c r="D250" s="636"/>
      <c r="E250" s="636"/>
      <c r="F250" s="636"/>
      <c r="G250" s="636"/>
      <c r="H250" s="636"/>
      <c r="I250" s="636"/>
      <c r="J250" s="636"/>
      <c r="K250" s="636"/>
      <c r="L250" s="636"/>
      <c r="M250" s="636"/>
      <c r="N250" s="636"/>
      <c r="O250" s="637"/>
      <c r="P250" s="633" t="s">
        <v>40</v>
      </c>
      <c r="Q250" s="634"/>
      <c r="R250" s="634"/>
      <c r="S250" s="634"/>
      <c r="T250" s="634"/>
      <c r="U250" s="634"/>
      <c r="V250" s="635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7" t="s">
        <v>419</v>
      </c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R251" s="627"/>
      <c r="S251" s="627"/>
      <c r="T251" s="627"/>
      <c r="U251" s="627"/>
      <c r="V251" s="627"/>
      <c r="W251" s="627"/>
      <c r="X251" s="627"/>
      <c r="Y251" s="627"/>
      <c r="Z251" s="627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8">
        <v>4680115886704</v>
      </c>
      <c r="E252" s="628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30"/>
      <c r="R252" s="630"/>
      <c r="S252" s="630"/>
      <c r="T252" s="631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8">
        <v>4680115886681</v>
      </c>
      <c r="E253" s="628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30"/>
      <c r="R253" s="630"/>
      <c r="S253" s="630"/>
      <c r="T253" s="631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8">
        <v>4680115886735</v>
      </c>
      <c r="E254" s="628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30"/>
      <c r="R254" s="630"/>
      <c r="S254" s="630"/>
      <c r="T254" s="631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8">
        <v>4680115886728</v>
      </c>
      <c r="E255" s="628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30"/>
      <c r="R255" s="630"/>
      <c r="S255" s="630"/>
      <c r="T255" s="631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8">
        <v>4680115886711</v>
      </c>
      <c r="E256" s="628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30"/>
      <c r="R256" s="630"/>
      <c r="S256" s="630"/>
      <c r="T256" s="631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6"/>
      <c r="B257" s="636"/>
      <c r="C257" s="636"/>
      <c r="D257" s="636"/>
      <c r="E257" s="636"/>
      <c r="F257" s="636"/>
      <c r="G257" s="636"/>
      <c r="H257" s="636"/>
      <c r="I257" s="636"/>
      <c r="J257" s="636"/>
      <c r="K257" s="636"/>
      <c r="L257" s="636"/>
      <c r="M257" s="636"/>
      <c r="N257" s="636"/>
      <c r="O257" s="637"/>
      <c r="P257" s="633" t="s">
        <v>40</v>
      </c>
      <c r="Q257" s="634"/>
      <c r="R257" s="634"/>
      <c r="S257" s="634"/>
      <c r="T257" s="634"/>
      <c r="U257" s="634"/>
      <c r="V257" s="635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6"/>
      <c r="B258" s="636"/>
      <c r="C258" s="636"/>
      <c r="D258" s="636"/>
      <c r="E258" s="636"/>
      <c r="F258" s="636"/>
      <c r="G258" s="636"/>
      <c r="H258" s="636"/>
      <c r="I258" s="636"/>
      <c r="J258" s="636"/>
      <c r="K258" s="636"/>
      <c r="L258" s="636"/>
      <c r="M258" s="636"/>
      <c r="N258" s="636"/>
      <c r="O258" s="637"/>
      <c r="P258" s="633" t="s">
        <v>40</v>
      </c>
      <c r="Q258" s="634"/>
      <c r="R258" s="634"/>
      <c r="S258" s="634"/>
      <c r="T258" s="634"/>
      <c r="U258" s="634"/>
      <c r="V258" s="635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6" t="s">
        <v>431</v>
      </c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6"/>
      <c r="P259" s="626"/>
      <c r="Q259" s="626"/>
      <c r="R259" s="626"/>
      <c r="S259" s="626"/>
      <c r="T259" s="626"/>
      <c r="U259" s="626"/>
      <c r="V259" s="626"/>
      <c r="W259" s="626"/>
      <c r="X259" s="626"/>
      <c r="Y259" s="626"/>
      <c r="Z259" s="626"/>
      <c r="AA259" s="65"/>
      <c r="AB259" s="65"/>
      <c r="AC259" s="79"/>
    </row>
    <row r="260" spans="1:68" ht="14.25" customHeight="1" x14ac:dyDescent="0.25">
      <c r="A260" s="627" t="s">
        <v>112</v>
      </c>
      <c r="B260" s="627"/>
      <c r="C260" s="627"/>
      <c r="D260" s="627"/>
      <c r="E260" s="627"/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S260" s="627"/>
      <c r="T260" s="627"/>
      <c r="U260" s="627"/>
      <c r="V260" s="627"/>
      <c r="W260" s="627"/>
      <c r="X260" s="627"/>
      <c r="Y260" s="627"/>
      <c r="Z260" s="627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8">
        <v>4680115885837</v>
      </c>
      <c r="E261" s="628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118</v>
      </c>
      <c r="M261" s="38" t="s">
        <v>116</v>
      </c>
      <c r="N261" s="38"/>
      <c r="O261" s="37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30"/>
      <c r="R261" s="630"/>
      <c r="S261" s="630"/>
      <c r="T261" s="631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103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8">
        <v>4680115885851</v>
      </c>
      <c r="E262" s="628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30"/>
      <c r="R262" s="630"/>
      <c r="S262" s="630"/>
      <c r="T262" s="631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8">
        <v>4680115885806</v>
      </c>
      <c r="E263" s="628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118</v>
      </c>
      <c r="M263" s="38" t="s">
        <v>116</v>
      </c>
      <c r="N263" s="38"/>
      <c r="O263" s="37">
        <v>55</v>
      </c>
      <c r="P263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30"/>
      <c r="R263" s="630"/>
      <c r="S263" s="630"/>
      <c r="T263" s="631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103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8">
        <v>4680115885844</v>
      </c>
      <c r="E264" s="628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121</v>
      </c>
      <c r="L264" s="37" t="s">
        <v>45</v>
      </c>
      <c r="M264" s="38" t="s">
        <v>116</v>
      </c>
      <c r="N264" s="38"/>
      <c r="O264" s="37">
        <v>55</v>
      </c>
      <c r="P264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30"/>
      <c r="R264" s="630"/>
      <c r="S264" s="630"/>
      <c r="T264" s="631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8">
        <v>4680115885820</v>
      </c>
      <c r="E265" s="628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121</v>
      </c>
      <c r="L265" s="37" t="s">
        <v>124</v>
      </c>
      <c r="M265" s="38" t="s">
        <v>116</v>
      </c>
      <c r="N265" s="38"/>
      <c r="O265" s="37">
        <v>55</v>
      </c>
      <c r="P265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30"/>
      <c r="R265" s="630"/>
      <c r="S265" s="630"/>
      <c r="T265" s="631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103</v>
      </c>
      <c r="AK265" s="84">
        <v>48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6"/>
      <c r="B266" s="636"/>
      <c r="C266" s="636"/>
      <c r="D266" s="636"/>
      <c r="E266" s="636"/>
      <c r="F266" s="636"/>
      <c r="G266" s="636"/>
      <c r="H266" s="636"/>
      <c r="I266" s="636"/>
      <c r="J266" s="636"/>
      <c r="K266" s="636"/>
      <c r="L266" s="636"/>
      <c r="M266" s="636"/>
      <c r="N266" s="636"/>
      <c r="O266" s="637"/>
      <c r="P266" s="633" t="s">
        <v>40</v>
      </c>
      <c r="Q266" s="634"/>
      <c r="R266" s="634"/>
      <c r="S266" s="634"/>
      <c r="T266" s="634"/>
      <c r="U266" s="634"/>
      <c r="V266" s="635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6"/>
      <c r="B267" s="636"/>
      <c r="C267" s="636"/>
      <c r="D267" s="636"/>
      <c r="E267" s="636"/>
      <c r="F267" s="636"/>
      <c r="G267" s="636"/>
      <c r="H267" s="636"/>
      <c r="I267" s="636"/>
      <c r="J267" s="636"/>
      <c r="K267" s="636"/>
      <c r="L267" s="636"/>
      <c r="M267" s="636"/>
      <c r="N267" s="636"/>
      <c r="O267" s="637"/>
      <c r="P267" s="633" t="s">
        <v>40</v>
      </c>
      <c r="Q267" s="634"/>
      <c r="R267" s="634"/>
      <c r="S267" s="634"/>
      <c r="T267" s="634"/>
      <c r="U267" s="634"/>
      <c r="V267" s="635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6" t="s">
        <v>447</v>
      </c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6"/>
      <c r="P268" s="626"/>
      <c r="Q268" s="626"/>
      <c r="R268" s="626"/>
      <c r="S268" s="626"/>
      <c r="T268" s="626"/>
      <c r="U268" s="626"/>
      <c r="V268" s="626"/>
      <c r="W268" s="626"/>
      <c r="X268" s="626"/>
      <c r="Y268" s="626"/>
      <c r="Z268" s="626"/>
      <c r="AA268" s="65"/>
      <c r="AB268" s="65"/>
      <c r="AC268" s="79"/>
    </row>
    <row r="269" spans="1:68" ht="14.25" customHeight="1" x14ac:dyDescent="0.25">
      <c r="A269" s="627" t="s">
        <v>112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8">
        <v>4607091383423</v>
      </c>
      <c r="E270" s="628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30"/>
      <c r="R270" s="630"/>
      <c r="S270" s="630"/>
      <c r="T270" s="631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8">
        <v>4680115886957</v>
      </c>
      <c r="E271" s="628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30"/>
      <c r="R271" s="630"/>
      <c r="S271" s="630"/>
      <c r="T271" s="631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8">
        <v>4680115885660</v>
      </c>
      <c r="E272" s="628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30"/>
      <c r="R272" s="630"/>
      <c r="S272" s="630"/>
      <c r="T272" s="631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8">
        <v>4680115886773</v>
      </c>
      <c r="E273" s="628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30"/>
      <c r="R273" s="630"/>
      <c r="S273" s="630"/>
      <c r="T273" s="631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6"/>
      <c r="B274" s="636"/>
      <c r="C274" s="636"/>
      <c r="D274" s="636"/>
      <c r="E274" s="636"/>
      <c r="F274" s="636"/>
      <c r="G274" s="636"/>
      <c r="H274" s="636"/>
      <c r="I274" s="636"/>
      <c r="J274" s="636"/>
      <c r="K274" s="636"/>
      <c r="L274" s="636"/>
      <c r="M274" s="636"/>
      <c r="N274" s="636"/>
      <c r="O274" s="637"/>
      <c r="P274" s="633" t="s">
        <v>40</v>
      </c>
      <c r="Q274" s="634"/>
      <c r="R274" s="634"/>
      <c r="S274" s="634"/>
      <c r="T274" s="634"/>
      <c r="U274" s="634"/>
      <c r="V274" s="635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6"/>
      <c r="B275" s="636"/>
      <c r="C275" s="636"/>
      <c r="D275" s="636"/>
      <c r="E275" s="636"/>
      <c r="F275" s="636"/>
      <c r="G275" s="636"/>
      <c r="H275" s="636"/>
      <c r="I275" s="636"/>
      <c r="J275" s="636"/>
      <c r="K275" s="636"/>
      <c r="L275" s="636"/>
      <c r="M275" s="636"/>
      <c r="N275" s="636"/>
      <c r="O275" s="637"/>
      <c r="P275" s="633" t="s">
        <v>40</v>
      </c>
      <c r="Q275" s="634"/>
      <c r="R275" s="634"/>
      <c r="S275" s="634"/>
      <c r="T275" s="634"/>
      <c r="U275" s="634"/>
      <c r="V275" s="635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6" t="s">
        <v>458</v>
      </c>
      <c r="B276" s="626"/>
      <c r="C276" s="626"/>
      <c r="D276" s="626"/>
      <c r="E276" s="626"/>
      <c r="F276" s="626"/>
      <c r="G276" s="626"/>
      <c r="H276" s="626"/>
      <c r="I276" s="626"/>
      <c r="J276" s="626"/>
      <c r="K276" s="626"/>
      <c r="L276" s="626"/>
      <c r="M276" s="626"/>
      <c r="N276" s="626"/>
      <c r="O276" s="626"/>
      <c r="P276" s="626"/>
      <c r="Q276" s="626"/>
      <c r="R276" s="626"/>
      <c r="S276" s="626"/>
      <c r="T276" s="626"/>
      <c r="U276" s="626"/>
      <c r="V276" s="626"/>
      <c r="W276" s="626"/>
      <c r="X276" s="626"/>
      <c r="Y276" s="626"/>
      <c r="Z276" s="626"/>
      <c r="AA276" s="65"/>
      <c r="AB276" s="65"/>
      <c r="AC276" s="79"/>
    </row>
    <row r="277" spans="1:68" ht="14.25" customHeight="1" x14ac:dyDescent="0.25">
      <c r="A277" s="627" t="s">
        <v>88</v>
      </c>
      <c r="B277" s="627"/>
      <c r="C277" s="627"/>
      <c r="D277" s="627"/>
      <c r="E277" s="627"/>
      <c r="F277" s="627"/>
      <c r="G277" s="627"/>
      <c r="H277" s="627"/>
      <c r="I277" s="627"/>
      <c r="J277" s="627"/>
      <c r="K277" s="627"/>
      <c r="L277" s="627"/>
      <c r="M277" s="627"/>
      <c r="N277" s="627"/>
      <c r="O277" s="627"/>
      <c r="P277" s="627"/>
      <c r="Q277" s="627"/>
      <c r="R277" s="627"/>
      <c r="S277" s="627"/>
      <c r="T277" s="627"/>
      <c r="U277" s="627"/>
      <c r="V277" s="627"/>
      <c r="W277" s="627"/>
      <c r="X277" s="627"/>
      <c r="Y277" s="627"/>
      <c r="Z277" s="627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8">
        <v>4680115886186</v>
      </c>
      <c r="E278" s="628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30"/>
      <c r="R278" s="630"/>
      <c r="S278" s="630"/>
      <c r="T278" s="631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8">
        <v>4680115881228</v>
      </c>
      <c r="E279" s="62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98</v>
      </c>
      <c r="N279" s="38"/>
      <c r="O279" s="37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30"/>
      <c r="R279" s="630"/>
      <c r="S279" s="630"/>
      <c r="T279" s="631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8">
        <v>4680115881211</v>
      </c>
      <c r="E280" s="628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102</v>
      </c>
      <c r="M280" s="38" t="s">
        <v>92</v>
      </c>
      <c r="N280" s="38"/>
      <c r="O280" s="37">
        <v>45</v>
      </c>
      <c r="P280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30"/>
      <c r="R280" s="630"/>
      <c r="S280" s="630"/>
      <c r="T280" s="631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103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6"/>
      <c r="B281" s="636"/>
      <c r="C281" s="636"/>
      <c r="D281" s="636"/>
      <c r="E281" s="636"/>
      <c r="F281" s="636"/>
      <c r="G281" s="636"/>
      <c r="H281" s="636"/>
      <c r="I281" s="636"/>
      <c r="J281" s="636"/>
      <c r="K281" s="636"/>
      <c r="L281" s="636"/>
      <c r="M281" s="636"/>
      <c r="N281" s="636"/>
      <c r="O281" s="637"/>
      <c r="P281" s="633" t="s">
        <v>40</v>
      </c>
      <c r="Q281" s="634"/>
      <c r="R281" s="634"/>
      <c r="S281" s="634"/>
      <c r="T281" s="634"/>
      <c r="U281" s="634"/>
      <c r="V281" s="635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6"/>
      <c r="B282" s="636"/>
      <c r="C282" s="636"/>
      <c r="D282" s="636"/>
      <c r="E282" s="636"/>
      <c r="F282" s="636"/>
      <c r="G282" s="636"/>
      <c r="H282" s="636"/>
      <c r="I282" s="636"/>
      <c r="J282" s="636"/>
      <c r="K282" s="636"/>
      <c r="L282" s="636"/>
      <c r="M282" s="636"/>
      <c r="N282" s="636"/>
      <c r="O282" s="637"/>
      <c r="P282" s="633" t="s">
        <v>40</v>
      </c>
      <c r="Q282" s="634"/>
      <c r="R282" s="634"/>
      <c r="S282" s="634"/>
      <c r="T282" s="634"/>
      <c r="U282" s="634"/>
      <c r="V282" s="635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6" t="s">
        <v>467</v>
      </c>
      <c r="B283" s="626"/>
      <c r="C283" s="626"/>
      <c r="D283" s="626"/>
      <c r="E283" s="626"/>
      <c r="F283" s="626"/>
      <c r="G283" s="626"/>
      <c r="H283" s="626"/>
      <c r="I283" s="626"/>
      <c r="J283" s="626"/>
      <c r="K283" s="626"/>
      <c r="L283" s="626"/>
      <c r="M283" s="626"/>
      <c r="N283" s="626"/>
      <c r="O283" s="626"/>
      <c r="P283" s="626"/>
      <c r="Q283" s="626"/>
      <c r="R283" s="626"/>
      <c r="S283" s="626"/>
      <c r="T283" s="626"/>
      <c r="U283" s="626"/>
      <c r="V283" s="626"/>
      <c r="W283" s="626"/>
      <c r="X283" s="626"/>
      <c r="Y283" s="626"/>
      <c r="Z283" s="626"/>
      <c r="AA283" s="65"/>
      <c r="AB283" s="65"/>
      <c r="AC283" s="79"/>
    </row>
    <row r="284" spans="1:68" ht="14.25" customHeight="1" x14ac:dyDescent="0.25">
      <c r="A284" s="627" t="s">
        <v>78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8">
        <v>4680115880344</v>
      </c>
      <c r="E285" s="628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30"/>
      <c r="R285" s="630"/>
      <c r="S285" s="630"/>
      <c r="T285" s="631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8">
        <v>4680115886919</v>
      </c>
      <c r="E286" s="628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30"/>
      <c r="R286" s="630"/>
      <c r="S286" s="630"/>
      <c r="T286" s="631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6"/>
      <c r="B287" s="636"/>
      <c r="C287" s="636"/>
      <c r="D287" s="636"/>
      <c r="E287" s="636"/>
      <c r="F287" s="636"/>
      <c r="G287" s="636"/>
      <c r="H287" s="636"/>
      <c r="I287" s="636"/>
      <c r="J287" s="636"/>
      <c r="K287" s="636"/>
      <c r="L287" s="636"/>
      <c r="M287" s="636"/>
      <c r="N287" s="636"/>
      <c r="O287" s="637"/>
      <c r="P287" s="633" t="s">
        <v>40</v>
      </c>
      <c r="Q287" s="634"/>
      <c r="R287" s="634"/>
      <c r="S287" s="634"/>
      <c r="T287" s="634"/>
      <c r="U287" s="634"/>
      <c r="V287" s="63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6"/>
      <c r="B288" s="636"/>
      <c r="C288" s="636"/>
      <c r="D288" s="636"/>
      <c r="E288" s="636"/>
      <c r="F288" s="636"/>
      <c r="G288" s="636"/>
      <c r="H288" s="636"/>
      <c r="I288" s="636"/>
      <c r="J288" s="636"/>
      <c r="K288" s="636"/>
      <c r="L288" s="636"/>
      <c r="M288" s="636"/>
      <c r="N288" s="636"/>
      <c r="O288" s="637"/>
      <c r="P288" s="633" t="s">
        <v>40</v>
      </c>
      <c r="Q288" s="634"/>
      <c r="R288" s="634"/>
      <c r="S288" s="634"/>
      <c r="T288" s="634"/>
      <c r="U288" s="634"/>
      <c r="V288" s="63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7" t="s">
        <v>88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8">
        <v>4680115884618</v>
      </c>
      <c r="E290" s="628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121</v>
      </c>
      <c r="L290" s="37" t="s">
        <v>124</v>
      </c>
      <c r="M290" s="38" t="s">
        <v>92</v>
      </c>
      <c r="N290" s="38"/>
      <c r="O290" s="37">
        <v>45</v>
      </c>
      <c r="P290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30"/>
      <c r="R290" s="630"/>
      <c r="S290" s="630"/>
      <c r="T290" s="631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103</v>
      </c>
      <c r="AK290" s="84">
        <v>43.2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8">
        <v>4680115887114</v>
      </c>
      <c r="E291" s="628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121</v>
      </c>
      <c r="L291" s="37" t="s">
        <v>45</v>
      </c>
      <c r="M291" s="38" t="s">
        <v>92</v>
      </c>
      <c r="N291" s="38"/>
      <c r="O291" s="37">
        <v>45</v>
      </c>
      <c r="P291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30"/>
      <c r="R291" s="630"/>
      <c r="S291" s="630"/>
      <c r="T291" s="631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6"/>
      <c r="B292" s="636"/>
      <c r="C292" s="636"/>
      <c r="D292" s="636"/>
      <c r="E292" s="636"/>
      <c r="F292" s="636"/>
      <c r="G292" s="636"/>
      <c r="H292" s="636"/>
      <c r="I292" s="636"/>
      <c r="J292" s="636"/>
      <c r="K292" s="636"/>
      <c r="L292" s="636"/>
      <c r="M292" s="636"/>
      <c r="N292" s="636"/>
      <c r="O292" s="637"/>
      <c r="P292" s="633" t="s">
        <v>40</v>
      </c>
      <c r="Q292" s="634"/>
      <c r="R292" s="634"/>
      <c r="S292" s="634"/>
      <c r="T292" s="634"/>
      <c r="U292" s="634"/>
      <c r="V292" s="635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6"/>
      <c r="B293" s="636"/>
      <c r="C293" s="636"/>
      <c r="D293" s="636"/>
      <c r="E293" s="636"/>
      <c r="F293" s="636"/>
      <c r="G293" s="636"/>
      <c r="H293" s="636"/>
      <c r="I293" s="636"/>
      <c r="J293" s="636"/>
      <c r="K293" s="636"/>
      <c r="L293" s="636"/>
      <c r="M293" s="636"/>
      <c r="N293" s="636"/>
      <c r="O293" s="637"/>
      <c r="P293" s="633" t="s">
        <v>40</v>
      </c>
      <c r="Q293" s="634"/>
      <c r="R293" s="634"/>
      <c r="S293" s="634"/>
      <c r="T293" s="634"/>
      <c r="U293" s="634"/>
      <c r="V293" s="635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6" t="s">
        <v>480</v>
      </c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6"/>
      <c r="P294" s="626"/>
      <c r="Q294" s="626"/>
      <c r="R294" s="626"/>
      <c r="S294" s="626"/>
      <c r="T294" s="626"/>
      <c r="U294" s="626"/>
      <c r="V294" s="626"/>
      <c r="W294" s="626"/>
      <c r="X294" s="626"/>
      <c r="Y294" s="626"/>
      <c r="Z294" s="626"/>
      <c r="AA294" s="65"/>
      <c r="AB294" s="65"/>
      <c r="AC294" s="79"/>
    </row>
    <row r="295" spans="1:68" ht="14.25" customHeight="1" x14ac:dyDescent="0.25">
      <c r="A295" s="627" t="s">
        <v>112</v>
      </c>
      <c r="B295" s="627"/>
      <c r="C295" s="627"/>
      <c r="D295" s="627"/>
      <c r="E295" s="627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T295" s="627"/>
      <c r="U295" s="627"/>
      <c r="V295" s="627"/>
      <c r="W295" s="627"/>
      <c r="X295" s="627"/>
      <c r="Y295" s="627"/>
      <c r="Z295" s="627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4301012126</v>
      </c>
      <c r="D296" s="628">
        <v>4607091386004</v>
      </c>
      <c r="E296" s="628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116</v>
      </c>
      <c r="N296" s="38"/>
      <c r="O296" s="37">
        <v>55</v>
      </c>
      <c r="P296" s="77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630"/>
      <c r="R296" s="630"/>
      <c r="S296" s="630"/>
      <c r="T296" s="631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1" si="26"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 t="shared" ref="BM296:BM301" si="27">IFERROR(X296*I296/H296,"0")</f>
        <v>0</v>
      </c>
      <c r="BN296" s="78">
        <f t="shared" ref="BN296:BN301" si="28">IFERROR(Y296*I296/H296,"0")</f>
        <v>0</v>
      </c>
      <c r="BO296" s="78">
        <f t="shared" ref="BO296:BO301" si="29">IFERROR(1/J296*(X296/H296),"0")</f>
        <v>0</v>
      </c>
      <c r="BP296" s="78">
        <f t="shared" ref="BP296:BP301" si="30"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628">
        <v>4680115885615</v>
      </c>
      <c r="E297" s="628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118</v>
      </c>
      <c r="M297" s="38" t="s">
        <v>92</v>
      </c>
      <c r="N297" s="38"/>
      <c r="O297" s="37">
        <v>55</v>
      </c>
      <c r="P297" s="7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0"/>
      <c r="R297" s="630"/>
      <c r="S297" s="630"/>
      <c r="T297" s="631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103</v>
      </c>
      <c r="AK297" s="84">
        <v>86.4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628">
        <v>4680115885646</v>
      </c>
      <c r="E298" s="628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118</v>
      </c>
      <c r="M298" s="38" t="s">
        <v>116</v>
      </c>
      <c r="N298" s="38"/>
      <c r="O298" s="37">
        <v>55</v>
      </c>
      <c r="P298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0"/>
      <c r="R298" s="630"/>
      <c r="S298" s="630"/>
      <c r="T298" s="631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103</v>
      </c>
      <c r="AK298" s="84">
        <v>86.4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628">
        <v>4680115885554</v>
      </c>
      <c r="E299" s="628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92</v>
      </c>
      <c r="N299" s="38"/>
      <c r="O299" s="37">
        <v>55</v>
      </c>
      <c r="P299" s="77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0"/>
      <c r="R299" s="630"/>
      <c r="S299" s="630"/>
      <c r="T299" s="631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628">
        <v>4680115885622</v>
      </c>
      <c r="E300" s="62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121</v>
      </c>
      <c r="L300" s="37" t="s">
        <v>124</v>
      </c>
      <c r="M300" s="38" t="s">
        <v>116</v>
      </c>
      <c r="N300" s="38"/>
      <c r="O300" s="37">
        <v>55</v>
      </c>
      <c r="P300" s="77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0"/>
      <c r="R300" s="630"/>
      <c r="S300" s="630"/>
      <c r="T300" s="631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103</v>
      </c>
      <c r="AK300" s="84">
        <v>48</v>
      </c>
      <c r="BB300" s="371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628">
        <v>4680115885608</v>
      </c>
      <c r="E301" s="62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121</v>
      </c>
      <c r="L301" s="37" t="s">
        <v>124</v>
      </c>
      <c r="M301" s="38" t="s">
        <v>116</v>
      </c>
      <c r="N301" s="38"/>
      <c r="O301" s="37">
        <v>55</v>
      </c>
      <c r="P301" s="7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0"/>
      <c r="R301" s="630"/>
      <c r="S301" s="630"/>
      <c r="T301" s="631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103</v>
      </c>
      <c r="AK301" s="84">
        <v>48</v>
      </c>
      <c r="BB301" s="373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x14ac:dyDescent="0.2">
      <c r="A302" s="636"/>
      <c r="B302" s="636"/>
      <c r="C302" s="636"/>
      <c r="D302" s="636"/>
      <c r="E302" s="636"/>
      <c r="F302" s="636"/>
      <c r="G302" s="636"/>
      <c r="H302" s="636"/>
      <c r="I302" s="636"/>
      <c r="J302" s="636"/>
      <c r="K302" s="636"/>
      <c r="L302" s="636"/>
      <c r="M302" s="636"/>
      <c r="N302" s="636"/>
      <c r="O302" s="637"/>
      <c r="P302" s="633" t="s">
        <v>40</v>
      </c>
      <c r="Q302" s="634"/>
      <c r="R302" s="634"/>
      <c r="S302" s="634"/>
      <c r="T302" s="634"/>
      <c r="U302" s="634"/>
      <c r="V302" s="635"/>
      <c r="W302" s="42" t="s">
        <v>39</v>
      </c>
      <c r="X302" s="43">
        <f>IFERROR(X296/H296,"0")+IFERROR(X297/H297,"0")+IFERROR(X298/H298,"0")+IFERROR(X299/H299,"0")+IFERROR(X300/H300,"0")+IFERROR(X301/H301,"0")</f>
        <v>0</v>
      </c>
      <c r="Y302" s="43">
        <f>IFERROR(Y296/H296,"0")+IFERROR(Y297/H297,"0")+IFERROR(Y298/H298,"0")+IFERROR(Y299/H299,"0")+IFERROR(Y300/H300,"0")+IFERROR(Y301/H301,"0")</f>
        <v>0</v>
      </c>
      <c r="Z302" s="43">
        <f>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6"/>
      <c r="B303" s="636"/>
      <c r="C303" s="636"/>
      <c r="D303" s="636"/>
      <c r="E303" s="636"/>
      <c r="F303" s="636"/>
      <c r="G303" s="636"/>
      <c r="H303" s="636"/>
      <c r="I303" s="636"/>
      <c r="J303" s="636"/>
      <c r="K303" s="636"/>
      <c r="L303" s="636"/>
      <c r="M303" s="636"/>
      <c r="N303" s="636"/>
      <c r="O303" s="637"/>
      <c r="P303" s="633" t="s">
        <v>40</v>
      </c>
      <c r="Q303" s="634"/>
      <c r="R303" s="634"/>
      <c r="S303" s="634"/>
      <c r="T303" s="634"/>
      <c r="U303" s="634"/>
      <c r="V303" s="635"/>
      <c r="W303" s="42" t="s">
        <v>0</v>
      </c>
      <c r="X303" s="43">
        <f>IFERROR(SUM(X296:X301),"0")</f>
        <v>0</v>
      </c>
      <c r="Y303" s="43">
        <f>IFERROR(SUM(Y296:Y301),"0")</f>
        <v>0</v>
      </c>
      <c r="Z303" s="42"/>
      <c r="AA303" s="67"/>
      <c r="AB303" s="67"/>
      <c r="AC303" s="67"/>
    </row>
    <row r="304" spans="1:68" ht="14.25" customHeight="1" x14ac:dyDescent="0.25">
      <c r="A304" s="627" t="s">
        <v>78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628">
        <v>4607091387193</v>
      </c>
      <c r="E305" s="628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121</v>
      </c>
      <c r="L305" s="37" t="s">
        <v>124</v>
      </c>
      <c r="M305" s="38" t="s">
        <v>82</v>
      </c>
      <c r="N305" s="38"/>
      <c r="O305" s="37">
        <v>35</v>
      </c>
      <c r="P305" s="78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0"/>
      <c r="R305" s="630"/>
      <c r="S305" s="630"/>
      <c r="T305" s="631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103</v>
      </c>
      <c r="AK305" s="84">
        <v>50.4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628">
        <v>4607091387230</v>
      </c>
      <c r="E306" s="628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121</v>
      </c>
      <c r="L306" s="37" t="s">
        <v>124</v>
      </c>
      <c r="M306" s="38" t="s">
        <v>82</v>
      </c>
      <c r="N306" s="38"/>
      <c r="O306" s="37">
        <v>40</v>
      </c>
      <c r="P306" s="7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0"/>
      <c r="R306" s="630"/>
      <c r="S306" s="630"/>
      <c r="T306" s="631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103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628">
        <v>4607091387292</v>
      </c>
      <c r="E307" s="628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121</v>
      </c>
      <c r="L307" s="37" t="s">
        <v>45</v>
      </c>
      <c r="M307" s="38" t="s">
        <v>82</v>
      </c>
      <c r="N307" s="38"/>
      <c r="O307" s="37">
        <v>45</v>
      </c>
      <c r="P307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0"/>
      <c r="R307" s="630"/>
      <c r="S307" s="630"/>
      <c r="T307" s="631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628">
        <v>4607091387285</v>
      </c>
      <c r="E308" s="628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293</v>
      </c>
      <c r="M308" s="38" t="s">
        <v>82</v>
      </c>
      <c r="N308" s="38"/>
      <c r="O308" s="37">
        <v>40</v>
      </c>
      <c r="P308" s="7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0"/>
      <c r="R308" s="630"/>
      <c r="S308" s="630"/>
      <c r="T308" s="631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103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628">
        <v>4607091389845</v>
      </c>
      <c r="E309" s="628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293</v>
      </c>
      <c r="M309" s="38" t="s">
        <v>82</v>
      </c>
      <c r="N309" s="38"/>
      <c r="O309" s="37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0"/>
      <c r="R309" s="630"/>
      <c r="S309" s="630"/>
      <c r="T309" s="631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103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628">
        <v>4607091383836</v>
      </c>
      <c r="E310" s="628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102</v>
      </c>
      <c r="M310" s="38" t="s">
        <v>82</v>
      </c>
      <c r="N310" s="38"/>
      <c r="O310" s="37">
        <v>40</v>
      </c>
      <c r="P310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0"/>
      <c r="R310" s="630"/>
      <c r="S310" s="630"/>
      <c r="T310" s="631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103</v>
      </c>
      <c r="AK310" s="84">
        <v>25.2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6"/>
      <c r="B311" s="636"/>
      <c r="C311" s="636"/>
      <c r="D311" s="636"/>
      <c r="E311" s="636"/>
      <c r="F311" s="636"/>
      <c r="G311" s="636"/>
      <c r="H311" s="636"/>
      <c r="I311" s="636"/>
      <c r="J311" s="636"/>
      <c r="K311" s="636"/>
      <c r="L311" s="636"/>
      <c r="M311" s="636"/>
      <c r="N311" s="636"/>
      <c r="O311" s="637"/>
      <c r="P311" s="633" t="s">
        <v>40</v>
      </c>
      <c r="Q311" s="634"/>
      <c r="R311" s="634"/>
      <c r="S311" s="634"/>
      <c r="T311" s="634"/>
      <c r="U311" s="634"/>
      <c r="V311" s="635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6"/>
      <c r="B312" s="636"/>
      <c r="C312" s="636"/>
      <c r="D312" s="636"/>
      <c r="E312" s="636"/>
      <c r="F312" s="636"/>
      <c r="G312" s="636"/>
      <c r="H312" s="636"/>
      <c r="I312" s="636"/>
      <c r="J312" s="636"/>
      <c r="K312" s="636"/>
      <c r="L312" s="636"/>
      <c r="M312" s="636"/>
      <c r="N312" s="636"/>
      <c r="O312" s="637"/>
      <c r="P312" s="633" t="s">
        <v>40</v>
      </c>
      <c r="Q312" s="634"/>
      <c r="R312" s="634"/>
      <c r="S312" s="634"/>
      <c r="T312" s="634"/>
      <c r="U312" s="634"/>
      <c r="V312" s="635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7" t="s">
        <v>88</v>
      </c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7"/>
      <c r="W313" s="627"/>
      <c r="X313" s="627"/>
      <c r="Y313" s="627"/>
      <c r="Z313" s="627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628">
        <v>4607091387766</v>
      </c>
      <c r="E314" s="628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117</v>
      </c>
      <c r="L314" s="37" t="s">
        <v>118</v>
      </c>
      <c r="M314" s="38" t="s">
        <v>92</v>
      </c>
      <c r="N314" s="38"/>
      <c r="O314" s="37">
        <v>40</v>
      </c>
      <c r="P314" s="7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0"/>
      <c r="R314" s="630"/>
      <c r="S314" s="630"/>
      <c r="T314" s="631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103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628">
        <v>4607091387957</v>
      </c>
      <c r="E315" s="628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0"/>
      <c r="R315" s="630"/>
      <c r="S315" s="630"/>
      <c r="T315" s="631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628">
        <v>4607091387964</v>
      </c>
      <c r="E316" s="628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0"/>
      <c r="R316" s="630"/>
      <c r="S316" s="630"/>
      <c r="T316" s="631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628">
        <v>4680115884588</v>
      </c>
      <c r="E317" s="628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102</v>
      </c>
      <c r="M317" s="38" t="s">
        <v>92</v>
      </c>
      <c r="N317" s="38"/>
      <c r="O317" s="37">
        <v>40</v>
      </c>
      <c r="P317" s="7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0"/>
      <c r="R317" s="630"/>
      <c r="S317" s="630"/>
      <c r="T317" s="631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103</v>
      </c>
      <c r="AK317" s="84">
        <v>42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6"/>
      <c r="B318" s="636"/>
      <c r="C318" s="636"/>
      <c r="D318" s="636"/>
      <c r="E318" s="636"/>
      <c r="F318" s="636"/>
      <c r="G318" s="636"/>
      <c r="H318" s="636"/>
      <c r="I318" s="636"/>
      <c r="J318" s="636"/>
      <c r="K318" s="636"/>
      <c r="L318" s="636"/>
      <c r="M318" s="636"/>
      <c r="N318" s="636"/>
      <c r="O318" s="637"/>
      <c r="P318" s="633" t="s">
        <v>40</v>
      </c>
      <c r="Q318" s="634"/>
      <c r="R318" s="634"/>
      <c r="S318" s="634"/>
      <c r="T318" s="634"/>
      <c r="U318" s="634"/>
      <c r="V318" s="635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6"/>
      <c r="B319" s="636"/>
      <c r="C319" s="636"/>
      <c r="D319" s="636"/>
      <c r="E319" s="636"/>
      <c r="F319" s="636"/>
      <c r="G319" s="636"/>
      <c r="H319" s="636"/>
      <c r="I319" s="636"/>
      <c r="J319" s="636"/>
      <c r="K319" s="636"/>
      <c r="L319" s="636"/>
      <c r="M319" s="636"/>
      <c r="N319" s="636"/>
      <c r="O319" s="637"/>
      <c r="P319" s="633" t="s">
        <v>40</v>
      </c>
      <c r="Q319" s="634"/>
      <c r="R319" s="634"/>
      <c r="S319" s="634"/>
      <c r="T319" s="634"/>
      <c r="U319" s="634"/>
      <c r="V319" s="635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7" t="s">
        <v>172</v>
      </c>
      <c r="B320" s="627"/>
      <c r="C320" s="627"/>
      <c r="D320" s="627"/>
      <c r="E320" s="627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27"/>
      <c r="U320" s="627"/>
      <c r="V320" s="627"/>
      <c r="W320" s="627"/>
      <c r="X320" s="627"/>
      <c r="Y320" s="627"/>
      <c r="Z320" s="627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628">
        <v>4607091380880</v>
      </c>
      <c r="E321" s="628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0"/>
      <c r="R321" s="630"/>
      <c r="S321" s="630"/>
      <c r="T321" s="631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103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628">
        <v>4607091384482</v>
      </c>
      <c r="E322" s="628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0"/>
      <c r="R322" s="630"/>
      <c r="S322" s="630"/>
      <c r="T322" s="631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103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628">
        <v>4607091380897</v>
      </c>
      <c r="E323" s="628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117</v>
      </c>
      <c r="L323" s="37" t="s">
        <v>118</v>
      </c>
      <c r="M323" s="38" t="s">
        <v>98</v>
      </c>
      <c r="N323" s="38"/>
      <c r="O323" s="37">
        <v>30</v>
      </c>
      <c r="P323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0"/>
      <c r="R323" s="630"/>
      <c r="S323" s="630"/>
      <c r="T323" s="631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103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6"/>
      <c r="B324" s="636"/>
      <c r="C324" s="636"/>
      <c r="D324" s="636"/>
      <c r="E324" s="636"/>
      <c r="F324" s="636"/>
      <c r="G324" s="636"/>
      <c r="H324" s="636"/>
      <c r="I324" s="636"/>
      <c r="J324" s="636"/>
      <c r="K324" s="636"/>
      <c r="L324" s="636"/>
      <c r="M324" s="636"/>
      <c r="N324" s="636"/>
      <c r="O324" s="637"/>
      <c r="P324" s="633" t="s">
        <v>40</v>
      </c>
      <c r="Q324" s="634"/>
      <c r="R324" s="634"/>
      <c r="S324" s="634"/>
      <c r="T324" s="634"/>
      <c r="U324" s="634"/>
      <c r="V324" s="635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6"/>
      <c r="B325" s="636"/>
      <c r="C325" s="636"/>
      <c r="D325" s="636"/>
      <c r="E325" s="636"/>
      <c r="F325" s="636"/>
      <c r="G325" s="636"/>
      <c r="H325" s="636"/>
      <c r="I325" s="636"/>
      <c r="J325" s="636"/>
      <c r="K325" s="636"/>
      <c r="L325" s="636"/>
      <c r="M325" s="636"/>
      <c r="N325" s="636"/>
      <c r="O325" s="637"/>
      <c r="P325" s="633" t="s">
        <v>40</v>
      </c>
      <c r="Q325" s="634"/>
      <c r="R325" s="634"/>
      <c r="S325" s="634"/>
      <c r="T325" s="634"/>
      <c r="U325" s="634"/>
      <c r="V325" s="635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7" t="s">
        <v>104</v>
      </c>
      <c r="B326" s="627"/>
      <c r="C326" s="627"/>
      <c r="D326" s="627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27"/>
      <c r="U326" s="627"/>
      <c r="V326" s="627"/>
      <c r="W326" s="627"/>
      <c r="X326" s="627"/>
      <c r="Y326" s="627"/>
      <c r="Z326" s="627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628">
        <v>4607091388381</v>
      </c>
      <c r="E327" s="628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121</v>
      </c>
      <c r="L327" s="37" t="s">
        <v>45</v>
      </c>
      <c r="M327" s="38" t="s">
        <v>109</v>
      </c>
      <c r="N327" s="38"/>
      <c r="O327" s="37">
        <v>180</v>
      </c>
      <c r="P327" s="7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0"/>
      <c r="R327" s="630"/>
      <c r="S327" s="630"/>
      <c r="T327" s="631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628">
        <v>4607091388374</v>
      </c>
      <c r="E328" s="628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121</v>
      </c>
      <c r="L328" s="37" t="s">
        <v>45</v>
      </c>
      <c r="M328" s="38" t="s">
        <v>109</v>
      </c>
      <c r="N328" s="38"/>
      <c r="O328" s="37">
        <v>180</v>
      </c>
      <c r="P328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0"/>
      <c r="R328" s="630"/>
      <c r="S328" s="630"/>
      <c r="T328" s="631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628">
        <v>4607091383102</v>
      </c>
      <c r="E329" s="628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109</v>
      </c>
      <c r="N329" s="38"/>
      <c r="O329" s="37">
        <v>180</v>
      </c>
      <c r="P329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0"/>
      <c r="R329" s="630"/>
      <c r="S329" s="630"/>
      <c r="T329" s="631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628">
        <v>4607091388404</v>
      </c>
      <c r="E330" s="628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102</v>
      </c>
      <c r="M330" s="38" t="s">
        <v>109</v>
      </c>
      <c r="N330" s="38"/>
      <c r="O330" s="37">
        <v>180</v>
      </c>
      <c r="P330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0"/>
      <c r="R330" s="630"/>
      <c r="S330" s="630"/>
      <c r="T330" s="631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103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6"/>
      <c r="B331" s="636"/>
      <c r="C331" s="636"/>
      <c r="D331" s="636"/>
      <c r="E331" s="636"/>
      <c r="F331" s="636"/>
      <c r="G331" s="636"/>
      <c r="H331" s="636"/>
      <c r="I331" s="636"/>
      <c r="J331" s="636"/>
      <c r="K331" s="636"/>
      <c r="L331" s="636"/>
      <c r="M331" s="636"/>
      <c r="N331" s="636"/>
      <c r="O331" s="637"/>
      <c r="P331" s="633" t="s">
        <v>40</v>
      </c>
      <c r="Q331" s="634"/>
      <c r="R331" s="634"/>
      <c r="S331" s="634"/>
      <c r="T331" s="634"/>
      <c r="U331" s="634"/>
      <c r="V331" s="635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6"/>
      <c r="B332" s="636"/>
      <c r="C332" s="636"/>
      <c r="D332" s="636"/>
      <c r="E332" s="636"/>
      <c r="F332" s="636"/>
      <c r="G332" s="636"/>
      <c r="H332" s="636"/>
      <c r="I332" s="636"/>
      <c r="J332" s="636"/>
      <c r="K332" s="636"/>
      <c r="L332" s="636"/>
      <c r="M332" s="636"/>
      <c r="N332" s="636"/>
      <c r="O332" s="637"/>
      <c r="P332" s="633" t="s">
        <v>40</v>
      </c>
      <c r="Q332" s="634"/>
      <c r="R332" s="634"/>
      <c r="S332" s="634"/>
      <c r="T332" s="634"/>
      <c r="U332" s="634"/>
      <c r="V332" s="635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7" t="s">
        <v>545</v>
      </c>
      <c r="B333" s="627"/>
      <c r="C333" s="627"/>
      <c r="D333" s="627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27"/>
      <c r="U333" s="627"/>
      <c r="V333" s="627"/>
      <c r="W333" s="627"/>
      <c r="X333" s="627"/>
      <c r="Y333" s="627"/>
      <c r="Z333" s="627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628">
        <v>4680115881808</v>
      </c>
      <c r="E334" s="628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0"/>
      <c r="R334" s="630"/>
      <c r="S334" s="630"/>
      <c r="T334" s="631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628">
        <v>4680115881822</v>
      </c>
      <c r="E335" s="628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7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0"/>
      <c r="R335" s="630"/>
      <c r="S335" s="630"/>
      <c r="T335" s="631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628">
        <v>4680115880016</v>
      </c>
      <c r="E336" s="628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7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0"/>
      <c r="R336" s="630"/>
      <c r="S336" s="630"/>
      <c r="T336" s="631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6"/>
      <c r="B337" s="636"/>
      <c r="C337" s="636"/>
      <c r="D337" s="636"/>
      <c r="E337" s="636"/>
      <c r="F337" s="636"/>
      <c r="G337" s="636"/>
      <c r="H337" s="636"/>
      <c r="I337" s="636"/>
      <c r="J337" s="636"/>
      <c r="K337" s="636"/>
      <c r="L337" s="636"/>
      <c r="M337" s="636"/>
      <c r="N337" s="636"/>
      <c r="O337" s="637"/>
      <c r="P337" s="633" t="s">
        <v>40</v>
      </c>
      <c r="Q337" s="634"/>
      <c r="R337" s="634"/>
      <c r="S337" s="634"/>
      <c r="T337" s="634"/>
      <c r="U337" s="634"/>
      <c r="V337" s="63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6"/>
      <c r="B338" s="636"/>
      <c r="C338" s="636"/>
      <c r="D338" s="636"/>
      <c r="E338" s="636"/>
      <c r="F338" s="636"/>
      <c r="G338" s="636"/>
      <c r="H338" s="636"/>
      <c r="I338" s="636"/>
      <c r="J338" s="636"/>
      <c r="K338" s="636"/>
      <c r="L338" s="636"/>
      <c r="M338" s="636"/>
      <c r="N338" s="636"/>
      <c r="O338" s="637"/>
      <c r="P338" s="633" t="s">
        <v>40</v>
      </c>
      <c r="Q338" s="634"/>
      <c r="R338" s="634"/>
      <c r="S338" s="634"/>
      <c r="T338" s="634"/>
      <c r="U338" s="634"/>
      <c r="V338" s="63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6" t="s">
        <v>554</v>
      </c>
      <c r="B339" s="626"/>
      <c r="C339" s="626"/>
      <c r="D339" s="626"/>
      <c r="E339" s="626"/>
      <c r="F339" s="626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  <c r="Z339" s="626"/>
      <c r="AA339" s="65"/>
      <c r="AB339" s="65"/>
      <c r="AC339" s="79"/>
    </row>
    <row r="340" spans="1:68" ht="14.25" customHeight="1" x14ac:dyDescent="0.25">
      <c r="A340" s="627" t="s">
        <v>88</v>
      </c>
      <c r="B340" s="627"/>
      <c r="C340" s="627"/>
      <c r="D340" s="627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27"/>
      <c r="U340" s="627"/>
      <c r="V340" s="627"/>
      <c r="W340" s="627"/>
      <c r="X340" s="627"/>
      <c r="Y340" s="627"/>
      <c r="Z340" s="627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628">
        <v>4607091387919</v>
      </c>
      <c r="E341" s="628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117</v>
      </c>
      <c r="L341" s="37" t="s">
        <v>118</v>
      </c>
      <c r="M341" s="38" t="s">
        <v>98</v>
      </c>
      <c r="N341" s="38"/>
      <c r="O341" s="37">
        <v>45</v>
      </c>
      <c r="P341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0"/>
      <c r="R341" s="630"/>
      <c r="S341" s="630"/>
      <c r="T341" s="631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103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628">
        <v>4680115883604</v>
      </c>
      <c r="E342" s="628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102</v>
      </c>
      <c r="M342" s="38" t="s">
        <v>92</v>
      </c>
      <c r="N342" s="38"/>
      <c r="O342" s="37">
        <v>45</v>
      </c>
      <c r="P342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0"/>
      <c r="R342" s="630"/>
      <c r="S342" s="630"/>
      <c r="T342" s="631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103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628">
        <v>4680115883567</v>
      </c>
      <c r="E343" s="628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102</v>
      </c>
      <c r="M343" s="38" t="s">
        <v>98</v>
      </c>
      <c r="N343" s="38"/>
      <c r="O343" s="37">
        <v>40</v>
      </c>
      <c r="P343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0"/>
      <c r="R343" s="630"/>
      <c r="S343" s="630"/>
      <c r="T343" s="631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103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6"/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7"/>
      <c r="P344" s="633" t="s">
        <v>40</v>
      </c>
      <c r="Q344" s="634"/>
      <c r="R344" s="634"/>
      <c r="S344" s="634"/>
      <c r="T344" s="634"/>
      <c r="U344" s="634"/>
      <c r="V344" s="635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6"/>
      <c r="B345" s="636"/>
      <c r="C345" s="636"/>
      <c r="D345" s="636"/>
      <c r="E345" s="636"/>
      <c r="F345" s="636"/>
      <c r="G345" s="636"/>
      <c r="H345" s="636"/>
      <c r="I345" s="636"/>
      <c r="J345" s="636"/>
      <c r="K345" s="636"/>
      <c r="L345" s="636"/>
      <c r="M345" s="636"/>
      <c r="N345" s="636"/>
      <c r="O345" s="637"/>
      <c r="P345" s="633" t="s">
        <v>40</v>
      </c>
      <c r="Q345" s="634"/>
      <c r="R345" s="634"/>
      <c r="S345" s="634"/>
      <c r="T345" s="634"/>
      <c r="U345" s="634"/>
      <c r="V345" s="635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5" t="s">
        <v>564</v>
      </c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5"/>
      <c r="P346" s="625"/>
      <c r="Q346" s="625"/>
      <c r="R346" s="625"/>
      <c r="S346" s="625"/>
      <c r="T346" s="625"/>
      <c r="U346" s="625"/>
      <c r="V346" s="625"/>
      <c r="W346" s="625"/>
      <c r="X346" s="625"/>
      <c r="Y346" s="625"/>
      <c r="Z346" s="625"/>
      <c r="AA346" s="54"/>
      <c r="AB346" s="54"/>
      <c r="AC346" s="54"/>
    </row>
    <row r="347" spans="1:68" ht="16.5" customHeight="1" x14ac:dyDescent="0.25">
      <c r="A347" s="626" t="s">
        <v>565</v>
      </c>
      <c r="B347" s="626"/>
      <c r="C347" s="626"/>
      <c r="D347" s="626"/>
      <c r="E347" s="626"/>
      <c r="F347" s="626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  <c r="Z347" s="626"/>
      <c r="AA347" s="65"/>
      <c r="AB347" s="65"/>
      <c r="AC347" s="79"/>
    </row>
    <row r="348" spans="1:68" ht="14.25" customHeight="1" x14ac:dyDescent="0.25">
      <c r="A348" s="627" t="s">
        <v>112</v>
      </c>
      <c r="B348" s="627"/>
      <c r="C348" s="627"/>
      <c r="D348" s="627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R348" s="627"/>
      <c r="S348" s="627"/>
      <c r="T348" s="627"/>
      <c r="U348" s="627"/>
      <c r="V348" s="627"/>
      <c r="W348" s="627"/>
      <c r="X348" s="627"/>
      <c r="Y348" s="627"/>
      <c r="Z348" s="627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628">
        <v>4680115884847</v>
      </c>
      <c r="E349" s="628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45</v>
      </c>
      <c r="M349" s="38" t="s">
        <v>82</v>
      </c>
      <c r="N349" s="38"/>
      <c r="O349" s="37">
        <v>60</v>
      </c>
      <c r="P349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0"/>
      <c r="R349" s="630"/>
      <c r="S349" s="630"/>
      <c r="T349" s="631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628">
        <v>4680115884854</v>
      </c>
      <c r="E350" s="628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0"/>
      <c r="R350" s="630"/>
      <c r="S350" s="630"/>
      <c r="T350" s="631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628">
        <v>4680115884830</v>
      </c>
      <c r="E351" s="628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30"/>
      <c r="R351" s="630"/>
      <c r="S351" s="630"/>
      <c r="T351" s="631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4301012215</v>
      </c>
      <c r="D352" s="628">
        <v>4680115887046</v>
      </c>
      <c r="E352" s="628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98</v>
      </c>
      <c r="N352" s="38"/>
      <c r="O352" s="37">
        <v>60</v>
      </c>
      <c r="P352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630"/>
      <c r="R352" s="630"/>
      <c r="S352" s="630"/>
      <c r="T352" s="631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628">
        <v>4680115882638</v>
      </c>
      <c r="E353" s="628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121</v>
      </c>
      <c r="L353" s="37" t="s">
        <v>45</v>
      </c>
      <c r="M353" s="38" t="s">
        <v>116</v>
      </c>
      <c r="N353" s="38"/>
      <c r="O353" s="37">
        <v>90</v>
      </c>
      <c r="P353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0"/>
      <c r="R353" s="630"/>
      <c r="S353" s="630"/>
      <c r="T353" s="631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628">
        <v>4680115884922</v>
      </c>
      <c r="E354" s="628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121</v>
      </c>
      <c r="L354" s="37" t="s">
        <v>45</v>
      </c>
      <c r="M354" s="38" t="s">
        <v>82</v>
      </c>
      <c r="N354" s="38"/>
      <c r="O354" s="37">
        <v>60</v>
      </c>
      <c r="P354" s="8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0"/>
      <c r="R354" s="630"/>
      <c r="S354" s="630"/>
      <c r="T354" s="631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628">
        <v>4680115884861</v>
      </c>
      <c r="E355" s="628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121</v>
      </c>
      <c r="L355" s="37" t="s">
        <v>124</v>
      </c>
      <c r="M355" s="38" t="s">
        <v>82</v>
      </c>
      <c r="N355" s="38"/>
      <c r="O355" s="37">
        <v>60</v>
      </c>
      <c r="P355" s="8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0"/>
      <c r="R355" s="630"/>
      <c r="S355" s="630"/>
      <c r="T355" s="631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103</v>
      </c>
      <c r="AK355" s="84">
        <v>60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6"/>
      <c r="B356" s="636"/>
      <c r="C356" s="636"/>
      <c r="D356" s="636"/>
      <c r="E356" s="636"/>
      <c r="F356" s="636"/>
      <c r="G356" s="636"/>
      <c r="H356" s="636"/>
      <c r="I356" s="636"/>
      <c r="J356" s="636"/>
      <c r="K356" s="636"/>
      <c r="L356" s="636"/>
      <c r="M356" s="636"/>
      <c r="N356" s="636"/>
      <c r="O356" s="637"/>
      <c r="P356" s="633" t="s">
        <v>40</v>
      </c>
      <c r="Q356" s="634"/>
      <c r="R356" s="634"/>
      <c r="S356" s="634"/>
      <c r="T356" s="634"/>
      <c r="U356" s="634"/>
      <c r="V356" s="635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6"/>
      <c r="B357" s="636"/>
      <c r="C357" s="636"/>
      <c r="D357" s="636"/>
      <c r="E357" s="636"/>
      <c r="F357" s="636"/>
      <c r="G357" s="636"/>
      <c r="H357" s="636"/>
      <c r="I357" s="636"/>
      <c r="J357" s="636"/>
      <c r="K357" s="636"/>
      <c r="L357" s="636"/>
      <c r="M357" s="636"/>
      <c r="N357" s="636"/>
      <c r="O357" s="637"/>
      <c r="P357" s="633" t="s">
        <v>40</v>
      </c>
      <c r="Q357" s="634"/>
      <c r="R357" s="634"/>
      <c r="S357" s="634"/>
      <c r="T357" s="634"/>
      <c r="U357" s="634"/>
      <c r="V357" s="635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7" t="s">
        <v>147</v>
      </c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7"/>
      <c r="P358" s="627"/>
      <c r="Q358" s="627"/>
      <c r="R358" s="627"/>
      <c r="S358" s="627"/>
      <c r="T358" s="627"/>
      <c r="U358" s="627"/>
      <c r="V358" s="627"/>
      <c r="W358" s="627"/>
      <c r="X358" s="627"/>
      <c r="Y358" s="627"/>
      <c r="Z358" s="627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628">
        <v>4607091383980</v>
      </c>
      <c r="E359" s="628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117</v>
      </c>
      <c r="L359" s="37" t="s">
        <v>45</v>
      </c>
      <c r="M359" s="38" t="s">
        <v>116</v>
      </c>
      <c r="N359" s="38"/>
      <c r="O359" s="37">
        <v>50</v>
      </c>
      <c r="P359" s="8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0"/>
      <c r="R359" s="630"/>
      <c r="S359" s="630"/>
      <c r="T359" s="631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628">
        <v>4607091384178</v>
      </c>
      <c r="E360" s="628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121</v>
      </c>
      <c r="L360" s="37" t="s">
        <v>45</v>
      </c>
      <c r="M360" s="38" t="s">
        <v>116</v>
      </c>
      <c r="N360" s="38"/>
      <c r="O360" s="37">
        <v>50</v>
      </c>
      <c r="P360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0"/>
      <c r="R360" s="630"/>
      <c r="S360" s="630"/>
      <c r="T360" s="631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6"/>
      <c r="B361" s="636"/>
      <c r="C361" s="636"/>
      <c r="D361" s="636"/>
      <c r="E361" s="636"/>
      <c r="F361" s="636"/>
      <c r="G361" s="636"/>
      <c r="H361" s="636"/>
      <c r="I361" s="636"/>
      <c r="J361" s="636"/>
      <c r="K361" s="636"/>
      <c r="L361" s="636"/>
      <c r="M361" s="636"/>
      <c r="N361" s="636"/>
      <c r="O361" s="637"/>
      <c r="P361" s="633" t="s">
        <v>40</v>
      </c>
      <c r="Q361" s="634"/>
      <c r="R361" s="634"/>
      <c r="S361" s="634"/>
      <c r="T361" s="634"/>
      <c r="U361" s="634"/>
      <c r="V361" s="635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6"/>
      <c r="B362" s="636"/>
      <c r="C362" s="636"/>
      <c r="D362" s="636"/>
      <c r="E362" s="636"/>
      <c r="F362" s="636"/>
      <c r="G362" s="636"/>
      <c r="H362" s="636"/>
      <c r="I362" s="636"/>
      <c r="J362" s="636"/>
      <c r="K362" s="636"/>
      <c r="L362" s="636"/>
      <c r="M362" s="636"/>
      <c r="N362" s="636"/>
      <c r="O362" s="637"/>
      <c r="P362" s="633" t="s">
        <v>40</v>
      </c>
      <c r="Q362" s="634"/>
      <c r="R362" s="634"/>
      <c r="S362" s="634"/>
      <c r="T362" s="634"/>
      <c r="U362" s="634"/>
      <c r="V362" s="635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7" t="s">
        <v>88</v>
      </c>
      <c r="B363" s="627"/>
      <c r="C363" s="627"/>
      <c r="D363" s="627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7"/>
      <c r="V363" s="627"/>
      <c r="W363" s="627"/>
      <c r="X363" s="627"/>
      <c r="Y363" s="627"/>
      <c r="Z363" s="627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628">
        <v>4607091383928</v>
      </c>
      <c r="E364" s="628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117</v>
      </c>
      <c r="L364" s="37" t="s">
        <v>118</v>
      </c>
      <c r="M364" s="38" t="s">
        <v>92</v>
      </c>
      <c r="N364" s="38"/>
      <c r="O364" s="37">
        <v>40</v>
      </c>
      <c r="P364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0"/>
      <c r="R364" s="630"/>
      <c r="S364" s="630"/>
      <c r="T364" s="631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103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628">
        <v>4607091384260</v>
      </c>
      <c r="E365" s="628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117</v>
      </c>
      <c r="L365" s="37" t="s">
        <v>118</v>
      </c>
      <c r="M365" s="38" t="s">
        <v>92</v>
      </c>
      <c r="N365" s="38"/>
      <c r="O365" s="37">
        <v>40</v>
      </c>
      <c r="P365" s="8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0"/>
      <c r="R365" s="630"/>
      <c r="S365" s="630"/>
      <c r="T365" s="631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103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6"/>
      <c r="B366" s="636"/>
      <c r="C366" s="636"/>
      <c r="D366" s="636"/>
      <c r="E366" s="636"/>
      <c r="F366" s="636"/>
      <c r="G366" s="636"/>
      <c r="H366" s="636"/>
      <c r="I366" s="636"/>
      <c r="J366" s="636"/>
      <c r="K366" s="636"/>
      <c r="L366" s="636"/>
      <c r="M366" s="636"/>
      <c r="N366" s="636"/>
      <c r="O366" s="637"/>
      <c r="P366" s="633" t="s">
        <v>40</v>
      </c>
      <c r="Q366" s="634"/>
      <c r="R366" s="634"/>
      <c r="S366" s="634"/>
      <c r="T366" s="634"/>
      <c r="U366" s="634"/>
      <c r="V366" s="635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6"/>
      <c r="B367" s="636"/>
      <c r="C367" s="636"/>
      <c r="D367" s="636"/>
      <c r="E367" s="636"/>
      <c r="F367" s="636"/>
      <c r="G367" s="636"/>
      <c r="H367" s="636"/>
      <c r="I367" s="636"/>
      <c r="J367" s="636"/>
      <c r="K367" s="636"/>
      <c r="L367" s="636"/>
      <c r="M367" s="636"/>
      <c r="N367" s="636"/>
      <c r="O367" s="637"/>
      <c r="P367" s="633" t="s">
        <v>40</v>
      </c>
      <c r="Q367" s="634"/>
      <c r="R367" s="634"/>
      <c r="S367" s="634"/>
      <c r="T367" s="634"/>
      <c r="U367" s="634"/>
      <c r="V367" s="635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7" t="s">
        <v>172</v>
      </c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S368" s="627"/>
      <c r="T368" s="627"/>
      <c r="U368" s="627"/>
      <c r="V368" s="627"/>
      <c r="W368" s="627"/>
      <c r="X368" s="627"/>
      <c r="Y368" s="627"/>
      <c r="Z368" s="627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628">
        <v>4607091384673</v>
      </c>
      <c r="E369" s="628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117</v>
      </c>
      <c r="L369" s="37" t="s">
        <v>45</v>
      </c>
      <c r="M369" s="38" t="s">
        <v>92</v>
      </c>
      <c r="N369" s="38"/>
      <c r="O369" s="37">
        <v>40</v>
      </c>
      <c r="P369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0"/>
      <c r="R369" s="630"/>
      <c r="S369" s="630"/>
      <c r="T369" s="631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6"/>
      <c r="B370" s="636"/>
      <c r="C370" s="636"/>
      <c r="D370" s="636"/>
      <c r="E370" s="636"/>
      <c r="F370" s="636"/>
      <c r="G370" s="636"/>
      <c r="H370" s="636"/>
      <c r="I370" s="636"/>
      <c r="J370" s="636"/>
      <c r="K370" s="636"/>
      <c r="L370" s="636"/>
      <c r="M370" s="636"/>
      <c r="N370" s="636"/>
      <c r="O370" s="637"/>
      <c r="P370" s="633" t="s">
        <v>40</v>
      </c>
      <c r="Q370" s="634"/>
      <c r="R370" s="634"/>
      <c r="S370" s="634"/>
      <c r="T370" s="634"/>
      <c r="U370" s="634"/>
      <c r="V370" s="635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6"/>
      <c r="B371" s="636"/>
      <c r="C371" s="636"/>
      <c r="D371" s="636"/>
      <c r="E371" s="636"/>
      <c r="F371" s="636"/>
      <c r="G371" s="636"/>
      <c r="H371" s="636"/>
      <c r="I371" s="636"/>
      <c r="J371" s="636"/>
      <c r="K371" s="636"/>
      <c r="L371" s="636"/>
      <c r="M371" s="636"/>
      <c r="N371" s="636"/>
      <c r="O371" s="637"/>
      <c r="P371" s="633" t="s">
        <v>40</v>
      </c>
      <c r="Q371" s="634"/>
      <c r="R371" s="634"/>
      <c r="S371" s="634"/>
      <c r="T371" s="634"/>
      <c r="U371" s="634"/>
      <c r="V371" s="635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6" t="s">
        <v>600</v>
      </c>
      <c r="B372" s="626"/>
      <c r="C372" s="626"/>
      <c r="D372" s="626"/>
      <c r="E372" s="626"/>
      <c r="F372" s="626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  <c r="Z372" s="626"/>
      <c r="AA372" s="65"/>
      <c r="AB372" s="65"/>
      <c r="AC372" s="79"/>
    </row>
    <row r="373" spans="1:68" ht="14.25" customHeight="1" x14ac:dyDescent="0.25">
      <c r="A373" s="627" t="s">
        <v>112</v>
      </c>
      <c r="B373" s="627"/>
      <c r="C373" s="627"/>
      <c r="D373" s="627"/>
      <c r="E373" s="627"/>
      <c r="F373" s="627"/>
      <c r="G373" s="627"/>
      <c r="H373" s="627"/>
      <c r="I373" s="627"/>
      <c r="J373" s="627"/>
      <c r="K373" s="627"/>
      <c r="L373" s="627"/>
      <c r="M373" s="627"/>
      <c r="N373" s="627"/>
      <c r="O373" s="627"/>
      <c r="P373" s="627"/>
      <c r="Q373" s="627"/>
      <c r="R373" s="627"/>
      <c r="S373" s="627"/>
      <c r="T373" s="627"/>
      <c r="U373" s="627"/>
      <c r="V373" s="627"/>
      <c r="W373" s="627"/>
      <c r="X373" s="627"/>
      <c r="Y373" s="627"/>
      <c r="Z373" s="627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628">
        <v>4680115884885</v>
      </c>
      <c r="E374" s="628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117</v>
      </c>
      <c r="L374" s="37" t="s">
        <v>118</v>
      </c>
      <c r="M374" s="38" t="s">
        <v>82</v>
      </c>
      <c r="N374" s="38"/>
      <c r="O374" s="37">
        <v>60</v>
      </c>
      <c r="P374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0"/>
      <c r="R374" s="630"/>
      <c r="S374" s="630"/>
      <c r="T374" s="631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103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628">
        <v>4680115884908</v>
      </c>
      <c r="E375" s="628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121</v>
      </c>
      <c r="L375" s="37" t="s">
        <v>124</v>
      </c>
      <c r="M375" s="38" t="s">
        <v>82</v>
      </c>
      <c r="N375" s="38"/>
      <c r="O375" s="37">
        <v>60</v>
      </c>
      <c r="P375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0"/>
      <c r="R375" s="630"/>
      <c r="S375" s="630"/>
      <c r="T375" s="631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103</v>
      </c>
      <c r="AK375" s="84">
        <v>48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6"/>
      <c r="B376" s="636"/>
      <c r="C376" s="636"/>
      <c r="D376" s="636"/>
      <c r="E376" s="636"/>
      <c r="F376" s="636"/>
      <c r="G376" s="636"/>
      <c r="H376" s="636"/>
      <c r="I376" s="636"/>
      <c r="J376" s="636"/>
      <c r="K376" s="636"/>
      <c r="L376" s="636"/>
      <c r="M376" s="636"/>
      <c r="N376" s="636"/>
      <c r="O376" s="637"/>
      <c r="P376" s="633" t="s">
        <v>40</v>
      </c>
      <c r="Q376" s="634"/>
      <c r="R376" s="634"/>
      <c r="S376" s="634"/>
      <c r="T376" s="634"/>
      <c r="U376" s="634"/>
      <c r="V376" s="635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6"/>
      <c r="B377" s="636"/>
      <c r="C377" s="636"/>
      <c r="D377" s="636"/>
      <c r="E377" s="636"/>
      <c r="F377" s="636"/>
      <c r="G377" s="636"/>
      <c r="H377" s="636"/>
      <c r="I377" s="636"/>
      <c r="J377" s="636"/>
      <c r="K377" s="636"/>
      <c r="L377" s="636"/>
      <c r="M377" s="636"/>
      <c r="N377" s="636"/>
      <c r="O377" s="637"/>
      <c r="P377" s="633" t="s">
        <v>40</v>
      </c>
      <c r="Q377" s="634"/>
      <c r="R377" s="634"/>
      <c r="S377" s="634"/>
      <c r="T377" s="634"/>
      <c r="U377" s="634"/>
      <c r="V377" s="635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7" t="s">
        <v>78</v>
      </c>
      <c r="B378" s="627"/>
      <c r="C378" s="627"/>
      <c r="D378" s="627"/>
      <c r="E378" s="627"/>
      <c r="F378" s="627"/>
      <c r="G378" s="627"/>
      <c r="H378" s="627"/>
      <c r="I378" s="627"/>
      <c r="J378" s="627"/>
      <c r="K378" s="627"/>
      <c r="L378" s="627"/>
      <c r="M378" s="627"/>
      <c r="N378" s="627"/>
      <c r="O378" s="627"/>
      <c r="P378" s="627"/>
      <c r="Q378" s="627"/>
      <c r="R378" s="627"/>
      <c r="S378" s="627"/>
      <c r="T378" s="627"/>
      <c r="U378" s="627"/>
      <c r="V378" s="627"/>
      <c r="W378" s="627"/>
      <c r="X378" s="627"/>
      <c r="Y378" s="627"/>
      <c r="Z378" s="627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4301031303</v>
      </c>
      <c r="D379" s="628">
        <v>4607091384802</v>
      </c>
      <c r="E379" s="628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121</v>
      </c>
      <c r="L379" s="37" t="s">
        <v>124</v>
      </c>
      <c r="M379" s="38" t="s">
        <v>82</v>
      </c>
      <c r="N379" s="38"/>
      <c r="O379" s="37">
        <v>35</v>
      </c>
      <c r="P379" s="81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30"/>
      <c r="R379" s="630"/>
      <c r="S379" s="630"/>
      <c r="T379" s="631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103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4301031457</v>
      </c>
      <c r="D380" s="628">
        <v>4607091384802</v>
      </c>
      <c r="E380" s="628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121</v>
      </c>
      <c r="L380" s="37" t="s">
        <v>45</v>
      </c>
      <c r="M380" s="38" t="s">
        <v>82</v>
      </c>
      <c r="N380" s="38"/>
      <c r="O380" s="37">
        <v>50</v>
      </c>
      <c r="P380" s="8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30"/>
      <c r="R380" s="630"/>
      <c r="S380" s="630"/>
      <c r="T380" s="631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6"/>
      <c r="B381" s="636"/>
      <c r="C381" s="636"/>
      <c r="D381" s="636"/>
      <c r="E381" s="636"/>
      <c r="F381" s="636"/>
      <c r="G381" s="636"/>
      <c r="H381" s="636"/>
      <c r="I381" s="636"/>
      <c r="J381" s="636"/>
      <c r="K381" s="636"/>
      <c r="L381" s="636"/>
      <c r="M381" s="636"/>
      <c r="N381" s="636"/>
      <c r="O381" s="637"/>
      <c r="P381" s="633" t="s">
        <v>40</v>
      </c>
      <c r="Q381" s="634"/>
      <c r="R381" s="634"/>
      <c r="S381" s="634"/>
      <c r="T381" s="634"/>
      <c r="U381" s="634"/>
      <c r="V381" s="635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6"/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7"/>
      <c r="P382" s="633" t="s">
        <v>40</v>
      </c>
      <c r="Q382" s="634"/>
      <c r="R382" s="634"/>
      <c r="S382" s="634"/>
      <c r="T382" s="634"/>
      <c r="U382" s="634"/>
      <c r="V382" s="635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7" t="s">
        <v>88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8">
        <v>4607091384246</v>
      </c>
      <c r="E384" s="628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117</v>
      </c>
      <c r="L384" s="37" t="s">
        <v>118</v>
      </c>
      <c r="M384" s="38" t="s">
        <v>92</v>
      </c>
      <c r="N384" s="38"/>
      <c r="O384" s="37">
        <v>40</v>
      </c>
      <c r="P384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0"/>
      <c r="R384" s="630"/>
      <c r="S384" s="630"/>
      <c r="T384" s="631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103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8">
        <v>4607091384253</v>
      </c>
      <c r="E385" s="628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102</v>
      </c>
      <c r="M385" s="38" t="s">
        <v>92</v>
      </c>
      <c r="N385" s="38"/>
      <c r="O385" s="37">
        <v>40</v>
      </c>
      <c r="P385" s="8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30"/>
      <c r="R385" s="630"/>
      <c r="S385" s="630"/>
      <c r="T385" s="631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103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8">
        <v>4607091384253</v>
      </c>
      <c r="E386" s="628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30"/>
      <c r="R386" s="630"/>
      <c r="S386" s="630"/>
      <c r="T386" s="631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6"/>
      <c r="B387" s="636"/>
      <c r="C387" s="636"/>
      <c r="D387" s="636"/>
      <c r="E387" s="636"/>
      <c r="F387" s="636"/>
      <c r="G387" s="636"/>
      <c r="H387" s="636"/>
      <c r="I387" s="636"/>
      <c r="J387" s="636"/>
      <c r="K387" s="636"/>
      <c r="L387" s="636"/>
      <c r="M387" s="636"/>
      <c r="N387" s="636"/>
      <c r="O387" s="637"/>
      <c r="P387" s="633" t="s">
        <v>40</v>
      </c>
      <c r="Q387" s="634"/>
      <c r="R387" s="634"/>
      <c r="S387" s="634"/>
      <c r="T387" s="634"/>
      <c r="U387" s="634"/>
      <c r="V387" s="635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6"/>
      <c r="B388" s="636"/>
      <c r="C388" s="636"/>
      <c r="D388" s="636"/>
      <c r="E388" s="636"/>
      <c r="F388" s="636"/>
      <c r="G388" s="636"/>
      <c r="H388" s="636"/>
      <c r="I388" s="636"/>
      <c r="J388" s="636"/>
      <c r="K388" s="636"/>
      <c r="L388" s="636"/>
      <c r="M388" s="636"/>
      <c r="N388" s="636"/>
      <c r="O388" s="637"/>
      <c r="P388" s="633" t="s">
        <v>40</v>
      </c>
      <c r="Q388" s="634"/>
      <c r="R388" s="634"/>
      <c r="S388" s="634"/>
      <c r="T388" s="634"/>
      <c r="U388" s="634"/>
      <c r="V388" s="635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5" t="s">
        <v>618</v>
      </c>
      <c r="B389" s="625"/>
      <c r="C389" s="625"/>
      <c r="D389" s="625"/>
      <c r="E389" s="625"/>
      <c r="F389" s="625"/>
      <c r="G389" s="625"/>
      <c r="H389" s="625"/>
      <c r="I389" s="625"/>
      <c r="J389" s="625"/>
      <c r="K389" s="625"/>
      <c r="L389" s="625"/>
      <c r="M389" s="625"/>
      <c r="N389" s="625"/>
      <c r="O389" s="625"/>
      <c r="P389" s="625"/>
      <c r="Q389" s="625"/>
      <c r="R389" s="625"/>
      <c r="S389" s="625"/>
      <c r="T389" s="625"/>
      <c r="U389" s="625"/>
      <c r="V389" s="625"/>
      <c r="W389" s="625"/>
      <c r="X389" s="625"/>
      <c r="Y389" s="625"/>
      <c r="Z389" s="625"/>
      <c r="AA389" s="54"/>
      <c r="AB389" s="54"/>
      <c r="AC389" s="54"/>
    </row>
    <row r="390" spans="1:68" ht="16.5" customHeight="1" x14ac:dyDescent="0.25">
      <c r="A390" s="626" t="s">
        <v>619</v>
      </c>
      <c r="B390" s="626"/>
      <c r="C390" s="626"/>
      <c r="D390" s="626"/>
      <c r="E390" s="626"/>
      <c r="F390" s="626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  <c r="Z390" s="626"/>
      <c r="AA390" s="65"/>
      <c r="AB390" s="65"/>
      <c r="AC390" s="79"/>
    </row>
    <row r="391" spans="1:68" ht="14.25" customHeight="1" x14ac:dyDescent="0.25">
      <c r="A391" s="627" t="s">
        <v>78</v>
      </c>
      <c r="B391" s="627"/>
      <c r="C391" s="627"/>
      <c r="D391" s="627"/>
      <c r="E391" s="627"/>
      <c r="F391" s="627"/>
      <c r="G391" s="627"/>
      <c r="H391" s="627"/>
      <c r="I391" s="627"/>
      <c r="J391" s="627"/>
      <c r="K391" s="627"/>
      <c r="L391" s="627"/>
      <c r="M391" s="627"/>
      <c r="N391" s="627"/>
      <c r="O391" s="627"/>
      <c r="P391" s="627"/>
      <c r="Q391" s="627"/>
      <c r="R391" s="627"/>
      <c r="S391" s="627"/>
      <c r="T391" s="627"/>
      <c r="U391" s="627"/>
      <c r="V391" s="627"/>
      <c r="W391" s="627"/>
      <c r="X391" s="627"/>
      <c r="Y391" s="627"/>
      <c r="Z391" s="627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8">
        <v>4680115886100</v>
      </c>
      <c r="E392" s="628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121</v>
      </c>
      <c r="L392" s="37" t="s">
        <v>124</v>
      </c>
      <c r="M392" s="38" t="s">
        <v>82</v>
      </c>
      <c r="N392" s="38"/>
      <c r="O392" s="37">
        <v>50</v>
      </c>
      <c r="P392" s="8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0"/>
      <c r="R392" s="630"/>
      <c r="S392" s="630"/>
      <c r="T392" s="631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103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8">
        <v>4680115886117</v>
      </c>
      <c r="E393" s="628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121</v>
      </c>
      <c r="L393" s="37" t="s">
        <v>45</v>
      </c>
      <c r="M393" s="38" t="s">
        <v>82</v>
      </c>
      <c r="N393" s="38"/>
      <c r="O393" s="37">
        <v>50</v>
      </c>
      <c r="P393" s="82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0"/>
      <c r="R393" s="630"/>
      <c r="S393" s="630"/>
      <c r="T393" s="631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8">
        <v>4680115886124</v>
      </c>
      <c r="E394" s="628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121</v>
      </c>
      <c r="L394" s="37" t="s">
        <v>124</v>
      </c>
      <c r="M394" s="38" t="s">
        <v>82</v>
      </c>
      <c r="N394" s="38"/>
      <c r="O394" s="37">
        <v>50</v>
      </c>
      <c r="P394" s="82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0"/>
      <c r="R394" s="630"/>
      <c r="S394" s="630"/>
      <c r="T394" s="631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103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8">
        <v>4680115883147</v>
      </c>
      <c r="E395" s="628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0"/>
      <c r="R395" s="630"/>
      <c r="S395" s="630"/>
      <c r="T395" s="631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8">
        <v>4607091384338</v>
      </c>
      <c r="E396" s="628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0"/>
      <c r="R396" s="630"/>
      <c r="S396" s="630"/>
      <c r="T396" s="631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8">
        <v>4607091389524</v>
      </c>
      <c r="E397" s="628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0"/>
      <c r="R397" s="630"/>
      <c r="S397" s="630"/>
      <c r="T397" s="631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8">
        <v>4680115883161</v>
      </c>
      <c r="E398" s="628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0"/>
      <c r="R398" s="630"/>
      <c r="S398" s="630"/>
      <c r="T398" s="631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8">
        <v>4607091389531</v>
      </c>
      <c r="E399" s="628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0"/>
      <c r="R399" s="630"/>
      <c r="S399" s="630"/>
      <c r="T399" s="631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8">
        <v>4607091384345</v>
      </c>
      <c r="E400" s="628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0"/>
      <c r="R400" s="630"/>
      <c r="S400" s="630"/>
      <c r="T400" s="631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6"/>
      <c r="B401" s="636"/>
      <c r="C401" s="636"/>
      <c r="D401" s="636"/>
      <c r="E401" s="636"/>
      <c r="F401" s="636"/>
      <c r="G401" s="636"/>
      <c r="H401" s="636"/>
      <c r="I401" s="636"/>
      <c r="J401" s="636"/>
      <c r="K401" s="636"/>
      <c r="L401" s="636"/>
      <c r="M401" s="636"/>
      <c r="N401" s="636"/>
      <c r="O401" s="637"/>
      <c r="P401" s="633" t="s">
        <v>40</v>
      </c>
      <c r="Q401" s="634"/>
      <c r="R401" s="634"/>
      <c r="S401" s="634"/>
      <c r="T401" s="634"/>
      <c r="U401" s="634"/>
      <c r="V401" s="635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6"/>
      <c r="B402" s="636"/>
      <c r="C402" s="636"/>
      <c r="D402" s="636"/>
      <c r="E402" s="636"/>
      <c r="F402" s="636"/>
      <c r="G402" s="636"/>
      <c r="H402" s="636"/>
      <c r="I402" s="636"/>
      <c r="J402" s="636"/>
      <c r="K402" s="636"/>
      <c r="L402" s="636"/>
      <c r="M402" s="636"/>
      <c r="N402" s="636"/>
      <c r="O402" s="637"/>
      <c r="P402" s="633" t="s">
        <v>40</v>
      </c>
      <c r="Q402" s="634"/>
      <c r="R402" s="634"/>
      <c r="S402" s="634"/>
      <c r="T402" s="634"/>
      <c r="U402" s="634"/>
      <c r="V402" s="635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7" t="s">
        <v>88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8">
        <v>4607091384352</v>
      </c>
      <c r="E404" s="628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121</v>
      </c>
      <c r="L404" s="37" t="s">
        <v>124</v>
      </c>
      <c r="M404" s="38" t="s">
        <v>92</v>
      </c>
      <c r="N404" s="38"/>
      <c r="O404" s="37">
        <v>45</v>
      </c>
      <c r="P404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0"/>
      <c r="R404" s="630"/>
      <c r="S404" s="630"/>
      <c r="T404" s="631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103</v>
      </c>
      <c r="AK404" s="84">
        <v>28.8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8">
        <v>4607091389654</v>
      </c>
      <c r="E405" s="628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102</v>
      </c>
      <c r="M405" s="38" t="s">
        <v>92</v>
      </c>
      <c r="N405" s="38"/>
      <c r="O405" s="37">
        <v>45</v>
      </c>
      <c r="P405" s="8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0"/>
      <c r="R405" s="630"/>
      <c r="S405" s="630"/>
      <c r="T405" s="631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103</v>
      </c>
      <c r="AK405" s="84">
        <v>27.72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6"/>
      <c r="B406" s="636"/>
      <c r="C406" s="636"/>
      <c r="D406" s="636"/>
      <c r="E406" s="636"/>
      <c r="F406" s="636"/>
      <c r="G406" s="636"/>
      <c r="H406" s="636"/>
      <c r="I406" s="636"/>
      <c r="J406" s="636"/>
      <c r="K406" s="636"/>
      <c r="L406" s="636"/>
      <c r="M406" s="636"/>
      <c r="N406" s="636"/>
      <c r="O406" s="637"/>
      <c r="P406" s="633" t="s">
        <v>40</v>
      </c>
      <c r="Q406" s="634"/>
      <c r="R406" s="634"/>
      <c r="S406" s="634"/>
      <c r="T406" s="634"/>
      <c r="U406" s="634"/>
      <c r="V406" s="635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6"/>
      <c r="B407" s="636"/>
      <c r="C407" s="636"/>
      <c r="D407" s="636"/>
      <c r="E407" s="636"/>
      <c r="F407" s="636"/>
      <c r="G407" s="636"/>
      <c r="H407" s="636"/>
      <c r="I407" s="636"/>
      <c r="J407" s="636"/>
      <c r="K407" s="636"/>
      <c r="L407" s="636"/>
      <c r="M407" s="636"/>
      <c r="N407" s="636"/>
      <c r="O407" s="637"/>
      <c r="P407" s="633" t="s">
        <v>40</v>
      </c>
      <c r="Q407" s="634"/>
      <c r="R407" s="634"/>
      <c r="S407" s="634"/>
      <c r="T407" s="634"/>
      <c r="U407" s="634"/>
      <c r="V407" s="635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6" t="s">
        <v>650</v>
      </c>
      <c r="B408" s="626"/>
      <c r="C408" s="626"/>
      <c r="D408" s="626"/>
      <c r="E408" s="626"/>
      <c r="F408" s="626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  <c r="Z408" s="626"/>
      <c r="AA408" s="65"/>
      <c r="AB408" s="65"/>
      <c r="AC408" s="79"/>
    </row>
    <row r="409" spans="1:68" ht="14.25" customHeight="1" x14ac:dyDescent="0.25">
      <c r="A409" s="627" t="s">
        <v>147</v>
      </c>
      <c r="B409" s="627"/>
      <c r="C409" s="627"/>
      <c r="D409" s="627"/>
      <c r="E409" s="627"/>
      <c r="F409" s="627"/>
      <c r="G409" s="627"/>
      <c r="H409" s="627"/>
      <c r="I409" s="627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7"/>
      <c r="W409" s="627"/>
      <c r="X409" s="627"/>
      <c r="Y409" s="627"/>
      <c r="Z409" s="627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8">
        <v>4680115885240</v>
      </c>
      <c r="E410" s="628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0"/>
      <c r="R410" s="630"/>
      <c r="S410" s="630"/>
      <c r="T410" s="631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6"/>
      <c r="B411" s="636"/>
      <c r="C411" s="636"/>
      <c r="D411" s="636"/>
      <c r="E411" s="636"/>
      <c r="F411" s="636"/>
      <c r="G411" s="636"/>
      <c r="H411" s="636"/>
      <c r="I411" s="636"/>
      <c r="J411" s="636"/>
      <c r="K411" s="636"/>
      <c r="L411" s="636"/>
      <c r="M411" s="636"/>
      <c r="N411" s="636"/>
      <c r="O411" s="637"/>
      <c r="P411" s="633" t="s">
        <v>40</v>
      </c>
      <c r="Q411" s="634"/>
      <c r="R411" s="634"/>
      <c r="S411" s="634"/>
      <c r="T411" s="634"/>
      <c r="U411" s="634"/>
      <c r="V411" s="635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6"/>
      <c r="B412" s="636"/>
      <c r="C412" s="636"/>
      <c r="D412" s="636"/>
      <c r="E412" s="636"/>
      <c r="F412" s="636"/>
      <c r="G412" s="636"/>
      <c r="H412" s="636"/>
      <c r="I412" s="636"/>
      <c r="J412" s="636"/>
      <c r="K412" s="636"/>
      <c r="L412" s="636"/>
      <c r="M412" s="636"/>
      <c r="N412" s="636"/>
      <c r="O412" s="637"/>
      <c r="P412" s="633" t="s">
        <v>40</v>
      </c>
      <c r="Q412" s="634"/>
      <c r="R412" s="634"/>
      <c r="S412" s="634"/>
      <c r="T412" s="634"/>
      <c r="U412" s="634"/>
      <c r="V412" s="635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7" t="s">
        <v>78</v>
      </c>
      <c r="B413" s="627"/>
      <c r="C413" s="627"/>
      <c r="D413" s="627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S413" s="627"/>
      <c r="T413" s="627"/>
      <c r="U413" s="627"/>
      <c r="V413" s="627"/>
      <c r="W413" s="627"/>
      <c r="X413" s="627"/>
      <c r="Y413" s="627"/>
      <c r="Z413" s="627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8">
        <v>4680115886094</v>
      </c>
      <c r="E414" s="628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121</v>
      </c>
      <c r="L414" s="37" t="s">
        <v>124</v>
      </c>
      <c r="M414" s="38" t="s">
        <v>116</v>
      </c>
      <c r="N414" s="38"/>
      <c r="O414" s="37">
        <v>50</v>
      </c>
      <c r="P414" s="8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0"/>
      <c r="R414" s="630"/>
      <c r="S414" s="630"/>
      <c r="T414" s="631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103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628">
        <v>4607091389425</v>
      </c>
      <c r="E415" s="628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0"/>
      <c r="R415" s="630"/>
      <c r="S415" s="630"/>
      <c r="T415" s="631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628">
        <v>4680115880771</v>
      </c>
      <c r="E416" s="628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0"/>
      <c r="R416" s="630"/>
      <c r="S416" s="630"/>
      <c r="T416" s="631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628">
        <v>4607091389500</v>
      </c>
      <c r="E417" s="628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0"/>
      <c r="R417" s="630"/>
      <c r="S417" s="630"/>
      <c r="T417" s="631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6"/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7"/>
      <c r="P418" s="633" t="s">
        <v>40</v>
      </c>
      <c r="Q418" s="634"/>
      <c r="R418" s="634"/>
      <c r="S418" s="634"/>
      <c r="T418" s="634"/>
      <c r="U418" s="634"/>
      <c r="V418" s="635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6"/>
      <c r="B419" s="636"/>
      <c r="C419" s="636"/>
      <c r="D419" s="636"/>
      <c r="E419" s="636"/>
      <c r="F419" s="636"/>
      <c r="G419" s="636"/>
      <c r="H419" s="636"/>
      <c r="I419" s="636"/>
      <c r="J419" s="636"/>
      <c r="K419" s="636"/>
      <c r="L419" s="636"/>
      <c r="M419" s="636"/>
      <c r="N419" s="636"/>
      <c r="O419" s="637"/>
      <c r="P419" s="633" t="s">
        <v>40</v>
      </c>
      <c r="Q419" s="634"/>
      <c r="R419" s="634"/>
      <c r="S419" s="634"/>
      <c r="T419" s="634"/>
      <c r="U419" s="634"/>
      <c r="V419" s="635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6" t="s">
        <v>665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5"/>
      <c r="AB420" s="65"/>
      <c r="AC420" s="79"/>
    </row>
    <row r="421" spans="1:68" ht="14.25" customHeight="1" x14ac:dyDescent="0.25">
      <c r="A421" s="627" t="s">
        <v>78</v>
      </c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S421" s="627"/>
      <c r="T421" s="627"/>
      <c r="U421" s="627"/>
      <c r="V421" s="627"/>
      <c r="W421" s="627"/>
      <c r="X421" s="627"/>
      <c r="Y421" s="627"/>
      <c r="Z421" s="627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628">
        <v>4680115885110</v>
      </c>
      <c r="E422" s="628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0"/>
      <c r="R422" s="630"/>
      <c r="S422" s="630"/>
      <c r="T422" s="631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6"/>
      <c r="B423" s="636"/>
      <c r="C423" s="636"/>
      <c r="D423" s="636"/>
      <c r="E423" s="636"/>
      <c r="F423" s="636"/>
      <c r="G423" s="636"/>
      <c r="H423" s="636"/>
      <c r="I423" s="636"/>
      <c r="J423" s="636"/>
      <c r="K423" s="636"/>
      <c r="L423" s="636"/>
      <c r="M423" s="636"/>
      <c r="N423" s="636"/>
      <c r="O423" s="637"/>
      <c r="P423" s="633" t="s">
        <v>40</v>
      </c>
      <c r="Q423" s="634"/>
      <c r="R423" s="634"/>
      <c r="S423" s="634"/>
      <c r="T423" s="634"/>
      <c r="U423" s="634"/>
      <c r="V423" s="635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6"/>
      <c r="B424" s="636"/>
      <c r="C424" s="636"/>
      <c r="D424" s="636"/>
      <c r="E424" s="636"/>
      <c r="F424" s="636"/>
      <c r="G424" s="636"/>
      <c r="H424" s="636"/>
      <c r="I424" s="636"/>
      <c r="J424" s="636"/>
      <c r="K424" s="636"/>
      <c r="L424" s="636"/>
      <c r="M424" s="636"/>
      <c r="N424" s="636"/>
      <c r="O424" s="637"/>
      <c r="P424" s="633" t="s">
        <v>40</v>
      </c>
      <c r="Q424" s="634"/>
      <c r="R424" s="634"/>
      <c r="S424" s="634"/>
      <c r="T424" s="634"/>
      <c r="U424" s="634"/>
      <c r="V424" s="635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5" t="s">
        <v>669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54"/>
      <c r="AB425" s="54"/>
      <c r="AC425" s="54"/>
    </row>
    <row r="426" spans="1:68" ht="16.5" customHeight="1" x14ac:dyDescent="0.25">
      <c r="A426" s="626" t="s">
        <v>669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5"/>
      <c r="AB426" s="65"/>
      <c r="AC426" s="79"/>
    </row>
    <row r="427" spans="1:68" ht="14.25" customHeight="1" x14ac:dyDescent="0.25">
      <c r="A427" s="627" t="s">
        <v>112</v>
      </c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S427" s="627"/>
      <c r="T427" s="627"/>
      <c r="U427" s="627"/>
      <c r="V427" s="627"/>
      <c r="W427" s="627"/>
      <c r="X427" s="627"/>
      <c r="Y427" s="627"/>
      <c r="Z427" s="627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628">
        <v>4607091389067</v>
      </c>
      <c r="E428" s="628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118</v>
      </c>
      <c r="M428" s="38" t="s">
        <v>116</v>
      </c>
      <c r="N428" s="38"/>
      <c r="O428" s="37">
        <v>60</v>
      </c>
      <c r="P428" s="8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0"/>
      <c r="R428" s="630"/>
      <c r="S428" s="630"/>
      <c r="T428" s="631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103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628">
        <v>4607091383522</v>
      </c>
      <c r="E429" s="628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0"/>
      <c r="R429" s="630"/>
      <c r="S429" s="630"/>
      <c r="T429" s="631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628">
        <v>4607091383522</v>
      </c>
      <c r="E430" s="628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30"/>
      <c r="R430" s="630"/>
      <c r="S430" s="630"/>
      <c r="T430" s="631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628">
        <v>4680115885271</v>
      </c>
      <c r="E431" s="628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116</v>
      </c>
      <c r="N431" s="38"/>
      <c r="O431" s="37">
        <v>60</v>
      </c>
      <c r="P431" s="84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0"/>
      <c r="R431" s="630"/>
      <c r="S431" s="630"/>
      <c r="T431" s="631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103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628">
        <v>4680115885226</v>
      </c>
      <c r="E432" s="628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92</v>
      </c>
      <c r="N432" s="38"/>
      <c r="O432" s="37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0"/>
      <c r="R432" s="630"/>
      <c r="S432" s="630"/>
      <c r="T432" s="631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103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628">
        <v>4680115884502</v>
      </c>
      <c r="E433" s="628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45</v>
      </c>
      <c r="M433" s="38" t="s">
        <v>116</v>
      </c>
      <c r="N433" s="38"/>
      <c r="O433" s="37">
        <v>60</v>
      </c>
      <c r="P433" s="8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0"/>
      <c r="R433" s="630"/>
      <c r="S433" s="630"/>
      <c r="T433" s="631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628">
        <v>4607091389104</v>
      </c>
      <c r="E434" s="628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118</v>
      </c>
      <c r="M434" s="38" t="s">
        <v>116</v>
      </c>
      <c r="N434" s="38"/>
      <c r="O434" s="37">
        <v>60</v>
      </c>
      <c r="P434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0"/>
      <c r="R434" s="630"/>
      <c r="S434" s="630"/>
      <c r="T434" s="631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103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628">
        <v>4680115886391</v>
      </c>
      <c r="E435" s="628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0"/>
      <c r="R435" s="630"/>
      <c r="S435" s="630"/>
      <c r="T435" s="631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628">
        <v>4680115880603</v>
      </c>
      <c r="E436" s="628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121</v>
      </c>
      <c r="L436" s="37" t="s">
        <v>45</v>
      </c>
      <c r="M436" s="38" t="s">
        <v>116</v>
      </c>
      <c r="N436" s="38"/>
      <c r="O436" s="37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0"/>
      <c r="R436" s="630"/>
      <c r="S436" s="630"/>
      <c r="T436" s="631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628">
        <v>4680115882782</v>
      </c>
      <c r="E437" s="628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121</v>
      </c>
      <c r="L437" s="37" t="s">
        <v>45</v>
      </c>
      <c r="M437" s="38" t="s">
        <v>116</v>
      </c>
      <c r="N437" s="38"/>
      <c r="O437" s="37">
        <v>60</v>
      </c>
      <c r="P437" s="84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0"/>
      <c r="R437" s="630"/>
      <c r="S437" s="630"/>
      <c r="T437" s="631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628">
        <v>4680115885479</v>
      </c>
      <c r="E438" s="628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116</v>
      </c>
      <c r="N438" s="38"/>
      <c r="O438" s="37">
        <v>60</v>
      </c>
      <c r="P438" s="84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0"/>
      <c r="R438" s="630"/>
      <c r="S438" s="630"/>
      <c r="T438" s="631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628">
        <v>4607091389982</v>
      </c>
      <c r="E439" s="628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121</v>
      </c>
      <c r="L439" s="37" t="s">
        <v>45</v>
      </c>
      <c r="M439" s="38" t="s">
        <v>116</v>
      </c>
      <c r="N439" s="38"/>
      <c r="O439" s="37">
        <v>60</v>
      </c>
      <c r="P439" s="8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0"/>
      <c r="R439" s="630"/>
      <c r="S439" s="630"/>
      <c r="T439" s="631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6"/>
      <c r="B440" s="636"/>
      <c r="C440" s="636"/>
      <c r="D440" s="636"/>
      <c r="E440" s="636"/>
      <c r="F440" s="636"/>
      <c r="G440" s="636"/>
      <c r="H440" s="636"/>
      <c r="I440" s="636"/>
      <c r="J440" s="636"/>
      <c r="K440" s="636"/>
      <c r="L440" s="636"/>
      <c r="M440" s="636"/>
      <c r="N440" s="636"/>
      <c r="O440" s="637"/>
      <c r="P440" s="633" t="s">
        <v>40</v>
      </c>
      <c r="Q440" s="634"/>
      <c r="R440" s="634"/>
      <c r="S440" s="634"/>
      <c r="T440" s="634"/>
      <c r="U440" s="634"/>
      <c r="V440" s="635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6"/>
      <c r="B441" s="636"/>
      <c r="C441" s="636"/>
      <c r="D441" s="636"/>
      <c r="E441" s="636"/>
      <c r="F441" s="636"/>
      <c r="G441" s="636"/>
      <c r="H441" s="636"/>
      <c r="I441" s="636"/>
      <c r="J441" s="636"/>
      <c r="K441" s="636"/>
      <c r="L441" s="636"/>
      <c r="M441" s="636"/>
      <c r="N441" s="636"/>
      <c r="O441" s="637"/>
      <c r="P441" s="633" t="s">
        <v>40</v>
      </c>
      <c r="Q441" s="634"/>
      <c r="R441" s="634"/>
      <c r="S441" s="634"/>
      <c r="T441" s="634"/>
      <c r="U441" s="634"/>
      <c r="V441" s="635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7" t="s">
        <v>147</v>
      </c>
      <c r="B442" s="627"/>
      <c r="C442" s="627"/>
      <c r="D442" s="627"/>
      <c r="E442" s="627"/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S442" s="627"/>
      <c r="T442" s="627"/>
      <c r="U442" s="627"/>
      <c r="V442" s="627"/>
      <c r="W442" s="627"/>
      <c r="X442" s="627"/>
      <c r="Y442" s="627"/>
      <c r="Z442" s="627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628">
        <v>4607091388930</v>
      </c>
      <c r="E443" s="628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92</v>
      </c>
      <c r="N443" s="38"/>
      <c r="O443" s="37">
        <v>70</v>
      </c>
      <c r="P443" s="8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0"/>
      <c r="R443" s="630"/>
      <c r="S443" s="630"/>
      <c r="T443" s="631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103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628">
        <v>4680115886407</v>
      </c>
      <c r="E444" s="628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0"/>
      <c r="R444" s="630"/>
      <c r="S444" s="630"/>
      <c r="T444" s="631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628">
        <v>4680115880054</v>
      </c>
      <c r="E445" s="628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8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0"/>
      <c r="R445" s="630"/>
      <c r="S445" s="630"/>
      <c r="T445" s="631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6"/>
      <c r="B446" s="636"/>
      <c r="C446" s="636"/>
      <c r="D446" s="636"/>
      <c r="E446" s="636"/>
      <c r="F446" s="636"/>
      <c r="G446" s="636"/>
      <c r="H446" s="636"/>
      <c r="I446" s="636"/>
      <c r="J446" s="636"/>
      <c r="K446" s="636"/>
      <c r="L446" s="636"/>
      <c r="M446" s="636"/>
      <c r="N446" s="636"/>
      <c r="O446" s="637"/>
      <c r="P446" s="633" t="s">
        <v>40</v>
      </c>
      <c r="Q446" s="634"/>
      <c r="R446" s="634"/>
      <c r="S446" s="634"/>
      <c r="T446" s="634"/>
      <c r="U446" s="634"/>
      <c r="V446" s="63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6"/>
      <c r="B447" s="636"/>
      <c r="C447" s="636"/>
      <c r="D447" s="636"/>
      <c r="E447" s="636"/>
      <c r="F447" s="636"/>
      <c r="G447" s="636"/>
      <c r="H447" s="636"/>
      <c r="I447" s="636"/>
      <c r="J447" s="636"/>
      <c r="K447" s="636"/>
      <c r="L447" s="636"/>
      <c r="M447" s="636"/>
      <c r="N447" s="636"/>
      <c r="O447" s="637"/>
      <c r="P447" s="633" t="s">
        <v>40</v>
      </c>
      <c r="Q447" s="634"/>
      <c r="R447" s="634"/>
      <c r="S447" s="634"/>
      <c r="T447" s="634"/>
      <c r="U447" s="634"/>
      <c r="V447" s="63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7" t="s">
        <v>78</v>
      </c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S448" s="627"/>
      <c r="T448" s="627"/>
      <c r="U448" s="627"/>
      <c r="V448" s="627"/>
      <c r="W448" s="627"/>
      <c r="X448" s="627"/>
      <c r="Y448" s="627"/>
      <c r="Z448" s="627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628">
        <v>4680115883116</v>
      </c>
      <c r="E449" s="628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116</v>
      </c>
      <c r="N449" s="38"/>
      <c r="O449" s="37">
        <v>70</v>
      </c>
      <c r="P449" s="8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0"/>
      <c r="R449" s="630"/>
      <c r="S449" s="630"/>
      <c r="T449" s="631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103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628">
        <v>4680115883093</v>
      </c>
      <c r="E450" s="628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0"/>
      <c r="R450" s="630"/>
      <c r="S450" s="630"/>
      <c r="T450" s="631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103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628">
        <v>4680115883109</v>
      </c>
      <c r="E451" s="628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5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0"/>
      <c r="R451" s="630"/>
      <c r="S451" s="630"/>
      <c r="T451" s="631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103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628">
        <v>4680115882072</v>
      </c>
      <c r="E452" s="628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121</v>
      </c>
      <c r="L452" s="37" t="s">
        <v>45</v>
      </c>
      <c r="M452" s="38" t="s">
        <v>116</v>
      </c>
      <c r="N452" s="38"/>
      <c r="O452" s="37">
        <v>70</v>
      </c>
      <c r="P452" s="8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0"/>
      <c r="R452" s="630"/>
      <c r="S452" s="630"/>
      <c r="T452" s="631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628">
        <v>4680115882102</v>
      </c>
      <c r="E453" s="628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121</v>
      </c>
      <c r="L453" s="37" t="s">
        <v>45</v>
      </c>
      <c r="M453" s="38" t="s">
        <v>82</v>
      </c>
      <c r="N453" s="38"/>
      <c r="O453" s="37">
        <v>70</v>
      </c>
      <c r="P453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0"/>
      <c r="R453" s="630"/>
      <c r="S453" s="630"/>
      <c r="T453" s="631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628">
        <v>4680115882096</v>
      </c>
      <c r="E454" s="628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121</v>
      </c>
      <c r="L454" s="37" t="s">
        <v>45</v>
      </c>
      <c r="M454" s="38" t="s">
        <v>82</v>
      </c>
      <c r="N454" s="38"/>
      <c r="O454" s="37">
        <v>70</v>
      </c>
      <c r="P454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0"/>
      <c r="R454" s="630"/>
      <c r="S454" s="630"/>
      <c r="T454" s="631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6"/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7"/>
      <c r="P455" s="633" t="s">
        <v>40</v>
      </c>
      <c r="Q455" s="634"/>
      <c r="R455" s="634"/>
      <c r="S455" s="634"/>
      <c r="T455" s="634"/>
      <c r="U455" s="634"/>
      <c r="V455" s="635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6"/>
      <c r="B456" s="636"/>
      <c r="C456" s="636"/>
      <c r="D456" s="636"/>
      <c r="E456" s="636"/>
      <c r="F456" s="636"/>
      <c r="G456" s="636"/>
      <c r="H456" s="636"/>
      <c r="I456" s="636"/>
      <c r="J456" s="636"/>
      <c r="K456" s="636"/>
      <c r="L456" s="636"/>
      <c r="M456" s="636"/>
      <c r="N456" s="636"/>
      <c r="O456" s="637"/>
      <c r="P456" s="633" t="s">
        <v>40</v>
      </c>
      <c r="Q456" s="634"/>
      <c r="R456" s="634"/>
      <c r="S456" s="634"/>
      <c r="T456" s="634"/>
      <c r="U456" s="634"/>
      <c r="V456" s="635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27.75" customHeight="1" x14ac:dyDescent="0.2">
      <c r="A457" s="625" t="s">
        <v>721</v>
      </c>
      <c r="B457" s="625"/>
      <c r="C457" s="625"/>
      <c r="D457" s="625"/>
      <c r="E457" s="625"/>
      <c r="F457" s="625"/>
      <c r="G457" s="625"/>
      <c r="H457" s="625"/>
      <c r="I457" s="625"/>
      <c r="J457" s="625"/>
      <c r="K457" s="625"/>
      <c r="L457" s="625"/>
      <c r="M457" s="625"/>
      <c r="N457" s="625"/>
      <c r="O457" s="625"/>
      <c r="P457" s="625"/>
      <c r="Q457" s="625"/>
      <c r="R457" s="625"/>
      <c r="S457" s="625"/>
      <c r="T457" s="625"/>
      <c r="U457" s="625"/>
      <c r="V457" s="625"/>
      <c r="W457" s="625"/>
      <c r="X457" s="625"/>
      <c r="Y457" s="625"/>
      <c r="Z457" s="625"/>
      <c r="AA457" s="54"/>
      <c r="AB457" s="54"/>
      <c r="AC457" s="54"/>
    </row>
    <row r="458" spans="1:68" ht="16.5" customHeight="1" x14ac:dyDescent="0.25">
      <c r="A458" s="626" t="s">
        <v>721</v>
      </c>
      <c r="B458" s="626"/>
      <c r="C458" s="626"/>
      <c r="D458" s="626"/>
      <c r="E458" s="626"/>
      <c r="F458" s="626"/>
      <c r="G458" s="626"/>
      <c r="H458" s="626"/>
      <c r="I458" s="626"/>
      <c r="J458" s="626"/>
      <c r="K458" s="626"/>
      <c r="L458" s="626"/>
      <c r="M458" s="626"/>
      <c r="N458" s="626"/>
      <c r="O458" s="626"/>
      <c r="P458" s="626"/>
      <c r="Q458" s="626"/>
      <c r="R458" s="626"/>
      <c r="S458" s="626"/>
      <c r="T458" s="626"/>
      <c r="U458" s="626"/>
      <c r="V458" s="626"/>
      <c r="W458" s="626"/>
      <c r="X458" s="626"/>
      <c r="Y458" s="626"/>
      <c r="Z458" s="626"/>
      <c r="AA458" s="65"/>
      <c r="AB458" s="65"/>
      <c r="AC458" s="79"/>
    </row>
    <row r="459" spans="1:68" ht="14.25" customHeight="1" x14ac:dyDescent="0.25">
      <c r="A459" s="627" t="s">
        <v>112</v>
      </c>
      <c r="B459" s="627"/>
      <c r="C459" s="627"/>
      <c r="D459" s="627"/>
      <c r="E459" s="627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T459" s="627"/>
      <c r="U459" s="627"/>
      <c r="V459" s="627"/>
      <c r="W459" s="627"/>
      <c r="X459" s="627"/>
      <c r="Y459" s="627"/>
      <c r="Z459" s="627"/>
      <c r="AA459" s="66"/>
      <c r="AB459" s="66"/>
      <c r="AC459" s="80"/>
    </row>
    <row r="460" spans="1:68" ht="27" customHeight="1" x14ac:dyDescent="0.25">
      <c r="A460" s="63" t="s">
        <v>722</v>
      </c>
      <c r="B460" s="63" t="s">
        <v>723</v>
      </c>
      <c r="C460" s="36">
        <v>4301011763</v>
      </c>
      <c r="D460" s="628">
        <v>4640242181011</v>
      </c>
      <c r="E460" s="628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117</v>
      </c>
      <c r="L460" s="37" t="s">
        <v>45</v>
      </c>
      <c r="M460" s="38" t="s">
        <v>92</v>
      </c>
      <c r="N460" s="38"/>
      <c r="O460" s="37">
        <v>55</v>
      </c>
      <c r="P460" s="8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30"/>
      <c r="R460" s="630"/>
      <c r="S460" s="630"/>
      <c r="T460" s="631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4301011585</v>
      </c>
      <c r="D461" s="628">
        <v>4640242180441</v>
      </c>
      <c r="E461" s="628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117</v>
      </c>
      <c r="L461" s="37" t="s">
        <v>45</v>
      </c>
      <c r="M461" s="38" t="s">
        <v>116</v>
      </c>
      <c r="N461" s="38"/>
      <c r="O461" s="37">
        <v>50</v>
      </c>
      <c r="P461" s="86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30"/>
      <c r="R461" s="630"/>
      <c r="S461" s="630"/>
      <c r="T461" s="631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4301011584</v>
      </c>
      <c r="D462" s="628">
        <v>4640242180564</v>
      </c>
      <c r="E462" s="628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117</v>
      </c>
      <c r="L462" s="37" t="s">
        <v>118</v>
      </c>
      <c r="M462" s="38" t="s">
        <v>116</v>
      </c>
      <c r="N462" s="38"/>
      <c r="O462" s="37">
        <v>50</v>
      </c>
      <c r="P462" s="8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30"/>
      <c r="R462" s="630"/>
      <c r="S462" s="630"/>
      <c r="T462" s="631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730</v>
      </c>
      <c r="AG462" s="78"/>
      <c r="AJ462" s="84" t="s">
        <v>103</v>
      </c>
      <c r="AK462" s="84">
        <v>96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731</v>
      </c>
      <c r="B463" s="63" t="s">
        <v>732</v>
      </c>
      <c r="C463" s="36">
        <v>4301011764</v>
      </c>
      <c r="D463" s="628">
        <v>4640242181189</v>
      </c>
      <c r="E463" s="628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121</v>
      </c>
      <c r="L463" s="37" t="s">
        <v>45</v>
      </c>
      <c r="M463" s="38" t="s">
        <v>92</v>
      </c>
      <c r="N463" s="38"/>
      <c r="O463" s="37">
        <v>55</v>
      </c>
      <c r="P463" s="86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30"/>
      <c r="R463" s="630"/>
      <c r="S463" s="630"/>
      <c r="T463" s="631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724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6"/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7"/>
      <c r="P464" s="633" t="s">
        <v>40</v>
      </c>
      <c r="Q464" s="634"/>
      <c r="R464" s="634"/>
      <c r="S464" s="634"/>
      <c r="T464" s="634"/>
      <c r="U464" s="634"/>
      <c r="V464" s="635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6"/>
      <c r="B465" s="636"/>
      <c r="C465" s="636"/>
      <c r="D465" s="636"/>
      <c r="E465" s="636"/>
      <c r="F465" s="636"/>
      <c r="G465" s="636"/>
      <c r="H465" s="636"/>
      <c r="I465" s="636"/>
      <c r="J465" s="636"/>
      <c r="K465" s="636"/>
      <c r="L465" s="636"/>
      <c r="M465" s="636"/>
      <c r="N465" s="636"/>
      <c r="O465" s="637"/>
      <c r="P465" s="633" t="s">
        <v>40</v>
      </c>
      <c r="Q465" s="634"/>
      <c r="R465" s="634"/>
      <c r="S465" s="634"/>
      <c r="T465" s="634"/>
      <c r="U465" s="634"/>
      <c r="V465" s="635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7" t="s">
        <v>147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6"/>
      <c r="AB466" s="66"/>
      <c r="AC466" s="80"/>
    </row>
    <row r="467" spans="1:68" ht="27" customHeight="1" x14ac:dyDescent="0.25">
      <c r="A467" s="63" t="s">
        <v>733</v>
      </c>
      <c r="B467" s="63" t="s">
        <v>734</v>
      </c>
      <c r="C467" s="36">
        <v>4301020400</v>
      </c>
      <c r="D467" s="628">
        <v>4640242180519</v>
      </c>
      <c r="E467" s="628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30"/>
      <c r="R467" s="630"/>
      <c r="S467" s="630"/>
      <c r="T467" s="631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736</v>
      </c>
      <c r="B468" s="63" t="s">
        <v>737</v>
      </c>
      <c r="C468" s="36">
        <v>4301020260</v>
      </c>
      <c r="D468" s="628">
        <v>4640242180526</v>
      </c>
      <c r="E468" s="628"/>
      <c r="F468" s="62">
        <v>1.8</v>
      </c>
      <c r="G468" s="37">
        <v>6</v>
      </c>
      <c r="H468" s="62">
        <v>10.8</v>
      </c>
      <c r="I468" s="62">
        <v>11.21</v>
      </c>
      <c r="J468" s="37">
        <v>64</v>
      </c>
      <c r="K468" s="37" t="s">
        <v>117</v>
      </c>
      <c r="L468" s="37" t="s">
        <v>45</v>
      </c>
      <c r="M468" s="38" t="s">
        <v>116</v>
      </c>
      <c r="N468" s="38"/>
      <c r="O468" s="37">
        <v>50</v>
      </c>
      <c r="P468" s="86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630"/>
      <c r="R468" s="630"/>
      <c r="S468" s="630"/>
      <c r="T468" s="631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4" t="s">
        <v>738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6"/>
      <c r="B469" s="636"/>
      <c r="C469" s="636"/>
      <c r="D469" s="636"/>
      <c r="E469" s="636"/>
      <c r="F469" s="636"/>
      <c r="G469" s="636"/>
      <c r="H469" s="636"/>
      <c r="I469" s="636"/>
      <c r="J469" s="636"/>
      <c r="K469" s="636"/>
      <c r="L469" s="636"/>
      <c r="M469" s="636"/>
      <c r="N469" s="636"/>
      <c r="O469" s="637"/>
      <c r="P469" s="633" t="s">
        <v>40</v>
      </c>
      <c r="Q469" s="634"/>
      <c r="R469" s="634"/>
      <c r="S469" s="634"/>
      <c r="T469" s="634"/>
      <c r="U469" s="634"/>
      <c r="V469" s="635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36"/>
      <c r="B470" s="636"/>
      <c r="C470" s="636"/>
      <c r="D470" s="636"/>
      <c r="E470" s="636"/>
      <c r="F470" s="636"/>
      <c r="G470" s="636"/>
      <c r="H470" s="636"/>
      <c r="I470" s="636"/>
      <c r="J470" s="636"/>
      <c r="K470" s="636"/>
      <c r="L470" s="636"/>
      <c r="M470" s="636"/>
      <c r="N470" s="636"/>
      <c r="O470" s="637"/>
      <c r="P470" s="633" t="s">
        <v>40</v>
      </c>
      <c r="Q470" s="634"/>
      <c r="R470" s="634"/>
      <c r="S470" s="634"/>
      <c r="T470" s="634"/>
      <c r="U470" s="634"/>
      <c r="V470" s="635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627" t="s">
        <v>78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6"/>
      <c r="AB471" s="66"/>
      <c r="AC471" s="80"/>
    </row>
    <row r="472" spans="1:68" ht="27" customHeight="1" x14ac:dyDescent="0.25">
      <c r="A472" s="63" t="s">
        <v>739</v>
      </c>
      <c r="B472" s="63" t="s">
        <v>740</v>
      </c>
      <c r="C472" s="36">
        <v>4301031467</v>
      </c>
      <c r="D472" s="628">
        <v>4640242180595</v>
      </c>
      <c r="E472" s="628"/>
      <c r="F472" s="62">
        <v>0.8</v>
      </c>
      <c r="G472" s="37">
        <v>6</v>
      </c>
      <c r="H472" s="62">
        <v>4.8</v>
      </c>
      <c r="I472" s="62">
        <v>5.05</v>
      </c>
      <c r="J472" s="37">
        <v>132</v>
      </c>
      <c r="K472" s="37" t="s">
        <v>121</v>
      </c>
      <c r="L472" s="37" t="s">
        <v>45</v>
      </c>
      <c r="M472" s="38" t="s">
        <v>82</v>
      </c>
      <c r="N472" s="38"/>
      <c r="O472" s="37">
        <v>40</v>
      </c>
      <c r="P472" s="86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630"/>
      <c r="R472" s="630"/>
      <c r="S472" s="630"/>
      <c r="T472" s="631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6"/>
      <c r="B473" s="636"/>
      <c r="C473" s="636"/>
      <c r="D473" s="636"/>
      <c r="E473" s="636"/>
      <c r="F473" s="636"/>
      <c r="G473" s="636"/>
      <c r="H473" s="636"/>
      <c r="I473" s="636"/>
      <c r="J473" s="636"/>
      <c r="K473" s="636"/>
      <c r="L473" s="636"/>
      <c r="M473" s="636"/>
      <c r="N473" s="636"/>
      <c r="O473" s="637"/>
      <c r="P473" s="633" t="s">
        <v>40</v>
      </c>
      <c r="Q473" s="634"/>
      <c r="R473" s="634"/>
      <c r="S473" s="634"/>
      <c r="T473" s="634"/>
      <c r="U473" s="634"/>
      <c r="V473" s="635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36"/>
      <c r="B474" s="636"/>
      <c r="C474" s="636"/>
      <c r="D474" s="636"/>
      <c r="E474" s="636"/>
      <c r="F474" s="636"/>
      <c r="G474" s="636"/>
      <c r="H474" s="636"/>
      <c r="I474" s="636"/>
      <c r="J474" s="636"/>
      <c r="K474" s="636"/>
      <c r="L474" s="636"/>
      <c r="M474" s="636"/>
      <c r="N474" s="636"/>
      <c r="O474" s="637"/>
      <c r="P474" s="633" t="s">
        <v>40</v>
      </c>
      <c r="Q474" s="634"/>
      <c r="R474" s="634"/>
      <c r="S474" s="634"/>
      <c r="T474" s="634"/>
      <c r="U474" s="634"/>
      <c r="V474" s="635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627" t="s">
        <v>88</v>
      </c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7"/>
      <c r="P475" s="627"/>
      <c r="Q475" s="627"/>
      <c r="R475" s="627"/>
      <c r="S475" s="627"/>
      <c r="T475" s="627"/>
      <c r="U475" s="627"/>
      <c r="V475" s="627"/>
      <c r="W475" s="627"/>
      <c r="X475" s="627"/>
      <c r="Y475" s="627"/>
      <c r="Z475" s="627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4301052046</v>
      </c>
      <c r="D476" s="628">
        <v>4640242180533</v>
      </c>
      <c r="E476" s="628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118</v>
      </c>
      <c r="M476" s="38" t="s">
        <v>98</v>
      </c>
      <c r="N476" s="38"/>
      <c r="O476" s="37">
        <v>45</v>
      </c>
      <c r="P476" s="8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30"/>
      <c r="R476" s="630"/>
      <c r="S476" s="630"/>
      <c r="T476" s="631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103</v>
      </c>
      <c r="AK476" s="84">
        <v>72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6"/>
      <c r="B477" s="636"/>
      <c r="C477" s="636"/>
      <c r="D477" s="636"/>
      <c r="E477" s="636"/>
      <c r="F477" s="636"/>
      <c r="G477" s="636"/>
      <c r="H477" s="636"/>
      <c r="I477" s="636"/>
      <c r="J477" s="636"/>
      <c r="K477" s="636"/>
      <c r="L477" s="636"/>
      <c r="M477" s="636"/>
      <c r="N477" s="636"/>
      <c r="O477" s="637"/>
      <c r="P477" s="633" t="s">
        <v>40</v>
      </c>
      <c r="Q477" s="634"/>
      <c r="R477" s="634"/>
      <c r="S477" s="634"/>
      <c r="T477" s="634"/>
      <c r="U477" s="634"/>
      <c r="V477" s="635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6"/>
      <c r="B478" s="636"/>
      <c r="C478" s="636"/>
      <c r="D478" s="636"/>
      <c r="E478" s="636"/>
      <c r="F478" s="636"/>
      <c r="G478" s="636"/>
      <c r="H478" s="636"/>
      <c r="I478" s="636"/>
      <c r="J478" s="636"/>
      <c r="K478" s="636"/>
      <c r="L478" s="636"/>
      <c r="M478" s="636"/>
      <c r="N478" s="636"/>
      <c r="O478" s="637"/>
      <c r="P478" s="633" t="s">
        <v>40</v>
      </c>
      <c r="Q478" s="634"/>
      <c r="R478" s="634"/>
      <c r="S478" s="634"/>
      <c r="T478" s="634"/>
      <c r="U478" s="634"/>
      <c r="V478" s="635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7" t="s">
        <v>172</v>
      </c>
      <c r="B479" s="627"/>
      <c r="C479" s="627"/>
      <c r="D479" s="627"/>
      <c r="E479" s="627"/>
      <c r="F479" s="627"/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T479" s="627"/>
      <c r="U479" s="627"/>
      <c r="V479" s="627"/>
      <c r="W479" s="627"/>
      <c r="X479" s="627"/>
      <c r="Y479" s="627"/>
      <c r="Z479" s="627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4301060491</v>
      </c>
      <c r="D480" s="628">
        <v>4640242180120</v>
      </c>
      <c r="E480" s="628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92</v>
      </c>
      <c r="N480" s="38"/>
      <c r="O480" s="37">
        <v>40</v>
      </c>
      <c r="P480" s="8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30"/>
      <c r="R480" s="630"/>
      <c r="S480" s="630"/>
      <c r="T480" s="631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748</v>
      </c>
      <c r="B481" s="63" t="s">
        <v>749</v>
      </c>
      <c r="C481" s="36">
        <v>4301060493</v>
      </c>
      <c r="D481" s="628">
        <v>4640242180137</v>
      </c>
      <c r="E481" s="628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92</v>
      </c>
      <c r="N481" s="38"/>
      <c r="O481" s="37">
        <v>40</v>
      </c>
      <c r="P481" s="8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30"/>
      <c r="R481" s="630"/>
      <c r="S481" s="630"/>
      <c r="T481" s="631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52" t="s">
        <v>750</v>
      </c>
      <c r="AG481" s="78"/>
      <c r="AJ481" s="84" t="s">
        <v>45</v>
      </c>
      <c r="AK481" s="84">
        <v>0</v>
      </c>
      <c r="BB481" s="553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36"/>
      <c r="B482" s="636"/>
      <c r="C482" s="636"/>
      <c r="D482" s="636"/>
      <c r="E482" s="636"/>
      <c r="F482" s="636"/>
      <c r="G482" s="636"/>
      <c r="H482" s="636"/>
      <c r="I482" s="636"/>
      <c r="J482" s="636"/>
      <c r="K482" s="636"/>
      <c r="L482" s="636"/>
      <c r="M482" s="636"/>
      <c r="N482" s="636"/>
      <c r="O482" s="637"/>
      <c r="P482" s="633" t="s">
        <v>40</v>
      </c>
      <c r="Q482" s="634"/>
      <c r="R482" s="634"/>
      <c r="S482" s="634"/>
      <c r="T482" s="634"/>
      <c r="U482" s="634"/>
      <c r="V482" s="635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36"/>
      <c r="B483" s="636"/>
      <c r="C483" s="636"/>
      <c r="D483" s="636"/>
      <c r="E483" s="636"/>
      <c r="F483" s="636"/>
      <c r="G483" s="636"/>
      <c r="H483" s="636"/>
      <c r="I483" s="636"/>
      <c r="J483" s="636"/>
      <c r="K483" s="636"/>
      <c r="L483" s="636"/>
      <c r="M483" s="636"/>
      <c r="N483" s="636"/>
      <c r="O483" s="637"/>
      <c r="P483" s="633" t="s">
        <v>40</v>
      </c>
      <c r="Q483" s="634"/>
      <c r="R483" s="634"/>
      <c r="S483" s="634"/>
      <c r="T483" s="634"/>
      <c r="U483" s="634"/>
      <c r="V483" s="635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26" t="s">
        <v>751</v>
      </c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6"/>
      <c r="V484" s="626"/>
      <c r="W484" s="626"/>
      <c r="X484" s="626"/>
      <c r="Y484" s="626"/>
      <c r="Z484" s="626"/>
      <c r="AA484" s="65"/>
      <c r="AB484" s="65"/>
      <c r="AC484" s="79"/>
    </row>
    <row r="485" spans="1:68" ht="14.25" customHeight="1" x14ac:dyDescent="0.25">
      <c r="A485" s="627" t="s">
        <v>147</v>
      </c>
      <c r="B485" s="627"/>
      <c r="C485" s="627"/>
      <c r="D485" s="627"/>
      <c r="E485" s="627"/>
      <c r="F485" s="627"/>
      <c r="G485" s="627"/>
      <c r="H485" s="627"/>
      <c r="I485" s="627"/>
      <c r="J485" s="627"/>
      <c r="K485" s="627"/>
      <c r="L485" s="627"/>
      <c r="M485" s="627"/>
      <c r="N485" s="627"/>
      <c r="O485" s="627"/>
      <c r="P485" s="627"/>
      <c r="Q485" s="627"/>
      <c r="R485" s="627"/>
      <c r="S485" s="627"/>
      <c r="T485" s="627"/>
      <c r="U485" s="627"/>
      <c r="V485" s="627"/>
      <c r="W485" s="627"/>
      <c r="X485" s="627"/>
      <c r="Y485" s="627"/>
      <c r="Z485" s="627"/>
      <c r="AA485" s="66"/>
      <c r="AB485" s="66"/>
      <c r="AC485" s="80"/>
    </row>
    <row r="486" spans="1:68" ht="27" customHeight="1" x14ac:dyDescent="0.25">
      <c r="A486" s="63" t="s">
        <v>752</v>
      </c>
      <c r="B486" s="63" t="s">
        <v>753</v>
      </c>
      <c r="C486" s="36">
        <v>4301020314</v>
      </c>
      <c r="D486" s="628">
        <v>4640242180090</v>
      </c>
      <c r="E486" s="628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87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30"/>
      <c r="R486" s="630"/>
      <c r="S486" s="630"/>
      <c r="T486" s="631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4" t="s">
        <v>754</v>
      </c>
      <c r="AG486" s="78"/>
      <c r="AJ486" s="84" t="s">
        <v>45</v>
      </c>
      <c r="AK486" s="84">
        <v>0</v>
      </c>
      <c r="BB486" s="555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6"/>
      <c r="B487" s="636"/>
      <c r="C487" s="636"/>
      <c r="D487" s="636"/>
      <c r="E487" s="636"/>
      <c r="F487" s="636"/>
      <c r="G487" s="636"/>
      <c r="H487" s="636"/>
      <c r="I487" s="636"/>
      <c r="J487" s="636"/>
      <c r="K487" s="636"/>
      <c r="L487" s="636"/>
      <c r="M487" s="636"/>
      <c r="N487" s="636"/>
      <c r="O487" s="637"/>
      <c r="P487" s="633" t="s">
        <v>40</v>
      </c>
      <c r="Q487" s="634"/>
      <c r="R487" s="634"/>
      <c r="S487" s="634"/>
      <c r="T487" s="634"/>
      <c r="U487" s="634"/>
      <c r="V487" s="635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36"/>
      <c r="B488" s="636"/>
      <c r="C488" s="636"/>
      <c r="D488" s="636"/>
      <c r="E488" s="636"/>
      <c r="F488" s="636"/>
      <c r="G488" s="636"/>
      <c r="H488" s="636"/>
      <c r="I488" s="636"/>
      <c r="J488" s="636"/>
      <c r="K488" s="636"/>
      <c r="L488" s="636"/>
      <c r="M488" s="636"/>
      <c r="N488" s="636"/>
      <c r="O488" s="637"/>
      <c r="P488" s="633" t="s">
        <v>40</v>
      </c>
      <c r="Q488" s="634"/>
      <c r="R488" s="634"/>
      <c r="S488" s="634"/>
      <c r="T488" s="634"/>
      <c r="U488" s="634"/>
      <c r="V488" s="635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36"/>
      <c r="B489" s="636"/>
      <c r="C489" s="636"/>
      <c r="D489" s="636"/>
      <c r="E489" s="636"/>
      <c r="F489" s="636"/>
      <c r="G489" s="636"/>
      <c r="H489" s="636"/>
      <c r="I489" s="636"/>
      <c r="J489" s="636"/>
      <c r="K489" s="636"/>
      <c r="L489" s="636"/>
      <c r="M489" s="636"/>
      <c r="N489" s="636"/>
      <c r="O489" s="874"/>
      <c r="P489" s="871" t="s">
        <v>33</v>
      </c>
      <c r="Q489" s="872"/>
      <c r="R489" s="872"/>
      <c r="S489" s="872"/>
      <c r="T489" s="872"/>
      <c r="U489" s="872"/>
      <c r="V489" s="873"/>
      <c r="W489" s="42" t="s">
        <v>0</v>
      </c>
      <c r="X489" s="43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0</v>
      </c>
      <c r="Y489" s="43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0</v>
      </c>
      <c r="Z489" s="42"/>
      <c r="AA489" s="67"/>
      <c r="AB489" s="67"/>
      <c r="AC489" s="67"/>
    </row>
    <row r="490" spans="1:68" x14ac:dyDescent="0.2">
      <c r="A490" s="636"/>
      <c r="B490" s="636"/>
      <c r="C490" s="636"/>
      <c r="D490" s="636"/>
      <c r="E490" s="636"/>
      <c r="F490" s="636"/>
      <c r="G490" s="636"/>
      <c r="H490" s="636"/>
      <c r="I490" s="636"/>
      <c r="J490" s="636"/>
      <c r="K490" s="636"/>
      <c r="L490" s="636"/>
      <c r="M490" s="636"/>
      <c r="N490" s="636"/>
      <c r="O490" s="874"/>
      <c r="P490" s="871" t="s">
        <v>34</v>
      </c>
      <c r="Q490" s="872"/>
      <c r="R490" s="872"/>
      <c r="S490" s="872"/>
      <c r="T490" s="872"/>
      <c r="U490" s="872"/>
      <c r="V490" s="87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36"/>
      <c r="B491" s="636"/>
      <c r="C491" s="636"/>
      <c r="D491" s="636"/>
      <c r="E491" s="636"/>
      <c r="F491" s="636"/>
      <c r="G491" s="636"/>
      <c r="H491" s="636"/>
      <c r="I491" s="636"/>
      <c r="J491" s="636"/>
      <c r="K491" s="636"/>
      <c r="L491" s="636"/>
      <c r="M491" s="636"/>
      <c r="N491" s="636"/>
      <c r="O491" s="874"/>
      <c r="P491" s="871" t="s">
        <v>35</v>
      </c>
      <c r="Q491" s="872"/>
      <c r="R491" s="872"/>
      <c r="S491" s="872"/>
      <c r="T491" s="872"/>
      <c r="U491" s="872"/>
      <c r="V491" s="87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36"/>
      <c r="B492" s="636"/>
      <c r="C492" s="636"/>
      <c r="D492" s="636"/>
      <c r="E492" s="636"/>
      <c r="F492" s="636"/>
      <c r="G492" s="636"/>
      <c r="H492" s="636"/>
      <c r="I492" s="636"/>
      <c r="J492" s="636"/>
      <c r="K492" s="636"/>
      <c r="L492" s="636"/>
      <c r="M492" s="636"/>
      <c r="N492" s="636"/>
      <c r="O492" s="874"/>
      <c r="P492" s="871" t="s">
        <v>36</v>
      </c>
      <c r="Q492" s="872"/>
      <c r="R492" s="872"/>
      <c r="S492" s="872"/>
      <c r="T492" s="872"/>
      <c r="U492" s="872"/>
      <c r="V492" s="87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36"/>
      <c r="B493" s="636"/>
      <c r="C493" s="636"/>
      <c r="D493" s="636"/>
      <c r="E493" s="636"/>
      <c r="F493" s="636"/>
      <c r="G493" s="636"/>
      <c r="H493" s="636"/>
      <c r="I493" s="636"/>
      <c r="J493" s="636"/>
      <c r="K493" s="636"/>
      <c r="L493" s="636"/>
      <c r="M493" s="636"/>
      <c r="N493" s="636"/>
      <c r="O493" s="874"/>
      <c r="P493" s="871" t="s">
        <v>37</v>
      </c>
      <c r="Q493" s="872"/>
      <c r="R493" s="872"/>
      <c r="S493" s="872"/>
      <c r="T493" s="872"/>
      <c r="U493" s="872"/>
      <c r="V493" s="873"/>
      <c r="W493" s="42" t="s">
        <v>20</v>
      </c>
      <c r="X493" s="43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0</v>
      </c>
      <c r="Y493" s="43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0</v>
      </c>
      <c r="Z493" s="42"/>
      <c r="AA493" s="67"/>
      <c r="AB493" s="67"/>
      <c r="AC493" s="67"/>
    </row>
    <row r="494" spans="1:68" ht="14.25" x14ac:dyDescent="0.2">
      <c r="A494" s="636"/>
      <c r="B494" s="636"/>
      <c r="C494" s="636"/>
      <c r="D494" s="636"/>
      <c r="E494" s="636"/>
      <c r="F494" s="636"/>
      <c r="G494" s="636"/>
      <c r="H494" s="636"/>
      <c r="I494" s="636"/>
      <c r="J494" s="636"/>
      <c r="K494" s="636"/>
      <c r="L494" s="636"/>
      <c r="M494" s="636"/>
      <c r="N494" s="636"/>
      <c r="O494" s="874"/>
      <c r="P494" s="871" t="s">
        <v>38</v>
      </c>
      <c r="Q494" s="872"/>
      <c r="R494" s="872"/>
      <c r="S494" s="872"/>
      <c r="T494" s="872"/>
      <c r="U494" s="872"/>
      <c r="V494" s="873"/>
      <c r="W494" s="45" t="s">
        <v>51</v>
      </c>
      <c r="X494" s="42"/>
      <c r="Y494" s="42"/>
      <c r="Z494" s="42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77" t="s">
        <v>110</v>
      </c>
      <c r="D496" s="877" t="s">
        <v>110</v>
      </c>
      <c r="E496" s="877" t="s">
        <v>110</v>
      </c>
      <c r="F496" s="877" t="s">
        <v>110</v>
      </c>
      <c r="G496" s="877" t="s">
        <v>110</v>
      </c>
      <c r="H496" s="877" t="s">
        <v>110</v>
      </c>
      <c r="I496" s="877" t="s">
        <v>274</v>
      </c>
      <c r="J496" s="877" t="s">
        <v>274</v>
      </c>
      <c r="K496" s="877" t="s">
        <v>274</v>
      </c>
      <c r="L496" s="877" t="s">
        <v>274</v>
      </c>
      <c r="M496" s="877" t="s">
        <v>274</v>
      </c>
      <c r="N496" s="878"/>
      <c r="O496" s="877" t="s">
        <v>274</v>
      </c>
      <c r="P496" s="877" t="s">
        <v>274</v>
      </c>
      <c r="Q496" s="877" t="s">
        <v>274</v>
      </c>
      <c r="R496" s="877" t="s">
        <v>274</v>
      </c>
      <c r="S496" s="877" t="s">
        <v>564</v>
      </c>
      <c r="T496" s="877" t="s">
        <v>564</v>
      </c>
      <c r="U496" s="877" t="s">
        <v>618</v>
      </c>
      <c r="V496" s="877" t="s">
        <v>618</v>
      </c>
      <c r="W496" s="877" t="s">
        <v>618</v>
      </c>
      <c r="X496" s="85" t="s">
        <v>669</v>
      </c>
      <c r="Y496" s="877" t="s">
        <v>721</v>
      </c>
      <c r="Z496" s="877" t="s">
        <v>721</v>
      </c>
      <c r="AB496" s="60"/>
      <c r="AC496" s="60"/>
      <c r="AF496" s="1"/>
    </row>
    <row r="497" spans="1:32" ht="14.25" customHeight="1" thickTop="1" x14ac:dyDescent="0.2">
      <c r="A497" s="875" t="s">
        <v>10</v>
      </c>
      <c r="B497" s="877" t="s">
        <v>77</v>
      </c>
      <c r="C497" s="877" t="s">
        <v>111</v>
      </c>
      <c r="D497" s="877" t="s">
        <v>128</v>
      </c>
      <c r="E497" s="877" t="s">
        <v>179</v>
      </c>
      <c r="F497" s="877" t="s">
        <v>201</v>
      </c>
      <c r="G497" s="877" t="s">
        <v>238</v>
      </c>
      <c r="H497" s="877" t="s">
        <v>110</v>
      </c>
      <c r="I497" s="877" t="s">
        <v>275</v>
      </c>
      <c r="J497" s="877" t="s">
        <v>330</v>
      </c>
      <c r="K497" s="877" t="s">
        <v>390</v>
      </c>
      <c r="L497" s="877" t="s">
        <v>431</v>
      </c>
      <c r="M497" s="877" t="s">
        <v>447</v>
      </c>
      <c r="N497" s="1"/>
      <c r="O497" s="877" t="s">
        <v>458</v>
      </c>
      <c r="P497" s="877" t="s">
        <v>467</v>
      </c>
      <c r="Q497" s="877" t="s">
        <v>480</v>
      </c>
      <c r="R497" s="877" t="s">
        <v>554</v>
      </c>
      <c r="S497" s="877" t="s">
        <v>565</v>
      </c>
      <c r="T497" s="877" t="s">
        <v>600</v>
      </c>
      <c r="U497" s="877" t="s">
        <v>619</v>
      </c>
      <c r="V497" s="877" t="s">
        <v>650</v>
      </c>
      <c r="W497" s="877" t="s">
        <v>665</v>
      </c>
      <c r="X497" s="877" t="s">
        <v>669</v>
      </c>
      <c r="Y497" s="877" t="s">
        <v>721</v>
      </c>
      <c r="Z497" s="877" t="s">
        <v>751</v>
      </c>
      <c r="AB497" s="60"/>
      <c r="AC497" s="60"/>
      <c r="AF497" s="1"/>
    </row>
    <row r="498" spans="1:32" ht="13.5" thickBot="1" x14ac:dyDescent="0.25">
      <c r="A498" s="876"/>
      <c r="B498" s="877"/>
      <c r="C498" s="877"/>
      <c r="D498" s="877"/>
      <c r="E498" s="877"/>
      <c r="F498" s="877"/>
      <c r="G498" s="877"/>
      <c r="H498" s="877"/>
      <c r="I498" s="877"/>
      <c r="J498" s="877"/>
      <c r="K498" s="877"/>
      <c r="L498" s="877"/>
      <c r="M498" s="877"/>
      <c r="N498" s="1"/>
      <c r="O498" s="877"/>
      <c r="P498" s="877"/>
      <c r="Q498" s="877"/>
      <c r="R498" s="877"/>
      <c r="S498" s="877"/>
      <c r="T498" s="877"/>
      <c r="U498" s="877"/>
      <c r="V498" s="877"/>
      <c r="W498" s="877"/>
      <c r="X498" s="877"/>
      <c r="Y498" s="877"/>
      <c r="Z498" s="87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IFERROR(Y22*1,"0")+IFERROR(Y23*1,"0")+IFERROR(Y27*1,"0")+IFERROR(Y28*1,"0")+IFERROR(Y29*1,"0")+IFERROR(Y30*1,"0")+IFERROR(Y34*1,"0")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9" s="52">
        <f>IFERROR(Y84*1,"0")+IFERROR(Y85*1,"0")+IFERROR(Y86*1,"0")+IFERROR(Y87*1,"0")+IFERROR(Y91*1,"0")+IFERROR(Y92*1,"0")+IFERROR(Y93*1,"0")+IFERROR(Y94*1,"0")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9" s="52">
        <f>IFERROR(Y126*1,"0")+IFERROR(Y127*1,"0")+IFERROR(Y131*1,"0")+IFERROR(Y132*1,"0")+IFERROR(Y136*1,"0")+IFERROR(Y137*1,"0")</f>
        <v>0</v>
      </c>
      <c r="H499" s="52">
        <f>IFERROR(Y142*1,"0")+IFERROR(Y143*1,"0")+IFERROR(Y147*1,"0")+IFERROR(Y148*1,"0")+IFERROR(Y149*1,"0")+IFERROR(Y150*1,"0")+IFERROR(Y151*1,"0")+IFERROR(Y155*1,"0")</f>
        <v>0</v>
      </c>
      <c r="I499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9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52">
        <f>IFERROR(Y261*1,"0")+IFERROR(Y262*1,"0")+IFERROR(Y263*1,"0")+IFERROR(Y264*1,"0")+IFERROR(Y265*1,"0")</f>
        <v>0</v>
      </c>
      <c r="M499" s="52">
        <f>IFERROR(Y270*1,"0")+IFERROR(Y271*1,"0")+IFERROR(Y272*1,"0")+IFERROR(Y273*1,"0")</f>
        <v>0</v>
      </c>
      <c r="N499" s="1"/>
      <c r="O499" s="52">
        <f>IFERROR(Y278*1,"0")+IFERROR(Y279*1,"0")+IFERROR(Y280*1,"0")</f>
        <v>0</v>
      </c>
      <c r="P499" s="52">
        <f>IFERROR(Y285*1,"0")+IFERROR(Y286*1,"0")+IFERROR(Y290*1,"0")+IFERROR(Y291*1,"0")</f>
        <v>0</v>
      </c>
      <c r="Q499" s="52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499" s="52">
        <f>IFERROR(Y341*1,"0")+IFERROR(Y342*1,"0")+IFERROR(Y343*1,"0")</f>
        <v>0</v>
      </c>
      <c r="S499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499" s="52">
        <f>IFERROR(Y374*1,"0")+IFERROR(Y375*1,"0")+IFERROR(Y379*1,"0")+IFERROR(Y380*1,"0")+IFERROR(Y384*1,"0")+IFERROR(Y385*1,"0")+IFERROR(Y386*1,"0")</f>
        <v>0</v>
      </c>
      <c r="U499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52">
        <f>IFERROR(Y410*1,"0")+IFERROR(Y414*1,"0")+IFERROR(Y415*1,"0")+IFERROR(Y416*1,"0")+IFERROR(Y417*1,"0")</f>
        <v>0</v>
      </c>
      <c r="W499" s="52">
        <f>IFERROR(Y422*1,"0")</f>
        <v>0</v>
      </c>
      <c r="X499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0</v>
      </c>
      <c r="Y499" s="52">
        <f>IFERROR(Y460*1,"0")+IFERROR(Y461*1,"0")+IFERROR(Y462*1,"0")+IFERROR(Y463*1,"0")+IFERROR(Y467*1,"0")+IFERROR(Y468*1,"0")+IFERROR(Y472*1,"0")+IFERROR(Y476*1,"0")+IFERROR(Y480*1,"0")+IFERROR(Y481*1,"0")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76 X462 X449:X451 X443 X434 X431:X432 X428 X414 X404:X405 X394 X392 X384:X385 X379 X374:X375 X364:X365 X355 X341:X343 X330 X321:X323 X317 X314 X308:X310 X305:X306 X300:X301 X297:X298 X290 X280 X265 X263 X261 X239 X235 X226 X216:X222 X210 X203:X208 X194 X176 X171 X169 X167 X165 X150 X143 X137 X131:X132 X126:X127 X121 X114:X117 X101:X102 X99 X94 X91 X87 X84 X78:X79 X74 X72 X60 X55 X51 X46 X42 X4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9"/>
    </row>
    <row r="3" spans="2:8" x14ac:dyDescent="0.2">
      <c r="B3" s="53" t="s">
        <v>756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758</v>
      </c>
      <c r="D6" s="53" t="s">
        <v>759</v>
      </c>
      <c r="E6" s="53" t="s">
        <v>45</v>
      </c>
    </row>
    <row r="8" spans="2:8" x14ac:dyDescent="0.2">
      <c r="B8" s="53" t="s">
        <v>76</v>
      </c>
      <c r="C8" s="53" t="s">
        <v>758</v>
      </c>
      <c r="D8" s="53" t="s">
        <v>45</v>
      </c>
      <c r="E8" s="53" t="s">
        <v>45</v>
      </c>
    </row>
    <row r="10" spans="2:8" x14ac:dyDescent="0.2">
      <c r="B10" s="53" t="s">
        <v>760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761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762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770</v>
      </c>
      <c r="C20" s="53" t="s">
        <v>45</v>
      </c>
      <c r="D20" s="53" t="s">
        <v>45</v>
      </c>
      <c r="E20" s="53" t="s">
        <v>45</v>
      </c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