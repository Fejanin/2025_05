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DB8B1D2-5B6C-47C1-B90D-C9BBFABE96F9}" xr6:coauthVersionLast="47" xr6:coauthVersionMax="47" xr10:uidLastSave="{00000000-0000-0000-0000-000000000000}"/>
  <bookViews>
    <workbookView xWindow="2955" yWindow="60" windowWidth="2314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N533" i="2"/>
  <c r="BM533" i="2"/>
  <c r="Y533" i="2"/>
  <c r="Y534" i="2" s="1"/>
  <c r="P533" i="2"/>
  <c r="Y531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N521" i="2"/>
  <c r="BM521" i="2"/>
  <c r="Y521" i="2"/>
  <c r="Y522" i="2" s="1"/>
  <c r="P521" i="2"/>
  <c r="Y517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P513" i="2"/>
  <c r="BO513" i="2"/>
  <c r="BM513" i="2"/>
  <c r="Z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P510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P505" i="2"/>
  <c r="BO505" i="2"/>
  <c r="BM505" i="2"/>
  <c r="Y505" i="2"/>
  <c r="P505" i="2"/>
  <c r="BO504" i="2"/>
  <c r="BN504" i="2"/>
  <c r="BM504" i="2"/>
  <c r="Y504" i="2"/>
  <c r="BP504" i="2" s="1"/>
  <c r="P504" i="2"/>
  <c r="BP503" i="2"/>
  <c r="BO503" i="2"/>
  <c r="BN503" i="2"/>
  <c r="BM503" i="2"/>
  <c r="Z503" i="2"/>
  <c r="Y503" i="2"/>
  <c r="Y507" i="2" s="1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N496" i="2"/>
  <c r="BM496" i="2"/>
  <c r="Y496" i="2"/>
  <c r="BP496" i="2" s="1"/>
  <c r="P496" i="2"/>
  <c r="BO495" i="2"/>
  <c r="BN495" i="2"/>
  <c r="BM495" i="2"/>
  <c r="Y495" i="2"/>
  <c r="Z495" i="2" s="1"/>
  <c r="P495" i="2"/>
  <c r="BO494" i="2"/>
  <c r="BN494" i="2"/>
  <c r="BM494" i="2"/>
  <c r="Y494" i="2"/>
  <c r="BP494" i="2" s="1"/>
  <c r="P494" i="2"/>
  <c r="BO493" i="2"/>
  <c r="BN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N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Y476" i="2"/>
  <c r="X476" i="2"/>
  <c r="BO475" i="2"/>
  <c r="BM475" i="2"/>
  <c r="Z475" i="2"/>
  <c r="Z476" i="2" s="1"/>
  <c r="Y475" i="2"/>
  <c r="BN475" i="2" s="1"/>
  <c r="P475" i="2"/>
  <c r="X473" i="2"/>
  <c r="Y472" i="2"/>
  <c r="X472" i="2"/>
  <c r="BO471" i="2"/>
  <c r="BN471" i="2"/>
  <c r="BM471" i="2"/>
  <c r="Y471" i="2"/>
  <c r="BP471" i="2" s="1"/>
  <c r="P471" i="2"/>
  <c r="BO470" i="2"/>
  <c r="BN470" i="2"/>
  <c r="BM470" i="2"/>
  <c r="Y470" i="2"/>
  <c r="Z470" i="2" s="1"/>
  <c r="P470" i="2"/>
  <c r="BO469" i="2"/>
  <c r="BN469" i="2"/>
  <c r="BM469" i="2"/>
  <c r="Y469" i="2"/>
  <c r="BP469" i="2" s="1"/>
  <c r="P469" i="2"/>
  <c r="BO468" i="2"/>
  <c r="BN468" i="2"/>
  <c r="BM468" i="2"/>
  <c r="Y468" i="2"/>
  <c r="BP468" i="2" s="1"/>
  <c r="P468" i="2"/>
  <c r="BO467" i="2"/>
  <c r="BM467" i="2"/>
  <c r="Y467" i="2"/>
  <c r="BN467" i="2" s="1"/>
  <c r="P467" i="2"/>
  <c r="BP466" i="2"/>
  <c r="BO466" i="2"/>
  <c r="BM466" i="2"/>
  <c r="Y466" i="2"/>
  <c r="Y473" i="2" s="1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N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N449" i="2"/>
  <c r="BM449" i="2"/>
  <c r="Y449" i="2"/>
  <c r="P449" i="2"/>
  <c r="X446" i="2"/>
  <c r="X445" i="2"/>
  <c r="BO444" i="2"/>
  <c r="BM444" i="2"/>
  <c r="Y444" i="2"/>
  <c r="P444" i="2"/>
  <c r="BO443" i="2"/>
  <c r="BN443" i="2"/>
  <c r="BM443" i="2"/>
  <c r="Y443" i="2"/>
  <c r="P443" i="2"/>
  <c r="X441" i="2"/>
  <c r="X440" i="2"/>
  <c r="BO439" i="2"/>
  <c r="BM439" i="2"/>
  <c r="Y439" i="2"/>
  <c r="BP439" i="2" s="1"/>
  <c r="P439" i="2"/>
  <c r="BO438" i="2"/>
  <c r="BN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Z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N427" i="2"/>
  <c r="BM427" i="2"/>
  <c r="Y427" i="2"/>
  <c r="BP427" i="2" s="1"/>
  <c r="P427" i="2"/>
  <c r="BP426" i="2"/>
  <c r="BO426" i="2"/>
  <c r="BN426" i="2"/>
  <c r="BM426" i="2"/>
  <c r="Z426" i="2"/>
  <c r="Y426" i="2"/>
  <c r="P426" i="2"/>
  <c r="BO425" i="2"/>
  <c r="BM425" i="2"/>
  <c r="Y425" i="2"/>
  <c r="P425" i="2"/>
  <c r="BO424" i="2"/>
  <c r="BN424" i="2"/>
  <c r="BM424" i="2"/>
  <c r="Y424" i="2"/>
  <c r="BP424" i="2" s="1"/>
  <c r="P424" i="2"/>
  <c r="BO423" i="2"/>
  <c r="BM423" i="2"/>
  <c r="Y423" i="2"/>
  <c r="P423" i="2"/>
  <c r="BO422" i="2"/>
  <c r="BM422" i="2"/>
  <c r="Z422" i="2"/>
  <c r="Y422" i="2"/>
  <c r="BP422" i="2" s="1"/>
  <c r="P422" i="2"/>
  <c r="BO421" i="2"/>
  <c r="BM421" i="2"/>
  <c r="Y421" i="2"/>
  <c r="BP421" i="2" s="1"/>
  <c r="P421" i="2"/>
  <c r="BO420" i="2"/>
  <c r="BN420" i="2"/>
  <c r="BM420" i="2"/>
  <c r="Y420" i="2"/>
  <c r="P420" i="2"/>
  <c r="X416" i="2"/>
  <c r="X415" i="2"/>
  <c r="BO414" i="2"/>
  <c r="BN414" i="2"/>
  <c r="BM414" i="2"/>
  <c r="Y414" i="2"/>
  <c r="BP414" i="2" s="1"/>
  <c r="P414" i="2"/>
  <c r="BP413" i="2"/>
  <c r="BO413" i="2"/>
  <c r="BM413" i="2"/>
  <c r="Z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P406" i="2"/>
  <c r="BO406" i="2"/>
  <c r="BM406" i="2"/>
  <c r="Y406" i="2"/>
  <c r="U55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N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X391" i="2"/>
  <c r="X390" i="2"/>
  <c r="BO389" i="2"/>
  <c r="BN389" i="2"/>
  <c r="BM389" i="2"/>
  <c r="Y389" i="2"/>
  <c r="BP389" i="2" s="1"/>
  <c r="P389" i="2"/>
  <c r="BP388" i="2"/>
  <c r="BO388" i="2"/>
  <c r="BM388" i="2"/>
  <c r="Z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N381" i="2"/>
  <c r="BM381" i="2"/>
  <c r="Z381" i="2"/>
  <c r="Y381" i="2"/>
  <c r="BP381" i="2" s="1"/>
  <c r="P381" i="2"/>
  <c r="BP380" i="2"/>
  <c r="BO380" i="2"/>
  <c r="BM380" i="2"/>
  <c r="Z380" i="2"/>
  <c r="Y380" i="2"/>
  <c r="Y383" i="2" s="1"/>
  <c r="P380" i="2"/>
  <c r="Y378" i="2"/>
  <c r="X378" i="2"/>
  <c r="X377" i="2"/>
  <c r="BO376" i="2"/>
  <c r="BN376" i="2"/>
  <c r="BM376" i="2"/>
  <c r="Z376" i="2"/>
  <c r="Y376" i="2"/>
  <c r="BP376" i="2" s="1"/>
  <c r="P376" i="2"/>
  <c r="BP375" i="2"/>
  <c r="BO375" i="2"/>
  <c r="BM375" i="2"/>
  <c r="Z375" i="2"/>
  <c r="Y375" i="2"/>
  <c r="BN375" i="2" s="1"/>
  <c r="P375" i="2"/>
  <c r="BO374" i="2"/>
  <c r="BM374" i="2"/>
  <c r="Y374" i="2"/>
  <c r="BN374" i="2" s="1"/>
  <c r="P374" i="2"/>
  <c r="BP373" i="2"/>
  <c r="BO373" i="2"/>
  <c r="BM373" i="2"/>
  <c r="Y373" i="2"/>
  <c r="Y377" i="2" s="1"/>
  <c r="P373" i="2"/>
  <c r="X371" i="2"/>
  <c r="X370" i="2"/>
  <c r="BO369" i="2"/>
  <c r="BM369" i="2"/>
  <c r="Y369" i="2"/>
  <c r="BP369" i="2" s="1"/>
  <c r="P369" i="2"/>
  <c r="BO368" i="2"/>
  <c r="BN368" i="2"/>
  <c r="BM368" i="2"/>
  <c r="Y368" i="2"/>
  <c r="BP368" i="2" s="1"/>
  <c r="P368" i="2"/>
  <c r="BO367" i="2"/>
  <c r="BM367" i="2"/>
  <c r="Y367" i="2"/>
  <c r="P367" i="2"/>
  <c r="BO366" i="2"/>
  <c r="BN366" i="2"/>
  <c r="BM366" i="2"/>
  <c r="Z366" i="2"/>
  <c r="Y366" i="2"/>
  <c r="BP366" i="2" s="1"/>
  <c r="P366" i="2"/>
  <c r="BP365" i="2"/>
  <c r="BO365" i="2"/>
  <c r="BM365" i="2"/>
  <c r="Z365" i="2"/>
  <c r="Y365" i="2"/>
  <c r="BN365" i="2" s="1"/>
  <c r="P365" i="2"/>
  <c r="BO364" i="2"/>
  <c r="BM364" i="2"/>
  <c r="Y364" i="2"/>
  <c r="BN364" i="2" s="1"/>
  <c r="P364" i="2"/>
  <c r="BP363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N358" i="2"/>
  <c r="BM358" i="2"/>
  <c r="Y358" i="2"/>
  <c r="BP358" i="2" s="1"/>
  <c r="P358" i="2"/>
  <c r="BO357" i="2"/>
  <c r="BM357" i="2"/>
  <c r="Y357" i="2"/>
  <c r="P357" i="2"/>
  <c r="BO356" i="2"/>
  <c r="BN356" i="2"/>
  <c r="BM356" i="2"/>
  <c r="Z356" i="2"/>
  <c r="Y356" i="2"/>
  <c r="BP356" i="2" s="1"/>
  <c r="P356" i="2"/>
  <c r="BP355" i="2"/>
  <c r="BO355" i="2"/>
  <c r="BM355" i="2"/>
  <c r="Z355" i="2"/>
  <c r="Y355" i="2"/>
  <c r="BN355" i="2" s="1"/>
  <c r="P355" i="2"/>
  <c r="BO354" i="2"/>
  <c r="BM354" i="2"/>
  <c r="Y354" i="2"/>
  <c r="BN354" i="2" s="1"/>
  <c r="P354" i="2"/>
  <c r="BP353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N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P335" i="2"/>
  <c r="BO335" i="2"/>
  <c r="BM335" i="2"/>
  <c r="Z335" i="2"/>
  <c r="Y335" i="2"/>
  <c r="BN335" i="2" s="1"/>
  <c r="P335" i="2"/>
  <c r="BO334" i="2"/>
  <c r="BM334" i="2"/>
  <c r="Y334" i="2"/>
  <c r="P334" i="2"/>
  <c r="BO333" i="2"/>
  <c r="BM333" i="2"/>
  <c r="Z333" i="2"/>
  <c r="Y333" i="2"/>
  <c r="BP333" i="2" s="1"/>
  <c r="P333" i="2"/>
  <c r="BO332" i="2"/>
  <c r="BM332" i="2"/>
  <c r="Z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Z326" i="2"/>
  <c r="Y326" i="2"/>
  <c r="BP326" i="2" s="1"/>
  <c r="P326" i="2"/>
  <c r="BO325" i="2"/>
  <c r="BM325" i="2"/>
  <c r="Y325" i="2"/>
  <c r="P325" i="2"/>
  <c r="X322" i="2"/>
  <c r="X321" i="2"/>
  <c r="BO320" i="2"/>
  <c r="BM320" i="2"/>
  <c r="Z320" i="2"/>
  <c r="Y320" i="2"/>
  <c r="BP320" i="2" s="1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Z315" i="2"/>
  <c r="Y315" i="2"/>
  <c r="P315" i="2"/>
  <c r="X312" i="2"/>
  <c r="X311" i="2"/>
  <c r="BO310" i="2"/>
  <c r="BN310" i="2"/>
  <c r="BM310" i="2"/>
  <c r="Y310" i="2"/>
  <c r="Z310" i="2" s="1"/>
  <c r="P310" i="2"/>
  <c r="BO309" i="2"/>
  <c r="BN309" i="2"/>
  <c r="BM309" i="2"/>
  <c r="Y309" i="2"/>
  <c r="BP309" i="2" s="1"/>
  <c r="P309" i="2"/>
  <c r="X307" i="2"/>
  <c r="X306" i="2"/>
  <c r="BO305" i="2"/>
  <c r="BM305" i="2"/>
  <c r="Y305" i="2"/>
  <c r="P305" i="2"/>
  <c r="X303" i="2"/>
  <c r="Y302" i="2"/>
  <c r="X302" i="2"/>
  <c r="BO301" i="2"/>
  <c r="BN301" i="2"/>
  <c r="BM301" i="2"/>
  <c r="Y301" i="2"/>
  <c r="Y303" i="2" s="1"/>
  <c r="P301" i="2"/>
  <c r="X299" i="2"/>
  <c r="X298" i="2"/>
  <c r="BO297" i="2"/>
  <c r="BM297" i="2"/>
  <c r="Y297" i="2"/>
  <c r="P297" i="2"/>
  <c r="BO296" i="2"/>
  <c r="BN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Z293" i="2"/>
  <c r="Y293" i="2"/>
  <c r="BN293" i="2" s="1"/>
  <c r="P293" i="2"/>
  <c r="BO292" i="2"/>
  <c r="BM292" i="2"/>
  <c r="Y292" i="2"/>
  <c r="P292" i="2"/>
  <c r="BO291" i="2"/>
  <c r="BN291" i="2"/>
  <c r="BM291" i="2"/>
  <c r="Y291" i="2"/>
  <c r="P291" i="2"/>
  <c r="X288" i="2"/>
  <c r="X287" i="2"/>
  <c r="BO286" i="2"/>
  <c r="BM286" i="2"/>
  <c r="Y286" i="2"/>
  <c r="P286" i="2"/>
  <c r="BO285" i="2"/>
  <c r="BN285" i="2"/>
  <c r="BM285" i="2"/>
  <c r="Y285" i="2"/>
  <c r="P285" i="2"/>
  <c r="X283" i="2"/>
  <c r="X282" i="2"/>
  <c r="BO281" i="2"/>
  <c r="BM281" i="2"/>
  <c r="Y281" i="2"/>
  <c r="BP281" i="2" s="1"/>
  <c r="P281" i="2"/>
  <c r="BO280" i="2"/>
  <c r="BN280" i="2"/>
  <c r="BM280" i="2"/>
  <c r="Y280" i="2"/>
  <c r="BP280" i="2" s="1"/>
  <c r="P280" i="2"/>
  <c r="BO279" i="2"/>
  <c r="BM279" i="2"/>
  <c r="Y279" i="2"/>
  <c r="BP279" i="2" s="1"/>
  <c r="P279" i="2"/>
  <c r="BP278" i="2"/>
  <c r="BO278" i="2"/>
  <c r="BM278" i="2"/>
  <c r="Z278" i="2"/>
  <c r="Y278" i="2"/>
  <c r="BN278" i="2" s="1"/>
  <c r="P278" i="2"/>
  <c r="BO277" i="2"/>
  <c r="BN277" i="2"/>
  <c r="BM277" i="2"/>
  <c r="Y277" i="2"/>
  <c r="Z277" i="2" s="1"/>
  <c r="P277" i="2"/>
  <c r="BO276" i="2"/>
  <c r="BM276" i="2"/>
  <c r="Y276" i="2"/>
  <c r="P276" i="2"/>
  <c r="BO275" i="2"/>
  <c r="BN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Z272" i="2"/>
  <c r="Y272" i="2"/>
  <c r="BN272" i="2" s="1"/>
  <c r="P272" i="2"/>
  <c r="BO271" i="2"/>
  <c r="BM271" i="2"/>
  <c r="Y271" i="2"/>
  <c r="P271" i="2"/>
  <c r="BO270" i="2"/>
  <c r="BN270" i="2"/>
  <c r="BM270" i="2"/>
  <c r="Y270" i="2"/>
  <c r="P270" i="2"/>
  <c r="X268" i="2"/>
  <c r="X267" i="2"/>
  <c r="BO266" i="2"/>
  <c r="BM266" i="2"/>
  <c r="Y266" i="2"/>
  <c r="P266" i="2"/>
  <c r="BO265" i="2"/>
  <c r="BN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Z262" i="2"/>
  <c r="Y262" i="2"/>
  <c r="BN262" i="2" s="1"/>
  <c r="P262" i="2"/>
  <c r="BO261" i="2"/>
  <c r="BM261" i="2"/>
  <c r="Y261" i="2"/>
  <c r="P261" i="2"/>
  <c r="BO260" i="2"/>
  <c r="BN260" i="2"/>
  <c r="BM260" i="2"/>
  <c r="Y260" i="2"/>
  <c r="P260" i="2"/>
  <c r="BP259" i="2"/>
  <c r="BO259" i="2"/>
  <c r="BN259" i="2"/>
  <c r="BM259" i="2"/>
  <c r="Z259" i="2"/>
  <c r="Y259" i="2"/>
  <c r="Y268" i="2" s="1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P240" i="2"/>
  <c r="BO240" i="2"/>
  <c r="BM240" i="2"/>
  <c r="Y240" i="2"/>
  <c r="BN240" i="2" s="1"/>
  <c r="P240" i="2"/>
  <c r="BO239" i="2"/>
  <c r="BM239" i="2"/>
  <c r="Z239" i="2"/>
  <c r="Y239" i="2"/>
  <c r="BN239" i="2" s="1"/>
  <c r="P239" i="2"/>
  <c r="BO238" i="2"/>
  <c r="BM238" i="2"/>
  <c r="Z238" i="2"/>
  <c r="Y238" i="2"/>
  <c r="P238" i="2"/>
  <c r="Y236" i="2"/>
  <c r="X236" i="2"/>
  <c r="X235" i="2"/>
  <c r="BO234" i="2"/>
  <c r="BN234" i="2"/>
  <c r="BM234" i="2"/>
  <c r="Y234" i="2"/>
  <c r="Z234" i="2" s="1"/>
  <c r="P234" i="2"/>
  <c r="BO233" i="2"/>
  <c r="BM233" i="2"/>
  <c r="Y233" i="2"/>
  <c r="P233" i="2"/>
  <c r="BO232" i="2"/>
  <c r="BN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P225" i="2"/>
  <c r="BO225" i="2"/>
  <c r="BM225" i="2"/>
  <c r="Z225" i="2"/>
  <c r="Y225" i="2"/>
  <c r="BN225" i="2" s="1"/>
  <c r="P225" i="2"/>
  <c r="BO224" i="2"/>
  <c r="BM224" i="2"/>
  <c r="Y224" i="2"/>
  <c r="Z224" i="2" s="1"/>
  <c r="P224" i="2"/>
  <c r="BO223" i="2"/>
  <c r="BM223" i="2"/>
  <c r="Z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N217" i="2"/>
  <c r="BM217" i="2"/>
  <c r="Y217" i="2"/>
  <c r="BP217" i="2" s="1"/>
  <c r="P217" i="2"/>
  <c r="BP216" i="2"/>
  <c r="BO216" i="2"/>
  <c r="BN216" i="2"/>
  <c r="BM216" i="2"/>
  <c r="Z216" i="2"/>
  <c r="Y216" i="2"/>
  <c r="P216" i="2"/>
  <c r="BP215" i="2"/>
  <c r="BO215" i="2"/>
  <c r="BM215" i="2"/>
  <c r="Z215" i="2"/>
  <c r="Y215" i="2"/>
  <c r="BN215" i="2" s="1"/>
  <c r="P215" i="2"/>
  <c r="BO214" i="2"/>
  <c r="BM214" i="2"/>
  <c r="Z214" i="2"/>
  <c r="Y214" i="2"/>
  <c r="BP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P204" i="2"/>
  <c r="BO204" i="2"/>
  <c r="BN204" i="2"/>
  <c r="BM204" i="2"/>
  <c r="Z204" i="2"/>
  <c r="Y204" i="2"/>
  <c r="P204" i="2"/>
  <c r="BO203" i="2"/>
  <c r="BM203" i="2"/>
  <c r="Y203" i="2"/>
  <c r="Z203" i="2" s="1"/>
  <c r="P203" i="2"/>
  <c r="BO202" i="2"/>
  <c r="BM202" i="2"/>
  <c r="Z202" i="2"/>
  <c r="Y202" i="2"/>
  <c r="BP202" i="2" s="1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P185" i="2"/>
  <c r="BO185" i="2"/>
  <c r="BM185" i="2"/>
  <c r="Y185" i="2"/>
  <c r="Y187" i="2" s="1"/>
  <c r="P185" i="2"/>
  <c r="BO184" i="2"/>
  <c r="BM184" i="2"/>
  <c r="Z184" i="2"/>
  <c r="Y184" i="2"/>
  <c r="BN184" i="2" s="1"/>
  <c r="P184" i="2"/>
  <c r="X182" i="2"/>
  <c r="X181" i="2"/>
  <c r="BO180" i="2"/>
  <c r="BN180" i="2"/>
  <c r="BM180" i="2"/>
  <c r="Y180" i="2"/>
  <c r="BP180" i="2" s="1"/>
  <c r="P180" i="2"/>
  <c r="BO179" i="2"/>
  <c r="BM179" i="2"/>
  <c r="Y179" i="2"/>
  <c r="P179" i="2"/>
  <c r="BO178" i="2"/>
  <c r="BN178" i="2"/>
  <c r="BM178" i="2"/>
  <c r="Z178" i="2"/>
  <c r="Y178" i="2"/>
  <c r="BP178" i="2" s="1"/>
  <c r="P178" i="2"/>
  <c r="BO177" i="2"/>
  <c r="BM177" i="2"/>
  <c r="Z177" i="2"/>
  <c r="Y177" i="2"/>
  <c r="BN177" i="2" s="1"/>
  <c r="P177" i="2"/>
  <c r="BO176" i="2"/>
  <c r="BM176" i="2"/>
  <c r="Y176" i="2"/>
  <c r="BN176" i="2" s="1"/>
  <c r="P176" i="2"/>
  <c r="BP175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Z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N159" i="2"/>
  <c r="BM159" i="2"/>
  <c r="Y159" i="2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P149" i="2"/>
  <c r="BO149" i="2"/>
  <c r="BN149" i="2"/>
  <c r="BM149" i="2"/>
  <c r="Z149" i="2"/>
  <c r="Y149" i="2"/>
  <c r="P149" i="2"/>
  <c r="BO148" i="2"/>
  <c r="BM148" i="2"/>
  <c r="Y148" i="2"/>
  <c r="BP148" i="2" s="1"/>
  <c r="P148" i="2"/>
  <c r="BP147" i="2"/>
  <c r="BO147" i="2"/>
  <c r="BN147" i="2"/>
  <c r="BM147" i="2"/>
  <c r="Z147" i="2"/>
  <c r="Y147" i="2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P136" i="2"/>
  <c r="BO136" i="2"/>
  <c r="BN136" i="2"/>
  <c r="BM136" i="2"/>
  <c r="Z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H556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P120" i="2"/>
  <c r="BO120" i="2"/>
  <c r="BN120" i="2"/>
  <c r="BM120" i="2"/>
  <c r="Z120" i="2"/>
  <c r="Y120" i="2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P113" i="2"/>
  <c r="BO113" i="2"/>
  <c r="BN113" i="2"/>
  <c r="BM113" i="2"/>
  <c r="Z113" i="2"/>
  <c r="Y113" i="2"/>
  <c r="P113" i="2"/>
  <c r="BO112" i="2"/>
  <c r="BM112" i="2"/>
  <c r="Y112" i="2"/>
  <c r="Z112" i="2" s="1"/>
  <c r="P112" i="2"/>
  <c r="BO111" i="2"/>
  <c r="BN111" i="2"/>
  <c r="BM111" i="2"/>
  <c r="Z111" i="2"/>
  <c r="Y111" i="2"/>
  <c r="BP111" i="2" s="1"/>
  <c r="P111" i="2"/>
  <c r="X109" i="2"/>
  <c r="X108" i="2"/>
  <c r="BO107" i="2"/>
  <c r="BN107" i="2"/>
  <c r="BM107" i="2"/>
  <c r="Z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N102" i="2"/>
  <c r="BM102" i="2"/>
  <c r="Y102" i="2"/>
  <c r="Z102" i="2" s="1"/>
  <c r="P102" i="2"/>
  <c r="BO101" i="2"/>
  <c r="BM101" i="2"/>
  <c r="Y101" i="2"/>
  <c r="G556" i="2" s="1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N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Z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N86" i="2"/>
  <c r="BM86" i="2"/>
  <c r="Z86" i="2"/>
  <c r="Y86" i="2"/>
  <c r="BP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Z72" i="2"/>
  <c r="Y72" i="2"/>
  <c r="BP72" i="2" s="1"/>
  <c r="P72" i="2"/>
  <c r="X70" i="2"/>
  <c r="X69" i="2"/>
  <c r="BO68" i="2"/>
  <c r="BN68" i="2"/>
  <c r="BM68" i="2"/>
  <c r="Y68" i="2"/>
  <c r="Z68" i="2" s="1"/>
  <c r="P68" i="2"/>
  <c r="BO67" i="2"/>
  <c r="BM67" i="2"/>
  <c r="Y67" i="2"/>
  <c r="BP67" i="2" s="1"/>
  <c r="P67" i="2"/>
  <c r="BP66" i="2"/>
  <c r="BO66" i="2"/>
  <c r="BN66" i="2"/>
  <c r="BM66" i="2"/>
  <c r="Z66" i="2"/>
  <c r="Y66" i="2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P59" i="2"/>
  <c r="BO59" i="2"/>
  <c r="BN59" i="2"/>
  <c r="BM59" i="2"/>
  <c r="Z59" i="2"/>
  <c r="Y59" i="2"/>
  <c r="P59" i="2"/>
  <c r="BO58" i="2"/>
  <c r="BM58" i="2"/>
  <c r="Y58" i="2"/>
  <c r="Z58" i="2" s="1"/>
  <c r="P58" i="2"/>
  <c r="BO57" i="2"/>
  <c r="BN57" i="2"/>
  <c r="BM57" i="2"/>
  <c r="Z57" i="2"/>
  <c r="Y57" i="2"/>
  <c r="BP57" i="2" s="1"/>
  <c r="P57" i="2"/>
  <c r="BP56" i="2"/>
  <c r="BO56" i="2"/>
  <c r="BM56" i="2"/>
  <c r="Z56" i="2"/>
  <c r="Y56" i="2"/>
  <c r="BN56" i="2" s="1"/>
  <c r="P56" i="2"/>
  <c r="BP55" i="2"/>
  <c r="BO55" i="2"/>
  <c r="BM55" i="2"/>
  <c r="Y55" i="2"/>
  <c r="BN55" i="2" s="1"/>
  <c r="P55" i="2"/>
  <c r="BO54" i="2"/>
  <c r="BM54" i="2"/>
  <c r="Y54" i="2"/>
  <c r="E556" i="2" s="1"/>
  <c r="P54" i="2"/>
  <c r="X51" i="2"/>
  <c r="X50" i="2"/>
  <c r="BO49" i="2"/>
  <c r="BM49" i="2"/>
  <c r="Y49" i="2"/>
  <c r="BP49" i="2" s="1"/>
  <c r="P49" i="2"/>
  <c r="BP48" i="2"/>
  <c r="BO48" i="2"/>
  <c r="BM48" i="2"/>
  <c r="Z48" i="2"/>
  <c r="Y48" i="2"/>
  <c r="BN48" i="2" s="1"/>
  <c r="P48" i="2"/>
  <c r="BO47" i="2"/>
  <c r="BN47" i="2"/>
  <c r="BM47" i="2"/>
  <c r="Y47" i="2"/>
  <c r="Z47" i="2" s="1"/>
  <c r="P47" i="2"/>
  <c r="BO46" i="2"/>
  <c r="BM46" i="2"/>
  <c r="Z46" i="2"/>
  <c r="Y46" i="2"/>
  <c r="BP46" i="2" s="1"/>
  <c r="P46" i="2"/>
  <c r="X42" i="2"/>
  <c r="X41" i="2"/>
  <c r="BO40" i="2"/>
  <c r="BM40" i="2"/>
  <c r="Z40" i="2"/>
  <c r="Y40" i="2"/>
  <c r="BP40" i="2" s="1"/>
  <c r="P40" i="2"/>
  <c r="BO39" i="2"/>
  <c r="BN39" i="2"/>
  <c r="BM39" i="2"/>
  <c r="Y39" i="2"/>
  <c r="BP39" i="2" s="1"/>
  <c r="P39" i="2"/>
  <c r="BO38" i="2"/>
  <c r="BN38" i="2"/>
  <c r="BM38" i="2"/>
  <c r="Y38" i="2"/>
  <c r="BP38" i="2" s="1"/>
  <c r="P38" i="2"/>
  <c r="BO37" i="2"/>
  <c r="BM37" i="2"/>
  <c r="Y37" i="2"/>
  <c r="BP37" i="2" s="1"/>
  <c r="P37" i="2"/>
  <c r="BP36" i="2"/>
  <c r="BO36" i="2"/>
  <c r="BM36" i="2"/>
  <c r="Z36" i="2"/>
  <c r="Y36" i="2"/>
  <c r="C556" i="2" s="1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Z28" i="2"/>
  <c r="Y28" i="2"/>
  <c r="BP28" i="2" s="1"/>
  <c r="P28" i="2"/>
  <c r="BO27" i="2"/>
  <c r="BN27" i="2"/>
  <c r="BM27" i="2"/>
  <c r="Y27" i="2"/>
  <c r="BP27" i="2" s="1"/>
  <c r="P27" i="2"/>
  <c r="BO26" i="2"/>
  <c r="BM26" i="2"/>
  <c r="Y26" i="2"/>
  <c r="BP26" i="2" s="1"/>
  <c r="P26" i="2"/>
  <c r="X24" i="2"/>
  <c r="X23" i="2"/>
  <c r="BP22" i="2"/>
  <c r="BO22" i="2"/>
  <c r="BM22" i="2"/>
  <c r="Z22" i="2"/>
  <c r="Z23" i="2" s="1"/>
  <c r="Y22" i="2"/>
  <c r="Y24" i="2" s="1"/>
  <c r="P22" i="2"/>
  <c r="H10" i="2"/>
  <c r="A9" i="2"/>
  <c r="J9" i="2" s="1"/>
  <c r="D7" i="2"/>
  <c r="Q6" i="2"/>
  <c r="P2" i="2"/>
  <c r="F10" i="2" l="1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Z74" i="2"/>
  <c r="BP73" i="2"/>
  <c r="BP122" i="2"/>
  <c r="Z151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Z383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Z287" i="2" s="1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Z445" i="2" s="1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Z336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X549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0" i="2" s="1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Z133" i="2" s="1"/>
  <c r="Y144" i="2"/>
  <c r="Z154" i="2"/>
  <c r="Z155" i="2" s="1"/>
  <c r="BP189" i="2"/>
  <c r="Y235" i="2"/>
  <c r="BP244" i="2"/>
  <c r="Y311" i="2"/>
  <c r="Z341" i="2"/>
  <c r="Z395" i="2"/>
  <c r="Y409" i="2"/>
  <c r="Z421" i="2"/>
  <c r="Z428" i="2" s="1"/>
  <c r="Z431" i="2"/>
  <c r="Z434" i="2" s="1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86" i="2" s="1"/>
  <c r="Z199" i="2"/>
  <c r="Z210" i="2"/>
  <c r="Z211" i="2" s="1"/>
  <c r="Z220" i="2"/>
  <c r="Z230" i="2"/>
  <c r="Z240" i="2"/>
  <c r="Z241" i="2" s="1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50" i="2" s="1"/>
  <c r="Z93" i="2"/>
  <c r="Z104" i="2"/>
  <c r="Z114" i="2"/>
  <c r="Z116" i="2" s="1"/>
  <c r="BP339" i="2"/>
  <c r="Z348" i="2"/>
  <c r="Z349" i="2" s="1"/>
  <c r="Z359" i="2"/>
  <c r="Z369" i="2"/>
  <c r="BP393" i="2"/>
  <c r="Z401" i="2"/>
  <c r="Z402" i="2" s="1"/>
  <c r="Z437" i="2"/>
  <c r="Z440" i="2" s="1"/>
  <c r="Z460" i="2"/>
  <c r="Z461" i="2" s="1"/>
  <c r="Z485" i="2"/>
  <c r="Z487" i="2" s="1"/>
  <c r="Z497" i="2"/>
  <c r="Y556" i="2"/>
  <c r="BN72" i="2"/>
  <c r="Z161" i="2"/>
  <c r="Y211" i="2"/>
  <c r="Y241" i="2"/>
  <c r="Z249" i="2"/>
  <c r="Z251" i="2" s="1"/>
  <c r="Z279" i="2"/>
  <c r="Y23" i="2"/>
  <c r="BN30" i="2"/>
  <c r="Z55" i="2"/>
  <c r="Z65" i="2"/>
  <c r="Z69" i="2" s="1"/>
  <c r="BN77" i="2"/>
  <c r="Y80" i="2"/>
  <c r="BN88" i="2"/>
  <c r="BP101" i="2"/>
  <c r="Z119" i="2"/>
  <c r="Z123" i="2" s="1"/>
  <c r="BN132" i="2"/>
  <c r="Z142" i="2"/>
  <c r="Z166" i="2"/>
  <c r="Z168" i="2" s="1"/>
  <c r="Z176" i="2"/>
  <c r="Z200" i="2"/>
  <c r="Z221" i="2"/>
  <c r="Z231" i="2"/>
  <c r="Z254" i="2"/>
  <c r="Z256" i="2" s="1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Z138" i="2" s="1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Y548" i="2" s="1"/>
  <c r="I556" i="2"/>
  <c r="AB556" i="2"/>
  <c r="Z37" i="2"/>
  <c r="Z41" i="2" s="1"/>
  <c r="Z159" i="2"/>
  <c r="Z267" i="2" l="1"/>
  <c r="Z415" i="2"/>
  <c r="Z321" i="2"/>
  <c r="Y547" i="2"/>
  <c r="Y549" i="2" s="1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Z551" i="2" l="1"/>
</calcChain>
</file>

<file path=xl/sharedStrings.xml><?xml version="1.0" encoding="utf-8"?>
<sst xmlns="http://schemas.openxmlformats.org/spreadsheetml/2006/main" count="4125" uniqueCount="875">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</sst>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6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6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/>
      <c r="I5" s="976"/>
      <c r="J5" s="976"/>
      <c r="K5" s="976"/>
      <c r="L5" s="976"/>
      <c r="M5" s="976"/>
      <c r="N5" s="72"/>
      <c r="P5" s="27" t="s">
        <v>4</v>
      </c>
      <c r="Q5" s="978">
        <v>46310</v>
      </c>
      <c r="R5" s="978"/>
      <c r="T5" s="979" t="s">
        <v>3</v>
      </c>
      <c r="U5" s="980"/>
      <c r="V5" s="981" t="s">
        <v>851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858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Четверг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customHeight="1" x14ac:dyDescent="0.2">
      <c r="A19" s="650" t="s">
        <v>76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54"/>
      <c r="AB19" s="54"/>
      <c r="AC19" s="54"/>
    </row>
    <row r="20" spans="1:68" ht="16.5" customHeight="1" x14ac:dyDescent="0.25">
      <c r="A20" s="643" t="s">
        <v>76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5"/>
      <c r="AB20" s="65"/>
      <c r="AC20" s="79"/>
    </row>
    <row r="21" spans="1:68" ht="14.25" customHeight="1" x14ac:dyDescent="0.25">
      <c r="A21" s="644" t="s">
        <v>77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639">
        <v>4680115889071</v>
      </c>
      <c r="E22" s="639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1"/>
      <c r="R22" s="641"/>
      <c r="S22" s="641"/>
      <c r="T22" s="64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33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0" t="s">
        <v>40</v>
      </c>
      <c r="Q23" s="631"/>
      <c r="R23" s="631"/>
      <c r="S23" s="631"/>
      <c r="T23" s="631"/>
      <c r="U23" s="631"/>
      <c r="V23" s="632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44" t="s">
        <v>83</v>
      </c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4"/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4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39">
        <v>4680115885912</v>
      </c>
      <c r="E26" s="63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1"/>
      <c r="R26" s="641"/>
      <c r="S26" s="641"/>
      <c r="T26" s="64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39">
        <v>4607091388237</v>
      </c>
      <c r="E27" s="63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1"/>
      <c r="R27" s="641"/>
      <c r="S27" s="641"/>
      <c r="T27" s="64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39">
        <v>4680115887350</v>
      </c>
      <c r="E28" s="63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1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1"/>
      <c r="R28" s="641"/>
      <c r="S28" s="641"/>
      <c r="T28" s="64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39">
        <v>4680115885905</v>
      </c>
      <c r="E29" s="63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1"/>
      <c r="R29" s="641"/>
      <c r="S29" s="641"/>
      <c r="T29" s="64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639">
        <v>4680115887619</v>
      </c>
      <c r="E30" s="639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1"/>
      <c r="R30" s="641"/>
      <c r="S30" s="641"/>
      <c r="T30" s="64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3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0" t="s">
        <v>40</v>
      </c>
      <c r="Q31" s="631"/>
      <c r="R31" s="631"/>
      <c r="S31" s="631"/>
      <c r="T31" s="631"/>
      <c r="U31" s="631"/>
      <c r="V31" s="632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customHeight="1" x14ac:dyDescent="0.2">
      <c r="A33" s="650" t="s">
        <v>45</v>
      </c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54"/>
      <c r="AB33" s="54"/>
      <c r="AC33" s="54"/>
    </row>
    <row r="34" spans="1:68" ht="16.5" customHeight="1" x14ac:dyDescent="0.25">
      <c r="A34" s="643" t="s">
        <v>101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5"/>
      <c r="AB34" s="65"/>
      <c r="AC34" s="79"/>
    </row>
    <row r="35" spans="1:68" ht="14.25" customHeight="1" x14ac:dyDescent="0.25">
      <c r="A35" s="644" t="s">
        <v>83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6"/>
      <c r="AB35" s="66"/>
      <c r="AC35" s="80"/>
    </row>
    <row r="36" spans="1:68" ht="27" customHeight="1" x14ac:dyDescent="0.25">
      <c r="A36" s="63" t="s">
        <v>102</v>
      </c>
      <c r="B36" s="63" t="s">
        <v>103</v>
      </c>
      <c r="C36" s="36">
        <v>4301052187</v>
      </c>
      <c r="D36" s="639">
        <v>4680115889354</v>
      </c>
      <c r="E36" s="639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41"/>
      <c r="R36" s="641"/>
      <c r="S36" s="641"/>
      <c r="T36" s="64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customHeight="1" x14ac:dyDescent="0.25">
      <c r="A37" s="63" t="s">
        <v>105</v>
      </c>
      <c r="B37" s="63" t="s">
        <v>106</v>
      </c>
      <c r="C37" s="36">
        <v>4301052198</v>
      </c>
      <c r="D37" s="639">
        <v>4680115888463</v>
      </c>
      <c r="E37" s="63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9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41"/>
      <c r="R37" s="641"/>
      <c r="S37" s="641"/>
      <c r="T37" s="64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4301052259</v>
      </c>
      <c r="D38" s="639">
        <v>4680115889590</v>
      </c>
      <c r="E38" s="639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90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41"/>
      <c r="R38" s="641"/>
      <c r="S38" s="641"/>
      <c r="T38" s="64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4301052184</v>
      </c>
      <c r="D39" s="639">
        <v>4680115888272</v>
      </c>
      <c r="E39" s="639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9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41"/>
      <c r="R39" s="641"/>
      <c r="S39" s="641"/>
      <c r="T39" s="64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4301052188</v>
      </c>
      <c r="D40" s="639">
        <v>4680115888364</v>
      </c>
      <c r="E40" s="63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9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41"/>
      <c r="R40" s="641"/>
      <c r="S40" s="641"/>
      <c r="T40" s="64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63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0" t="s">
        <v>40</v>
      </c>
      <c r="Q41" s="631"/>
      <c r="R41" s="631"/>
      <c r="S41" s="631"/>
      <c r="T41" s="631"/>
      <c r="U41" s="631"/>
      <c r="V41" s="632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0" t="s">
        <v>40</v>
      </c>
      <c r="Q42" s="631"/>
      <c r="R42" s="631"/>
      <c r="S42" s="631"/>
      <c r="T42" s="631"/>
      <c r="U42" s="631"/>
      <c r="V42" s="632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customHeight="1" x14ac:dyDescent="0.2">
      <c r="A43" s="650" t="s">
        <v>117</v>
      </c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V43" s="650"/>
      <c r="W43" s="650"/>
      <c r="X43" s="650"/>
      <c r="Y43" s="650"/>
      <c r="Z43" s="650"/>
      <c r="AA43" s="54"/>
      <c r="AB43" s="54"/>
      <c r="AC43" s="54"/>
    </row>
    <row r="44" spans="1:68" ht="16.5" customHeight="1" x14ac:dyDescent="0.25">
      <c r="A44" s="643" t="s">
        <v>118</v>
      </c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  <c r="Z44" s="643"/>
      <c r="AA44" s="65"/>
      <c r="AB44" s="65"/>
      <c r="AC44" s="79"/>
    </row>
    <row r="45" spans="1:68" ht="14.25" customHeight="1" x14ac:dyDescent="0.25">
      <c r="A45" s="644" t="s">
        <v>119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39">
        <v>4607091385670</v>
      </c>
      <c r="E46" s="639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9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41"/>
      <c r="R46" s="641"/>
      <c r="S46" s="641"/>
      <c r="T46" s="642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IFERROR(IF(Y46=0,"",ROUNDUP(Y46/H46,0)*0.01898),"")</f>
        <v/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125</v>
      </c>
      <c r="B47" s="63" t="s">
        <v>126</v>
      </c>
      <c r="C47" s="36">
        <v>4301012053</v>
      </c>
      <c r="D47" s="639">
        <v>4680115887725</v>
      </c>
      <c r="E47" s="639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9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41"/>
      <c r="R47" s="641"/>
      <c r="S47" s="641"/>
      <c r="T47" s="64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39">
        <v>4607091385687</v>
      </c>
      <c r="E48" s="639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41"/>
      <c r="R48" s="641"/>
      <c r="S48" s="641"/>
      <c r="T48" s="64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4301011565</v>
      </c>
      <c r="D49" s="639">
        <v>4680115882539</v>
      </c>
      <c r="E49" s="639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9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41"/>
      <c r="R49" s="641"/>
      <c r="S49" s="641"/>
      <c r="T49" s="64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0" t="s">
        <v>40</v>
      </c>
      <c r="Q51" s="631"/>
      <c r="R51" s="631"/>
      <c r="S51" s="631"/>
      <c r="T51" s="631"/>
      <c r="U51" s="631"/>
      <c r="V51" s="632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16.5" customHeight="1" x14ac:dyDescent="0.25">
      <c r="A52" s="643" t="s">
        <v>134</v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5"/>
      <c r="AB52" s="65"/>
      <c r="AC52" s="79"/>
    </row>
    <row r="53" spans="1:68" ht="14.25" customHeight="1" x14ac:dyDescent="0.25">
      <c r="A53" s="644" t="s">
        <v>119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6"/>
      <c r="AB53" s="66"/>
      <c r="AC53" s="80"/>
    </row>
    <row r="54" spans="1:68" ht="27" customHeight="1" x14ac:dyDescent="0.25">
      <c r="A54" s="63" t="s">
        <v>135</v>
      </c>
      <c r="B54" s="63" t="s">
        <v>136</v>
      </c>
      <c r="C54" s="36">
        <v>4301012161</v>
      </c>
      <c r="D54" s="639">
        <v>4680115885882</v>
      </c>
      <c r="E54" s="639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89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41"/>
      <c r="R54" s="641"/>
      <c r="S54" s="641"/>
      <c r="T54" s="642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39">
        <v>4680115881426</v>
      </c>
      <c r="E55" s="63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41"/>
      <c r="R55" s="641"/>
      <c r="S55" s="641"/>
      <c r="T55" s="64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4301012162</v>
      </c>
      <c r="D56" s="639">
        <v>4680115881426</v>
      </c>
      <c r="E56" s="63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89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41"/>
      <c r="R56" s="641"/>
      <c r="S56" s="641"/>
      <c r="T56" s="64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4301012259</v>
      </c>
      <c r="D57" s="639">
        <v>4680115880283</v>
      </c>
      <c r="E57" s="63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89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1"/>
      <c r="R57" s="641"/>
      <c r="S57" s="641"/>
      <c r="T57" s="64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4301011806</v>
      </c>
      <c r="D58" s="639">
        <v>4680115881525</v>
      </c>
      <c r="E58" s="63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8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1"/>
      <c r="R58" s="641"/>
      <c r="S58" s="641"/>
      <c r="T58" s="64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4301012159</v>
      </c>
      <c r="D59" s="639">
        <v>4680115881525</v>
      </c>
      <c r="E59" s="63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1"/>
      <c r="R59" s="641"/>
      <c r="S59" s="641"/>
      <c r="T59" s="64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4301012165</v>
      </c>
      <c r="D60" s="639">
        <v>4680115885899</v>
      </c>
      <c r="E60" s="63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89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1"/>
      <c r="R60" s="641"/>
      <c r="S60" s="641"/>
      <c r="T60" s="64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39">
        <v>4680115881419</v>
      </c>
      <c r="E61" s="63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41"/>
      <c r="R61" s="641"/>
      <c r="S61" s="641"/>
      <c r="T61" s="64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33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0" t="s">
        <v>40</v>
      </c>
      <c r="Q62" s="631"/>
      <c r="R62" s="631"/>
      <c r="S62" s="631"/>
      <c r="T62" s="631"/>
      <c r="U62" s="631"/>
      <c r="V62" s="632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0</v>
      </c>
      <c r="Y62" s="43">
        <f>IFERROR(Y54/H54,"0")+IFERROR(Y55/H55,"0")+IFERROR(Y56/H56,"0")+IFERROR(Y57/H57,"0")+IFERROR(Y58/H58,"0")+IFERROR(Y59/H59,"0")+IFERROR(Y60/H60,"0")+IFERROR(Y61/H61,"0")</f>
        <v>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0" t="s">
        <v>40</v>
      </c>
      <c r="Q63" s="631"/>
      <c r="R63" s="631"/>
      <c r="S63" s="631"/>
      <c r="T63" s="631"/>
      <c r="U63" s="631"/>
      <c r="V63" s="632"/>
      <c r="W63" s="42" t="s">
        <v>0</v>
      </c>
      <c r="X63" s="43">
        <f>IFERROR(SUM(X54:X61),"0")</f>
        <v>0</v>
      </c>
      <c r="Y63" s="43">
        <f>IFERROR(SUM(Y54:Y61),"0")</f>
        <v>0</v>
      </c>
      <c r="Z63" s="42"/>
      <c r="AA63" s="67"/>
      <c r="AB63" s="67"/>
      <c r="AC63" s="67"/>
    </row>
    <row r="64" spans="1:68" ht="14.25" customHeight="1" x14ac:dyDescent="0.25">
      <c r="A64" s="644" t="s">
        <v>154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39">
        <v>4680115881440</v>
      </c>
      <c r="E65" s="63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89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41"/>
      <c r="R65" s="641"/>
      <c r="S65" s="641"/>
      <c r="T65" s="64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158</v>
      </c>
      <c r="B66" s="63" t="s">
        <v>159</v>
      </c>
      <c r="C66" s="36">
        <v>4301020358</v>
      </c>
      <c r="D66" s="639">
        <v>4680115885950</v>
      </c>
      <c r="E66" s="63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8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1"/>
      <c r="R66" s="641"/>
      <c r="S66" s="641"/>
      <c r="T66" s="64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161</v>
      </c>
      <c r="B67" s="63" t="s">
        <v>162</v>
      </c>
      <c r="C67" s="36">
        <v>4301020371</v>
      </c>
      <c r="D67" s="639">
        <v>4680115887688</v>
      </c>
      <c r="E67" s="63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88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1"/>
      <c r="R67" s="641"/>
      <c r="S67" s="641"/>
      <c r="T67" s="64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39">
        <v>4680115881433</v>
      </c>
      <c r="E68" s="63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88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41"/>
      <c r="R68" s="641"/>
      <c r="S68" s="641"/>
      <c r="T68" s="64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3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0" t="s">
        <v>40</v>
      </c>
      <c r="Q69" s="631"/>
      <c r="R69" s="631"/>
      <c r="S69" s="631"/>
      <c r="T69" s="631"/>
      <c r="U69" s="631"/>
      <c r="V69" s="632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44" t="s">
        <v>83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6"/>
      <c r="AB71" s="66"/>
      <c r="AC71" s="80"/>
    </row>
    <row r="72" spans="1:68" ht="16.5" customHeight="1" x14ac:dyDescent="0.25">
      <c r="A72" s="63" t="s">
        <v>166</v>
      </c>
      <c r="B72" s="63" t="s">
        <v>167</v>
      </c>
      <c r="C72" s="36">
        <v>4301051837</v>
      </c>
      <c r="D72" s="639">
        <v>4680115884311</v>
      </c>
      <c r="E72" s="63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8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1"/>
      <c r="R72" s="641"/>
      <c r="S72" s="641"/>
      <c r="T72" s="64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170</v>
      </c>
      <c r="C73" s="36">
        <v>4301052083</v>
      </c>
      <c r="D73" s="639">
        <v>4680115884403</v>
      </c>
      <c r="E73" s="63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88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1"/>
      <c r="R73" s="641"/>
      <c r="S73" s="641"/>
      <c r="T73" s="64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44" t="s">
        <v>172</v>
      </c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4"/>
      <c r="P76" s="644"/>
      <c r="Q76" s="644"/>
      <c r="R76" s="644"/>
      <c r="S76" s="644"/>
      <c r="T76" s="644"/>
      <c r="U76" s="644"/>
      <c r="V76" s="644"/>
      <c r="W76" s="644"/>
      <c r="X76" s="644"/>
      <c r="Y76" s="644"/>
      <c r="Z76" s="644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39">
        <v>4680115881532</v>
      </c>
      <c r="E77" s="63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1"/>
      <c r="R77" s="641"/>
      <c r="S77" s="641"/>
      <c r="T77" s="64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176</v>
      </c>
      <c r="C78" s="36">
        <v>4301060526</v>
      </c>
      <c r="D78" s="639">
        <v>4680115881532</v>
      </c>
      <c r="E78" s="63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88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1"/>
      <c r="R78" s="641"/>
      <c r="S78" s="641"/>
      <c r="T78" s="64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177</v>
      </c>
      <c r="B79" s="63" t="s">
        <v>178</v>
      </c>
      <c r="C79" s="36">
        <v>4301060527</v>
      </c>
      <c r="D79" s="639">
        <v>4680115881464</v>
      </c>
      <c r="E79" s="63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41"/>
      <c r="R79" s="641"/>
      <c r="S79" s="641"/>
      <c r="T79" s="64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0" t="s">
        <v>40</v>
      </c>
      <c r="Q81" s="631"/>
      <c r="R81" s="631"/>
      <c r="S81" s="631"/>
      <c r="T81" s="631"/>
      <c r="U81" s="631"/>
      <c r="V81" s="632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customHeight="1" x14ac:dyDescent="0.25">
      <c r="A82" s="643" t="s">
        <v>180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5"/>
      <c r="AB82" s="65"/>
      <c r="AC82" s="79"/>
    </row>
    <row r="83" spans="1:68" ht="14.25" customHeight="1" x14ac:dyDescent="0.25">
      <c r="A83" s="644" t="s">
        <v>119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39">
        <v>4680115881327</v>
      </c>
      <c r="E84" s="63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8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1"/>
      <c r="R84" s="641"/>
      <c r="S84" s="641"/>
      <c r="T84" s="642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customHeight="1" x14ac:dyDescent="0.25">
      <c r="A85" s="63" t="s">
        <v>181</v>
      </c>
      <c r="B85" s="63" t="s">
        <v>184</v>
      </c>
      <c r="C85" s="36">
        <v>4301012251</v>
      </c>
      <c r="D85" s="639">
        <v>4680115881327</v>
      </c>
      <c r="E85" s="63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87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41"/>
      <c r="R85" s="641"/>
      <c r="S85" s="641"/>
      <c r="T85" s="64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4301012392</v>
      </c>
      <c r="D86" s="639">
        <v>4680115887732</v>
      </c>
      <c r="E86" s="639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87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1"/>
      <c r="R86" s="641"/>
      <c r="S86" s="641"/>
      <c r="T86" s="64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39">
        <v>4680115881518</v>
      </c>
      <c r="E87" s="63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1"/>
      <c r="R87" s="641"/>
      <c r="S87" s="641"/>
      <c r="T87" s="64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188</v>
      </c>
      <c r="B88" s="63" t="s">
        <v>190</v>
      </c>
      <c r="C88" s="36">
        <v>4301012252</v>
      </c>
      <c r="D88" s="639">
        <v>4680115881518</v>
      </c>
      <c r="E88" s="63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88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41"/>
      <c r="R88" s="641"/>
      <c r="S88" s="641"/>
      <c r="T88" s="64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39">
        <v>4680115881303</v>
      </c>
      <c r="E89" s="63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88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1"/>
      <c r="R89" s="641"/>
      <c r="S89" s="641"/>
      <c r="T89" s="64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customHeight="1" x14ac:dyDescent="0.25">
      <c r="A92" s="644" t="s">
        <v>83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39">
        <v>4607091386967</v>
      </c>
      <c r="E93" s="63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8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1"/>
      <c r="R93" s="641"/>
      <c r="S93" s="641"/>
      <c r="T93" s="64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196</v>
      </c>
      <c r="B94" s="63" t="s">
        <v>197</v>
      </c>
      <c r="C94" s="36">
        <v>4301052090</v>
      </c>
      <c r="D94" s="639">
        <v>4680115884953</v>
      </c>
      <c r="E94" s="63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8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1"/>
      <c r="R94" s="641"/>
      <c r="S94" s="641"/>
      <c r="T94" s="64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39">
        <v>4607091385731</v>
      </c>
      <c r="E95" s="63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8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1"/>
      <c r="R95" s="641"/>
      <c r="S95" s="641"/>
      <c r="T95" s="64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201</v>
      </c>
      <c r="B96" s="63" t="s">
        <v>202</v>
      </c>
      <c r="C96" s="36">
        <v>4301052092</v>
      </c>
      <c r="D96" s="639">
        <v>4680115880894</v>
      </c>
      <c r="E96" s="63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87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1"/>
      <c r="R96" s="641"/>
      <c r="S96" s="641"/>
      <c r="T96" s="64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43" t="s">
        <v>204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5"/>
      <c r="AB99" s="65"/>
      <c r="AC99" s="79"/>
    </row>
    <row r="100" spans="1:68" ht="14.25" customHeight="1" x14ac:dyDescent="0.25">
      <c r="A100" s="644" t="s">
        <v>119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6"/>
      <c r="AB100" s="66"/>
      <c r="AC100" s="80"/>
    </row>
    <row r="101" spans="1:68" ht="37.5" customHeight="1" x14ac:dyDescent="0.25">
      <c r="A101" s="63" t="s">
        <v>205</v>
      </c>
      <c r="B101" s="63" t="s">
        <v>206</v>
      </c>
      <c r="C101" s="36">
        <v>4301011514</v>
      </c>
      <c r="D101" s="639">
        <v>4680115882133</v>
      </c>
      <c r="E101" s="63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8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1"/>
      <c r="R101" s="641"/>
      <c r="S101" s="641"/>
      <c r="T101" s="64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customHeight="1" x14ac:dyDescent="0.25">
      <c r="A102" s="63" t="s">
        <v>205</v>
      </c>
      <c r="B102" s="63" t="s">
        <v>208</v>
      </c>
      <c r="C102" s="36">
        <v>4301012256</v>
      </c>
      <c r="D102" s="639">
        <v>4680115882133</v>
      </c>
      <c r="E102" s="63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8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1"/>
      <c r="R102" s="641"/>
      <c r="S102" s="641"/>
      <c r="T102" s="64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customHeight="1" x14ac:dyDescent="0.25">
      <c r="A103" s="63" t="s">
        <v>210</v>
      </c>
      <c r="B103" s="63" t="s">
        <v>211</v>
      </c>
      <c r="C103" s="36">
        <v>4301012379</v>
      </c>
      <c r="D103" s="639">
        <v>4680115887718</v>
      </c>
      <c r="E103" s="63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8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1"/>
      <c r="R103" s="641"/>
      <c r="S103" s="641"/>
      <c r="T103" s="64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4301012253</v>
      </c>
      <c r="D104" s="639">
        <v>4680115880269</v>
      </c>
      <c r="E104" s="63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8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41"/>
      <c r="R104" s="641"/>
      <c r="S104" s="641"/>
      <c r="T104" s="64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39">
        <v>4680115880429</v>
      </c>
      <c r="E105" s="63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8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1"/>
      <c r="R105" s="641"/>
      <c r="S105" s="641"/>
      <c r="T105" s="64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217</v>
      </c>
      <c r="B106" s="63" t="s">
        <v>218</v>
      </c>
      <c r="C106" s="36">
        <v>4301012255</v>
      </c>
      <c r="D106" s="639">
        <v>4680115881457</v>
      </c>
      <c r="E106" s="63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8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41"/>
      <c r="R106" s="641"/>
      <c r="S106" s="641"/>
      <c r="T106" s="64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219</v>
      </c>
      <c r="B107" s="63" t="s">
        <v>220</v>
      </c>
      <c r="C107" s="36">
        <v>4301012366</v>
      </c>
      <c r="D107" s="639">
        <v>4680115889477</v>
      </c>
      <c r="E107" s="639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86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41"/>
      <c r="R107" s="641"/>
      <c r="S107" s="641"/>
      <c r="T107" s="64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33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0" t="s">
        <v>40</v>
      </c>
      <c r="Q108" s="631"/>
      <c r="R108" s="631"/>
      <c r="S108" s="631"/>
      <c r="T108" s="631"/>
      <c r="U108" s="631"/>
      <c r="V108" s="632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customHeight="1" x14ac:dyDescent="0.25">
      <c r="A110" s="644" t="s">
        <v>154</v>
      </c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44"/>
      <c r="P110" s="644"/>
      <c r="Q110" s="644"/>
      <c r="R110" s="644"/>
      <c r="S110" s="644"/>
      <c r="T110" s="644"/>
      <c r="U110" s="644"/>
      <c r="V110" s="644"/>
      <c r="W110" s="644"/>
      <c r="X110" s="644"/>
      <c r="Y110" s="644"/>
      <c r="Z110" s="644"/>
      <c r="AA110" s="66"/>
      <c r="AB110" s="66"/>
      <c r="AC110" s="80"/>
    </row>
    <row r="111" spans="1:68" ht="27" customHeight="1" x14ac:dyDescent="0.25">
      <c r="A111" s="63" t="s">
        <v>222</v>
      </c>
      <c r="B111" s="63" t="s">
        <v>223</v>
      </c>
      <c r="C111" s="36">
        <v>4301020391</v>
      </c>
      <c r="D111" s="639">
        <v>4680115881488</v>
      </c>
      <c r="E111" s="639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8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1"/>
      <c r="R111" s="641"/>
      <c r="S111" s="641"/>
      <c r="T111" s="64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4301020186</v>
      </c>
      <c r="D112" s="639">
        <v>4680115887664</v>
      </c>
      <c r="E112" s="639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8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1"/>
      <c r="R112" s="641"/>
      <c r="S112" s="641"/>
      <c r="T112" s="642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230</v>
      </c>
      <c r="C113" s="36">
        <v>4301020430</v>
      </c>
      <c r="D113" s="639">
        <v>4680115887664</v>
      </c>
      <c r="E113" s="639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1"/>
      <c r="R113" s="641"/>
      <c r="S113" s="641"/>
      <c r="T113" s="642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231</v>
      </c>
      <c r="B114" s="63" t="s">
        <v>232</v>
      </c>
      <c r="C114" s="36">
        <v>4301020393</v>
      </c>
      <c r="D114" s="639">
        <v>4680115882775</v>
      </c>
      <c r="E114" s="639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8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1"/>
      <c r="R114" s="641"/>
      <c r="S114" s="641"/>
      <c r="T114" s="64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4301020392</v>
      </c>
      <c r="D115" s="639">
        <v>4680115880658</v>
      </c>
      <c r="E115" s="639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8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1"/>
      <c r="R115" s="641"/>
      <c r="S115" s="641"/>
      <c r="T115" s="64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33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0" t="s">
        <v>40</v>
      </c>
      <c r="Q116" s="631"/>
      <c r="R116" s="631"/>
      <c r="S116" s="631"/>
      <c r="T116" s="631"/>
      <c r="U116" s="631"/>
      <c r="V116" s="632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customHeight="1" x14ac:dyDescent="0.25">
      <c r="A118" s="644" t="s">
        <v>83</v>
      </c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44"/>
      <c r="P118" s="644"/>
      <c r="Q118" s="644"/>
      <c r="R118" s="644"/>
      <c r="S118" s="644"/>
      <c r="T118" s="644"/>
      <c r="U118" s="644"/>
      <c r="V118" s="644"/>
      <c r="W118" s="644"/>
      <c r="X118" s="644"/>
      <c r="Y118" s="644"/>
      <c r="Z118" s="644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39">
        <v>4607091385168</v>
      </c>
      <c r="E119" s="639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85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1"/>
      <c r="R119" s="641"/>
      <c r="S119" s="641"/>
      <c r="T119" s="64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238</v>
      </c>
      <c r="B120" s="63" t="s">
        <v>239</v>
      </c>
      <c r="C120" s="36">
        <v>4301052087</v>
      </c>
      <c r="D120" s="639">
        <v>4607091383256</v>
      </c>
      <c r="E120" s="639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85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1"/>
      <c r="R120" s="641"/>
      <c r="S120" s="641"/>
      <c r="T120" s="64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39">
        <v>4607091385748</v>
      </c>
      <c r="E121" s="639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85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1"/>
      <c r="R121" s="641"/>
      <c r="S121" s="641"/>
      <c r="T121" s="64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39">
        <v>4680115884533</v>
      </c>
      <c r="E122" s="639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86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1"/>
      <c r="R122" s="641"/>
      <c r="S122" s="641"/>
      <c r="T122" s="64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3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0" t="s">
        <v>40</v>
      </c>
      <c r="Q123" s="631"/>
      <c r="R123" s="631"/>
      <c r="S123" s="631"/>
      <c r="T123" s="631"/>
      <c r="U123" s="631"/>
      <c r="V123" s="632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customHeight="1" x14ac:dyDescent="0.25">
      <c r="A125" s="644" t="s">
        <v>172</v>
      </c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44"/>
      <c r="P125" s="644"/>
      <c r="Q125" s="644"/>
      <c r="R125" s="644"/>
      <c r="S125" s="644"/>
      <c r="T125" s="644"/>
      <c r="U125" s="644"/>
      <c r="V125" s="644"/>
      <c r="W125" s="644"/>
      <c r="X125" s="644"/>
      <c r="Y125" s="644"/>
      <c r="Z125" s="644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39">
        <v>4680115880238</v>
      </c>
      <c r="E126" s="639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8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1"/>
      <c r="R126" s="641"/>
      <c r="S126" s="641"/>
      <c r="T126" s="642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customHeight="1" x14ac:dyDescent="0.25">
      <c r="A129" s="643" t="s">
        <v>248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5"/>
      <c r="AB129" s="65"/>
      <c r="AC129" s="79"/>
    </row>
    <row r="130" spans="1:68" ht="14.25" customHeight="1" x14ac:dyDescent="0.25">
      <c r="A130" s="644" t="s">
        <v>119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6"/>
      <c r="AB130" s="66"/>
      <c r="AC130" s="80"/>
    </row>
    <row r="131" spans="1:68" ht="27" customHeight="1" x14ac:dyDescent="0.25">
      <c r="A131" s="63" t="s">
        <v>249</v>
      </c>
      <c r="B131" s="63" t="s">
        <v>250</v>
      </c>
      <c r="C131" s="36">
        <v>4301011562</v>
      </c>
      <c r="D131" s="639">
        <v>4680115882577</v>
      </c>
      <c r="E131" s="63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1"/>
      <c r="R131" s="641"/>
      <c r="S131" s="641"/>
      <c r="T131" s="64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39">
        <v>4680115882577</v>
      </c>
      <c r="E132" s="63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8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1"/>
      <c r="R132" s="641"/>
      <c r="S132" s="641"/>
      <c r="T132" s="64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44" t="s">
        <v>77</v>
      </c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44"/>
      <c r="P135" s="644"/>
      <c r="Q135" s="644"/>
      <c r="R135" s="644"/>
      <c r="S135" s="644"/>
      <c r="T135" s="644"/>
      <c r="U135" s="644"/>
      <c r="V135" s="644"/>
      <c r="W135" s="644"/>
      <c r="X135" s="644"/>
      <c r="Y135" s="644"/>
      <c r="Z135" s="644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39">
        <v>4680115883444</v>
      </c>
      <c r="E136" s="63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8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1"/>
      <c r="R136" s="641"/>
      <c r="S136" s="641"/>
      <c r="T136" s="64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254</v>
      </c>
      <c r="B137" s="63" t="s">
        <v>257</v>
      </c>
      <c r="C137" s="36">
        <v>4301031235</v>
      </c>
      <c r="D137" s="639">
        <v>4680115883444</v>
      </c>
      <c r="E137" s="63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8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1"/>
      <c r="R137" s="641"/>
      <c r="S137" s="641"/>
      <c r="T137" s="64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44" t="s">
        <v>83</v>
      </c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39">
        <v>4680115882584</v>
      </c>
      <c r="E141" s="63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1"/>
      <c r="R141" s="641"/>
      <c r="S141" s="641"/>
      <c r="T141" s="64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258</v>
      </c>
      <c r="B142" s="63" t="s">
        <v>260</v>
      </c>
      <c r="C142" s="36">
        <v>4301051477</v>
      </c>
      <c r="D142" s="639">
        <v>4680115882584</v>
      </c>
      <c r="E142" s="63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1"/>
      <c r="R142" s="641"/>
      <c r="S142" s="641"/>
      <c r="T142" s="64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customHeight="1" x14ac:dyDescent="0.25">
      <c r="A145" s="643" t="s">
        <v>261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5"/>
      <c r="AB145" s="65"/>
      <c r="AC145" s="79"/>
    </row>
    <row r="146" spans="1:68" ht="14.25" customHeight="1" x14ac:dyDescent="0.25">
      <c r="A146" s="644" t="s">
        <v>83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6"/>
      <c r="AB146" s="66"/>
      <c r="AC146" s="80"/>
    </row>
    <row r="147" spans="1:68" ht="27" customHeight="1" x14ac:dyDescent="0.25">
      <c r="A147" s="63" t="s">
        <v>262</v>
      </c>
      <c r="B147" s="63" t="s">
        <v>263</v>
      </c>
      <c r="C147" s="36">
        <v>4301052254</v>
      </c>
      <c r="D147" s="639">
        <v>4680115888203</v>
      </c>
      <c r="E147" s="63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84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1"/>
      <c r="R147" s="641"/>
      <c r="S147" s="641"/>
      <c r="T147" s="64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265</v>
      </c>
      <c r="B148" s="63" t="s">
        <v>266</v>
      </c>
      <c r="C148" s="36">
        <v>4301052252</v>
      </c>
      <c r="D148" s="639">
        <v>4680115888180</v>
      </c>
      <c r="E148" s="63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84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1"/>
      <c r="R148" s="641"/>
      <c r="S148" s="641"/>
      <c r="T148" s="64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268</v>
      </c>
      <c r="B149" s="63" t="s">
        <v>269</v>
      </c>
      <c r="C149" s="36">
        <v>4301052253</v>
      </c>
      <c r="D149" s="639">
        <v>4680115888197</v>
      </c>
      <c r="E149" s="63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41"/>
      <c r="R149" s="641"/>
      <c r="S149" s="641"/>
      <c r="T149" s="64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4301052255</v>
      </c>
      <c r="D150" s="639">
        <v>4680115888210</v>
      </c>
      <c r="E150" s="63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84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41"/>
      <c r="R150" s="641"/>
      <c r="S150" s="641"/>
      <c r="T150" s="64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33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0" t="s">
        <v>40</v>
      </c>
      <c r="Q151" s="631"/>
      <c r="R151" s="631"/>
      <c r="S151" s="631"/>
      <c r="T151" s="631"/>
      <c r="U151" s="631"/>
      <c r="V151" s="632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customHeight="1" x14ac:dyDescent="0.25">
      <c r="A153" s="644" t="s">
        <v>274</v>
      </c>
      <c r="B153" s="644"/>
      <c r="C153" s="644"/>
      <c r="D153" s="644"/>
      <c r="E153" s="644"/>
      <c r="F153" s="644"/>
      <c r="G153" s="644"/>
      <c r="H153" s="644"/>
      <c r="I153" s="644"/>
      <c r="J153" s="644"/>
      <c r="K153" s="644"/>
      <c r="L153" s="644"/>
      <c r="M153" s="644"/>
      <c r="N153" s="644"/>
      <c r="O153" s="644"/>
      <c r="P153" s="644"/>
      <c r="Q153" s="644"/>
      <c r="R153" s="644"/>
      <c r="S153" s="644"/>
      <c r="T153" s="644"/>
      <c r="U153" s="644"/>
      <c r="V153" s="644"/>
      <c r="W153" s="644"/>
      <c r="X153" s="644"/>
      <c r="Y153" s="644"/>
      <c r="Z153" s="644"/>
      <c r="AA153" s="66"/>
      <c r="AB153" s="66"/>
      <c r="AC153" s="80"/>
    </row>
    <row r="154" spans="1:68" ht="27" customHeight="1" x14ac:dyDescent="0.25">
      <c r="A154" s="63" t="s">
        <v>275</v>
      </c>
      <c r="B154" s="63" t="s">
        <v>276</v>
      </c>
      <c r="C154" s="36">
        <v>4301032067</v>
      </c>
      <c r="D154" s="639">
        <v>4680115889132</v>
      </c>
      <c r="E154" s="639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84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41"/>
      <c r="R154" s="641"/>
      <c r="S154" s="641"/>
      <c r="T154" s="64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customHeight="1" x14ac:dyDescent="0.25">
      <c r="A157" s="643" t="s">
        <v>117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5"/>
      <c r="AB157" s="65"/>
      <c r="AC157" s="79"/>
    </row>
    <row r="158" spans="1:68" ht="14.25" customHeight="1" x14ac:dyDescent="0.25">
      <c r="A158" s="644" t="s">
        <v>119</v>
      </c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44"/>
      <c r="P158" s="644"/>
      <c r="Q158" s="644"/>
      <c r="R158" s="644"/>
      <c r="S158" s="644"/>
      <c r="T158" s="644"/>
      <c r="U158" s="644"/>
      <c r="V158" s="644"/>
      <c r="W158" s="644"/>
      <c r="X158" s="644"/>
      <c r="Y158" s="644"/>
      <c r="Z158" s="644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4301012338</v>
      </c>
      <c r="D159" s="639">
        <v>4680115887374</v>
      </c>
      <c r="E159" s="639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8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41"/>
      <c r="R159" s="641"/>
      <c r="S159" s="641"/>
      <c r="T159" s="64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39">
        <v>4607091384604</v>
      </c>
      <c r="E160" s="63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8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41"/>
      <c r="R160" s="641"/>
      <c r="S160" s="641"/>
      <c r="T160" s="64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284</v>
      </c>
      <c r="B161" s="63" t="s">
        <v>287</v>
      </c>
      <c r="C161" s="36">
        <v>4301012258</v>
      </c>
      <c r="D161" s="639">
        <v>4607091384604</v>
      </c>
      <c r="E161" s="63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41"/>
      <c r="R161" s="641"/>
      <c r="S161" s="641"/>
      <c r="T161" s="64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customHeight="1" x14ac:dyDescent="0.25">
      <c r="A162" s="63" t="s">
        <v>288</v>
      </c>
      <c r="B162" s="63" t="s">
        <v>289</v>
      </c>
      <c r="C162" s="36">
        <v>4301012344</v>
      </c>
      <c r="D162" s="639">
        <v>4680115888876</v>
      </c>
      <c r="E162" s="639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84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41"/>
      <c r="R162" s="641"/>
      <c r="S162" s="641"/>
      <c r="T162" s="64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customHeight="1" x14ac:dyDescent="0.25">
      <c r="A165" s="644" t="s">
        <v>154</v>
      </c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44"/>
      <c r="P165" s="644"/>
      <c r="Q165" s="644"/>
      <c r="R165" s="644"/>
      <c r="S165" s="644"/>
      <c r="T165" s="644"/>
      <c r="U165" s="644"/>
      <c r="V165" s="644"/>
      <c r="W165" s="644"/>
      <c r="X165" s="644"/>
      <c r="Y165" s="644"/>
      <c r="Z165" s="644"/>
      <c r="AA165" s="66"/>
      <c r="AB165" s="66"/>
      <c r="AC165" s="80"/>
    </row>
    <row r="166" spans="1:68" ht="16.5" customHeight="1" x14ac:dyDescent="0.25">
      <c r="A166" s="63" t="s">
        <v>291</v>
      </c>
      <c r="B166" s="63" t="s">
        <v>292</v>
      </c>
      <c r="C166" s="36">
        <v>4301020410</v>
      </c>
      <c r="D166" s="639">
        <v>4680115887695</v>
      </c>
      <c r="E166" s="639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83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41"/>
      <c r="R166" s="641"/>
      <c r="S166" s="641"/>
      <c r="T166" s="64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294</v>
      </c>
      <c r="B167" s="63" t="s">
        <v>295</v>
      </c>
      <c r="C167" s="36">
        <v>4301020439</v>
      </c>
      <c r="D167" s="639">
        <v>4680115889491</v>
      </c>
      <c r="E167" s="639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84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41"/>
      <c r="R167" s="641"/>
      <c r="S167" s="641"/>
      <c r="T167" s="64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633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0" t="s">
        <v>40</v>
      </c>
      <c r="Q168" s="631"/>
      <c r="R168" s="631"/>
      <c r="S168" s="631"/>
      <c r="T168" s="631"/>
      <c r="U168" s="631"/>
      <c r="V168" s="632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0" t="s">
        <v>40</v>
      </c>
      <c r="Q169" s="631"/>
      <c r="R169" s="631"/>
      <c r="S169" s="631"/>
      <c r="T169" s="631"/>
      <c r="U169" s="631"/>
      <c r="V169" s="632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customHeight="1" x14ac:dyDescent="0.25">
      <c r="A170" s="644" t="s">
        <v>77</v>
      </c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44"/>
      <c r="P170" s="644"/>
      <c r="Q170" s="644"/>
      <c r="R170" s="644"/>
      <c r="S170" s="644"/>
      <c r="T170" s="644"/>
      <c r="U170" s="644"/>
      <c r="V170" s="644"/>
      <c r="W170" s="644"/>
      <c r="X170" s="644"/>
      <c r="Y170" s="644"/>
      <c r="Z170" s="644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39">
        <v>4680115887428</v>
      </c>
      <c r="E171" s="63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8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1"/>
      <c r="R171" s="641"/>
      <c r="S171" s="641"/>
      <c r="T171" s="64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4301031509</v>
      </c>
      <c r="D172" s="639">
        <v>4680115889170</v>
      </c>
      <c r="E172" s="63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83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1"/>
      <c r="R172" s="641"/>
      <c r="S172" s="641"/>
      <c r="T172" s="64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39">
        <v>4680115887398</v>
      </c>
      <c r="E173" s="63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8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1"/>
      <c r="R173" s="641"/>
      <c r="S173" s="641"/>
      <c r="T173" s="64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39">
        <v>4680115887336</v>
      </c>
      <c r="E174" s="63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83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1"/>
      <c r="R174" s="641"/>
      <c r="S174" s="641"/>
      <c r="T174" s="64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customHeight="1" x14ac:dyDescent="0.25">
      <c r="A175" s="63" t="s">
        <v>309</v>
      </c>
      <c r="B175" s="63" t="s">
        <v>310</v>
      </c>
      <c r="C175" s="36">
        <v>4301031528</v>
      </c>
      <c r="D175" s="639">
        <v>4680115887787</v>
      </c>
      <c r="E175" s="63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83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1"/>
      <c r="R175" s="641"/>
      <c r="S175" s="641"/>
      <c r="T175" s="64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4301031448</v>
      </c>
      <c r="D176" s="639">
        <v>4680115887503</v>
      </c>
      <c r="E176" s="63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1"/>
      <c r="R176" s="641"/>
      <c r="S176" s="641"/>
      <c r="T176" s="64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4301031389</v>
      </c>
      <c r="D177" s="639">
        <v>4680115887763</v>
      </c>
      <c r="E177" s="63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1"/>
      <c r="R177" s="641"/>
      <c r="S177" s="641"/>
      <c r="T177" s="64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317</v>
      </c>
      <c r="B178" s="63" t="s">
        <v>318</v>
      </c>
      <c r="C178" s="36">
        <v>4301031521</v>
      </c>
      <c r="D178" s="639">
        <v>4680115887480</v>
      </c>
      <c r="E178" s="63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1"/>
      <c r="R178" s="641"/>
      <c r="S178" s="641"/>
      <c r="T178" s="64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319</v>
      </c>
      <c r="B179" s="63" t="s">
        <v>320</v>
      </c>
      <c r="C179" s="36">
        <v>4301031434</v>
      </c>
      <c r="D179" s="639">
        <v>4680115888067</v>
      </c>
      <c r="E179" s="639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1"/>
      <c r="R179" s="641"/>
      <c r="S179" s="641"/>
      <c r="T179" s="64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4301031519</v>
      </c>
      <c r="D180" s="639">
        <v>4680115887435</v>
      </c>
      <c r="E180" s="63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1"/>
      <c r="R180" s="641"/>
      <c r="S180" s="641"/>
      <c r="T180" s="64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633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0" t="s">
        <v>40</v>
      </c>
      <c r="Q181" s="631"/>
      <c r="R181" s="631"/>
      <c r="S181" s="631"/>
      <c r="T181" s="631"/>
      <c r="U181" s="631"/>
      <c r="V181" s="632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customHeight="1" x14ac:dyDescent="0.25">
      <c r="A183" s="644" t="s">
        <v>83</v>
      </c>
      <c r="B183" s="644"/>
      <c r="C183" s="644"/>
      <c r="D183" s="644"/>
      <c r="E183" s="644"/>
      <c r="F183" s="644"/>
      <c r="G183" s="644"/>
      <c r="H183" s="644"/>
      <c r="I183" s="644"/>
      <c r="J183" s="644"/>
      <c r="K183" s="644"/>
      <c r="L183" s="644"/>
      <c r="M183" s="644"/>
      <c r="N183" s="644"/>
      <c r="O183" s="644"/>
      <c r="P183" s="644"/>
      <c r="Q183" s="644"/>
      <c r="R183" s="644"/>
      <c r="S183" s="644"/>
      <c r="T183" s="644"/>
      <c r="U183" s="644"/>
      <c r="V183" s="644"/>
      <c r="W183" s="644"/>
      <c r="X183" s="644"/>
      <c r="Y183" s="644"/>
      <c r="Z183" s="644"/>
      <c r="AA183" s="66"/>
      <c r="AB183" s="66"/>
      <c r="AC183" s="80"/>
    </row>
    <row r="184" spans="1:68" ht="16.5" customHeight="1" x14ac:dyDescent="0.25">
      <c r="A184" s="63" t="s">
        <v>324</v>
      </c>
      <c r="B184" s="63" t="s">
        <v>325</v>
      </c>
      <c r="C184" s="36">
        <v>4301052193</v>
      </c>
      <c r="D184" s="639">
        <v>4680115888395</v>
      </c>
      <c r="E184" s="63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1"/>
      <c r="R184" s="641"/>
      <c r="S184" s="641"/>
      <c r="T184" s="64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customHeight="1" x14ac:dyDescent="0.25">
      <c r="A185" s="63" t="s">
        <v>327</v>
      </c>
      <c r="B185" s="63" t="s">
        <v>328</v>
      </c>
      <c r="C185" s="36">
        <v>4301052191</v>
      </c>
      <c r="D185" s="639">
        <v>4680115888371</v>
      </c>
      <c r="E185" s="63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1"/>
      <c r="R185" s="641"/>
      <c r="S185" s="641"/>
      <c r="T185" s="64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633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0" t="s">
        <v>40</v>
      </c>
      <c r="Q186" s="631"/>
      <c r="R186" s="631"/>
      <c r="S186" s="631"/>
      <c r="T186" s="631"/>
      <c r="U186" s="631"/>
      <c r="V186" s="632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customHeight="1" x14ac:dyDescent="0.25">
      <c r="A188" s="644" t="s">
        <v>274</v>
      </c>
      <c r="B188" s="644"/>
      <c r="C188" s="644"/>
      <c r="D188" s="644"/>
      <c r="E188" s="644"/>
      <c r="F188" s="644"/>
      <c r="G188" s="644"/>
      <c r="H188" s="644"/>
      <c r="I188" s="644"/>
      <c r="J188" s="644"/>
      <c r="K188" s="644"/>
      <c r="L188" s="644"/>
      <c r="M188" s="644"/>
      <c r="N188" s="644"/>
      <c r="O188" s="644"/>
      <c r="P188" s="644"/>
      <c r="Q188" s="644"/>
      <c r="R188" s="644"/>
      <c r="S188" s="644"/>
      <c r="T188" s="644"/>
      <c r="U188" s="644"/>
      <c r="V188" s="644"/>
      <c r="W188" s="644"/>
      <c r="X188" s="644"/>
      <c r="Y188" s="644"/>
      <c r="Z188" s="644"/>
      <c r="AA188" s="66"/>
      <c r="AB188" s="66"/>
      <c r="AC188" s="80"/>
    </row>
    <row r="189" spans="1:68" ht="16.5" customHeight="1" x14ac:dyDescent="0.25">
      <c r="A189" s="63" t="s">
        <v>330</v>
      </c>
      <c r="B189" s="63" t="s">
        <v>331</v>
      </c>
      <c r="C189" s="36">
        <v>4301032058</v>
      </c>
      <c r="D189" s="639">
        <v>4680115889026</v>
      </c>
      <c r="E189" s="63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1"/>
      <c r="R189" s="641"/>
      <c r="S189" s="641"/>
      <c r="T189" s="64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0" t="s">
        <v>40</v>
      </c>
      <c r="Q191" s="631"/>
      <c r="R191" s="631"/>
      <c r="S191" s="631"/>
      <c r="T191" s="631"/>
      <c r="U191" s="631"/>
      <c r="V191" s="632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customHeight="1" x14ac:dyDescent="0.25">
      <c r="A192" s="644" t="s">
        <v>334</v>
      </c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44"/>
      <c r="P192" s="644"/>
      <c r="Q192" s="644"/>
      <c r="R192" s="644"/>
      <c r="S192" s="644"/>
      <c r="T192" s="644"/>
      <c r="U192" s="644"/>
      <c r="V192" s="644"/>
      <c r="W192" s="644"/>
      <c r="X192" s="644"/>
      <c r="Y192" s="644"/>
      <c r="Z192" s="644"/>
      <c r="AA192" s="66"/>
      <c r="AB192" s="66"/>
      <c r="AC192" s="80"/>
    </row>
    <row r="193" spans="1:68" ht="27" customHeight="1" x14ac:dyDescent="0.25">
      <c r="A193" s="63" t="s">
        <v>335</v>
      </c>
      <c r="B193" s="63" t="s">
        <v>336</v>
      </c>
      <c r="C193" s="36">
        <v>4301041009</v>
      </c>
      <c r="D193" s="639">
        <v>4680115889033</v>
      </c>
      <c r="E193" s="63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1"/>
      <c r="R193" s="641"/>
      <c r="S193" s="641"/>
      <c r="T193" s="64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0" t="s">
        <v>40</v>
      </c>
      <c r="Q195" s="631"/>
      <c r="R195" s="631"/>
      <c r="S195" s="631"/>
      <c r="T195" s="631"/>
      <c r="U195" s="631"/>
      <c r="V195" s="632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50" t="s">
        <v>338</v>
      </c>
      <c r="B196" s="650"/>
      <c r="C196" s="650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650"/>
      <c r="R196" s="650"/>
      <c r="S196" s="650"/>
      <c r="T196" s="650"/>
      <c r="U196" s="650"/>
      <c r="V196" s="650"/>
      <c r="W196" s="650"/>
      <c r="X196" s="650"/>
      <c r="Y196" s="650"/>
      <c r="Z196" s="650"/>
      <c r="AA196" s="54"/>
      <c r="AB196" s="54"/>
      <c r="AC196" s="54"/>
    </row>
    <row r="197" spans="1:68" ht="16.5" customHeight="1" x14ac:dyDescent="0.25">
      <c r="A197" s="643" t="s">
        <v>339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5"/>
      <c r="AB197" s="65"/>
      <c r="AC197" s="79"/>
    </row>
    <row r="198" spans="1:68" ht="14.25" customHeight="1" x14ac:dyDescent="0.25">
      <c r="A198" s="644" t="s">
        <v>119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6"/>
      <c r="AB198" s="66"/>
      <c r="AC198" s="80"/>
    </row>
    <row r="199" spans="1:68" ht="27" customHeight="1" x14ac:dyDescent="0.25">
      <c r="A199" s="63" t="s">
        <v>340</v>
      </c>
      <c r="B199" s="63" t="s">
        <v>341</v>
      </c>
      <c r="C199" s="36">
        <v>4301011223</v>
      </c>
      <c r="D199" s="639">
        <v>4607091383423</v>
      </c>
      <c r="E199" s="63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1"/>
      <c r="R199" s="641"/>
      <c r="S199" s="641"/>
      <c r="T199" s="64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customHeight="1" x14ac:dyDescent="0.25">
      <c r="A200" s="63" t="s">
        <v>342</v>
      </c>
      <c r="B200" s="63" t="s">
        <v>343</v>
      </c>
      <c r="C200" s="36">
        <v>4301012340</v>
      </c>
      <c r="D200" s="639">
        <v>4680115888760</v>
      </c>
      <c r="E200" s="63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1"/>
      <c r="R200" s="641"/>
      <c r="S200" s="641"/>
      <c r="T200" s="64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345</v>
      </c>
      <c r="B201" s="63" t="s">
        <v>346</v>
      </c>
      <c r="C201" s="36">
        <v>4301012341</v>
      </c>
      <c r="D201" s="639">
        <v>4680115888807</v>
      </c>
      <c r="E201" s="63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1"/>
      <c r="R201" s="641"/>
      <c r="S201" s="641"/>
      <c r="T201" s="64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customHeight="1" x14ac:dyDescent="0.25">
      <c r="A202" s="63" t="s">
        <v>348</v>
      </c>
      <c r="B202" s="63" t="s">
        <v>349</v>
      </c>
      <c r="C202" s="36">
        <v>4301012342</v>
      </c>
      <c r="D202" s="639">
        <v>4680115888852</v>
      </c>
      <c r="E202" s="63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1"/>
      <c r="R202" s="641"/>
      <c r="S202" s="641"/>
      <c r="T202" s="64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customHeight="1" x14ac:dyDescent="0.25">
      <c r="A203" s="63" t="s">
        <v>351</v>
      </c>
      <c r="B203" s="63" t="s">
        <v>352</v>
      </c>
      <c r="C203" s="36">
        <v>4301012370</v>
      </c>
      <c r="D203" s="639">
        <v>4680115886957</v>
      </c>
      <c r="E203" s="63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1"/>
      <c r="R203" s="641"/>
      <c r="S203" s="641"/>
      <c r="T203" s="64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354</v>
      </c>
      <c r="B204" s="63" t="s">
        <v>355</v>
      </c>
      <c r="C204" s="36">
        <v>4301012098</v>
      </c>
      <c r="D204" s="639">
        <v>4680115885660</v>
      </c>
      <c r="E204" s="63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1"/>
      <c r="R204" s="641"/>
      <c r="S204" s="641"/>
      <c r="T204" s="64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357</v>
      </c>
      <c r="B205" s="63" t="s">
        <v>358</v>
      </c>
      <c r="C205" s="36">
        <v>4301012369</v>
      </c>
      <c r="D205" s="639">
        <v>4680115886773</v>
      </c>
      <c r="E205" s="63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1"/>
      <c r="R205" s="641"/>
      <c r="S205" s="641"/>
      <c r="T205" s="64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0" t="s">
        <v>40</v>
      </c>
      <c r="Q207" s="631"/>
      <c r="R207" s="631"/>
      <c r="S207" s="631"/>
      <c r="T207" s="631"/>
      <c r="U207" s="631"/>
      <c r="V207" s="632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43" t="s">
        <v>360</v>
      </c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5"/>
      <c r="AB208" s="65"/>
      <c r="AC208" s="79"/>
    </row>
    <row r="209" spans="1:68" ht="14.25" customHeight="1" x14ac:dyDescent="0.25">
      <c r="A209" s="644" t="s">
        <v>154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6"/>
      <c r="AB209" s="66"/>
      <c r="AC209" s="80"/>
    </row>
    <row r="210" spans="1:68" ht="27" customHeight="1" x14ac:dyDescent="0.25">
      <c r="A210" s="63" t="s">
        <v>361</v>
      </c>
      <c r="B210" s="63" t="s">
        <v>362</v>
      </c>
      <c r="C210" s="36">
        <v>4301020323</v>
      </c>
      <c r="D210" s="639">
        <v>4680115886223</v>
      </c>
      <c r="E210" s="63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1"/>
      <c r="R210" s="641"/>
      <c r="S210" s="641"/>
      <c r="T210" s="64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0" t="s">
        <v>40</v>
      </c>
      <c r="Q212" s="631"/>
      <c r="R212" s="631"/>
      <c r="S212" s="631"/>
      <c r="T212" s="631"/>
      <c r="U212" s="631"/>
      <c r="V212" s="632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44" t="s">
        <v>77</v>
      </c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44"/>
      <c r="P213" s="644"/>
      <c r="Q213" s="644"/>
      <c r="R213" s="644"/>
      <c r="S213" s="644"/>
      <c r="T213" s="644"/>
      <c r="U213" s="644"/>
      <c r="V213" s="644"/>
      <c r="W213" s="644"/>
      <c r="X213" s="644"/>
      <c r="Y213" s="644"/>
      <c r="Z213" s="644"/>
      <c r="AA213" s="66"/>
      <c r="AB213" s="66"/>
      <c r="AC213" s="80"/>
    </row>
    <row r="214" spans="1:68" ht="27" customHeight="1" x14ac:dyDescent="0.25">
      <c r="A214" s="63" t="s">
        <v>364</v>
      </c>
      <c r="B214" s="63" t="s">
        <v>365</v>
      </c>
      <c r="C214" s="36">
        <v>4301031191</v>
      </c>
      <c r="D214" s="639">
        <v>4680115880993</v>
      </c>
      <c r="E214" s="63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1"/>
      <c r="R214" s="641"/>
      <c r="S214" s="641"/>
      <c r="T214" s="64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customHeight="1" x14ac:dyDescent="0.25">
      <c r="A215" s="63" t="s">
        <v>367</v>
      </c>
      <c r="B215" s="63" t="s">
        <v>368</v>
      </c>
      <c r="C215" s="36">
        <v>4301031204</v>
      </c>
      <c r="D215" s="639">
        <v>4680115881761</v>
      </c>
      <c r="E215" s="63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1"/>
      <c r="R215" s="641"/>
      <c r="S215" s="641"/>
      <c r="T215" s="64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39">
        <v>4680115881563</v>
      </c>
      <c r="E216" s="63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41"/>
      <c r="R216" s="641"/>
      <c r="S216" s="641"/>
      <c r="T216" s="64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39">
        <v>4680115887565</v>
      </c>
      <c r="E217" s="639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1"/>
      <c r="R217" s="641"/>
      <c r="S217" s="641"/>
      <c r="T217" s="64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39">
        <v>4680115880986</v>
      </c>
      <c r="E218" s="63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1"/>
      <c r="R218" s="641"/>
      <c r="S218" s="641"/>
      <c r="T218" s="64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378</v>
      </c>
      <c r="B219" s="63" t="s">
        <v>379</v>
      </c>
      <c r="C219" s="36">
        <v>4301031443</v>
      </c>
      <c r="D219" s="639">
        <v>4680115887213</v>
      </c>
      <c r="E219" s="63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1"/>
      <c r="R219" s="641"/>
      <c r="S219" s="641"/>
      <c r="T219" s="64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39">
        <v>4680115881785</v>
      </c>
      <c r="E220" s="63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1"/>
      <c r="R220" s="641"/>
      <c r="S220" s="641"/>
      <c r="T220" s="64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4301031499</v>
      </c>
      <c r="D221" s="639">
        <v>4680115888432</v>
      </c>
      <c r="E221" s="63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1"/>
      <c r="R221" s="641"/>
      <c r="S221" s="641"/>
      <c r="T221" s="64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4301031503</v>
      </c>
      <c r="D222" s="639">
        <v>4680115886537</v>
      </c>
      <c r="E222" s="63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1"/>
      <c r="R222" s="641"/>
      <c r="S222" s="641"/>
      <c r="T222" s="64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39">
        <v>4680115887596</v>
      </c>
      <c r="E223" s="639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1"/>
      <c r="R223" s="641"/>
      <c r="S223" s="641"/>
      <c r="T223" s="64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39">
        <v>4680115881679</v>
      </c>
      <c r="E224" s="63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0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1"/>
      <c r="R224" s="641"/>
      <c r="S224" s="641"/>
      <c r="T224" s="64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394</v>
      </c>
      <c r="B225" s="63" t="s">
        <v>395</v>
      </c>
      <c r="C225" s="36">
        <v>4301031531</v>
      </c>
      <c r="D225" s="639">
        <v>4680115880191</v>
      </c>
      <c r="E225" s="63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0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1"/>
      <c r="R225" s="641"/>
      <c r="S225" s="641"/>
      <c r="T225" s="64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396</v>
      </c>
      <c r="B226" s="63" t="s">
        <v>397</v>
      </c>
      <c r="C226" s="36">
        <v>4301031245</v>
      </c>
      <c r="D226" s="639">
        <v>4680115883963</v>
      </c>
      <c r="E226" s="63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1"/>
      <c r="R226" s="641"/>
      <c r="S226" s="641"/>
      <c r="T226" s="64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customHeight="1" x14ac:dyDescent="0.25">
      <c r="A229" s="644" t="s">
        <v>83</v>
      </c>
      <c r="B229" s="644"/>
      <c r="C229" s="644"/>
      <c r="D229" s="644"/>
      <c r="E229" s="644"/>
      <c r="F229" s="644"/>
      <c r="G229" s="644"/>
      <c r="H229" s="644"/>
      <c r="I229" s="644"/>
      <c r="J229" s="644"/>
      <c r="K229" s="644"/>
      <c r="L229" s="644"/>
      <c r="M229" s="644"/>
      <c r="N229" s="644"/>
      <c r="O229" s="644"/>
      <c r="P229" s="644"/>
      <c r="Q229" s="644"/>
      <c r="R229" s="644"/>
      <c r="S229" s="644"/>
      <c r="T229" s="644"/>
      <c r="U229" s="644"/>
      <c r="V229" s="644"/>
      <c r="W229" s="644"/>
      <c r="X229" s="644"/>
      <c r="Y229" s="644"/>
      <c r="Z229" s="644"/>
      <c r="AA229" s="66"/>
      <c r="AB229" s="66"/>
      <c r="AC229" s="80"/>
    </row>
    <row r="230" spans="1:68" ht="16.5" customHeight="1" x14ac:dyDescent="0.25">
      <c r="A230" s="63" t="s">
        <v>399</v>
      </c>
      <c r="B230" s="63" t="s">
        <v>400</v>
      </c>
      <c r="C230" s="36">
        <v>4301052279</v>
      </c>
      <c r="D230" s="639">
        <v>4680115888692</v>
      </c>
      <c r="E230" s="63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0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1"/>
      <c r="R230" s="641"/>
      <c r="S230" s="641"/>
      <c r="T230" s="64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4301052280</v>
      </c>
      <c r="D231" s="639">
        <v>4680115888722</v>
      </c>
      <c r="E231" s="63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1"/>
      <c r="R231" s="641"/>
      <c r="S231" s="641"/>
      <c r="T231" s="64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405</v>
      </c>
      <c r="B232" s="63" t="s">
        <v>406</v>
      </c>
      <c r="C232" s="36">
        <v>4301052276</v>
      </c>
      <c r="D232" s="639">
        <v>4680115888951</v>
      </c>
      <c r="E232" s="63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0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1"/>
      <c r="R232" s="641"/>
      <c r="S232" s="641"/>
      <c r="T232" s="64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407</v>
      </c>
      <c r="B233" s="63" t="s">
        <v>408</v>
      </c>
      <c r="C233" s="36">
        <v>4301052278</v>
      </c>
      <c r="D233" s="639">
        <v>4680115888975</v>
      </c>
      <c r="E233" s="63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03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1"/>
      <c r="R233" s="641"/>
      <c r="S233" s="641"/>
      <c r="T233" s="64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410</v>
      </c>
      <c r="B234" s="63" t="s">
        <v>411</v>
      </c>
      <c r="C234" s="36">
        <v>4301052277</v>
      </c>
      <c r="D234" s="639">
        <v>4680115888982</v>
      </c>
      <c r="E234" s="63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79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1"/>
      <c r="R234" s="641"/>
      <c r="S234" s="641"/>
      <c r="T234" s="64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44" t="s">
        <v>274</v>
      </c>
      <c r="B237" s="644"/>
      <c r="C237" s="644"/>
      <c r="D237" s="644"/>
      <c r="E237" s="644"/>
      <c r="F237" s="644"/>
      <c r="G237" s="644"/>
      <c r="H237" s="644"/>
      <c r="I237" s="644"/>
      <c r="J237" s="644"/>
      <c r="K237" s="644"/>
      <c r="L237" s="644"/>
      <c r="M237" s="644"/>
      <c r="N237" s="644"/>
      <c r="O237" s="644"/>
      <c r="P237" s="644"/>
      <c r="Q237" s="644"/>
      <c r="R237" s="644"/>
      <c r="S237" s="644"/>
      <c r="T237" s="644"/>
      <c r="U237" s="644"/>
      <c r="V237" s="644"/>
      <c r="W237" s="644"/>
      <c r="X237" s="644"/>
      <c r="Y237" s="644"/>
      <c r="Z237" s="644"/>
      <c r="AA237" s="66"/>
      <c r="AB237" s="66"/>
      <c r="AC237" s="80"/>
    </row>
    <row r="238" spans="1:68" ht="27" customHeight="1" x14ac:dyDescent="0.25">
      <c r="A238" s="63" t="s">
        <v>412</v>
      </c>
      <c r="B238" s="63" t="s">
        <v>413</v>
      </c>
      <c r="C238" s="36">
        <v>4301032053</v>
      </c>
      <c r="D238" s="639">
        <v>4680115886780</v>
      </c>
      <c r="E238" s="63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1"/>
      <c r="R238" s="641"/>
      <c r="S238" s="641"/>
      <c r="T238" s="64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39">
        <v>4680115886742</v>
      </c>
      <c r="E239" s="63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1"/>
      <c r="R239" s="641"/>
      <c r="S239" s="641"/>
      <c r="T239" s="64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418</v>
      </c>
      <c r="B240" s="63" t="s">
        <v>419</v>
      </c>
      <c r="C240" s="36">
        <v>4301032052</v>
      </c>
      <c r="D240" s="639">
        <v>4680115886766</v>
      </c>
      <c r="E240" s="63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1"/>
      <c r="R240" s="641"/>
      <c r="S240" s="641"/>
      <c r="T240" s="64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44" t="s">
        <v>420</v>
      </c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44"/>
      <c r="P243" s="644"/>
      <c r="Q243" s="644"/>
      <c r="R243" s="644"/>
      <c r="S243" s="644"/>
      <c r="T243" s="644"/>
      <c r="U243" s="644"/>
      <c r="V243" s="644"/>
      <c r="W243" s="644"/>
      <c r="X243" s="644"/>
      <c r="Y243" s="644"/>
      <c r="Z243" s="644"/>
      <c r="AA243" s="66"/>
      <c r="AB243" s="66"/>
      <c r="AC243" s="80"/>
    </row>
    <row r="244" spans="1:68" ht="27" customHeight="1" x14ac:dyDescent="0.25">
      <c r="A244" s="63" t="s">
        <v>421</v>
      </c>
      <c r="B244" s="63" t="s">
        <v>422</v>
      </c>
      <c r="C244" s="36">
        <v>4301170013</v>
      </c>
      <c r="D244" s="639">
        <v>4680115886797</v>
      </c>
      <c r="E244" s="63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1"/>
      <c r="R244" s="641"/>
      <c r="S244" s="641"/>
      <c r="T244" s="64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43" t="s">
        <v>423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5"/>
      <c r="AB247" s="65"/>
      <c r="AC247" s="79"/>
    </row>
    <row r="248" spans="1:68" ht="14.25" customHeight="1" x14ac:dyDescent="0.25">
      <c r="A248" s="644" t="s">
        <v>119</v>
      </c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44"/>
      <c r="P248" s="644"/>
      <c r="Q248" s="644"/>
      <c r="R248" s="644"/>
      <c r="S248" s="644"/>
      <c r="T248" s="644"/>
      <c r="U248" s="644"/>
      <c r="V248" s="644"/>
      <c r="W248" s="644"/>
      <c r="X248" s="644"/>
      <c r="Y248" s="644"/>
      <c r="Z248" s="644"/>
      <c r="AA248" s="66"/>
      <c r="AB248" s="66"/>
      <c r="AC248" s="80"/>
    </row>
    <row r="249" spans="1:68" ht="27" customHeight="1" x14ac:dyDescent="0.25">
      <c r="A249" s="63" t="s">
        <v>424</v>
      </c>
      <c r="B249" s="63" t="s">
        <v>425</v>
      </c>
      <c r="C249" s="36">
        <v>4301011450</v>
      </c>
      <c r="D249" s="639">
        <v>4680115881402</v>
      </c>
      <c r="E249" s="63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1"/>
      <c r="R249" s="641"/>
      <c r="S249" s="641"/>
      <c r="T249" s="64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427</v>
      </c>
      <c r="B250" s="63" t="s">
        <v>428</v>
      </c>
      <c r="C250" s="36">
        <v>4301011768</v>
      </c>
      <c r="D250" s="639">
        <v>4680115881396</v>
      </c>
      <c r="E250" s="63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1"/>
      <c r="R250" s="641"/>
      <c r="S250" s="641"/>
      <c r="T250" s="64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44" t="s">
        <v>154</v>
      </c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44"/>
      <c r="P253" s="644"/>
      <c r="Q253" s="644"/>
      <c r="R253" s="644"/>
      <c r="S253" s="644"/>
      <c r="T253" s="644"/>
      <c r="U253" s="644"/>
      <c r="V253" s="644"/>
      <c r="W253" s="644"/>
      <c r="X253" s="644"/>
      <c r="Y253" s="644"/>
      <c r="Z253" s="644"/>
      <c r="AA253" s="66"/>
      <c r="AB253" s="66"/>
      <c r="AC253" s="80"/>
    </row>
    <row r="254" spans="1:68" ht="16.5" customHeight="1" x14ac:dyDescent="0.25">
      <c r="A254" s="63" t="s">
        <v>429</v>
      </c>
      <c r="B254" s="63" t="s">
        <v>430</v>
      </c>
      <c r="C254" s="36">
        <v>4301020261</v>
      </c>
      <c r="D254" s="639">
        <v>4680115882935</v>
      </c>
      <c r="E254" s="63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1"/>
      <c r="R254" s="641"/>
      <c r="S254" s="641"/>
      <c r="T254" s="64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432</v>
      </c>
      <c r="B255" s="63" t="s">
        <v>433</v>
      </c>
      <c r="C255" s="36">
        <v>4301020220</v>
      </c>
      <c r="D255" s="639">
        <v>4680115880764</v>
      </c>
      <c r="E255" s="639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1"/>
      <c r="R255" s="641"/>
      <c r="S255" s="641"/>
      <c r="T255" s="64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44" t="s">
        <v>77</v>
      </c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44"/>
      <c r="P258" s="644"/>
      <c r="Q258" s="644"/>
      <c r="R258" s="644"/>
      <c r="S258" s="644"/>
      <c r="T258" s="644"/>
      <c r="U258" s="644"/>
      <c r="V258" s="644"/>
      <c r="W258" s="644"/>
      <c r="X258" s="644"/>
      <c r="Y258" s="644"/>
      <c r="Z258" s="644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39">
        <v>4680115882683</v>
      </c>
      <c r="E259" s="639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1"/>
      <c r="R259" s="641"/>
      <c r="S259" s="641"/>
      <c r="T259" s="64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1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0</v>
      </c>
      <c r="BN259" s="78">
        <f t="shared" ref="BN259:BN266" si="33">IFERROR(Y259*I259/H259,"0")</f>
        <v>0</v>
      </c>
      <c r="BO259" s="78">
        <f t="shared" ref="BO259:BO266" si="34">IFERROR(1/J259*(X259/H259),"0")</f>
        <v>0</v>
      </c>
      <c r="BP259" s="78">
        <f t="shared" ref="BP259:BP266" si="35">IFERROR(1/J259*(Y259/H259),"0")</f>
        <v>0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39">
        <v>4680115882690</v>
      </c>
      <c r="E260" s="63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1"/>
      <c r="R260" s="641"/>
      <c r="S260" s="641"/>
      <c r="T260" s="64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39">
        <v>4680115882669</v>
      </c>
      <c r="E261" s="63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1"/>
      <c r="R261" s="641"/>
      <c r="S261" s="641"/>
      <c r="T261" s="64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39">
        <v>4680115882676</v>
      </c>
      <c r="E262" s="63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1"/>
      <c r="R262" s="641"/>
      <c r="S262" s="641"/>
      <c r="T262" s="64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4301031223</v>
      </c>
      <c r="D263" s="639">
        <v>4680115884014</v>
      </c>
      <c r="E263" s="639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1"/>
      <c r="R263" s="641"/>
      <c r="S263" s="641"/>
      <c r="T263" s="64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customHeight="1" x14ac:dyDescent="0.25">
      <c r="A264" s="63" t="s">
        <v>448</v>
      </c>
      <c r="B264" s="63" t="s">
        <v>449</v>
      </c>
      <c r="C264" s="36">
        <v>4301031222</v>
      </c>
      <c r="D264" s="639">
        <v>4680115884007</v>
      </c>
      <c r="E264" s="639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1"/>
      <c r="R264" s="641"/>
      <c r="S264" s="641"/>
      <c r="T264" s="64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customHeight="1" x14ac:dyDescent="0.25">
      <c r="A265" s="63" t="s">
        <v>450</v>
      </c>
      <c r="B265" s="63" t="s">
        <v>451</v>
      </c>
      <c r="C265" s="36">
        <v>4301031229</v>
      </c>
      <c r="D265" s="639">
        <v>4680115884038</v>
      </c>
      <c r="E265" s="63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1"/>
      <c r="R265" s="641"/>
      <c r="S265" s="641"/>
      <c r="T265" s="64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452</v>
      </c>
      <c r="B266" s="63" t="s">
        <v>453</v>
      </c>
      <c r="C266" s="36">
        <v>4301031225</v>
      </c>
      <c r="D266" s="639">
        <v>4680115884021</v>
      </c>
      <c r="E266" s="63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1"/>
      <c r="R266" s="641"/>
      <c r="S266" s="641"/>
      <c r="T266" s="64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44" t="s">
        <v>83</v>
      </c>
      <c r="B269" s="644"/>
      <c r="C269" s="644"/>
      <c r="D269" s="644"/>
      <c r="E269" s="644"/>
      <c r="F269" s="644"/>
      <c r="G269" s="644"/>
      <c r="H269" s="644"/>
      <c r="I269" s="644"/>
      <c r="J269" s="644"/>
      <c r="K269" s="644"/>
      <c r="L269" s="644"/>
      <c r="M269" s="644"/>
      <c r="N269" s="644"/>
      <c r="O269" s="644"/>
      <c r="P269" s="644"/>
      <c r="Q269" s="644"/>
      <c r="R269" s="644"/>
      <c r="S269" s="644"/>
      <c r="T269" s="644"/>
      <c r="U269" s="644"/>
      <c r="V269" s="644"/>
      <c r="W269" s="644"/>
      <c r="X269" s="644"/>
      <c r="Y269" s="644"/>
      <c r="Z269" s="644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39">
        <v>4680115881594</v>
      </c>
      <c r="E270" s="639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1"/>
      <c r="R270" s="641"/>
      <c r="S270" s="641"/>
      <c r="T270" s="64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39">
        <v>4680115881617</v>
      </c>
      <c r="E271" s="639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1"/>
      <c r="R271" s="641"/>
      <c r="S271" s="641"/>
      <c r="T271" s="64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39">
        <v>4680115880573</v>
      </c>
      <c r="E272" s="639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1"/>
      <c r="R272" s="641"/>
      <c r="S272" s="641"/>
      <c r="T272" s="64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39">
        <v>4680115882195</v>
      </c>
      <c r="E273" s="639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1"/>
      <c r="R273" s="641"/>
      <c r="S273" s="641"/>
      <c r="T273" s="64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customHeight="1" x14ac:dyDescent="0.25">
      <c r="A274" s="63" t="s">
        <v>465</v>
      </c>
      <c r="B274" s="63" t="s">
        <v>466</v>
      </c>
      <c r="C274" s="36">
        <v>4301051752</v>
      </c>
      <c r="D274" s="639">
        <v>4680115882607</v>
      </c>
      <c r="E274" s="639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1"/>
      <c r="R274" s="641"/>
      <c r="S274" s="641"/>
      <c r="T274" s="64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467</v>
      </c>
      <c r="B275" s="63" t="s">
        <v>468</v>
      </c>
      <c r="C275" s="36">
        <v>4301052143</v>
      </c>
      <c r="D275" s="639">
        <v>4680115882607</v>
      </c>
      <c r="E275" s="639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1"/>
      <c r="R275" s="641"/>
      <c r="S275" s="641"/>
      <c r="T275" s="64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39">
        <v>4680115880092</v>
      </c>
      <c r="E276" s="63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1"/>
      <c r="R276" s="641"/>
      <c r="S276" s="641"/>
      <c r="T276" s="64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4301052214</v>
      </c>
      <c r="D277" s="639">
        <v>4680115889064</v>
      </c>
      <c r="E277" s="639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1"/>
      <c r="R277" s="641"/>
      <c r="S277" s="641"/>
      <c r="T277" s="64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4301051668</v>
      </c>
      <c r="D278" s="639">
        <v>4680115880221</v>
      </c>
      <c r="E278" s="639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1"/>
      <c r="R278" s="641"/>
      <c r="S278" s="641"/>
      <c r="T278" s="64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39">
        <v>4680115880504</v>
      </c>
      <c r="E279" s="63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1"/>
      <c r="R279" s="641"/>
      <c r="S279" s="641"/>
      <c r="T279" s="64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39">
        <v>4680115882164</v>
      </c>
      <c r="E280" s="639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1"/>
      <c r="R280" s="641"/>
      <c r="S280" s="641"/>
      <c r="T280" s="64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4301052180</v>
      </c>
      <c r="D281" s="639">
        <v>4680115888340</v>
      </c>
      <c r="E281" s="63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1"/>
      <c r="R281" s="641"/>
      <c r="S281" s="641"/>
      <c r="T281" s="64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44" t="s">
        <v>172</v>
      </c>
      <c r="B284" s="644"/>
      <c r="C284" s="644"/>
      <c r="D284" s="644"/>
      <c r="E284" s="644"/>
      <c r="F284" s="644"/>
      <c r="G284" s="644"/>
      <c r="H284" s="644"/>
      <c r="I284" s="644"/>
      <c r="J284" s="644"/>
      <c r="K284" s="644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39">
        <v>4680115880818</v>
      </c>
      <c r="E285" s="63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1"/>
      <c r="R285" s="641"/>
      <c r="S285" s="641"/>
      <c r="T285" s="642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39">
        <v>4680115880801</v>
      </c>
      <c r="E286" s="63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1"/>
      <c r="R286" s="641"/>
      <c r="S286" s="641"/>
      <c r="T286" s="64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43" t="s">
        <v>491</v>
      </c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  <c r="AA289" s="65"/>
      <c r="AB289" s="65"/>
      <c r="AC289" s="79"/>
    </row>
    <row r="290" spans="1:68" ht="14.25" customHeight="1" x14ac:dyDescent="0.25">
      <c r="A290" s="644" t="s">
        <v>119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6"/>
      <c r="AB290" s="66"/>
      <c r="AC290" s="80"/>
    </row>
    <row r="291" spans="1:68" ht="27" customHeight="1" x14ac:dyDescent="0.25">
      <c r="A291" s="63" t="s">
        <v>492</v>
      </c>
      <c r="B291" s="63" t="s">
        <v>493</v>
      </c>
      <c r="C291" s="36">
        <v>4301011826</v>
      </c>
      <c r="D291" s="639">
        <v>4680115884137</v>
      </c>
      <c r="E291" s="639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1"/>
      <c r="R291" s="641"/>
      <c r="S291" s="641"/>
      <c r="T291" s="64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4301011724</v>
      </c>
      <c r="D292" s="639">
        <v>4680115884236</v>
      </c>
      <c r="E292" s="63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1"/>
      <c r="R292" s="641"/>
      <c r="S292" s="641"/>
      <c r="T292" s="64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4301011721</v>
      </c>
      <c r="D293" s="639">
        <v>4680115884175</v>
      </c>
      <c r="E293" s="63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1"/>
      <c r="R293" s="641"/>
      <c r="S293" s="641"/>
      <c r="T293" s="64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39">
        <v>4680115884144</v>
      </c>
      <c r="E294" s="639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1"/>
      <c r="R294" s="641"/>
      <c r="S294" s="641"/>
      <c r="T294" s="64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customHeight="1" x14ac:dyDescent="0.25">
      <c r="A295" s="63" t="s">
        <v>502</v>
      </c>
      <c r="B295" s="63" t="s">
        <v>503</v>
      </c>
      <c r="C295" s="36">
        <v>4301012149</v>
      </c>
      <c r="D295" s="639">
        <v>4680115886551</v>
      </c>
      <c r="E295" s="63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1"/>
      <c r="R295" s="641"/>
      <c r="S295" s="641"/>
      <c r="T295" s="64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customHeight="1" x14ac:dyDescent="0.25">
      <c r="A296" s="63" t="s">
        <v>505</v>
      </c>
      <c r="B296" s="63" t="s">
        <v>506</v>
      </c>
      <c r="C296" s="36">
        <v>4301012228</v>
      </c>
      <c r="D296" s="639">
        <v>4680115887282</v>
      </c>
      <c r="E296" s="639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1"/>
      <c r="R296" s="641"/>
      <c r="S296" s="641"/>
      <c r="T296" s="64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39">
        <v>4680115884205</v>
      </c>
      <c r="E297" s="639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1"/>
      <c r="R297" s="641"/>
      <c r="S297" s="641"/>
      <c r="T297" s="64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44" t="s">
        <v>154</v>
      </c>
      <c r="B300" s="644"/>
      <c r="C300" s="644"/>
      <c r="D300" s="644"/>
      <c r="E300" s="644"/>
      <c r="F300" s="644"/>
      <c r="G300" s="644"/>
      <c r="H300" s="644"/>
      <c r="I300" s="644"/>
      <c r="J300" s="644"/>
      <c r="K300" s="644"/>
      <c r="L300" s="644"/>
      <c r="M300" s="644"/>
      <c r="N300" s="644"/>
      <c r="O300" s="644"/>
      <c r="P300" s="644"/>
      <c r="Q300" s="644"/>
      <c r="R300" s="644"/>
      <c r="S300" s="644"/>
      <c r="T300" s="644"/>
      <c r="U300" s="644"/>
      <c r="V300" s="644"/>
      <c r="W300" s="644"/>
      <c r="X300" s="644"/>
      <c r="Y300" s="644"/>
      <c r="Z300" s="644"/>
      <c r="AA300" s="66"/>
      <c r="AB300" s="66"/>
      <c r="AC300" s="80"/>
    </row>
    <row r="301" spans="1:68" ht="27" customHeight="1" x14ac:dyDescent="0.25">
      <c r="A301" s="63" t="s">
        <v>510</v>
      </c>
      <c r="B301" s="63" t="s">
        <v>511</v>
      </c>
      <c r="C301" s="36">
        <v>4301020377</v>
      </c>
      <c r="D301" s="639">
        <v>4680115885981</v>
      </c>
      <c r="E301" s="639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1"/>
      <c r="R301" s="641"/>
      <c r="S301" s="641"/>
      <c r="T301" s="64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44" t="s">
        <v>513</v>
      </c>
      <c r="B304" s="644"/>
      <c r="C304" s="644"/>
      <c r="D304" s="644"/>
      <c r="E304" s="644"/>
      <c r="F304" s="644"/>
      <c r="G304" s="644"/>
      <c r="H304" s="644"/>
      <c r="I304" s="644"/>
      <c r="J304" s="644"/>
      <c r="K304" s="644"/>
      <c r="L304" s="644"/>
      <c r="M304" s="644"/>
      <c r="N304" s="644"/>
      <c r="O304" s="644"/>
      <c r="P304" s="644"/>
      <c r="Q304" s="644"/>
      <c r="R304" s="644"/>
      <c r="S304" s="644"/>
      <c r="T304" s="644"/>
      <c r="U304" s="644"/>
      <c r="V304" s="644"/>
      <c r="W304" s="644"/>
      <c r="X304" s="644"/>
      <c r="Y304" s="644"/>
      <c r="Z304" s="644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4301040362</v>
      </c>
      <c r="D305" s="639">
        <v>4680115886803</v>
      </c>
      <c r="E305" s="63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1"/>
      <c r="R305" s="641"/>
      <c r="S305" s="641"/>
      <c r="T305" s="64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44" t="s">
        <v>334</v>
      </c>
      <c r="B308" s="644"/>
      <c r="C308" s="644"/>
      <c r="D308" s="644"/>
      <c r="E308" s="644"/>
      <c r="F308" s="644"/>
      <c r="G308" s="644"/>
      <c r="H308" s="644"/>
      <c r="I308" s="644"/>
      <c r="J308" s="644"/>
      <c r="K308" s="644"/>
      <c r="L308" s="644"/>
      <c r="M308" s="644"/>
      <c r="N308" s="644"/>
      <c r="O308" s="644"/>
      <c r="P308" s="644"/>
      <c r="Q308" s="644"/>
      <c r="R308" s="644"/>
      <c r="S308" s="644"/>
      <c r="T308" s="644"/>
      <c r="U308" s="644"/>
      <c r="V308" s="644"/>
      <c r="W308" s="644"/>
      <c r="X308" s="644"/>
      <c r="Y308" s="644"/>
      <c r="Z308" s="644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39">
        <v>4680115886681</v>
      </c>
      <c r="E309" s="639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41"/>
      <c r="R309" s="641"/>
      <c r="S309" s="641"/>
      <c r="T309" s="642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520</v>
      </c>
      <c r="B310" s="63" t="s">
        <v>521</v>
      </c>
      <c r="C310" s="36">
        <v>4301041007</v>
      </c>
      <c r="D310" s="639">
        <v>4680115886735</v>
      </c>
      <c r="E310" s="639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41"/>
      <c r="R310" s="641"/>
      <c r="S310" s="641"/>
      <c r="T310" s="64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33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0" t="s">
        <v>40</v>
      </c>
      <c r="Q311" s="631"/>
      <c r="R311" s="631"/>
      <c r="S311" s="631"/>
      <c r="T311" s="631"/>
      <c r="U311" s="631"/>
      <c r="V311" s="632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customHeight="1" x14ac:dyDescent="0.25">
      <c r="A313" s="643" t="s">
        <v>522</v>
      </c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  <c r="AA313" s="65"/>
      <c r="AB313" s="65"/>
      <c r="AC313" s="79"/>
    </row>
    <row r="314" spans="1:68" ht="14.25" customHeight="1" x14ac:dyDescent="0.25">
      <c r="A314" s="644" t="s">
        <v>119</v>
      </c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44"/>
      <c r="P314" s="644"/>
      <c r="Q314" s="644"/>
      <c r="R314" s="644"/>
      <c r="S314" s="644"/>
      <c r="T314" s="644"/>
      <c r="U314" s="644"/>
      <c r="V314" s="644"/>
      <c r="W314" s="644"/>
      <c r="X314" s="644"/>
      <c r="Y314" s="644"/>
      <c r="Z314" s="644"/>
      <c r="AA314" s="66"/>
      <c r="AB314" s="66"/>
      <c r="AC314" s="80"/>
    </row>
    <row r="315" spans="1:68" ht="27" customHeight="1" x14ac:dyDescent="0.25">
      <c r="A315" s="63" t="s">
        <v>523</v>
      </c>
      <c r="B315" s="63" t="s">
        <v>524</v>
      </c>
      <c r="C315" s="36">
        <v>4301011855</v>
      </c>
      <c r="D315" s="639">
        <v>4680115885837</v>
      </c>
      <c r="E315" s="63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7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41"/>
      <c r="R315" s="641"/>
      <c r="S315" s="641"/>
      <c r="T315" s="642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customHeight="1" x14ac:dyDescent="0.25">
      <c r="A316" s="63" t="s">
        <v>526</v>
      </c>
      <c r="B316" s="63" t="s">
        <v>527</v>
      </c>
      <c r="C316" s="36">
        <v>4301012390</v>
      </c>
      <c r="D316" s="639">
        <v>4680115889637</v>
      </c>
      <c r="E316" s="639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41"/>
      <c r="R316" s="641"/>
      <c r="S316" s="641"/>
      <c r="T316" s="642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customHeight="1" x14ac:dyDescent="0.25">
      <c r="A317" s="63" t="s">
        <v>529</v>
      </c>
      <c r="B317" s="63" t="s">
        <v>530</v>
      </c>
      <c r="C317" s="36">
        <v>4301012234</v>
      </c>
      <c r="D317" s="639">
        <v>4680115887237</v>
      </c>
      <c r="E317" s="639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1"/>
      <c r="R317" s="641"/>
      <c r="S317" s="641"/>
      <c r="T317" s="642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customHeight="1" x14ac:dyDescent="0.25">
      <c r="A318" s="63" t="s">
        <v>532</v>
      </c>
      <c r="B318" s="63" t="s">
        <v>533</v>
      </c>
      <c r="C318" s="36">
        <v>4301011850</v>
      </c>
      <c r="D318" s="639">
        <v>4680115885806</v>
      </c>
      <c r="E318" s="63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1"/>
      <c r="R318" s="641"/>
      <c r="S318" s="641"/>
      <c r="T318" s="64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customHeight="1" x14ac:dyDescent="0.25">
      <c r="A319" s="63" t="s">
        <v>535</v>
      </c>
      <c r="B319" s="63" t="s">
        <v>536</v>
      </c>
      <c r="C319" s="36">
        <v>4301011852</v>
      </c>
      <c r="D319" s="639">
        <v>4680115885844</v>
      </c>
      <c r="E319" s="639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1"/>
      <c r="R319" s="641"/>
      <c r="S319" s="641"/>
      <c r="T319" s="64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customHeight="1" x14ac:dyDescent="0.25">
      <c r="A320" s="63" t="s">
        <v>538</v>
      </c>
      <c r="B320" s="63" t="s">
        <v>539</v>
      </c>
      <c r="C320" s="36">
        <v>4301011851</v>
      </c>
      <c r="D320" s="639">
        <v>4680115885820</v>
      </c>
      <c r="E320" s="639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1"/>
      <c r="R320" s="641"/>
      <c r="S320" s="641"/>
      <c r="T320" s="64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customHeight="1" x14ac:dyDescent="0.25">
      <c r="A323" s="643" t="s">
        <v>541</v>
      </c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  <c r="AA323" s="65"/>
      <c r="AB323" s="65"/>
      <c r="AC323" s="79"/>
    </row>
    <row r="324" spans="1:68" ht="14.25" customHeight="1" x14ac:dyDescent="0.25">
      <c r="A324" s="644" t="s">
        <v>83</v>
      </c>
      <c r="B324" s="644"/>
      <c r="C324" s="644"/>
      <c r="D324" s="644"/>
      <c r="E324" s="644"/>
      <c r="F324" s="644"/>
      <c r="G324" s="644"/>
      <c r="H324" s="644"/>
      <c r="I324" s="644"/>
      <c r="J324" s="644"/>
      <c r="K324" s="644"/>
      <c r="L324" s="644"/>
      <c r="M324" s="644"/>
      <c r="N324" s="644"/>
      <c r="O324" s="644"/>
      <c r="P324" s="644"/>
      <c r="Q324" s="644"/>
      <c r="R324" s="644"/>
      <c r="S324" s="644"/>
      <c r="T324" s="644"/>
      <c r="U324" s="644"/>
      <c r="V324" s="644"/>
      <c r="W324" s="644"/>
      <c r="X324" s="644"/>
      <c r="Y324" s="644"/>
      <c r="Z324" s="644"/>
      <c r="AA324" s="66"/>
      <c r="AB324" s="66"/>
      <c r="AC324" s="80"/>
    </row>
    <row r="325" spans="1:68" ht="27" customHeight="1" x14ac:dyDescent="0.25">
      <c r="A325" s="63" t="s">
        <v>542</v>
      </c>
      <c r="B325" s="63" t="s">
        <v>543</v>
      </c>
      <c r="C325" s="36">
        <v>4301051893</v>
      </c>
      <c r="D325" s="639">
        <v>4680115886186</v>
      </c>
      <c r="E325" s="639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1"/>
      <c r="R325" s="641"/>
      <c r="S325" s="641"/>
      <c r="T325" s="64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39">
        <v>4680115881228</v>
      </c>
      <c r="E326" s="639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1"/>
      <c r="R326" s="641"/>
      <c r="S326" s="641"/>
      <c r="T326" s="64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39">
        <v>4680115881211</v>
      </c>
      <c r="E327" s="639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1"/>
      <c r="R327" s="641"/>
      <c r="S327" s="641"/>
      <c r="T327" s="64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43" t="s">
        <v>550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5"/>
      <c r="AB330" s="65"/>
      <c r="AC330" s="79"/>
    </row>
    <row r="331" spans="1:68" ht="14.25" customHeight="1" x14ac:dyDescent="0.25">
      <c r="A331" s="644" t="s">
        <v>77</v>
      </c>
      <c r="B331" s="644"/>
      <c r="C331" s="644"/>
      <c r="D331" s="644"/>
      <c r="E331" s="644"/>
      <c r="F331" s="644"/>
      <c r="G331" s="644"/>
      <c r="H331" s="644"/>
      <c r="I331" s="644"/>
      <c r="J331" s="644"/>
      <c r="K331" s="644"/>
      <c r="L331" s="644"/>
      <c r="M331" s="644"/>
      <c r="N331" s="644"/>
      <c r="O331" s="644"/>
      <c r="P331" s="644"/>
      <c r="Q331" s="644"/>
      <c r="R331" s="644"/>
      <c r="S331" s="644"/>
      <c r="T331" s="644"/>
      <c r="U331" s="644"/>
      <c r="V331" s="644"/>
      <c r="W331" s="644"/>
      <c r="X331" s="644"/>
      <c r="Y331" s="644"/>
      <c r="Z331" s="644"/>
      <c r="AA331" s="66"/>
      <c r="AB331" s="66"/>
      <c r="AC331" s="80"/>
    </row>
    <row r="332" spans="1:68" ht="27" customHeight="1" x14ac:dyDescent="0.25">
      <c r="A332" s="63" t="s">
        <v>551</v>
      </c>
      <c r="B332" s="63" t="s">
        <v>552</v>
      </c>
      <c r="C332" s="36">
        <v>4301031445</v>
      </c>
      <c r="D332" s="639">
        <v>4680115888319</v>
      </c>
      <c r="E332" s="639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1"/>
      <c r="R332" s="641"/>
      <c r="S332" s="641"/>
      <c r="T332" s="64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39">
        <v>4680115884700</v>
      </c>
      <c r="E333" s="639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1"/>
      <c r="R333" s="641"/>
      <c r="S333" s="641"/>
      <c r="T333" s="64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39">
        <v>4680115880344</v>
      </c>
      <c r="E334" s="639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1"/>
      <c r="R334" s="641"/>
      <c r="S334" s="641"/>
      <c r="T334" s="642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39">
        <v>4680115886919</v>
      </c>
      <c r="E335" s="639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1"/>
      <c r="R335" s="641"/>
      <c r="S335" s="641"/>
      <c r="T335" s="64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3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0" t="s">
        <v>40</v>
      </c>
      <c r="Q336" s="631"/>
      <c r="R336" s="631"/>
      <c r="S336" s="631"/>
      <c r="T336" s="631"/>
      <c r="U336" s="631"/>
      <c r="V336" s="632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customHeight="1" x14ac:dyDescent="0.25">
      <c r="A338" s="644" t="s">
        <v>83</v>
      </c>
      <c r="B338" s="644"/>
      <c r="C338" s="644"/>
      <c r="D338" s="644"/>
      <c r="E338" s="644"/>
      <c r="F338" s="644"/>
      <c r="G338" s="644"/>
      <c r="H338" s="644"/>
      <c r="I338" s="644"/>
      <c r="J338" s="644"/>
      <c r="K338" s="644"/>
      <c r="L338" s="644"/>
      <c r="M338" s="644"/>
      <c r="N338" s="644"/>
      <c r="O338" s="644"/>
      <c r="P338" s="644"/>
      <c r="Q338" s="644"/>
      <c r="R338" s="644"/>
      <c r="S338" s="644"/>
      <c r="T338" s="644"/>
      <c r="U338" s="644"/>
      <c r="V338" s="644"/>
      <c r="W338" s="644"/>
      <c r="X338" s="644"/>
      <c r="Y338" s="644"/>
      <c r="Z338" s="644"/>
      <c r="AA338" s="66"/>
      <c r="AB338" s="66"/>
      <c r="AC338" s="80"/>
    </row>
    <row r="339" spans="1:68" ht="27" customHeight="1" x14ac:dyDescent="0.25">
      <c r="A339" s="63" t="s">
        <v>563</v>
      </c>
      <c r="B339" s="63" t="s">
        <v>564</v>
      </c>
      <c r="C339" s="36">
        <v>4301051782</v>
      </c>
      <c r="D339" s="639">
        <v>4680115884618</v>
      </c>
      <c r="E339" s="639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41"/>
      <c r="R339" s="641"/>
      <c r="S339" s="641"/>
      <c r="T339" s="64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566</v>
      </c>
      <c r="B340" s="63" t="s">
        <v>567</v>
      </c>
      <c r="C340" s="36">
        <v>4301052057</v>
      </c>
      <c r="D340" s="639">
        <v>4680115887114</v>
      </c>
      <c r="E340" s="639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41"/>
      <c r="R340" s="641"/>
      <c r="S340" s="641"/>
      <c r="T340" s="64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4301052066</v>
      </c>
      <c r="D341" s="639">
        <v>4680115887466</v>
      </c>
      <c r="E341" s="639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41"/>
      <c r="R341" s="641"/>
      <c r="S341" s="641"/>
      <c r="T341" s="64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customHeight="1" x14ac:dyDescent="0.25">
      <c r="A344" s="643" t="s">
        <v>572</v>
      </c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  <c r="AA344" s="65"/>
      <c r="AB344" s="65"/>
      <c r="AC344" s="79"/>
    </row>
    <row r="345" spans="1:68" ht="14.25" customHeight="1" x14ac:dyDescent="0.25">
      <c r="A345" s="644" t="s">
        <v>119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39">
        <v>4680115887947</v>
      </c>
      <c r="E346" s="639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1"/>
      <c r="R346" s="641"/>
      <c r="S346" s="641"/>
      <c r="T346" s="64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39">
        <v>4680115887978</v>
      </c>
      <c r="E347" s="639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1"/>
      <c r="R347" s="641"/>
      <c r="S347" s="641"/>
      <c r="T347" s="64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39">
        <v>4680115887992</v>
      </c>
      <c r="E348" s="639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1"/>
      <c r="R348" s="641"/>
      <c r="S348" s="641"/>
      <c r="T348" s="642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43" t="s">
        <v>581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5"/>
      <c r="AB351" s="65"/>
      <c r="AC351" s="79"/>
    </row>
    <row r="352" spans="1:68" ht="14.25" customHeight="1" x14ac:dyDescent="0.25">
      <c r="A352" s="644" t="s">
        <v>119</v>
      </c>
      <c r="B352" s="644"/>
      <c r="C352" s="644"/>
      <c r="D352" s="644"/>
      <c r="E352" s="644"/>
      <c r="F352" s="644"/>
      <c r="G352" s="644"/>
      <c r="H352" s="644"/>
      <c r="I352" s="644"/>
      <c r="J352" s="644"/>
      <c r="K352" s="644"/>
      <c r="L352" s="644"/>
      <c r="M352" s="644"/>
      <c r="N352" s="644"/>
      <c r="O352" s="644"/>
      <c r="P352" s="644"/>
      <c r="Q352" s="644"/>
      <c r="R352" s="644"/>
      <c r="S352" s="644"/>
      <c r="T352" s="644"/>
      <c r="U352" s="644"/>
      <c r="V352" s="644"/>
      <c r="W352" s="644"/>
      <c r="X352" s="644"/>
      <c r="Y352" s="644"/>
      <c r="Z352" s="644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4301012360</v>
      </c>
      <c r="D353" s="639">
        <v>4680115889293</v>
      </c>
      <c r="E353" s="639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73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41"/>
      <c r="R353" s="641"/>
      <c r="S353" s="641"/>
      <c r="T353" s="64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39">
        <v>4680115887190</v>
      </c>
      <c r="E354" s="639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1"/>
      <c r="R354" s="641"/>
      <c r="S354" s="641"/>
      <c r="T354" s="64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customHeight="1" x14ac:dyDescent="0.25">
      <c r="A355" s="63" t="s">
        <v>588</v>
      </c>
      <c r="B355" s="63" t="s">
        <v>589</v>
      </c>
      <c r="C355" s="36">
        <v>4301012400</v>
      </c>
      <c r="D355" s="639">
        <v>4680115889880</v>
      </c>
      <c r="E355" s="639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73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41"/>
      <c r="R355" s="641"/>
      <c r="S355" s="641"/>
      <c r="T355" s="642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customHeight="1" x14ac:dyDescent="0.25">
      <c r="A356" s="63" t="s">
        <v>590</v>
      </c>
      <c r="B356" s="63" t="s">
        <v>591</v>
      </c>
      <c r="C356" s="36">
        <v>4301012233</v>
      </c>
      <c r="D356" s="639">
        <v>4680115887138</v>
      </c>
      <c r="E356" s="639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7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41"/>
      <c r="R356" s="641"/>
      <c r="S356" s="641"/>
      <c r="T356" s="642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customHeight="1" x14ac:dyDescent="0.25">
      <c r="A357" s="63" t="s">
        <v>593</v>
      </c>
      <c r="B357" s="63" t="s">
        <v>594</v>
      </c>
      <c r="C357" s="36">
        <v>4301012016</v>
      </c>
      <c r="D357" s="639">
        <v>4680115885554</v>
      </c>
      <c r="E357" s="639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7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41"/>
      <c r="R357" s="641"/>
      <c r="S357" s="641"/>
      <c r="T357" s="642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4301012236</v>
      </c>
      <c r="D358" s="639">
        <v>4680115887220</v>
      </c>
      <c r="E358" s="639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73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41"/>
      <c r="R358" s="641"/>
      <c r="S358" s="641"/>
      <c r="T358" s="64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customHeight="1" x14ac:dyDescent="0.25">
      <c r="A359" s="63" t="s">
        <v>598</v>
      </c>
      <c r="B359" s="63" t="s">
        <v>599</v>
      </c>
      <c r="C359" s="36">
        <v>4301011859</v>
      </c>
      <c r="D359" s="639">
        <v>4680115885608</v>
      </c>
      <c r="E359" s="63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7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41"/>
      <c r="R359" s="641"/>
      <c r="S359" s="641"/>
      <c r="T359" s="64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customHeight="1" x14ac:dyDescent="0.25">
      <c r="A362" s="644" t="s">
        <v>77</v>
      </c>
      <c r="B362" s="644"/>
      <c r="C362" s="644"/>
      <c r="D362" s="644"/>
      <c r="E362" s="644"/>
      <c r="F362" s="644"/>
      <c r="G362" s="644"/>
      <c r="H362" s="644"/>
      <c r="I362" s="644"/>
      <c r="J362" s="644"/>
      <c r="K362" s="644"/>
      <c r="L362" s="644"/>
      <c r="M362" s="644"/>
      <c r="N362" s="644"/>
      <c r="O362" s="644"/>
      <c r="P362" s="644"/>
      <c r="Q362" s="644"/>
      <c r="R362" s="644"/>
      <c r="S362" s="644"/>
      <c r="T362" s="644"/>
      <c r="U362" s="644"/>
      <c r="V362" s="644"/>
      <c r="W362" s="644"/>
      <c r="X362" s="644"/>
      <c r="Y362" s="644"/>
      <c r="Z362" s="644"/>
      <c r="AA362" s="66"/>
      <c r="AB362" s="66"/>
      <c r="AC362" s="80"/>
    </row>
    <row r="363" spans="1:68" ht="27" customHeight="1" x14ac:dyDescent="0.25">
      <c r="A363" s="63" t="s">
        <v>601</v>
      </c>
      <c r="B363" s="63" t="s">
        <v>602</v>
      </c>
      <c r="C363" s="36">
        <v>4301030878</v>
      </c>
      <c r="D363" s="639">
        <v>4607091387193</v>
      </c>
      <c r="E363" s="639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7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41"/>
      <c r="R363" s="641"/>
      <c r="S363" s="641"/>
      <c r="T363" s="64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customHeight="1" x14ac:dyDescent="0.25">
      <c r="A364" s="63" t="s">
        <v>604</v>
      </c>
      <c r="B364" s="63" t="s">
        <v>605</v>
      </c>
      <c r="C364" s="36">
        <v>4301031153</v>
      </c>
      <c r="D364" s="639">
        <v>4607091387230</v>
      </c>
      <c r="E364" s="639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7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41"/>
      <c r="R364" s="641"/>
      <c r="S364" s="641"/>
      <c r="T364" s="64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customHeight="1" x14ac:dyDescent="0.25">
      <c r="A365" s="63" t="s">
        <v>607</v>
      </c>
      <c r="B365" s="63" t="s">
        <v>608</v>
      </c>
      <c r="C365" s="36">
        <v>4301031154</v>
      </c>
      <c r="D365" s="639">
        <v>4607091387292</v>
      </c>
      <c r="E365" s="639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7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41"/>
      <c r="R365" s="641"/>
      <c r="S365" s="641"/>
      <c r="T365" s="64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4301031152</v>
      </c>
      <c r="D366" s="639">
        <v>4607091387285</v>
      </c>
      <c r="E366" s="639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41"/>
      <c r="R366" s="641"/>
      <c r="S366" s="641"/>
      <c r="T366" s="64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39">
        <v>4607091389845</v>
      </c>
      <c r="E367" s="639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41"/>
      <c r="R367" s="641"/>
      <c r="S367" s="641"/>
      <c r="T367" s="64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4301031460</v>
      </c>
      <c r="D368" s="639">
        <v>4680115887442</v>
      </c>
      <c r="E368" s="639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41"/>
      <c r="R368" s="641"/>
      <c r="S368" s="641"/>
      <c r="T368" s="64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39">
        <v>4607091383836</v>
      </c>
      <c r="E369" s="639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41"/>
      <c r="R369" s="641"/>
      <c r="S369" s="641"/>
      <c r="T369" s="64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customHeight="1" x14ac:dyDescent="0.25">
      <c r="A372" s="644" t="s">
        <v>83</v>
      </c>
      <c r="B372" s="644"/>
      <c r="C372" s="644"/>
      <c r="D372" s="644"/>
      <c r="E372" s="644"/>
      <c r="F372" s="644"/>
      <c r="G372" s="644"/>
      <c r="H372" s="644"/>
      <c r="I372" s="644"/>
      <c r="J372" s="644"/>
      <c r="K372" s="644"/>
      <c r="L372" s="644"/>
      <c r="M372" s="644"/>
      <c r="N372" s="644"/>
      <c r="O372" s="644"/>
      <c r="P372" s="644"/>
      <c r="Q372" s="644"/>
      <c r="R372" s="644"/>
      <c r="S372" s="644"/>
      <c r="T372" s="644"/>
      <c r="U372" s="644"/>
      <c r="V372" s="644"/>
      <c r="W372" s="644"/>
      <c r="X372" s="644"/>
      <c r="Y372" s="644"/>
      <c r="Z372" s="644"/>
      <c r="AA372" s="66"/>
      <c r="AB372" s="66"/>
      <c r="AC372" s="80"/>
    </row>
    <row r="373" spans="1:68" ht="27" customHeight="1" x14ac:dyDescent="0.25">
      <c r="A373" s="63" t="s">
        <v>620</v>
      </c>
      <c r="B373" s="63" t="s">
        <v>621</v>
      </c>
      <c r="C373" s="36">
        <v>4301051100</v>
      </c>
      <c r="D373" s="639">
        <v>4607091387766</v>
      </c>
      <c r="E373" s="639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41"/>
      <c r="R373" s="641"/>
      <c r="S373" s="641"/>
      <c r="T373" s="642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623</v>
      </c>
      <c r="B374" s="63" t="s">
        <v>624</v>
      </c>
      <c r="C374" s="36">
        <v>4301051818</v>
      </c>
      <c r="D374" s="639">
        <v>4607091387957</v>
      </c>
      <c r="E374" s="639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41"/>
      <c r="R374" s="641"/>
      <c r="S374" s="641"/>
      <c r="T374" s="642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626</v>
      </c>
      <c r="B375" s="63" t="s">
        <v>627</v>
      </c>
      <c r="C375" s="36">
        <v>4301051819</v>
      </c>
      <c r="D375" s="639">
        <v>4607091387964</v>
      </c>
      <c r="E375" s="639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41"/>
      <c r="R375" s="641"/>
      <c r="S375" s="641"/>
      <c r="T375" s="64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629</v>
      </c>
      <c r="B376" s="63" t="s">
        <v>630</v>
      </c>
      <c r="C376" s="36">
        <v>4301051734</v>
      </c>
      <c r="D376" s="639">
        <v>4680115884588</v>
      </c>
      <c r="E376" s="639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7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41"/>
      <c r="R376" s="641"/>
      <c r="S376" s="641"/>
      <c r="T376" s="64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customHeight="1" x14ac:dyDescent="0.25">
      <c r="A379" s="644" t="s">
        <v>172</v>
      </c>
      <c r="B379" s="644"/>
      <c r="C379" s="644"/>
      <c r="D379" s="644"/>
      <c r="E379" s="644"/>
      <c r="F379" s="644"/>
      <c r="G379" s="644"/>
      <c r="H379" s="644"/>
      <c r="I379" s="644"/>
      <c r="J379" s="644"/>
      <c r="K379" s="644"/>
      <c r="L379" s="644"/>
      <c r="M379" s="644"/>
      <c r="N379" s="644"/>
      <c r="O379" s="644"/>
      <c r="P379" s="644"/>
      <c r="Q379" s="644"/>
      <c r="R379" s="644"/>
      <c r="S379" s="644"/>
      <c r="T379" s="644"/>
      <c r="U379" s="644"/>
      <c r="V379" s="644"/>
      <c r="W379" s="644"/>
      <c r="X379" s="644"/>
      <c r="Y379" s="644"/>
      <c r="Z379" s="644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39">
        <v>4607091380880</v>
      </c>
      <c r="E380" s="639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41"/>
      <c r="R380" s="641"/>
      <c r="S380" s="641"/>
      <c r="T380" s="64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39">
        <v>4607091384482</v>
      </c>
      <c r="E381" s="639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72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41"/>
      <c r="R381" s="641"/>
      <c r="S381" s="641"/>
      <c r="T381" s="64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39">
        <v>4607091380897</v>
      </c>
      <c r="E382" s="639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41"/>
      <c r="R382" s="641"/>
      <c r="S382" s="641"/>
      <c r="T382" s="64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2" t="s">
        <v>39</v>
      </c>
      <c r="X383" s="43">
        <f>IFERROR(X380/H380,"0")+IFERROR(X381/H381,"0")+IFERROR(X382/H382,"0")</f>
        <v>0</v>
      </c>
      <c r="Y383" s="43">
        <f>IFERROR(Y380/H380,"0")+IFERROR(Y381/H381,"0")+IFERROR(Y382/H382,"0")</f>
        <v>0</v>
      </c>
      <c r="Z383" s="43">
        <f>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0</v>
      </c>
      <c r="X384" s="43">
        <f>IFERROR(SUM(X380:X382),"0")</f>
        <v>0</v>
      </c>
      <c r="Y384" s="43">
        <f>IFERROR(SUM(Y380:Y382),"0")</f>
        <v>0</v>
      </c>
      <c r="Z384" s="42"/>
      <c r="AA384" s="67"/>
      <c r="AB384" s="67"/>
      <c r="AC384" s="67"/>
    </row>
    <row r="385" spans="1:68" ht="14.25" customHeight="1" x14ac:dyDescent="0.25">
      <c r="A385" s="644" t="s">
        <v>274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4301030235</v>
      </c>
      <c r="D386" s="639">
        <v>4607091388381</v>
      </c>
      <c r="E386" s="639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41"/>
      <c r="R386" s="641"/>
      <c r="S386" s="641"/>
      <c r="T386" s="64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4301030232</v>
      </c>
      <c r="D387" s="639">
        <v>4607091388374</v>
      </c>
      <c r="E387" s="639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41"/>
      <c r="R387" s="641"/>
      <c r="S387" s="641"/>
      <c r="T387" s="64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4301032015</v>
      </c>
      <c r="D388" s="639">
        <v>4607091383102</v>
      </c>
      <c r="E388" s="639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41"/>
      <c r="R388" s="641"/>
      <c r="S388" s="641"/>
      <c r="T388" s="64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647</v>
      </c>
      <c r="B389" s="63" t="s">
        <v>648</v>
      </c>
      <c r="C389" s="36">
        <v>4301030233</v>
      </c>
      <c r="D389" s="639">
        <v>4607091388404</v>
      </c>
      <c r="E389" s="639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7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41"/>
      <c r="R389" s="641"/>
      <c r="S389" s="641"/>
      <c r="T389" s="64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0" t="s">
        <v>40</v>
      </c>
      <c r="Q391" s="631"/>
      <c r="R391" s="631"/>
      <c r="S391" s="631"/>
      <c r="T391" s="631"/>
      <c r="U391" s="631"/>
      <c r="V391" s="63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customHeight="1" x14ac:dyDescent="0.25">
      <c r="A392" s="644" t="s">
        <v>649</v>
      </c>
      <c r="B392" s="644"/>
      <c r="C392" s="644"/>
      <c r="D392" s="644"/>
      <c r="E392" s="644"/>
      <c r="F392" s="644"/>
      <c r="G392" s="644"/>
      <c r="H392" s="644"/>
      <c r="I392" s="644"/>
      <c r="J392" s="644"/>
      <c r="K392" s="644"/>
      <c r="L392" s="644"/>
      <c r="M392" s="644"/>
      <c r="N392" s="644"/>
      <c r="O392" s="644"/>
      <c r="P392" s="644"/>
      <c r="Q392" s="644"/>
      <c r="R392" s="644"/>
      <c r="S392" s="644"/>
      <c r="T392" s="644"/>
      <c r="U392" s="644"/>
      <c r="V392" s="644"/>
      <c r="W392" s="644"/>
      <c r="X392" s="644"/>
      <c r="Y392" s="644"/>
      <c r="Z392" s="644"/>
      <c r="AA392" s="66"/>
      <c r="AB392" s="66"/>
      <c r="AC392" s="80"/>
    </row>
    <row r="393" spans="1:68" ht="16.5" customHeight="1" x14ac:dyDescent="0.25">
      <c r="A393" s="63" t="s">
        <v>650</v>
      </c>
      <c r="B393" s="63" t="s">
        <v>651</v>
      </c>
      <c r="C393" s="36">
        <v>4301180007</v>
      </c>
      <c r="D393" s="639">
        <v>4680115881808</v>
      </c>
      <c r="E393" s="639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41"/>
      <c r="R393" s="641"/>
      <c r="S393" s="641"/>
      <c r="T393" s="64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4301180006</v>
      </c>
      <c r="D394" s="639">
        <v>4680115881822</v>
      </c>
      <c r="E394" s="639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41"/>
      <c r="R394" s="641"/>
      <c r="S394" s="641"/>
      <c r="T394" s="64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4301180001</v>
      </c>
      <c r="D395" s="639">
        <v>4680115880016</v>
      </c>
      <c r="E395" s="639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7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41"/>
      <c r="R395" s="641"/>
      <c r="S395" s="641"/>
      <c r="T395" s="64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0" t="s">
        <v>40</v>
      </c>
      <c r="Q397" s="631"/>
      <c r="R397" s="631"/>
      <c r="S397" s="631"/>
      <c r="T397" s="631"/>
      <c r="U397" s="631"/>
      <c r="V397" s="63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customHeight="1" x14ac:dyDescent="0.25">
      <c r="A398" s="644" t="s">
        <v>658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6"/>
      <c r="AB398" s="66"/>
      <c r="AC398" s="80"/>
    </row>
    <row r="399" spans="1:68" ht="27" customHeight="1" x14ac:dyDescent="0.25">
      <c r="A399" s="63" t="s">
        <v>659</v>
      </c>
      <c r="B399" s="63" t="s">
        <v>660</v>
      </c>
      <c r="C399" s="36">
        <v>4301220003</v>
      </c>
      <c r="D399" s="639">
        <v>4680115888678</v>
      </c>
      <c r="E399" s="639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71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41"/>
      <c r="R399" s="641"/>
      <c r="S399" s="641"/>
      <c r="T399" s="64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4301220001</v>
      </c>
      <c r="D400" s="639">
        <v>4680115888654</v>
      </c>
      <c r="E400" s="639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41"/>
      <c r="R400" s="641"/>
      <c r="S400" s="641"/>
      <c r="T400" s="64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4301220002</v>
      </c>
      <c r="D401" s="639">
        <v>4680115888753</v>
      </c>
      <c r="E401" s="639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70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41"/>
      <c r="R401" s="641"/>
      <c r="S401" s="641"/>
      <c r="T401" s="64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customHeight="1" x14ac:dyDescent="0.25">
      <c r="A404" s="643" t="s">
        <v>667</v>
      </c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  <c r="AA404" s="65"/>
      <c r="AB404" s="65"/>
      <c r="AC404" s="79"/>
    </row>
    <row r="405" spans="1:68" ht="14.25" customHeight="1" x14ac:dyDescent="0.25">
      <c r="A405" s="644" t="s">
        <v>83</v>
      </c>
      <c r="B405" s="644"/>
      <c r="C405" s="644"/>
      <c r="D405" s="644"/>
      <c r="E405" s="644"/>
      <c r="F405" s="644"/>
      <c r="G405" s="644"/>
      <c r="H405" s="644"/>
      <c r="I405" s="644"/>
      <c r="J405" s="644"/>
      <c r="K405" s="644"/>
      <c r="L405" s="644"/>
      <c r="M405" s="644"/>
      <c r="N405" s="644"/>
      <c r="O405" s="644"/>
      <c r="P405" s="644"/>
      <c r="Q405" s="644"/>
      <c r="R405" s="644"/>
      <c r="S405" s="644"/>
      <c r="T405" s="644"/>
      <c r="U405" s="644"/>
      <c r="V405" s="644"/>
      <c r="W405" s="644"/>
      <c r="X405" s="644"/>
      <c r="Y405" s="644"/>
      <c r="Z405" s="644"/>
      <c r="AA405" s="66"/>
      <c r="AB405" s="66"/>
      <c r="AC405" s="80"/>
    </row>
    <row r="406" spans="1:68" ht="16.5" customHeight="1" x14ac:dyDescent="0.25">
      <c r="A406" s="63" t="s">
        <v>668</v>
      </c>
      <c r="B406" s="63" t="s">
        <v>669</v>
      </c>
      <c r="C406" s="36">
        <v>4301052235</v>
      </c>
      <c r="D406" s="639">
        <v>4680115889415</v>
      </c>
      <c r="E406" s="639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70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41"/>
      <c r="R406" s="641"/>
      <c r="S406" s="641"/>
      <c r="T406" s="64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customHeight="1" x14ac:dyDescent="0.25">
      <c r="A407" s="63" t="s">
        <v>671</v>
      </c>
      <c r="B407" s="63" t="s">
        <v>672</v>
      </c>
      <c r="C407" s="36">
        <v>4301052236</v>
      </c>
      <c r="D407" s="639">
        <v>4680115889422</v>
      </c>
      <c r="E407" s="639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7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41"/>
      <c r="R407" s="641"/>
      <c r="S407" s="641"/>
      <c r="T407" s="64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customHeight="1" x14ac:dyDescent="0.25">
      <c r="A410" s="643" t="s">
        <v>674</v>
      </c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  <c r="AA410" s="65"/>
      <c r="AB410" s="65"/>
      <c r="AC410" s="79"/>
    </row>
    <row r="411" spans="1:68" ht="14.25" customHeight="1" x14ac:dyDescent="0.25">
      <c r="A411" s="644" t="s">
        <v>83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6"/>
      <c r="AB411" s="66"/>
      <c r="AC411" s="80"/>
    </row>
    <row r="412" spans="1:68" ht="27" customHeight="1" x14ac:dyDescent="0.25">
      <c r="A412" s="63" t="s">
        <v>675</v>
      </c>
      <c r="B412" s="63" t="s">
        <v>676</v>
      </c>
      <c r="C412" s="36">
        <v>4301051489</v>
      </c>
      <c r="D412" s="639">
        <v>4607091387919</v>
      </c>
      <c r="E412" s="639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41"/>
      <c r="R412" s="641"/>
      <c r="S412" s="641"/>
      <c r="T412" s="64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39">
        <v>4680115883604</v>
      </c>
      <c r="E413" s="639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7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41"/>
      <c r="R413" s="641"/>
      <c r="S413" s="641"/>
      <c r="T413" s="64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39">
        <v>4680115883567</v>
      </c>
      <c r="E414" s="639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7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41"/>
      <c r="R414" s="641"/>
      <c r="S414" s="641"/>
      <c r="T414" s="64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customHeight="1" x14ac:dyDescent="0.2">
      <c r="A417" s="650" t="s">
        <v>684</v>
      </c>
      <c r="B417" s="650"/>
      <c r="C417" s="650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650"/>
      <c r="R417" s="650"/>
      <c r="S417" s="650"/>
      <c r="T417" s="650"/>
      <c r="U417" s="650"/>
      <c r="V417" s="650"/>
      <c r="W417" s="650"/>
      <c r="X417" s="650"/>
      <c r="Y417" s="650"/>
      <c r="Z417" s="650"/>
      <c r="AA417" s="54"/>
      <c r="AB417" s="54"/>
      <c r="AC417" s="54"/>
    </row>
    <row r="418" spans="1:68" ht="16.5" customHeight="1" x14ac:dyDescent="0.25">
      <c r="A418" s="643" t="s">
        <v>685</v>
      </c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  <c r="AA418" s="65"/>
      <c r="AB418" s="65"/>
      <c r="AC418" s="79"/>
    </row>
    <row r="419" spans="1:68" ht="14.25" customHeight="1" x14ac:dyDescent="0.25">
      <c r="A419" s="644" t="s">
        <v>119</v>
      </c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4"/>
      <c r="P419" s="644"/>
      <c r="Q419" s="644"/>
      <c r="R419" s="644"/>
      <c r="S419" s="644"/>
      <c r="T419" s="644"/>
      <c r="U419" s="644"/>
      <c r="V419" s="644"/>
      <c r="W419" s="644"/>
      <c r="X419" s="644"/>
      <c r="Y419" s="644"/>
      <c r="Z419" s="644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39">
        <v>4680115888401</v>
      </c>
      <c r="E420" s="639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7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41"/>
      <c r="R420" s="641"/>
      <c r="S420" s="641"/>
      <c r="T420" s="642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39">
        <v>4680115884847</v>
      </c>
      <c r="E421" s="639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7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41"/>
      <c r="R421" s="641"/>
      <c r="S421" s="641"/>
      <c r="T421" s="642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39">
        <v>4680115884854</v>
      </c>
      <c r="E422" s="63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41"/>
      <c r="R422" s="641"/>
      <c r="S422" s="641"/>
      <c r="T422" s="64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1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0</v>
      </c>
      <c r="BN422" s="78">
        <f t="shared" si="63"/>
        <v>0</v>
      </c>
      <c r="BO422" s="78">
        <f t="shared" si="64"/>
        <v>0</v>
      </c>
      <c r="BP422" s="78">
        <f t="shared" si="65"/>
        <v>0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39">
        <v>4680115884830</v>
      </c>
      <c r="E423" s="63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6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41"/>
      <c r="R423" s="641"/>
      <c r="S423" s="641"/>
      <c r="T423" s="64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39">
        <v>4680115889231</v>
      </c>
      <c r="E424" s="63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69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41"/>
      <c r="R424" s="641"/>
      <c r="S424" s="641"/>
      <c r="T424" s="64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customHeight="1" x14ac:dyDescent="0.25">
      <c r="A425" s="63" t="s">
        <v>701</v>
      </c>
      <c r="B425" s="63" t="s">
        <v>702</v>
      </c>
      <c r="C425" s="36">
        <v>4301011433</v>
      </c>
      <c r="D425" s="639">
        <v>4680115882638</v>
      </c>
      <c r="E425" s="639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41"/>
      <c r="R425" s="641"/>
      <c r="S425" s="641"/>
      <c r="T425" s="64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customHeight="1" x14ac:dyDescent="0.25">
      <c r="A426" s="63" t="s">
        <v>704</v>
      </c>
      <c r="B426" s="63" t="s">
        <v>705</v>
      </c>
      <c r="C426" s="36">
        <v>4301011952</v>
      </c>
      <c r="D426" s="639">
        <v>4680115884922</v>
      </c>
      <c r="E426" s="639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41"/>
      <c r="R426" s="641"/>
      <c r="S426" s="641"/>
      <c r="T426" s="64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39">
        <v>4680115884861</v>
      </c>
      <c r="E427" s="639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6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41"/>
      <c r="R427" s="641"/>
      <c r="S427" s="641"/>
      <c r="T427" s="64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0</v>
      </c>
      <c r="Y428" s="43">
        <f>IFERROR(Y420/H420,"0")+IFERROR(Y421/H421,"0")+IFERROR(Y422/H422,"0")+IFERROR(Y423/H423,"0")+IFERROR(Y424/H424,"0")+IFERROR(Y425/H425,"0")+IFERROR(Y426/H426,"0")+IFERROR(Y427/H427,"0")</f>
        <v>0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</v>
      </c>
      <c r="AA428" s="67"/>
      <c r="AB428" s="67"/>
      <c r="AC428" s="67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0" t="s">
        <v>40</v>
      </c>
      <c r="Q429" s="631"/>
      <c r="R429" s="631"/>
      <c r="S429" s="631"/>
      <c r="T429" s="631"/>
      <c r="U429" s="631"/>
      <c r="V429" s="632"/>
      <c r="W429" s="42" t="s">
        <v>0</v>
      </c>
      <c r="X429" s="43">
        <f>IFERROR(SUM(X420:X427),"0")</f>
        <v>0</v>
      </c>
      <c r="Y429" s="43">
        <f>IFERROR(SUM(Y420:Y427),"0")</f>
        <v>0</v>
      </c>
      <c r="Z429" s="42"/>
      <c r="AA429" s="67"/>
      <c r="AB429" s="67"/>
      <c r="AC429" s="67"/>
    </row>
    <row r="430" spans="1:68" ht="14.25" customHeight="1" x14ac:dyDescent="0.25">
      <c r="A430" s="644" t="s">
        <v>154</v>
      </c>
      <c r="B430" s="644"/>
      <c r="C430" s="644"/>
      <c r="D430" s="644"/>
      <c r="E430" s="644"/>
      <c r="F430" s="644"/>
      <c r="G430" s="644"/>
      <c r="H430" s="644"/>
      <c r="I430" s="644"/>
      <c r="J430" s="644"/>
      <c r="K430" s="644"/>
      <c r="L430" s="644"/>
      <c r="M430" s="644"/>
      <c r="N430" s="644"/>
      <c r="O430" s="644"/>
      <c r="P430" s="644"/>
      <c r="Q430" s="644"/>
      <c r="R430" s="644"/>
      <c r="S430" s="644"/>
      <c r="T430" s="644"/>
      <c r="U430" s="644"/>
      <c r="V430" s="644"/>
      <c r="W430" s="644"/>
      <c r="X430" s="644"/>
      <c r="Y430" s="644"/>
      <c r="Z430" s="644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39">
        <v>4607091383980</v>
      </c>
      <c r="E431" s="639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41"/>
      <c r="R431" s="641"/>
      <c r="S431" s="641"/>
      <c r="T431" s="64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39">
        <v>4680115888425</v>
      </c>
      <c r="E432" s="639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6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41"/>
      <c r="R432" s="641"/>
      <c r="S432" s="641"/>
      <c r="T432" s="642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716</v>
      </c>
      <c r="B433" s="63" t="s">
        <v>717</v>
      </c>
      <c r="C433" s="36">
        <v>4301020179</v>
      </c>
      <c r="D433" s="639">
        <v>4607091384178</v>
      </c>
      <c r="E433" s="639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6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41"/>
      <c r="R433" s="641"/>
      <c r="S433" s="641"/>
      <c r="T433" s="64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14.25" customHeight="1" x14ac:dyDescent="0.25">
      <c r="A436" s="644" t="s">
        <v>83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6"/>
      <c r="AB436" s="66"/>
      <c r="AC436" s="80"/>
    </row>
    <row r="437" spans="1:68" ht="27" customHeight="1" x14ac:dyDescent="0.25">
      <c r="A437" s="63" t="s">
        <v>719</v>
      </c>
      <c r="B437" s="63" t="s">
        <v>720</v>
      </c>
      <c r="C437" s="36">
        <v>4301051903</v>
      </c>
      <c r="D437" s="639">
        <v>4607091383928</v>
      </c>
      <c r="E437" s="639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41"/>
      <c r="R437" s="641"/>
      <c r="S437" s="641"/>
      <c r="T437" s="64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722</v>
      </c>
      <c r="B438" s="63" t="s">
        <v>723</v>
      </c>
      <c r="C438" s="36">
        <v>4301051897</v>
      </c>
      <c r="D438" s="639">
        <v>4607091384260</v>
      </c>
      <c r="E438" s="639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41"/>
      <c r="R438" s="641"/>
      <c r="S438" s="641"/>
      <c r="T438" s="64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725</v>
      </c>
      <c r="B439" s="63" t="s">
        <v>726</v>
      </c>
      <c r="C439" s="36">
        <v>4301052220</v>
      </c>
      <c r="D439" s="639">
        <v>4680115889538</v>
      </c>
      <c r="E439" s="639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69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41"/>
      <c r="R439" s="641"/>
      <c r="S439" s="641"/>
      <c r="T439" s="64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44" t="s">
        <v>172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6"/>
      <c r="AB442" s="66"/>
      <c r="AC442" s="80"/>
    </row>
    <row r="443" spans="1:68" ht="27" customHeight="1" x14ac:dyDescent="0.25">
      <c r="A443" s="63" t="s">
        <v>728</v>
      </c>
      <c r="B443" s="63" t="s">
        <v>729</v>
      </c>
      <c r="C443" s="36">
        <v>4301060537</v>
      </c>
      <c r="D443" s="639">
        <v>4680115889545</v>
      </c>
      <c r="E443" s="639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68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41"/>
      <c r="R443" s="641"/>
      <c r="S443" s="641"/>
      <c r="T443" s="64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731</v>
      </c>
      <c r="B444" s="63" t="s">
        <v>732</v>
      </c>
      <c r="C444" s="36">
        <v>4301060524</v>
      </c>
      <c r="D444" s="639">
        <v>4607091384673</v>
      </c>
      <c r="E444" s="63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6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41"/>
      <c r="R444" s="641"/>
      <c r="S444" s="641"/>
      <c r="T444" s="64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customHeight="1" x14ac:dyDescent="0.25">
      <c r="A447" s="643" t="s">
        <v>734</v>
      </c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  <c r="AA447" s="65"/>
      <c r="AB447" s="65"/>
      <c r="AC447" s="79"/>
    </row>
    <row r="448" spans="1:68" ht="14.25" customHeight="1" x14ac:dyDescent="0.25">
      <c r="A448" s="644" t="s">
        <v>119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6"/>
      <c r="AB448" s="66"/>
      <c r="AC448" s="80"/>
    </row>
    <row r="449" spans="1:68" ht="27" customHeight="1" x14ac:dyDescent="0.25">
      <c r="A449" s="63" t="s">
        <v>735</v>
      </c>
      <c r="B449" s="63" t="s">
        <v>736</v>
      </c>
      <c r="C449" s="36">
        <v>4301011875</v>
      </c>
      <c r="D449" s="639">
        <v>4680115884885</v>
      </c>
      <c r="E449" s="639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6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41"/>
      <c r="R449" s="641"/>
      <c r="S449" s="641"/>
      <c r="T449" s="64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customHeight="1" x14ac:dyDescent="0.25">
      <c r="A450" s="63" t="s">
        <v>738</v>
      </c>
      <c r="B450" s="63" t="s">
        <v>739</v>
      </c>
      <c r="C450" s="36">
        <v>4301011871</v>
      </c>
      <c r="D450" s="639">
        <v>4680115884908</v>
      </c>
      <c r="E450" s="639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41"/>
      <c r="R450" s="641"/>
      <c r="S450" s="641"/>
      <c r="T450" s="64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33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0" t="s">
        <v>40</v>
      </c>
      <c r="Q451" s="631"/>
      <c r="R451" s="631"/>
      <c r="S451" s="631"/>
      <c r="T451" s="631"/>
      <c r="U451" s="631"/>
      <c r="V451" s="632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customHeight="1" x14ac:dyDescent="0.25">
      <c r="A453" s="644" t="s">
        <v>77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6"/>
      <c r="AB453" s="66"/>
      <c r="AC453" s="80"/>
    </row>
    <row r="454" spans="1:68" ht="27" customHeight="1" x14ac:dyDescent="0.25">
      <c r="A454" s="63" t="s">
        <v>740</v>
      </c>
      <c r="B454" s="63" t="s">
        <v>741</v>
      </c>
      <c r="C454" s="36">
        <v>4301031457</v>
      </c>
      <c r="D454" s="639">
        <v>4607091384802</v>
      </c>
      <c r="E454" s="639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6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41"/>
      <c r="R454" s="641"/>
      <c r="S454" s="641"/>
      <c r="T454" s="64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customHeight="1" x14ac:dyDescent="0.25">
      <c r="A457" s="644" t="s">
        <v>83</v>
      </c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44"/>
      <c r="P457" s="644"/>
      <c r="Q457" s="644"/>
      <c r="R457" s="644"/>
      <c r="S457" s="644"/>
      <c r="T457" s="644"/>
      <c r="U457" s="644"/>
      <c r="V457" s="644"/>
      <c r="W457" s="644"/>
      <c r="X457" s="644"/>
      <c r="Y457" s="644"/>
      <c r="Z457" s="644"/>
      <c r="AA457" s="66"/>
      <c r="AB457" s="66"/>
      <c r="AC457" s="80"/>
    </row>
    <row r="458" spans="1:68" ht="27" customHeight="1" x14ac:dyDescent="0.25">
      <c r="A458" s="63" t="s">
        <v>743</v>
      </c>
      <c r="B458" s="63" t="s">
        <v>744</v>
      </c>
      <c r="C458" s="36">
        <v>4301051899</v>
      </c>
      <c r="D458" s="639">
        <v>4607091384246</v>
      </c>
      <c r="E458" s="639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6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41"/>
      <c r="R458" s="641"/>
      <c r="S458" s="641"/>
      <c r="T458" s="64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746</v>
      </c>
      <c r="B459" s="63" t="s">
        <v>747</v>
      </c>
      <c r="C459" s="36">
        <v>4301051660</v>
      </c>
      <c r="D459" s="639">
        <v>4607091384253</v>
      </c>
      <c r="E459" s="639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68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41"/>
      <c r="R459" s="641"/>
      <c r="S459" s="641"/>
      <c r="T459" s="64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746</v>
      </c>
      <c r="B460" s="63" t="s">
        <v>748</v>
      </c>
      <c r="C460" s="36">
        <v>4301052069</v>
      </c>
      <c r="D460" s="639">
        <v>4607091384253</v>
      </c>
      <c r="E460" s="639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6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41"/>
      <c r="R460" s="641"/>
      <c r="S460" s="641"/>
      <c r="T460" s="64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33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0" t="s">
        <v>40</v>
      </c>
      <c r="Q461" s="631"/>
      <c r="R461" s="631"/>
      <c r="S461" s="631"/>
      <c r="T461" s="631"/>
      <c r="U461" s="631"/>
      <c r="V461" s="632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0" t="s">
        <v>40</v>
      </c>
      <c r="Q462" s="631"/>
      <c r="R462" s="631"/>
      <c r="S462" s="631"/>
      <c r="T462" s="631"/>
      <c r="U462" s="631"/>
      <c r="V462" s="632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customHeight="1" x14ac:dyDescent="0.2">
      <c r="A463" s="650" t="s">
        <v>750</v>
      </c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650"/>
      <c r="R463" s="650"/>
      <c r="S463" s="650"/>
      <c r="T463" s="650"/>
      <c r="U463" s="650"/>
      <c r="V463" s="650"/>
      <c r="W463" s="650"/>
      <c r="X463" s="650"/>
      <c r="Y463" s="650"/>
      <c r="Z463" s="650"/>
      <c r="AA463" s="54"/>
      <c r="AB463" s="54"/>
      <c r="AC463" s="54"/>
    </row>
    <row r="464" spans="1:68" ht="16.5" customHeight="1" x14ac:dyDescent="0.25">
      <c r="A464" s="643" t="s">
        <v>751</v>
      </c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  <c r="AA464" s="65"/>
      <c r="AB464" s="65"/>
      <c r="AC464" s="79"/>
    </row>
    <row r="465" spans="1:68" ht="14.25" customHeight="1" x14ac:dyDescent="0.25">
      <c r="A465" s="644" t="s">
        <v>77</v>
      </c>
      <c r="B465" s="644"/>
      <c r="C465" s="644"/>
      <c r="D465" s="644"/>
      <c r="E465" s="644"/>
      <c r="F465" s="644"/>
      <c r="G465" s="644"/>
      <c r="H465" s="644"/>
      <c r="I465" s="644"/>
      <c r="J465" s="644"/>
      <c r="K465" s="644"/>
      <c r="L465" s="644"/>
      <c r="M465" s="644"/>
      <c r="N465" s="644"/>
      <c r="O465" s="644"/>
      <c r="P465" s="644"/>
      <c r="Q465" s="644"/>
      <c r="R465" s="644"/>
      <c r="S465" s="644"/>
      <c r="T465" s="644"/>
      <c r="U465" s="644"/>
      <c r="V465" s="644"/>
      <c r="W465" s="644"/>
      <c r="X465" s="644"/>
      <c r="Y465" s="644"/>
      <c r="Z465" s="644"/>
      <c r="AA465" s="66"/>
      <c r="AB465" s="66"/>
      <c r="AC465" s="80"/>
    </row>
    <row r="466" spans="1:68" ht="27" customHeight="1" x14ac:dyDescent="0.25">
      <c r="A466" s="63" t="s">
        <v>752</v>
      </c>
      <c r="B466" s="63" t="s">
        <v>753</v>
      </c>
      <c r="C466" s="36">
        <v>4301031405</v>
      </c>
      <c r="D466" s="639">
        <v>4680115886100</v>
      </c>
      <c r="E466" s="63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41"/>
      <c r="R466" s="641"/>
      <c r="S466" s="641"/>
      <c r="T466" s="642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customHeight="1" x14ac:dyDescent="0.25">
      <c r="A467" s="63" t="s">
        <v>755</v>
      </c>
      <c r="B467" s="63" t="s">
        <v>756</v>
      </c>
      <c r="C467" s="36">
        <v>4301031402</v>
      </c>
      <c r="D467" s="639">
        <v>4680115886124</v>
      </c>
      <c r="E467" s="639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41"/>
      <c r="R467" s="641"/>
      <c r="S467" s="641"/>
      <c r="T467" s="642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customHeight="1" x14ac:dyDescent="0.25">
      <c r="A468" s="63" t="s">
        <v>758</v>
      </c>
      <c r="B468" s="63" t="s">
        <v>759</v>
      </c>
      <c r="C468" s="36">
        <v>4301031362</v>
      </c>
      <c r="D468" s="639">
        <v>4607091384338</v>
      </c>
      <c r="E468" s="63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41"/>
      <c r="R468" s="641"/>
      <c r="S468" s="641"/>
      <c r="T468" s="64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customHeight="1" x14ac:dyDescent="0.25">
      <c r="A469" s="63" t="s">
        <v>760</v>
      </c>
      <c r="B469" s="63" t="s">
        <v>761</v>
      </c>
      <c r="C469" s="36">
        <v>4301031364</v>
      </c>
      <c r="D469" s="639">
        <v>4680115883161</v>
      </c>
      <c r="E469" s="639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41"/>
      <c r="R469" s="641"/>
      <c r="S469" s="641"/>
      <c r="T469" s="64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customHeight="1" x14ac:dyDescent="0.25">
      <c r="A470" s="63" t="s">
        <v>763</v>
      </c>
      <c r="B470" s="63" t="s">
        <v>764</v>
      </c>
      <c r="C470" s="36">
        <v>4301031358</v>
      </c>
      <c r="D470" s="639">
        <v>4607091389531</v>
      </c>
      <c r="E470" s="63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41"/>
      <c r="R470" s="641"/>
      <c r="S470" s="641"/>
      <c r="T470" s="64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customHeight="1" x14ac:dyDescent="0.25">
      <c r="A471" s="63" t="s">
        <v>766</v>
      </c>
      <c r="B471" s="63" t="s">
        <v>767</v>
      </c>
      <c r="C471" s="36">
        <v>4301031360</v>
      </c>
      <c r="D471" s="639">
        <v>4607091384345</v>
      </c>
      <c r="E471" s="63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41"/>
      <c r="R471" s="641"/>
      <c r="S471" s="641"/>
      <c r="T471" s="64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customHeight="1" x14ac:dyDescent="0.25">
      <c r="A474" s="644" t="s">
        <v>83</v>
      </c>
      <c r="B474" s="644"/>
      <c r="C474" s="644"/>
      <c r="D474" s="644"/>
      <c r="E474" s="644"/>
      <c r="F474" s="644"/>
      <c r="G474" s="644"/>
      <c r="H474" s="644"/>
      <c r="I474" s="644"/>
      <c r="J474" s="644"/>
      <c r="K474" s="644"/>
      <c r="L474" s="644"/>
      <c r="M474" s="644"/>
      <c r="N474" s="644"/>
      <c r="O474" s="644"/>
      <c r="P474" s="644"/>
      <c r="Q474" s="644"/>
      <c r="R474" s="644"/>
      <c r="S474" s="644"/>
      <c r="T474" s="644"/>
      <c r="U474" s="644"/>
      <c r="V474" s="644"/>
      <c r="W474" s="644"/>
      <c r="X474" s="644"/>
      <c r="Y474" s="644"/>
      <c r="Z474" s="644"/>
      <c r="AA474" s="66"/>
      <c r="AB474" s="66"/>
      <c r="AC474" s="80"/>
    </row>
    <row r="475" spans="1:68" ht="27" customHeight="1" x14ac:dyDescent="0.25">
      <c r="A475" s="63" t="s">
        <v>768</v>
      </c>
      <c r="B475" s="63" t="s">
        <v>769</v>
      </c>
      <c r="C475" s="36">
        <v>4301051284</v>
      </c>
      <c r="D475" s="639">
        <v>4607091384352</v>
      </c>
      <c r="E475" s="639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41"/>
      <c r="R475" s="641"/>
      <c r="S475" s="641"/>
      <c r="T475" s="64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customHeight="1" x14ac:dyDescent="0.25">
      <c r="A478" s="643" t="s">
        <v>771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5"/>
      <c r="AB478" s="65"/>
      <c r="AC478" s="79"/>
    </row>
    <row r="479" spans="1:68" ht="14.25" customHeight="1" x14ac:dyDescent="0.25">
      <c r="A479" s="644" t="s">
        <v>154</v>
      </c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44"/>
      <c r="P479" s="644"/>
      <c r="Q479" s="644"/>
      <c r="R479" s="644"/>
      <c r="S479" s="644"/>
      <c r="T479" s="644"/>
      <c r="U479" s="644"/>
      <c r="V479" s="644"/>
      <c r="W479" s="644"/>
      <c r="X479" s="644"/>
      <c r="Y479" s="644"/>
      <c r="Z479" s="644"/>
      <c r="AA479" s="66"/>
      <c r="AB479" s="66"/>
      <c r="AC479" s="80"/>
    </row>
    <row r="480" spans="1:68" ht="27" customHeight="1" x14ac:dyDescent="0.25">
      <c r="A480" s="63" t="s">
        <v>772</v>
      </c>
      <c r="B480" s="63" t="s">
        <v>773</v>
      </c>
      <c r="C480" s="36">
        <v>4301020416</v>
      </c>
      <c r="D480" s="639">
        <v>4680115885240</v>
      </c>
      <c r="E480" s="639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6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1"/>
      <c r="R480" s="641"/>
      <c r="S480" s="641"/>
      <c r="T480" s="64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44" t="s">
        <v>77</v>
      </c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44"/>
      <c r="P483" s="644"/>
      <c r="Q483" s="644"/>
      <c r="R483" s="644"/>
      <c r="S483" s="644"/>
      <c r="T483" s="644"/>
      <c r="U483" s="644"/>
      <c r="V483" s="644"/>
      <c r="W483" s="644"/>
      <c r="X483" s="644"/>
      <c r="Y483" s="644"/>
      <c r="Z483" s="644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4301031407</v>
      </c>
      <c r="D484" s="639">
        <v>4680115886094</v>
      </c>
      <c r="E484" s="639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1"/>
      <c r="R484" s="641"/>
      <c r="S484" s="641"/>
      <c r="T484" s="64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4301031373</v>
      </c>
      <c r="D485" s="639">
        <v>4680115880771</v>
      </c>
      <c r="E485" s="63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6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1"/>
      <c r="R485" s="641"/>
      <c r="S485" s="641"/>
      <c r="T485" s="64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customHeight="1" x14ac:dyDescent="0.25">
      <c r="A486" s="63" t="s">
        <v>781</v>
      </c>
      <c r="B486" s="63" t="s">
        <v>782</v>
      </c>
      <c r="C486" s="36">
        <v>4301031359</v>
      </c>
      <c r="D486" s="639">
        <v>4607091389500</v>
      </c>
      <c r="E486" s="63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1"/>
      <c r="R486" s="641"/>
      <c r="S486" s="641"/>
      <c r="T486" s="64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0" t="s">
        <v>40</v>
      </c>
      <c r="Q488" s="631"/>
      <c r="R488" s="631"/>
      <c r="S488" s="631"/>
      <c r="T488" s="631"/>
      <c r="U488" s="631"/>
      <c r="V488" s="632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customHeight="1" x14ac:dyDescent="0.2">
      <c r="A489" s="650" t="s">
        <v>783</v>
      </c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650"/>
      <c r="R489" s="650"/>
      <c r="S489" s="650"/>
      <c r="T489" s="650"/>
      <c r="U489" s="650"/>
      <c r="V489" s="650"/>
      <c r="W489" s="650"/>
      <c r="X489" s="650"/>
      <c r="Y489" s="650"/>
      <c r="Z489" s="650"/>
      <c r="AA489" s="54"/>
      <c r="AB489" s="54"/>
      <c r="AC489" s="54"/>
    </row>
    <row r="490" spans="1:68" ht="16.5" customHeight="1" x14ac:dyDescent="0.25">
      <c r="A490" s="643" t="s">
        <v>783</v>
      </c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  <c r="AA490" s="65"/>
      <c r="AB490" s="65"/>
      <c r="AC490" s="79"/>
    </row>
    <row r="491" spans="1:68" ht="14.25" customHeight="1" x14ac:dyDescent="0.25">
      <c r="A491" s="644" t="s">
        <v>119</v>
      </c>
      <c r="B491" s="644"/>
      <c r="C491" s="644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644"/>
      <c r="Q491" s="644"/>
      <c r="R491" s="644"/>
      <c r="S491" s="644"/>
      <c r="T491" s="644"/>
      <c r="U491" s="644"/>
      <c r="V491" s="644"/>
      <c r="W491" s="644"/>
      <c r="X491" s="644"/>
      <c r="Y491" s="644"/>
      <c r="Z491" s="644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39">
        <v>4607091389067</v>
      </c>
      <c r="E492" s="63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6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1"/>
      <c r="R492" s="641"/>
      <c r="S492" s="641"/>
      <c r="T492" s="64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customHeight="1" x14ac:dyDescent="0.25">
      <c r="A493" s="63" t="s">
        <v>786</v>
      </c>
      <c r="B493" s="63" t="s">
        <v>787</v>
      </c>
      <c r="C493" s="36">
        <v>4301012380</v>
      </c>
      <c r="D493" s="639">
        <v>4680115889576</v>
      </c>
      <c r="E493" s="63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6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1"/>
      <c r="R493" s="641"/>
      <c r="S493" s="641"/>
      <c r="T493" s="64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customHeight="1" x14ac:dyDescent="0.25">
      <c r="A494" s="63" t="s">
        <v>789</v>
      </c>
      <c r="B494" s="63" t="s">
        <v>790</v>
      </c>
      <c r="C494" s="36">
        <v>4301011961</v>
      </c>
      <c r="D494" s="639">
        <v>4680115885271</v>
      </c>
      <c r="E494" s="63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6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1"/>
      <c r="R494" s="641"/>
      <c r="S494" s="641"/>
      <c r="T494" s="64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39">
        <v>4680115885226</v>
      </c>
      <c r="E495" s="63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6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1"/>
      <c r="R495" s="641"/>
      <c r="S495" s="641"/>
      <c r="T495" s="64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39">
        <v>4607091389104</v>
      </c>
      <c r="E496" s="63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6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41"/>
      <c r="R496" s="641"/>
      <c r="S496" s="641"/>
      <c r="T496" s="64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customHeight="1" x14ac:dyDescent="0.25">
      <c r="A497" s="63" t="s">
        <v>798</v>
      </c>
      <c r="B497" s="63" t="s">
        <v>799</v>
      </c>
      <c r="C497" s="36">
        <v>4301012125</v>
      </c>
      <c r="D497" s="639">
        <v>4680115886391</v>
      </c>
      <c r="E497" s="639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6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41"/>
      <c r="R497" s="641"/>
      <c r="S497" s="641"/>
      <c r="T497" s="64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39">
        <v>4680115880603</v>
      </c>
      <c r="E498" s="639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6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41"/>
      <c r="R498" s="641"/>
      <c r="S498" s="641"/>
      <c r="T498" s="64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39">
        <v>4607091389982</v>
      </c>
      <c r="E499" s="639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6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41"/>
      <c r="R499" s="641"/>
      <c r="S499" s="641"/>
      <c r="T499" s="64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x14ac:dyDescent="0.2">
      <c r="A500" s="633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0" t="s">
        <v>40</v>
      </c>
      <c r="Q500" s="631"/>
      <c r="R500" s="631"/>
      <c r="S500" s="631"/>
      <c r="T500" s="631"/>
      <c r="U500" s="631"/>
      <c r="V500" s="632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0</v>
      </c>
      <c r="Y500" s="43">
        <f>IFERROR(Y492/H492,"0")+IFERROR(Y493/H493,"0")+IFERROR(Y494/H494,"0")+IFERROR(Y495/H495,"0")+IFERROR(Y496/H496,"0")+IFERROR(Y497/H497,"0")+IFERROR(Y498/H498,"0")+IFERROR(Y499/H499,"0")</f>
        <v>0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2" t="s">
        <v>0</v>
      </c>
      <c r="X501" s="43">
        <f>IFERROR(SUM(X492:X499),"0")</f>
        <v>0</v>
      </c>
      <c r="Y501" s="43">
        <f>IFERROR(SUM(Y492:Y499),"0")</f>
        <v>0</v>
      </c>
      <c r="Z501" s="42"/>
      <c r="AA501" s="67"/>
      <c r="AB501" s="67"/>
      <c r="AC501" s="67"/>
    </row>
    <row r="502" spans="1:68" ht="14.25" customHeight="1" x14ac:dyDescent="0.25">
      <c r="A502" s="644" t="s">
        <v>154</v>
      </c>
      <c r="B502" s="644"/>
      <c r="C502" s="644"/>
      <c r="D502" s="644"/>
      <c r="E502" s="644"/>
      <c r="F502" s="644"/>
      <c r="G502" s="644"/>
      <c r="H502" s="644"/>
      <c r="I502" s="644"/>
      <c r="J502" s="644"/>
      <c r="K502" s="644"/>
      <c r="L502" s="644"/>
      <c r="M502" s="644"/>
      <c r="N502" s="644"/>
      <c r="O502" s="644"/>
      <c r="P502" s="644"/>
      <c r="Q502" s="644"/>
      <c r="R502" s="644"/>
      <c r="S502" s="644"/>
      <c r="T502" s="644"/>
      <c r="U502" s="644"/>
      <c r="V502" s="644"/>
      <c r="W502" s="644"/>
      <c r="X502" s="644"/>
      <c r="Y502" s="644"/>
      <c r="Z502" s="644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39">
        <v>4607091388930</v>
      </c>
      <c r="E503" s="63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6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41"/>
      <c r="R503" s="641"/>
      <c r="S503" s="641"/>
      <c r="T503" s="642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customHeight="1" x14ac:dyDescent="0.25">
      <c r="A504" s="63" t="s">
        <v>807</v>
      </c>
      <c r="B504" s="63" t="s">
        <v>808</v>
      </c>
      <c r="C504" s="36">
        <v>4301020374</v>
      </c>
      <c r="D504" s="639">
        <v>4680115886407</v>
      </c>
      <c r="E504" s="639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6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41"/>
      <c r="R504" s="641"/>
      <c r="S504" s="641"/>
      <c r="T504" s="64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39">
        <v>4680115880054</v>
      </c>
      <c r="E505" s="63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6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41"/>
      <c r="R505" s="641"/>
      <c r="S505" s="641"/>
      <c r="T505" s="642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33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0" t="s">
        <v>40</v>
      </c>
      <c r="Q506" s="631"/>
      <c r="R506" s="631"/>
      <c r="S506" s="631"/>
      <c r="T506" s="631"/>
      <c r="U506" s="631"/>
      <c r="V506" s="632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0" t="s">
        <v>40</v>
      </c>
      <c r="Q507" s="631"/>
      <c r="R507" s="631"/>
      <c r="S507" s="631"/>
      <c r="T507" s="631"/>
      <c r="U507" s="631"/>
      <c r="V507" s="632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14.25" customHeight="1" x14ac:dyDescent="0.25">
      <c r="A508" s="644" t="s">
        <v>77</v>
      </c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44"/>
      <c r="P508" s="644"/>
      <c r="Q508" s="644"/>
      <c r="R508" s="644"/>
      <c r="S508" s="644"/>
      <c r="T508" s="644"/>
      <c r="U508" s="644"/>
      <c r="V508" s="644"/>
      <c r="W508" s="644"/>
      <c r="X508" s="644"/>
      <c r="Y508" s="644"/>
      <c r="Z508" s="644"/>
      <c r="AA508" s="66"/>
      <c r="AB508" s="66"/>
      <c r="AC508" s="80"/>
    </row>
    <row r="509" spans="1:68" ht="27" customHeight="1" x14ac:dyDescent="0.25">
      <c r="A509" s="63" t="s">
        <v>811</v>
      </c>
      <c r="B509" s="63" t="s">
        <v>812</v>
      </c>
      <c r="C509" s="36">
        <v>4301031349</v>
      </c>
      <c r="D509" s="639">
        <v>4680115883116</v>
      </c>
      <c r="E509" s="63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6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41"/>
      <c r="R509" s="641"/>
      <c r="S509" s="641"/>
      <c r="T509" s="64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39">
        <v>4680115883093</v>
      </c>
      <c r="E510" s="63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6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41"/>
      <c r="R510" s="641"/>
      <c r="S510" s="641"/>
      <c r="T510" s="64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39">
        <v>4680115883109</v>
      </c>
      <c r="E511" s="63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6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41"/>
      <c r="R511" s="641"/>
      <c r="S511" s="641"/>
      <c r="T511" s="64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6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39">
        <v>4680115882072</v>
      </c>
      <c r="E512" s="639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65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41"/>
      <c r="R512" s="641"/>
      <c r="S512" s="641"/>
      <c r="T512" s="64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customHeight="1" x14ac:dyDescent="0.25">
      <c r="A513" s="63" t="s">
        <v>822</v>
      </c>
      <c r="B513" s="63" t="s">
        <v>823</v>
      </c>
      <c r="C513" s="36">
        <v>4301031352</v>
      </c>
      <c r="D513" s="639">
        <v>4680115882102</v>
      </c>
      <c r="E513" s="639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6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41"/>
      <c r="R513" s="641"/>
      <c r="S513" s="641"/>
      <c r="T513" s="64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39">
        <v>4680115882102</v>
      </c>
      <c r="E514" s="639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6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41"/>
      <c r="R514" s="641"/>
      <c r="S514" s="641"/>
      <c r="T514" s="64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39">
        <v>4680115882096</v>
      </c>
      <c r="E515" s="639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41"/>
      <c r="R515" s="641"/>
      <c r="S515" s="641"/>
      <c r="T515" s="64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x14ac:dyDescent="0.2">
      <c r="A516" s="633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0" t="s">
        <v>40</v>
      </c>
      <c r="Q516" s="631"/>
      <c r="R516" s="631"/>
      <c r="S516" s="631"/>
      <c r="T516" s="631"/>
      <c r="U516" s="631"/>
      <c r="V516" s="632"/>
      <c r="W516" s="42" t="s">
        <v>39</v>
      </c>
      <c r="X516" s="43">
        <f>IFERROR(X509/H509,"0")+IFERROR(X510/H510,"0")+IFERROR(X511/H511,"0")+IFERROR(X512/H512,"0")+IFERROR(X513/H513,"0")+IFERROR(X514/H514,"0")+IFERROR(X515/H515,"0")</f>
        <v>0</v>
      </c>
      <c r="Y516" s="43">
        <f>IFERROR(Y509/H509,"0")+IFERROR(Y510/H510,"0")+IFERROR(Y511/H511,"0")+IFERROR(Y512/H512,"0")+IFERROR(Y513/H513,"0")+IFERROR(Y514/H514,"0")+IFERROR(Y515/H515,"0")</f>
        <v>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2" t="s">
        <v>0</v>
      </c>
      <c r="X517" s="43">
        <f>IFERROR(SUM(X509:X515),"0")</f>
        <v>0</v>
      </c>
      <c r="Y517" s="43">
        <f>IFERROR(SUM(Y509:Y515),"0")</f>
        <v>0</v>
      </c>
      <c r="Z517" s="42"/>
      <c r="AA517" s="67"/>
      <c r="AB517" s="67"/>
      <c r="AC517" s="67"/>
    </row>
    <row r="518" spans="1:68" ht="27.75" customHeight="1" x14ac:dyDescent="0.2">
      <c r="A518" s="650" t="s">
        <v>827</v>
      </c>
      <c r="B518" s="650"/>
      <c r="C518" s="650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650"/>
      <c r="R518" s="650"/>
      <c r="S518" s="650"/>
      <c r="T518" s="650"/>
      <c r="U518" s="650"/>
      <c r="V518" s="650"/>
      <c r="W518" s="650"/>
      <c r="X518" s="650"/>
      <c r="Y518" s="650"/>
      <c r="Z518" s="650"/>
      <c r="AA518" s="54"/>
      <c r="AB518" s="54"/>
      <c r="AC518" s="54"/>
    </row>
    <row r="519" spans="1:68" ht="16.5" customHeight="1" x14ac:dyDescent="0.25">
      <c r="A519" s="643" t="s">
        <v>827</v>
      </c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  <c r="AA519" s="65"/>
      <c r="AB519" s="65"/>
      <c r="AC519" s="79"/>
    </row>
    <row r="520" spans="1:68" ht="14.25" customHeight="1" x14ac:dyDescent="0.25">
      <c r="A520" s="644" t="s">
        <v>119</v>
      </c>
      <c r="B520" s="644"/>
      <c r="C520" s="644"/>
      <c r="D520" s="644"/>
      <c r="E520" s="644"/>
      <c r="F520" s="644"/>
      <c r="G520" s="644"/>
      <c r="H520" s="644"/>
      <c r="I520" s="644"/>
      <c r="J520" s="644"/>
      <c r="K520" s="644"/>
      <c r="L520" s="644"/>
      <c r="M520" s="644"/>
      <c r="N520" s="644"/>
      <c r="O520" s="644"/>
      <c r="P520" s="644"/>
      <c r="Q520" s="644"/>
      <c r="R520" s="644"/>
      <c r="S520" s="644"/>
      <c r="T520" s="644"/>
      <c r="U520" s="644"/>
      <c r="V520" s="644"/>
      <c r="W520" s="644"/>
      <c r="X520" s="644"/>
      <c r="Y520" s="644"/>
      <c r="Z520" s="644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39">
        <v>4680115889736</v>
      </c>
      <c r="E521" s="639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65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41"/>
      <c r="R521" s="641"/>
      <c r="S521" s="641"/>
      <c r="T521" s="64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0" t="s">
        <v>40</v>
      </c>
      <c r="Q523" s="631"/>
      <c r="R523" s="631"/>
      <c r="S523" s="631"/>
      <c r="T523" s="631"/>
      <c r="U523" s="631"/>
      <c r="V523" s="632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44" t="s">
        <v>154</v>
      </c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44"/>
      <c r="P524" s="644"/>
      <c r="Q524" s="644"/>
      <c r="R524" s="644"/>
      <c r="S524" s="644"/>
      <c r="T524" s="644"/>
      <c r="U524" s="644"/>
      <c r="V524" s="644"/>
      <c r="W524" s="644"/>
      <c r="X524" s="644"/>
      <c r="Y524" s="644"/>
      <c r="Z524" s="644"/>
      <c r="AA524" s="66"/>
      <c r="AB524" s="66"/>
      <c r="AC524" s="80"/>
    </row>
    <row r="525" spans="1:68" ht="27" customHeight="1" x14ac:dyDescent="0.25">
      <c r="A525" s="63" t="s">
        <v>831</v>
      </c>
      <c r="B525" s="63" t="s">
        <v>832</v>
      </c>
      <c r="C525" s="36">
        <v>4301020444</v>
      </c>
      <c r="D525" s="639">
        <v>4680115889781</v>
      </c>
      <c r="E525" s="63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64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41"/>
      <c r="R525" s="641"/>
      <c r="S525" s="641"/>
      <c r="T525" s="64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44" t="s">
        <v>77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6"/>
      <c r="AB528" s="66"/>
      <c r="AC528" s="80"/>
    </row>
    <row r="529" spans="1:68" ht="27" customHeight="1" x14ac:dyDescent="0.25">
      <c r="A529" s="63" t="s">
        <v>833</v>
      </c>
      <c r="B529" s="63" t="s">
        <v>834</v>
      </c>
      <c r="C529" s="36">
        <v>4301031523</v>
      </c>
      <c r="D529" s="639">
        <v>4680115889774</v>
      </c>
      <c r="E529" s="639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64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41"/>
      <c r="R529" s="641"/>
      <c r="S529" s="641"/>
      <c r="T529" s="64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44" t="s">
        <v>83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6"/>
      <c r="AB532" s="66"/>
      <c r="AC532" s="80"/>
    </row>
    <row r="533" spans="1:68" ht="27" customHeight="1" x14ac:dyDescent="0.25">
      <c r="A533" s="63" t="s">
        <v>836</v>
      </c>
      <c r="B533" s="63" t="s">
        <v>837</v>
      </c>
      <c r="C533" s="36">
        <v>4301052282</v>
      </c>
      <c r="D533" s="639">
        <v>4680115889811</v>
      </c>
      <c r="E533" s="639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64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41"/>
      <c r="R533" s="641"/>
      <c r="S533" s="641"/>
      <c r="T533" s="64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33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0" t="s">
        <v>40</v>
      </c>
      <c r="Q534" s="631"/>
      <c r="R534" s="631"/>
      <c r="S534" s="631"/>
      <c r="T534" s="631"/>
      <c r="U534" s="631"/>
      <c r="V534" s="63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44" t="s">
        <v>172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6"/>
      <c r="AB536" s="66"/>
      <c r="AC536" s="80"/>
    </row>
    <row r="537" spans="1:68" ht="27" customHeight="1" x14ac:dyDescent="0.25">
      <c r="A537" s="63" t="s">
        <v>839</v>
      </c>
      <c r="B537" s="63" t="s">
        <v>840</v>
      </c>
      <c r="C537" s="36">
        <v>4301060543</v>
      </c>
      <c r="D537" s="639">
        <v>4680115889804</v>
      </c>
      <c r="E537" s="639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64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41"/>
      <c r="R537" s="641"/>
      <c r="S537" s="641"/>
      <c r="T537" s="64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customHeight="1" x14ac:dyDescent="0.25">
      <c r="A538" s="63" t="s">
        <v>842</v>
      </c>
      <c r="B538" s="63" t="s">
        <v>843</v>
      </c>
      <c r="C538" s="36">
        <v>4301060544</v>
      </c>
      <c r="D538" s="639">
        <v>4680115889828</v>
      </c>
      <c r="E538" s="639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64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41"/>
      <c r="R538" s="641"/>
      <c r="S538" s="641"/>
      <c r="T538" s="64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33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0" t="s">
        <v>40</v>
      </c>
      <c r="Q539" s="631"/>
      <c r="R539" s="631"/>
      <c r="S539" s="631"/>
      <c r="T539" s="631"/>
      <c r="U539" s="631"/>
      <c r="V539" s="632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customHeight="1" x14ac:dyDescent="0.25">
      <c r="A541" s="643" t="s">
        <v>845</v>
      </c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  <c r="AA541" s="65"/>
      <c r="AB541" s="65"/>
      <c r="AC541" s="79"/>
    </row>
    <row r="542" spans="1:68" ht="14.25" customHeight="1" x14ac:dyDescent="0.25">
      <c r="A542" s="644" t="s">
        <v>154</v>
      </c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44"/>
      <c r="P542" s="644"/>
      <c r="Q542" s="644"/>
      <c r="R542" s="644"/>
      <c r="S542" s="644"/>
      <c r="T542" s="644"/>
      <c r="U542" s="644"/>
      <c r="V542" s="644"/>
      <c r="W542" s="644"/>
      <c r="X542" s="644"/>
      <c r="Y542" s="644"/>
      <c r="Z542" s="644"/>
      <c r="AA542" s="66"/>
      <c r="AB542" s="66"/>
      <c r="AC542" s="80"/>
    </row>
    <row r="543" spans="1:68" ht="27" customHeight="1" x14ac:dyDescent="0.25">
      <c r="A543" s="63" t="s">
        <v>846</v>
      </c>
      <c r="B543" s="63" t="s">
        <v>847</v>
      </c>
      <c r="C543" s="36">
        <v>4301020441</v>
      </c>
      <c r="D543" s="639">
        <v>4680115889798</v>
      </c>
      <c r="E543" s="639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6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41"/>
      <c r="R543" s="641"/>
      <c r="S543" s="641"/>
      <c r="T543" s="64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0" t="s">
        <v>40</v>
      </c>
      <c r="Q544" s="631"/>
      <c r="R544" s="631"/>
      <c r="S544" s="631"/>
      <c r="T544" s="631"/>
      <c r="U544" s="631"/>
      <c r="V544" s="6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0" t="s">
        <v>40</v>
      </c>
      <c r="Q545" s="631"/>
      <c r="R545" s="631"/>
      <c r="S545" s="631"/>
      <c r="T545" s="631"/>
      <c r="U545" s="631"/>
      <c r="V545" s="6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33</v>
      </c>
      <c r="Q546" s="636"/>
      <c r="R546" s="636"/>
      <c r="S546" s="636"/>
      <c r="T546" s="636"/>
      <c r="U546" s="636"/>
      <c r="V546" s="63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0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0</v>
      </c>
      <c r="Z546" s="42"/>
      <c r="AA546" s="67"/>
      <c r="AB546" s="67"/>
      <c r="AC546" s="67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34</v>
      </c>
      <c r="Q547" s="636"/>
      <c r="R547" s="636"/>
      <c r="S547" s="636"/>
      <c r="T547" s="636"/>
      <c r="U547" s="636"/>
      <c r="V547" s="637"/>
      <c r="W547" s="42" t="s">
        <v>0</v>
      </c>
      <c r="X547" s="43">
        <f>IFERROR(SUM(BM22:BM543),"0")</f>
        <v>0</v>
      </c>
      <c r="Y547" s="43">
        <f>IFERROR(SUM(BN22:BN543),"0")</f>
        <v>0</v>
      </c>
      <c r="Z547" s="42"/>
      <c r="AA547" s="67"/>
      <c r="AB547" s="67"/>
      <c r="AC547" s="67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638"/>
      <c r="P548" s="635" t="s">
        <v>35</v>
      </c>
      <c r="Q548" s="636"/>
      <c r="R548" s="636"/>
      <c r="S548" s="636"/>
      <c r="T548" s="636"/>
      <c r="U548" s="636"/>
      <c r="V548" s="637"/>
      <c r="W548" s="42" t="s">
        <v>20</v>
      </c>
      <c r="X548" s="44">
        <f>ROUNDUP(SUM(BO22:BO543),0)</f>
        <v>0</v>
      </c>
      <c r="Y548" s="44">
        <f>ROUNDUP(SUM(BP22:BP543),0)</f>
        <v>0</v>
      </c>
      <c r="Z548" s="42"/>
      <c r="AA548" s="67"/>
      <c r="AB548" s="67"/>
      <c r="AC548" s="67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638"/>
      <c r="P549" s="635" t="s">
        <v>36</v>
      </c>
      <c r="Q549" s="636"/>
      <c r="R549" s="636"/>
      <c r="S549" s="636"/>
      <c r="T549" s="636"/>
      <c r="U549" s="636"/>
      <c r="V549" s="637"/>
      <c r="W549" s="42" t="s">
        <v>0</v>
      </c>
      <c r="X549" s="43">
        <f>GrossWeightTotal+PalletQtyTotal*25</f>
        <v>0</v>
      </c>
      <c r="Y549" s="43">
        <f>GrossWeightTotalR+PalletQtyTotalR*25</f>
        <v>0</v>
      </c>
      <c r="Z549" s="42"/>
      <c r="AA549" s="67"/>
      <c r="AB549" s="67"/>
      <c r="AC549" s="67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638"/>
      <c r="P550" s="635" t="s">
        <v>37</v>
      </c>
      <c r="Q550" s="636"/>
      <c r="R550" s="636"/>
      <c r="S550" s="636"/>
      <c r="T550" s="636"/>
      <c r="U550" s="636"/>
      <c r="V550" s="63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0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0</v>
      </c>
      <c r="Z550" s="42"/>
      <c r="AA550" s="67"/>
      <c r="AB550" s="67"/>
      <c r="AC550" s="67"/>
    </row>
    <row r="551" spans="1:32" ht="14.25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638"/>
      <c r="P551" s="635" t="s">
        <v>38</v>
      </c>
      <c r="Q551" s="636"/>
      <c r="R551" s="636"/>
      <c r="S551" s="636"/>
      <c r="T551" s="636"/>
      <c r="U551" s="636"/>
      <c r="V551" s="63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0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626" t="s">
        <v>117</v>
      </c>
      <c r="E553" s="626" t="s">
        <v>117</v>
      </c>
      <c r="F553" s="626" t="s">
        <v>117</v>
      </c>
      <c r="G553" s="626" t="s">
        <v>117</v>
      </c>
      <c r="H553" s="626" t="s">
        <v>117</v>
      </c>
      <c r="I553" s="626" t="s">
        <v>117</v>
      </c>
      <c r="J553" s="626" t="s">
        <v>117</v>
      </c>
      <c r="K553" s="626" t="s">
        <v>338</v>
      </c>
      <c r="L553" s="626" t="s">
        <v>338</v>
      </c>
      <c r="M553" s="626" t="s">
        <v>338</v>
      </c>
      <c r="N553" s="627"/>
      <c r="O553" s="626" t="s">
        <v>338</v>
      </c>
      <c r="P553" s="626" t="s">
        <v>338</v>
      </c>
      <c r="Q553" s="626" t="s">
        <v>338</v>
      </c>
      <c r="R553" s="626" t="s">
        <v>338</v>
      </c>
      <c r="S553" s="626" t="s">
        <v>338</v>
      </c>
      <c r="T553" s="626" t="s">
        <v>338</v>
      </c>
      <c r="U553" s="626" t="s">
        <v>338</v>
      </c>
      <c r="V553" s="626" t="s">
        <v>338</v>
      </c>
      <c r="W553" s="626" t="s">
        <v>684</v>
      </c>
      <c r="X553" s="626" t="s">
        <v>684</v>
      </c>
      <c r="Y553" s="626" t="s">
        <v>750</v>
      </c>
      <c r="Z553" s="626" t="s">
        <v>750</v>
      </c>
      <c r="AA553" s="85" t="s">
        <v>783</v>
      </c>
      <c r="AB553" s="626" t="s">
        <v>827</v>
      </c>
      <c r="AC553" s="626" t="s">
        <v>827</v>
      </c>
      <c r="AF553" s="1"/>
    </row>
    <row r="554" spans="1:32" ht="14.25" customHeight="1" thickTop="1" x14ac:dyDescent="0.2">
      <c r="A554" s="628" t="s">
        <v>10</v>
      </c>
      <c r="B554" s="626" t="s">
        <v>76</v>
      </c>
      <c r="C554" s="626" t="s">
        <v>101</v>
      </c>
      <c r="D554" s="626" t="s">
        <v>118</v>
      </c>
      <c r="E554" s="626" t="s">
        <v>134</v>
      </c>
      <c r="F554" s="626" t="s">
        <v>180</v>
      </c>
      <c r="G554" s="626" t="s">
        <v>204</v>
      </c>
      <c r="H554" s="626" t="s">
        <v>248</v>
      </c>
      <c r="I554" s="626" t="s">
        <v>261</v>
      </c>
      <c r="J554" s="626" t="s">
        <v>117</v>
      </c>
      <c r="K554" s="626" t="s">
        <v>339</v>
      </c>
      <c r="L554" s="626" t="s">
        <v>360</v>
      </c>
      <c r="M554" s="626" t="s">
        <v>423</v>
      </c>
      <c r="N554" s="1"/>
      <c r="O554" s="626" t="s">
        <v>491</v>
      </c>
      <c r="P554" s="626" t="s">
        <v>522</v>
      </c>
      <c r="Q554" s="626" t="s">
        <v>541</v>
      </c>
      <c r="R554" s="626" t="s">
        <v>550</v>
      </c>
      <c r="S554" s="626" t="s">
        <v>572</v>
      </c>
      <c r="T554" s="626" t="s">
        <v>581</v>
      </c>
      <c r="U554" s="626" t="s">
        <v>667</v>
      </c>
      <c r="V554" s="626" t="s">
        <v>674</v>
      </c>
      <c r="W554" s="626" t="s">
        <v>685</v>
      </c>
      <c r="X554" s="626" t="s">
        <v>734</v>
      </c>
      <c r="Y554" s="626" t="s">
        <v>751</v>
      </c>
      <c r="Z554" s="626" t="s">
        <v>771</v>
      </c>
      <c r="AA554" s="626" t="s">
        <v>783</v>
      </c>
      <c r="AB554" s="626" t="s">
        <v>827</v>
      </c>
      <c r="AC554" s="626" t="s">
        <v>845</v>
      </c>
      <c r="AF554" s="1"/>
    </row>
    <row r="555" spans="1:32" ht="13.5" thickBot="1" x14ac:dyDescent="0.25">
      <c r="A555" s="629"/>
      <c r="B555" s="626"/>
      <c r="C555" s="626"/>
      <c r="D555" s="626"/>
      <c r="E555" s="626"/>
      <c r="F555" s="626"/>
      <c r="G555" s="626"/>
      <c r="H555" s="626"/>
      <c r="I555" s="626"/>
      <c r="J555" s="626"/>
      <c r="K555" s="626"/>
      <c r="L555" s="626"/>
      <c r="M555" s="626"/>
      <c r="N555" s="1"/>
      <c r="O555" s="626"/>
      <c r="P555" s="626"/>
      <c r="Q555" s="626"/>
      <c r="R555" s="626"/>
      <c r="S555" s="626"/>
      <c r="T555" s="626"/>
      <c r="U555" s="626"/>
      <c r="V555" s="626"/>
      <c r="W555" s="626"/>
      <c r="X555" s="626"/>
      <c r="Y555" s="626"/>
      <c r="Z555" s="626"/>
      <c r="AA555" s="626"/>
      <c r="AB555" s="626"/>
      <c r="AC555" s="626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0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0</v>
      </c>
      <c r="F556" s="52">
        <f>IFERROR(Y84*1,"0")+IFERROR(Y85*1,"0")+IFERROR(Y86*1,"0")+IFERROR(Y87*1,"0")+IFERROR(Y88*1,"0")+IFERROR(Y89*1,"0")+IFERROR(Y93*1,"0")+IFERROR(Y94*1,"0")+IFERROR(Y95*1,"0")+IFERROR(Y96*1,"0")</f>
        <v>0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0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0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0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1126</vt:i4>
      </vt:variant>
    </vt:vector>
  </HeadingPairs>
  <TitlesOfParts>
    <vt:vector size="11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2026-10-06T12:22:07Z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