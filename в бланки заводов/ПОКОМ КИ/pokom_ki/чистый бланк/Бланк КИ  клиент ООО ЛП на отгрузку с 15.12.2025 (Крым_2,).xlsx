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128AAA-D84F-4E34-8EC4-E3D1ECB451D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Z502" i="2" s="1"/>
  <c r="P489" i="2"/>
  <c r="X486" i="2"/>
  <c r="X485" i="2"/>
  <c r="BO484" i="2"/>
  <c r="BM484" i="2"/>
  <c r="Y484" i="2"/>
  <c r="BN484" i="2" s="1"/>
  <c r="P484" i="2"/>
  <c r="BO483" i="2"/>
  <c r="BM483" i="2"/>
  <c r="Y483" i="2"/>
  <c r="BP483" i="2" s="1"/>
  <c r="P483" i="2"/>
  <c r="X481" i="2"/>
  <c r="X480" i="2"/>
  <c r="BO479" i="2"/>
  <c r="BM479" i="2"/>
  <c r="Y479" i="2"/>
  <c r="BN479" i="2" s="1"/>
  <c r="P479" i="2"/>
  <c r="X477" i="2"/>
  <c r="X476" i="2"/>
  <c r="BO475" i="2"/>
  <c r="BM475" i="2"/>
  <c r="Y475" i="2"/>
  <c r="BP475" i="2" s="1"/>
  <c r="P475" i="2"/>
  <c r="BO474" i="2"/>
  <c r="BM474" i="2"/>
  <c r="Y474" i="2"/>
  <c r="BP474" i="2" s="1"/>
  <c r="P474" i="2"/>
  <c r="X472" i="2"/>
  <c r="X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P465" i="2"/>
  <c r="BO464" i="2"/>
  <c r="BM464" i="2"/>
  <c r="Z464" i="2"/>
  <c r="Y464" i="2"/>
  <c r="BP464" i="2" s="1"/>
  <c r="P464" i="2"/>
  <c r="BO463" i="2"/>
  <c r="BM463" i="2"/>
  <c r="Y463" i="2"/>
  <c r="P463" i="2"/>
  <c r="BO462" i="2"/>
  <c r="BM462" i="2"/>
  <c r="Y462" i="2"/>
  <c r="Y502" i="2" s="1"/>
  <c r="P462" i="2"/>
  <c r="Y458" i="2"/>
  <c r="X458" i="2"/>
  <c r="Y457" i="2"/>
  <c r="X457" i="2"/>
  <c r="BP456" i="2"/>
  <c r="BO456" i="2"/>
  <c r="BM456" i="2"/>
  <c r="Y456" i="2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Z449" i="2" s="1"/>
  <c r="P449" i="2"/>
  <c r="BO448" i="2"/>
  <c r="BM448" i="2"/>
  <c r="Y448" i="2"/>
  <c r="P448" i="2"/>
  <c r="BO447" i="2"/>
  <c r="BM447" i="2"/>
  <c r="Y447" i="2"/>
  <c r="P447" i="2"/>
  <c r="X445" i="2"/>
  <c r="X444" i="2"/>
  <c r="BO443" i="2"/>
  <c r="BM443" i="2"/>
  <c r="Y443" i="2"/>
  <c r="Z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X439" i="2"/>
  <c r="X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Z429" i="2" s="1"/>
  <c r="P429" i="2"/>
  <c r="BP428" i="2"/>
  <c r="BO428" i="2"/>
  <c r="BN428" i="2"/>
  <c r="BM428" i="2"/>
  <c r="Z428" i="2"/>
  <c r="Y428" i="2"/>
  <c r="P428" i="2"/>
  <c r="BO427" i="2"/>
  <c r="BN427" i="2"/>
  <c r="BM427" i="2"/>
  <c r="Z427" i="2"/>
  <c r="Y427" i="2"/>
  <c r="BP427" i="2" s="1"/>
  <c r="BO426" i="2"/>
  <c r="BM426" i="2"/>
  <c r="Y426" i="2"/>
  <c r="P426" i="2"/>
  <c r="Y422" i="2"/>
  <c r="X422" i="2"/>
  <c r="X421" i="2"/>
  <c r="BO420" i="2"/>
  <c r="BN420" i="2"/>
  <c r="BM420" i="2"/>
  <c r="Z420" i="2"/>
  <c r="Z421" i="2" s="1"/>
  <c r="Y420" i="2"/>
  <c r="Y421" i="2" s="1"/>
  <c r="P420" i="2"/>
  <c r="X417" i="2"/>
  <c r="X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Y410" i="2"/>
  <c r="X410" i="2"/>
  <c r="Y409" i="2"/>
  <c r="X409" i="2"/>
  <c r="BO408" i="2"/>
  <c r="BM408" i="2"/>
  <c r="Y408" i="2"/>
  <c r="P408" i="2"/>
  <c r="X405" i="2"/>
  <c r="X404" i="2"/>
  <c r="BO403" i="2"/>
  <c r="BM403" i="2"/>
  <c r="Y403" i="2"/>
  <c r="P403" i="2"/>
  <c r="BO402" i="2"/>
  <c r="BM402" i="2"/>
  <c r="Z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P396" i="2"/>
  <c r="BP395" i="2"/>
  <c r="BO395" i="2"/>
  <c r="BN395" i="2"/>
  <c r="BM395" i="2"/>
  <c r="Z395" i="2"/>
  <c r="Y395" i="2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BO391" i="2"/>
  <c r="BM391" i="2"/>
  <c r="Z391" i="2"/>
  <c r="Y391" i="2"/>
  <c r="P391" i="2"/>
  <c r="BO390" i="2"/>
  <c r="BM390" i="2"/>
  <c r="Y390" i="2"/>
  <c r="P390" i="2"/>
  <c r="X386" i="2"/>
  <c r="X385" i="2"/>
  <c r="BO384" i="2"/>
  <c r="BM384" i="2"/>
  <c r="Y384" i="2"/>
  <c r="P384" i="2"/>
  <c r="BP383" i="2"/>
  <c r="BO383" i="2"/>
  <c r="BN383" i="2"/>
  <c r="BM383" i="2"/>
  <c r="Z383" i="2"/>
  <c r="Y383" i="2"/>
  <c r="P383" i="2"/>
  <c r="BO382" i="2"/>
  <c r="BM382" i="2"/>
  <c r="Y382" i="2"/>
  <c r="P382" i="2"/>
  <c r="Y380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X375" i="2"/>
  <c r="X374" i="2"/>
  <c r="BO373" i="2"/>
  <c r="BM373" i="2"/>
  <c r="Y373" i="2"/>
  <c r="BP373" i="2" s="1"/>
  <c r="P373" i="2"/>
  <c r="BO372" i="2"/>
  <c r="BM372" i="2"/>
  <c r="Y372" i="2"/>
  <c r="BP372" i="2" s="1"/>
  <c r="P372" i="2"/>
  <c r="X369" i="2"/>
  <c r="X368" i="2"/>
  <c r="BO367" i="2"/>
  <c r="BM367" i="2"/>
  <c r="Y367" i="2"/>
  <c r="P367" i="2"/>
  <c r="X365" i="2"/>
  <c r="X364" i="2"/>
  <c r="BO363" i="2"/>
  <c r="BM363" i="2"/>
  <c r="Y363" i="2"/>
  <c r="Z363" i="2" s="1"/>
  <c r="P363" i="2"/>
  <c r="BP362" i="2"/>
  <c r="BO362" i="2"/>
  <c r="BN362" i="2"/>
  <c r="BM362" i="2"/>
  <c r="Z362" i="2"/>
  <c r="Z364" i="2" s="1"/>
  <c r="Y362" i="2"/>
  <c r="P362" i="2"/>
  <c r="X360" i="2"/>
  <c r="Y359" i="2"/>
  <c r="X359" i="2"/>
  <c r="BO358" i="2"/>
  <c r="BM358" i="2"/>
  <c r="Y358" i="2"/>
  <c r="BP358" i="2" s="1"/>
  <c r="P358" i="2"/>
  <c r="BO357" i="2"/>
  <c r="BM357" i="2"/>
  <c r="Y357" i="2"/>
  <c r="Z357" i="2" s="1"/>
  <c r="P357" i="2"/>
  <c r="X355" i="2"/>
  <c r="X354" i="2"/>
  <c r="BO353" i="2"/>
  <c r="BM353" i="2"/>
  <c r="Y353" i="2"/>
  <c r="BP353" i="2" s="1"/>
  <c r="P353" i="2"/>
  <c r="BP352" i="2"/>
  <c r="BO352" i="2"/>
  <c r="BN352" i="2"/>
  <c r="BM352" i="2"/>
  <c r="Z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BO348" i="2"/>
  <c r="BM348" i="2"/>
  <c r="Y348" i="2"/>
  <c r="BP348" i="2" s="1"/>
  <c r="P348" i="2"/>
  <c r="BO347" i="2"/>
  <c r="BM347" i="2"/>
  <c r="Y347" i="2"/>
  <c r="Z347" i="2" s="1"/>
  <c r="P347" i="2"/>
  <c r="X343" i="2"/>
  <c r="X342" i="2"/>
  <c r="BO341" i="2"/>
  <c r="BM341" i="2"/>
  <c r="Y341" i="2"/>
  <c r="BP341" i="2" s="1"/>
  <c r="P341" i="2"/>
  <c r="BP340" i="2"/>
  <c r="BO340" i="2"/>
  <c r="BN340" i="2"/>
  <c r="BM340" i="2"/>
  <c r="Z340" i="2"/>
  <c r="Y340" i="2"/>
  <c r="P340" i="2"/>
  <c r="BO339" i="2"/>
  <c r="BM339" i="2"/>
  <c r="Y339" i="2"/>
  <c r="P339" i="2"/>
  <c r="X336" i="2"/>
  <c r="X335" i="2"/>
  <c r="BO334" i="2"/>
  <c r="BM334" i="2"/>
  <c r="Y334" i="2"/>
  <c r="P334" i="2"/>
  <c r="BP333" i="2"/>
  <c r="BO333" i="2"/>
  <c r="BN333" i="2"/>
  <c r="BM333" i="2"/>
  <c r="Z333" i="2"/>
  <c r="Y333" i="2"/>
  <c r="P333" i="2"/>
  <c r="BO332" i="2"/>
  <c r="BM332" i="2"/>
  <c r="Y332" i="2"/>
  <c r="P332" i="2"/>
  <c r="X330" i="2"/>
  <c r="X329" i="2"/>
  <c r="BO328" i="2"/>
  <c r="BM328" i="2"/>
  <c r="Y328" i="2"/>
  <c r="Z328" i="2" s="1"/>
  <c r="P328" i="2"/>
  <c r="BP327" i="2"/>
  <c r="BO327" i="2"/>
  <c r="BN327" i="2"/>
  <c r="BM327" i="2"/>
  <c r="Z327" i="2"/>
  <c r="Y327" i="2"/>
  <c r="P327" i="2"/>
  <c r="BO326" i="2"/>
  <c r="BN326" i="2"/>
  <c r="BM326" i="2"/>
  <c r="Z326" i="2"/>
  <c r="Y326" i="2"/>
  <c r="BP326" i="2" s="1"/>
  <c r="P326" i="2"/>
  <c r="BO325" i="2"/>
  <c r="BM325" i="2"/>
  <c r="Y325" i="2"/>
  <c r="P325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P312" i="2"/>
  <c r="X310" i="2"/>
  <c r="X309" i="2"/>
  <c r="BO308" i="2"/>
  <c r="BM308" i="2"/>
  <c r="Y308" i="2"/>
  <c r="BP308" i="2" s="1"/>
  <c r="P308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X301" i="2"/>
  <c r="X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X286" i="2"/>
  <c r="X285" i="2"/>
  <c r="BP284" i="2"/>
  <c r="BO284" i="2"/>
  <c r="BN284" i="2"/>
  <c r="BM284" i="2"/>
  <c r="Z284" i="2"/>
  <c r="Y284" i="2"/>
  <c r="P284" i="2"/>
  <c r="BO283" i="2"/>
  <c r="BN283" i="2"/>
  <c r="BM283" i="2"/>
  <c r="Z283" i="2"/>
  <c r="Z285" i="2" s="1"/>
  <c r="Y283" i="2"/>
  <c r="BP283" i="2" s="1"/>
  <c r="P283" i="2"/>
  <c r="X280" i="2"/>
  <c r="X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O502" i="2" s="1"/>
  <c r="P276" i="2"/>
  <c r="Y273" i="2"/>
  <c r="X273" i="2"/>
  <c r="X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Y272" i="2" s="1"/>
  <c r="P268" i="2"/>
  <c r="X265" i="2"/>
  <c r="X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Z260" i="2" s="1"/>
  <c r="P260" i="2"/>
  <c r="BO259" i="2"/>
  <c r="BM259" i="2"/>
  <c r="Y259" i="2"/>
  <c r="BP259" i="2" s="1"/>
  <c r="P259" i="2"/>
  <c r="X256" i="2"/>
  <c r="X255" i="2"/>
  <c r="BP254" i="2"/>
  <c r="BO254" i="2"/>
  <c r="BN254" i="2"/>
  <c r="BM254" i="2"/>
  <c r="Z254" i="2"/>
  <c r="Y254" i="2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P246" i="2"/>
  <c r="Y244" i="2"/>
  <c r="X244" i="2"/>
  <c r="Y243" i="2"/>
  <c r="X243" i="2"/>
  <c r="BO242" i="2"/>
  <c r="BM242" i="2"/>
  <c r="Y242" i="2"/>
  <c r="BP242" i="2" s="1"/>
  <c r="P242" i="2"/>
  <c r="X240" i="2"/>
  <c r="X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P230" i="2"/>
  <c r="BO230" i="2"/>
  <c r="BM230" i="2"/>
  <c r="Y230" i="2"/>
  <c r="BN230" i="2" s="1"/>
  <c r="P230" i="2"/>
  <c r="X227" i="2"/>
  <c r="X226" i="2"/>
  <c r="BO225" i="2"/>
  <c r="BM225" i="2"/>
  <c r="Y225" i="2"/>
  <c r="BP225" i="2" s="1"/>
  <c r="P225" i="2"/>
  <c r="BO224" i="2"/>
  <c r="BM224" i="2"/>
  <c r="Y224" i="2"/>
  <c r="BP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P217" i="2"/>
  <c r="BO217" i="2"/>
  <c r="BN217" i="2"/>
  <c r="BM217" i="2"/>
  <c r="Z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Y210" i="2" s="1"/>
  <c r="P201" i="2"/>
  <c r="X199" i="2"/>
  <c r="X198" i="2"/>
  <c r="BO197" i="2"/>
  <c r="BM197" i="2"/>
  <c r="Y197" i="2"/>
  <c r="BP197" i="2" s="1"/>
  <c r="P197" i="2"/>
  <c r="BO196" i="2"/>
  <c r="BM196" i="2"/>
  <c r="Y196" i="2"/>
  <c r="Z196" i="2" s="1"/>
  <c r="P196" i="2"/>
  <c r="X194" i="2"/>
  <c r="X193" i="2"/>
  <c r="BP192" i="2"/>
  <c r="BO192" i="2"/>
  <c r="BM192" i="2"/>
  <c r="Y192" i="2"/>
  <c r="BN192" i="2" s="1"/>
  <c r="P192" i="2"/>
  <c r="BO191" i="2"/>
  <c r="BM191" i="2"/>
  <c r="Y191" i="2"/>
  <c r="Y194" i="2" s="1"/>
  <c r="P191" i="2"/>
  <c r="X188" i="2"/>
  <c r="X187" i="2"/>
  <c r="BP186" i="2"/>
  <c r="BO186" i="2"/>
  <c r="BM186" i="2"/>
  <c r="Y186" i="2"/>
  <c r="BN186" i="2" s="1"/>
  <c r="P186" i="2"/>
  <c r="X184" i="2"/>
  <c r="X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BO172" i="2"/>
  <c r="BM172" i="2"/>
  <c r="Y172" i="2"/>
  <c r="BP172" i="2" s="1"/>
  <c r="P172" i="2"/>
  <c r="BO171" i="2"/>
  <c r="BM171" i="2"/>
  <c r="Y171" i="2"/>
  <c r="BN171" i="2" s="1"/>
  <c r="P171" i="2"/>
  <c r="BO170" i="2"/>
  <c r="BM170" i="2"/>
  <c r="Y170" i="2"/>
  <c r="Z170" i="2" s="1"/>
  <c r="P170" i="2"/>
  <c r="BP169" i="2"/>
  <c r="BO169" i="2"/>
  <c r="BN169" i="2"/>
  <c r="BM169" i="2"/>
  <c r="Z169" i="2"/>
  <c r="Y169" i="2"/>
  <c r="P169" i="2"/>
  <c r="BO168" i="2"/>
  <c r="BN168" i="2"/>
  <c r="BM168" i="2"/>
  <c r="Z168" i="2"/>
  <c r="Y168" i="2"/>
  <c r="BP168" i="2" s="1"/>
  <c r="P168" i="2"/>
  <c r="BO167" i="2"/>
  <c r="BM167" i="2"/>
  <c r="Y167" i="2"/>
  <c r="BP167" i="2" s="1"/>
  <c r="P167" i="2"/>
  <c r="BP166" i="2"/>
  <c r="BO166" i="2"/>
  <c r="BM166" i="2"/>
  <c r="Y166" i="2"/>
  <c r="BN166" i="2" s="1"/>
  <c r="P166" i="2"/>
  <c r="BO165" i="2"/>
  <c r="BM165" i="2"/>
  <c r="Y165" i="2"/>
  <c r="Y178" i="2" s="1"/>
  <c r="X163" i="2"/>
  <c r="X162" i="2"/>
  <c r="BO161" i="2"/>
  <c r="BM161" i="2"/>
  <c r="Y161" i="2"/>
  <c r="BN161" i="2" s="1"/>
  <c r="P161" i="2"/>
  <c r="Y157" i="2"/>
  <c r="X157" i="2"/>
  <c r="X156" i="2"/>
  <c r="BO155" i="2"/>
  <c r="BM155" i="2"/>
  <c r="Y155" i="2"/>
  <c r="Y156" i="2" s="1"/>
  <c r="P155" i="2"/>
  <c r="X153" i="2"/>
  <c r="X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Z133" i="2" s="1"/>
  <c r="Z135" i="2" s="1"/>
  <c r="P133" i="2"/>
  <c r="X131" i="2"/>
  <c r="X130" i="2"/>
  <c r="BO129" i="2"/>
  <c r="BM129" i="2"/>
  <c r="Y129" i="2"/>
  <c r="BP129" i="2" s="1"/>
  <c r="P129" i="2"/>
  <c r="BO128" i="2"/>
  <c r="BM128" i="2"/>
  <c r="Y128" i="2"/>
  <c r="G502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Z117" i="2" s="1"/>
  <c r="P117" i="2"/>
  <c r="BP116" i="2"/>
  <c r="BO116" i="2"/>
  <c r="BN116" i="2"/>
  <c r="BM116" i="2"/>
  <c r="Z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Z111" i="2" s="1"/>
  <c r="P111" i="2"/>
  <c r="BO110" i="2"/>
  <c r="BM110" i="2"/>
  <c r="Y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BO101" i="2"/>
  <c r="BM101" i="2"/>
  <c r="Y101" i="2"/>
  <c r="P101" i="2"/>
  <c r="X98" i="2"/>
  <c r="X97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BP94" i="2" s="1"/>
  <c r="P94" i="2"/>
  <c r="BP93" i="2"/>
  <c r="BO93" i="2"/>
  <c r="BN93" i="2"/>
  <c r="BM93" i="2"/>
  <c r="Z93" i="2"/>
  <c r="Y93" i="2"/>
  <c r="Y98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E502" i="2" s="1"/>
  <c r="P86" i="2"/>
  <c r="X83" i="2"/>
  <c r="X82" i="2"/>
  <c r="BP81" i="2"/>
  <c r="BO81" i="2"/>
  <c r="BM81" i="2"/>
  <c r="Y81" i="2"/>
  <c r="BN81" i="2" s="1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M75" i="2"/>
  <c r="Y75" i="2"/>
  <c r="Z75" i="2" s="1"/>
  <c r="P75" i="2"/>
  <c r="BO74" i="2"/>
  <c r="BM74" i="2"/>
  <c r="Y74" i="2"/>
  <c r="Z74" i="2" s="1"/>
  <c r="P74" i="2"/>
  <c r="BO73" i="2"/>
  <c r="BM73" i="2"/>
  <c r="Y73" i="2"/>
  <c r="Z73" i="2" s="1"/>
  <c r="P73" i="2"/>
  <c r="X71" i="2"/>
  <c r="X70" i="2"/>
  <c r="BP69" i="2"/>
  <c r="BO69" i="2"/>
  <c r="BN69" i="2"/>
  <c r="BM69" i="2"/>
  <c r="Z69" i="2"/>
  <c r="Y69" i="2"/>
  <c r="P69" i="2"/>
  <c r="BO68" i="2"/>
  <c r="BM68" i="2"/>
  <c r="Y68" i="2"/>
  <c r="Z68" i="2" s="1"/>
  <c r="P68" i="2"/>
  <c r="BO67" i="2"/>
  <c r="BM67" i="2"/>
  <c r="Y67" i="2"/>
  <c r="Y71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Y54" i="2"/>
  <c r="BN54" i="2" s="1"/>
  <c r="P54" i="2"/>
  <c r="BP53" i="2"/>
  <c r="BO53" i="2"/>
  <c r="BN53" i="2"/>
  <c r="BM53" i="2"/>
  <c r="Z53" i="2"/>
  <c r="Y53" i="2"/>
  <c r="P53" i="2"/>
  <c r="BO52" i="2"/>
  <c r="BM52" i="2"/>
  <c r="Y52" i="2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P42" i="2"/>
  <c r="BO42" i="2"/>
  <c r="BN42" i="2"/>
  <c r="BM42" i="2"/>
  <c r="Z42" i="2"/>
  <c r="Y42" i="2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N31" i="2"/>
  <c r="BM31" i="2"/>
  <c r="Z31" i="2"/>
  <c r="Y31" i="2"/>
  <c r="BP31" i="2" s="1"/>
  <c r="P31" i="2"/>
  <c r="BO30" i="2"/>
  <c r="BM30" i="2"/>
  <c r="Y30" i="2"/>
  <c r="BP30" i="2" s="1"/>
  <c r="P30" i="2"/>
  <c r="BP29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M23" i="2"/>
  <c r="Y23" i="2"/>
  <c r="Z23" i="2" s="1"/>
  <c r="P23" i="2"/>
  <c r="BP22" i="2"/>
  <c r="BO22" i="2"/>
  <c r="BN22" i="2"/>
  <c r="BM22" i="2"/>
  <c r="Z22" i="2"/>
  <c r="Y22" i="2"/>
  <c r="P22" i="2"/>
  <c r="H10" i="2"/>
  <c r="A9" i="2"/>
  <c r="F10" i="2" s="1"/>
  <c r="D7" i="2"/>
  <c r="Q6" i="2"/>
  <c r="P2" i="2"/>
  <c r="BN23" i="2" l="1"/>
  <c r="BP23" i="2"/>
  <c r="Y24" i="2"/>
  <c r="Y25" i="2"/>
  <c r="BN41" i="2"/>
  <c r="BN67" i="2"/>
  <c r="Y70" i="2"/>
  <c r="BN75" i="2"/>
  <c r="BP75" i="2"/>
  <c r="Y90" i="2"/>
  <c r="BN102" i="2"/>
  <c r="BP102" i="2"/>
  <c r="BN112" i="2"/>
  <c r="BP112" i="2"/>
  <c r="Y113" i="2"/>
  <c r="BN117" i="2"/>
  <c r="BP117" i="2"/>
  <c r="Y121" i="2"/>
  <c r="BN128" i="2"/>
  <c r="BP128" i="2"/>
  <c r="BN133" i="2"/>
  <c r="BP133" i="2"/>
  <c r="BN134" i="2"/>
  <c r="Y136" i="2"/>
  <c r="BN151" i="2"/>
  <c r="BP151" i="2"/>
  <c r="BN170" i="2"/>
  <c r="BP170" i="2"/>
  <c r="BN173" i="2"/>
  <c r="BP173" i="2"/>
  <c r="BN196" i="2"/>
  <c r="BP196" i="2"/>
  <c r="BN201" i="2"/>
  <c r="BN203" i="2"/>
  <c r="BP203" i="2"/>
  <c r="BN206" i="2"/>
  <c r="BP206" i="2"/>
  <c r="BN212" i="2"/>
  <c r="BN232" i="2"/>
  <c r="BN234" i="2"/>
  <c r="BP234" i="2"/>
  <c r="BN237" i="2"/>
  <c r="BP237" i="2"/>
  <c r="Y247" i="2"/>
  <c r="BP246" i="2"/>
  <c r="BN246" i="2"/>
  <c r="Z246" i="2"/>
  <c r="Z247" i="2" s="1"/>
  <c r="Y248" i="2"/>
  <c r="Y256" i="2"/>
  <c r="BP250" i="2"/>
  <c r="BN250" i="2"/>
  <c r="Z250" i="2"/>
  <c r="BN277" i="2"/>
  <c r="BN296" i="2"/>
  <c r="BP296" i="2"/>
  <c r="BP297" i="2"/>
  <c r="BN297" i="2"/>
  <c r="Z297" i="2"/>
  <c r="BN306" i="2"/>
  <c r="BP306" i="2"/>
  <c r="BP307" i="2"/>
  <c r="BN307" i="2"/>
  <c r="Z307" i="2"/>
  <c r="Z312" i="2"/>
  <c r="Y317" i="2"/>
  <c r="BN313" i="2"/>
  <c r="BN328" i="2"/>
  <c r="BP328" i="2"/>
  <c r="Y329" i="2"/>
  <c r="Y330" i="2"/>
  <c r="Y336" i="2"/>
  <c r="Z332" i="2"/>
  <c r="Y342" i="2"/>
  <c r="BN363" i="2"/>
  <c r="BP363" i="2"/>
  <c r="Y364" i="2"/>
  <c r="Y365" i="2"/>
  <c r="Y369" i="2"/>
  <c r="Z367" i="2"/>
  <c r="Z368" i="2" s="1"/>
  <c r="BN373" i="2"/>
  <c r="Y385" i="2"/>
  <c r="Y386" i="2"/>
  <c r="BP382" i="2"/>
  <c r="BP392" i="2"/>
  <c r="Z392" i="2"/>
  <c r="BP396" i="2"/>
  <c r="BN396" i="2"/>
  <c r="Z396" i="2"/>
  <c r="BP397" i="2"/>
  <c r="BN397" i="2"/>
  <c r="Z397" i="2"/>
  <c r="BN436" i="2"/>
  <c r="BN462" i="2"/>
  <c r="BP462" i="2"/>
  <c r="BN463" i="2"/>
  <c r="BP463" i="2"/>
  <c r="B502" i="2"/>
  <c r="X493" i="2"/>
  <c r="X494" i="2"/>
  <c r="X496" i="2"/>
  <c r="X492" i="2"/>
  <c r="Z28" i="2"/>
  <c r="BN28" i="2"/>
  <c r="Z30" i="2"/>
  <c r="BN30" i="2"/>
  <c r="Y36" i="2"/>
  <c r="Y45" i="2"/>
  <c r="BN47" i="2"/>
  <c r="BP47" i="2"/>
  <c r="Y48" i="2"/>
  <c r="Y49" i="2"/>
  <c r="D502" i="2"/>
  <c r="BP54" i="2"/>
  <c r="Z56" i="2"/>
  <c r="BN56" i="2"/>
  <c r="Z57" i="2"/>
  <c r="BN57" i="2"/>
  <c r="BN68" i="2"/>
  <c r="BP68" i="2"/>
  <c r="BN73" i="2"/>
  <c r="BP73" i="2"/>
  <c r="BN74" i="2"/>
  <c r="Y78" i="2"/>
  <c r="BN80" i="2"/>
  <c r="BP80" i="2"/>
  <c r="Z86" i="2"/>
  <c r="BN86" i="2"/>
  <c r="BP86" i="2"/>
  <c r="BP87" i="2"/>
  <c r="BN89" i="2"/>
  <c r="BP89" i="2"/>
  <c r="Z94" i="2"/>
  <c r="BN94" i="2"/>
  <c r="Z95" i="2"/>
  <c r="BN95" i="2"/>
  <c r="BN96" i="2"/>
  <c r="BP96" i="2"/>
  <c r="Y97" i="2"/>
  <c r="F502" i="2"/>
  <c r="BP103" i="2"/>
  <c r="BN105" i="2"/>
  <c r="BP105" i="2"/>
  <c r="Y114" i="2"/>
  <c r="BN110" i="2"/>
  <c r="BP110" i="2"/>
  <c r="BN111" i="2"/>
  <c r="BP118" i="2"/>
  <c r="Z129" i="2"/>
  <c r="BN129" i="2"/>
  <c r="Y130" i="2"/>
  <c r="Z138" i="2"/>
  <c r="BN138" i="2"/>
  <c r="Z139" i="2"/>
  <c r="BN139" i="2"/>
  <c r="BN150" i="2"/>
  <c r="Y153" i="2"/>
  <c r="BP161" i="2"/>
  <c r="Z165" i="2"/>
  <c r="BN165" i="2"/>
  <c r="BP165" i="2"/>
  <c r="Z167" i="2"/>
  <c r="BN167" i="2"/>
  <c r="BP171" i="2"/>
  <c r="Z174" i="2"/>
  <c r="BN174" i="2"/>
  <c r="BN180" i="2"/>
  <c r="BP180" i="2"/>
  <c r="BN182" i="2"/>
  <c r="Y184" i="2"/>
  <c r="Z191" i="2"/>
  <c r="BN191" i="2"/>
  <c r="BP191" i="2"/>
  <c r="Z197" i="2"/>
  <c r="Z198" i="2" s="1"/>
  <c r="BN197" i="2"/>
  <c r="Y198" i="2"/>
  <c r="BN202" i="2"/>
  <c r="Z207" i="2"/>
  <c r="BN207" i="2"/>
  <c r="Y209" i="2"/>
  <c r="BN213" i="2"/>
  <c r="BP213" i="2"/>
  <c r="BN216" i="2"/>
  <c r="BP216" i="2"/>
  <c r="Y227" i="2"/>
  <c r="BN233" i="2"/>
  <c r="Z238" i="2"/>
  <c r="BN238" i="2"/>
  <c r="BN260" i="2"/>
  <c r="BP260" i="2"/>
  <c r="BP261" i="2"/>
  <c r="BN261" i="2"/>
  <c r="Z261" i="2"/>
  <c r="BP325" i="2"/>
  <c r="BN325" i="2"/>
  <c r="Z325" i="2"/>
  <c r="Z329" i="2" s="1"/>
  <c r="BN334" i="2"/>
  <c r="BP334" i="2"/>
  <c r="BN350" i="2"/>
  <c r="Y354" i="2"/>
  <c r="BP384" i="2"/>
  <c r="BN384" i="2"/>
  <c r="Z384" i="2"/>
  <c r="BN394" i="2"/>
  <c r="BP394" i="2"/>
  <c r="Z404" i="2"/>
  <c r="BP403" i="2"/>
  <c r="BN403" i="2"/>
  <c r="Z403" i="2"/>
  <c r="BN414" i="2"/>
  <c r="Y439" i="2"/>
  <c r="BN429" i="2"/>
  <c r="BP429" i="2"/>
  <c r="BN432" i="2"/>
  <c r="Y453" i="2"/>
  <c r="BN447" i="2"/>
  <c r="Z447" i="2"/>
  <c r="BP448" i="2"/>
  <c r="BN448" i="2"/>
  <c r="Z448" i="2"/>
  <c r="BN456" i="2"/>
  <c r="Z456" i="2"/>
  <c r="Z457" i="2" s="1"/>
  <c r="BP465" i="2"/>
  <c r="Z465" i="2"/>
  <c r="BN242" i="2"/>
  <c r="Y255" i="2"/>
  <c r="Y264" i="2"/>
  <c r="BN268" i="2"/>
  <c r="BP268" i="2"/>
  <c r="BN271" i="2"/>
  <c r="BP271" i="2"/>
  <c r="Y286" i="2"/>
  <c r="Y300" i="2"/>
  <c r="BN295" i="2"/>
  <c r="Y310" i="2"/>
  <c r="BN303" i="2"/>
  <c r="BP303" i="2"/>
  <c r="BN305" i="2"/>
  <c r="Y309" i="2"/>
  <c r="BN315" i="2"/>
  <c r="BN321" i="2"/>
  <c r="Y343" i="2"/>
  <c r="BN339" i="2"/>
  <c r="BP339" i="2"/>
  <c r="BN348" i="2"/>
  <c r="BN351" i="2"/>
  <c r="BP351" i="2"/>
  <c r="BN358" i="2"/>
  <c r="U502" i="2"/>
  <c r="Y400" i="2"/>
  <c r="BN398" i="2"/>
  <c r="BP398" i="2"/>
  <c r="Y405" i="2"/>
  <c r="V502" i="2"/>
  <c r="BN408" i="2"/>
  <c r="BN434" i="2"/>
  <c r="BN437" i="2"/>
  <c r="BP437" i="2"/>
  <c r="BN442" i="2"/>
  <c r="BN449" i="2"/>
  <c r="BP449" i="2"/>
  <c r="BN452" i="2"/>
  <c r="Z24" i="2"/>
  <c r="Z97" i="2"/>
  <c r="X495" i="2"/>
  <c r="BP123" i="2"/>
  <c r="Z145" i="2"/>
  <c r="Z220" i="2"/>
  <c r="Z253" i="2"/>
  <c r="BN278" i="2"/>
  <c r="Z289" i="2"/>
  <c r="BN312" i="2"/>
  <c r="Y323" i="2"/>
  <c r="BN347" i="2"/>
  <c r="BN357" i="2"/>
  <c r="BN415" i="2"/>
  <c r="BN433" i="2"/>
  <c r="BN443" i="2"/>
  <c r="Y454" i="2"/>
  <c r="BP479" i="2"/>
  <c r="Y491" i="2"/>
  <c r="H502" i="2"/>
  <c r="Y177" i="2"/>
  <c r="Z27" i="2"/>
  <c r="Y44" i="2"/>
  <c r="Z52" i="2"/>
  <c r="Z62" i="2"/>
  <c r="Y77" i="2"/>
  <c r="Z150" i="2"/>
  <c r="Z182" i="2"/>
  <c r="Z205" i="2"/>
  <c r="Z215" i="2"/>
  <c r="Z225" i="2"/>
  <c r="Z236" i="2"/>
  <c r="Z259" i="2"/>
  <c r="Z270" i="2"/>
  <c r="Z295" i="2"/>
  <c r="Z305" i="2"/>
  <c r="Z315" i="2"/>
  <c r="Z350" i="2"/>
  <c r="Z373" i="2"/>
  <c r="Z408" i="2"/>
  <c r="Z409" i="2" s="1"/>
  <c r="Z436" i="2"/>
  <c r="Z470" i="2"/>
  <c r="BP484" i="2"/>
  <c r="I502" i="2"/>
  <c r="Y91" i="2"/>
  <c r="Z101" i="2"/>
  <c r="Y107" i="2"/>
  <c r="Y33" i="2"/>
  <c r="Z67" i="2"/>
  <c r="Z70" i="2" s="1"/>
  <c r="Y82" i="2"/>
  <c r="Y187" i="2"/>
  <c r="BN27" i="2"/>
  <c r="BP41" i="2"/>
  <c r="BN52" i="2"/>
  <c r="BN62" i="2"/>
  <c r="BP74" i="2"/>
  <c r="Z88" i="2"/>
  <c r="BN101" i="2"/>
  <c r="Z104" i="2"/>
  <c r="BP111" i="2"/>
  <c r="Z119" i="2"/>
  <c r="Y124" i="2"/>
  <c r="BP134" i="2"/>
  <c r="BN145" i="2"/>
  <c r="Z155" i="2"/>
  <c r="Z156" i="2" s="1"/>
  <c r="Y162" i="2"/>
  <c r="Z172" i="2"/>
  <c r="Y193" i="2"/>
  <c r="BP202" i="2"/>
  <c r="BP212" i="2"/>
  <c r="BN220" i="2"/>
  <c r="Z231" i="2"/>
  <c r="BP233" i="2"/>
  <c r="BN253" i="2"/>
  <c r="Y265" i="2"/>
  <c r="Z276" i="2"/>
  <c r="BP278" i="2"/>
  <c r="BN289" i="2"/>
  <c r="Y301" i="2"/>
  <c r="BP312" i="2"/>
  <c r="Z320" i="2"/>
  <c r="BN332" i="2"/>
  <c r="Y335" i="2"/>
  <c r="BP347" i="2"/>
  <c r="BP357" i="2"/>
  <c r="BN367" i="2"/>
  <c r="Z378" i="2"/>
  <c r="BN392" i="2"/>
  <c r="BN402" i="2"/>
  <c r="Z413" i="2"/>
  <c r="BP415" i="2"/>
  <c r="Z431" i="2"/>
  <c r="BP433" i="2"/>
  <c r="Z441" i="2"/>
  <c r="BP443" i="2"/>
  <c r="Z451" i="2"/>
  <c r="BN465" i="2"/>
  <c r="Z475" i="2"/>
  <c r="Y480" i="2"/>
  <c r="J502" i="2"/>
  <c r="BN205" i="2"/>
  <c r="BN215" i="2"/>
  <c r="BN225" i="2"/>
  <c r="BN236" i="2"/>
  <c r="Y239" i="2"/>
  <c r="BN259" i="2"/>
  <c r="BN270" i="2"/>
  <c r="BN470" i="2"/>
  <c r="Y485" i="2"/>
  <c r="K502" i="2"/>
  <c r="BP27" i="2"/>
  <c r="Z35" i="2"/>
  <c r="Z36" i="2" s="1"/>
  <c r="BP52" i="2"/>
  <c r="Y83" i="2"/>
  <c r="BN88" i="2"/>
  <c r="BP101" i="2"/>
  <c r="BN104" i="2"/>
  <c r="BN119" i="2"/>
  <c r="Y135" i="2"/>
  <c r="BN155" i="2"/>
  <c r="BN172" i="2"/>
  <c r="Z175" i="2"/>
  <c r="Y188" i="2"/>
  <c r="Z208" i="2"/>
  <c r="Z218" i="2"/>
  <c r="BN231" i="2"/>
  <c r="Z251" i="2"/>
  <c r="Z262" i="2"/>
  <c r="BN276" i="2"/>
  <c r="Y279" i="2"/>
  <c r="Z298" i="2"/>
  <c r="Z308" i="2"/>
  <c r="BN320" i="2"/>
  <c r="BP332" i="2"/>
  <c r="Z341" i="2"/>
  <c r="Z353" i="2"/>
  <c r="BP367" i="2"/>
  <c r="BN378" i="2"/>
  <c r="Z390" i="2"/>
  <c r="BP402" i="2"/>
  <c r="BN413" i="2"/>
  <c r="Y416" i="2"/>
  <c r="Z426" i="2"/>
  <c r="BN431" i="2"/>
  <c r="BN441" i="2"/>
  <c r="Y444" i="2"/>
  <c r="BN451" i="2"/>
  <c r="Z463" i="2"/>
  <c r="BN475" i="2"/>
  <c r="L502" i="2"/>
  <c r="Y58" i="2"/>
  <c r="BP67" i="2"/>
  <c r="Y125" i="2"/>
  <c r="Y140" i="2"/>
  <c r="Y163" i="2"/>
  <c r="Z268" i="2"/>
  <c r="Y285" i="2"/>
  <c r="Z303" i="2"/>
  <c r="Z313" i="2"/>
  <c r="Z348" i="2"/>
  <c r="Z358" i="2"/>
  <c r="Z359" i="2" s="1"/>
  <c r="BP408" i="2"/>
  <c r="Z434" i="2"/>
  <c r="Y481" i="2"/>
  <c r="M502" i="2"/>
  <c r="BN35" i="2"/>
  <c r="Y131" i="2"/>
  <c r="Y146" i="2"/>
  <c r="BP155" i="2"/>
  <c r="BN175" i="2"/>
  <c r="Y199" i="2"/>
  <c r="BN208" i="2"/>
  <c r="BN218" i="2"/>
  <c r="Y221" i="2"/>
  <c r="Y240" i="2"/>
  <c r="BN251" i="2"/>
  <c r="BN262" i="2"/>
  <c r="BP276" i="2"/>
  <c r="Y290" i="2"/>
  <c r="BN298" i="2"/>
  <c r="BN308" i="2"/>
  <c r="BN341" i="2"/>
  <c r="BN353" i="2"/>
  <c r="Y368" i="2"/>
  <c r="BN390" i="2"/>
  <c r="BN426" i="2"/>
  <c r="Y466" i="2"/>
  <c r="Y486" i="2"/>
  <c r="Y183" i="2"/>
  <c r="Y226" i="2"/>
  <c r="Y280" i="2"/>
  <c r="Y316" i="2"/>
  <c r="Y374" i="2"/>
  <c r="Y417" i="2"/>
  <c r="Y445" i="2"/>
  <c r="Y471" i="2"/>
  <c r="P502" i="2"/>
  <c r="Y59" i="2"/>
  <c r="Y120" i="2"/>
  <c r="Z128" i="2"/>
  <c r="Z130" i="2" s="1"/>
  <c r="Y141" i="2"/>
  <c r="BP251" i="2"/>
  <c r="Z339" i="2"/>
  <c r="Y379" i="2"/>
  <c r="BP390" i="2"/>
  <c r="BP426" i="2"/>
  <c r="Y476" i="2"/>
  <c r="Z483" i="2"/>
  <c r="Q502" i="2"/>
  <c r="BP35" i="2"/>
  <c r="F9" i="2"/>
  <c r="Z110" i="2"/>
  <c r="Z113" i="2" s="1"/>
  <c r="Y147" i="2"/>
  <c r="Z201" i="2"/>
  <c r="Y222" i="2"/>
  <c r="Z232" i="2"/>
  <c r="Z242" i="2"/>
  <c r="Z243" i="2" s="1"/>
  <c r="Z277" i="2"/>
  <c r="Y291" i="2"/>
  <c r="Z321" i="2"/>
  <c r="Z414" i="2"/>
  <c r="Z432" i="2"/>
  <c r="Z442" i="2"/>
  <c r="Z452" i="2"/>
  <c r="Y467" i="2"/>
  <c r="Z489" i="2"/>
  <c r="Z490" i="2" s="1"/>
  <c r="R502" i="2"/>
  <c r="Y375" i="2"/>
  <c r="Y472" i="2"/>
  <c r="BN483" i="2"/>
  <c r="S502" i="2"/>
  <c r="Z144" i="2"/>
  <c r="Z146" i="2" s="1"/>
  <c r="Z176" i="2"/>
  <c r="Z219" i="2"/>
  <c r="Z252" i="2"/>
  <c r="Z263" i="2"/>
  <c r="Z288" i="2"/>
  <c r="Z299" i="2"/>
  <c r="Y477" i="2"/>
  <c r="BN489" i="2"/>
  <c r="T502" i="2"/>
  <c r="J9" i="2"/>
  <c r="Z61" i="2"/>
  <c r="Z64" i="2" s="1"/>
  <c r="A10" i="2"/>
  <c r="Z149" i="2"/>
  <c r="Z152" i="2" s="1"/>
  <c r="Z181" i="2"/>
  <c r="Z183" i="2" s="1"/>
  <c r="Z204" i="2"/>
  <c r="Z214" i="2"/>
  <c r="Z221" i="2" s="1"/>
  <c r="Z224" i="2"/>
  <c r="Z226" i="2" s="1"/>
  <c r="Z235" i="2"/>
  <c r="Z269" i="2"/>
  <c r="Z294" i="2"/>
  <c r="Z300" i="2" s="1"/>
  <c r="Z304" i="2"/>
  <c r="Z314" i="2"/>
  <c r="Z349" i="2"/>
  <c r="Z372" i="2"/>
  <c r="Z374" i="2" s="1"/>
  <c r="Y399" i="2"/>
  <c r="Z435" i="2"/>
  <c r="Z469" i="2"/>
  <c r="Z471" i="2" s="1"/>
  <c r="H9" i="2"/>
  <c r="Z43" i="2"/>
  <c r="Z44" i="2" s="1"/>
  <c r="Z103" i="2"/>
  <c r="BN144" i="2"/>
  <c r="Z171" i="2"/>
  <c r="BN176" i="2"/>
  <c r="Z186" i="2"/>
  <c r="Z187" i="2" s="1"/>
  <c r="BP201" i="2"/>
  <c r="BN219" i="2"/>
  <c r="Z230" i="2"/>
  <c r="BN252" i="2"/>
  <c r="BN263" i="2"/>
  <c r="BN288" i="2"/>
  <c r="BN299" i="2"/>
  <c r="Z319" i="2"/>
  <c r="Y355" i="2"/>
  <c r="Z377" i="2"/>
  <c r="BN391" i="2"/>
  <c r="Y404" i="2"/>
  <c r="Z412" i="2"/>
  <c r="Z430" i="2"/>
  <c r="Z450" i="2"/>
  <c r="Z453" i="2" s="1"/>
  <c r="BN464" i="2"/>
  <c r="Z474" i="2"/>
  <c r="Z476" i="2" s="1"/>
  <c r="BP489" i="2"/>
  <c r="C502" i="2"/>
  <c r="Z29" i="2"/>
  <c r="BN43" i="2"/>
  <c r="Z54" i="2"/>
  <c r="BN76" i="2"/>
  <c r="Z123" i="2"/>
  <c r="Z124" i="2" s="1"/>
  <c r="BN149" i="2"/>
  <c r="Y152" i="2"/>
  <c r="Z161" i="2"/>
  <c r="Z162" i="2" s="1"/>
  <c r="Z166" i="2"/>
  <c r="BN181" i="2"/>
  <c r="Z192" i="2"/>
  <c r="Z193" i="2" s="1"/>
  <c r="BN204" i="2"/>
  <c r="BN214" i="2"/>
  <c r="BN224" i="2"/>
  <c r="BN235" i="2"/>
  <c r="BN269" i="2"/>
  <c r="BN294" i="2"/>
  <c r="BN304" i="2"/>
  <c r="BN314" i="2"/>
  <c r="Z334" i="2"/>
  <c r="Z335" i="2" s="1"/>
  <c r="BN349" i="2"/>
  <c r="Y360" i="2"/>
  <c r="BN372" i="2"/>
  <c r="Z382" i="2"/>
  <c r="Z385" i="2" s="1"/>
  <c r="Z394" i="2"/>
  <c r="BP420" i="2"/>
  <c r="BN435" i="2"/>
  <c r="Y438" i="2"/>
  <c r="BP447" i="2"/>
  <c r="BN469" i="2"/>
  <c r="Z479" i="2"/>
  <c r="Z480" i="2" s="1"/>
  <c r="W502" i="2"/>
  <c r="BN61" i="2"/>
  <c r="Z118" i="2"/>
  <c r="Z120" i="2" s="1"/>
  <c r="BP61" i="2"/>
  <c r="BP263" i="2"/>
  <c r="BN319" i="2"/>
  <c r="Y322" i="2"/>
  <c r="BN377" i="2"/>
  <c r="BP391" i="2"/>
  <c r="BN412" i="2"/>
  <c r="BN430" i="2"/>
  <c r="BN450" i="2"/>
  <c r="Z462" i="2"/>
  <c r="Z466" i="2" s="1"/>
  <c r="BN474" i="2"/>
  <c r="Z484" i="2"/>
  <c r="Y490" i="2"/>
  <c r="X502" i="2"/>
  <c r="Z76" i="2"/>
  <c r="Z77" i="2" s="1"/>
  <c r="Y64" i="2"/>
  <c r="Z81" i="2"/>
  <c r="Z82" i="2" s="1"/>
  <c r="Z87" i="2"/>
  <c r="Z90" i="2" s="1"/>
  <c r="BN87" i="2"/>
  <c r="Y106" i="2"/>
  <c r="BP294" i="2"/>
  <c r="BN382" i="2"/>
  <c r="Z485" i="2" l="1"/>
  <c r="Z354" i="2"/>
  <c r="Z309" i="2"/>
  <c r="Y493" i="2"/>
  <c r="Y492" i="2"/>
  <c r="Z140" i="2"/>
  <c r="Y496" i="2"/>
  <c r="Z316" i="2"/>
  <c r="Z438" i="2"/>
  <c r="Z399" i="2"/>
  <c r="Z255" i="2"/>
  <c r="Y494" i="2"/>
  <c r="Z264" i="2"/>
  <c r="Z209" i="2"/>
  <c r="Z272" i="2"/>
  <c r="Z106" i="2"/>
  <c r="Z58" i="2"/>
  <c r="Z416" i="2"/>
  <c r="Z379" i="2"/>
  <c r="Z444" i="2"/>
  <c r="Z279" i="2"/>
  <c r="Z32" i="2"/>
  <c r="Z239" i="2"/>
  <c r="Z342" i="2"/>
  <c r="Z290" i="2"/>
  <c r="Z177" i="2"/>
  <c r="Z322" i="2"/>
  <c r="Z497" i="2" l="1"/>
  <c r="Y495" i="2"/>
</calcChain>
</file>

<file path=xl/sharedStrings.xml><?xml version="1.0" encoding="utf-8"?>
<sst xmlns="http://schemas.openxmlformats.org/spreadsheetml/2006/main" count="3626" uniqueCount="779">
  <si>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</si>
  <si>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</si>
  <si>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</si>
  <si>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</si>
  <si>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</si>
  <si>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</si>
  <si>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</si>
  <si>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</si>
  <si>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</si>
  <si>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</si>
  <si>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</si>
  <si>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</si>
  <si>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</si>
  <si>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</si>
  <si>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</si>
  <si>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</si>
  <si>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</si>
  <si>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</si>
  <si>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</si>
  <si>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</si>
  <si>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</si>
  <si>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</si>
  <si>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</si>
  <si>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</si>
  <si>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</si>
  <si>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</si>
  <si>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</si>
  <si>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</si>
  <si>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</si>
  <si>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</si>
  <si>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</si>
  <si>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</si>
  <si>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</si>
  <si>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</si>
  <si>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</si>
  <si>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</si>
  <si>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</si>
  <si>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</si>
  <si>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</si>
  <si>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</si>
  <si>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</si>
  <si>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</si>
  <si>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</si>
  <si>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</si>
  <si>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</si>
  <si>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</si>
  <si>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</si>
  <si>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</si>
  <si>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</si>
  <si>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</si>
  <si>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</si>
  <si>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</si>
  <si>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</si>
  <si>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</si>
  <si>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</si>
  <si>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</si>
  <si>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</si>
  <si>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</si>
  <si>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</si>
  <si>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</si>
  <si>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</si>
  <si>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</si>
  <si>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</si>
  <si>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</si>
  <si>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</si>
  <si>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</si>
  <si>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</si>
  <si>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</si>
  <si>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</si>
  <si>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</si>
  <si>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</si>
  <si>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</si>
  <si>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</si>
  <si>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</si>
  <si>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</si>
  <si>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</si>
  <si>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</si>
  <si>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</si>
  <si>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</si>
  <si>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</si>
  <si>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</si>
  <si>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</si>
  <si>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</si>
  <si>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</si>
  <si>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</si>
  <si>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</si>
  <si>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</si>
  <si>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</si>
  <si>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</si>
  <si>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</si>
  <si>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</si>
  <si>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</si>
  <si>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</si>
  <si>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Короб, мин. 14</t>
  </si>
  <si>
    <t>Короб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</si>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</sst>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46005</v>
      </c>
      <c r="R5" s="563"/>
      <c r="T5" s="564" t="s">
        <v>3</v>
      </c>
      <c r="U5" s="565"/>
      <c r="V5" s="566" t="s">
        <v>765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Воскресенье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0.375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93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94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97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101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100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101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104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105</v>
      </c>
      <c r="B31" s="63" t="s">
        <v>106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101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104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107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108</v>
      </c>
      <c r="B35" s="63" t="s">
        <v>109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112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110</v>
      </c>
      <c r="AG35" s="78"/>
      <c r="AJ35" s="84" t="s">
        <v>45</v>
      </c>
      <c r="AK35" s="84">
        <v>0</v>
      </c>
      <c r="BB35" s="101" t="s">
        <v>111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113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114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115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116</v>
      </c>
      <c r="B41" s="63" t="s">
        <v>117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120</v>
      </c>
      <c r="L41" s="37" t="s">
        <v>121</v>
      </c>
      <c r="M41" s="38" t="s">
        <v>119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118</v>
      </c>
      <c r="AG41" s="78"/>
      <c r="AJ41" s="84" t="s">
        <v>94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7">
        <v>4607091385687</v>
      </c>
      <c r="E42" s="627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124</v>
      </c>
      <c r="L42" s="37" t="s">
        <v>125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118</v>
      </c>
      <c r="AG42" s="78"/>
      <c r="AJ42" s="84" t="s">
        <v>94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126</v>
      </c>
      <c r="B43" s="63" t="s">
        <v>127</v>
      </c>
      <c r="C43" s="36">
        <v>4301011565</v>
      </c>
      <c r="D43" s="627">
        <v>4680115882539</v>
      </c>
      <c r="E43" s="627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124</v>
      </c>
      <c r="L43" s="37" t="s">
        <v>45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118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128</v>
      </c>
      <c r="B47" s="63" t="s">
        <v>129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130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131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115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132</v>
      </c>
      <c r="B52" s="63" t="s">
        <v>133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120</v>
      </c>
      <c r="L52" s="37" t="s">
        <v>45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120</v>
      </c>
      <c r="L53" s="37" t="s">
        <v>45</v>
      </c>
      <c r="M53" s="38" t="s">
        <v>119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119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141</v>
      </c>
      <c r="B55" s="63" t="s">
        <v>142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45</v>
      </c>
      <c r="M55" s="38" t="s">
        <v>119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101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147</v>
      </c>
      <c r="B57" s="63" t="s">
        <v>148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125</v>
      </c>
      <c r="M57" s="38" t="s">
        <v>119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149</v>
      </c>
      <c r="AG57" s="78"/>
      <c r="AJ57" s="84" t="s">
        <v>94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150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151</v>
      </c>
      <c r="B61" s="63" t="s">
        <v>152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120</v>
      </c>
      <c r="L61" s="37" t="s">
        <v>45</v>
      </c>
      <c r="M61" s="38" t="s">
        <v>119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153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154</v>
      </c>
      <c r="B62" s="63" t="s">
        <v>155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153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93</v>
      </c>
      <c r="M63" s="38" t="s">
        <v>119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153</v>
      </c>
      <c r="AG63" s="78"/>
      <c r="AJ63" s="84" t="s">
        <v>94</v>
      </c>
      <c r="AK63" s="84">
        <v>37.799999999999997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158</v>
      </c>
      <c r="B67" s="63" t="s">
        <v>159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4301031241</v>
      </c>
      <c r="D68" s="627">
        <v>4680115885059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164</v>
      </c>
      <c r="B69" s="63" t="s">
        <v>165</v>
      </c>
      <c r="C69" s="36">
        <v>4301031316</v>
      </c>
      <c r="D69" s="627">
        <v>4680115885097</v>
      </c>
      <c r="E69" s="627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9"/>
      <c r="R69" s="629"/>
      <c r="S69" s="629"/>
      <c r="T69" s="630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166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5"/>
      <c r="B71" s="635"/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6"/>
      <c r="P71" s="632" t="s">
        <v>40</v>
      </c>
      <c r="Q71" s="633"/>
      <c r="R71" s="633"/>
      <c r="S71" s="633"/>
      <c r="T71" s="633"/>
      <c r="U71" s="633"/>
      <c r="V71" s="634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6" t="s">
        <v>88</v>
      </c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627">
        <v>4680115885769</v>
      </c>
      <c r="E73" s="627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120</v>
      </c>
      <c r="L73" s="37" t="s">
        <v>45</v>
      </c>
      <c r="M73" s="38" t="s">
        <v>92</v>
      </c>
      <c r="N73" s="38"/>
      <c r="O73" s="37">
        <v>45</v>
      </c>
      <c r="P73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627">
        <v>4680115884311</v>
      </c>
      <c r="E74" s="62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4301051844</v>
      </c>
      <c r="D75" s="627">
        <v>4680115885929</v>
      </c>
      <c r="E75" s="62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4301051929</v>
      </c>
      <c r="D76" s="627">
        <v>4680115884403</v>
      </c>
      <c r="E76" s="6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9"/>
      <c r="R76" s="629"/>
      <c r="S76" s="629"/>
      <c r="T76" s="63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177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6"/>
      <c r="P78" s="632" t="s">
        <v>40</v>
      </c>
      <c r="Q78" s="633"/>
      <c r="R78" s="633"/>
      <c r="S78" s="633"/>
      <c r="T78" s="633"/>
      <c r="U78" s="633"/>
      <c r="V78" s="634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6" t="s">
        <v>178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27">
        <v>4680115881532</v>
      </c>
      <c r="E80" s="6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120</v>
      </c>
      <c r="L80" s="37" t="s">
        <v>45</v>
      </c>
      <c r="M80" s="38" t="s">
        <v>101</v>
      </c>
      <c r="N80" s="38"/>
      <c r="O80" s="37">
        <v>30</v>
      </c>
      <c r="P80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182</v>
      </c>
      <c r="B81" s="63" t="s">
        <v>183</v>
      </c>
      <c r="C81" s="36">
        <v>4301060351</v>
      </c>
      <c r="D81" s="627">
        <v>4680115881464</v>
      </c>
      <c r="E81" s="627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45</v>
      </c>
      <c r="M81" s="38" t="s">
        <v>92</v>
      </c>
      <c r="N81" s="38"/>
      <c r="O81" s="37">
        <v>30</v>
      </c>
      <c r="P81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9"/>
      <c r="R81" s="629"/>
      <c r="S81" s="629"/>
      <c r="T81" s="63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184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5"/>
      <c r="O83" s="636"/>
      <c r="P83" s="632" t="s">
        <v>40</v>
      </c>
      <c r="Q83" s="633"/>
      <c r="R83" s="633"/>
      <c r="S83" s="633"/>
      <c r="T83" s="633"/>
      <c r="U83" s="633"/>
      <c r="V83" s="634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5" t="s">
        <v>185</v>
      </c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5"/>
      <c r="AB84" s="65"/>
      <c r="AC84" s="79"/>
    </row>
    <row r="85" spans="1:68" ht="14.25" customHeight="1" x14ac:dyDescent="0.25">
      <c r="A85" s="626" t="s">
        <v>115</v>
      </c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6"/>
      <c r="AB85" s="66"/>
      <c r="AC85" s="80"/>
    </row>
    <row r="86" spans="1:68" ht="27" customHeight="1" x14ac:dyDescent="0.25">
      <c r="A86" s="63" t="s">
        <v>186</v>
      </c>
      <c r="B86" s="63" t="s">
        <v>187</v>
      </c>
      <c r="C86" s="36">
        <v>4301011468</v>
      </c>
      <c r="D86" s="627">
        <v>4680115881327</v>
      </c>
      <c r="E86" s="627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120</v>
      </c>
      <c r="L86" s="37" t="s">
        <v>121</v>
      </c>
      <c r="M86" s="38" t="s">
        <v>101</v>
      </c>
      <c r="N86" s="38"/>
      <c r="O86" s="37">
        <v>50</v>
      </c>
      <c r="P86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188</v>
      </c>
      <c r="AG86" s="78"/>
      <c r="AJ86" s="84" t="s">
        <v>94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4301011261</v>
      </c>
      <c r="D87" s="627">
        <v>4680115887732</v>
      </c>
      <c r="E87" s="627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193</v>
      </c>
      <c r="L87" s="37" t="s">
        <v>45</v>
      </c>
      <c r="M87" s="38" t="s">
        <v>82</v>
      </c>
      <c r="N87" s="38"/>
      <c r="O87" s="37">
        <v>30</v>
      </c>
      <c r="P87" s="666" t="s">
        <v>191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192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194</v>
      </c>
      <c r="B88" s="63" t="s">
        <v>195</v>
      </c>
      <c r="C88" s="36">
        <v>4301011476</v>
      </c>
      <c r="D88" s="627">
        <v>4680115881518</v>
      </c>
      <c r="E88" s="62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124</v>
      </c>
      <c r="L88" s="37" t="s">
        <v>45</v>
      </c>
      <c r="M88" s="38" t="s">
        <v>92</v>
      </c>
      <c r="N88" s="38"/>
      <c r="O88" s="37">
        <v>50</v>
      </c>
      <c r="P88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188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196</v>
      </c>
      <c r="B89" s="63" t="s">
        <v>197</v>
      </c>
      <c r="C89" s="36">
        <v>4301011443</v>
      </c>
      <c r="D89" s="627">
        <v>4680115881303</v>
      </c>
      <c r="E89" s="62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124</v>
      </c>
      <c r="L89" s="37" t="s">
        <v>125</v>
      </c>
      <c r="M89" s="38" t="s">
        <v>101</v>
      </c>
      <c r="N89" s="38"/>
      <c r="O89" s="37">
        <v>50</v>
      </c>
      <c r="P89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9"/>
      <c r="R89" s="629"/>
      <c r="S89" s="629"/>
      <c r="T89" s="630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188</v>
      </c>
      <c r="AG89" s="78"/>
      <c r="AJ89" s="84" t="s">
        <v>94</v>
      </c>
      <c r="AK89" s="84">
        <v>54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5"/>
      <c r="B91" s="635"/>
      <c r="C91" s="635"/>
      <c r="D91" s="635"/>
      <c r="E91" s="635"/>
      <c r="F91" s="635"/>
      <c r="G91" s="635"/>
      <c r="H91" s="635"/>
      <c r="I91" s="635"/>
      <c r="J91" s="635"/>
      <c r="K91" s="635"/>
      <c r="L91" s="635"/>
      <c r="M91" s="635"/>
      <c r="N91" s="635"/>
      <c r="O91" s="636"/>
      <c r="P91" s="632" t="s">
        <v>40</v>
      </c>
      <c r="Q91" s="633"/>
      <c r="R91" s="633"/>
      <c r="S91" s="633"/>
      <c r="T91" s="633"/>
      <c r="U91" s="633"/>
      <c r="V91" s="634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6" t="s">
        <v>88</v>
      </c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6"/>
      <c r="AB92" s="66"/>
      <c r="AC92" s="80"/>
    </row>
    <row r="93" spans="1:68" ht="27" customHeight="1" x14ac:dyDescent="0.25">
      <c r="A93" s="63" t="s">
        <v>198</v>
      </c>
      <c r="B93" s="63" t="s">
        <v>199</v>
      </c>
      <c r="C93" s="36">
        <v>4301051712</v>
      </c>
      <c r="D93" s="627">
        <v>4607091386967</v>
      </c>
      <c r="E93" s="62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120</v>
      </c>
      <c r="L93" s="37" t="s">
        <v>45</v>
      </c>
      <c r="M93" s="38" t="s">
        <v>101</v>
      </c>
      <c r="N93" s="38"/>
      <c r="O93" s="37">
        <v>45</v>
      </c>
      <c r="P93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200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201</v>
      </c>
      <c r="B94" s="63" t="s">
        <v>202</v>
      </c>
      <c r="C94" s="36">
        <v>4301051788</v>
      </c>
      <c r="D94" s="627">
        <v>4680115884953</v>
      </c>
      <c r="E94" s="62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204</v>
      </c>
      <c r="B95" s="63" t="s">
        <v>205</v>
      </c>
      <c r="C95" s="36">
        <v>4301051718</v>
      </c>
      <c r="D95" s="627">
        <v>4607091385731</v>
      </c>
      <c r="E95" s="62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45</v>
      </c>
      <c r="M95" s="38" t="s">
        <v>101</v>
      </c>
      <c r="N95" s="38"/>
      <c r="O95" s="37">
        <v>45</v>
      </c>
      <c r="P95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200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206</v>
      </c>
      <c r="B96" s="63" t="s">
        <v>207</v>
      </c>
      <c r="C96" s="36">
        <v>4301051438</v>
      </c>
      <c r="D96" s="627">
        <v>4680115880894</v>
      </c>
      <c r="E96" s="62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45</v>
      </c>
      <c r="M96" s="38" t="s">
        <v>92</v>
      </c>
      <c r="N96" s="38"/>
      <c r="O96" s="37">
        <v>45</v>
      </c>
      <c r="P96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9"/>
      <c r="R96" s="629"/>
      <c r="S96" s="629"/>
      <c r="T96" s="630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208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5"/>
      <c r="O98" s="636"/>
      <c r="P98" s="632" t="s">
        <v>40</v>
      </c>
      <c r="Q98" s="633"/>
      <c r="R98" s="633"/>
      <c r="S98" s="633"/>
      <c r="T98" s="633"/>
      <c r="U98" s="633"/>
      <c r="V98" s="634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5" t="s">
        <v>209</v>
      </c>
      <c r="B99" s="625"/>
      <c r="C99" s="625"/>
      <c r="D99" s="625"/>
      <c r="E99" s="625"/>
      <c r="F99" s="625"/>
      <c r="G99" s="625"/>
      <c r="H99" s="625"/>
      <c r="I99" s="625"/>
      <c r="J99" s="625"/>
      <c r="K99" s="625"/>
      <c r="L99" s="625"/>
      <c r="M99" s="625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5"/>
      <c r="AB99" s="65"/>
      <c r="AC99" s="79"/>
    </row>
    <row r="100" spans="1:68" ht="14.25" customHeight="1" x14ac:dyDescent="0.25">
      <c r="A100" s="626" t="s">
        <v>115</v>
      </c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  <c r="Z100" s="626"/>
      <c r="AA100" s="66"/>
      <c r="AB100" s="66"/>
      <c r="AC100" s="80"/>
    </row>
    <row r="101" spans="1:68" ht="37.5" customHeight="1" x14ac:dyDescent="0.25">
      <c r="A101" s="63" t="s">
        <v>210</v>
      </c>
      <c r="B101" s="63" t="s">
        <v>211</v>
      </c>
      <c r="C101" s="36">
        <v>4301011514</v>
      </c>
      <c r="D101" s="627">
        <v>4680115882133</v>
      </c>
      <c r="E101" s="62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120</v>
      </c>
      <c r="L101" s="37" t="s">
        <v>121</v>
      </c>
      <c r="M101" s="38" t="s">
        <v>119</v>
      </c>
      <c r="N101" s="38"/>
      <c r="O101" s="37">
        <v>50</v>
      </c>
      <c r="P101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212</v>
      </c>
      <c r="AG101" s="78"/>
      <c r="AJ101" s="84" t="s">
        <v>94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213</v>
      </c>
      <c r="B102" s="63" t="s">
        <v>214</v>
      </c>
      <c r="C102" s="36">
        <v>4301012051</v>
      </c>
      <c r="D102" s="627">
        <v>4680115887718</v>
      </c>
      <c r="E102" s="627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193</v>
      </c>
      <c r="L102" s="37" t="s">
        <v>45</v>
      </c>
      <c r="M102" s="38" t="s">
        <v>82</v>
      </c>
      <c r="N102" s="38"/>
      <c r="O102" s="37">
        <v>30</v>
      </c>
      <c r="P102" s="674" t="s">
        <v>215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217</v>
      </c>
      <c r="B103" s="63" t="s">
        <v>218</v>
      </c>
      <c r="C103" s="36">
        <v>4301011417</v>
      </c>
      <c r="D103" s="627">
        <v>4680115880269</v>
      </c>
      <c r="E103" s="62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124</v>
      </c>
      <c r="L103" s="37" t="s">
        <v>45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212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219</v>
      </c>
      <c r="B104" s="63" t="s">
        <v>220</v>
      </c>
      <c r="C104" s="36">
        <v>4301011415</v>
      </c>
      <c r="D104" s="627">
        <v>4680115880429</v>
      </c>
      <c r="E104" s="62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124</v>
      </c>
      <c r="L104" s="37" t="s">
        <v>125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212</v>
      </c>
      <c r="AG104" s="78"/>
      <c r="AJ104" s="84" t="s">
        <v>94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221</v>
      </c>
      <c r="B105" s="63" t="s">
        <v>222</v>
      </c>
      <c r="C105" s="36">
        <v>4301011462</v>
      </c>
      <c r="D105" s="627">
        <v>4680115881457</v>
      </c>
      <c r="E105" s="62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124</v>
      </c>
      <c r="L105" s="37" t="s">
        <v>45</v>
      </c>
      <c r="M105" s="38" t="s">
        <v>92</v>
      </c>
      <c r="N105" s="38"/>
      <c r="O105" s="37">
        <v>50</v>
      </c>
      <c r="P105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9"/>
      <c r="R105" s="629"/>
      <c r="S105" s="629"/>
      <c r="T105" s="630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212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6"/>
      <c r="P107" s="632" t="s">
        <v>40</v>
      </c>
      <c r="Q107" s="633"/>
      <c r="R107" s="633"/>
      <c r="S107" s="633"/>
      <c r="T107" s="633"/>
      <c r="U107" s="633"/>
      <c r="V107" s="634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6" t="s">
        <v>150</v>
      </c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6"/>
      <c r="AB108" s="66"/>
      <c r="AC108" s="80"/>
    </row>
    <row r="109" spans="1:68" ht="16.5" customHeight="1" x14ac:dyDescent="0.25">
      <c r="A109" s="63" t="s">
        <v>223</v>
      </c>
      <c r="B109" s="63" t="s">
        <v>224</v>
      </c>
      <c r="C109" s="36">
        <v>4301020345</v>
      </c>
      <c r="D109" s="627">
        <v>4680115881488</v>
      </c>
      <c r="E109" s="62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120</v>
      </c>
      <c r="L109" s="37" t="s">
        <v>45</v>
      </c>
      <c r="M109" s="38" t="s">
        <v>119</v>
      </c>
      <c r="N109" s="38"/>
      <c r="O109" s="37">
        <v>55</v>
      </c>
      <c r="P109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4301020186</v>
      </c>
      <c r="D110" s="627">
        <v>4680115887664</v>
      </c>
      <c r="E110" s="62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230</v>
      </c>
      <c r="L110" s="37" t="s">
        <v>45</v>
      </c>
      <c r="M110" s="38" t="s">
        <v>82</v>
      </c>
      <c r="N110" s="38"/>
      <c r="O110" s="37">
        <v>30</v>
      </c>
      <c r="P110" s="679" t="s">
        <v>228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231</v>
      </c>
      <c r="B111" s="63" t="s">
        <v>232</v>
      </c>
      <c r="C111" s="36">
        <v>4301020346</v>
      </c>
      <c r="D111" s="627">
        <v>4680115882775</v>
      </c>
      <c r="E111" s="627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119</v>
      </c>
      <c r="N111" s="38"/>
      <c r="O111" s="37">
        <v>55</v>
      </c>
      <c r="P111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225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233</v>
      </c>
      <c r="B112" s="63" t="s">
        <v>234</v>
      </c>
      <c r="C112" s="36">
        <v>4301020344</v>
      </c>
      <c r="D112" s="627">
        <v>4680115880658</v>
      </c>
      <c r="E112" s="6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45</v>
      </c>
      <c r="M112" s="38" t="s">
        <v>119</v>
      </c>
      <c r="N112" s="38"/>
      <c r="O112" s="37">
        <v>55</v>
      </c>
      <c r="P112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9"/>
      <c r="R112" s="629"/>
      <c r="S112" s="629"/>
      <c r="T112" s="630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225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6" t="s">
        <v>88</v>
      </c>
      <c r="B115" s="626"/>
      <c r="C115" s="626"/>
      <c r="D115" s="626"/>
      <c r="E115" s="626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6"/>
      <c r="AB115" s="66"/>
      <c r="AC115" s="80"/>
    </row>
    <row r="116" spans="1:68" ht="27" customHeight="1" x14ac:dyDescent="0.25">
      <c r="A116" s="63" t="s">
        <v>235</v>
      </c>
      <c r="B116" s="63" t="s">
        <v>236</v>
      </c>
      <c r="C116" s="36">
        <v>4301051724</v>
      </c>
      <c r="D116" s="627">
        <v>4607091385168</v>
      </c>
      <c r="E116" s="627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120</v>
      </c>
      <c r="L116" s="37" t="s">
        <v>45</v>
      </c>
      <c r="M116" s="38" t="s">
        <v>101</v>
      </c>
      <c r="N116" s="38"/>
      <c r="O116" s="37">
        <v>45</v>
      </c>
      <c r="P116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4301051730</v>
      </c>
      <c r="D117" s="627">
        <v>4607091383256</v>
      </c>
      <c r="E117" s="627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101</v>
      </c>
      <c r="N117" s="38"/>
      <c r="O117" s="37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4301051721</v>
      </c>
      <c r="D118" s="627">
        <v>4607091385748</v>
      </c>
      <c r="E118" s="627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45</v>
      </c>
      <c r="M118" s="38" t="s">
        <v>101</v>
      </c>
      <c r="N118" s="38"/>
      <c r="O118" s="37">
        <v>45</v>
      </c>
      <c r="P118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7">
        <v>4680115884533</v>
      </c>
      <c r="E119" s="627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93</v>
      </c>
      <c r="M119" s="38" t="s">
        <v>92</v>
      </c>
      <c r="N119" s="38"/>
      <c r="O119" s="37">
        <v>45</v>
      </c>
      <c r="P119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9"/>
      <c r="R119" s="629"/>
      <c r="S119" s="629"/>
      <c r="T119" s="630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94</v>
      </c>
      <c r="AK119" s="84">
        <v>25.2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6" t="s">
        <v>178</v>
      </c>
      <c r="B122" s="626"/>
      <c r="C122" s="626"/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7">
        <v>4680115880238</v>
      </c>
      <c r="E123" s="627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93</v>
      </c>
      <c r="M123" s="38" t="s">
        <v>92</v>
      </c>
      <c r="N123" s="38"/>
      <c r="O123" s="37">
        <v>40</v>
      </c>
      <c r="P123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9"/>
      <c r="R123" s="629"/>
      <c r="S123" s="629"/>
      <c r="T123" s="630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94</v>
      </c>
      <c r="AK123" s="84">
        <v>27.72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5" t="s">
        <v>248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5"/>
      <c r="AB126" s="65"/>
      <c r="AC126" s="79"/>
    </row>
    <row r="127" spans="1:68" ht="14.25" customHeight="1" x14ac:dyDescent="0.25">
      <c r="A127" s="626" t="s">
        <v>115</v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112</v>
      </c>
      <c r="N128" s="38"/>
      <c r="O128" s="37">
        <v>90</v>
      </c>
      <c r="P128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7">
        <v>4680115882577</v>
      </c>
      <c r="E129" s="627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45</v>
      </c>
      <c r="M129" s="38" t="s">
        <v>112</v>
      </c>
      <c r="N129" s="38"/>
      <c r="O129" s="37">
        <v>90</v>
      </c>
      <c r="P129" s="6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9"/>
      <c r="R129" s="629"/>
      <c r="S129" s="629"/>
      <c r="T129" s="630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6"/>
      <c r="P131" s="632" t="s">
        <v>40</v>
      </c>
      <c r="Q131" s="633"/>
      <c r="R131" s="633"/>
      <c r="S131" s="633"/>
      <c r="T131" s="633"/>
      <c r="U131" s="633"/>
      <c r="V131" s="634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6" t="s">
        <v>78</v>
      </c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  <c r="Z132" s="626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112</v>
      </c>
      <c r="N133" s="38"/>
      <c r="O133" s="37">
        <v>90</v>
      </c>
      <c r="P133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7">
        <v>4680115883444</v>
      </c>
      <c r="E134" s="627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45</v>
      </c>
      <c r="M134" s="38" t="s">
        <v>112</v>
      </c>
      <c r="N134" s="38"/>
      <c r="O134" s="37">
        <v>90</v>
      </c>
      <c r="P134" s="6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9"/>
      <c r="R134" s="629"/>
      <c r="S134" s="629"/>
      <c r="T134" s="630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36"/>
      <c r="P136" s="632" t="s">
        <v>40</v>
      </c>
      <c r="Q136" s="633"/>
      <c r="R136" s="633"/>
      <c r="S136" s="633"/>
      <c r="T136" s="633"/>
      <c r="U136" s="633"/>
      <c r="V136" s="634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6" t="s">
        <v>88</v>
      </c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112</v>
      </c>
      <c r="N138" s="38"/>
      <c r="O138" s="37">
        <v>60</v>
      </c>
      <c r="P138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7">
        <v>4680115882584</v>
      </c>
      <c r="E139" s="627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45</v>
      </c>
      <c r="M139" s="38" t="s">
        <v>112</v>
      </c>
      <c r="N139" s="38"/>
      <c r="O139" s="37">
        <v>60</v>
      </c>
      <c r="P139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9"/>
      <c r="R139" s="629"/>
      <c r="S139" s="629"/>
      <c r="T139" s="630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6"/>
      <c r="P141" s="632" t="s">
        <v>40</v>
      </c>
      <c r="Q141" s="633"/>
      <c r="R141" s="633"/>
      <c r="S141" s="633"/>
      <c r="T141" s="633"/>
      <c r="U141" s="633"/>
      <c r="V141" s="634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5" t="s">
        <v>113</v>
      </c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5"/>
      <c r="P142" s="625"/>
      <c r="Q142" s="625"/>
      <c r="R142" s="625"/>
      <c r="S142" s="625"/>
      <c r="T142" s="625"/>
      <c r="U142" s="625"/>
      <c r="V142" s="625"/>
      <c r="W142" s="625"/>
      <c r="X142" s="625"/>
      <c r="Y142" s="625"/>
      <c r="Z142" s="625"/>
      <c r="AA142" s="65"/>
      <c r="AB142" s="65"/>
      <c r="AC142" s="79"/>
    </row>
    <row r="143" spans="1:68" ht="14.25" customHeight="1" x14ac:dyDescent="0.25">
      <c r="A143" s="626" t="s">
        <v>115</v>
      </c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7">
        <v>4680115887374</v>
      </c>
      <c r="E144" s="627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120</v>
      </c>
      <c r="L144" s="37" t="s">
        <v>45</v>
      </c>
      <c r="M144" s="38" t="s">
        <v>119</v>
      </c>
      <c r="N144" s="38"/>
      <c r="O144" s="37">
        <v>55</v>
      </c>
      <c r="P144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7">
        <v>4607091384604</v>
      </c>
      <c r="E145" s="627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124</v>
      </c>
      <c r="L145" s="37" t="s">
        <v>45</v>
      </c>
      <c r="M145" s="38" t="s">
        <v>119</v>
      </c>
      <c r="N145" s="38"/>
      <c r="O145" s="37">
        <v>50</v>
      </c>
      <c r="P145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9"/>
      <c r="R145" s="629"/>
      <c r="S145" s="629"/>
      <c r="T145" s="630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5"/>
      <c r="B147" s="635"/>
      <c r="C147" s="635"/>
      <c r="D147" s="635"/>
      <c r="E147" s="635"/>
      <c r="F147" s="635"/>
      <c r="G147" s="635"/>
      <c r="H147" s="635"/>
      <c r="I147" s="635"/>
      <c r="J147" s="635"/>
      <c r="K147" s="635"/>
      <c r="L147" s="635"/>
      <c r="M147" s="635"/>
      <c r="N147" s="635"/>
      <c r="O147" s="636"/>
      <c r="P147" s="632" t="s">
        <v>40</v>
      </c>
      <c r="Q147" s="633"/>
      <c r="R147" s="633"/>
      <c r="S147" s="633"/>
      <c r="T147" s="633"/>
      <c r="U147" s="633"/>
      <c r="V147" s="6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6" t="s">
        <v>78</v>
      </c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7">
        <v>4607091387667</v>
      </c>
      <c r="E149" s="627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120</v>
      </c>
      <c r="L149" s="37" t="s">
        <v>45</v>
      </c>
      <c r="M149" s="38" t="s">
        <v>119</v>
      </c>
      <c r="N149" s="38"/>
      <c r="O149" s="37">
        <v>40</v>
      </c>
      <c r="P149" s="6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7">
        <v>4607091387636</v>
      </c>
      <c r="E150" s="627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7">
        <v>4607091382426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5"/>
      <c r="B152" s="635"/>
      <c r="C152" s="635"/>
      <c r="D152" s="635"/>
      <c r="E152" s="635"/>
      <c r="F152" s="635"/>
      <c r="G152" s="635"/>
      <c r="H152" s="635"/>
      <c r="I152" s="635"/>
      <c r="J152" s="635"/>
      <c r="K152" s="635"/>
      <c r="L152" s="635"/>
      <c r="M152" s="635"/>
      <c r="N152" s="635"/>
      <c r="O152" s="636"/>
      <c r="P152" s="632" t="s">
        <v>40</v>
      </c>
      <c r="Q152" s="633"/>
      <c r="R152" s="633"/>
      <c r="S152" s="633"/>
      <c r="T152" s="633"/>
      <c r="U152" s="633"/>
      <c r="V152" s="634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6"/>
      <c r="P153" s="632" t="s">
        <v>40</v>
      </c>
      <c r="Q153" s="633"/>
      <c r="R153" s="633"/>
      <c r="S153" s="633"/>
      <c r="T153" s="633"/>
      <c r="U153" s="633"/>
      <c r="V153" s="634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6" t="s">
        <v>88</v>
      </c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  <c r="Z154" s="626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7">
        <v>4680115887459</v>
      </c>
      <c r="E155" s="627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9"/>
      <c r="R155" s="629"/>
      <c r="S155" s="629"/>
      <c r="T155" s="630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5"/>
      <c r="B156" s="635"/>
      <c r="C156" s="635"/>
      <c r="D156" s="635"/>
      <c r="E156" s="635"/>
      <c r="F156" s="635"/>
      <c r="G156" s="635"/>
      <c r="H156" s="635"/>
      <c r="I156" s="635"/>
      <c r="J156" s="635"/>
      <c r="K156" s="635"/>
      <c r="L156" s="635"/>
      <c r="M156" s="635"/>
      <c r="N156" s="635"/>
      <c r="O156" s="636"/>
      <c r="P156" s="632" t="s">
        <v>40</v>
      </c>
      <c r="Q156" s="633"/>
      <c r="R156" s="633"/>
      <c r="S156" s="633"/>
      <c r="T156" s="633"/>
      <c r="U156" s="633"/>
      <c r="V156" s="634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5"/>
      <c r="B157" s="635"/>
      <c r="C157" s="635"/>
      <c r="D157" s="635"/>
      <c r="E157" s="635"/>
      <c r="F157" s="635"/>
      <c r="G157" s="635"/>
      <c r="H157" s="635"/>
      <c r="I157" s="635"/>
      <c r="J157" s="635"/>
      <c r="K157" s="635"/>
      <c r="L157" s="635"/>
      <c r="M157" s="635"/>
      <c r="N157" s="635"/>
      <c r="O157" s="636"/>
      <c r="P157" s="632" t="s">
        <v>40</v>
      </c>
      <c r="Q157" s="633"/>
      <c r="R157" s="633"/>
      <c r="S157" s="633"/>
      <c r="T157" s="633"/>
      <c r="U157" s="633"/>
      <c r="V157" s="634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4" t="s">
        <v>278</v>
      </c>
      <c r="B158" s="624"/>
      <c r="C158" s="624"/>
      <c r="D158" s="624"/>
      <c r="E158" s="624"/>
      <c r="F158" s="624"/>
      <c r="G158" s="624"/>
      <c r="H158" s="624"/>
      <c r="I158" s="624"/>
      <c r="J158" s="624"/>
      <c r="K158" s="624"/>
      <c r="L158" s="624"/>
      <c r="M158" s="624"/>
      <c r="N158" s="624"/>
      <c r="O158" s="624"/>
      <c r="P158" s="624"/>
      <c r="Q158" s="624"/>
      <c r="R158" s="624"/>
      <c r="S158" s="624"/>
      <c r="T158" s="624"/>
      <c r="U158" s="624"/>
      <c r="V158" s="624"/>
      <c r="W158" s="624"/>
      <c r="X158" s="624"/>
      <c r="Y158" s="624"/>
      <c r="Z158" s="624"/>
      <c r="AA158" s="54"/>
      <c r="AB158" s="54"/>
      <c r="AC158" s="54"/>
    </row>
    <row r="159" spans="1:68" ht="16.5" customHeight="1" x14ac:dyDescent="0.25">
      <c r="A159" s="625" t="s">
        <v>279</v>
      </c>
      <c r="B159" s="625"/>
      <c r="C159" s="625"/>
      <c r="D159" s="625"/>
      <c r="E159" s="625"/>
      <c r="F159" s="625"/>
      <c r="G159" s="625"/>
      <c r="H159" s="625"/>
      <c r="I159" s="625"/>
      <c r="J159" s="625"/>
      <c r="K159" s="625"/>
      <c r="L159" s="625"/>
      <c r="M159" s="625"/>
      <c r="N159" s="625"/>
      <c r="O159" s="625"/>
      <c r="P159" s="625"/>
      <c r="Q159" s="625"/>
      <c r="R159" s="625"/>
      <c r="S159" s="625"/>
      <c r="T159" s="625"/>
      <c r="U159" s="625"/>
      <c r="V159" s="625"/>
      <c r="W159" s="625"/>
      <c r="X159" s="625"/>
      <c r="Y159" s="625"/>
      <c r="Z159" s="625"/>
      <c r="AA159" s="65"/>
      <c r="AB159" s="65"/>
      <c r="AC159" s="79"/>
    </row>
    <row r="160" spans="1:68" ht="14.25" customHeight="1" x14ac:dyDescent="0.25">
      <c r="A160" s="626" t="s">
        <v>150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7">
        <v>4680115886223</v>
      </c>
      <c r="E161" s="627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9"/>
      <c r="R161" s="629"/>
      <c r="S161" s="629"/>
      <c r="T161" s="630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5"/>
      <c r="B162" s="635"/>
      <c r="C162" s="635"/>
      <c r="D162" s="635"/>
      <c r="E162" s="635"/>
      <c r="F162" s="635"/>
      <c r="G162" s="635"/>
      <c r="H162" s="635"/>
      <c r="I162" s="635"/>
      <c r="J162" s="635"/>
      <c r="K162" s="635"/>
      <c r="L162" s="635"/>
      <c r="M162" s="635"/>
      <c r="N162" s="635"/>
      <c r="O162" s="636"/>
      <c r="P162" s="632" t="s">
        <v>40</v>
      </c>
      <c r="Q162" s="633"/>
      <c r="R162" s="633"/>
      <c r="S162" s="633"/>
      <c r="T162" s="633"/>
      <c r="U162" s="633"/>
      <c r="V162" s="63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5"/>
      <c r="O163" s="636"/>
      <c r="P163" s="632" t="s">
        <v>40</v>
      </c>
      <c r="Q163" s="633"/>
      <c r="R163" s="633"/>
      <c r="S163" s="633"/>
      <c r="T163" s="633"/>
      <c r="U163" s="633"/>
      <c r="V163" s="63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6" t="s">
        <v>78</v>
      </c>
      <c r="B164" s="626"/>
      <c r="C164" s="626"/>
      <c r="D164" s="626"/>
      <c r="E164" s="626"/>
      <c r="F164" s="626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  <c r="Z164" s="626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7">
        <v>4680115887565</v>
      </c>
      <c r="E165" s="627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700" t="s">
        <v>285</v>
      </c>
      <c r="Q165" s="629"/>
      <c r="R165" s="629"/>
      <c r="S165" s="629"/>
      <c r="T165" s="630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7">
        <v>4680115880993</v>
      </c>
      <c r="E166" s="627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124</v>
      </c>
      <c r="L166" s="37" t="s">
        <v>125</v>
      </c>
      <c r="M166" s="38" t="s">
        <v>82</v>
      </c>
      <c r="N166" s="38"/>
      <c r="O166" s="37">
        <v>40</v>
      </c>
      <c r="P166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9"/>
      <c r="R166" s="629"/>
      <c r="S166" s="629"/>
      <c r="T166" s="630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94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7">
        <v>4680115881761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124</v>
      </c>
      <c r="L167" s="37" t="s">
        <v>45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7">
        <v>4680115881563</v>
      </c>
      <c r="E168" s="627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124</v>
      </c>
      <c r="L168" s="37" t="s">
        <v>125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94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7">
        <v>4680115880986</v>
      </c>
      <c r="E169" s="627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4301031443</v>
      </c>
      <c r="D170" s="627">
        <v>4680115887213</v>
      </c>
      <c r="E170" s="627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302</v>
      </c>
      <c r="B171" s="63" t="s">
        <v>303</v>
      </c>
      <c r="C171" s="36">
        <v>4301031205</v>
      </c>
      <c r="D171" s="627">
        <v>4680115881785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304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94</v>
      </c>
      <c r="AK171" s="84">
        <v>37.799999999999997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7">
        <v>4680115886537</v>
      </c>
      <c r="E172" s="627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7">
        <v>4680115887596</v>
      </c>
      <c r="E173" s="627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193</v>
      </c>
      <c r="L173" s="37" t="s">
        <v>45</v>
      </c>
      <c r="M173" s="38" t="s">
        <v>82</v>
      </c>
      <c r="N173" s="38"/>
      <c r="O173" s="37">
        <v>45</v>
      </c>
      <c r="P173" s="708" t="s">
        <v>310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7">
        <v>4680115881679</v>
      </c>
      <c r="E174" s="627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304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94</v>
      </c>
      <c r="AK174" s="84">
        <v>37.799999999999997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7">
        <v>4680115880191</v>
      </c>
      <c r="E175" s="627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7">
        <v>4680115883963</v>
      </c>
      <c r="E176" s="62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5"/>
      <c r="B177" s="635"/>
      <c r="C177" s="635"/>
      <c r="D177" s="635"/>
      <c r="E177" s="635"/>
      <c r="F177" s="635"/>
      <c r="G177" s="635"/>
      <c r="H177" s="635"/>
      <c r="I177" s="635"/>
      <c r="J177" s="635"/>
      <c r="K177" s="635"/>
      <c r="L177" s="635"/>
      <c r="M177" s="635"/>
      <c r="N177" s="635"/>
      <c r="O177" s="636"/>
      <c r="P177" s="632" t="s">
        <v>40</v>
      </c>
      <c r="Q177" s="633"/>
      <c r="R177" s="633"/>
      <c r="S177" s="633"/>
      <c r="T177" s="633"/>
      <c r="U177" s="633"/>
      <c r="V177" s="634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5"/>
      <c r="B178" s="635"/>
      <c r="C178" s="635"/>
      <c r="D178" s="635"/>
      <c r="E178" s="635"/>
      <c r="F178" s="635"/>
      <c r="G178" s="635"/>
      <c r="H178" s="635"/>
      <c r="I178" s="635"/>
      <c r="J178" s="635"/>
      <c r="K178" s="635"/>
      <c r="L178" s="635"/>
      <c r="M178" s="635"/>
      <c r="N178" s="635"/>
      <c r="O178" s="636"/>
      <c r="P178" s="632" t="s">
        <v>40</v>
      </c>
      <c r="Q178" s="633"/>
      <c r="R178" s="633"/>
      <c r="S178" s="633"/>
      <c r="T178" s="633"/>
      <c r="U178" s="633"/>
      <c r="V178" s="634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6" t="s">
        <v>107</v>
      </c>
      <c r="B179" s="626"/>
      <c r="C179" s="626"/>
      <c r="D179" s="626"/>
      <c r="E179" s="626"/>
      <c r="F179" s="626"/>
      <c r="G179" s="626"/>
      <c r="H179" s="626"/>
      <c r="I179" s="626"/>
      <c r="J179" s="626"/>
      <c r="K179" s="626"/>
      <c r="L179" s="626"/>
      <c r="M179" s="626"/>
      <c r="N179" s="626"/>
      <c r="O179" s="626"/>
      <c r="P179" s="626"/>
      <c r="Q179" s="626"/>
      <c r="R179" s="626"/>
      <c r="S179" s="626"/>
      <c r="T179" s="626"/>
      <c r="U179" s="626"/>
      <c r="V179" s="626"/>
      <c r="W179" s="626"/>
      <c r="X179" s="626"/>
      <c r="Y179" s="626"/>
      <c r="Z179" s="626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7">
        <v>4680115886780</v>
      </c>
      <c r="E180" s="627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9"/>
      <c r="R180" s="629"/>
      <c r="S180" s="629"/>
      <c r="T180" s="630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7">
        <v>4680115886742</v>
      </c>
      <c r="E181" s="627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9"/>
      <c r="R181" s="629"/>
      <c r="S181" s="629"/>
      <c r="T181" s="630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7">
        <v>4680115886766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6"/>
      <c r="P183" s="632" t="s">
        <v>40</v>
      </c>
      <c r="Q183" s="633"/>
      <c r="R183" s="633"/>
      <c r="S183" s="633"/>
      <c r="T183" s="633"/>
      <c r="U183" s="633"/>
      <c r="V183" s="634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5"/>
      <c r="B184" s="635"/>
      <c r="C184" s="635"/>
      <c r="D184" s="635"/>
      <c r="E184" s="635"/>
      <c r="F184" s="635"/>
      <c r="G184" s="635"/>
      <c r="H184" s="635"/>
      <c r="I184" s="635"/>
      <c r="J184" s="635"/>
      <c r="K184" s="635"/>
      <c r="L184" s="635"/>
      <c r="M184" s="635"/>
      <c r="N184" s="635"/>
      <c r="O184" s="636"/>
      <c r="P184" s="632" t="s">
        <v>40</v>
      </c>
      <c r="Q184" s="633"/>
      <c r="R184" s="633"/>
      <c r="S184" s="633"/>
      <c r="T184" s="633"/>
      <c r="U184" s="633"/>
      <c r="V184" s="634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6" t="s">
        <v>329</v>
      </c>
      <c r="B185" s="626"/>
      <c r="C185" s="626"/>
      <c r="D185" s="626"/>
      <c r="E185" s="626"/>
      <c r="F185" s="626"/>
      <c r="G185" s="626"/>
      <c r="H185" s="626"/>
      <c r="I185" s="626"/>
      <c r="J185" s="626"/>
      <c r="K185" s="626"/>
      <c r="L185" s="626"/>
      <c r="M185" s="626"/>
      <c r="N185" s="626"/>
      <c r="O185" s="626"/>
      <c r="P185" s="626"/>
      <c r="Q185" s="626"/>
      <c r="R185" s="626"/>
      <c r="S185" s="626"/>
      <c r="T185" s="626"/>
      <c r="U185" s="626"/>
      <c r="V185" s="626"/>
      <c r="W185" s="626"/>
      <c r="X185" s="626"/>
      <c r="Y185" s="626"/>
      <c r="Z185" s="626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7">
        <v>4680115886797</v>
      </c>
      <c r="E186" s="627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9"/>
      <c r="R186" s="629"/>
      <c r="S186" s="629"/>
      <c r="T186" s="63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5"/>
      <c r="B187" s="635"/>
      <c r="C187" s="635"/>
      <c r="D187" s="635"/>
      <c r="E187" s="635"/>
      <c r="F187" s="635"/>
      <c r="G187" s="635"/>
      <c r="H187" s="635"/>
      <c r="I187" s="635"/>
      <c r="J187" s="635"/>
      <c r="K187" s="635"/>
      <c r="L187" s="635"/>
      <c r="M187" s="635"/>
      <c r="N187" s="635"/>
      <c r="O187" s="636"/>
      <c r="P187" s="632" t="s">
        <v>40</v>
      </c>
      <c r="Q187" s="633"/>
      <c r="R187" s="633"/>
      <c r="S187" s="633"/>
      <c r="T187" s="633"/>
      <c r="U187" s="633"/>
      <c r="V187" s="634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6"/>
      <c r="P188" s="632" t="s">
        <v>40</v>
      </c>
      <c r="Q188" s="633"/>
      <c r="R188" s="633"/>
      <c r="S188" s="633"/>
      <c r="T188" s="633"/>
      <c r="U188" s="633"/>
      <c r="V188" s="634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5" t="s">
        <v>332</v>
      </c>
      <c r="B189" s="625"/>
      <c r="C189" s="625"/>
      <c r="D189" s="625"/>
      <c r="E189" s="625"/>
      <c r="F189" s="625"/>
      <c r="G189" s="625"/>
      <c r="H189" s="625"/>
      <c r="I189" s="625"/>
      <c r="J189" s="625"/>
      <c r="K189" s="625"/>
      <c r="L189" s="625"/>
      <c r="M189" s="625"/>
      <c r="N189" s="625"/>
      <c r="O189" s="625"/>
      <c r="P189" s="625"/>
      <c r="Q189" s="625"/>
      <c r="R189" s="625"/>
      <c r="S189" s="625"/>
      <c r="T189" s="625"/>
      <c r="U189" s="625"/>
      <c r="V189" s="625"/>
      <c r="W189" s="625"/>
      <c r="X189" s="625"/>
      <c r="Y189" s="625"/>
      <c r="Z189" s="625"/>
      <c r="AA189" s="65"/>
      <c r="AB189" s="65"/>
      <c r="AC189" s="79"/>
    </row>
    <row r="190" spans="1:68" ht="14.25" customHeight="1" x14ac:dyDescent="0.25">
      <c r="A190" s="626" t="s">
        <v>115</v>
      </c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  <c r="Z190" s="626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7">
        <v>4680115881402</v>
      </c>
      <c r="E191" s="627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120</v>
      </c>
      <c r="L191" s="37" t="s">
        <v>45</v>
      </c>
      <c r="M191" s="38" t="s">
        <v>119</v>
      </c>
      <c r="N191" s="38"/>
      <c r="O191" s="37">
        <v>55</v>
      </c>
      <c r="P191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9"/>
      <c r="R191" s="629"/>
      <c r="S191" s="629"/>
      <c r="T191" s="63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7">
        <v>4680115881396</v>
      </c>
      <c r="E192" s="627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119</v>
      </c>
      <c r="N192" s="38"/>
      <c r="O192" s="37">
        <v>55</v>
      </c>
      <c r="P192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9"/>
      <c r="R192" s="629"/>
      <c r="S192" s="629"/>
      <c r="T192" s="630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5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5"/>
      <c r="M194" s="635"/>
      <c r="N194" s="635"/>
      <c r="O194" s="636"/>
      <c r="P194" s="632" t="s">
        <v>40</v>
      </c>
      <c r="Q194" s="633"/>
      <c r="R194" s="633"/>
      <c r="S194" s="633"/>
      <c r="T194" s="633"/>
      <c r="U194" s="633"/>
      <c r="V194" s="634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6" t="s">
        <v>150</v>
      </c>
      <c r="B195" s="626"/>
      <c r="C195" s="626"/>
      <c r="D195" s="626"/>
      <c r="E195" s="626"/>
      <c r="F195" s="626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  <c r="Z195" s="626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7">
        <v>4680115882935</v>
      </c>
      <c r="E196" s="627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120</v>
      </c>
      <c r="L196" s="37" t="s">
        <v>45</v>
      </c>
      <c r="M196" s="38" t="s">
        <v>119</v>
      </c>
      <c r="N196" s="38"/>
      <c r="O196" s="37">
        <v>50</v>
      </c>
      <c r="P196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9"/>
      <c r="R196" s="629"/>
      <c r="S196" s="629"/>
      <c r="T196" s="630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7">
        <v>4680115880764</v>
      </c>
      <c r="E197" s="627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119</v>
      </c>
      <c r="N197" s="38"/>
      <c r="O197" s="37">
        <v>50</v>
      </c>
      <c r="P197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9"/>
      <c r="R197" s="629"/>
      <c r="S197" s="629"/>
      <c r="T197" s="630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6"/>
      <c r="P198" s="632" t="s">
        <v>40</v>
      </c>
      <c r="Q198" s="633"/>
      <c r="R198" s="633"/>
      <c r="S198" s="633"/>
      <c r="T198" s="633"/>
      <c r="U198" s="633"/>
      <c r="V198" s="63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36"/>
      <c r="P199" s="632" t="s">
        <v>40</v>
      </c>
      <c r="Q199" s="633"/>
      <c r="R199" s="633"/>
      <c r="S199" s="633"/>
      <c r="T199" s="633"/>
      <c r="U199" s="633"/>
      <c r="V199" s="63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6" t="s">
        <v>78</v>
      </c>
      <c r="B200" s="626"/>
      <c r="C200" s="626"/>
      <c r="D200" s="626"/>
      <c r="E200" s="626"/>
      <c r="F200" s="626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  <c r="Z200" s="626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7">
        <v>4680115882683</v>
      </c>
      <c r="E201" s="627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124</v>
      </c>
      <c r="L201" s="37" t="s">
        <v>125</v>
      </c>
      <c r="M201" s="38" t="s">
        <v>82</v>
      </c>
      <c r="N201" s="38"/>
      <c r="O201" s="37">
        <v>40</v>
      </c>
      <c r="P201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9"/>
      <c r="R201" s="629"/>
      <c r="S201" s="629"/>
      <c r="T201" s="630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94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7">
        <v>4680115882690</v>
      </c>
      <c r="E202" s="627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124</v>
      </c>
      <c r="L202" s="37" t="s">
        <v>125</v>
      </c>
      <c r="M202" s="38" t="s">
        <v>82</v>
      </c>
      <c r="N202" s="38"/>
      <c r="O202" s="37">
        <v>40</v>
      </c>
      <c r="P202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9"/>
      <c r="R202" s="629"/>
      <c r="S202" s="629"/>
      <c r="T202" s="630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94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7">
        <v>4680115882669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124</v>
      </c>
      <c r="L203" s="37" t="s">
        <v>125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94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7">
        <v>4680115882676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124</v>
      </c>
      <c r="L204" s="37" t="s">
        <v>125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94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7">
        <v>4680115884014</v>
      </c>
      <c r="E205" s="627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45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7">
        <v>4680115884007</v>
      </c>
      <c r="E206" s="627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304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94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7">
        <v>4680115884038</v>
      </c>
      <c r="E207" s="627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304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94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7">
        <v>4680115884021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304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94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5"/>
      <c r="B209" s="635"/>
      <c r="C209" s="635"/>
      <c r="D209" s="635"/>
      <c r="E209" s="635"/>
      <c r="F209" s="635"/>
      <c r="G209" s="635"/>
      <c r="H209" s="635"/>
      <c r="I209" s="635"/>
      <c r="J209" s="635"/>
      <c r="K209" s="635"/>
      <c r="L209" s="635"/>
      <c r="M209" s="635"/>
      <c r="N209" s="635"/>
      <c r="O209" s="636"/>
      <c r="P209" s="632" t="s">
        <v>40</v>
      </c>
      <c r="Q209" s="633"/>
      <c r="R209" s="633"/>
      <c r="S209" s="633"/>
      <c r="T209" s="633"/>
      <c r="U209" s="633"/>
      <c r="V209" s="634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5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5"/>
      <c r="M210" s="635"/>
      <c r="N210" s="635"/>
      <c r="O210" s="636"/>
      <c r="P210" s="632" t="s">
        <v>40</v>
      </c>
      <c r="Q210" s="633"/>
      <c r="R210" s="633"/>
      <c r="S210" s="633"/>
      <c r="T210" s="633"/>
      <c r="U210" s="633"/>
      <c r="V210" s="634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6" t="s">
        <v>88</v>
      </c>
      <c r="B211" s="626"/>
      <c r="C211" s="626"/>
      <c r="D211" s="626"/>
      <c r="E211" s="626"/>
      <c r="F211" s="626"/>
      <c r="G211" s="626"/>
      <c r="H211" s="626"/>
      <c r="I211" s="626"/>
      <c r="J211" s="626"/>
      <c r="K211" s="626"/>
      <c r="L211" s="626"/>
      <c r="M211" s="626"/>
      <c r="N211" s="626"/>
      <c r="O211" s="626"/>
      <c r="P211" s="626"/>
      <c r="Q211" s="626"/>
      <c r="R211" s="626"/>
      <c r="S211" s="626"/>
      <c r="T211" s="626"/>
      <c r="U211" s="626"/>
      <c r="V211" s="626"/>
      <c r="W211" s="626"/>
      <c r="X211" s="626"/>
      <c r="Y211" s="626"/>
      <c r="Z211" s="626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7">
        <v>4680115881594</v>
      </c>
      <c r="E212" s="627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120</v>
      </c>
      <c r="L212" s="37" t="s">
        <v>45</v>
      </c>
      <c r="M212" s="38" t="s">
        <v>92</v>
      </c>
      <c r="N212" s="38"/>
      <c r="O212" s="37">
        <v>40</v>
      </c>
      <c r="P212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9"/>
      <c r="R212" s="629"/>
      <c r="S212" s="629"/>
      <c r="T212" s="63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7">
        <v>4680115881617</v>
      </c>
      <c r="E213" s="627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120</v>
      </c>
      <c r="L213" s="37" t="s">
        <v>45</v>
      </c>
      <c r="M213" s="38" t="s">
        <v>92</v>
      </c>
      <c r="N213" s="38"/>
      <c r="O213" s="37">
        <v>40</v>
      </c>
      <c r="P213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9"/>
      <c r="R213" s="629"/>
      <c r="S213" s="629"/>
      <c r="T213" s="63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7">
        <v>4680115880573</v>
      </c>
      <c r="E214" s="627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120</v>
      </c>
      <c r="L214" s="37" t="s">
        <v>121</v>
      </c>
      <c r="M214" s="38" t="s">
        <v>92</v>
      </c>
      <c r="N214" s="38"/>
      <c r="O214" s="37">
        <v>45</v>
      </c>
      <c r="P214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94</v>
      </c>
      <c r="AK214" s="84">
        <v>69.599999999999994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7">
        <v>4680115882195</v>
      </c>
      <c r="E215" s="627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93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94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7">
        <v>4680115882607</v>
      </c>
      <c r="E216" s="627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101</v>
      </c>
      <c r="N216" s="38"/>
      <c r="O216" s="37">
        <v>45</v>
      </c>
      <c r="P216" s="7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7">
        <v>4680115880092</v>
      </c>
      <c r="E217" s="627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93</v>
      </c>
      <c r="M217" s="38" t="s">
        <v>92</v>
      </c>
      <c r="N217" s="38"/>
      <c r="O217" s="37">
        <v>45</v>
      </c>
      <c r="P217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94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7">
        <v>4680115880221</v>
      </c>
      <c r="E218" s="627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45</v>
      </c>
      <c r="M218" s="38" t="s">
        <v>92</v>
      </c>
      <c r="N218" s="38"/>
      <c r="O218" s="37">
        <v>45</v>
      </c>
      <c r="P218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7">
        <v>4680115880504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93</v>
      </c>
      <c r="M219" s="38" t="s">
        <v>101</v>
      </c>
      <c r="N219" s="38"/>
      <c r="O219" s="37">
        <v>40</v>
      </c>
      <c r="P219" s="7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94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7">
        <v>4680115882164</v>
      </c>
      <c r="E220" s="627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93</v>
      </c>
      <c r="M220" s="38" t="s">
        <v>92</v>
      </c>
      <c r="N220" s="38"/>
      <c r="O220" s="37">
        <v>40</v>
      </c>
      <c r="P220" s="73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94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5"/>
      <c r="B221" s="635"/>
      <c r="C221" s="635"/>
      <c r="D221" s="635"/>
      <c r="E221" s="635"/>
      <c r="F221" s="635"/>
      <c r="G221" s="635"/>
      <c r="H221" s="635"/>
      <c r="I221" s="635"/>
      <c r="J221" s="635"/>
      <c r="K221" s="635"/>
      <c r="L221" s="635"/>
      <c r="M221" s="635"/>
      <c r="N221" s="635"/>
      <c r="O221" s="636"/>
      <c r="P221" s="632" t="s">
        <v>40</v>
      </c>
      <c r="Q221" s="633"/>
      <c r="R221" s="633"/>
      <c r="S221" s="633"/>
      <c r="T221" s="633"/>
      <c r="U221" s="633"/>
      <c r="V221" s="634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5"/>
      <c r="B222" s="635"/>
      <c r="C222" s="635"/>
      <c r="D222" s="635"/>
      <c r="E222" s="635"/>
      <c r="F222" s="635"/>
      <c r="G222" s="635"/>
      <c r="H222" s="635"/>
      <c r="I222" s="635"/>
      <c r="J222" s="635"/>
      <c r="K222" s="635"/>
      <c r="L222" s="635"/>
      <c r="M222" s="635"/>
      <c r="N222" s="635"/>
      <c r="O222" s="636"/>
      <c r="P222" s="632" t="s">
        <v>40</v>
      </c>
      <c r="Q222" s="633"/>
      <c r="R222" s="633"/>
      <c r="S222" s="633"/>
      <c r="T222" s="633"/>
      <c r="U222" s="633"/>
      <c r="V222" s="634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6" t="s">
        <v>178</v>
      </c>
      <c r="B223" s="626"/>
      <c r="C223" s="626"/>
      <c r="D223" s="626"/>
      <c r="E223" s="626"/>
      <c r="F223" s="626"/>
      <c r="G223" s="626"/>
      <c r="H223" s="626"/>
      <c r="I223" s="626"/>
      <c r="J223" s="626"/>
      <c r="K223" s="626"/>
      <c r="L223" s="626"/>
      <c r="M223" s="626"/>
      <c r="N223" s="626"/>
      <c r="O223" s="626"/>
      <c r="P223" s="626"/>
      <c r="Q223" s="626"/>
      <c r="R223" s="626"/>
      <c r="S223" s="626"/>
      <c r="T223" s="626"/>
      <c r="U223" s="626"/>
      <c r="V223" s="626"/>
      <c r="W223" s="626"/>
      <c r="X223" s="626"/>
      <c r="Y223" s="626"/>
      <c r="Z223" s="626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7">
        <v>4680115880818</v>
      </c>
      <c r="E224" s="627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93</v>
      </c>
      <c r="M224" s="38" t="s">
        <v>101</v>
      </c>
      <c r="N224" s="38"/>
      <c r="O224" s="37">
        <v>40</v>
      </c>
      <c r="P224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9"/>
      <c r="R224" s="629"/>
      <c r="S224" s="629"/>
      <c r="T224" s="630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94</v>
      </c>
      <c r="AK224" s="84">
        <v>33.6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7">
        <v>4680115880801</v>
      </c>
      <c r="E225" s="627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93</v>
      </c>
      <c r="M225" s="38" t="s">
        <v>92</v>
      </c>
      <c r="N225" s="38"/>
      <c r="O225" s="37">
        <v>40</v>
      </c>
      <c r="P225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9"/>
      <c r="R225" s="629"/>
      <c r="S225" s="629"/>
      <c r="T225" s="630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94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5"/>
      <c r="M226" s="635"/>
      <c r="N226" s="635"/>
      <c r="O226" s="636"/>
      <c r="P226" s="632" t="s">
        <v>40</v>
      </c>
      <c r="Q226" s="633"/>
      <c r="R226" s="633"/>
      <c r="S226" s="633"/>
      <c r="T226" s="633"/>
      <c r="U226" s="633"/>
      <c r="V226" s="634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5" t="s">
        <v>391</v>
      </c>
      <c r="B228" s="625"/>
      <c r="C228" s="625"/>
      <c r="D228" s="625"/>
      <c r="E228" s="625"/>
      <c r="F228" s="625"/>
      <c r="G228" s="625"/>
      <c r="H228" s="625"/>
      <c r="I228" s="625"/>
      <c r="J228" s="625"/>
      <c r="K228" s="625"/>
      <c r="L228" s="625"/>
      <c r="M228" s="625"/>
      <c r="N228" s="625"/>
      <c r="O228" s="625"/>
      <c r="P228" s="625"/>
      <c r="Q228" s="625"/>
      <c r="R228" s="625"/>
      <c r="S228" s="625"/>
      <c r="T228" s="625"/>
      <c r="U228" s="625"/>
      <c r="V228" s="625"/>
      <c r="W228" s="625"/>
      <c r="X228" s="625"/>
      <c r="Y228" s="625"/>
      <c r="Z228" s="625"/>
      <c r="AA228" s="65"/>
      <c r="AB228" s="65"/>
      <c r="AC228" s="79"/>
    </row>
    <row r="229" spans="1:68" ht="14.25" customHeight="1" x14ac:dyDescent="0.25">
      <c r="A229" s="626" t="s">
        <v>115</v>
      </c>
      <c r="B229" s="626"/>
      <c r="C229" s="626"/>
      <c r="D229" s="626"/>
      <c r="E229" s="626"/>
      <c r="F229" s="626"/>
      <c r="G229" s="626"/>
      <c r="H229" s="626"/>
      <c r="I229" s="626"/>
      <c r="J229" s="626"/>
      <c r="K229" s="626"/>
      <c r="L229" s="626"/>
      <c r="M229" s="626"/>
      <c r="N229" s="626"/>
      <c r="O229" s="626"/>
      <c r="P229" s="626"/>
      <c r="Q229" s="626"/>
      <c r="R229" s="626"/>
      <c r="S229" s="626"/>
      <c r="T229" s="626"/>
      <c r="U229" s="626"/>
      <c r="V229" s="626"/>
      <c r="W229" s="626"/>
      <c r="X229" s="626"/>
      <c r="Y229" s="626"/>
      <c r="Z229" s="626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7">
        <v>4680115884137</v>
      </c>
      <c r="E230" s="627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120</v>
      </c>
      <c r="L230" s="37" t="s">
        <v>45</v>
      </c>
      <c r="M230" s="38" t="s">
        <v>119</v>
      </c>
      <c r="N230" s="38"/>
      <c r="O230" s="37">
        <v>55</v>
      </c>
      <c r="P230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9"/>
      <c r="R230" s="629"/>
      <c r="S230" s="629"/>
      <c r="T230" s="630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45</v>
      </c>
      <c r="AK230" s="84">
        <v>0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7">
        <v>4680115884236</v>
      </c>
      <c r="E231" s="627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120</v>
      </c>
      <c r="L231" s="37" t="s">
        <v>45</v>
      </c>
      <c r="M231" s="38" t="s">
        <v>119</v>
      </c>
      <c r="N231" s="38"/>
      <c r="O231" s="37">
        <v>55</v>
      </c>
      <c r="P231" s="7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9"/>
      <c r="R231" s="629"/>
      <c r="S231" s="629"/>
      <c r="T231" s="630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7">
        <v>4680115884175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120</v>
      </c>
      <c r="L232" s="37" t="s">
        <v>45</v>
      </c>
      <c r="M232" s="38" t="s">
        <v>119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4301011824</v>
      </c>
      <c r="D233" s="627">
        <v>4680115884144</v>
      </c>
      <c r="E233" s="627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45</v>
      </c>
      <c r="M233" s="38" t="s">
        <v>119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4301012196</v>
      </c>
      <c r="D234" s="627">
        <v>4680115884144</v>
      </c>
      <c r="E234" s="627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119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7">
        <v>4680115886551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124</v>
      </c>
      <c r="L235" s="37" t="s">
        <v>45</v>
      </c>
      <c r="M235" s="38" t="s">
        <v>119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7">
        <v>4680115887282</v>
      </c>
      <c r="E236" s="627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119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4301011722</v>
      </c>
      <c r="D237" s="627">
        <v>4680115884205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124</v>
      </c>
      <c r="L237" s="37" t="s">
        <v>125</v>
      </c>
      <c r="M237" s="38" t="s">
        <v>119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94</v>
      </c>
      <c r="AK237" s="84">
        <v>48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4301012195</v>
      </c>
      <c r="D238" s="627">
        <v>4680115884205</v>
      </c>
      <c r="E238" s="627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124</v>
      </c>
      <c r="L238" s="37" t="s">
        <v>45</v>
      </c>
      <c r="M238" s="38" t="s">
        <v>119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5"/>
      <c r="B239" s="635"/>
      <c r="C239" s="635"/>
      <c r="D239" s="635"/>
      <c r="E239" s="635"/>
      <c r="F239" s="635"/>
      <c r="G239" s="635"/>
      <c r="H239" s="635"/>
      <c r="I239" s="635"/>
      <c r="J239" s="635"/>
      <c r="K239" s="635"/>
      <c r="L239" s="635"/>
      <c r="M239" s="635"/>
      <c r="N239" s="635"/>
      <c r="O239" s="636"/>
      <c r="P239" s="632" t="s">
        <v>40</v>
      </c>
      <c r="Q239" s="633"/>
      <c r="R239" s="633"/>
      <c r="S239" s="633"/>
      <c r="T239" s="633"/>
      <c r="U239" s="633"/>
      <c r="V239" s="634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5"/>
      <c r="B240" s="635"/>
      <c r="C240" s="635"/>
      <c r="D240" s="635"/>
      <c r="E240" s="635"/>
      <c r="F240" s="635"/>
      <c r="G240" s="635"/>
      <c r="H240" s="635"/>
      <c r="I240" s="635"/>
      <c r="J240" s="635"/>
      <c r="K240" s="635"/>
      <c r="L240" s="635"/>
      <c r="M240" s="635"/>
      <c r="N240" s="635"/>
      <c r="O240" s="636"/>
      <c r="P240" s="632" t="s">
        <v>40</v>
      </c>
      <c r="Q240" s="633"/>
      <c r="R240" s="633"/>
      <c r="S240" s="633"/>
      <c r="T240" s="633"/>
      <c r="U240" s="633"/>
      <c r="V240" s="634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6" t="s">
        <v>150</v>
      </c>
      <c r="B241" s="626"/>
      <c r="C241" s="626"/>
      <c r="D241" s="626"/>
      <c r="E241" s="626"/>
      <c r="F241" s="626"/>
      <c r="G241" s="626"/>
      <c r="H241" s="626"/>
      <c r="I241" s="626"/>
      <c r="J241" s="626"/>
      <c r="K241" s="626"/>
      <c r="L241" s="626"/>
      <c r="M241" s="626"/>
      <c r="N241" s="626"/>
      <c r="O241" s="626"/>
      <c r="P241" s="626"/>
      <c r="Q241" s="626"/>
      <c r="R241" s="626"/>
      <c r="S241" s="626"/>
      <c r="T241" s="626"/>
      <c r="U241" s="626"/>
      <c r="V241" s="626"/>
      <c r="W241" s="626"/>
      <c r="X241" s="626"/>
      <c r="Y241" s="626"/>
      <c r="Z241" s="626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7">
        <v>4680115885981</v>
      </c>
      <c r="E242" s="627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9"/>
      <c r="R242" s="629"/>
      <c r="S242" s="629"/>
      <c r="T242" s="630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5"/>
      <c r="M243" s="635"/>
      <c r="N243" s="635"/>
      <c r="O243" s="636"/>
      <c r="P243" s="632" t="s">
        <v>40</v>
      </c>
      <c r="Q243" s="633"/>
      <c r="R243" s="633"/>
      <c r="S243" s="633"/>
      <c r="T243" s="633"/>
      <c r="U243" s="633"/>
      <c r="V243" s="634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5"/>
      <c r="B244" s="635"/>
      <c r="C244" s="635"/>
      <c r="D244" s="635"/>
      <c r="E244" s="635"/>
      <c r="F244" s="635"/>
      <c r="G244" s="635"/>
      <c r="H244" s="635"/>
      <c r="I244" s="635"/>
      <c r="J244" s="635"/>
      <c r="K244" s="635"/>
      <c r="L244" s="635"/>
      <c r="M244" s="635"/>
      <c r="N244" s="635"/>
      <c r="O244" s="636"/>
      <c r="P244" s="632" t="s">
        <v>40</v>
      </c>
      <c r="Q244" s="633"/>
      <c r="R244" s="633"/>
      <c r="S244" s="633"/>
      <c r="T244" s="633"/>
      <c r="U244" s="633"/>
      <c r="V244" s="634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6" t="s">
        <v>415</v>
      </c>
      <c r="B245" s="626"/>
      <c r="C245" s="626"/>
      <c r="D245" s="626"/>
      <c r="E245" s="626"/>
      <c r="F245" s="626"/>
      <c r="G245" s="626"/>
      <c r="H245" s="626"/>
      <c r="I245" s="626"/>
      <c r="J245" s="626"/>
      <c r="K245" s="626"/>
      <c r="L245" s="626"/>
      <c r="M245" s="626"/>
      <c r="N245" s="626"/>
      <c r="O245" s="626"/>
      <c r="P245" s="626"/>
      <c r="Q245" s="626"/>
      <c r="R245" s="626"/>
      <c r="S245" s="626"/>
      <c r="T245" s="626"/>
      <c r="U245" s="626"/>
      <c r="V245" s="626"/>
      <c r="W245" s="626"/>
      <c r="X245" s="626"/>
      <c r="Y245" s="626"/>
      <c r="Z245" s="626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7">
        <v>4680115886803</v>
      </c>
      <c r="E246" s="627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9"/>
      <c r="R246" s="629"/>
      <c r="S246" s="629"/>
      <c r="T246" s="630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6"/>
      <c r="P247" s="632" t="s">
        <v>40</v>
      </c>
      <c r="Q247" s="633"/>
      <c r="R247" s="633"/>
      <c r="S247" s="633"/>
      <c r="T247" s="633"/>
      <c r="U247" s="633"/>
      <c r="V247" s="63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5"/>
      <c r="B248" s="635"/>
      <c r="C248" s="635"/>
      <c r="D248" s="635"/>
      <c r="E248" s="635"/>
      <c r="F248" s="635"/>
      <c r="G248" s="635"/>
      <c r="H248" s="635"/>
      <c r="I248" s="635"/>
      <c r="J248" s="635"/>
      <c r="K248" s="635"/>
      <c r="L248" s="635"/>
      <c r="M248" s="635"/>
      <c r="N248" s="635"/>
      <c r="O248" s="636"/>
      <c r="P248" s="632" t="s">
        <v>40</v>
      </c>
      <c r="Q248" s="633"/>
      <c r="R248" s="633"/>
      <c r="S248" s="633"/>
      <c r="T248" s="633"/>
      <c r="U248" s="633"/>
      <c r="V248" s="63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6" t="s">
        <v>419</v>
      </c>
      <c r="B249" s="626"/>
      <c r="C249" s="626"/>
      <c r="D249" s="626"/>
      <c r="E249" s="626"/>
      <c r="F249" s="626"/>
      <c r="G249" s="626"/>
      <c r="H249" s="626"/>
      <c r="I249" s="626"/>
      <c r="J249" s="626"/>
      <c r="K249" s="626"/>
      <c r="L249" s="626"/>
      <c r="M249" s="626"/>
      <c r="N249" s="626"/>
      <c r="O249" s="626"/>
      <c r="P249" s="626"/>
      <c r="Q249" s="626"/>
      <c r="R249" s="626"/>
      <c r="S249" s="626"/>
      <c r="T249" s="626"/>
      <c r="U249" s="626"/>
      <c r="V249" s="626"/>
      <c r="W249" s="626"/>
      <c r="X249" s="626"/>
      <c r="Y249" s="626"/>
      <c r="Z249" s="626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7">
        <v>4680115886704</v>
      </c>
      <c r="E250" s="627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9"/>
      <c r="R250" s="629"/>
      <c r="S250" s="629"/>
      <c r="T250" s="630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7">
        <v>4680115886681</v>
      </c>
      <c r="E251" s="627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9"/>
      <c r="R251" s="629"/>
      <c r="S251" s="629"/>
      <c r="T251" s="630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7">
        <v>4680115886735</v>
      </c>
      <c r="E252" s="627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7">
        <v>4680115886728</v>
      </c>
      <c r="E253" s="627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7">
        <v>4680115886711</v>
      </c>
      <c r="E254" s="627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5"/>
      <c r="B255" s="635"/>
      <c r="C255" s="635"/>
      <c r="D255" s="635"/>
      <c r="E255" s="635"/>
      <c r="F255" s="635"/>
      <c r="G255" s="635"/>
      <c r="H255" s="635"/>
      <c r="I255" s="635"/>
      <c r="J255" s="635"/>
      <c r="K255" s="635"/>
      <c r="L255" s="635"/>
      <c r="M255" s="635"/>
      <c r="N255" s="635"/>
      <c r="O255" s="636"/>
      <c r="P255" s="632" t="s">
        <v>40</v>
      </c>
      <c r="Q255" s="633"/>
      <c r="R255" s="633"/>
      <c r="S255" s="633"/>
      <c r="T255" s="633"/>
      <c r="U255" s="633"/>
      <c r="V255" s="634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5"/>
      <c r="M256" s="635"/>
      <c r="N256" s="635"/>
      <c r="O256" s="636"/>
      <c r="P256" s="632" t="s">
        <v>40</v>
      </c>
      <c r="Q256" s="633"/>
      <c r="R256" s="633"/>
      <c r="S256" s="633"/>
      <c r="T256" s="633"/>
      <c r="U256" s="633"/>
      <c r="V256" s="634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5" t="s">
        <v>431</v>
      </c>
      <c r="B257" s="625"/>
      <c r="C257" s="625"/>
      <c r="D257" s="625"/>
      <c r="E257" s="625"/>
      <c r="F257" s="625"/>
      <c r="G257" s="625"/>
      <c r="H257" s="625"/>
      <c r="I257" s="625"/>
      <c r="J257" s="625"/>
      <c r="K257" s="625"/>
      <c r="L257" s="625"/>
      <c r="M257" s="625"/>
      <c r="N257" s="625"/>
      <c r="O257" s="625"/>
      <c r="P257" s="625"/>
      <c r="Q257" s="625"/>
      <c r="R257" s="625"/>
      <c r="S257" s="625"/>
      <c r="T257" s="625"/>
      <c r="U257" s="625"/>
      <c r="V257" s="625"/>
      <c r="W257" s="625"/>
      <c r="X257" s="625"/>
      <c r="Y257" s="625"/>
      <c r="Z257" s="625"/>
      <c r="AA257" s="65"/>
      <c r="AB257" s="65"/>
      <c r="AC257" s="79"/>
    </row>
    <row r="258" spans="1:68" ht="14.25" customHeight="1" x14ac:dyDescent="0.25">
      <c r="A258" s="626" t="s">
        <v>115</v>
      </c>
      <c r="B258" s="626"/>
      <c r="C258" s="626"/>
      <c r="D258" s="626"/>
      <c r="E258" s="626"/>
      <c r="F258" s="626"/>
      <c r="G258" s="626"/>
      <c r="H258" s="626"/>
      <c r="I258" s="626"/>
      <c r="J258" s="626"/>
      <c r="K258" s="626"/>
      <c r="L258" s="626"/>
      <c r="M258" s="626"/>
      <c r="N258" s="626"/>
      <c r="O258" s="626"/>
      <c r="P258" s="626"/>
      <c r="Q258" s="626"/>
      <c r="R258" s="626"/>
      <c r="S258" s="626"/>
      <c r="T258" s="626"/>
      <c r="U258" s="626"/>
      <c r="V258" s="626"/>
      <c r="W258" s="626"/>
      <c r="X258" s="626"/>
      <c r="Y258" s="626"/>
      <c r="Z258" s="626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7">
        <v>4680115885837</v>
      </c>
      <c r="E259" s="62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120</v>
      </c>
      <c r="L259" s="37" t="s">
        <v>45</v>
      </c>
      <c r="M259" s="38" t="s">
        <v>119</v>
      </c>
      <c r="N259" s="38"/>
      <c r="O259" s="37">
        <v>55</v>
      </c>
      <c r="P259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9"/>
      <c r="R259" s="629"/>
      <c r="S259" s="629"/>
      <c r="T259" s="630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7">
        <v>4680115885851</v>
      </c>
      <c r="E260" s="627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120</v>
      </c>
      <c r="L260" s="37" t="s">
        <v>45</v>
      </c>
      <c r="M260" s="38" t="s">
        <v>119</v>
      </c>
      <c r="N260" s="38"/>
      <c r="O260" s="37">
        <v>55</v>
      </c>
      <c r="P260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9"/>
      <c r="R260" s="629"/>
      <c r="S260" s="629"/>
      <c r="T260" s="630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7">
        <v>4680115885806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120</v>
      </c>
      <c r="L261" s="37" t="s">
        <v>45</v>
      </c>
      <c r="M261" s="38" t="s">
        <v>119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7">
        <v>4680115885844</v>
      </c>
      <c r="E262" s="627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124</v>
      </c>
      <c r="L262" s="37" t="s">
        <v>45</v>
      </c>
      <c r="M262" s="38" t="s">
        <v>119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7">
        <v>4680115885820</v>
      </c>
      <c r="E263" s="627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124</v>
      </c>
      <c r="L263" s="37" t="s">
        <v>45</v>
      </c>
      <c r="M263" s="38" t="s">
        <v>119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5"/>
      <c r="B264" s="635"/>
      <c r="C264" s="635"/>
      <c r="D264" s="635"/>
      <c r="E264" s="635"/>
      <c r="F264" s="635"/>
      <c r="G264" s="635"/>
      <c r="H264" s="635"/>
      <c r="I264" s="635"/>
      <c r="J264" s="635"/>
      <c r="K264" s="635"/>
      <c r="L264" s="635"/>
      <c r="M264" s="635"/>
      <c r="N264" s="635"/>
      <c r="O264" s="636"/>
      <c r="P264" s="632" t="s">
        <v>40</v>
      </c>
      <c r="Q264" s="633"/>
      <c r="R264" s="633"/>
      <c r="S264" s="633"/>
      <c r="T264" s="633"/>
      <c r="U264" s="633"/>
      <c r="V264" s="634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5"/>
      <c r="B265" s="635"/>
      <c r="C265" s="635"/>
      <c r="D265" s="635"/>
      <c r="E265" s="635"/>
      <c r="F265" s="635"/>
      <c r="G265" s="635"/>
      <c r="H265" s="635"/>
      <c r="I265" s="635"/>
      <c r="J265" s="635"/>
      <c r="K265" s="635"/>
      <c r="L265" s="635"/>
      <c r="M265" s="635"/>
      <c r="N265" s="635"/>
      <c r="O265" s="636"/>
      <c r="P265" s="632" t="s">
        <v>40</v>
      </c>
      <c r="Q265" s="633"/>
      <c r="R265" s="633"/>
      <c r="S265" s="633"/>
      <c r="T265" s="633"/>
      <c r="U265" s="633"/>
      <c r="V265" s="634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5" t="s">
        <v>447</v>
      </c>
      <c r="B266" s="625"/>
      <c r="C266" s="625"/>
      <c r="D266" s="625"/>
      <c r="E266" s="625"/>
      <c r="F266" s="625"/>
      <c r="G266" s="625"/>
      <c r="H266" s="625"/>
      <c r="I266" s="625"/>
      <c r="J266" s="625"/>
      <c r="K266" s="625"/>
      <c r="L266" s="625"/>
      <c r="M266" s="625"/>
      <c r="N266" s="625"/>
      <c r="O266" s="625"/>
      <c r="P266" s="625"/>
      <c r="Q266" s="625"/>
      <c r="R266" s="625"/>
      <c r="S266" s="625"/>
      <c r="T266" s="625"/>
      <c r="U266" s="625"/>
      <c r="V266" s="625"/>
      <c r="W266" s="625"/>
      <c r="X266" s="625"/>
      <c r="Y266" s="625"/>
      <c r="Z266" s="625"/>
      <c r="AA266" s="65"/>
      <c r="AB266" s="65"/>
      <c r="AC266" s="79"/>
    </row>
    <row r="267" spans="1:68" ht="14.25" customHeight="1" x14ac:dyDescent="0.25">
      <c r="A267" s="626" t="s">
        <v>115</v>
      </c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6"/>
      <c r="P267" s="626"/>
      <c r="Q267" s="626"/>
      <c r="R267" s="626"/>
      <c r="S267" s="626"/>
      <c r="T267" s="626"/>
      <c r="U267" s="626"/>
      <c r="V267" s="626"/>
      <c r="W267" s="626"/>
      <c r="X267" s="626"/>
      <c r="Y267" s="626"/>
      <c r="Z267" s="626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7">
        <v>4607091383423</v>
      </c>
      <c r="E268" s="627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120</v>
      </c>
      <c r="L268" s="37" t="s">
        <v>45</v>
      </c>
      <c r="M268" s="38" t="s">
        <v>92</v>
      </c>
      <c r="N268" s="38"/>
      <c r="O268" s="37">
        <v>35</v>
      </c>
      <c r="P268" s="76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9"/>
      <c r="R268" s="629"/>
      <c r="S268" s="629"/>
      <c r="T268" s="630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118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7">
        <v>4680115886957</v>
      </c>
      <c r="E269" s="627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120</v>
      </c>
      <c r="L269" s="37" t="s">
        <v>45</v>
      </c>
      <c r="M269" s="38" t="s">
        <v>92</v>
      </c>
      <c r="N269" s="38"/>
      <c r="O269" s="37">
        <v>30</v>
      </c>
      <c r="P269" s="76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9"/>
      <c r="R269" s="629"/>
      <c r="S269" s="629"/>
      <c r="T269" s="630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7">
        <v>4680115885660</v>
      </c>
      <c r="E270" s="627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120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7">
        <v>4680115886773</v>
      </c>
      <c r="E271" s="627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120</v>
      </c>
      <c r="L271" s="37" t="s">
        <v>45</v>
      </c>
      <c r="M271" s="38" t="s">
        <v>119</v>
      </c>
      <c r="N271" s="38"/>
      <c r="O271" s="37">
        <v>31</v>
      </c>
      <c r="P271" s="76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5"/>
      <c r="B272" s="635"/>
      <c r="C272" s="635"/>
      <c r="D272" s="635"/>
      <c r="E272" s="635"/>
      <c r="F272" s="635"/>
      <c r="G272" s="635"/>
      <c r="H272" s="635"/>
      <c r="I272" s="635"/>
      <c r="J272" s="635"/>
      <c r="K272" s="635"/>
      <c r="L272" s="635"/>
      <c r="M272" s="635"/>
      <c r="N272" s="635"/>
      <c r="O272" s="636"/>
      <c r="P272" s="632" t="s">
        <v>40</v>
      </c>
      <c r="Q272" s="633"/>
      <c r="R272" s="633"/>
      <c r="S272" s="633"/>
      <c r="T272" s="633"/>
      <c r="U272" s="633"/>
      <c r="V272" s="634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5"/>
      <c r="B273" s="635"/>
      <c r="C273" s="635"/>
      <c r="D273" s="635"/>
      <c r="E273" s="635"/>
      <c r="F273" s="635"/>
      <c r="G273" s="635"/>
      <c r="H273" s="635"/>
      <c r="I273" s="635"/>
      <c r="J273" s="635"/>
      <c r="K273" s="635"/>
      <c r="L273" s="635"/>
      <c r="M273" s="635"/>
      <c r="N273" s="635"/>
      <c r="O273" s="636"/>
      <c r="P273" s="632" t="s">
        <v>40</v>
      </c>
      <c r="Q273" s="633"/>
      <c r="R273" s="633"/>
      <c r="S273" s="633"/>
      <c r="T273" s="633"/>
      <c r="U273" s="633"/>
      <c r="V273" s="634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5" t="s">
        <v>458</v>
      </c>
      <c r="B274" s="625"/>
      <c r="C274" s="625"/>
      <c r="D274" s="625"/>
      <c r="E274" s="625"/>
      <c r="F274" s="625"/>
      <c r="G274" s="625"/>
      <c r="H274" s="625"/>
      <c r="I274" s="625"/>
      <c r="J274" s="625"/>
      <c r="K274" s="625"/>
      <c r="L274" s="625"/>
      <c r="M274" s="625"/>
      <c r="N274" s="625"/>
      <c r="O274" s="625"/>
      <c r="P274" s="625"/>
      <c r="Q274" s="625"/>
      <c r="R274" s="625"/>
      <c r="S274" s="625"/>
      <c r="T274" s="625"/>
      <c r="U274" s="625"/>
      <c r="V274" s="625"/>
      <c r="W274" s="625"/>
      <c r="X274" s="625"/>
      <c r="Y274" s="625"/>
      <c r="Z274" s="625"/>
      <c r="AA274" s="65"/>
      <c r="AB274" s="65"/>
      <c r="AC274" s="79"/>
    </row>
    <row r="275" spans="1:68" ht="14.25" customHeight="1" x14ac:dyDescent="0.25">
      <c r="A275" s="626" t="s">
        <v>88</v>
      </c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6"/>
      <c r="P275" s="626"/>
      <c r="Q275" s="626"/>
      <c r="R275" s="626"/>
      <c r="S275" s="626"/>
      <c r="T275" s="626"/>
      <c r="U275" s="626"/>
      <c r="V275" s="626"/>
      <c r="W275" s="626"/>
      <c r="X275" s="626"/>
      <c r="Y275" s="626"/>
      <c r="Z275" s="626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7">
        <v>4680115886186</v>
      </c>
      <c r="E276" s="627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9"/>
      <c r="R276" s="629"/>
      <c r="S276" s="629"/>
      <c r="T276" s="630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7">
        <v>4680115881228</v>
      </c>
      <c r="E277" s="62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93</v>
      </c>
      <c r="M277" s="38" t="s">
        <v>101</v>
      </c>
      <c r="N277" s="38"/>
      <c r="O277" s="37">
        <v>40</v>
      </c>
      <c r="P277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9"/>
      <c r="R277" s="629"/>
      <c r="S277" s="629"/>
      <c r="T277" s="630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94</v>
      </c>
      <c r="AK277" s="84">
        <v>33.6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7">
        <v>4680115881211</v>
      </c>
      <c r="E278" s="627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5"/>
      <c r="B279" s="635"/>
      <c r="C279" s="635"/>
      <c r="D279" s="635"/>
      <c r="E279" s="635"/>
      <c r="F279" s="635"/>
      <c r="G279" s="635"/>
      <c r="H279" s="635"/>
      <c r="I279" s="635"/>
      <c r="J279" s="635"/>
      <c r="K279" s="635"/>
      <c r="L279" s="635"/>
      <c r="M279" s="635"/>
      <c r="N279" s="635"/>
      <c r="O279" s="636"/>
      <c r="P279" s="632" t="s">
        <v>40</v>
      </c>
      <c r="Q279" s="633"/>
      <c r="R279" s="633"/>
      <c r="S279" s="633"/>
      <c r="T279" s="633"/>
      <c r="U279" s="633"/>
      <c r="V279" s="634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5"/>
      <c r="B280" s="635"/>
      <c r="C280" s="635"/>
      <c r="D280" s="635"/>
      <c r="E280" s="635"/>
      <c r="F280" s="635"/>
      <c r="G280" s="635"/>
      <c r="H280" s="635"/>
      <c r="I280" s="635"/>
      <c r="J280" s="635"/>
      <c r="K280" s="635"/>
      <c r="L280" s="635"/>
      <c r="M280" s="635"/>
      <c r="N280" s="635"/>
      <c r="O280" s="636"/>
      <c r="P280" s="632" t="s">
        <v>40</v>
      </c>
      <c r="Q280" s="633"/>
      <c r="R280" s="633"/>
      <c r="S280" s="633"/>
      <c r="T280" s="633"/>
      <c r="U280" s="633"/>
      <c r="V280" s="634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5" t="s">
        <v>467</v>
      </c>
      <c r="B281" s="625"/>
      <c r="C281" s="625"/>
      <c r="D281" s="625"/>
      <c r="E281" s="625"/>
      <c r="F281" s="625"/>
      <c r="G281" s="625"/>
      <c r="H281" s="625"/>
      <c r="I281" s="625"/>
      <c r="J281" s="625"/>
      <c r="K281" s="625"/>
      <c r="L281" s="625"/>
      <c r="M281" s="625"/>
      <c r="N281" s="625"/>
      <c r="O281" s="625"/>
      <c r="P281" s="625"/>
      <c r="Q281" s="625"/>
      <c r="R281" s="625"/>
      <c r="S281" s="625"/>
      <c r="T281" s="625"/>
      <c r="U281" s="625"/>
      <c r="V281" s="625"/>
      <c r="W281" s="625"/>
      <c r="X281" s="625"/>
      <c r="Y281" s="625"/>
      <c r="Z281" s="625"/>
      <c r="AA281" s="65"/>
      <c r="AB281" s="65"/>
      <c r="AC281" s="79"/>
    </row>
    <row r="282" spans="1:68" ht="14.25" customHeight="1" x14ac:dyDescent="0.25">
      <c r="A282" s="626" t="s">
        <v>78</v>
      </c>
      <c r="B282" s="626"/>
      <c r="C282" s="626"/>
      <c r="D282" s="626"/>
      <c r="E282" s="626"/>
      <c r="F282" s="626"/>
      <c r="G282" s="626"/>
      <c r="H282" s="626"/>
      <c r="I282" s="626"/>
      <c r="J282" s="626"/>
      <c r="K282" s="626"/>
      <c r="L282" s="626"/>
      <c r="M282" s="626"/>
      <c r="N282" s="626"/>
      <c r="O282" s="626"/>
      <c r="P282" s="626"/>
      <c r="Q282" s="626"/>
      <c r="R282" s="626"/>
      <c r="S282" s="626"/>
      <c r="T282" s="626"/>
      <c r="U282" s="626"/>
      <c r="V282" s="626"/>
      <c r="W282" s="626"/>
      <c r="X282" s="626"/>
      <c r="Y282" s="626"/>
      <c r="Z282" s="626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7">
        <v>4680115880344</v>
      </c>
      <c r="E283" s="627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9"/>
      <c r="R283" s="629"/>
      <c r="S283" s="629"/>
      <c r="T283" s="630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7">
        <v>4680115886919</v>
      </c>
      <c r="E284" s="627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9"/>
      <c r="R284" s="629"/>
      <c r="S284" s="629"/>
      <c r="T284" s="630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5"/>
      <c r="B285" s="635"/>
      <c r="C285" s="635"/>
      <c r="D285" s="635"/>
      <c r="E285" s="635"/>
      <c r="F285" s="635"/>
      <c r="G285" s="635"/>
      <c r="H285" s="635"/>
      <c r="I285" s="635"/>
      <c r="J285" s="635"/>
      <c r="K285" s="635"/>
      <c r="L285" s="635"/>
      <c r="M285" s="635"/>
      <c r="N285" s="635"/>
      <c r="O285" s="636"/>
      <c r="P285" s="632" t="s">
        <v>40</v>
      </c>
      <c r="Q285" s="633"/>
      <c r="R285" s="633"/>
      <c r="S285" s="633"/>
      <c r="T285" s="633"/>
      <c r="U285" s="633"/>
      <c r="V285" s="634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5"/>
      <c r="B286" s="635"/>
      <c r="C286" s="635"/>
      <c r="D286" s="635"/>
      <c r="E286" s="635"/>
      <c r="F286" s="635"/>
      <c r="G286" s="635"/>
      <c r="H286" s="635"/>
      <c r="I286" s="635"/>
      <c r="J286" s="635"/>
      <c r="K286" s="635"/>
      <c r="L286" s="635"/>
      <c r="M286" s="635"/>
      <c r="N286" s="635"/>
      <c r="O286" s="636"/>
      <c r="P286" s="632" t="s">
        <v>40</v>
      </c>
      <c r="Q286" s="633"/>
      <c r="R286" s="633"/>
      <c r="S286" s="633"/>
      <c r="T286" s="633"/>
      <c r="U286" s="633"/>
      <c r="V286" s="634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6" t="s">
        <v>88</v>
      </c>
      <c r="B287" s="626"/>
      <c r="C287" s="626"/>
      <c r="D287" s="626"/>
      <c r="E287" s="626"/>
      <c r="F287" s="626"/>
      <c r="G287" s="626"/>
      <c r="H287" s="626"/>
      <c r="I287" s="626"/>
      <c r="J287" s="626"/>
      <c r="K287" s="626"/>
      <c r="L287" s="626"/>
      <c r="M287" s="626"/>
      <c r="N287" s="626"/>
      <c r="O287" s="626"/>
      <c r="P287" s="626"/>
      <c r="Q287" s="626"/>
      <c r="R287" s="626"/>
      <c r="S287" s="626"/>
      <c r="T287" s="626"/>
      <c r="U287" s="626"/>
      <c r="V287" s="626"/>
      <c r="W287" s="626"/>
      <c r="X287" s="626"/>
      <c r="Y287" s="626"/>
      <c r="Z287" s="626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7">
        <v>4680115884618</v>
      </c>
      <c r="E288" s="627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124</v>
      </c>
      <c r="L288" s="37" t="s">
        <v>45</v>
      </c>
      <c r="M288" s="38" t="s">
        <v>92</v>
      </c>
      <c r="N288" s="38"/>
      <c r="O288" s="37">
        <v>45</v>
      </c>
      <c r="P288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9"/>
      <c r="R288" s="629"/>
      <c r="S288" s="629"/>
      <c r="T288" s="630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7">
        <v>4680115887114</v>
      </c>
      <c r="E289" s="627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124</v>
      </c>
      <c r="L289" s="37" t="s">
        <v>45</v>
      </c>
      <c r="M289" s="38" t="s">
        <v>92</v>
      </c>
      <c r="N289" s="38"/>
      <c r="O289" s="37">
        <v>45</v>
      </c>
      <c r="P289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9"/>
      <c r="R289" s="629"/>
      <c r="S289" s="629"/>
      <c r="T289" s="630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5"/>
      <c r="B290" s="635"/>
      <c r="C290" s="635"/>
      <c r="D290" s="635"/>
      <c r="E290" s="635"/>
      <c r="F290" s="635"/>
      <c r="G290" s="635"/>
      <c r="H290" s="635"/>
      <c r="I290" s="635"/>
      <c r="J290" s="635"/>
      <c r="K290" s="635"/>
      <c r="L290" s="635"/>
      <c r="M290" s="635"/>
      <c r="N290" s="635"/>
      <c r="O290" s="636"/>
      <c r="P290" s="632" t="s">
        <v>40</v>
      </c>
      <c r="Q290" s="633"/>
      <c r="R290" s="633"/>
      <c r="S290" s="633"/>
      <c r="T290" s="633"/>
      <c r="U290" s="633"/>
      <c r="V290" s="634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5"/>
      <c r="B291" s="635"/>
      <c r="C291" s="635"/>
      <c r="D291" s="635"/>
      <c r="E291" s="635"/>
      <c r="F291" s="635"/>
      <c r="G291" s="635"/>
      <c r="H291" s="635"/>
      <c r="I291" s="635"/>
      <c r="J291" s="635"/>
      <c r="K291" s="635"/>
      <c r="L291" s="635"/>
      <c r="M291" s="635"/>
      <c r="N291" s="635"/>
      <c r="O291" s="636"/>
      <c r="P291" s="632" t="s">
        <v>40</v>
      </c>
      <c r="Q291" s="633"/>
      <c r="R291" s="633"/>
      <c r="S291" s="633"/>
      <c r="T291" s="633"/>
      <c r="U291" s="633"/>
      <c r="V291" s="634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5" t="s">
        <v>480</v>
      </c>
      <c r="B292" s="625"/>
      <c r="C292" s="625"/>
      <c r="D292" s="625"/>
      <c r="E292" s="625"/>
      <c r="F292" s="625"/>
      <c r="G292" s="625"/>
      <c r="H292" s="625"/>
      <c r="I292" s="625"/>
      <c r="J292" s="625"/>
      <c r="K292" s="625"/>
      <c r="L292" s="625"/>
      <c r="M292" s="625"/>
      <c r="N292" s="625"/>
      <c r="O292" s="625"/>
      <c r="P292" s="625"/>
      <c r="Q292" s="625"/>
      <c r="R292" s="625"/>
      <c r="S292" s="625"/>
      <c r="T292" s="625"/>
      <c r="U292" s="625"/>
      <c r="V292" s="625"/>
      <c r="W292" s="625"/>
      <c r="X292" s="625"/>
      <c r="Y292" s="625"/>
      <c r="Z292" s="625"/>
      <c r="AA292" s="65"/>
      <c r="AB292" s="65"/>
      <c r="AC292" s="79"/>
    </row>
    <row r="293" spans="1:68" ht="14.25" customHeight="1" x14ac:dyDescent="0.25">
      <c r="A293" s="626" t="s">
        <v>115</v>
      </c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6"/>
      <c r="P293" s="626"/>
      <c r="Q293" s="626"/>
      <c r="R293" s="626"/>
      <c r="S293" s="626"/>
      <c r="T293" s="626"/>
      <c r="U293" s="626"/>
      <c r="V293" s="626"/>
      <c r="W293" s="626"/>
      <c r="X293" s="626"/>
      <c r="Y293" s="626"/>
      <c r="Z293" s="626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4301012126</v>
      </c>
      <c r="D294" s="627">
        <v>4607091386004</v>
      </c>
      <c r="E294" s="627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120</v>
      </c>
      <c r="L294" s="37" t="s">
        <v>45</v>
      </c>
      <c r="M294" s="38" t="s">
        <v>119</v>
      </c>
      <c r="N294" s="38"/>
      <c r="O294" s="37">
        <v>55</v>
      </c>
      <c r="P294" s="7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629"/>
      <c r="R294" s="629"/>
      <c r="S294" s="629"/>
      <c r="T294" s="630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ref="Y294:Y299" si="26"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 t="shared" ref="BM294:BM299" si="27">IFERROR(X294*I294/H294,"0")</f>
        <v>0</v>
      </c>
      <c r="BN294" s="78">
        <f t="shared" ref="BN294:BN299" si="28">IFERROR(Y294*I294/H294,"0")</f>
        <v>0</v>
      </c>
      <c r="BO294" s="78">
        <f t="shared" ref="BO294:BO299" si="29">IFERROR(1/J294*(X294/H294),"0")</f>
        <v>0</v>
      </c>
      <c r="BP294" s="78">
        <f t="shared" ref="BP294:BP299" si="30">IFERROR(1/J294*(Y294/H294),"0")</f>
        <v>0</v>
      </c>
    </row>
    <row r="295" spans="1:68" ht="27" customHeight="1" x14ac:dyDescent="0.25">
      <c r="A295" s="63" t="s">
        <v>484</v>
      </c>
      <c r="B295" s="63" t="s">
        <v>485</v>
      </c>
      <c r="C295" s="36">
        <v>4301012024</v>
      </c>
      <c r="D295" s="627">
        <v>4680115885615</v>
      </c>
      <c r="E295" s="627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120</v>
      </c>
      <c r="L295" s="37" t="s">
        <v>45</v>
      </c>
      <c r="M295" s="38" t="s">
        <v>92</v>
      </c>
      <c r="N295" s="38"/>
      <c r="O295" s="37">
        <v>55</v>
      </c>
      <c r="P295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9"/>
      <c r="R295" s="629"/>
      <c r="S295" s="629"/>
      <c r="T295" s="630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45</v>
      </c>
      <c r="AK295" s="84">
        <v>0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ht="37.5" customHeight="1" x14ac:dyDescent="0.25">
      <c r="A296" s="63" t="s">
        <v>487</v>
      </c>
      <c r="B296" s="63" t="s">
        <v>488</v>
      </c>
      <c r="C296" s="36">
        <v>4301011858</v>
      </c>
      <c r="D296" s="627">
        <v>4680115885646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120</v>
      </c>
      <c r="L296" s="37" t="s">
        <v>45</v>
      </c>
      <c r="M296" s="38" t="s">
        <v>119</v>
      </c>
      <c r="N296" s="38"/>
      <c r="O296" s="37">
        <v>55</v>
      </c>
      <c r="P296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si="26"/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45</v>
      </c>
      <c r="AK296" s="84">
        <v>0</v>
      </c>
      <c r="BB296" s="363" t="s">
        <v>66</v>
      </c>
      <c r="BM296" s="78">
        <f t="shared" si="27"/>
        <v>0</v>
      </c>
      <c r="BN296" s="78">
        <f t="shared" si="28"/>
        <v>0</v>
      </c>
      <c r="BO296" s="78">
        <f t="shared" si="29"/>
        <v>0</v>
      </c>
      <c r="BP296" s="78">
        <f t="shared" si="30"/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4301012016</v>
      </c>
      <c r="D297" s="627">
        <v>4680115885554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120</v>
      </c>
      <c r="L297" s="37" t="s">
        <v>45</v>
      </c>
      <c r="M297" s="38" t="s">
        <v>92</v>
      </c>
      <c r="N297" s="38"/>
      <c r="O297" s="37">
        <v>55</v>
      </c>
      <c r="P297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492</v>
      </c>
      <c r="AG297" s="78"/>
      <c r="AJ297" s="84" t="s">
        <v>45</v>
      </c>
      <c r="AK297" s="84">
        <v>0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4301011857</v>
      </c>
      <c r="D298" s="627">
        <v>4680115885622</v>
      </c>
      <c r="E298" s="627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124</v>
      </c>
      <c r="L298" s="37" t="s">
        <v>45</v>
      </c>
      <c r="M298" s="38" t="s">
        <v>119</v>
      </c>
      <c r="N298" s="38"/>
      <c r="O298" s="37">
        <v>55</v>
      </c>
      <c r="P298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486</v>
      </c>
      <c r="AG298" s="78"/>
      <c r="AJ298" s="84" t="s">
        <v>45</v>
      </c>
      <c r="AK298" s="84">
        <v>0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495</v>
      </c>
      <c r="B299" s="63" t="s">
        <v>496</v>
      </c>
      <c r="C299" s="36">
        <v>4301011859</v>
      </c>
      <c r="D299" s="627">
        <v>4680115885608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124</v>
      </c>
      <c r="L299" s="37" t="s">
        <v>45</v>
      </c>
      <c r="M299" s="38" t="s">
        <v>119</v>
      </c>
      <c r="N299" s="38"/>
      <c r="O299" s="37">
        <v>55</v>
      </c>
      <c r="P299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497</v>
      </c>
      <c r="AG299" s="78"/>
      <c r="AJ299" s="84" t="s">
        <v>45</v>
      </c>
      <c r="AK299" s="84">
        <v>0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x14ac:dyDescent="0.2">
      <c r="A300" s="635"/>
      <c r="B300" s="635"/>
      <c r="C300" s="635"/>
      <c r="D300" s="635"/>
      <c r="E300" s="635"/>
      <c r="F300" s="635"/>
      <c r="G300" s="635"/>
      <c r="H300" s="635"/>
      <c r="I300" s="635"/>
      <c r="J300" s="635"/>
      <c r="K300" s="635"/>
      <c r="L300" s="635"/>
      <c r="M300" s="635"/>
      <c r="N300" s="635"/>
      <c r="O300" s="636"/>
      <c r="P300" s="632" t="s">
        <v>40</v>
      </c>
      <c r="Q300" s="633"/>
      <c r="R300" s="633"/>
      <c r="S300" s="633"/>
      <c r="T300" s="633"/>
      <c r="U300" s="633"/>
      <c r="V300" s="634"/>
      <c r="W300" s="42" t="s">
        <v>39</v>
      </c>
      <c r="X300" s="43">
        <f>IFERROR(X294/H294,"0")+IFERROR(X295/H295,"0")+IFERROR(X296/H296,"0")+IFERROR(X297/H297,"0")+IFERROR(X298/H298,"0")+IFERROR(X299/H299,"0")</f>
        <v>0</v>
      </c>
      <c r="Y300" s="43">
        <f>IFERROR(Y294/H294,"0")+IFERROR(Y295/H295,"0")+IFERROR(Y296/H296,"0")+IFERROR(Y297/H297,"0")+IFERROR(Y298/H298,"0")+IFERROR(Y299/H299,"0")</f>
        <v>0</v>
      </c>
      <c r="Z300" s="43">
        <f>IFERROR(IF(Z294="",0,Z294),"0")+IFERROR(IF(Z295="",0,Z295),"0")+IFERROR(IF(Z296="",0,Z296),"0")+IFERROR(IF(Z297="",0,Z297),"0")+IFERROR(IF(Z298="",0,Z298),"0")+IFERROR(IF(Z299="",0,Z299),"0")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0</v>
      </c>
      <c r="X301" s="43">
        <f>IFERROR(SUM(X294:X299),"0")</f>
        <v>0</v>
      </c>
      <c r="Y301" s="43">
        <f>IFERROR(SUM(Y294:Y299),"0")</f>
        <v>0</v>
      </c>
      <c r="Z301" s="42"/>
      <c r="AA301" s="67"/>
      <c r="AB301" s="67"/>
      <c r="AC301" s="67"/>
    </row>
    <row r="302" spans="1:68" ht="14.25" customHeight="1" x14ac:dyDescent="0.25">
      <c r="A302" s="626" t="s">
        <v>78</v>
      </c>
      <c r="B302" s="626"/>
      <c r="C302" s="626"/>
      <c r="D302" s="626"/>
      <c r="E302" s="626"/>
      <c r="F302" s="626"/>
      <c r="G302" s="626"/>
      <c r="H302" s="626"/>
      <c r="I302" s="626"/>
      <c r="J302" s="626"/>
      <c r="K302" s="626"/>
      <c r="L302" s="626"/>
      <c r="M302" s="626"/>
      <c r="N302" s="626"/>
      <c r="O302" s="626"/>
      <c r="P302" s="626"/>
      <c r="Q302" s="626"/>
      <c r="R302" s="626"/>
      <c r="S302" s="626"/>
      <c r="T302" s="626"/>
      <c r="U302" s="626"/>
      <c r="V302" s="626"/>
      <c r="W302" s="626"/>
      <c r="X302" s="626"/>
      <c r="Y302" s="626"/>
      <c r="Z302" s="626"/>
      <c r="AA302" s="66"/>
      <c r="AB302" s="66"/>
      <c r="AC302" s="80"/>
    </row>
    <row r="303" spans="1:68" ht="27" customHeight="1" x14ac:dyDescent="0.25">
      <c r="A303" s="63" t="s">
        <v>498</v>
      </c>
      <c r="B303" s="63" t="s">
        <v>499</v>
      </c>
      <c r="C303" s="36">
        <v>4301030878</v>
      </c>
      <c r="D303" s="627">
        <v>4607091387193</v>
      </c>
      <c r="E303" s="627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124</v>
      </c>
      <c r="L303" s="37" t="s">
        <v>45</v>
      </c>
      <c r="M303" s="38" t="s">
        <v>82</v>
      </c>
      <c r="N303" s="38"/>
      <c r="O303" s="37">
        <v>35</v>
      </c>
      <c r="P303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9"/>
      <c r="R303" s="629"/>
      <c r="S303" s="629"/>
      <c r="T303" s="630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31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32">IFERROR(X303*I303/H303,"0")</f>
        <v>0</v>
      </c>
      <c r="BN303" s="78">
        <f t="shared" ref="BN303:BN308" si="33">IFERROR(Y303*I303/H303,"0")</f>
        <v>0</v>
      </c>
      <c r="BO303" s="78">
        <f t="shared" ref="BO303:BO308" si="34">IFERROR(1/J303*(X303/H303),"0")</f>
        <v>0</v>
      </c>
      <c r="BP303" s="78">
        <f t="shared" ref="BP303:BP308" si="35">IFERROR(1/J303*(Y303/H303),"0")</f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4301031153</v>
      </c>
      <c r="D304" s="627">
        <v>4607091387230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124</v>
      </c>
      <c r="L304" s="37" t="s">
        <v>45</v>
      </c>
      <c r="M304" s="38" t="s">
        <v>82</v>
      </c>
      <c r="N304" s="38"/>
      <c r="O304" s="37">
        <v>40</v>
      </c>
      <c r="P304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4301031154</v>
      </c>
      <c r="D305" s="627">
        <v>4607091387292</v>
      </c>
      <c r="E305" s="627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124</v>
      </c>
      <c r="L305" s="37" t="s">
        <v>45</v>
      </c>
      <c r="M305" s="38" t="s">
        <v>82</v>
      </c>
      <c r="N305" s="38"/>
      <c r="O305" s="37">
        <v>45</v>
      </c>
      <c r="P305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506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507</v>
      </c>
      <c r="B306" s="63" t="s">
        <v>508</v>
      </c>
      <c r="C306" s="36">
        <v>4301031152</v>
      </c>
      <c r="D306" s="627">
        <v>4607091387285</v>
      </c>
      <c r="E306" s="627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4301031305</v>
      </c>
      <c r="D307" s="627">
        <v>4607091389845</v>
      </c>
      <c r="E307" s="627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304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94</v>
      </c>
      <c r="AK307" s="84">
        <v>37.799999999999997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512</v>
      </c>
      <c r="B308" s="63" t="s">
        <v>513</v>
      </c>
      <c r="C308" s="36">
        <v>4301031066</v>
      </c>
      <c r="D308" s="627">
        <v>4607091383836</v>
      </c>
      <c r="E308" s="627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93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514</v>
      </c>
      <c r="AG308" s="78"/>
      <c r="AJ308" s="84" t="s">
        <v>94</v>
      </c>
      <c r="AK308" s="84">
        <v>25.2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x14ac:dyDescent="0.2">
      <c r="A309" s="635"/>
      <c r="B309" s="635"/>
      <c r="C309" s="635"/>
      <c r="D309" s="635"/>
      <c r="E309" s="635"/>
      <c r="F309" s="635"/>
      <c r="G309" s="635"/>
      <c r="H309" s="635"/>
      <c r="I309" s="635"/>
      <c r="J309" s="635"/>
      <c r="K309" s="635"/>
      <c r="L309" s="635"/>
      <c r="M309" s="635"/>
      <c r="N309" s="635"/>
      <c r="O309" s="636"/>
      <c r="P309" s="632" t="s">
        <v>40</v>
      </c>
      <c r="Q309" s="633"/>
      <c r="R309" s="633"/>
      <c r="S309" s="633"/>
      <c r="T309" s="633"/>
      <c r="U309" s="633"/>
      <c r="V309" s="634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6" t="s">
        <v>88</v>
      </c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6"/>
      <c r="P311" s="626"/>
      <c r="Q311" s="626"/>
      <c r="R311" s="626"/>
      <c r="S311" s="626"/>
      <c r="T311" s="626"/>
      <c r="U311" s="626"/>
      <c r="V311" s="626"/>
      <c r="W311" s="626"/>
      <c r="X311" s="626"/>
      <c r="Y311" s="626"/>
      <c r="Z311" s="626"/>
      <c r="AA311" s="66"/>
      <c r="AB311" s="66"/>
      <c r="AC311" s="80"/>
    </row>
    <row r="312" spans="1:68" ht="27" customHeight="1" x14ac:dyDescent="0.25">
      <c r="A312" s="63" t="s">
        <v>515</v>
      </c>
      <c r="B312" s="63" t="s">
        <v>516</v>
      </c>
      <c r="C312" s="36">
        <v>4301051100</v>
      </c>
      <c r="D312" s="627">
        <v>4607091387766</v>
      </c>
      <c r="E312" s="627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120</v>
      </c>
      <c r="L312" s="37" t="s">
        <v>45</v>
      </c>
      <c r="M312" s="38" t="s">
        <v>92</v>
      </c>
      <c r="N312" s="38"/>
      <c r="O312" s="37">
        <v>40</v>
      </c>
      <c r="P312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9"/>
      <c r="R312" s="629"/>
      <c r="S312" s="629"/>
      <c r="T312" s="630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4301051818</v>
      </c>
      <c r="D313" s="627">
        <v>4607091387957</v>
      </c>
      <c r="E313" s="627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120</v>
      </c>
      <c r="L313" s="37" t="s">
        <v>45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4301051819</v>
      </c>
      <c r="D314" s="627">
        <v>4607091387964</v>
      </c>
      <c r="E314" s="627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120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524</v>
      </c>
      <c r="B315" s="63" t="s">
        <v>525</v>
      </c>
      <c r="C315" s="36">
        <v>4301051734</v>
      </c>
      <c r="D315" s="627">
        <v>4680115884588</v>
      </c>
      <c r="E315" s="627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526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35"/>
      <c r="B316" s="635"/>
      <c r="C316" s="635"/>
      <c r="D316" s="635"/>
      <c r="E316" s="635"/>
      <c r="F316" s="635"/>
      <c r="G316" s="635"/>
      <c r="H316" s="635"/>
      <c r="I316" s="635"/>
      <c r="J316" s="635"/>
      <c r="K316" s="635"/>
      <c r="L316" s="635"/>
      <c r="M316" s="635"/>
      <c r="N316" s="635"/>
      <c r="O316" s="636"/>
      <c r="P316" s="632" t="s">
        <v>40</v>
      </c>
      <c r="Q316" s="633"/>
      <c r="R316" s="633"/>
      <c r="S316" s="633"/>
      <c r="T316" s="633"/>
      <c r="U316" s="633"/>
      <c r="V316" s="634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6" t="s">
        <v>178</v>
      </c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6"/>
      <c r="P318" s="626"/>
      <c r="Q318" s="626"/>
      <c r="R318" s="626"/>
      <c r="S318" s="626"/>
      <c r="T318" s="626"/>
      <c r="U318" s="626"/>
      <c r="V318" s="626"/>
      <c r="W318" s="626"/>
      <c r="X318" s="626"/>
      <c r="Y318" s="626"/>
      <c r="Z318" s="626"/>
      <c r="AA318" s="66"/>
      <c r="AB318" s="66"/>
      <c r="AC318" s="80"/>
    </row>
    <row r="319" spans="1:68" ht="27" customHeight="1" x14ac:dyDescent="0.25">
      <c r="A319" s="63" t="s">
        <v>527</v>
      </c>
      <c r="B319" s="63" t="s">
        <v>528</v>
      </c>
      <c r="C319" s="36">
        <v>4301060387</v>
      </c>
      <c r="D319" s="627">
        <v>4607091380880</v>
      </c>
      <c r="E319" s="627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120</v>
      </c>
      <c r="L319" s="37" t="s">
        <v>121</v>
      </c>
      <c r="M319" s="38" t="s">
        <v>92</v>
      </c>
      <c r="N319" s="38"/>
      <c r="O319" s="37">
        <v>30</v>
      </c>
      <c r="P319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9"/>
      <c r="R319" s="629"/>
      <c r="S319" s="629"/>
      <c r="T319" s="630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94</v>
      </c>
      <c r="AK319" s="84">
        <v>67.2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530</v>
      </c>
      <c r="B320" s="63" t="s">
        <v>531</v>
      </c>
      <c r="C320" s="36">
        <v>4301060406</v>
      </c>
      <c r="D320" s="627">
        <v>4607091384482</v>
      </c>
      <c r="E320" s="627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120</v>
      </c>
      <c r="L320" s="37" t="s">
        <v>121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94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533</v>
      </c>
      <c r="B321" s="63" t="s">
        <v>534</v>
      </c>
      <c r="C321" s="36">
        <v>4301060484</v>
      </c>
      <c r="D321" s="627">
        <v>4607091380897</v>
      </c>
      <c r="E321" s="627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120</v>
      </c>
      <c r="L321" s="37" t="s">
        <v>45</v>
      </c>
      <c r="M321" s="38" t="s">
        <v>101</v>
      </c>
      <c r="N321" s="38"/>
      <c r="O321" s="37">
        <v>30</v>
      </c>
      <c r="P321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535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35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5"/>
      <c r="M322" s="635"/>
      <c r="N322" s="635"/>
      <c r="O322" s="636"/>
      <c r="P322" s="632" t="s">
        <v>40</v>
      </c>
      <c r="Q322" s="633"/>
      <c r="R322" s="633"/>
      <c r="S322" s="633"/>
      <c r="T322" s="633"/>
      <c r="U322" s="633"/>
      <c r="V322" s="63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6" t="s">
        <v>107</v>
      </c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6"/>
      <c r="P324" s="626"/>
      <c r="Q324" s="626"/>
      <c r="R324" s="626"/>
      <c r="S324" s="626"/>
      <c r="T324" s="626"/>
      <c r="U324" s="626"/>
      <c r="V324" s="626"/>
      <c r="W324" s="626"/>
      <c r="X324" s="626"/>
      <c r="Y324" s="626"/>
      <c r="Z324" s="626"/>
      <c r="AA324" s="66"/>
      <c r="AB324" s="66"/>
      <c r="AC324" s="80"/>
    </row>
    <row r="325" spans="1:68" ht="27" customHeight="1" x14ac:dyDescent="0.25">
      <c r="A325" s="63" t="s">
        <v>536</v>
      </c>
      <c r="B325" s="63" t="s">
        <v>537</v>
      </c>
      <c r="C325" s="36">
        <v>4301030235</v>
      </c>
      <c r="D325" s="627">
        <v>4607091388381</v>
      </c>
      <c r="E325" s="627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124</v>
      </c>
      <c r="L325" s="37" t="s">
        <v>45</v>
      </c>
      <c r="M325" s="38" t="s">
        <v>112</v>
      </c>
      <c r="N325" s="38"/>
      <c r="O325" s="37">
        <v>180</v>
      </c>
      <c r="P325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9"/>
      <c r="R325" s="629"/>
      <c r="S325" s="629"/>
      <c r="T325" s="630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538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539</v>
      </c>
      <c r="B326" s="63" t="s">
        <v>540</v>
      </c>
      <c r="C326" s="36">
        <v>4301030232</v>
      </c>
      <c r="D326" s="627">
        <v>4607091388374</v>
      </c>
      <c r="E326" s="627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124</v>
      </c>
      <c r="L326" s="37" t="s">
        <v>45</v>
      </c>
      <c r="M326" s="38" t="s">
        <v>112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4301032015</v>
      </c>
      <c r="D327" s="627">
        <v>4607091383102</v>
      </c>
      <c r="E327" s="627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93</v>
      </c>
      <c r="M327" s="38" t="s">
        <v>112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543</v>
      </c>
      <c r="AG327" s="78"/>
      <c r="AJ327" s="84" t="s">
        <v>94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544</v>
      </c>
      <c r="B328" s="63" t="s">
        <v>545</v>
      </c>
      <c r="C328" s="36">
        <v>4301030233</v>
      </c>
      <c r="D328" s="627">
        <v>4607091388404</v>
      </c>
      <c r="E328" s="627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45</v>
      </c>
      <c r="M328" s="38" t="s">
        <v>112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35"/>
      <c r="B329" s="635"/>
      <c r="C329" s="635"/>
      <c r="D329" s="635"/>
      <c r="E329" s="635"/>
      <c r="F329" s="635"/>
      <c r="G329" s="635"/>
      <c r="H329" s="635"/>
      <c r="I329" s="635"/>
      <c r="J329" s="635"/>
      <c r="K329" s="635"/>
      <c r="L329" s="635"/>
      <c r="M329" s="635"/>
      <c r="N329" s="635"/>
      <c r="O329" s="636"/>
      <c r="P329" s="632" t="s">
        <v>40</v>
      </c>
      <c r="Q329" s="633"/>
      <c r="R329" s="633"/>
      <c r="S329" s="633"/>
      <c r="T329" s="633"/>
      <c r="U329" s="633"/>
      <c r="V329" s="634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6" t="s">
        <v>546</v>
      </c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6"/>
      <c r="P331" s="626"/>
      <c r="Q331" s="626"/>
      <c r="R331" s="626"/>
      <c r="S331" s="626"/>
      <c r="T331" s="626"/>
      <c r="U331" s="626"/>
      <c r="V331" s="626"/>
      <c r="W331" s="626"/>
      <c r="X331" s="626"/>
      <c r="Y331" s="626"/>
      <c r="Z331" s="626"/>
      <c r="AA331" s="66"/>
      <c r="AB331" s="66"/>
      <c r="AC331" s="80"/>
    </row>
    <row r="332" spans="1:68" ht="16.5" customHeight="1" x14ac:dyDescent="0.25">
      <c r="A332" s="63" t="s">
        <v>547</v>
      </c>
      <c r="B332" s="63" t="s">
        <v>548</v>
      </c>
      <c r="C332" s="36">
        <v>4301180007</v>
      </c>
      <c r="D332" s="627">
        <v>4680115881808</v>
      </c>
      <c r="E332" s="627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550</v>
      </c>
      <c r="N332" s="38"/>
      <c r="O332" s="37">
        <v>730</v>
      </c>
      <c r="P332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9"/>
      <c r="R332" s="629"/>
      <c r="S332" s="629"/>
      <c r="T332" s="630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549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551</v>
      </c>
      <c r="B333" s="63" t="s">
        <v>552</v>
      </c>
      <c r="C333" s="36">
        <v>4301180006</v>
      </c>
      <c r="D333" s="627">
        <v>4680115881822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550</v>
      </c>
      <c r="N333" s="38"/>
      <c r="O333" s="37">
        <v>730</v>
      </c>
      <c r="P333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553</v>
      </c>
      <c r="B334" s="63" t="s">
        <v>554</v>
      </c>
      <c r="C334" s="36">
        <v>4301180001</v>
      </c>
      <c r="D334" s="627">
        <v>4680115880016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550</v>
      </c>
      <c r="N334" s="38"/>
      <c r="O334" s="37">
        <v>730</v>
      </c>
      <c r="P334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35"/>
      <c r="B335" s="635"/>
      <c r="C335" s="635"/>
      <c r="D335" s="635"/>
      <c r="E335" s="635"/>
      <c r="F335" s="635"/>
      <c r="G335" s="635"/>
      <c r="H335" s="635"/>
      <c r="I335" s="635"/>
      <c r="J335" s="635"/>
      <c r="K335" s="635"/>
      <c r="L335" s="635"/>
      <c r="M335" s="635"/>
      <c r="N335" s="635"/>
      <c r="O335" s="636"/>
      <c r="P335" s="632" t="s">
        <v>40</v>
      </c>
      <c r="Q335" s="633"/>
      <c r="R335" s="633"/>
      <c r="S335" s="633"/>
      <c r="T335" s="633"/>
      <c r="U335" s="633"/>
      <c r="V335" s="634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25" t="s">
        <v>555</v>
      </c>
      <c r="B337" s="625"/>
      <c r="C337" s="625"/>
      <c r="D337" s="625"/>
      <c r="E337" s="625"/>
      <c r="F337" s="625"/>
      <c r="G337" s="625"/>
      <c r="H337" s="625"/>
      <c r="I337" s="625"/>
      <c r="J337" s="625"/>
      <c r="K337" s="625"/>
      <c r="L337" s="625"/>
      <c r="M337" s="625"/>
      <c r="N337" s="625"/>
      <c r="O337" s="625"/>
      <c r="P337" s="625"/>
      <c r="Q337" s="625"/>
      <c r="R337" s="625"/>
      <c r="S337" s="625"/>
      <c r="T337" s="625"/>
      <c r="U337" s="625"/>
      <c r="V337" s="625"/>
      <c r="W337" s="625"/>
      <c r="X337" s="625"/>
      <c r="Y337" s="625"/>
      <c r="Z337" s="625"/>
      <c r="AA337" s="65"/>
      <c r="AB337" s="65"/>
      <c r="AC337" s="79"/>
    </row>
    <row r="338" spans="1:68" ht="14.25" customHeight="1" x14ac:dyDescent="0.25">
      <c r="A338" s="626" t="s">
        <v>88</v>
      </c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626"/>
      <c r="Y338" s="626"/>
      <c r="Z338" s="626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4301051489</v>
      </c>
      <c r="D339" s="627">
        <v>4607091387919</v>
      </c>
      <c r="E339" s="627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120</v>
      </c>
      <c r="L339" s="37" t="s">
        <v>45</v>
      </c>
      <c r="M339" s="38" t="s">
        <v>101</v>
      </c>
      <c r="N339" s="38"/>
      <c r="O339" s="37">
        <v>45</v>
      </c>
      <c r="P339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9"/>
      <c r="R339" s="629"/>
      <c r="S339" s="629"/>
      <c r="T339" s="630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4301051461</v>
      </c>
      <c r="D340" s="627">
        <v>4680115883604</v>
      </c>
      <c r="E340" s="627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93</v>
      </c>
      <c r="M340" s="38" t="s">
        <v>92</v>
      </c>
      <c r="N340" s="38"/>
      <c r="O340" s="37">
        <v>45</v>
      </c>
      <c r="P340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94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562</v>
      </c>
      <c r="B341" s="63" t="s">
        <v>563</v>
      </c>
      <c r="C341" s="36">
        <v>4301051864</v>
      </c>
      <c r="D341" s="627">
        <v>4680115883567</v>
      </c>
      <c r="E341" s="627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93</v>
      </c>
      <c r="M341" s="38" t="s">
        <v>101</v>
      </c>
      <c r="N341" s="38"/>
      <c r="O341" s="37">
        <v>40</v>
      </c>
      <c r="P341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564</v>
      </c>
      <c r="AG341" s="78"/>
      <c r="AJ341" s="84" t="s">
        <v>94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5"/>
      <c r="B342" s="635"/>
      <c r="C342" s="635"/>
      <c r="D342" s="635"/>
      <c r="E342" s="635"/>
      <c r="F342" s="635"/>
      <c r="G342" s="635"/>
      <c r="H342" s="635"/>
      <c r="I342" s="635"/>
      <c r="J342" s="635"/>
      <c r="K342" s="635"/>
      <c r="L342" s="635"/>
      <c r="M342" s="635"/>
      <c r="N342" s="635"/>
      <c r="O342" s="636"/>
      <c r="P342" s="632" t="s">
        <v>40</v>
      </c>
      <c r="Q342" s="633"/>
      <c r="R342" s="633"/>
      <c r="S342" s="633"/>
      <c r="T342" s="633"/>
      <c r="U342" s="633"/>
      <c r="V342" s="634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24" t="s">
        <v>565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54"/>
      <c r="AB344" s="54"/>
      <c r="AC344" s="54"/>
    </row>
    <row r="345" spans="1:68" ht="16.5" customHeight="1" x14ac:dyDescent="0.25">
      <c r="A345" s="625" t="s">
        <v>566</v>
      </c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5"/>
      <c r="P345" s="625"/>
      <c r="Q345" s="625"/>
      <c r="R345" s="625"/>
      <c r="S345" s="625"/>
      <c r="T345" s="625"/>
      <c r="U345" s="625"/>
      <c r="V345" s="625"/>
      <c r="W345" s="625"/>
      <c r="X345" s="625"/>
      <c r="Y345" s="625"/>
      <c r="Z345" s="625"/>
      <c r="AA345" s="65"/>
      <c r="AB345" s="65"/>
      <c r="AC345" s="79"/>
    </row>
    <row r="346" spans="1:68" ht="14.25" customHeight="1" x14ac:dyDescent="0.25">
      <c r="A346" s="626" t="s">
        <v>115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66"/>
      <c r="AB346" s="66"/>
      <c r="AC346" s="80"/>
    </row>
    <row r="347" spans="1:68" ht="37.5" customHeight="1" x14ac:dyDescent="0.25">
      <c r="A347" s="63" t="s">
        <v>567</v>
      </c>
      <c r="B347" s="63" t="s">
        <v>568</v>
      </c>
      <c r="C347" s="36">
        <v>4301011869</v>
      </c>
      <c r="D347" s="627">
        <v>4680115884847</v>
      </c>
      <c r="E347" s="627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120</v>
      </c>
      <c r="L347" s="37" t="s">
        <v>121</v>
      </c>
      <c r="M347" s="38" t="s">
        <v>82</v>
      </c>
      <c r="N347" s="38"/>
      <c r="O347" s="37">
        <v>60</v>
      </c>
      <c r="P347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9"/>
      <c r="R347" s="629"/>
      <c r="S347" s="629"/>
      <c r="T347" s="630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6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94</v>
      </c>
      <c r="AK347" s="84">
        <v>120</v>
      </c>
      <c r="BB347" s="417" t="s">
        <v>66</v>
      </c>
      <c r="BM347" s="78">
        <f t="shared" ref="BM347:BM353" si="37">IFERROR(X347*I347/H347,"0")</f>
        <v>0</v>
      </c>
      <c r="BN347" s="78">
        <f t="shared" ref="BN347:BN353" si="38">IFERROR(Y347*I347/H347,"0")</f>
        <v>0</v>
      </c>
      <c r="BO347" s="78">
        <f t="shared" ref="BO347:BO353" si="39">IFERROR(1/J347*(X347/H347),"0")</f>
        <v>0</v>
      </c>
      <c r="BP347" s="78">
        <f t="shared" ref="BP347:BP353" si="40">IFERROR(1/J347*(Y347/H347),"0")</f>
        <v>0</v>
      </c>
    </row>
    <row r="348" spans="1:68" ht="27" customHeight="1" x14ac:dyDescent="0.25">
      <c r="A348" s="63" t="s">
        <v>570</v>
      </c>
      <c r="B348" s="63" t="s">
        <v>571</v>
      </c>
      <c r="C348" s="36">
        <v>4301011870</v>
      </c>
      <c r="D348" s="627">
        <v>4680115884854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120</v>
      </c>
      <c r="L348" s="37" t="s">
        <v>121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94</v>
      </c>
      <c r="AK348" s="84">
        <v>120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573</v>
      </c>
      <c r="B349" s="63" t="s">
        <v>574</v>
      </c>
      <c r="C349" s="36">
        <v>4301011867</v>
      </c>
      <c r="D349" s="627">
        <v>4680115884830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120</v>
      </c>
      <c r="L349" s="37" t="s">
        <v>121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94</v>
      </c>
      <c r="AK349" s="84">
        <v>120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4301012215</v>
      </c>
      <c r="D350" s="627">
        <v>4680115887046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120</v>
      </c>
      <c r="L350" s="37" t="s">
        <v>45</v>
      </c>
      <c r="M350" s="38" t="s">
        <v>101</v>
      </c>
      <c r="N350" s="38"/>
      <c r="O350" s="37">
        <v>60</v>
      </c>
      <c r="P350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4301011433</v>
      </c>
      <c r="D351" s="627">
        <v>4680115882638</v>
      </c>
      <c r="E351" s="627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124</v>
      </c>
      <c r="L351" s="37" t="s">
        <v>45</v>
      </c>
      <c r="M351" s="38" t="s">
        <v>119</v>
      </c>
      <c r="N351" s="38"/>
      <c r="O351" s="37">
        <v>90</v>
      </c>
      <c r="P351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581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4301011952</v>
      </c>
      <c r="D352" s="627">
        <v>4680115884922</v>
      </c>
      <c r="E352" s="627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124</v>
      </c>
      <c r="L352" s="37" t="s">
        <v>45</v>
      </c>
      <c r="M352" s="38" t="s">
        <v>82</v>
      </c>
      <c r="N352" s="38"/>
      <c r="O352" s="37">
        <v>60</v>
      </c>
      <c r="P352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572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37.5" customHeight="1" x14ac:dyDescent="0.25">
      <c r="A353" s="63" t="s">
        <v>584</v>
      </c>
      <c r="B353" s="63" t="s">
        <v>585</v>
      </c>
      <c r="C353" s="36">
        <v>4301011868</v>
      </c>
      <c r="D353" s="627">
        <v>4680115884861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124</v>
      </c>
      <c r="L353" s="37" t="s">
        <v>45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575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x14ac:dyDescent="0.2">
      <c r="A354" s="635"/>
      <c r="B354" s="635"/>
      <c r="C354" s="635"/>
      <c r="D354" s="635"/>
      <c r="E354" s="635"/>
      <c r="F354" s="635"/>
      <c r="G354" s="635"/>
      <c r="H354" s="635"/>
      <c r="I354" s="635"/>
      <c r="J354" s="635"/>
      <c r="K354" s="635"/>
      <c r="L354" s="635"/>
      <c r="M354" s="635"/>
      <c r="N354" s="635"/>
      <c r="O354" s="636"/>
      <c r="P354" s="632" t="s">
        <v>40</v>
      </c>
      <c r="Q354" s="633"/>
      <c r="R354" s="633"/>
      <c r="S354" s="633"/>
      <c r="T354" s="633"/>
      <c r="U354" s="633"/>
      <c r="V354" s="634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6" t="s">
        <v>150</v>
      </c>
      <c r="B356" s="626"/>
      <c r="C356" s="626"/>
      <c r="D356" s="626"/>
      <c r="E356" s="626"/>
      <c r="F356" s="626"/>
      <c r="G356" s="626"/>
      <c r="H356" s="626"/>
      <c r="I356" s="626"/>
      <c r="J356" s="626"/>
      <c r="K356" s="626"/>
      <c r="L356" s="626"/>
      <c r="M356" s="626"/>
      <c r="N356" s="626"/>
      <c r="O356" s="626"/>
      <c r="P356" s="626"/>
      <c r="Q356" s="626"/>
      <c r="R356" s="626"/>
      <c r="S356" s="626"/>
      <c r="T356" s="626"/>
      <c r="U356" s="626"/>
      <c r="V356" s="626"/>
      <c r="W356" s="626"/>
      <c r="X356" s="626"/>
      <c r="Y356" s="626"/>
      <c r="Z356" s="626"/>
      <c r="AA356" s="66"/>
      <c r="AB356" s="66"/>
      <c r="AC356" s="80"/>
    </row>
    <row r="357" spans="1:68" ht="27" customHeight="1" x14ac:dyDescent="0.25">
      <c r="A357" s="63" t="s">
        <v>586</v>
      </c>
      <c r="B357" s="63" t="s">
        <v>587</v>
      </c>
      <c r="C357" s="36">
        <v>4301020178</v>
      </c>
      <c r="D357" s="627">
        <v>4607091383980</v>
      </c>
      <c r="E357" s="627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120</v>
      </c>
      <c r="L357" s="37" t="s">
        <v>121</v>
      </c>
      <c r="M357" s="38" t="s">
        <v>119</v>
      </c>
      <c r="N357" s="38"/>
      <c r="O357" s="37">
        <v>50</v>
      </c>
      <c r="P357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9"/>
      <c r="R357" s="629"/>
      <c r="S357" s="629"/>
      <c r="T357" s="630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94</v>
      </c>
      <c r="AK357" s="84">
        <v>120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589</v>
      </c>
      <c r="B358" s="63" t="s">
        <v>590</v>
      </c>
      <c r="C358" s="36">
        <v>4301020179</v>
      </c>
      <c r="D358" s="627">
        <v>4607091384178</v>
      </c>
      <c r="E358" s="62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124</v>
      </c>
      <c r="L358" s="37" t="s">
        <v>45</v>
      </c>
      <c r="M358" s="38" t="s">
        <v>119</v>
      </c>
      <c r="N358" s="38"/>
      <c r="O358" s="37">
        <v>50</v>
      </c>
      <c r="P358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591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5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5"/>
      <c r="M359" s="635"/>
      <c r="N359" s="635"/>
      <c r="O359" s="636"/>
      <c r="P359" s="632" t="s">
        <v>40</v>
      </c>
      <c r="Q359" s="633"/>
      <c r="R359" s="633"/>
      <c r="S359" s="633"/>
      <c r="T359" s="633"/>
      <c r="U359" s="633"/>
      <c r="V359" s="634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6" t="s">
        <v>88</v>
      </c>
      <c r="B361" s="626"/>
      <c r="C361" s="626"/>
      <c r="D361" s="626"/>
      <c r="E361" s="626"/>
      <c r="F361" s="626"/>
      <c r="G361" s="626"/>
      <c r="H361" s="626"/>
      <c r="I361" s="626"/>
      <c r="J361" s="626"/>
      <c r="K361" s="626"/>
      <c r="L361" s="626"/>
      <c r="M361" s="626"/>
      <c r="N361" s="626"/>
      <c r="O361" s="626"/>
      <c r="P361" s="626"/>
      <c r="Q361" s="626"/>
      <c r="R361" s="626"/>
      <c r="S361" s="626"/>
      <c r="T361" s="626"/>
      <c r="U361" s="626"/>
      <c r="V361" s="626"/>
      <c r="W361" s="626"/>
      <c r="X361" s="626"/>
      <c r="Y361" s="626"/>
      <c r="Z361" s="626"/>
      <c r="AA361" s="66"/>
      <c r="AB361" s="66"/>
      <c r="AC361" s="80"/>
    </row>
    <row r="362" spans="1:68" ht="27" customHeight="1" x14ac:dyDescent="0.25">
      <c r="A362" s="63" t="s">
        <v>592</v>
      </c>
      <c r="B362" s="63" t="s">
        <v>593</v>
      </c>
      <c r="C362" s="36">
        <v>4301051903</v>
      </c>
      <c r="D362" s="627">
        <v>4607091383928</v>
      </c>
      <c r="E362" s="627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120</v>
      </c>
      <c r="L362" s="37" t="s">
        <v>45</v>
      </c>
      <c r="M362" s="38" t="s">
        <v>92</v>
      </c>
      <c r="N362" s="38"/>
      <c r="O362" s="37">
        <v>40</v>
      </c>
      <c r="P362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9"/>
      <c r="R362" s="629"/>
      <c r="S362" s="629"/>
      <c r="T362" s="630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595</v>
      </c>
      <c r="B363" s="63" t="s">
        <v>596</v>
      </c>
      <c r="C363" s="36">
        <v>4301051897</v>
      </c>
      <c r="D363" s="627">
        <v>4607091384260</v>
      </c>
      <c r="E363" s="627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120</v>
      </c>
      <c r="L363" s="37" t="s">
        <v>45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597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5"/>
      <c r="B364" s="635"/>
      <c r="C364" s="635"/>
      <c r="D364" s="635"/>
      <c r="E364" s="635"/>
      <c r="F364" s="635"/>
      <c r="G364" s="635"/>
      <c r="H364" s="635"/>
      <c r="I364" s="635"/>
      <c r="J364" s="635"/>
      <c r="K364" s="635"/>
      <c r="L364" s="635"/>
      <c r="M364" s="635"/>
      <c r="N364" s="635"/>
      <c r="O364" s="636"/>
      <c r="P364" s="632" t="s">
        <v>40</v>
      </c>
      <c r="Q364" s="633"/>
      <c r="R364" s="633"/>
      <c r="S364" s="633"/>
      <c r="T364" s="633"/>
      <c r="U364" s="633"/>
      <c r="V364" s="634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6" t="s">
        <v>178</v>
      </c>
      <c r="B366" s="626"/>
      <c r="C366" s="626"/>
      <c r="D366" s="626"/>
      <c r="E366" s="626"/>
      <c r="F366" s="626"/>
      <c r="G366" s="626"/>
      <c r="H366" s="626"/>
      <c r="I366" s="626"/>
      <c r="J366" s="626"/>
      <c r="K366" s="626"/>
      <c r="L366" s="626"/>
      <c r="M366" s="626"/>
      <c r="N366" s="626"/>
      <c r="O366" s="626"/>
      <c r="P366" s="626"/>
      <c r="Q366" s="626"/>
      <c r="R366" s="626"/>
      <c r="S366" s="626"/>
      <c r="T366" s="626"/>
      <c r="U366" s="626"/>
      <c r="V366" s="626"/>
      <c r="W366" s="626"/>
      <c r="X366" s="626"/>
      <c r="Y366" s="626"/>
      <c r="Z366" s="626"/>
      <c r="AA366" s="66"/>
      <c r="AB366" s="66"/>
      <c r="AC366" s="80"/>
    </row>
    <row r="367" spans="1:68" ht="16.5" customHeight="1" x14ac:dyDescent="0.25">
      <c r="A367" s="63" t="s">
        <v>598</v>
      </c>
      <c r="B367" s="63" t="s">
        <v>599</v>
      </c>
      <c r="C367" s="36">
        <v>4301060524</v>
      </c>
      <c r="D367" s="627">
        <v>4607091384673</v>
      </c>
      <c r="E367" s="627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120</v>
      </c>
      <c r="L367" s="37" t="s">
        <v>45</v>
      </c>
      <c r="M367" s="38" t="s">
        <v>92</v>
      </c>
      <c r="N367" s="38"/>
      <c r="O367" s="37">
        <v>40</v>
      </c>
      <c r="P367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9"/>
      <c r="R367" s="629"/>
      <c r="S367" s="629"/>
      <c r="T367" s="630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600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36"/>
      <c r="P368" s="632" t="s">
        <v>40</v>
      </c>
      <c r="Q368" s="633"/>
      <c r="R368" s="633"/>
      <c r="S368" s="633"/>
      <c r="T368" s="633"/>
      <c r="U368" s="633"/>
      <c r="V368" s="634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25" t="s">
        <v>601</v>
      </c>
      <c r="B370" s="625"/>
      <c r="C370" s="625"/>
      <c r="D370" s="625"/>
      <c r="E370" s="625"/>
      <c r="F370" s="625"/>
      <c r="G370" s="625"/>
      <c r="H370" s="625"/>
      <c r="I370" s="625"/>
      <c r="J370" s="625"/>
      <c r="K370" s="625"/>
      <c r="L370" s="625"/>
      <c r="M370" s="625"/>
      <c r="N370" s="625"/>
      <c r="O370" s="625"/>
      <c r="P370" s="625"/>
      <c r="Q370" s="625"/>
      <c r="R370" s="625"/>
      <c r="S370" s="625"/>
      <c r="T370" s="625"/>
      <c r="U370" s="625"/>
      <c r="V370" s="625"/>
      <c r="W370" s="625"/>
      <c r="X370" s="625"/>
      <c r="Y370" s="625"/>
      <c r="Z370" s="625"/>
      <c r="AA370" s="65"/>
      <c r="AB370" s="65"/>
      <c r="AC370" s="79"/>
    </row>
    <row r="371" spans="1:68" ht="14.25" customHeight="1" x14ac:dyDescent="0.25">
      <c r="A371" s="626" t="s">
        <v>115</v>
      </c>
      <c r="B371" s="626"/>
      <c r="C371" s="626"/>
      <c r="D371" s="626"/>
      <c r="E371" s="626"/>
      <c r="F371" s="626"/>
      <c r="G371" s="626"/>
      <c r="H371" s="626"/>
      <c r="I371" s="626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626"/>
      <c r="Y371" s="626"/>
      <c r="Z371" s="626"/>
      <c r="AA371" s="66"/>
      <c r="AB371" s="66"/>
      <c r="AC371" s="80"/>
    </row>
    <row r="372" spans="1:68" ht="37.5" customHeight="1" x14ac:dyDescent="0.25">
      <c r="A372" s="63" t="s">
        <v>602</v>
      </c>
      <c r="B372" s="63" t="s">
        <v>603</v>
      </c>
      <c r="C372" s="36">
        <v>4301011875</v>
      </c>
      <c r="D372" s="627">
        <v>4680115884885</v>
      </c>
      <c r="E372" s="627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120</v>
      </c>
      <c r="L372" s="37" t="s">
        <v>45</v>
      </c>
      <c r="M372" s="38" t="s">
        <v>82</v>
      </c>
      <c r="N372" s="38"/>
      <c r="O372" s="37">
        <v>60</v>
      </c>
      <c r="P372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9"/>
      <c r="R372" s="629"/>
      <c r="S372" s="629"/>
      <c r="T372" s="630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604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605</v>
      </c>
      <c r="B373" s="63" t="s">
        <v>606</v>
      </c>
      <c r="C373" s="36">
        <v>4301011871</v>
      </c>
      <c r="D373" s="627">
        <v>4680115884908</v>
      </c>
      <c r="E373" s="627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124</v>
      </c>
      <c r="L373" s="37" t="s">
        <v>45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5"/>
      <c r="B374" s="635"/>
      <c r="C374" s="635"/>
      <c r="D374" s="635"/>
      <c r="E374" s="635"/>
      <c r="F374" s="635"/>
      <c r="G374" s="635"/>
      <c r="H374" s="635"/>
      <c r="I374" s="635"/>
      <c r="J374" s="635"/>
      <c r="K374" s="635"/>
      <c r="L374" s="635"/>
      <c r="M374" s="635"/>
      <c r="N374" s="635"/>
      <c r="O374" s="636"/>
      <c r="P374" s="632" t="s">
        <v>40</v>
      </c>
      <c r="Q374" s="633"/>
      <c r="R374" s="633"/>
      <c r="S374" s="633"/>
      <c r="T374" s="633"/>
      <c r="U374" s="633"/>
      <c r="V374" s="634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6" t="s">
        <v>78</v>
      </c>
      <c r="B376" s="626"/>
      <c r="C376" s="626"/>
      <c r="D376" s="626"/>
      <c r="E376" s="626"/>
      <c r="F376" s="626"/>
      <c r="G376" s="626"/>
      <c r="H376" s="626"/>
      <c r="I376" s="626"/>
      <c r="J376" s="626"/>
      <c r="K376" s="626"/>
      <c r="L376" s="626"/>
      <c r="M376" s="626"/>
      <c r="N376" s="626"/>
      <c r="O376" s="626"/>
      <c r="P376" s="626"/>
      <c r="Q376" s="626"/>
      <c r="R376" s="626"/>
      <c r="S376" s="626"/>
      <c r="T376" s="626"/>
      <c r="U376" s="626"/>
      <c r="V376" s="626"/>
      <c r="W376" s="626"/>
      <c r="X376" s="626"/>
      <c r="Y376" s="626"/>
      <c r="Z376" s="626"/>
      <c r="AA376" s="66"/>
      <c r="AB376" s="66"/>
      <c r="AC376" s="80"/>
    </row>
    <row r="377" spans="1:68" ht="27" customHeight="1" x14ac:dyDescent="0.25">
      <c r="A377" s="63" t="s">
        <v>607</v>
      </c>
      <c r="B377" s="63" t="s">
        <v>608</v>
      </c>
      <c r="C377" s="36">
        <v>4301031303</v>
      </c>
      <c r="D377" s="627">
        <v>4607091384802</v>
      </c>
      <c r="E377" s="627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124</v>
      </c>
      <c r="L377" s="37" t="s">
        <v>45</v>
      </c>
      <c r="M377" s="38" t="s">
        <v>82</v>
      </c>
      <c r="N377" s="38"/>
      <c r="O377" s="37">
        <v>35</v>
      </c>
      <c r="P377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629"/>
      <c r="R377" s="629"/>
      <c r="S377" s="629"/>
      <c r="T377" s="630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609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607</v>
      </c>
      <c r="B378" s="63" t="s">
        <v>610</v>
      </c>
      <c r="C378" s="36">
        <v>4301031457</v>
      </c>
      <c r="D378" s="627">
        <v>4607091384802</v>
      </c>
      <c r="E378" s="627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124</v>
      </c>
      <c r="L378" s="37" t="s">
        <v>45</v>
      </c>
      <c r="M378" s="38" t="s">
        <v>82</v>
      </c>
      <c r="N378" s="38"/>
      <c r="O378" s="37">
        <v>50</v>
      </c>
      <c r="P378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611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35"/>
      <c r="B379" s="635"/>
      <c r="C379" s="635"/>
      <c r="D379" s="635"/>
      <c r="E379" s="635"/>
      <c r="F379" s="635"/>
      <c r="G379" s="635"/>
      <c r="H379" s="635"/>
      <c r="I379" s="635"/>
      <c r="J379" s="635"/>
      <c r="K379" s="635"/>
      <c r="L379" s="635"/>
      <c r="M379" s="635"/>
      <c r="N379" s="635"/>
      <c r="O379" s="636"/>
      <c r="P379" s="632" t="s">
        <v>40</v>
      </c>
      <c r="Q379" s="633"/>
      <c r="R379" s="633"/>
      <c r="S379" s="633"/>
      <c r="T379" s="633"/>
      <c r="U379" s="633"/>
      <c r="V379" s="634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14.25" customHeight="1" x14ac:dyDescent="0.25">
      <c r="A381" s="626" t="s">
        <v>88</v>
      </c>
      <c r="B381" s="626"/>
      <c r="C381" s="626"/>
      <c r="D381" s="626"/>
      <c r="E381" s="626"/>
      <c r="F381" s="626"/>
      <c r="G381" s="626"/>
      <c r="H381" s="626"/>
      <c r="I381" s="626"/>
      <c r="J381" s="626"/>
      <c r="K381" s="626"/>
      <c r="L381" s="626"/>
      <c r="M381" s="626"/>
      <c r="N381" s="626"/>
      <c r="O381" s="626"/>
      <c r="P381" s="626"/>
      <c r="Q381" s="626"/>
      <c r="R381" s="626"/>
      <c r="S381" s="626"/>
      <c r="T381" s="626"/>
      <c r="U381" s="626"/>
      <c r="V381" s="626"/>
      <c r="W381" s="626"/>
      <c r="X381" s="626"/>
      <c r="Y381" s="626"/>
      <c r="Z381" s="626"/>
      <c r="AA381" s="66"/>
      <c r="AB381" s="66"/>
      <c r="AC381" s="80"/>
    </row>
    <row r="382" spans="1:68" ht="27" customHeight="1" x14ac:dyDescent="0.25">
      <c r="A382" s="63" t="s">
        <v>612</v>
      </c>
      <c r="B382" s="63" t="s">
        <v>613</v>
      </c>
      <c r="C382" s="36">
        <v>4301051899</v>
      </c>
      <c r="D382" s="627">
        <v>4607091384246</v>
      </c>
      <c r="E382" s="627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120</v>
      </c>
      <c r="L382" s="37" t="s">
        <v>45</v>
      </c>
      <c r="M382" s="38" t="s">
        <v>92</v>
      </c>
      <c r="N382" s="38"/>
      <c r="O382" s="37">
        <v>40</v>
      </c>
      <c r="P382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629"/>
      <c r="R382" s="629"/>
      <c r="S382" s="629"/>
      <c r="T382" s="630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45</v>
      </c>
      <c r="AB382" s="69" t="s">
        <v>45</v>
      </c>
      <c r="AC382" s="448" t="s">
        <v>614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615</v>
      </c>
      <c r="B383" s="63" t="s">
        <v>616</v>
      </c>
      <c r="C383" s="36">
        <v>4301051660</v>
      </c>
      <c r="D383" s="627">
        <v>4607091384253</v>
      </c>
      <c r="E383" s="627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617</v>
      </c>
      <c r="C384" s="36">
        <v>4301052069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618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35"/>
      <c r="B385" s="635"/>
      <c r="C385" s="635"/>
      <c r="D385" s="635"/>
      <c r="E385" s="635"/>
      <c r="F385" s="635"/>
      <c r="G385" s="635"/>
      <c r="H385" s="635"/>
      <c r="I385" s="635"/>
      <c r="J385" s="635"/>
      <c r="K385" s="635"/>
      <c r="L385" s="635"/>
      <c r="M385" s="635"/>
      <c r="N385" s="635"/>
      <c r="O385" s="636"/>
      <c r="P385" s="632" t="s">
        <v>40</v>
      </c>
      <c r="Q385" s="633"/>
      <c r="R385" s="633"/>
      <c r="S385" s="633"/>
      <c r="T385" s="633"/>
      <c r="U385" s="633"/>
      <c r="V385" s="634"/>
      <c r="W385" s="42" t="s">
        <v>39</v>
      </c>
      <c r="X385" s="43">
        <f>IFERROR(X382/H382,"0")+IFERROR(X383/H383,"0")+IFERROR(X384/H384,"0")</f>
        <v>0</v>
      </c>
      <c r="Y385" s="43">
        <f>IFERROR(Y382/H382,"0")+IFERROR(Y383/H383,"0")+IFERROR(Y384/H384,"0")</f>
        <v>0</v>
      </c>
      <c r="Z385" s="43">
        <f>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0</v>
      </c>
      <c r="X386" s="43">
        <f>IFERROR(SUM(X382:X384),"0")</f>
        <v>0</v>
      </c>
      <c r="Y386" s="43">
        <f>IFERROR(SUM(Y382:Y384),"0")</f>
        <v>0</v>
      </c>
      <c r="Z386" s="42"/>
      <c r="AA386" s="67"/>
      <c r="AB386" s="67"/>
      <c r="AC386" s="67"/>
    </row>
    <row r="387" spans="1:68" ht="27.75" customHeight="1" x14ac:dyDescent="0.2">
      <c r="A387" s="624" t="s">
        <v>619</v>
      </c>
      <c r="B387" s="624"/>
      <c r="C387" s="624"/>
      <c r="D387" s="624"/>
      <c r="E387" s="624"/>
      <c r="F387" s="624"/>
      <c r="G387" s="624"/>
      <c r="H387" s="624"/>
      <c r="I387" s="624"/>
      <c r="J387" s="624"/>
      <c r="K387" s="624"/>
      <c r="L387" s="624"/>
      <c r="M387" s="624"/>
      <c r="N387" s="624"/>
      <c r="O387" s="624"/>
      <c r="P387" s="624"/>
      <c r="Q387" s="624"/>
      <c r="R387" s="624"/>
      <c r="S387" s="624"/>
      <c r="T387" s="624"/>
      <c r="U387" s="624"/>
      <c r="V387" s="624"/>
      <c r="W387" s="624"/>
      <c r="X387" s="624"/>
      <c r="Y387" s="624"/>
      <c r="Z387" s="624"/>
      <c r="AA387" s="54"/>
      <c r="AB387" s="54"/>
      <c r="AC387" s="54"/>
    </row>
    <row r="388" spans="1:68" ht="16.5" customHeight="1" x14ac:dyDescent="0.25">
      <c r="A388" s="625" t="s">
        <v>620</v>
      </c>
      <c r="B388" s="625"/>
      <c r="C388" s="625"/>
      <c r="D388" s="625"/>
      <c r="E388" s="625"/>
      <c r="F388" s="625"/>
      <c r="G388" s="625"/>
      <c r="H388" s="625"/>
      <c r="I388" s="625"/>
      <c r="J388" s="625"/>
      <c r="K388" s="625"/>
      <c r="L388" s="625"/>
      <c r="M388" s="625"/>
      <c r="N388" s="625"/>
      <c r="O388" s="625"/>
      <c r="P388" s="625"/>
      <c r="Q388" s="625"/>
      <c r="R388" s="625"/>
      <c r="S388" s="625"/>
      <c r="T388" s="625"/>
      <c r="U388" s="625"/>
      <c r="V388" s="625"/>
      <c r="W388" s="625"/>
      <c r="X388" s="625"/>
      <c r="Y388" s="625"/>
      <c r="Z388" s="625"/>
      <c r="AA388" s="65"/>
      <c r="AB388" s="65"/>
      <c r="AC388" s="79"/>
    </row>
    <row r="389" spans="1:68" ht="14.25" customHeight="1" x14ac:dyDescent="0.25">
      <c r="A389" s="626" t="s">
        <v>78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66"/>
      <c r="AB389" s="66"/>
      <c r="AC389" s="80"/>
    </row>
    <row r="390" spans="1:68" ht="27" customHeight="1" x14ac:dyDescent="0.25">
      <c r="A390" s="63" t="s">
        <v>621</v>
      </c>
      <c r="B390" s="63" t="s">
        <v>622</v>
      </c>
      <c r="C390" s="36">
        <v>4301031405</v>
      </c>
      <c r="D390" s="627">
        <v>4680115886100</v>
      </c>
      <c r="E390" s="627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124</v>
      </c>
      <c r="L390" s="37" t="s">
        <v>45</v>
      </c>
      <c r="M390" s="38" t="s">
        <v>82</v>
      </c>
      <c r="N390" s="38"/>
      <c r="O390" s="37">
        <v>50</v>
      </c>
      <c r="P390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629"/>
      <c r="R390" s="629"/>
      <c r="S390" s="629"/>
      <c r="T390" s="630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ref="Y390:Y398" si="41">IFERROR(IF(X390="",0,CEILING((X390/$H390),1)*$H390),"")</f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45</v>
      </c>
      <c r="AK390" s="84">
        <v>0</v>
      </c>
      <c r="BB390" s="455" t="s">
        <v>66</v>
      </c>
      <c r="BM390" s="78">
        <f t="shared" ref="BM390:BM398" si="42">IFERROR(X390*I390/H390,"0")</f>
        <v>0</v>
      </c>
      <c r="BN390" s="78">
        <f t="shared" ref="BN390:BN398" si="43">IFERROR(Y390*I390/H390,"0")</f>
        <v>0</v>
      </c>
      <c r="BO390" s="78">
        <f t="shared" ref="BO390:BO398" si="44">IFERROR(1/J390*(X390/H390),"0")</f>
        <v>0</v>
      </c>
      <c r="BP390" s="78">
        <f t="shared" ref="BP390:BP398" si="45">IFERROR(1/J390*(Y390/H390),"0")</f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4301031406</v>
      </c>
      <c r="D391" s="627">
        <v>4680115886117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124</v>
      </c>
      <c r="L391" s="37" t="s">
        <v>45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4301031402</v>
      </c>
      <c r="D392" s="627">
        <v>4680115886124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124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629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630</v>
      </c>
      <c r="B393" s="63" t="s">
        <v>631</v>
      </c>
      <c r="C393" s="36">
        <v>4301031366</v>
      </c>
      <c r="D393" s="627">
        <v>4680115883147</v>
      </c>
      <c r="E393" s="627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ref="Z393:Z398" si="46">IFERROR(IF(Y393=0,"",ROUNDUP(Y393/H393,0)*0.00502),"")</f>
        <v/>
      </c>
      <c r="AA393" s="68" t="s">
        <v>45</v>
      </c>
      <c r="AB393" s="69" t="s">
        <v>45</v>
      </c>
      <c r="AC393" s="460" t="s">
        <v>623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632</v>
      </c>
      <c r="B394" s="63" t="s">
        <v>633</v>
      </c>
      <c r="C394" s="36">
        <v>4301031362</v>
      </c>
      <c r="D394" s="627">
        <v>4607091384338</v>
      </c>
      <c r="E394" s="627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304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94</v>
      </c>
      <c r="AK394" s="84">
        <v>37.799999999999997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37.5" customHeight="1" x14ac:dyDescent="0.25">
      <c r="A395" s="63" t="s">
        <v>634</v>
      </c>
      <c r="B395" s="63" t="s">
        <v>635</v>
      </c>
      <c r="C395" s="36">
        <v>4301031361</v>
      </c>
      <c r="D395" s="627">
        <v>4607091389524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4301031364</v>
      </c>
      <c r="D396" s="627">
        <v>4680115883161</v>
      </c>
      <c r="E396" s="627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640</v>
      </c>
      <c r="B397" s="63" t="s">
        <v>641</v>
      </c>
      <c r="C397" s="36">
        <v>4301031358</v>
      </c>
      <c r="D397" s="627">
        <v>4607091389531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642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643</v>
      </c>
      <c r="B398" s="63" t="s">
        <v>644</v>
      </c>
      <c r="C398" s="36">
        <v>4301031360</v>
      </c>
      <c r="D398" s="627">
        <v>4607091384345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639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x14ac:dyDescent="0.2">
      <c r="A399" s="635"/>
      <c r="B399" s="635"/>
      <c r="C399" s="635"/>
      <c r="D399" s="635"/>
      <c r="E399" s="635"/>
      <c r="F399" s="635"/>
      <c r="G399" s="635"/>
      <c r="H399" s="635"/>
      <c r="I399" s="635"/>
      <c r="J399" s="635"/>
      <c r="K399" s="635"/>
      <c r="L399" s="635"/>
      <c r="M399" s="635"/>
      <c r="N399" s="635"/>
      <c r="O399" s="636"/>
      <c r="P399" s="632" t="s">
        <v>40</v>
      </c>
      <c r="Q399" s="633"/>
      <c r="R399" s="633"/>
      <c r="S399" s="633"/>
      <c r="T399" s="633"/>
      <c r="U399" s="633"/>
      <c r="V399" s="634"/>
      <c r="W399" s="42" t="s">
        <v>39</v>
      </c>
      <c r="X399" s="43">
        <f>IFERROR(X390/H390,"0")+IFERROR(X391/H391,"0")+IFERROR(X392/H392,"0")+IFERROR(X393/H393,"0")+IFERROR(X394/H394,"0")+IFERROR(X395/H395,"0")+IFERROR(X396/H396,"0")+IFERROR(X397/H397,"0")+IFERROR(X398/H398,"0")</f>
        <v>0</v>
      </c>
      <c r="Y399" s="43">
        <f>IFERROR(Y390/H390,"0")+IFERROR(Y391/H391,"0")+IFERROR(Y392/H392,"0")+IFERROR(Y393/H393,"0")+IFERROR(Y394/H394,"0")+IFERROR(Y395/H395,"0")+IFERROR(Y396/H396,"0")+IFERROR(Y397/H397,"0")+IFERROR(Y398/H398,"0")</f>
        <v>0</v>
      </c>
      <c r="Z399" s="43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0</v>
      </c>
      <c r="X400" s="43">
        <f>IFERROR(SUM(X390:X398),"0")</f>
        <v>0</v>
      </c>
      <c r="Y400" s="43">
        <f>IFERROR(SUM(Y390:Y398),"0")</f>
        <v>0</v>
      </c>
      <c r="Z400" s="42"/>
      <c r="AA400" s="67"/>
      <c r="AB400" s="67"/>
      <c r="AC400" s="67"/>
    </row>
    <row r="401" spans="1:68" ht="14.25" customHeight="1" x14ac:dyDescent="0.25">
      <c r="A401" s="626" t="s">
        <v>88</v>
      </c>
      <c r="B401" s="626"/>
      <c r="C401" s="626"/>
      <c r="D401" s="626"/>
      <c r="E401" s="626"/>
      <c r="F401" s="626"/>
      <c r="G401" s="626"/>
      <c r="H401" s="626"/>
      <c r="I401" s="626"/>
      <c r="J401" s="626"/>
      <c r="K401" s="626"/>
      <c r="L401" s="626"/>
      <c r="M401" s="626"/>
      <c r="N401" s="626"/>
      <c r="O401" s="626"/>
      <c r="P401" s="626"/>
      <c r="Q401" s="626"/>
      <c r="R401" s="626"/>
      <c r="S401" s="626"/>
      <c r="T401" s="626"/>
      <c r="U401" s="626"/>
      <c r="V401" s="626"/>
      <c r="W401" s="626"/>
      <c r="X401" s="626"/>
      <c r="Y401" s="626"/>
      <c r="Z401" s="626"/>
      <c r="AA401" s="66"/>
      <c r="AB401" s="66"/>
      <c r="AC401" s="80"/>
    </row>
    <row r="402" spans="1:68" ht="27" customHeight="1" x14ac:dyDescent="0.25">
      <c r="A402" s="63" t="s">
        <v>645</v>
      </c>
      <c r="B402" s="63" t="s">
        <v>646</v>
      </c>
      <c r="C402" s="36">
        <v>4301051284</v>
      </c>
      <c r="D402" s="627">
        <v>4607091384352</v>
      </c>
      <c r="E402" s="627"/>
      <c r="F402" s="62">
        <v>0.6</v>
      </c>
      <c r="G402" s="37">
        <v>4</v>
      </c>
      <c r="H402" s="62">
        <v>2.4</v>
      </c>
      <c r="I402" s="62">
        <v>2.6259999999999999</v>
      </c>
      <c r="J402" s="37">
        <v>132</v>
      </c>
      <c r="K402" s="37" t="s">
        <v>124</v>
      </c>
      <c r="L402" s="37" t="s">
        <v>45</v>
      </c>
      <c r="M402" s="38" t="s">
        <v>92</v>
      </c>
      <c r="N402" s="38"/>
      <c r="O402" s="37">
        <v>45</v>
      </c>
      <c r="P402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629"/>
      <c r="R402" s="629"/>
      <c r="S402" s="629"/>
      <c r="T402" s="630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648</v>
      </c>
      <c r="B403" s="63" t="s">
        <v>649</v>
      </c>
      <c r="C403" s="36">
        <v>4301051431</v>
      </c>
      <c r="D403" s="627">
        <v>4607091389654</v>
      </c>
      <c r="E403" s="627"/>
      <c r="F403" s="62">
        <v>0.33</v>
      </c>
      <c r="G403" s="37">
        <v>6</v>
      </c>
      <c r="H403" s="62">
        <v>1.98</v>
      </c>
      <c r="I403" s="62">
        <v>2.238</v>
      </c>
      <c r="J403" s="37">
        <v>182</v>
      </c>
      <c r="K403" s="37" t="s">
        <v>83</v>
      </c>
      <c r="L403" s="37" t="s">
        <v>45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74" t="s">
        <v>650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5"/>
      <c r="B404" s="635"/>
      <c r="C404" s="635"/>
      <c r="D404" s="635"/>
      <c r="E404" s="635"/>
      <c r="F404" s="635"/>
      <c r="G404" s="635"/>
      <c r="H404" s="635"/>
      <c r="I404" s="635"/>
      <c r="J404" s="635"/>
      <c r="K404" s="635"/>
      <c r="L404" s="635"/>
      <c r="M404" s="635"/>
      <c r="N404" s="635"/>
      <c r="O404" s="636"/>
      <c r="P404" s="632" t="s">
        <v>40</v>
      </c>
      <c r="Q404" s="633"/>
      <c r="R404" s="633"/>
      <c r="S404" s="633"/>
      <c r="T404" s="633"/>
      <c r="U404" s="633"/>
      <c r="V404" s="634"/>
      <c r="W404" s="42" t="s">
        <v>39</v>
      </c>
      <c r="X404" s="43">
        <f>IFERROR(X402/H402,"0")+IFERROR(X403/H403,"0")</f>
        <v>0</v>
      </c>
      <c r="Y404" s="43">
        <f>IFERROR(Y402/H402,"0")+IFERROR(Y403/H403,"0")</f>
        <v>0</v>
      </c>
      <c r="Z404" s="43">
        <f>IFERROR(IF(Z402="",0,Z402),"0")+IFERROR(IF(Z403="",0,Z403),"0")</f>
        <v>0</v>
      </c>
      <c r="AA404" s="67"/>
      <c r="AB404" s="67"/>
      <c r="AC404" s="67"/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0</v>
      </c>
      <c r="X405" s="43">
        <f>IFERROR(SUM(X402:X403),"0")</f>
        <v>0</v>
      </c>
      <c r="Y405" s="43">
        <f>IFERROR(SUM(Y402:Y403),"0")</f>
        <v>0</v>
      </c>
      <c r="Z405" s="42"/>
      <c r="AA405" s="67"/>
      <c r="AB405" s="67"/>
      <c r="AC405" s="67"/>
    </row>
    <row r="406" spans="1:68" ht="16.5" customHeight="1" x14ac:dyDescent="0.25">
      <c r="A406" s="625" t="s">
        <v>651</v>
      </c>
      <c r="B406" s="625"/>
      <c r="C406" s="625"/>
      <c r="D406" s="625"/>
      <c r="E406" s="625"/>
      <c r="F406" s="625"/>
      <c r="G406" s="625"/>
      <c r="H406" s="625"/>
      <c r="I406" s="625"/>
      <c r="J406" s="625"/>
      <c r="K406" s="625"/>
      <c r="L406" s="625"/>
      <c r="M406" s="625"/>
      <c r="N406" s="625"/>
      <c r="O406" s="625"/>
      <c r="P406" s="625"/>
      <c r="Q406" s="625"/>
      <c r="R406" s="625"/>
      <c r="S406" s="625"/>
      <c r="T406" s="625"/>
      <c r="U406" s="625"/>
      <c r="V406" s="625"/>
      <c r="W406" s="625"/>
      <c r="X406" s="625"/>
      <c r="Y406" s="625"/>
      <c r="Z406" s="625"/>
      <c r="AA406" s="65"/>
      <c r="AB406" s="65"/>
      <c r="AC406" s="79"/>
    </row>
    <row r="407" spans="1:68" ht="14.25" customHeight="1" x14ac:dyDescent="0.25">
      <c r="A407" s="626" t="s">
        <v>150</v>
      </c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626"/>
      <c r="Y407" s="626"/>
      <c r="Z407" s="626"/>
      <c r="AA407" s="66"/>
      <c r="AB407" s="66"/>
      <c r="AC407" s="80"/>
    </row>
    <row r="408" spans="1:68" ht="27" customHeight="1" x14ac:dyDescent="0.25">
      <c r="A408" s="63" t="s">
        <v>652</v>
      </c>
      <c r="B408" s="63" t="s">
        <v>653</v>
      </c>
      <c r="C408" s="36">
        <v>4301020319</v>
      </c>
      <c r="D408" s="627">
        <v>4680115885240</v>
      </c>
      <c r="E408" s="627"/>
      <c r="F408" s="62">
        <v>0.35</v>
      </c>
      <c r="G408" s="37">
        <v>6</v>
      </c>
      <c r="H408" s="62">
        <v>2.1</v>
      </c>
      <c r="I408" s="62">
        <v>2.31</v>
      </c>
      <c r="J408" s="37">
        <v>182</v>
      </c>
      <c r="K408" s="37" t="s">
        <v>83</v>
      </c>
      <c r="L408" s="37" t="s">
        <v>45</v>
      </c>
      <c r="M408" s="38" t="s">
        <v>82</v>
      </c>
      <c r="N408" s="38"/>
      <c r="O408" s="37">
        <v>40</v>
      </c>
      <c r="P408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629"/>
      <c r="R408" s="629"/>
      <c r="S408" s="629"/>
      <c r="T408" s="630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IFERROR(IF(Y408=0,"",ROUNDUP(Y408/H408,0)*0.00651),"")</f>
        <v/>
      </c>
      <c r="AA408" s="68" t="s">
        <v>45</v>
      </c>
      <c r="AB408" s="69" t="s">
        <v>45</v>
      </c>
      <c r="AC408" s="476" t="s">
        <v>654</v>
      </c>
      <c r="AG408" s="78"/>
      <c r="AJ408" s="84" t="s">
        <v>45</v>
      </c>
      <c r="AK408" s="84">
        <v>0</v>
      </c>
      <c r="BB408" s="47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35"/>
      <c r="B409" s="635"/>
      <c r="C409" s="635"/>
      <c r="D409" s="635"/>
      <c r="E409" s="635"/>
      <c r="F409" s="635"/>
      <c r="G409" s="635"/>
      <c r="H409" s="635"/>
      <c r="I409" s="635"/>
      <c r="J409" s="635"/>
      <c r="K409" s="635"/>
      <c r="L409" s="635"/>
      <c r="M409" s="635"/>
      <c r="N409" s="635"/>
      <c r="O409" s="636"/>
      <c r="P409" s="632" t="s">
        <v>40</v>
      </c>
      <c r="Q409" s="633"/>
      <c r="R409" s="633"/>
      <c r="S409" s="633"/>
      <c r="T409" s="633"/>
      <c r="U409" s="633"/>
      <c r="V409" s="634"/>
      <c r="W409" s="42" t="s">
        <v>39</v>
      </c>
      <c r="X409" s="43">
        <f>IFERROR(X408/H408,"0")</f>
        <v>0</v>
      </c>
      <c r="Y409" s="43">
        <f>IFERROR(Y408/H408,"0")</f>
        <v>0</v>
      </c>
      <c r="Z409" s="43">
        <f>IFERROR(IF(Z408="",0,Z408),"0")</f>
        <v>0</v>
      </c>
      <c r="AA409" s="67"/>
      <c r="AB409" s="67"/>
      <c r="AC409" s="67"/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0</v>
      </c>
      <c r="X410" s="43">
        <f>IFERROR(SUM(X408:X408),"0")</f>
        <v>0</v>
      </c>
      <c r="Y410" s="43">
        <f>IFERROR(SUM(Y408:Y408),"0")</f>
        <v>0</v>
      </c>
      <c r="Z410" s="42"/>
      <c r="AA410" s="67"/>
      <c r="AB410" s="67"/>
      <c r="AC410" s="67"/>
    </row>
    <row r="411" spans="1:68" ht="14.25" customHeight="1" x14ac:dyDescent="0.25">
      <c r="A411" s="626" t="s">
        <v>78</v>
      </c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6"/>
      <c r="P411" s="626"/>
      <c r="Q411" s="626"/>
      <c r="R411" s="626"/>
      <c r="S411" s="626"/>
      <c r="T411" s="626"/>
      <c r="U411" s="626"/>
      <c r="V411" s="626"/>
      <c r="W411" s="626"/>
      <c r="X411" s="626"/>
      <c r="Y411" s="626"/>
      <c r="Z411" s="626"/>
      <c r="AA411" s="66"/>
      <c r="AB411" s="66"/>
      <c r="AC411" s="80"/>
    </row>
    <row r="412" spans="1:68" ht="27" customHeight="1" x14ac:dyDescent="0.25">
      <c r="A412" s="63" t="s">
        <v>655</v>
      </c>
      <c r="B412" s="63" t="s">
        <v>656</v>
      </c>
      <c r="C412" s="36">
        <v>4301031403</v>
      </c>
      <c r="D412" s="627">
        <v>4680115886094</v>
      </c>
      <c r="E412" s="627"/>
      <c r="F412" s="62">
        <v>0.9</v>
      </c>
      <c r="G412" s="37">
        <v>6</v>
      </c>
      <c r="H412" s="62">
        <v>5.4</v>
      </c>
      <c r="I412" s="62">
        <v>5.59</v>
      </c>
      <c r="J412" s="37">
        <v>132</v>
      </c>
      <c r="K412" s="37" t="s">
        <v>124</v>
      </c>
      <c r="L412" s="37" t="s">
        <v>45</v>
      </c>
      <c r="M412" s="38" t="s">
        <v>119</v>
      </c>
      <c r="N412" s="38"/>
      <c r="O412" s="37">
        <v>50</v>
      </c>
      <c r="P412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629"/>
      <c r="R412" s="629"/>
      <c r="S412" s="629"/>
      <c r="T412" s="630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4301031363</v>
      </c>
      <c r="D413" s="627">
        <v>4607091389425</v>
      </c>
      <c r="E413" s="627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4301031373</v>
      </c>
      <c r="D414" s="627">
        <v>4680115880771</v>
      </c>
      <c r="E414" s="627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663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664</v>
      </c>
      <c r="B415" s="63" t="s">
        <v>665</v>
      </c>
      <c r="C415" s="36">
        <v>4301031359</v>
      </c>
      <c r="D415" s="627">
        <v>4607091389500</v>
      </c>
      <c r="E415" s="627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5"/>
      <c r="B416" s="635"/>
      <c r="C416" s="635"/>
      <c r="D416" s="635"/>
      <c r="E416" s="635"/>
      <c r="F416" s="635"/>
      <c r="G416" s="635"/>
      <c r="H416" s="635"/>
      <c r="I416" s="635"/>
      <c r="J416" s="635"/>
      <c r="K416" s="635"/>
      <c r="L416" s="635"/>
      <c r="M416" s="635"/>
      <c r="N416" s="635"/>
      <c r="O416" s="636"/>
      <c r="P416" s="632" t="s">
        <v>40</v>
      </c>
      <c r="Q416" s="633"/>
      <c r="R416" s="633"/>
      <c r="S416" s="633"/>
      <c r="T416" s="633"/>
      <c r="U416" s="633"/>
      <c r="V416" s="634"/>
      <c r="W416" s="42" t="s">
        <v>39</v>
      </c>
      <c r="X416" s="43">
        <f>IFERROR(X412/H412,"0")+IFERROR(X413/H413,"0")+IFERROR(X414/H414,"0")+IFERROR(X415/H415,"0")</f>
        <v>0</v>
      </c>
      <c r="Y416" s="43">
        <f>IFERROR(Y412/H412,"0")+IFERROR(Y413/H413,"0")+IFERROR(Y414/H414,"0")+IFERROR(Y415/H415,"0")</f>
        <v>0</v>
      </c>
      <c r="Z416" s="43">
        <f>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0</v>
      </c>
      <c r="X417" s="43">
        <f>IFERROR(SUM(X412:X415),"0")</f>
        <v>0</v>
      </c>
      <c r="Y417" s="43">
        <f>IFERROR(SUM(Y412:Y415),"0")</f>
        <v>0</v>
      </c>
      <c r="Z417" s="42"/>
      <c r="AA417" s="67"/>
      <c r="AB417" s="67"/>
      <c r="AC417" s="67"/>
    </row>
    <row r="418" spans="1:68" ht="16.5" customHeight="1" x14ac:dyDescent="0.25">
      <c r="A418" s="625" t="s">
        <v>666</v>
      </c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625"/>
      <c r="Y418" s="625"/>
      <c r="Z418" s="625"/>
      <c r="AA418" s="65"/>
      <c r="AB418" s="65"/>
      <c r="AC418" s="79"/>
    </row>
    <row r="419" spans="1:68" ht="14.25" customHeight="1" x14ac:dyDescent="0.25">
      <c r="A419" s="626" t="s">
        <v>78</v>
      </c>
      <c r="B419" s="626"/>
      <c r="C419" s="626"/>
      <c r="D419" s="626"/>
      <c r="E419" s="626"/>
      <c r="F419" s="626"/>
      <c r="G419" s="626"/>
      <c r="H419" s="626"/>
      <c r="I419" s="626"/>
      <c r="J419" s="626"/>
      <c r="K419" s="626"/>
      <c r="L419" s="626"/>
      <c r="M419" s="626"/>
      <c r="N419" s="626"/>
      <c r="O419" s="626"/>
      <c r="P419" s="626"/>
      <c r="Q419" s="626"/>
      <c r="R419" s="626"/>
      <c r="S419" s="626"/>
      <c r="T419" s="626"/>
      <c r="U419" s="626"/>
      <c r="V419" s="626"/>
      <c r="W419" s="626"/>
      <c r="X419" s="626"/>
      <c r="Y419" s="626"/>
      <c r="Z419" s="626"/>
      <c r="AA419" s="66"/>
      <c r="AB419" s="66"/>
      <c r="AC419" s="80"/>
    </row>
    <row r="420" spans="1:68" ht="27" customHeight="1" x14ac:dyDescent="0.25">
      <c r="A420" s="63" t="s">
        <v>667</v>
      </c>
      <c r="B420" s="63" t="s">
        <v>668</v>
      </c>
      <c r="C420" s="36">
        <v>4301031347</v>
      </c>
      <c r="D420" s="627">
        <v>4680115885110</v>
      </c>
      <c r="E420" s="627"/>
      <c r="F420" s="62">
        <v>0.2</v>
      </c>
      <c r="G420" s="37">
        <v>6</v>
      </c>
      <c r="H420" s="62">
        <v>1.2</v>
      </c>
      <c r="I420" s="62">
        <v>2.1</v>
      </c>
      <c r="J420" s="37">
        <v>182</v>
      </c>
      <c r="K420" s="37" t="s">
        <v>83</v>
      </c>
      <c r="L420" s="37" t="s">
        <v>45</v>
      </c>
      <c r="M420" s="38" t="s">
        <v>82</v>
      </c>
      <c r="N420" s="38"/>
      <c r="O420" s="37">
        <v>50</v>
      </c>
      <c r="P420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629"/>
      <c r="R420" s="629"/>
      <c r="S420" s="629"/>
      <c r="T420" s="630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669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35"/>
      <c r="B421" s="635"/>
      <c r="C421" s="635"/>
      <c r="D421" s="635"/>
      <c r="E421" s="635"/>
      <c r="F421" s="635"/>
      <c r="G421" s="635"/>
      <c r="H421" s="635"/>
      <c r="I421" s="635"/>
      <c r="J421" s="635"/>
      <c r="K421" s="635"/>
      <c r="L421" s="635"/>
      <c r="M421" s="635"/>
      <c r="N421" s="635"/>
      <c r="O421" s="636"/>
      <c r="P421" s="632" t="s">
        <v>40</v>
      </c>
      <c r="Q421" s="633"/>
      <c r="R421" s="633"/>
      <c r="S421" s="633"/>
      <c r="T421" s="633"/>
      <c r="U421" s="633"/>
      <c r="V421" s="634"/>
      <c r="W421" s="42" t="s">
        <v>39</v>
      </c>
      <c r="X421" s="43">
        <f>IFERROR(X420/H420,"0")</f>
        <v>0</v>
      </c>
      <c r="Y421" s="43">
        <f>IFERROR(Y420/H420,"0")</f>
        <v>0</v>
      </c>
      <c r="Z421" s="43">
        <f>IFERROR(IF(Z420="",0,Z420),"0")</f>
        <v>0</v>
      </c>
      <c r="AA421" s="67"/>
      <c r="AB421" s="67"/>
      <c r="AC421" s="67"/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0</v>
      </c>
      <c r="X422" s="43">
        <f>IFERROR(SUM(X420:X420),"0")</f>
        <v>0</v>
      </c>
      <c r="Y422" s="43">
        <f>IFERROR(SUM(Y420:Y420),"0")</f>
        <v>0</v>
      </c>
      <c r="Z422" s="42"/>
      <c r="AA422" s="67"/>
      <c r="AB422" s="67"/>
      <c r="AC422" s="67"/>
    </row>
    <row r="423" spans="1:68" ht="27.75" customHeight="1" x14ac:dyDescent="0.2">
      <c r="A423" s="624" t="s">
        <v>670</v>
      </c>
      <c r="B423" s="624"/>
      <c r="C423" s="624"/>
      <c r="D423" s="624"/>
      <c r="E423" s="624"/>
      <c r="F423" s="624"/>
      <c r="G423" s="624"/>
      <c r="H423" s="624"/>
      <c r="I423" s="624"/>
      <c r="J423" s="624"/>
      <c r="K423" s="624"/>
      <c r="L423" s="624"/>
      <c r="M423" s="624"/>
      <c r="N423" s="624"/>
      <c r="O423" s="624"/>
      <c r="P423" s="624"/>
      <c r="Q423" s="624"/>
      <c r="R423" s="624"/>
      <c r="S423" s="624"/>
      <c r="T423" s="624"/>
      <c r="U423" s="624"/>
      <c r="V423" s="624"/>
      <c r="W423" s="624"/>
      <c r="X423" s="624"/>
      <c r="Y423" s="624"/>
      <c r="Z423" s="624"/>
      <c r="AA423" s="54"/>
      <c r="AB423" s="54"/>
      <c r="AC423" s="54"/>
    </row>
    <row r="424" spans="1:68" ht="16.5" customHeight="1" x14ac:dyDescent="0.25">
      <c r="A424" s="625" t="s">
        <v>670</v>
      </c>
      <c r="B424" s="625"/>
      <c r="C424" s="625"/>
      <c r="D424" s="625"/>
      <c r="E424" s="625"/>
      <c r="F424" s="625"/>
      <c r="G424" s="625"/>
      <c r="H424" s="625"/>
      <c r="I424" s="625"/>
      <c r="J424" s="625"/>
      <c r="K424" s="625"/>
      <c r="L424" s="625"/>
      <c r="M424" s="625"/>
      <c r="N424" s="625"/>
      <c r="O424" s="625"/>
      <c r="P424" s="625"/>
      <c r="Q424" s="625"/>
      <c r="R424" s="625"/>
      <c r="S424" s="625"/>
      <c r="T424" s="625"/>
      <c r="U424" s="625"/>
      <c r="V424" s="625"/>
      <c r="W424" s="625"/>
      <c r="X424" s="625"/>
      <c r="Y424" s="625"/>
      <c r="Z424" s="625"/>
      <c r="AA424" s="65"/>
      <c r="AB424" s="65"/>
      <c r="AC424" s="79"/>
    </row>
    <row r="425" spans="1:68" ht="14.25" customHeight="1" x14ac:dyDescent="0.25">
      <c r="A425" s="626" t="s">
        <v>115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66"/>
      <c r="AB425" s="66"/>
      <c r="AC425" s="80"/>
    </row>
    <row r="426" spans="1:68" ht="27" customHeight="1" x14ac:dyDescent="0.25">
      <c r="A426" s="63" t="s">
        <v>671</v>
      </c>
      <c r="B426" s="63" t="s">
        <v>672</v>
      </c>
      <c r="C426" s="36">
        <v>4301011795</v>
      </c>
      <c r="D426" s="627">
        <v>4607091389067</v>
      </c>
      <c r="E426" s="627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120</v>
      </c>
      <c r="L426" s="37" t="s">
        <v>121</v>
      </c>
      <c r="M426" s="38" t="s">
        <v>119</v>
      </c>
      <c r="N426" s="38"/>
      <c r="O426" s="37">
        <v>60</v>
      </c>
      <c r="P426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629"/>
      <c r="R426" s="629"/>
      <c r="S426" s="629"/>
      <c r="T426" s="630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7" si="47">IFERROR(IF(X426="",0,CEILING((X426/$H426),1)*$H426),"")</f>
        <v>0</v>
      </c>
      <c r="Z426" s="41" t="str">
        <f t="shared" ref="Z426:Z432" si="48">IFERROR(IF(Y426=0,"",ROUNDUP(Y426/H426,0)*0.01196),"")</f>
        <v/>
      </c>
      <c r="AA426" s="68" t="s">
        <v>45</v>
      </c>
      <c r="AB426" s="69" t="s">
        <v>45</v>
      </c>
      <c r="AC426" s="488" t="s">
        <v>118</v>
      </c>
      <c r="AG426" s="78"/>
      <c r="AJ426" s="84" t="s">
        <v>94</v>
      </c>
      <c r="AK426" s="84">
        <v>42.24</v>
      </c>
      <c r="BB426" s="489" t="s">
        <v>66</v>
      </c>
      <c r="BM426" s="78">
        <f t="shared" ref="BM426:BM437" si="49">IFERROR(X426*I426/H426,"0")</f>
        <v>0</v>
      </c>
      <c r="BN426" s="78">
        <f t="shared" ref="BN426:BN437" si="50">IFERROR(Y426*I426/H426,"0")</f>
        <v>0</v>
      </c>
      <c r="BO426" s="78">
        <f t="shared" ref="BO426:BO437" si="51">IFERROR(1/J426*(X426/H426),"0")</f>
        <v>0</v>
      </c>
      <c r="BP426" s="78">
        <f t="shared" ref="BP426:BP437" si="52">IFERROR(1/J426*(Y426/H426),"0")</f>
        <v>0</v>
      </c>
    </row>
    <row r="427" spans="1:68" ht="27" customHeight="1" x14ac:dyDescent="0.25">
      <c r="A427" s="63" t="s">
        <v>673</v>
      </c>
      <c r="B427" s="63" t="s">
        <v>674</v>
      </c>
      <c r="C427" s="36">
        <v>4301012210</v>
      </c>
      <c r="D427" s="627">
        <v>4607091383522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120</v>
      </c>
      <c r="L427" s="37" t="s">
        <v>45</v>
      </c>
      <c r="M427" s="38" t="s">
        <v>119</v>
      </c>
      <c r="N427" s="38"/>
      <c r="O427" s="37">
        <v>60</v>
      </c>
      <c r="P427" s="837" t="s">
        <v>675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676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673</v>
      </c>
      <c r="B428" s="63" t="s">
        <v>677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120</v>
      </c>
      <c r="L428" s="37" t="s">
        <v>45</v>
      </c>
      <c r="M428" s="38" t="s">
        <v>119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676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4301011961</v>
      </c>
      <c r="D429" s="627">
        <v>4680115885271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120</v>
      </c>
      <c r="L429" s="37" t="s">
        <v>45</v>
      </c>
      <c r="M429" s="38" t="s">
        <v>119</v>
      </c>
      <c r="N429" s="38"/>
      <c r="O429" s="37">
        <v>60</v>
      </c>
      <c r="P429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681</v>
      </c>
      <c r="B430" s="63" t="s">
        <v>682</v>
      </c>
      <c r="C430" s="36">
        <v>4301011376</v>
      </c>
      <c r="D430" s="627">
        <v>4680115885226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120</v>
      </c>
      <c r="L430" s="37" t="s">
        <v>121</v>
      </c>
      <c r="M430" s="38" t="s">
        <v>92</v>
      </c>
      <c r="N430" s="38"/>
      <c r="O430" s="37">
        <v>60</v>
      </c>
      <c r="P430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94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16.5" customHeight="1" x14ac:dyDescent="0.25">
      <c r="A431" s="63" t="s">
        <v>684</v>
      </c>
      <c r="B431" s="63" t="s">
        <v>685</v>
      </c>
      <c r="C431" s="36">
        <v>4301011774</v>
      </c>
      <c r="D431" s="627">
        <v>4680115884502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120</v>
      </c>
      <c r="L431" s="37" t="s">
        <v>45</v>
      </c>
      <c r="M431" s="38" t="s">
        <v>119</v>
      </c>
      <c r="N431" s="38"/>
      <c r="O431" s="37">
        <v>60</v>
      </c>
      <c r="P431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4301011771</v>
      </c>
      <c r="D432" s="627">
        <v>4607091389104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120</v>
      </c>
      <c r="L432" s="37" t="s">
        <v>121</v>
      </c>
      <c r="M432" s="38" t="s">
        <v>119</v>
      </c>
      <c r="N432" s="38"/>
      <c r="O432" s="37">
        <v>60</v>
      </c>
      <c r="P432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689</v>
      </c>
      <c r="AG432" s="78"/>
      <c r="AJ432" s="84" t="s">
        <v>94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690</v>
      </c>
      <c r="B433" s="63" t="s">
        <v>691</v>
      </c>
      <c r="C433" s="36">
        <v>4301012125</v>
      </c>
      <c r="D433" s="627">
        <v>4680115886391</v>
      </c>
      <c r="E433" s="627"/>
      <c r="F433" s="62">
        <v>0.4</v>
      </c>
      <c r="G433" s="37">
        <v>6</v>
      </c>
      <c r="H433" s="62">
        <v>2.4</v>
      </c>
      <c r="I433" s="62">
        <v>2.58</v>
      </c>
      <c r="J433" s="37">
        <v>182</v>
      </c>
      <c r="K433" s="37" t="s">
        <v>83</v>
      </c>
      <c r="L433" s="37" t="s">
        <v>45</v>
      </c>
      <c r="M433" s="38" t="s">
        <v>92</v>
      </c>
      <c r="N433" s="38"/>
      <c r="O433" s="37">
        <v>60</v>
      </c>
      <c r="P433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IFERROR(IF(Y433=0,"",ROUNDUP(Y433/H433,0)*0.00651),"")</f>
        <v/>
      </c>
      <c r="AA433" s="68" t="s">
        <v>45</v>
      </c>
      <c r="AB433" s="69" t="s">
        <v>45</v>
      </c>
      <c r="AC433" s="502" t="s">
        <v>118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692</v>
      </c>
      <c r="B434" s="63" t="s">
        <v>693</v>
      </c>
      <c r="C434" s="36">
        <v>4301012035</v>
      </c>
      <c r="D434" s="627">
        <v>4680115880603</v>
      </c>
      <c r="E434" s="627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124</v>
      </c>
      <c r="L434" s="37" t="s">
        <v>45</v>
      </c>
      <c r="M434" s="38" t="s">
        <v>119</v>
      </c>
      <c r="N434" s="38"/>
      <c r="O434" s="37">
        <v>60</v>
      </c>
      <c r="P434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04" t="s">
        <v>118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694</v>
      </c>
      <c r="B435" s="63" t="s">
        <v>695</v>
      </c>
      <c r="C435" s="36">
        <v>4301012036</v>
      </c>
      <c r="D435" s="627">
        <v>4680115882782</v>
      </c>
      <c r="E435" s="627"/>
      <c r="F435" s="62">
        <v>0.6</v>
      </c>
      <c r="G435" s="37">
        <v>8</v>
      </c>
      <c r="H435" s="62">
        <v>4.8</v>
      </c>
      <c r="I435" s="62">
        <v>6.96</v>
      </c>
      <c r="J435" s="37">
        <v>120</v>
      </c>
      <c r="K435" s="37" t="s">
        <v>124</v>
      </c>
      <c r="L435" s="37" t="s">
        <v>45</v>
      </c>
      <c r="M435" s="38" t="s">
        <v>119</v>
      </c>
      <c r="N435" s="38"/>
      <c r="O435" s="37">
        <v>60</v>
      </c>
      <c r="P435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IFERROR(IF(Y435=0,"",ROUNDUP(Y435/H435,0)*0.00937),"")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4301012050</v>
      </c>
      <c r="D436" s="627">
        <v>4680115885479</v>
      </c>
      <c r="E436" s="627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119</v>
      </c>
      <c r="N436" s="38"/>
      <c r="O436" s="37">
        <v>60</v>
      </c>
      <c r="P436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698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699</v>
      </c>
      <c r="B437" s="63" t="s">
        <v>700</v>
      </c>
      <c r="C437" s="36">
        <v>4301012034</v>
      </c>
      <c r="D437" s="627">
        <v>4607091389982</v>
      </c>
      <c r="E437" s="627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124</v>
      </c>
      <c r="L437" s="37" t="s">
        <v>45</v>
      </c>
      <c r="M437" s="38" t="s">
        <v>119</v>
      </c>
      <c r="N437" s="38"/>
      <c r="O437" s="37">
        <v>60</v>
      </c>
      <c r="P437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689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x14ac:dyDescent="0.2">
      <c r="A438" s="635"/>
      <c r="B438" s="635"/>
      <c r="C438" s="635"/>
      <c r="D438" s="635"/>
      <c r="E438" s="635"/>
      <c r="F438" s="635"/>
      <c r="G438" s="635"/>
      <c r="H438" s="635"/>
      <c r="I438" s="635"/>
      <c r="J438" s="635"/>
      <c r="K438" s="635"/>
      <c r="L438" s="635"/>
      <c r="M438" s="635"/>
      <c r="N438" s="635"/>
      <c r="O438" s="636"/>
      <c r="P438" s="632" t="s">
        <v>40</v>
      </c>
      <c r="Q438" s="633"/>
      <c r="R438" s="633"/>
      <c r="S438" s="633"/>
      <c r="T438" s="633"/>
      <c r="U438" s="633"/>
      <c r="V438" s="634"/>
      <c r="W438" s="42" t="s">
        <v>39</v>
      </c>
      <c r="X438" s="43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43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43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0</v>
      </c>
      <c r="X439" s="43">
        <f>IFERROR(SUM(X426:X437),"0")</f>
        <v>0</v>
      </c>
      <c r="Y439" s="43">
        <f>IFERROR(SUM(Y426:Y437),"0")</f>
        <v>0</v>
      </c>
      <c r="Z439" s="42"/>
      <c r="AA439" s="67"/>
      <c r="AB439" s="67"/>
      <c r="AC439" s="67"/>
    </row>
    <row r="440" spans="1:68" ht="14.25" customHeight="1" x14ac:dyDescent="0.25">
      <c r="A440" s="626" t="s">
        <v>150</v>
      </c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6"/>
      <c r="V440" s="626"/>
      <c r="W440" s="626"/>
      <c r="X440" s="626"/>
      <c r="Y440" s="626"/>
      <c r="Z440" s="626"/>
      <c r="AA440" s="66"/>
      <c r="AB440" s="66"/>
      <c r="AC440" s="80"/>
    </row>
    <row r="441" spans="1:68" ht="16.5" customHeight="1" x14ac:dyDescent="0.25">
      <c r="A441" s="63" t="s">
        <v>701</v>
      </c>
      <c r="B441" s="63" t="s">
        <v>702</v>
      </c>
      <c r="C441" s="36">
        <v>4301020334</v>
      </c>
      <c r="D441" s="627">
        <v>4607091388930</v>
      </c>
      <c r="E441" s="627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120</v>
      </c>
      <c r="L441" s="37" t="s">
        <v>45</v>
      </c>
      <c r="M441" s="38" t="s">
        <v>92</v>
      </c>
      <c r="N441" s="38"/>
      <c r="O441" s="37">
        <v>70</v>
      </c>
      <c r="P441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629"/>
      <c r="R441" s="629"/>
      <c r="S441" s="629"/>
      <c r="T441" s="630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12" t="s">
        <v>703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704</v>
      </c>
      <c r="B442" s="63" t="s">
        <v>705</v>
      </c>
      <c r="C442" s="36">
        <v>4301020384</v>
      </c>
      <c r="D442" s="627">
        <v>4680115886407</v>
      </c>
      <c r="E442" s="627"/>
      <c r="F442" s="62">
        <v>0.4</v>
      </c>
      <c r="G442" s="37">
        <v>6</v>
      </c>
      <c r="H442" s="62">
        <v>2.4</v>
      </c>
      <c r="I442" s="62">
        <v>2.58</v>
      </c>
      <c r="J442" s="37">
        <v>182</v>
      </c>
      <c r="K442" s="37" t="s">
        <v>83</v>
      </c>
      <c r="L442" s="37" t="s">
        <v>45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14" t="s">
        <v>703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706</v>
      </c>
      <c r="B443" s="63" t="s">
        <v>707</v>
      </c>
      <c r="C443" s="36">
        <v>4301020385</v>
      </c>
      <c r="D443" s="627">
        <v>4680115880054</v>
      </c>
      <c r="E443" s="627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124</v>
      </c>
      <c r="L443" s="37" t="s">
        <v>45</v>
      </c>
      <c r="M443" s="38" t="s">
        <v>119</v>
      </c>
      <c r="N443" s="38"/>
      <c r="O443" s="37">
        <v>70</v>
      </c>
      <c r="P443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6" t="s">
        <v>703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5"/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5"/>
      <c r="M444" s="635"/>
      <c r="N444" s="635"/>
      <c r="O444" s="636"/>
      <c r="P444" s="632" t="s">
        <v>40</v>
      </c>
      <c r="Q444" s="633"/>
      <c r="R444" s="633"/>
      <c r="S444" s="633"/>
      <c r="T444" s="633"/>
      <c r="U444" s="633"/>
      <c r="V444" s="63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26" t="s">
        <v>78</v>
      </c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6"/>
      <c r="P446" s="626"/>
      <c r="Q446" s="626"/>
      <c r="R446" s="626"/>
      <c r="S446" s="626"/>
      <c r="T446" s="626"/>
      <c r="U446" s="626"/>
      <c r="V446" s="626"/>
      <c r="W446" s="626"/>
      <c r="X446" s="626"/>
      <c r="Y446" s="626"/>
      <c r="Z446" s="626"/>
      <c r="AA446" s="66"/>
      <c r="AB446" s="66"/>
      <c r="AC446" s="80"/>
    </row>
    <row r="447" spans="1:68" ht="27" customHeight="1" x14ac:dyDescent="0.25">
      <c r="A447" s="63" t="s">
        <v>708</v>
      </c>
      <c r="B447" s="63" t="s">
        <v>709</v>
      </c>
      <c r="C447" s="36">
        <v>4301031349</v>
      </c>
      <c r="D447" s="627">
        <v>4680115883116</v>
      </c>
      <c r="E447" s="627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120</v>
      </c>
      <c r="L447" s="37" t="s">
        <v>45</v>
      </c>
      <c r="M447" s="38" t="s">
        <v>119</v>
      </c>
      <c r="N447" s="38"/>
      <c r="O447" s="37">
        <v>70</v>
      </c>
      <c r="P447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629"/>
      <c r="R447" s="629"/>
      <c r="S447" s="629"/>
      <c r="T447" s="630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ref="Y447:Y452" si="53">IFERROR(IF(X447="",0,CEILING((X447/$H447),1)*$H447),"")</f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45</v>
      </c>
      <c r="AK447" s="84">
        <v>0</v>
      </c>
      <c r="BB447" s="519" t="s">
        <v>66</v>
      </c>
      <c r="BM447" s="78">
        <f t="shared" ref="BM447:BM452" si="54">IFERROR(X447*I447/H447,"0")</f>
        <v>0</v>
      </c>
      <c r="BN447" s="78">
        <f t="shared" ref="BN447:BN452" si="55">IFERROR(Y447*I447/H447,"0")</f>
        <v>0</v>
      </c>
      <c r="BO447" s="78">
        <f t="shared" ref="BO447:BO452" si="56">IFERROR(1/J447*(X447/H447),"0")</f>
        <v>0</v>
      </c>
      <c r="BP447" s="78">
        <f t="shared" ref="BP447:BP452" si="57">IFERROR(1/J447*(Y447/H447),"0")</f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4301031350</v>
      </c>
      <c r="D448" s="627">
        <v>4680115883093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120</v>
      </c>
      <c r="L448" s="37" t="s">
        <v>121</v>
      </c>
      <c r="M448" s="38" t="s">
        <v>82</v>
      </c>
      <c r="N448" s="38"/>
      <c r="O448" s="37">
        <v>70</v>
      </c>
      <c r="P448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94</v>
      </c>
      <c r="AK448" s="84">
        <v>42.24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4301031353</v>
      </c>
      <c r="D449" s="627">
        <v>4680115883109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120</v>
      </c>
      <c r="L449" s="37" t="s">
        <v>121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716</v>
      </c>
      <c r="AG449" s="78"/>
      <c r="AJ449" s="84" t="s">
        <v>94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717</v>
      </c>
      <c r="B450" s="63" t="s">
        <v>718</v>
      </c>
      <c r="C450" s="36">
        <v>4301031419</v>
      </c>
      <c r="D450" s="627">
        <v>4680115882072</v>
      </c>
      <c r="E450" s="627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124</v>
      </c>
      <c r="L450" s="37" t="s">
        <v>45</v>
      </c>
      <c r="M450" s="38" t="s">
        <v>119</v>
      </c>
      <c r="N450" s="38"/>
      <c r="O450" s="37">
        <v>70</v>
      </c>
      <c r="P450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719</v>
      </c>
      <c r="B451" s="63" t="s">
        <v>720</v>
      </c>
      <c r="C451" s="36">
        <v>4301031418</v>
      </c>
      <c r="D451" s="627">
        <v>4680115882102</v>
      </c>
      <c r="E451" s="627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124</v>
      </c>
      <c r="L451" s="37" t="s">
        <v>45</v>
      </c>
      <c r="M451" s="38" t="s">
        <v>82</v>
      </c>
      <c r="N451" s="38"/>
      <c r="O451" s="37">
        <v>70</v>
      </c>
      <c r="P451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721</v>
      </c>
      <c r="B452" s="63" t="s">
        <v>722</v>
      </c>
      <c r="C452" s="36">
        <v>4301031417</v>
      </c>
      <c r="D452" s="627">
        <v>4680115882096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124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716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x14ac:dyDescent="0.2">
      <c r="A453" s="635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5"/>
      <c r="M453" s="635"/>
      <c r="N453" s="635"/>
      <c r="O453" s="636"/>
      <c r="P453" s="632" t="s">
        <v>40</v>
      </c>
      <c r="Q453" s="633"/>
      <c r="R453" s="633"/>
      <c r="S453" s="633"/>
      <c r="T453" s="633"/>
      <c r="U453" s="633"/>
      <c r="V453" s="634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26" t="s">
        <v>88</v>
      </c>
      <c r="B455" s="626"/>
      <c r="C455" s="626"/>
      <c r="D455" s="626"/>
      <c r="E455" s="626"/>
      <c r="F455" s="626"/>
      <c r="G455" s="626"/>
      <c r="H455" s="626"/>
      <c r="I455" s="626"/>
      <c r="J455" s="626"/>
      <c r="K455" s="626"/>
      <c r="L455" s="626"/>
      <c r="M455" s="626"/>
      <c r="N455" s="626"/>
      <c r="O455" s="626"/>
      <c r="P455" s="626"/>
      <c r="Q455" s="626"/>
      <c r="R455" s="626"/>
      <c r="S455" s="626"/>
      <c r="T455" s="626"/>
      <c r="U455" s="626"/>
      <c r="V455" s="626"/>
      <c r="W455" s="626"/>
      <c r="X455" s="626"/>
      <c r="Y455" s="626"/>
      <c r="Z455" s="626"/>
      <c r="AA455" s="66"/>
      <c r="AB455" s="66"/>
      <c r="AC455" s="80"/>
    </row>
    <row r="456" spans="1:68" ht="27" customHeight="1" x14ac:dyDescent="0.25">
      <c r="A456" s="63" t="s">
        <v>723</v>
      </c>
      <c r="B456" s="63" t="s">
        <v>724</v>
      </c>
      <c r="C456" s="36">
        <v>4301051064</v>
      </c>
      <c r="D456" s="627">
        <v>4680115883536</v>
      </c>
      <c r="E456" s="627"/>
      <c r="F456" s="62">
        <v>0.3</v>
      </c>
      <c r="G456" s="37">
        <v>6</v>
      </c>
      <c r="H456" s="62">
        <v>1.8</v>
      </c>
      <c r="I456" s="62">
        <v>2.0459999999999998</v>
      </c>
      <c r="J456" s="37">
        <v>182</v>
      </c>
      <c r="K456" s="37" t="s">
        <v>83</v>
      </c>
      <c r="L456" s="37" t="s">
        <v>45</v>
      </c>
      <c r="M456" s="38" t="s">
        <v>92</v>
      </c>
      <c r="N456" s="38"/>
      <c r="O456" s="37">
        <v>45</v>
      </c>
      <c r="P456" s="85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629"/>
      <c r="R456" s="629"/>
      <c r="S456" s="629"/>
      <c r="T456" s="630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IFERROR(IF(Y456=0,"",ROUNDUP(Y456/H456,0)*0.00651),"")</f>
        <v/>
      </c>
      <c r="AA456" s="68" t="s">
        <v>45</v>
      </c>
      <c r="AB456" s="69" t="s">
        <v>45</v>
      </c>
      <c r="AC456" s="530" t="s">
        <v>725</v>
      </c>
      <c r="AG456" s="78"/>
      <c r="AJ456" s="84" t="s">
        <v>45</v>
      </c>
      <c r="AK456" s="84">
        <v>0</v>
      </c>
      <c r="BB456" s="53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35"/>
      <c r="B457" s="635"/>
      <c r="C457" s="635"/>
      <c r="D457" s="635"/>
      <c r="E457" s="635"/>
      <c r="F457" s="635"/>
      <c r="G457" s="635"/>
      <c r="H457" s="635"/>
      <c r="I457" s="635"/>
      <c r="J457" s="635"/>
      <c r="K457" s="635"/>
      <c r="L457" s="635"/>
      <c r="M457" s="635"/>
      <c r="N457" s="635"/>
      <c r="O457" s="636"/>
      <c r="P457" s="632" t="s">
        <v>40</v>
      </c>
      <c r="Q457" s="633"/>
      <c r="R457" s="633"/>
      <c r="S457" s="633"/>
      <c r="T457" s="633"/>
      <c r="U457" s="633"/>
      <c r="V457" s="63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27.75" customHeight="1" x14ac:dyDescent="0.2">
      <c r="A459" s="624" t="s">
        <v>726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54"/>
      <c r="AB459" s="54"/>
      <c r="AC459" s="54"/>
    </row>
    <row r="460" spans="1:68" ht="16.5" customHeight="1" x14ac:dyDescent="0.25">
      <c r="A460" s="625" t="s">
        <v>726</v>
      </c>
      <c r="B460" s="625"/>
      <c r="C460" s="625"/>
      <c r="D460" s="625"/>
      <c r="E460" s="625"/>
      <c r="F460" s="625"/>
      <c r="G460" s="625"/>
      <c r="H460" s="625"/>
      <c r="I460" s="625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5"/>
      <c r="V460" s="625"/>
      <c r="W460" s="625"/>
      <c r="X460" s="625"/>
      <c r="Y460" s="625"/>
      <c r="Z460" s="625"/>
      <c r="AA460" s="65"/>
      <c r="AB460" s="65"/>
      <c r="AC460" s="79"/>
    </row>
    <row r="461" spans="1:68" ht="14.25" customHeight="1" x14ac:dyDescent="0.25">
      <c r="A461" s="626" t="s">
        <v>115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66"/>
      <c r="AB461" s="66"/>
      <c r="AC461" s="80"/>
    </row>
    <row r="462" spans="1:68" ht="27" customHeight="1" x14ac:dyDescent="0.25">
      <c r="A462" s="63" t="s">
        <v>727</v>
      </c>
      <c r="B462" s="63" t="s">
        <v>728</v>
      </c>
      <c r="C462" s="36">
        <v>4301011763</v>
      </c>
      <c r="D462" s="627">
        <v>4640242181011</v>
      </c>
      <c r="E462" s="627"/>
      <c r="F462" s="62">
        <v>1.35</v>
      </c>
      <c r="G462" s="37">
        <v>8</v>
      </c>
      <c r="H462" s="62">
        <v>10.8</v>
      </c>
      <c r="I462" s="62">
        <v>11.21</v>
      </c>
      <c r="J462" s="37">
        <v>64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5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4301011585</v>
      </c>
      <c r="D463" s="627">
        <v>4640242180441</v>
      </c>
      <c r="E463" s="627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120</v>
      </c>
      <c r="L463" s="37" t="s">
        <v>45</v>
      </c>
      <c r="M463" s="38" t="s">
        <v>119</v>
      </c>
      <c r="N463" s="38"/>
      <c r="O463" s="37">
        <v>50</v>
      </c>
      <c r="P463" s="85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4301011584</v>
      </c>
      <c r="D464" s="627">
        <v>4640242180564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120</v>
      </c>
      <c r="L464" s="37" t="s">
        <v>45</v>
      </c>
      <c r="M464" s="38" t="s">
        <v>119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735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736</v>
      </c>
      <c r="B465" s="63" t="s">
        <v>737</v>
      </c>
      <c r="C465" s="36">
        <v>4301011764</v>
      </c>
      <c r="D465" s="627">
        <v>4640242181189</v>
      </c>
      <c r="E465" s="627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124</v>
      </c>
      <c r="L465" s="37" t="s">
        <v>45</v>
      </c>
      <c r="M465" s="38" t="s">
        <v>92</v>
      </c>
      <c r="N465" s="38"/>
      <c r="O465" s="37">
        <v>55</v>
      </c>
      <c r="P465" s="86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45</v>
      </c>
      <c r="AB465" s="69" t="s">
        <v>45</v>
      </c>
      <c r="AC465" s="538" t="s">
        <v>729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35"/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5"/>
      <c r="M466" s="635"/>
      <c r="N466" s="635"/>
      <c r="O466" s="636"/>
      <c r="P466" s="632" t="s">
        <v>40</v>
      </c>
      <c r="Q466" s="633"/>
      <c r="R466" s="633"/>
      <c r="S466" s="633"/>
      <c r="T466" s="633"/>
      <c r="U466" s="633"/>
      <c r="V466" s="634"/>
      <c r="W466" s="42" t="s">
        <v>39</v>
      </c>
      <c r="X466" s="43">
        <f>IFERROR(X462/H462,"0")+IFERROR(X463/H463,"0")+IFERROR(X464/H464,"0")+IFERROR(X465/H465,"0")</f>
        <v>0</v>
      </c>
      <c r="Y466" s="43">
        <f>IFERROR(Y462/H462,"0")+IFERROR(Y463/H463,"0")+IFERROR(Y464/H464,"0")+IFERROR(Y465/H465,"0")</f>
        <v>0</v>
      </c>
      <c r="Z466" s="43">
        <f>IFERROR(IF(Z462="",0,Z462),"0")+IFERROR(IF(Z463="",0,Z463),"0")+IFERROR(IF(Z464="",0,Z464),"0")+IFERROR(IF(Z465="",0,Z465),"0")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0</v>
      </c>
      <c r="X467" s="43">
        <f>IFERROR(SUM(X462:X465),"0")</f>
        <v>0</v>
      </c>
      <c r="Y467" s="43">
        <f>IFERROR(SUM(Y462:Y465),"0")</f>
        <v>0</v>
      </c>
      <c r="Z467" s="42"/>
      <c r="AA467" s="67"/>
      <c r="AB467" s="67"/>
      <c r="AC467" s="67"/>
    </row>
    <row r="468" spans="1:68" ht="14.25" customHeight="1" x14ac:dyDescent="0.25">
      <c r="A468" s="626" t="s">
        <v>150</v>
      </c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6"/>
      <c r="P468" s="626"/>
      <c r="Q468" s="626"/>
      <c r="R468" s="626"/>
      <c r="S468" s="626"/>
      <c r="T468" s="626"/>
      <c r="U468" s="626"/>
      <c r="V468" s="626"/>
      <c r="W468" s="626"/>
      <c r="X468" s="626"/>
      <c r="Y468" s="626"/>
      <c r="Z468" s="626"/>
      <c r="AA468" s="66"/>
      <c r="AB468" s="66"/>
      <c r="AC468" s="80"/>
    </row>
    <row r="469" spans="1:68" ht="27" customHeight="1" x14ac:dyDescent="0.25">
      <c r="A469" s="63" t="s">
        <v>738</v>
      </c>
      <c r="B469" s="63" t="s">
        <v>739</v>
      </c>
      <c r="C469" s="36">
        <v>4301020400</v>
      </c>
      <c r="D469" s="627">
        <v>4640242180519</v>
      </c>
      <c r="E469" s="627"/>
      <c r="F469" s="62">
        <v>1.5</v>
      </c>
      <c r="G469" s="37">
        <v>8</v>
      </c>
      <c r="H469" s="62">
        <v>12</v>
      </c>
      <c r="I469" s="62">
        <v>12.41</v>
      </c>
      <c r="J469" s="37">
        <v>64</v>
      </c>
      <c r="K469" s="37" t="s">
        <v>120</v>
      </c>
      <c r="L469" s="37" t="s">
        <v>45</v>
      </c>
      <c r="M469" s="38" t="s">
        <v>119</v>
      </c>
      <c r="N469" s="38"/>
      <c r="O469" s="37">
        <v>50</v>
      </c>
      <c r="P469" s="8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629"/>
      <c r="R469" s="629"/>
      <c r="S469" s="629"/>
      <c r="T469" s="630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741</v>
      </c>
      <c r="B470" s="63" t="s">
        <v>742</v>
      </c>
      <c r="C470" s="36">
        <v>4301020260</v>
      </c>
      <c r="D470" s="627">
        <v>4640242180526</v>
      </c>
      <c r="E470" s="627"/>
      <c r="F470" s="62">
        <v>1.8</v>
      </c>
      <c r="G470" s="37">
        <v>6</v>
      </c>
      <c r="H470" s="62">
        <v>10.8</v>
      </c>
      <c r="I470" s="62">
        <v>11.21</v>
      </c>
      <c r="J470" s="37">
        <v>64</v>
      </c>
      <c r="K470" s="37" t="s">
        <v>120</v>
      </c>
      <c r="L470" s="37" t="s">
        <v>45</v>
      </c>
      <c r="M470" s="38" t="s">
        <v>119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743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35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635"/>
      <c r="N471" s="635"/>
      <c r="O471" s="636"/>
      <c r="P471" s="632" t="s">
        <v>40</v>
      </c>
      <c r="Q471" s="633"/>
      <c r="R471" s="633"/>
      <c r="S471" s="633"/>
      <c r="T471" s="633"/>
      <c r="U471" s="633"/>
      <c r="V471" s="634"/>
      <c r="W471" s="42" t="s">
        <v>39</v>
      </c>
      <c r="X471" s="43">
        <f>IFERROR(X469/H469,"0")+IFERROR(X470/H470,"0")</f>
        <v>0</v>
      </c>
      <c r="Y471" s="43">
        <f>IFERROR(Y469/H469,"0")+IFERROR(Y470/H470,"0")</f>
        <v>0</v>
      </c>
      <c r="Z471" s="43">
        <f>IFERROR(IF(Z469="",0,Z469),"0")+IFERROR(IF(Z470="",0,Z470),"0")</f>
        <v>0</v>
      </c>
      <c r="AA471" s="67"/>
      <c r="AB471" s="67"/>
      <c r="AC471" s="67"/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0</v>
      </c>
      <c r="X472" s="43">
        <f>IFERROR(SUM(X469:X470),"0")</f>
        <v>0</v>
      </c>
      <c r="Y472" s="43">
        <f>IFERROR(SUM(Y469:Y470),"0")</f>
        <v>0</v>
      </c>
      <c r="Z472" s="42"/>
      <c r="AA472" s="67"/>
      <c r="AB472" s="67"/>
      <c r="AC472" s="67"/>
    </row>
    <row r="473" spans="1:68" ht="14.25" customHeight="1" x14ac:dyDescent="0.25">
      <c r="A473" s="626" t="s">
        <v>78</v>
      </c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6"/>
      <c r="V473" s="626"/>
      <c r="W473" s="626"/>
      <c r="X473" s="626"/>
      <c r="Y473" s="626"/>
      <c r="Z473" s="626"/>
      <c r="AA473" s="66"/>
      <c r="AB473" s="66"/>
      <c r="AC473" s="80"/>
    </row>
    <row r="474" spans="1:68" ht="27" customHeight="1" x14ac:dyDescent="0.25">
      <c r="A474" s="63" t="s">
        <v>744</v>
      </c>
      <c r="B474" s="63" t="s">
        <v>745</v>
      </c>
      <c r="C474" s="36">
        <v>4301031280</v>
      </c>
      <c r="D474" s="627">
        <v>4640242180816</v>
      </c>
      <c r="E474" s="627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124</v>
      </c>
      <c r="L474" s="37" t="s">
        <v>45</v>
      </c>
      <c r="M474" s="38" t="s">
        <v>82</v>
      </c>
      <c r="N474" s="38"/>
      <c r="O474" s="37">
        <v>40</v>
      </c>
      <c r="P474" s="86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629"/>
      <c r="R474" s="629"/>
      <c r="S474" s="629"/>
      <c r="T474" s="630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747</v>
      </c>
      <c r="B475" s="63" t="s">
        <v>748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124</v>
      </c>
      <c r="L475" s="37" t="s">
        <v>45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749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IFERROR(X474/H474,"0")+IFERROR(X475/H475,"0")</f>
        <v>0</v>
      </c>
      <c r="Y476" s="43">
        <f>IFERROR(Y474/H474,"0")+IFERROR(Y475/H475,"0")</f>
        <v>0</v>
      </c>
      <c r="Z476" s="43">
        <f>IFERROR(IF(Z474="",0,Z474),"0")+IFERROR(IF(Z475="",0,Z475),"0")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IFERROR(SUM(X474:X475),"0")</f>
        <v>0</v>
      </c>
      <c r="Y477" s="43">
        <f>IFERROR(SUM(Y474:Y475),"0")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750</v>
      </c>
      <c r="B479" s="63" t="s">
        <v>751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120</v>
      </c>
      <c r="L479" s="37" t="s">
        <v>45</v>
      </c>
      <c r="M479" s="38" t="s">
        <v>101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752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178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753</v>
      </c>
      <c r="B483" s="63" t="s">
        <v>754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120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756</v>
      </c>
      <c r="B484" s="63" t="s">
        <v>757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120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758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759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150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760</v>
      </c>
      <c r="B489" s="63" t="s">
        <v>761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120</v>
      </c>
      <c r="L489" s="37" t="s">
        <v>45</v>
      </c>
      <c r="M489" s="38" t="s">
        <v>119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762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0</v>
      </c>
      <c r="Y492" s="43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0</v>
      </c>
      <c r="Y496" s="43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113</v>
      </c>
      <c r="D499" s="876" t="s">
        <v>113</v>
      </c>
      <c r="E499" s="876" t="s">
        <v>113</v>
      </c>
      <c r="F499" s="876" t="s">
        <v>113</v>
      </c>
      <c r="G499" s="876" t="s">
        <v>113</v>
      </c>
      <c r="H499" s="876" t="s">
        <v>113</v>
      </c>
      <c r="I499" s="876" t="s">
        <v>278</v>
      </c>
      <c r="J499" s="876" t="s">
        <v>278</v>
      </c>
      <c r="K499" s="876" t="s">
        <v>278</v>
      </c>
      <c r="L499" s="876" t="s">
        <v>278</v>
      </c>
      <c r="M499" s="876" t="s">
        <v>278</v>
      </c>
      <c r="N499" s="877"/>
      <c r="O499" s="876" t="s">
        <v>278</v>
      </c>
      <c r="P499" s="876" t="s">
        <v>278</v>
      </c>
      <c r="Q499" s="876" t="s">
        <v>278</v>
      </c>
      <c r="R499" s="876" t="s">
        <v>278</v>
      </c>
      <c r="S499" s="876" t="s">
        <v>565</v>
      </c>
      <c r="T499" s="876" t="s">
        <v>565</v>
      </c>
      <c r="U499" s="876" t="s">
        <v>619</v>
      </c>
      <c r="V499" s="876" t="s">
        <v>619</v>
      </c>
      <c r="W499" s="876" t="s">
        <v>619</v>
      </c>
      <c r="X499" s="85" t="s">
        <v>670</v>
      </c>
      <c r="Y499" s="876" t="s">
        <v>726</v>
      </c>
      <c r="Z499" s="876" t="s">
        <v>726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114</v>
      </c>
      <c r="D500" s="876" t="s">
        <v>131</v>
      </c>
      <c r="E500" s="876" t="s">
        <v>185</v>
      </c>
      <c r="F500" s="876" t="s">
        <v>209</v>
      </c>
      <c r="G500" s="876" t="s">
        <v>248</v>
      </c>
      <c r="H500" s="876" t="s">
        <v>113</v>
      </c>
      <c r="I500" s="876" t="s">
        <v>279</v>
      </c>
      <c r="J500" s="876" t="s">
        <v>332</v>
      </c>
      <c r="K500" s="876" t="s">
        <v>391</v>
      </c>
      <c r="L500" s="876" t="s">
        <v>431</v>
      </c>
      <c r="M500" s="876" t="s">
        <v>447</v>
      </c>
      <c r="N500" s="1"/>
      <c r="O500" s="876" t="s">
        <v>458</v>
      </c>
      <c r="P500" s="876" t="s">
        <v>467</v>
      </c>
      <c r="Q500" s="876" t="s">
        <v>480</v>
      </c>
      <c r="R500" s="876" t="s">
        <v>555</v>
      </c>
      <c r="S500" s="876" t="s">
        <v>566</v>
      </c>
      <c r="T500" s="876" t="s">
        <v>601</v>
      </c>
      <c r="U500" s="876" t="s">
        <v>620</v>
      </c>
      <c r="V500" s="876" t="s">
        <v>651</v>
      </c>
      <c r="W500" s="876" t="s">
        <v>666</v>
      </c>
      <c r="X500" s="876" t="s">
        <v>670</v>
      </c>
      <c r="Y500" s="876" t="s">
        <v>726</v>
      </c>
      <c r="Z500" s="876" t="s">
        <v>759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52">
        <f>IFERROR(Y86*1,"0")+IFERROR(Y87*1,"0")+IFERROR(Y88*1,"0")+IFERROR(Y89*1,"0")+IFERROR(Y93*1,"0")+IFERROR(Y94*1,"0")+IFERROR(Y95*1,"0")+IFERROR(Y96*1,"0")</f>
        <v>0</v>
      </c>
      <c r="F502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52">
        <f>IFERROR(Y128*1,"0")+IFERROR(Y129*1,"0")+IFERROR(Y133*1,"0")+IFERROR(Y134*1,"0")+IFERROR(Y138*1,"0")+IFERROR(Y139*1,"0")</f>
        <v>0</v>
      </c>
      <c r="H502" s="52">
        <f>IFERROR(Y144*1,"0")+IFERROR(Y145*1,"0")+IFERROR(Y149*1,"0")+IFERROR(Y150*1,"0")+IFERROR(Y151*1,"0")+IFERROR(Y155*1,"0")</f>
        <v>0</v>
      </c>
      <c r="I502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52">
        <f>IFERROR(Y259*1,"0")+IFERROR(Y260*1,"0")+IFERROR(Y261*1,"0")+IFERROR(Y262*1,"0")+IFERROR(Y263*1,"0")</f>
        <v>0</v>
      </c>
      <c r="M502" s="52">
        <f>IFERROR(Y268*1,"0")+IFERROR(Y269*1,"0")+IFERROR(Y270*1,"0")+IFERROR(Y271*1,"0")</f>
        <v>0</v>
      </c>
      <c r="N502" s="1"/>
      <c r="O502" s="52">
        <f>IFERROR(Y276*1,"0")+IFERROR(Y277*1,"0")+IFERROR(Y278*1,"0")</f>
        <v>0</v>
      </c>
      <c r="P502" s="52">
        <f>IFERROR(Y283*1,"0")+IFERROR(Y284*1,"0")+IFERROR(Y288*1,"0")+IFERROR(Y289*1,"0")</f>
        <v>0</v>
      </c>
      <c r="Q502" s="52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502" s="52">
        <f>IFERROR(Y339*1,"0")+IFERROR(Y340*1,"0")+IFERROR(Y341*1,"0")</f>
        <v>0</v>
      </c>
      <c r="S502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52">
        <f>IFERROR(Y372*1,"0")+IFERROR(Y373*1,"0")+IFERROR(Y377*1,"0")+IFERROR(Y378*1,"0")+IFERROR(Y382*1,"0")+IFERROR(Y383*1,"0")+IFERROR(Y384*1,"0")</f>
        <v>0</v>
      </c>
      <c r="U502" s="52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52">
        <f>IFERROR(Y408*1,"0")+IFERROR(Y412*1,"0")+IFERROR(Y413*1,"0")+IFERROR(Y414*1,"0")+IFERROR(Y415*1,"0")</f>
        <v>0</v>
      </c>
      <c r="W502" s="52">
        <f>IFERROR(Y420*1,"0")</f>
        <v>0</v>
      </c>
      <c r="X502" s="52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52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VN6uGJLB6I1macE1Ee5QvNlOtkYnUDNSG6GHHLgBpKDCGAx7QShVwmmlKxTxY5KOVbl17UdjfEkljf8ttI3igQ==" saltValue="k0drNyLufS7iaf4MtXB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A487:Z487"/>
    <mergeCell ref="A488:Z488"/>
    <mergeCell ref="D489:E489"/>
    <mergeCell ref="P489:T489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P485:V485"/>
    <mergeCell ref="A485:O486"/>
    <mergeCell ref="P486:V486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A468:Z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55:Z455"/>
    <mergeCell ref="D456:E456"/>
    <mergeCell ref="P456:T456"/>
    <mergeCell ref="P457:V457"/>
    <mergeCell ref="A457:O458"/>
    <mergeCell ref="P458:V458"/>
    <mergeCell ref="A459:Z459"/>
    <mergeCell ref="A460:Z460"/>
    <mergeCell ref="A461:Z461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A407:Z407"/>
    <mergeCell ref="D408:E408"/>
    <mergeCell ref="P408:T408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A388:Z388"/>
    <mergeCell ref="A389:Z389"/>
    <mergeCell ref="D390:E390"/>
    <mergeCell ref="P390:T390"/>
    <mergeCell ref="D391:E391"/>
    <mergeCell ref="P391:T391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48:X449 X432 X430 X426 X394 X357 X347:X349 X340:X341 X327 X319:X320 X307:X308 X277 X237 X224:X225 X219:X220 X217 X214:X215 X206:X208 X201:X204 X174 X171 X168 X166 X123 X119 X104 X101 X89 X86 X63 X57 X41:X42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9"/>
    </row>
    <row r="3" spans="2:8" x14ac:dyDescent="0.2">
      <c r="B3" s="53" t="s">
        <v>764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766</v>
      </c>
      <c r="D6" s="53" t="s">
        <v>767</v>
      </c>
      <c r="E6" s="53" t="s">
        <v>45</v>
      </c>
    </row>
    <row r="8" spans="2:8" x14ac:dyDescent="0.2">
      <c r="B8" s="53" t="s">
        <v>76</v>
      </c>
      <c r="C8" s="53" t="s">
        <v>766</v>
      </c>
      <c r="D8" s="53" t="s">
        <v>45</v>
      </c>
      <c r="E8" s="53" t="s">
        <v>45</v>
      </c>
    </row>
    <row r="10" spans="2:8" x14ac:dyDescent="0.2">
      <c r="B10" s="53" t="s">
        <v>768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769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770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771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772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773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774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775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776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777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778</v>
      </c>
      <c r="C20" s="53" t="s">
        <v>45</v>
      </c>
      <c r="D20" s="53" t="s">
        <v>45</v>
      </c>
      <c r="E20" s="53" t="s">
        <v>45</v>
      </c>
    </row>
  </sheetData>
  <sheetProtection algorithmName="SHA-512" hashValue="1Y99z9K9hFnK7HTcekNWqcZvqFEXZy9US5jdrEd3ngNmtZNQcRtVZ1stpEU7h4Nh6H8haRNNrti+hl1W1IqU/w==" saltValue="KtuniFmBGqMjgEkHAsfm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