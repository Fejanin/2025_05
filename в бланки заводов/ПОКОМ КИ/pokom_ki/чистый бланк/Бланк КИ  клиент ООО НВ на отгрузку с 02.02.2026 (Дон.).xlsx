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4EB6CA-140D-4200-BFE5-07E9BBF2FF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2" l="1"/>
  <c r="X484" i="2"/>
  <c r="BO483" i="2"/>
  <c r="BM483" i="2"/>
  <c r="Y483" i="2"/>
  <c r="Z496" i="2" s="1"/>
  <c r="P483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Y471" i="2" s="1"/>
  <c r="P469" i="2"/>
  <c r="X467" i="2"/>
  <c r="X466" i="2"/>
  <c r="BP465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Z460" i="2"/>
  <c r="Y460" i="2"/>
  <c r="BP460" i="2" s="1"/>
  <c r="P460" i="2"/>
  <c r="BO459" i="2"/>
  <c r="BM459" i="2"/>
  <c r="Y459" i="2"/>
  <c r="P459" i="2"/>
  <c r="BO458" i="2"/>
  <c r="BM458" i="2"/>
  <c r="Y458" i="2"/>
  <c r="BP458" i="2" s="1"/>
  <c r="P458" i="2"/>
  <c r="BO457" i="2"/>
  <c r="BM457" i="2"/>
  <c r="Y457" i="2"/>
  <c r="P457" i="2"/>
  <c r="X453" i="2"/>
  <c r="X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Z448" i="2"/>
  <c r="Y448" i="2"/>
  <c r="BP448" i="2" s="1"/>
  <c r="P448" i="2"/>
  <c r="BO447" i="2"/>
  <c r="BN447" i="2"/>
  <c r="BM447" i="2"/>
  <c r="Z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Y444" i="2" s="1"/>
  <c r="P440" i="2"/>
  <c r="X438" i="2"/>
  <c r="X437" i="2"/>
  <c r="BO436" i="2"/>
  <c r="BM436" i="2"/>
  <c r="Y436" i="2"/>
  <c r="BP436" i="2" s="1"/>
  <c r="P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P431" i="2"/>
  <c r="BO431" i="2"/>
  <c r="BN431" i="2"/>
  <c r="BM431" i="2"/>
  <c r="Z431" i="2"/>
  <c r="Y431" i="2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P427" i="2"/>
  <c r="BP426" i="2"/>
  <c r="BO426" i="2"/>
  <c r="BM426" i="2"/>
  <c r="Y426" i="2"/>
  <c r="BN426" i="2" s="1"/>
  <c r="P426" i="2"/>
  <c r="BO425" i="2"/>
  <c r="BM425" i="2"/>
  <c r="Y425" i="2"/>
  <c r="P425" i="2"/>
  <c r="X421" i="2"/>
  <c r="X420" i="2"/>
  <c r="BO419" i="2"/>
  <c r="BM419" i="2"/>
  <c r="Y419" i="2"/>
  <c r="P419" i="2"/>
  <c r="X416" i="2"/>
  <c r="X415" i="2"/>
  <c r="BP414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Z412" i="2"/>
  <c r="Y412" i="2"/>
  <c r="BP412" i="2" s="1"/>
  <c r="P412" i="2"/>
  <c r="BO411" i="2"/>
  <c r="BM411" i="2"/>
  <c r="Y411" i="2"/>
  <c r="BP411" i="2" s="1"/>
  <c r="P411" i="2"/>
  <c r="X409" i="2"/>
  <c r="Y408" i="2"/>
  <c r="X408" i="2"/>
  <c r="BO407" i="2"/>
  <c r="BM407" i="2"/>
  <c r="Z407" i="2"/>
  <c r="Z408" i="2" s="1"/>
  <c r="Y407" i="2"/>
  <c r="P407" i="2"/>
  <c r="X404" i="2"/>
  <c r="X403" i="2"/>
  <c r="BP402" i="2"/>
  <c r="BO402" i="2"/>
  <c r="BM402" i="2"/>
  <c r="Y402" i="2"/>
  <c r="P402" i="2"/>
  <c r="BO401" i="2"/>
  <c r="BM401" i="2"/>
  <c r="Y401" i="2"/>
  <c r="P401" i="2"/>
  <c r="X399" i="2"/>
  <c r="X398" i="2"/>
  <c r="BO397" i="2"/>
  <c r="BM397" i="2"/>
  <c r="Y397" i="2"/>
  <c r="P397" i="2"/>
  <c r="BO396" i="2"/>
  <c r="BM396" i="2"/>
  <c r="Y396" i="2"/>
  <c r="Z396" i="2" s="1"/>
  <c r="P396" i="2"/>
  <c r="BP395" i="2"/>
  <c r="BO395" i="2"/>
  <c r="BN395" i="2"/>
  <c r="BM395" i="2"/>
  <c r="Z395" i="2"/>
  <c r="Y395" i="2"/>
  <c r="P395" i="2"/>
  <c r="BO394" i="2"/>
  <c r="BM394" i="2"/>
  <c r="Y394" i="2"/>
  <c r="P394" i="2"/>
  <c r="BO393" i="2"/>
  <c r="BM393" i="2"/>
  <c r="Y393" i="2"/>
  <c r="P393" i="2"/>
  <c r="BP392" i="2"/>
  <c r="BO392" i="2"/>
  <c r="BM392" i="2"/>
  <c r="Y392" i="2"/>
  <c r="P392" i="2"/>
  <c r="BO391" i="2"/>
  <c r="BM391" i="2"/>
  <c r="Y391" i="2"/>
  <c r="P391" i="2"/>
  <c r="BP390" i="2"/>
  <c r="BO390" i="2"/>
  <c r="BM390" i="2"/>
  <c r="Y390" i="2"/>
  <c r="BN390" i="2" s="1"/>
  <c r="P390" i="2"/>
  <c r="BO389" i="2"/>
  <c r="BM389" i="2"/>
  <c r="Y389" i="2"/>
  <c r="P389" i="2"/>
  <c r="X385" i="2"/>
  <c r="X384" i="2"/>
  <c r="BO383" i="2"/>
  <c r="BM383" i="2"/>
  <c r="Y383" i="2"/>
  <c r="P383" i="2"/>
  <c r="BO382" i="2"/>
  <c r="BM382" i="2"/>
  <c r="Y382" i="2"/>
  <c r="Y384" i="2" s="1"/>
  <c r="P382" i="2"/>
  <c r="BP381" i="2"/>
  <c r="BO381" i="2"/>
  <c r="BN381" i="2"/>
  <c r="BM381" i="2"/>
  <c r="Z381" i="2"/>
  <c r="Y381" i="2"/>
  <c r="P381" i="2"/>
  <c r="X379" i="2"/>
  <c r="X378" i="2"/>
  <c r="BO377" i="2"/>
  <c r="BM377" i="2"/>
  <c r="Y377" i="2"/>
  <c r="P377" i="2"/>
  <c r="X375" i="2"/>
  <c r="X374" i="2"/>
  <c r="BP373" i="2"/>
  <c r="BO373" i="2"/>
  <c r="BM373" i="2"/>
  <c r="Y373" i="2"/>
  <c r="BN373" i="2" s="1"/>
  <c r="P373" i="2"/>
  <c r="BO372" i="2"/>
  <c r="BM372" i="2"/>
  <c r="Y372" i="2"/>
  <c r="P372" i="2"/>
  <c r="Y369" i="2"/>
  <c r="X369" i="2"/>
  <c r="X368" i="2"/>
  <c r="BO367" i="2"/>
  <c r="BM367" i="2"/>
  <c r="Z367" i="2"/>
  <c r="Z368" i="2" s="1"/>
  <c r="Y367" i="2"/>
  <c r="Y368" i="2" s="1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X360" i="2"/>
  <c r="X359" i="2"/>
  <c r="BO358" i="2"/>
  <c r="BN358" i="2"/>
  <c r="BM358" i="2"/>
  <c r="Z358" i="2"/>
  <c r="Y358" i="2"/>
  <c r="BP358" i="2" s="1"/>
  <c r="P358" i="2"/>
  <c r="BO357" i="2"/>
  <c r="BM357" i="2"/>
  <c r="Y357" i="2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P351" i="2"/>
  <c r="BO351" i="2"/>
  <c r="BM351" i="2"/>
  <c r="Y351" i="2"/>
  <c r="BN351" i="2" s="1"/>
  <c r="P351" i="2"/>
  <c r="BO350" i="2"/>
  <c r="BM350" i="2"/>
  <c r="Y350" i="2"/>
  <c r="P350" i="2"/>
  <c r="BO349" i="2"/>
  <c r="BM349" i="2"/>
  <c r="Z349" i="2"/>
  <c r="Y349" i="2"/>
  <c r="BP349" i="2" s="1"/>
  <c r="P349" i="2"/>
  <c r="BO348" i="2"/>
  <c r="BN348" i="2"/>
  <c r="BM348" i="2"/>
  <c r="Z348" i="2"/>
  <c r="Y348" i="2"/>
  <c r="P348" i="2"/>
  <c r="BO347" i="2"/>
  <c r="BM347" i="2"/>
  <c r="Y347" i="2"/>
  <c r="Y355" i="2" s="1"/>
  <c r="P347" i="2"/>
  <c r="X343" i="2"/>
  <c r="X342" i="2"/>
  <c r="BO341" i="2"/>
  <c r="BM341" i="2"/>
  <c r="Y341" i="2"/>
  <c r="P341" i="2"/>
  <c r="BO340" i="2"/>
  <c r="BM340" i="2"/>
  <c r="Y340" i="2"/>
  <c r="BP340" i="2" s="1"/>
  <c r="P340" i="2"/>
  <c r="BP339" i="2"/>
  <c r="BO339" i="2"/>
  <c r="BM339" i="2"/>
  <c r="Y339" i="2"/>
  <c r="P339" i="2"/>
  <c r="X336" i="2"/>
  <c r="X335" i="2"/>
  <c r="BO334" i="2"/>
  <c r="BM334" i="2"/>
  <c r="Y334" i="2"/>
  <c r="BP334" i="2" s="1"/>
  <c r="P334" i="2"/>
  <c r="BP333" i="2"/>
  <c r="BO333" i="2"/>
  <c r="BN333" i="2"/>
  <c r="BM333" i="2"/>
  <c r="Z333" i="2"/>
  <c r="Y333" i="2"/>
  <c r="P333" i="2"/>
  <c r="BO332" i="2"/>
  <c r="BM332" i="2"/>
  <c r="Z332" i="2"/>
  <c r="Y332" i="2"/>
  <c r="P332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P325" i="2"/>
  <c r="X323" i="2"/>
  <c r="X322" i="2"/>
  <c r="BO321" i="2"/>
  <c r="BM321" i="2"/>
  <c r="Y321" i="2"/>
  <c r="Z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P315" i="2"/>
  <c r="BO315" i="2"/>
  <c r="BM315" i="2"/>
  <c r="Y315" i="2"/>
  <c r="BN315" i="2" s="1"/>
  <c r="P315" i="2"/>
  <c r="BO314" i="2"/>
  <c r="BM314" i="2"/>
  <c r="Y314" i="2"/>
  <c r="P314" i="2"/>
  <c r="BO313" i="2"/>
  <c r="BM313" i="2"/>
  <c r="Y313" i="2"/>
  <c r="P313" i="2"/>
  <c r="BP312" i="2"/>
  <c r="BO312" i="2"/>
  <c r="BN312" i="2"/>
  <c r="BM312" i="2"/>
  <c r="Z312" i="2"/>
  <c r="Y312" i="2"/>
  <c r="P312" i="2"/>
  <c r="X310" i="2"/>
  <c r="X309" i="2"/>
  <c r="BP308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P305" i="2"/>
  <c r="BO305" i="2"/>
  <c r="BM305" i="2"/>
  <c r="Y305" i="2"/>
  <c r="BN305" i="2" s="1"/>
  <c r="P305" i="2"/>
  <c r="BO304" i="2"/>
  <c r="BM304" i="2"/>
  <c r="Y304" i="2"/>
  <c r="P304" i="2"/>
  <c r="BO303" i="2"/>
  <c r="BM303" i="2"/>
  <c r="Y303" i="2"/>
  <c r="P303" i="2"/>
  <c r="X301" i="2"/>
  <c r="X300" i="2"/>
  <c r="BO299" i="2"/>
  <c r="BM299" i="2"/>
  <c r="Y299" i="2"/>
  <c r="P299" i="2"/>
  <c r="BP298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P295" i="2"/>
  <c r="BO295" i="2"/>
  <c r="BM295" i="2"/>
  <c r="Y295" i="2"/>
  <c r="BN295" i="2" s="1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Y274" i="2" s="1"/>
  <c r="P269" i="2"/>
  <c r="X266" i="2"/>
  <c r="X265" i="2"/>
  <c r="BO264" i="2"/>
  <c r="BM264" i="2"/>
  <c r="Y264" i="2"/>
  <c r="BN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BN260" i="2" s="1"/>
  <c r="P260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Z248" i="2" s="1"/>
  <c r="P247" i="2"/>
  <c r="X245" i="2"/>
  <c r="X244" i="2"/>
  <c r="BO243" i="2"/>
  <c r="BM243" i="2"/>
  <c r="Y243" i="2"/>
  <c r="Y244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Z233" i="2"/>
  <c r="Y233" i="2"/>
  <c r="BP233" i="2" s="1"/>
  <c r="P233" i="2"/>
  <c r="BO232" i="2"/>
  <c r="BM232" i="2"/>
  <c r="Y232" i="2"/>
  <c r="P232" i="2"/>
  <c r="BO231" i="2"/>
  <c r="BM231" i="2"/>
  <c r="Y231" i="2"/>
  <c r="K496" i="2" s="1"/>
  <c r="P231" i="2"/>
  <c r="X228" i="2"/>
  <c r="X227" i="2"/>
  <c r="BO226" i="2"/>
  <c r="BM226" i="2"/>
  <c r="Y226" i="2"/>
  <c r="BN226" i="2" s="1"/>
  <c r="P226" i="2"/>
  <c r="BP225" i="2"/>
  <c r="BO225" i="2"/>
  <c r="BM225" i="2"/>
  <c r="Y225" i="2"/>
  <c r="BN225" i="2" s="1"/>
  <c r="P225" i="2"/>
  <c r="X223" i="2"/>
  <c r="X222" i="2"/>
  <c r="BO221" i="2"/>
  <c r="BM221" i="2"/>
  <c r="Z221" i="2"/>
  <c r="Y221" i="2"/>
  <c r="BP221" i="2" s="1"/>
  <c r="P221" i="2"/>
  <c r="BO220" i="2"/>
  <c r="BM220" i="2"/>
  <c r="Z220" i="2"/>
  <c r="Y220" i="2"/>
  <c r="BN220" i="2" s="1"/>
  <c r="P220" i="2"/>
  <c r="BO219" i="2"/>
  <c r="BN219" i="2"/>
  <c r="BM219" i="2"/>
  <c r="Z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BO203" i="2"/>
  <c r="BN203" i="2"/>
  <c r="BM203" i="2"/>
  <c r="Z203" i="2"/>
  <c r="Y203" i="2"/>
  <c r="BP203" i="2" s="1"/>
  <c r="P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P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Y194" i="2" s="1"/>
  <c r="P192" i="2"/>
  <c r="X189" i="2"/>
  <c r="X188" i="2"/>
  <c r="BO187" i="2"/>
  <c r="BN187" i="2"/>
  <c r="BM187" i="2"/>
  <c r="Z187" i="2"/>
  <c r="Z188" i="2" s="1"/>
  <c r="Y187" i="2"/>
  <c r="BP187" i="2" s="1"/>
  <c r="P187" i="2"/>
  <c r="X185" i="2"/>
  <c r="X184" i="2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Y185" i="2" s="1"/>
  <c r="P181" i="2"/>
  <c r="X179" i="2"/>
  <c r="X178" i="2"/>
  <c r="BO177" i="2"/>
  <c r="BM177" i="2"/>
  <c r="Z177" i="2"/>
  <c r="Y177" i="2"/>
  <c r="BN177" i="2" s="1"/>
  <c r="P177" i="2"/>
  <c r="BO176" i="2"/>
  <c r="BN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Z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Y178" i="2" s="1"/>
  <c r="P164" i="2"/>
  <c r="X162" i="2"/>
  <c r="X161" i="2"/>
  <c r="BO160" i="2"/>
  <c r="BN160" i="2"/>
  <c r="BM160" i="2"/>
  <c r="Z160" i="2"/>
  <c r="Z161" i="2" s="1"/>
  <c r="Y160" i="2"/>
  <c r="BP160" i="2" s="1"/>
  <c r="P160" i="2"/>
  <c r="X156" i="2"/>
  <c r="X155" i="2"/>
  <c r="BO154" i="2"/>
  <c r="BN154" i="2"/>
  <c r="BM154" i="2"/>
  <c r="Z154" i="2"/>
  <c r="Z155" i="2" s="1"/>
  <c r="Y154" i="2"/>
  <c r="Y156" i="2" s="1"/>
  <c r="P154" i="2"/>
  <c r="X152" i="2"/>
  <c r="X151" i="2"/>
  <c r="BP150" i="2"/>
  <c r="BO150" i="2"/>
  <c r="BM150" i="2"/>
  <c r="Y150" i="2"/>
  <c r="BN150" i="2" s="1"/>
  <c r="P150" i="2"/>
  <c r="BO149" i="2"/>
  <c r="BM149" i="2"/>
  <c r="Y149" i="2"/>
  <c r="Z149" i="2" s="1"/>
  <c r="P149" i="2"/>
  <c r="BP148" i="2"/>
  <c r="BO148" i="2"/>
  <c r="BN148" i="2"/>
  <c r="BM148" i="2"/>
  <c r="Z148" i="2"/>
  <c r="Y148" i="2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Z142" i="2"/>
  <c r="Y142" i="2"/>
  <c r="BP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BP136" i="2" s="1"/>
  <c r="P136" i="2"/>
  <c r="BO135" i="2"/>
  <c r="BN135" i="2"/>
  <c r="BM135" i="2"/>
  <c r="Z135" i="2"/>
  <c r="Y135" i="2"/>
  <c r="BP135" i="2" s="1"/>
  <c r="P135" i="2"/>
  <c r="X133" i="2"/>
  <c r="X132" i="2"/>
  <c r="BO131" i="2"/>
  <c r="BN131" i="2"/>
  <c r="BM131" i="2"/>
  <c r="Z131" i="2"/>
  <c r="Y131" i="2"/>
  <c r="BP131" i="2" s="1"/>
  <c r="P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P125" i="2"/>
  <c r="BO125" i="2"/>
  <c r="BN125" i="2"/>
  <c r="BM125" i="2"/>
  <c r="Z125" i="2"/>
  <c r="Y125" i="2"/>
  <c r="P125" i="2"/>
  <c r="X122" i="2"/>
  <c r="X121" i="2"/>
  <c r="BP120" i="2"/>
  <c r="BO120" i="2"/>
  <c r="BN120" i="2"/>
  <c r="BM120" i="2"/>
  <c r="Z120" i="2"/>
  <c r="Z121" i="2" s="1"/>
  <c r="Y120" i="2"/>
  <c r="Y121" i="2" s="1"/>
  <c r="P120" i="2"/>
  <c r="X118" i="2"/>
  <c r="X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Z114" i="2" s="1"/>
  <c r="P114" i="2"/>
  <c r="BO113" i="2"/>
  <c r="BM113" i="2"/>
  <c r="Y113" i="2"/>
  <c r="Y118" i="2" s="1"/>
  <c r="P113" i="2"/>
  <c r="X111" i="2"/>
  <c r="X110" i="2"/>
  <c r="BP109" i="2"/>
  <c r="BO109" i="2"/>
  <c r="BN109" i="2"/>
  <c r="BM109" i="2"/>
  <c r="Z109" i="2"/>
  <c r="Y109" i="2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P102" i="2"/>
  <c r="BO102" i="2"/>
  <c r="BN102" i="2"/>
  <c r="BM102" i="2"/>
  <c r="Z102" i="2"/>
  <c r="Y102" i="2"/>
  <c r="P102" i="2"/>
  <c r="BO101" i="2"/>
  <c r="BM101" i="2"/>
  <c r="Y101" i="2"/>
  <c r="P101" i="2"/>
  <c r="BO100" i="2"/>
  <c r="BM100" i="2"/>
  <c r="Y100" i="2"/>
  <c r="BP100" i="2" s="1"/>
  <c r="P100" i="2"/>
  <c r="BP99" i="2"/>
  <c r="BO99" i="2"/>
  <c r="BN99" i="2"/>
  <c r="BM99" i="2"/>
  <c r="Z99" i="2"/>
  <c r="Y99" i="2"/>
  <c r="P99" i="2"/>
  <c r="BO98" i="2"/>
  <c r="BN98" i="2"/>
  <c r="BM98" i="2"/>
  <c r="Z98" i="2"/>
  <c r="Y98" i="2"/>
  <c r="F496" i="2" s="1"/>
  <c r="P98" i="2"/>
  <c r="X95" i="2"/>
  <c r="X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Y95" i="2" s="1"/>
  <c r="P90" i="2"/>
  <c r="X88" i="2"/>
  <c r="X87" i="2"/>
  <c r="BO86" i="2"/>
  <c r="BN86" i="2"/>
  <c r="BM86" i="2"/>
  <c r="Z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BP83" i="2"/>
  <c r="BO83" i="2"/>
  <c r="BM83" i="2"/>
  <c r="Y83" i="2"/>
  <c r="E496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Y74" i="2" s="1"/>
  <c r="P70" i="2"/>
  <c r="Y68" i="2"/>
  <c r="X68" i="2"/>
  <c r="Y67" i="2"/>
  <c r="X67" i="2"/>
  <c r="BP66" i="2"/>
  <c r="BO66" i="2"/>
  <c r="BN66" i="2"/>
  <c r="BM66" i="2"/>
  <c r="Z66" i="2"/>
  <c r="Z67" i="2" s="1"/>
  <c r="Y66" i="2"/>
  <c r="P66" i="2"/>
  <c r="X64" i="2"/>
  <c r="X63" i="2"/>
  <c r="BO62" i="2"/>
  <c r="BM62" i="2"/>
  <c r="Y62" i="2"/>
  <c r="P62" i="2"/>
  <c r="BO61" i="2"/>
  <c r="BM61" i="2"/>
  <c r="Y61" i="2"/>
  <c r="BP61" i="2" s="1"/>
  <c r="P61" i="2"/>
  <c r="BP60" i="2"/>
  <c r="BO60" i="2"/>
  <c r="BM60" i="2"/>
  <c r="Y60" i="2"/>
  <c r="P60" i="2"/>
  <c r="X58" i="2"/>
  <c r="X57" i="2"/>
  <c r="BO56" i="2"/>
  <c r="BM56" i="2"/>
  <c r="Y56" i="2"/>
  <c r="P56" i="2"/>
  <c r="BP55" i="2"/>
  <c r="BO55" i="2"/>
  <c r="BN55" i="2"/>
  <c r="BM55" i="2"/>
  <c r="Z55" i="2"/>
  <c r="Y55" i="2"/>
  <c r="P55" i="2"/>
  <c r="BO54" i="2"/>
  <c r="BM54" i="2"/>
  <c r="Y54" i="2"/>
  <c r="P54" i="2"/>
  <c r="BP53" i="2"/>
  <c r="BO53" i="2"/>
  <c r="BN53" i="2"/>
  <c r="BM53" i="2"/>
  <c r="Z53" i="2"/>
  <c r="Y53" i="2"/>
  <c r="P53" i="2"/>
  <c r="BO52" i="2"/>
  <c r="BM52" i="2"/>
  <c r="Y52" i="2"/>
  <c r="P52" i="2"/>
  <c r="BO51" i="2"/>
  <c r="BM51" i="2"/>
  <c r="Y51" i="2"/>
  <c r="BP51" i="2" s="1"/>
  <c r="P51" i="2"/>
  <c r="X48" i="2"/>
  <c r="X47" i="2"/>
  <c r="BO46" i="2"/>
  <c r="BM46" i="2"/>
  <c r="Y46" i="2"/>
  <c r="Y48" i="2" s="1"/>
  <c r="P46" i="2"/>
  <c r="Y44" i="2"/>
  <c r="X44" i="2"/>
  <c r="X43" i="2"/>
  <c r="BO42" i="2"/>
  <c r="BM42" i="2"/>
  <c r="Y42" i="2"/>
  <c r="P42" i="2"/>
  <c r="BO41" i="2"/>
  <c r="BM41" i="2"/>
  <c r="Y41" i="2"/>
  <c r="P41" i="2"/>
  <c r="BO40" i="2"/>
  <c r="BM40" i="2"/>
  <c r="Z40" i="2"/>
  <c r="Y40" i="2"/>
  <c r="BP40" i="2" s="1"/>
  <c r="P40" i="2"/>
  <c r="X36" i="2"/>
  <c r="X35" i="2"/>
  <c r="BO34" i="2"/>
  <c r="BM34" i="2"/>
  <c r="Y34" i="2"/>
  <c r="Z34" i="2" s="1"/>
  <c r="Z35" i="2" s="1"/>
  <c r="P34" i="2"/>
  <c r="X32" i="2"/>
  <c r="X31" i="2"/>
  <c r="BP30" i="2"/>
  <c r="BO30" i="2"/>
  <c r="BN30" i="2"/>
  <c r="BM30" i="2"/>
  <c r="Z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Z27" i="2"/>
  <c r="Y27" i="2"/>
  <c r="P27" i="2"/>
  <c r="X25" i="2"/>
  <c r="X486" i="2" s="1"/>
  <c r="X24" i="2"/>
  <c r="X490" i="2" s="1"/>
  <c r="BO23" i="2"/>
  <c r="BM23" i="2"/>
  <c r="Y23" i="2"/>
  <c r="Z23" i="2" s="1"/>
  <c r="P23" i="2"/>
  <c r="BO22" i="2"/>
  <c r="BM22" i="2"/>
  <c r="X487" i="2" s="1"/>
  <c r="Y22" i="2"/>
  <c r="Y25" i="2" s="1"/>
  <c r="P22" i="2"/>
  <c r="H10" i="2"/>
  <c r="A9" i="2"/>
  <c r="F10" i="2" s="1"/>
  <c r="D7" i="2"/>
  <c r="Q6" i="2"/>
  <c r="P2" i="2"/>
  <c r="H9" i="2" l="1"/>
  <c r="BP27" i="2"/>
  <c r="Y32" i="2"/>
  <c r="Z28" i="2"/>
  <c r="BN28" i="2"/>
  <c r="Z29" i="2"/>
  <c r="BN29" i="2"/>
  <c r="Y31" i="2"/>
  <c r="BP41" i="2"/>
  <c r="BN41" i="2"/>
  <c r="Z41" i="2"/>
  <c r="Z43" i="2" s="1"/>
  <c r="BP42" i="2"/>
  <c r="BN42" i="2"/>
  <c r="Z42" i="2"/>
  <c r="BP54" i="2"/>
  <c r="BN54" i="2"/>
  <c r="Z54" i="2"/>
  <c r="BP62" i="2"/>
  <c r="Z62" i="2"/>
  <c r="X488" i="2"/>
  <c r="BN23" i="2"/>
  <c r="BP23" i="2"/>
  <c r="Y24" i="2"/>
  <c r="Z31" i="2"/>
  <c r="BP52" i="2"/>
  <c r="Z52" i="2"/>
  <c r="BN56" i="2"/>
  <c r="Z56" i="2"/>
  <c r="BN70" i="2"/>
  <c r="BP70" i="2"/>
  <c r="Y63" i="2"/>
  <c r="Z73" i="2"/>
  <c r="Z78" i="2"/>
  <c r="BN78" i="2"/>
  <c r="Z91" i="2"/>
  <c r="BN91" i="2"/>
  <c r="Z100" i="2"/>
  <c r="BN100" i="2"/>
  <c r="Y103" i="2"/>
  <c r="Z107" i="2"/>
  <c r="Y111" i="2"/>
  <c r="BN114" i="2"/>
  <c r="BP114" i="2"/>
  <c r="Y122" i="2"/>
  <c r="G496" i="2"/>
  <c r="Z130" i="2"/>
  <c r="Z132" i="2" s="1"/>
  <c r="Z146" i="2"/>
  <c r="BN146" i="2"/>
  <c r="BP146" i="2"/>
  <c r="Y152" i="2"/>
  <c r="Y161" i="2"/>
  <c r="BP164" i="2"/>
  <c r="Z167" i="2"/>
  <c r="BN167" i="2"/>
  <c r="Z168" i="2"/>
  <c r="BN168" i="2"/>
  <c r="Z170" i="2"/>
  <c r="BN170" i="2"/>
  <c r="BP172" i="2"/>
  <c r="BP177" i="2"/>
  <c r="Y189" i="2"/>
  <c r="Y200" i="2"/>
  <c r="BP205" i="2"/>
  <c r="BN221" i="2"/>
  <c r="Y222" i="2"/>
  <c r="BN233" i="2"/>
  <c r="Y241" i="2"/>
  <c r="Y245" i="2"/>
  <c r="BN247" i="2"/>
  <c r="Z252" i="2"/>
  <c r="BN252" i="2"/>
  <c r="Z253" i="2"/>
  <c r="Z254" i="2"/>
  <c r="BN254" i="2"/>
  <c r="BP260" i="2"/>
  <c r="BP264" i="2"/>
  <c r="BP271" i="2"/>
  <c r="BN277" i="2"/>
  <c r="BP277" i="2"/>
  <c r="Z279" i="2"/>
  <c r="BN279" i="2"/>
  <c r="Z290" i="2"/>
  <c r="Z291" i="2" s="1"/>
  <c r="BN290" i="2"/>
  <c r="BN296" i="2"/>
  <c r="BP296" i="2"/>
  <c r="BN306" i="2"/>
  <c r="BP306" i="2"/>
  <c r="Y317" i="2"/>
  <c r="BN313" i="2"/>
  <c r="Z313" i="2"/>
  <c r="Y316" i="2"/>
  <c r="Z314" i="2"/>
  <c r="BN341" i="2"/>
  <c r="BP341" i="2"/>
  <c r="BN350" i="2"/>
  <c r="BP350" i="2"/>
  <c r="Y359" i="2"/>
  <c r="BP357" i="2"/>
  <c r="BN357" i="2"/>
  <c r="Z357" i="2"/>
  <c r="BN362" i="2"/>
  <c r="BP362" i="2"/>
  <c r="Y375" i="2"/>
  <c r="Z372" i="2"/>
  <c r="BP383" i="2"/>
  <c r="BN383" i="2"/>
  <c r="Z383" i="2"/>
  <c r="BP393" i="2"/>
  <c r="BN393" i="2"/>
  <c r="Z393" i="2"/>
  <c r="BP427" i="2"/>
  <c r="BN427" i="2"/>
  <c r="Z427" i="2"/>
  <c r="BN428" i="2"/>
  <c r="Z428" i="2"/>
  <c r="BN432" i="2"/>
  <c r="BP432" i="2"/>
  <c r="BN433" i="2"/>
  <c r="BP433" i="2"/>
  <c r="BP449" i="2"/>
  <c r="BN449" i="2"/>
  <c r="Z449" i="2"/>
  <c r="Y467" i="2"/>
  <c r="Z464" i="2"/>
  <c r="Z77" i="2"/>
  <c r="BN77" i="2"/>
  <c r="Z85" i="2"/>
  <c r="BP93" i="2"/>
  <c r="Y94" i="2"/>
  <c r="BN149" i="2"/>
  <c r="BP182" i="2"/>
  <c r="Y188" i="2"/>
  <c r="Z193" i="2"/>
  <c r="BN193" i="2"/>
  <c r="Y199" i="2"/>
  <c r="Z202" i="2"/>
  <c r="BN202" i="2"/>
  <c r="Z209" i="2"/>
  <c r="BN209" i="2"/>
  <c r="Z213" i="2"/>
  <c r="BN213" i="2"/>
  <c r="BP215" i="2"/>
  <c r="BP220" i="2"/>
  <c r="Z231" i="2"/>
  <c r="BN231" i="2"/>
  <c r="BP231" i="2"/>
  <c r="Y240" i="2"/>
  <c r="BN232" i="2"/>
  <c r="BP232" i="2"/>
  <c r="Z234" i="2"/>
  <c r="BN234" i="2"/>
  <c r="BP236" i="2"/>
  <c r="Z243" i="2"/>
  <c r="Z244" i="2" s="1"/>
  <c r="BN243" i="2"/>
  <c r="BP243" i="2"/>
  <c r="BP253" i="2"/>
  <c r="Y257" i="2"/>
  <c r="Z263" i="2"/>
  <c r="BN263" i="2"/>
  <c r="Z264" i="2"/>
  <c r="BP270" i="2"/>
  <c r="Z278" i="2"/>
  <c r="Z280" i="2" s="1"/>
  <c r="BN278" i="2"/>
  <c r="Y280" i="2"/>
  <c r="BP284" i="2"/>
  <c r="BN289" i="2"/>
  <c r="Y292" i="2"/>
  <c r="Y291" i="2"/>
  <c r="BP289" i="2"/>
  <c r="BP299" i="2"/>
  <c r="BN299" i="2"/>
  <c r="Z299" i="2"/>
  <c r="Y309" i="2"/>
  <c r="Y310" i="2"/>
  <c r="BN303" i="2"/>
  <c r="Z303" i="2"/>
  <c r="BP304" i="2"/>
  <c r="Z304" i="2"/>
  <c r="Y323" i="2"/>
  <c r="Z319" i="2"/>
  <c r="BN321" i="2"/>
  <c r="BP321" i="2"/>
  <c r="Y330" i="2"/>
  <c r="BP325" i="2"/>
  <c r="BN325" i="2"/>
  <c r="Z325" i="2"/>
  <c r="BN327" i="2"/>
  <c r="BP327" i="2"/>
  <c r="Y343" i="2"/>
  <c r="S496" i="2"/>
  <c r="BP347" i="2"/>
  <c r="BN347" i="2"/>
  <c r="Z347" i="2"/>
  <c r="BN353" i="2"/>
  <c r="BP353" i="2"/>
  <c r="Z359" i="2"/>
  <c r="Y379" i="2"/>
  <c r="Z377" i="2"/>
  <c r="Z378" i="2" s="1"/>
  <c r="BP391" i="2"/>
  <c r="BN391" i="2"/>
  <c r="Z391" i="2"/>
  <c r="BN392" i="2"/>
  <c r="Z392" i="2"/>
  <c r="BN396" i="2"/>
  <c r="BP396" i="2"/>
  <c r="BN397" i="2"/>
  <c r="BP397" i="2"/>
  <c r="Y403" i="2"/>
  <c r="Y404" i="2"/>
  <c r="BN401" i="2"/>
  <c r="Z401" i="2"/>
  <c r="BN402" i="2"/>
  <c r="Z402" i="2"/>
  <c r="BN413" i="2"/>
  <c r="W496" i="2"/>
  <c r="Y421" i="2"/>
  <c r="Y420" i="2"/>
  <c r="BP419" i="2"/>
  <c r="BN419" i="2"/>
  <c r="Z419" i="2"/>
  <c r="Z420" i="2" s="1"/>
  <c r="BP428" i="2"/>
  <c r="BP429" i="2"/>
  <c r="BN429" i="2"/>
  <c r="Z429" i="2"/>
  <c r="BP441" i="2"/>
  <c r="BN441" i="2"/>
  <c r="Z441" i="2"/>
  <c r="Y496" i="2"/>
  <c r="BP459" i="2"/>
  <c r="Z459" i="2"/>
  <c r="BN473" i="2"/>
  <c r="Z473" i="2"/>
  <c r="Z474" i="2" s="1"/>
  <c r="BN320" i="2"/>
  <c r="BN326" i="2"/>
  <c r="Y335" i="2"/>
  <c r="BP332" i="2"/>
  <c r="Y336" i="2"/>
  <c r="Y342" i="2"/>
  <c r="Y354" i="2"/>
  <c r="BP367" i="2"/>
  <c r="U496" i="2"/>
  <c r="Y399" i="2"/>
  <c r="Y398" i="2"/>
  <c r="V496" i="2"/>
  <c r="X496" i="2"/>
  <c r="Y437" i="2"/>
  <c r="BN442" i="2"/>
  <c r="BP442" i="2"/>
  <c r="Y452" i="2"/>
  <c r="Y466" i="2"/>
  <c r="X489" i="2"/>
  <c r="Z127" i="2"/>
  <c r="A10" i="2"/>
  <c r="Y79" i="2"/>
  <c r="Y88" i="2"/>
  <c r="BN414" i="2"/>
  <c r="Y438" i="2"/>
  <c r="BP473" i="2"/>
  <c r="Y485" i="2"/>
  <c r="H496" i="2"/>
  <c r="Y57" i="2"/>
  <c r="Z22" i="2"/>
  <c r="Z24" i="2" s="1"/>
  <c r="BN34" i="2"/>
  <c r="Z46" i="2"/>
  <c r="Z47" i="2" s="1"/>
  <c r="BP71" i="2"/>
  <c r="BN92" i="2"/>
  <c r="Y104" i="2"/>
  <c r="Z113" i="2"/>
  <c r="BP115" i="2"/>
  <c r="BN126" i="2"/>
  <c r="Z136" i="2"/>
  <c r="Z137" i="2" s="1"/>
  <c r="Z171" i="2"/>
  <c r="BP173" i="2"/>
  <c r="Z181" i="2"/>
  <c r="BP183" i="2"/>
  <c r="Y195" i="2"/>
  <c r="Z204" i="2"/>
  <c r="BP206" i="2"/>
  <c r="Z214" i="2"/>
  <c r="BP216" i="2"/>
  <c r="BP226" i="2"/>
  <c r="Z235" i="2"/>
  <c r="BP237" i="2"/>
  <c r="Z269" i="2"/>
  <c r="Y286" i="2"/>
  <c r="Y329" i="2"/>
  <c r="Y364" i="2"/>
  <c r="Y385" i="2"/>
  <c r="Y453" i="2"/>
  <c r="BP478" i="2"/>
  <c r="I496" i="2"/>
  <c r="BN459" i="2"/>
  <c r="Z469" i="2"/>
  <c r="Z470" i="2" s="1"/>
  <c r="Y474" i="2"/>
  <c r="J496" i="2"/>
  <c r="Y80" i="2"/>
  <c r="Z90" i="2"/>
  <c r="BP92" i="2"/>
  <c r="BN113" i="2"/>
  <c r="Z147" i="2"/>
  <c r="BP149" i="2"/>
  <c r="Y162" i="2"/>
  <c r="Y184" i="2"/>
  <c r="BN214" i="2"/>
  <c r="Y227" i="2"/>
  <c r="BN304" i="2"/>
  <c r="BN314" i="2"/>
  <c r="Z334" i="2"/>
  <c r="Z335" i="2" s="1"/>
  <c r="BN349" i="2"/>
  <c r="Y360" i="2"/>
  <c r="BN372" i="2"/>
  <c r="Z382" i="2"/>
  <c r="Z384" i="2" s="1"/>
  <c r="Z394" i="2"/>
  <c r="BN407" i="2"/>
  <c r="Z430" i="2"/>
  <c r="Z440" i="2"/>
  <c r="Z443" i="2" s="1"/>
  <c r="Z450" i="2"/>
  <c r="BN464" i="2"/>
  <c r="Y479" i="2"/>
  <c r="BN22" i="2"/>
  <c r="BP34" i="2"/>
  <c r="BN46" i="2"/>
  <c r="Y58" i="2"/>
  <c r="Z101" i="2"/>
  <c r="Z103" i="2" s="1"/>
  <c r="BP126" i="2"/>
  <c r="BN136" i="2"/>
  <c r="BN171" i="2"/>
  <c r="BN181" i="2"/>
  <c r="Z192" i="2"/>
  <c r="Z194" i="2" s="1"/>
  <c r="BN204" i="2"/>
  <c r="BN235" i="2"/>
  <c r="BP247" i="2"/>
  <c r="Z255" i="2"/>
  <c r="BN269" i="2"/>
  <c r="Y281" i="2"/>
  <c r="BP326" i="2"/>
  <c r="BN27" i="2"/>
  <c r="BN52" i="2"/>
  <c r="BN62" i="2"/>
  <c r="Z72" i="2"/>
  <c r="BN85" i="2"/>
  <c r="BP98" i="2"/>
  <c r="Z106" i="2"/>
  <c r="Z110" i="2" s="1"/>
  <c r="Z116" i="2"/>
  <c r="BN142" i="2"/>
  <c r="BP154" i="2"/>
  <c r="BN166" i="2"/>
  <c r="Z174" i="2"/>
  <c r="Z197" i="2"/>
  <c r="Z207" i="2"/>
  <c r="Z217" i="2"/>
  <c r="Z238" i="2"/>
  <c r="Z261" i="2"/>
  <c r="Z272" i="2"/>
  <c r="Y287" i="2"/>
  <c r="Z297" i="2"/>
  <c r="Z307" i="2"/>
  <c r="BN319" i="2"/>
  <c r="Y322" i="2"/>
  <c r="Z340" i="2"/>
  <c r="Z352" i="2"/>
  <c r="Y365" i="2"/>
  <c r="BN377" i="2"/>
  <c r="Z389" i="2"/>
  <c r="BP401" i="2"/>
  <c r="BN412" i="2"/>
  <c r="Y415" i="2"/>
  <c r="Z425" i="2"/>
  <c r="BN435" i="2"/>
  <c r="Z457" i="2"/>
  <c r="BN469" i="2"/>
  <c r="L496" i="2"/>
  <c r="Y35" i="2"/>
  <c r="BP46" i="2"/>
  <c r="BP113" i="2"/>
  <c r="Y127" i="2"/>
  <c r="BN147" i="2"/>
  <c r="BP181" i="2"/>
  <c r="BN192" i="2"/>
  <c r="Y223" i="2"/>
  <c r="Y248" i="2"/>
  <c r="BN255" i="2"/>
  <c r="BP269" i="2"/>
  <c r="BP314" i="2"/>
  <c r="BN334" i="2"/>
  <c r="BP372" i="2"/>
  <c r="BN382" i="2"/>
  <c r="BN394" i="2"/>
  <c r="BP407" i="2"/>
  <c r="BN430" i="2"/>
  <c r="BN440" i="2"/>
  <c r="Y443" i="2"/>
  <c r="BN450" i="2"/>
  <c r="BP464" i="2"/>
  <c r="Y475" i="2"/>
  <c r="M496" i="2"/>
  <c r="BP22" i="2"/>
  <c r="BN90" i="2"/>
  <c r="BN101" i="2"/>
  <c r="Z60" i="2"/>
  <c r="BN72" i="2"/>
  <c r="Z83" i="2"/>
  <c r="Z93" i="2"/>
  <c r="BN106" i="2"/>
  <c r="BN116" i="2"/>
  <c r="Y132" i="2"/>
  <c r="Z150" i="2"/>
  <c r="Y155" i="2"/>
  <c r="Z164" i="2"/>
  <c r="BN174" i="2"/>
  <c r="BN197" i="2"/>
  <c r="BN207" i="2"/>
  <c r="Y210" i="2"/>
  <c r="BN217" i="2"/>
  <c r="Y228" i="2"/>
  <c r="BN238" i="2"/>
  <c r="BN261" i="2"/>
  <c r="BN272" i="2"/>
  <c r="Z284" i="2"/>
  <c r="BN297" i="2"/>
  <c r="Y300" i="2"/>
  <c r="BN307" i="2"/>
  <c r="BP319" i="2"/>
  <c r="Z327" i="2"/>
  <c r="Z329" i="2" s="1"/>
  <c r="BN340" i="2"/>
  <c r="BN352" i="2"/>
  <c r="Z362" i="2"/>
  <c r="BP377" i="2"/>
  <c r="BN389" i="2"/>
  <c r="Z397" i="2"/>
  <c r="BN425" i="2"/>
  <c r="Z433" i="2"/>
  <c r="BN457" i="2"/>
  <c r="BP469" i="2"/>
  <c r="Y480" i="2"/>
  <c r="O496" i="2"/>
  <c r="BP56" i="2"/>
  <c r="Y75" i="2"/>
  <c r="Y47" i="2"/>
  <c r="BP90" i="2"/>
  <c r="BP101" i="2"/>
  <c r="Y137" i="2"/>
  <c r="BP147" i="2"/>
  <c r="BP192" i="2"/>
  <c r="BP382" i="2"/>
  <c r="BP394" i="2"/>
  <c r="Y416" i="2"/>
  <c r="BP430" i="2"/>
  <c r="BP440" i="2"/>
  <c r="P496" i="2"/>
  <c r="Y36" i="2"/>
  <c r="BN60" i="2"/>
  <c r="Z70" i="2"/>
  <c r="BN83" i="2"/>
  <c r="BP106" i="2"/>
  <c r="Y128" i="2"/>
  <c r="Y143" i="2"/>
  <c r="BN164" i="2"/>
  <c r="Z172" i="2"/>
  <c r="Z182" i="2"/>
  <c r="Z205" i="2"/>
  <c r="Z215" i="2"/>
  <c r="Z225" i="2"/>
  <c r="Z236" i="2"/>
  <c r="Y249" i="2"/>
  <c r="Z270" i="2"/>
  <c r="Z295" i="2"/>
  <c r="Z305" i="2"/>
  <c r="Z315" i="2"/>
  <c r="Z316" i="2" s="1"/>
  <c r="Z350" i="2"/>
  <c r="Z373" i="2"/>
  <c r="Z374" i="2" s="1"/>
  <c r="Y378" i="2"/>
  <c r="BP389" i="2"/>
  <c r="BP425" i="2"/>
  <c r="BP457" i="2"/>
  <c r="Z465" i="2"/>
  <c r="Z466" i="2" s="1"/>
  <c r="Y470" i="2"/>
  <c r="Z477" i="2"/>
  <c r="Q496" i="2"/>
  <c r="Y133" i="2"/>
  <c r="Y211" i="2"/>
  <c r="Y256" i="2"/>
  <c r="Y301" i="2"/>
  <c r="Z320" i="2"/>
  <c r="Z322" i="2" s="1"/>
  <c r="BN332" i="2"/>
  <c r="BN367" i="2"/>
  <c r="Z413" i="2"/>
  <c r="Z436" i="2"/>
  <c r="BN448" i="2"/>
  <c r="BN460" i="2"/>
  <c r="Z483" i="2"/>
  <c r="Z484" i="2" s="1"/>
  <c r="R496" i="2"/>
  <c r="Y117" i="2"/>
  <c r="Y138" i="2"/>
  <c r="Y273" i="2"/>
  <c r="Y409" i="2"/>
  <c r="BN465" i="2"/>
  <c r="BN477" i="2"/>
  <c r="F9" i="2"/>
  <c r="Y64" i="2"/>
  <c r="Y144" i="2"/>
  <c r="Z175" i="2"/>
  <c r="Z198" i="2"/>
  <c r="Z208" i="2"/>
  <c r="Z218" i="2"/>
  <c r="Z239" i="2"/>
  <c r="Z251" i="2"/>
  <c r="Z262" i="2"/>
  <c r="Z298" i="2"/>
  <c r="Z308" i="2"/>
  <c r="Z341" i="2"/>
  <c r="Z353" i="2"/>
  <c r="Z390" i="2"/>
  <c r="Z426" i="2"/>
  <c r="BN436" i="2"/>
  <c r="Z446" i="2"/>
  <c r="Z452" i="2" s="1"/>
  <c r="Z458" i="2"/>
  <c r="BN483" i="2"/>
  <c r="T496" i="2"/>
  <c r="B496" i="2"/>
  <c r="J9" i="2"/>
  <c r="BN40" i="2"/>
  <c r="Y43" i="2"/>
  <c r="Z51" i="2"/>
  <c r="Z57" i="2" s="1"/>
  <c r="Z61" i="2"/>
  <c r="BN73" i="2"/>
  <c r="Z84" i="2"/>
  <c r="BN107" i="2"/>
  <c r="BN130" i="2"/>
  <c r="Z141" i="2"/>
  <c r="Z143" i="2" s="1"/>
  <c r="Z165" i="2"/>
  <c r="BN175" i="2"/>
  <c r="BN198" i="2"/>
  <c r="BN208" i="2"/>
  <c r="BN218" i="2"/>
  <c r="BN239" i="2"/>
  <c r="BN251" i="2"/>
  <c r="BN262" i="2"/>
  <c r="Y265" i="2"/>
  <c r="Z285" i="2"/>
  <c r="Z328" i="2"/>
  <c r="Z363" i="2"/>
  <c r="Z411" i="2"/>
  <c r="Z415" i="2" s="1"/>
  <c r="Z434" i="2"/>
  <c r="BN446" i="2"/>
  <c r="BN458" i="2"/>
  <c r="Y461" i="2"/>
  <c r="BP483" i="2"/>
  <c r="C496" i="2"/>
  <c r="Y374" i="2"/>
  <c r="D496" i="2"/>
  <c r="BN51" i="2"/>
  <c r="BN61" i="2"/>
  <c r="Z71" i="2"/>
  <c r="BN84" i="2"/>
  <c r="Y87" i="2"/>
  <c r="Z115" i="2"/>
  <c r="BN141" i="2"/>
  <c r="BN165" i="2"/>
  <c r="Z173" i="2"/>
  <c r="Z183" i="2"/>
  <c r="BP198" i="2"/>
  <c r="Z206" i="2"/>
  <c r="Z216" i="2"/>
  <c r="Z226" i="2"/>
  <c r="Z237" i="2"/>
  <c r="Z260" i="2"/>
  <c r="Z265" i="2" s="1"/>
  <c r="Z271" i="2"/>
  <c r="BN285" i="2"/>
  <c r="Z296" i="2"/>
  <c r="Z306" i="2"/>
  <c r="BN328" i="2"/>
  <c r="Z339" i="2"/>
  <c r="Z351" i="2"/>
  <c r="BN363" i="2"/>
  <c r="BN411" i="2"/>
  <c r="BN434" i="2"/>
  <c r="BP446" i="2"/>
  <c r="Z478" i="2"/>
  <c r="Y484" i="2"/>
  <c r="Y179" i="2"/>
  <c r="Z232" i="2"/>
  <c r="Y266" i="2"/>
  <c r="BP303" i="2"/>
  <c r="BP313" i="2"/>
  <c r="BP348" i="2"/>
  <c r="Y462" i="2"/>
  <c r="BN339" i="2"/>
  <c r="Z479" i="2" l="1"/>
  <c r="Z354" i="2"/>
  <c r="Z309" i="2"/>
  <c r="Z87" i="2"/>
  <c r="Z151" i="2"/>
  <c r="Z403" i="2"/>
  <c r="Z300" i="2"/>
  <c r="Z227" i="2"/>
  <c r="Z364" i="2"/>
  <c r="Y490" i="2"/>
  <c r="Y486" i="2"/>
  <c r="Z222" i="2"/>
  <c r="Z210" i="2"/>
  <c r="Z79" i="2"/>
  <c r="Z117" i="2"/>
  <c r="Y487" i="2"/>
  <c r="Z342" i="2"/>
  <c r="Z94" i="2"/>
  <c r="Z178" i="2"/>
  <c r="Z437" i="2"/>
  <c r="Z199" i="2"/>
  <c r="Z273" i="2"/>
  <c r="Z63" i="2"/>
  <c r="Z398" i="2"/>
  <c r="Z184" i="2"/>
  <c r="Z286" i="2"/>
  <c r="Z256" i="2"/>
  <c r="Z74" i="2"/>
  <c r="Z461" i="2"/>
  <c r="Z240" i="2"/>
  <c r="Y488" i="2"/>
  <c r="Z491" i="2" l="1"/>
  <c r="Y489" i="2"/>
</calcChain>
</file>

<file path=xl/sharedStrings.xml><?xml version="1.0" encoding="utf-8"?>
<sst xmlns="http://schemas.openxmlformats.org/spreadsheetml/2006/main" count="3576" uniqueCount="763">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</sst>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46055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1">
        <v>4680115887510</v>
      </c>
      <c r="E22" s="62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1">
        <v>4680115886643</v>
      </c>
      <c r="E23" s="62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88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4301011565</v>
      </c>
      <c r="D41" s="621">
        <v>4680115882539</v>
      </c>
      <c r="E41" s="621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621">
        <v>4607091385687</v>
      </c>
      <c r="E42" s="621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123</v>
      </c>
      <c r="M42" s="38" t="s">
        <v>92</v>
      </c>
      <c r="N42" s="38"/>
      <c r="O42" s="37">
        <v>50</v>
      </c>
      <c r="P42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88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123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4301031316</v>
      </c>
      <c r="D66" s="621">
        <v>4680115885097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0"/>
      <c r="P68" s="626" t="s">
        <v>40</v>
      </c>
      <c r="Q68" s="627"/>
      <c r="R68" s="627"/>
      <c r="S68" s="627"/>
      <c r="T68" s="627"/>
      <c r="U68" s="627"/>
      <c r="V68" s="628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88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27" customHeight="1" x14ac:dyDescent="0.25">
      <c r="A70" s="63" t="s">
        <v>157</v>
      </c>
      <c r="B70" s="63" t="s">
        <v>158</v>
      </c>
      <c r="C70" s="36">
        <v>4301051846</v>
      </c>
      <c r="D70" s="621">
        <v>4680115885769</v>
      </c>
      <c r="E70" s="621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115</v>
      </c>
      <c r="L70" s="37" t="s">
        <v>45</v>
      </c>
      <c r="M70" s="38" t="s">
        <v>92</v>
      </c>
      <c r="N70" s="38"/>
      <c r="O70" s="37">
        <v>45</v>
      </c>
      <c r="P70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3"/>
      <c r="R70" s="623"/>
      <c r="S70" s="623"/>
      <c r="T70" s="62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159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160</v>
      </c>
      <c r="B71" s="63" t="s">
        <v>161</v>
      </c>
      <c r="C71" s="36">
        <v>4301051837</v>
      </c>
      <c r="D71" s="621">
        <v>4680115884311</v>
      </c>
      <c r="E71" s="62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3"/>
      <c r="R71" s="623"/>
      <c r="S71" s="623"/>
      <c r="T71" s="62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163</v>
      </c>
      <c r="B72" s="63" t="s">
        <v>164</v>
      </c>
      <c r="C72" s="36">
        <v>4301051844</v>
      </c>
      <c r="D72" s="621">
        <v>4680115885929</v>
      </c>
      <c r="E72" s="621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4301051929</v>
      </c>
      <c r="D73" s="621">
        <v>4680115884403</v>
      </c>
      <c r="E73" s="6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9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0"/>
      <c r="P74" s="626" t="s">
        <v>40</v>
      </c>
      <c r="Q74" s="627"/>
      <c r="R74" s="627"/>
      <c r="S74" s="627"/>
      <c r="T74" s="627"/>
      <c r="U74" s="627"/>
      <c r="V74" s="62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0"/>
      <c r="P75" s="626" t="s">
        <v>40</v>
      </c>
      <c r="Q75" s="627"/>
      <c r="R75" s="627"/>
      <c r="S75" s="627"/>
      <c r="T75" s="627"/>
      <c r="U75" s="627"/>
      <c r="V75" s="62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168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27" customHeight="1" x14ac:dyDescent="0.25">
      <c r="A77" s="63" t="s">
        <v>169</v>
      </c>
      <c r="B77" s="63" t="s">
        <v>170</v>
      </c>
      <c r="C77" s="36">
        <v>4301060455</v>
      </c>
      <c r="D77" s="621">
        <v>4680115881532</v>
      </c>
      <c r="E77" s="62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115</v>
      </c>
      <c r="L77" s="37" t="s">
        <v>116</v>
      </c>
      <c r="M77" s="38" t="s">
        <v>98</v>
      </c>
      <c r="N77" s="38"/>
      <c r="O77" s="37">
        <v>30</v>
      </c>
      <c r="P77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3"/>
      <c r="R77" s="623"/>
      <c r="S77" s="623"/>
      <c r="T77" s="62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171</v>
      </c>
      <c r="AG77" s="78"/>
      <c r="AJ77" s="84" t="s">
        <v>117</v>
      </c>
      <c r="AK77" s="84">
        <v>62.4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172</v>
      </c>
      <c r="B78" s="63" t="s">
        <v>173</v>
      </c>
      <c r="C78" s="36">
        <v>4301060351</v>
      </c>
      <c r="D78" s="621">
        <v>4680115881464</v>
      </c>
      <c r="E78" s="62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120</v>
      </c>
      <c r="L78" s="37" t="s">
        <v>45</v>
      </c>
      <c r="M78" s="38" t="s">
        <v>92</v>
      </c>
      <c r="N78" s="38"/>
      <c r="O78" s="37">
        <v>30</v>
      </c>
      <c r="P78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3"/>
      <c r="R78" s="623"/>
      <c r="S78" s="623"/>
      <c r="T78" s="62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9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0"/>
      <c r="P79" s="626" t="s">
        <v>40</v>
      </c>
      <c r="Q79" s="627"/>
      <c r="R79" s="627"/>
      <c r="S79" s="627"/>
      <c r="T79" s="627"/>
      <c r="U79" s="627"/>
      <c r="V79" s="62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0"/>
      <c r="P80" s="626" t="s">
        <v>40</v>
      </c>
      <c r="Q80" s="627"/>
      <c r="R80" s="627"/>
      <c r="S80" s="627"/>
      <c r="T80" s="627"/>
      <c r="U80" s="627"/>
      <c r="V80" s="62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19" t="s">
        <v>175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5"/>
      <c r="AB81" s="65"/>
      <c r="AC81" s="79"/>
    </row>
    <row r="82" spans="1:68" ht="14.25" customHeight="1" x14ac:dyDescent="0.25">
      <c r="A82" s="620" t="s">
        <v>110</v>
      </c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6"/>
      <c r="AB82" s="66"/>
      <c r="AC82" s="80"/>
    </row>
    <row r="83" spans="1:68" ht="27" customHeight="1" x14ac:dyDescent="0.25">
      <c r="A83" s="63" t="s">
        <v>176</v>
      </c>
      <c r="B83" s="63" t="s">
        <v>177</v>
      </c>
      <c r="C83" s="36">
        <v>4301011468</v>
      </c>
      <c r="D83" s="621">
        <v>4680115881327</v>
      </c>
      <c r="E83" s="62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115</v>
      </c>
      <c r="L83" s="37" t="s">
        <v>116</v>
      </c>
      <c r="M83" s="38" t="s">
        <v>98</v>
      </c>
      <c r="N83" s="38"/>
      <c r="O83" s="37">
        <v>50</v>
      </c>
      <c r="P83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3"/>
      <c r="R83" s="623"/>
      <c r="S83" s="623"/>
      <c r="T83" s="62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178</v>
      </c>
      <c r="AG83" s="78"/>
      <c r="AJ83" s="84" t="s">
        <v>117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179</v>
      </c>
      <c r="B84" s="63" t="s">
        <v>180</v>
      </c>
      <c r="C84" s="36">
        <v>4301011261</v>
      </c>
      <c r="D84" s="621">
        <v>4680115887732</v>
      </c>
      <c r="E84" s="62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182</v>
      </c>
      <c r="L84" s="37" t="s">
        <v>45</v>
      </c>
      <c r="M84" s="38" t="s">
        <v>82</v>
      </c>
      <c r="N84" s="38"/>
      <c r="O84" s="37">
        <v>30</v>
      </c>
      <c r="P84" s="65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3"/>
      <c r="R84" s="623"/>
      <c r="S84" s="623"/>
      <c r="T84" s="62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4301011476</v>
      </c>
      <c r="D85" s="621">
        <v>4680115881518</v>
      </c>
      <c r="E85" s="62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120</v>
      </c>
      <c r="L85" s="37" t="s">
        <v>123</v>
      </c>
      <c r="M85" s="38" t="s">
        <v>92</v>
      </c>
      <c r="N85" s="38"/>
      <c r="O85" s="37">
        <v>50</v>
      </c>
      <c r="P85" s="6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117</v>
      </c>
      <c r="AK85" s="84">
        <v>48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4301011443</v>
      </c>
      <c r="D86" s="621">
        <v>4680115881303</v>
      </c>
      <c r="E86" s="62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120</v>
      </c>
      <c r="L86" s="37" t="s">
        <v>123</v>
      </c>
      <c r="M86" s="38" t="s">
        <v>98</v>
      </c>
      <c r="N86" s="38"/>
      <c r="O86" s="37">
        <v>50</v>
      </c>
      <c r="P86" s="6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178</v>
      </c>
      <c r="AG86" s="78"/>
      <c r="AJ86" s="84" t="s">
        <v>117</v>
      </c>
      <c r="AK86" s="84">
        <v>54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29"/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30"/>
      <c r="P87" s="626" t="s">
        <v>40</v>
      </c>
      <c r="Q87" s="627"/>
      <c r="R87" s="627"/>
      <c r="S87" s="627"/>
      <c r="T87" s="627"/>
      <c r="U87" s="627"/>
      <c r="V87" s="62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0" t="s">
        <v>88</v>
      </c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6"/>
      <c r="AB89" s="66"/>
      <c r="AC89" s="80"/>
    </row>
    <row r="90" spans="1:68" ht="27" customHeight="1" x14ac:dyDescent="0.25">
      <c r="A90" s="63" t="s">
        <v>187</v>
      </c>
      <c r="B90" s="63" t="s">
        <v>188</v>
      </c>
      <c r="C90" s="36">
        <v>4301051712</v>
      </c>
      <c r="D90" s="621">
        <v>4607091386967</v>
      </c>
      <c r="E90" s="62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115</v>
      </c>
      <c r="L90" s="37" t="s">
        <v>116</v>
      </c>
      <c r="M90" s="38" t="s">
        <v>98</v>
      </c>
      <c r="N90" s="38"/>
      <c r="O90" s="37">
        <v>45</v>
      </c>
      <c r="P90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3"/>
      <c r="R90" s="623"/>
      <c r="S90" s="623"/>
      <c r="T90" s="624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189</v>
      </c>
      <c r="AG90" s="78"/>
      <c r="AJ90" s="84" t="s">
        <v>117</v>
      </c>
      <c r="AK90" s="84">
        <v>64.8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190</v>
      </c>
      <c r="B91" s="63" t="s">
        <v>191</v>
      </c>
      <c r="C91" s="36">
        <v>4301051788</v>
      </c>
      <c r="D91" s="621">
        <v>4680115884953</v>
      </c>
      <c r="E91" s="62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4301051718</v>
      </c>
      <c r="D92" s="621">
        <v>4607091385731</v>
      </c>
      <c r="E92" s="62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194</v>
      </c>
      <c r="M92" s="38" t="s">
        <v>98</v>
      </c>
      <c r="N92" s="38"/>
      <c r="O92" s="37">
        <v>45</v>
      </c>
      <c r="P92" s="6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117</v>
      </c>
      <c r="AK92" s="84">
        <v>37.799999999999997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195</v>
      </c>
      <c r="B93" s="63" t="s">
        <v>196</v>
      </c>
      <c r="C93" s="36">
        <v>4301051438</v>
      </c>
      <c r="D93" s="621">
        <v>4680115880894</v>
      </c>
      <c r="E93" s="62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194</v>
      </c>
      <c r="M93" s="38" t="s">
        <v>92</v>
      </c>
      <c r="N93" s="38"/>
      <c r="O93" s="37">
        <v>45</v>
      </c>
      <c r="P93" s="6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117</v>
      </c>
      <c r="AK93" s="84">
        <v>27.72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29"/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30"/>
      <c r="P94" s="626" t="s">
        <v>40</v>
      </c>
      <c r="Q94" s="627"/>
      <c r="R94" s="627"/>
      <c r="S94" s="627"/>
      <c r="T94" s="627"/>
      <c r="U94" s="627"/>
      <c r="V94" s="62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19" t="s">
        <v>198</v>
      </c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  <c r="AA96" s="65"/>
      <c r="AB96" s="65"/>
      <c r="AC96" s="79"/>
    </row>
    <row r="97" spans="1:68" ht="14.25" customHeight="1" x14ac:dyDescent="0.25">
      <c r="A97" s="620" t="s">
        <v>110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6"/>
      <c r="AB97" s="66"/>
      <c r="AC97" s="80"/>
    </row>
    <row r="98" spans="1:68" ht="37.5" customHeight="1" x14ac:dyDescent="0.25">
      <c r="A98" s="63" t="s">
        <v>199</v>
      </c>
      <c r="B98" s="63" t="s">
        <v>200</v>
      </c>
      <c r="C98" s="36">
        <v>4301011514</v>
      </c>
      <c r="D98" s="621">
        <v>4680115882133</v>
      </c>
      <c r="E98" s="62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115</v>
      </c>
      <c r="L98" s="37" t="s">
        <v>116</v>
      </c>
      <c r="M98" s="38" t="s">
        <v>114</v>
      </c>
      <c r="N98" s="38"/>
      <c r="O98" s="37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3"/>
      <c r="R98" s="623"/>
      <c r="S98" s="623"/>
      <c r="T98" s="624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201</v>
      </c>
      <c r="AG98" s="78"/>
      <c r="AJ98" s="84" t="s">
        <v>117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202</v>
      </c>
      <c r="B99" s="63" t="s">
        <v>203</v>
      </c>
      <c r="C99" s="36">
        <v>4301012051</v>
      </c>
      <c r="D99" s="621">
        <v>4680115887718</v>
      </c>
      <c r="E99" s="62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182</v>
      </c>
      <c r="L99" s="37" t="s">
        <v>45</v>
      </c>
      <c r="M99" s="38" t="s">
        <v>82</v>
      </c>
      <c r="N99" s="38"/>
      <c r="O99" s="37">
        <v>30</v>
      </c>
      <c r="P99" s="6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123</v>
      </c>
      <c r="M100" s="38" t="s">
        <v>92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123</v>
      </c>
      <c r="M101" s="38" t="s">
        <v>92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214</v>
      </c>
      <c r="B107" s="63" t="s">
        <v>215</v>
      </c>
      <c r="C107" s="36">
        <v>4301020186</v>
      </c>
      <c r="D107" s="621">
        <v>4680115887664</v>
      </c>
      <c r="E107" s="621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217</v>
      </c>
      <c r="L107" s="37" t="s">
        <v>45</v>
      </c>
      <c r="M107" s="38" t="s">
        <v>82</v>
      </c>
      <c r="N107" s="38"/>
      <c r="O107" s="37">
        <v>30</v>
      </c>
      <c r="P107" s="6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45</v>
      </c>
      <c r="M109" s="38" t="s">
        <v>114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213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30"/>
      <c r="P111" s="626" t="s">
        <v>40</v>
      </c>
      <c r="Q111" s="627"/>
      <c r="R111" s="627"/>
      <c r="S111" s="627"/>
      <c r="T111" s="627"/>
      <c r="U111" s="627"/>
      <c r="V111" s="628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88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115</v>
      </c>
      <c r="L113" s="37" t="s">
        <v>116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117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194</v>
      </c>
      <c r="M115" s="38" t="s">
        <v>98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117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45</v>
      </c>
      <c r="M116" s="38" t="s">
        <v>92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0"/>
      <c r="P118" s="626" t="s">
        <v>40</v>
      </c>
      <c r="Q118" s="627"/>
      <c r="R118" s="627"/>
      <c r="S118" s="627"/>
      <c r="T118" s="627"/>
      <c r="U118" s="627"/>
      <c r="V118" s="628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0" t="s">
        <v>168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45</v>
      </c>
      <c r="M120" s="38" t="s">
        <v>92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30"/>
      <c r="P122" s="626" t="s">
        <v>40</v>
      </c>
      <c r="Q122" s="627"/>
      <c r="R122" s="627"/>
      <c r="S122" s="627"/>
      <c r="T122" s="627"/>
      <c r="U122" s="627"/>
      <c r="V122" s="628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9" t="s">
        <v>235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customHeight="1" x14ac:dyDescent="0.25">
      <c r="A124" s="620" t="s">
        <v>110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194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194</v>
      </c>
      <c r="M126" s="38" t="s">
        <v>107</v>
      </c>
      <c r="N126" s="38"/>
      <c r="O126" s="37">
        <v>90</v>
      </c>
      <c r="P126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0"/>
      <c r="P128" s="626" t="s">
        <v>40</v>
      </c>
      <c r="Q128" s="627"/>
      <c r="R128" s="627"/>
      <c r="S128" s="627"/>
      <c r="T128" s="627"/>
      <c r="U128" s="627"/>
      <c r="V128" s="628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78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194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30"/>
      <c r="P133" s="626" t="s">
        <v>40</v>
      </c>
      <c r="Q133" s="627"/>
      <c r="R133" s="627"/>
      <c r="S133" s="627"/>
      <c r="T133" s="627"/>
      <c r="U133" s="627"/>
      <c r="V133" s="62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0" t="s">
        <v>88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30"/>
      <c r="P138" s="626" t="s">
        <v>40</v>
      </c>
      <c r="Q138" s="627"/>
      <c r="R138" s="627"/>
      <c r="S138" s="627"/>
      <c r="T138" s="627"/>
      <c r="U138" s="627"/>
      <c r="V138" s="62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19" t="s">
        <v>108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customHeight="1" x14ac:dyDescent="0.25">
      <c r="A140" s="620" t="s">
        <v>110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115</v>
      </c>
      <c r="L141" s="37" t="s">
        <v>45</v>
      </c>
      <c r="M141" s="38" t="s">
        <v>114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120</v>
      </c>
      <c r="L142" s="37" t="s">
        <v>45</v>
      </c>
      <c r="M142" s="38" t="s">
        <v>114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1">
        <v>4680115887428</v>
      </c>
      <c r="E146" s="621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120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1">
        <v>4680115887336</v>
      </c>
      <c r="E148" s="62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115</v>
      </c>
      <c r="L149" s="37" t="s">
        <v>45</v>
      </c>
      <c r="M149" s="38" t="s">
        <v>82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1">
        <v>4680115887398</v>
      </c>
      <c r="E150" s="62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3"/>
      <c r="R150" s="623"/>
      <c r="S150" s="623"/>
      <c r="T150" s="624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30"/>
      <c r="P151" s="626" t="s">
        <v>40</v>
      </c>
      <c r="Q151" s="627"/>
      <c r="R151" s="627"/>
      <c r="S151" s="627"/>
      <c r="T151" s="627"/>
      <c r="U151" s="627"/>
      <c r="V151" s="628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0"/>
      <c r="P152" s="626" t="s">
        <v>40</v>
      </c>
      <c r="Q152" s="627"/>
      <c r="R152" s="627"/>
      <c r="S152" s="627"/>
      <c r="T152" s="627"/>
      <c r="U152" s="627"/>
      <c r="V152" s="628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0" t="s">
        <v>88</v>
      </c>
      <c r="B153" s="620"/>
      <c r="C153" s="620"/>
      <c r="D153" s="620"/>
      <c r="E153" s="620"/>
      <c r="F153" s="620"/>
      <c r="G153" s="620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1">
        <v>4680115887459</v>
      </c>
      <c r="E154" s="621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3"/>
      <c r="R154" s="623"/>
      <c r="S154" s="623"/>
      <c r="T154" s="62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30"/>
      <c r="P156" s="626" t="s">
        <v>40</v>
      </c>
      <c r="Q156" s="627"/>
      <c r="R156" s="627"/>
      <c r="S156" s="627"/>
      <c r="T156" s="627"/>
      <c r="U156" s="627"/>
      <c r="V156" s="628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18" t="s">
        <v>271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54"/>
      <c r="AB157" s="54"/>
      <c r="AC157" s="54"/>
    </row>
    <row r="158" spans="1:68" ht="16.5" customHeight="1" x14ac:dyDescent="0.25">
      <c r="A158" s="619" t="s">
        <v>272</v>
      </c>
      <c r="B158" s="619"/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  <c r="AA158" s="65"/>
      <c r="AB158" s="65"/>
      <c r="AC158" s="79"/>
    </row>
    <row r="159" spans="1:68" ht="14.25" customHeight="1" x14ac:dyDescent="0.25">
      <c r="A159" s="620" t="s">
        <v>146</v>
      </c>
      <c r="B159" s="620"/>
      <c r="C159" s="620"/>
      <c r="D159" s="620"/>
      <c r="E159" s="620"/>
      <c r="F159" s="620"/>
      <c r="G159" s="620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1">
        <v>4680115886223</v>
      </c>
      <c r="E160" s="621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3"/>
      <c r="R160" s="623"/>
      <c r="S160" s="623"/>
      <c r="T160" s="62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30"/>
      <c r="P161" s="626" t="s">
        <v>40</v>
      </c>
      <c r="Q161" s="627"/>
      <c r="R161" s="627"/>
      <c r="S161" s="627"/>
      <c r="T161" s="627"/>
      <c r="U161" s="627"/>
      <c r="V161" s="628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30"/>
      <c r="P162" s="626" t="s">
        <v>40</v>
      </c>
      <c r="Q162" s="627"/>
      <c r="R162" s="627"/>
      <c r="S162" s="627"/>
      <c r="T162" s="627"/>
      <c r="U162" s="627"/>
      <c r="V162" s="628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78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1">
        <v>4680115880993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45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45</v>
      </c>
      <c r="AK164" s="84">
        <v>0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1">
        <v>4680115881761</v>
      </c>
      <c r="E165" s="621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1">
        <v>4680115881563</v>
      </c>
      <c r="E166" s="621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120</v>
      </c>
      <c r="L166" s="37" t="s">
        <v>123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1">
        <v>4680115887565</v>
      </c>
      <c r="E167" s="621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1">
        <v>4680115880986</v>
      </c>
      <c r="E168" s="621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290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4301031443</v>
      </c>
      <c r="D169" s="621">
        <v>4680115887213</v>
      </c>
      <c r="E169" s="621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6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4301031205</v>
      </c>
      <c r="D170" s="621">
        <v>4680115881785</v>
      </c>
      <c r="E170" s="62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1">
        <v>4680115887824</v>
      </c>
      <c r="E171" s="621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1">
        <v>4680115887701</v>
      </c>
      <c r="E172" s="621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3"/>
      <c r="R172" s="623"/>
      <c r="S172" s="623"/>
      <c r="T172" s="62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1">
        <v>4680115886537</v>
      </c>
      <c r="E173" s="621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3"/>
      <c r="R173" s="623"/>
      <c r="S173" s="623"/>
      <c r="T173" s="62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1">
        <v>4680115887596</v>
      </c>
      <c r="E174" s="621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182</v>
      </c>
      <c r="L174" s="37" t="s">
        <v>45</v>
      </c>
      <c r="M174" s="38" t="s">
        <v>82</v>
      </c>
      <c r="N174" s="38"/>
      <c r="O174" s="37">
        <v>45</v>
      </c>
      <c r="P174" s="7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1">
        <v>4680115881679</v>
      </c>
      <c r="E175" s="621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290</v>
      </c>
      <c r="M175" s="38" t="s">
        <v>82</v>
      </c>
      <c r="N175" s="38"/>
      <c r="O175" s="37">
        <v>40</v>
      </c>
      <c r="P175" s="7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117</v>
      </c>
      <c r="AK175" s="84">
        <v>37.799999999999997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1">
        <v>4680115880191</v>
      </c>
      <c r="E176" s="621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1">
        <v>4680115883963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102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1">
        <v>4680115886780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1">
        <v>4680115886742</v>
      </c>
      <c r="E182" s="62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3"/>
      <c r="R182" s="623"/>
      <c r="S182" s="623"/>
      <c r="T182" s="62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1">
        <v>4680115886766</v>
      </c>
      <c r="E183" s="62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3"/>
      <c r="R183" s="623"/>
      <c r="S183" s="623"/>
      <c r="T183" s="62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0"/>
      <c r="P184" s="626" t="s">
        <v>40</v>
      </c>
      <c r="Q184" s="627"/>
      <c r="R184" s="627"/>
      <c r="S184" s="627"/>
      <c r="T184" s="627"/>
      <c r="U184" s="627"/>
      <c r="V184" s="628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0"/>
      <c r="P185" s="626" t="s">
        <v>40</v>
      </c>
      <c r="Q185" s="627"/>
      <c r="R185" s="627"/>
      <c r="S185" s="627"/>
      <c r="T185" s="627"/>
      <c r="U185" s="627"/>
      <c r="V185" s="628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324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1">
        <v>4680115886797</v>
      </c>
      <c r="E187" s="621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19" t="s">
        <v>327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5"/>
      <c r="AB190" s="65"/>
      <c r="AC190" s="79"/>
    </row>
    <row r="191" spans="1:68" ht="14.25" customHeight="1" x14ac:dyDescent="0.25">
      <c r="A191" s="620" t="s">
        <v>110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1">
        <v>4680115881402</v>
      </c>
      <c r="E192" s="621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115</v>
      </c>
      <c r="L192" s="37" t="s">
        <v>45</v>
      </c>
      <c r="M192" s="38" t="s">
        <v>114</v>
      </c>
      <c r="N192" s="38"/>
      <c r="O192" s="37">
        <v>55</v>
      </c>
      <c r="P192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1">
        <v>4680115881396</v>
      </c>
      <c r="E193" s="621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194</v>
      </c>
      <c r="M193" s="38" t="s">
        <v>114</v>
      </c>
      <c r="N193" s="38"/>
      <c r="O193" s="37">
        <v>55</v>
      </c>
      <c r="P193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3"/>
      <c r="R193" s="623"/>
      <c r="S193" s="623"/>
      <c r="T193" s="62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117</v>
      </c>
      <c r="AK193" s="84">
        <v>37.799999999999997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30"/>
      <c r="P195" s="626" t="s">
        <v>40</v>
      </c>
      <c r="Q195" s="627"/>
      <c r="R195" s="627"/>
      <c r="S195" s="627"/>
      <c r="T195" s="627"/>
      <c r="U195" s="627"/>
      <c r="V195" s="628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0" t="s">
        <v>146</v>
      </c>
      <c r="B196" s="620"/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1">
        <v>4680115882935</v>
      </c>
      <c r="E197" s="62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115</v>
      </c>
      <c r="L197" s="37" t="s">
        <v>45</v>
      </c>
      <c r="M197" s="38" t="s">
        <v>114</v>
      </c>
      <c r="N197" s="38"/>
      <c r="O197" s="37">
        <v>50</v>
      </c>
      <c r="P197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1">
        <v>4680115880764</v>
      </c>
      <c r="E198" s="621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45</v>
      </c>
      <c r="M198" s="38" t="s">
        <v>114</v>
      </c>
      <c r="N198" s="38"/>
      <c r="O198" s="37">
        <v>50</v>
      </c>
      <c r="P19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30"/>
      <c r="P200" s="626" t="s">
        <v>40</v>
      </c>
      <c r="Q200" s="627"/>
      <c r="R200" s="627"/>
      <c r="S200" s="627"/>
      <c r="T200" s="627"/>
      <c r="U200" s="627"/>
      <c r="V200" s="628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0" t="s">
        <v>78</v>
      </c>
      <c r="B201" s="620"/>
      <c r="C201" s="620"/>
      <c r="D201" s="620"/>
      <c r="E201" s="620"/>
      <c r="F201" s="620"/>
      <c r="G201" s="620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1">
        <v>4680115882683</v>
      </c>
      <c r="E202" s="621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120</v>
      </c>
      <c r="L202" s="37" t="s">
        <v>123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117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1">
        <v>4680115882690</v>
      </c>
      <c r="E203" s="62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123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1">
        <v>4680115882669</v>
      </c>
      <c r="E204" s="62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123</v>
      </c>
      <c r="M204" s="38" t="s">
        <v>82</v>
      </c>
      <c r="N204" s="38"/>
      <c r="O204" s="37">
        <v>40</v>
      </c>
      <c r="P204" s="7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3"/>
      <c r="R204" s="623"/>
      <c r="S204" s="623"/>
      <c r="T204" s="62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1">
        <v>4680115882676</v>
      </c>
      <c r="E205" s="62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123</v>
      </c>
      <c r="M205" s="38" t="s">
        <v>82</v>
      </c>
      <c r="N205" s="38"/>
      <c r="O205" s="37">
        <v>40</v>
      </c>
      <c r="P205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3"/>
      <c r="R205" s="623"/>
      <c r="S205" s="623"/>
      <c r="T205" s="62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1">
        <v>4680115884014</v>
      </c>
      <c r="E206" s="621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290</v>
      </c>
      <c r="M206" s="38" t="s">
        <v>82</v>
      </c>
      <c r="N206" s="38"/>
      <c r="O206" s="37">
        <v>40</v>
      </c>
      <c r="P206" s="7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117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1">
        <v>4680115884007</v>
      </c>
      <c r="E207" s="621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290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1">
        <v>4680115884038</v>
      </c>
      <c r="E208" s="62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1">
        <v>4680115884021</v>
      </c>
      <c r="E209" s="62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290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0"/>
      <c r="P210" s="626" t="s">
        <v>40</v>
      </c>
      <c r="Q210" s="627"/>
      <c r="R210" s="627"/>
      <c r="S210" s="627"/>
      <c r="T210" s="627"/>
      <c r="U210" s="627"/>
      <c r="V210" s="628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0"/>
      <c r="P211" s="626" t="s">
        <v>40</v>
      </c>
      <c r="Q211" s="627"/>
      <c r="R211" s="627"/>
      <c r="S211" s="627"/>
      <c r="T211" s="627"/>
      <c r="U211" s="627"/>
      <c r="V211" s="628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88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1">
        <v>4680115881594</v>
      </c>
      <c r="E213" s="621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115</v>
      </c>
      <c r="L213" s="37" t="s">
        <v>116</v>
      </c>
      <c r="M213" s="38" t="s">
        <v>92</v>
      </c>
      <c r="N213" s="38"/>
      <c r="O213" s="37">
        <v>40</v>
      </c>
      <c r="P213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117</v>
      </c>
      <c r="AK213" s="84">
        <v>64.8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1">
        <v>4680115881617</v>
      </c>
      <c r="E214" s="62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115</v>
      </c>
      <c r="L214" s="37" t="s">
        <v>116</v>
      </c>
      <c r="M214" s="38" t="s">
        <v>92</v>
      </c>
      <c r="N214" s="38"/>
      <c r="O214" s="37">
        <v>40</v>
      </c>
      <c r="P214" s="7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64.8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1">
        <v>4680115880573</v>
      </c>
      <c r="E215" s="621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45</v>
      </c>
      <c r="P215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69.599999999999994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1">
        <v>4680115882195</v>
      </c>
      <c r="E216" s="621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194</v>
      </c>
      <c r="M216" s="38" t="s">
        <v>92</v>
      </c>
      <c r="N216" s="38"/>
      <c r="O216" s="37">
        <v>40</v>
      </c>
      <c r="P216" s="7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3"/>
      <c r="R216" s="623"/>
      <c r="S216" s="623"/>
      <c r="T216" s="62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1">
        <v>4680115882607</v>
      </c>
      <c r="E217" s="621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98</v>
      </c>
      <c r="N217" s="38"/>
      <c r="O217" s="37">
        <v>45</v>
      </c>
      <c r="P217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3"/>
      <c r="R217" s="623"/>
      <c r="S217" s="623"/>
      <c r="T217" s="62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1">
        <v>4680115880092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194</v>
      </c>
      <c r="M218" s="38" t="s">
        <v>92</v>
      </c>
      <c r="N218" s="38"/>
      <c r="O218" s="37">
        <v>45</v>
      </c>
      <c r="P218" s="7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1">
        <v>4680115880221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194</v>
      </c>
      <c r="M219" s="38" t="s">
        <v>92</v>
      </c>
      <c r="N219" s="38"/>
      <c r="O219" s="37">
        <v>45</v>
      </c>
      <c r="P219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1">
        <v>4680115880504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194</v>
      </c>
      <c r="M220" s="38" t="s">
        <v>98</v>
      </c>
      <c r="N220" s="38"/>
      <c r="O220" s="37">
        <v>40</v>
      </c>
      <c r="P220" s="7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1">
        <v>4680115882164</v>
      </c>
      <c r="E221" s="621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194</v>
      </c>
      <c r="M221" s="38" t="s">
        <v>92</v>
      </c>
      <c r="N221" s="38"/>
      <c r="O221" s="37">
        <v>40</v>
      </c>
      <c r="P221" s="7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3"/>
      <c r="R221" s="623"/>
      <c r="S221" s="623"/>
      <c r="T221" s="62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30"/>
      <c r="P223" s="626" t="s">
        <v>40</v>
      </c>
      <c r="Q223" s="627"/>
      <c r="R223" s="627"/>
      <c r="S223" s="627"/>
      <c r="T223" s="627"/>
      <c r="U223" s="627"/>
      <c r="V223" s="628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0" t="s">
        <v>168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1">
        <v>4680115880818</v>
      </c>
      <c r="E225" s="621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98</v>
      </c>
      <c r="N225" s="38"/>
      <c r="O225" s="37">
        <v>40</v>
      </c>
      <c r="P225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1">
        <v>4680115880801</v>
      </c>
      <c r="E226" s="62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92</v>
      </c>
      <c r="N226" s="38"/>
      <c r="O226" s="37">
        <v>40</v>
      </c>
      <c r="P22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0"/>
      <c r="P228" s="626" t="s">
        <v>40</v>
      </c>
      <c r="Q228" s="627"/>
      <c r="R228" s="627"/>
      <c r="S228" s="627"/>
      <c r="T228" s="627"/>
      <c r="U228" s="627"/>
      <c r="V228" s="62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19" t="s">
        <v>387</v>
      </c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  <c r="AA229" s="65"/>
      <c r="AB229" s="65"/>
      <c r="AC229" s="79"/>
    </row>
    <row r="230" spans="1:68" ht="14.25" customHeight="1" x14ac:dyDescent="0.25">
      <c r="A230" s="620" t="s">
        <v>110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1">
        <v>4680115884137</v>
      </c>
      <c r="E231" s="621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115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45</v>
      </c>
      <c r="AK231" s="84">
        <v>0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1">
        <v>4680115884236</v>
      </c>
      <c r="E232" s="62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1">
        <v>4680115884175</v>
      </c>
      <c r="E233" s="62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1">
        <v>4680115884144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1">
        <v>4680115884144</v>
      </c>
      <c r="E235" s="62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3"/>
      <c r="R235" s="623"/>
      <c r="S235" s="623"/>
      <c r="T235" s="62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1">
        <v>4680115886551</v>
      </c>
      <c r="E236" s="62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3"/>
      <c r="R236" s="623"/>
      <c r="S236" s="623"/>
      <c r="T236" s="62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1">
        <v>4680115887282</v>
      </c>
      <c r="E237" s="621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114</v>
      </c>
      <c r="N237" s="38"/>
      <c r="O237" s="37">
        <v>55</v>
      </c>
      <c r="P237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1">
        <v>4680115884205</v>
      </c>
      <c r="E238" s="62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123</v>
      </c>
      <c r="M238" s="38" t="s">
        <v>114</v>
      </c>
      <c r="N238" s="38"/>
      <c r="O238" s="37">
        <v>55</v>
      </c>
      <c r="P238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117</v>
      </c>
      <c r="AK238" s="84">
        <v>48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1">
        <v>4680115884205</v>
      </c>
      <c r="E239" s="62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3"/>
      <c r="R239" s="623"/>
      <c r="S239" s="623"/>
      <c r="T239" s="62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0"/>
      <c r="P241" s="626" t="s">
        <v>40</v>
      </c>
      <c r="Q241" s="627"/>
      <c r="R241" s="627"/>
      <c r="S241" s="627"/>
      <c r="T241" s="627"/>
      <c r="U241" s="627"/>
      <c r="V241" s="628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0" t="s">
        <v>146</v>
      </c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1">
        <v>4680115885981</v>
      </c>
      <c r="E243" s="621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3"/>
      <c r="R243" s="623"/>
      <c r="S243" s="623"/>
      <c r="T243" s="62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0"/>
      <c r="P245" s="626" t="s">
        <v>40</v>
      </c>
      <c r="Q245" s="627"/>
      <c r="R245" s="627"/>
      <c r="S245" s="627"/>
      <c r="T245" s="627"/>
      <c r="U245" s="627"/>
      <c r="V245" s="628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0" t="s">
        <v>412</v>
      </c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1">
        <v>4680115886803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30"/>
      <c r="P248" s="626" t="s">
        <v>40</v>
      </c>
      <c r="Q248" s="627"/>
      <c r="R248" s="627"/>
      <c r="S248" s="627"/>
      <c r="T248" s="627"/>
      <c r="U248" s="627"/>
      <c r="V248" s="628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30"/>
      <c r="P249" s="626" t="s">
        <v>40</v>
      </c>
      <c r="Q249" s="627"/>
      <c r="R249" s="627"/>
      <c r="S249" s="627"/>
      <c r="T249" s="627"/>
      <c r="U249" s="627"/>
      <c r="V249" s="628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0" t="s">
        <v>416</v>
      </c>
      <c r="B250" s="620"/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1">
        <v>4680115886704</v>
      </c>
      <c r="E251" s="621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3"/>
      <c r="R251" s="623"/>
      <c r="S251" s="623"/>
      <c r="T251" s="62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1">
        <v>4680115886681</v>
      </c>
      <c r="E252" s="621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3"/>
      <c r="R252" s="623"/>
      <c r="S252" s="623"/>
      <c r="T252" s="62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1">
        <v>4680115886735</v>
      </c>
      <c r="E253" s="621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3"/>
      <c r="R253" s="623"/>
      <c r="S253" s="623"/>
      <c r="T253" s="62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1">
        <v>4680115886728</v>
      </c>
      <c r="E254" s="621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1">
        <v>4680115886711</v>
      </c>
      <c r="E255" s="62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0"/>
      <c r="P256" s="626" t="s">
        <v>40</v>
      </c>
      <c r="Q256" s="627"/>
      <c r="R256" s="627"/>
      <c r="S256" s="627"/>
      <c r="T256" s="627"/>
      <c r="U256" s="627"/>
      <c r="V256" s="628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0"/>
      <c r="P257" s="626" t="s">
        <v>40</v>
      </c>
      <c r="Q257" s="627"/>
      <c r="R257" s="627"/>
      <c r="S257" s="627"/>
      <c r="T257" s="627"/>
      <c r="U257" s="627"/>
      <c r="V257" s="628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19" t="s">
        <v>428</v>
      </c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  <c r="AA258" s="65"/>
      <c r="AB258" s="65"/>
      <c r="AC258" s="79"/>
    </row>
    <row r="259" spans="1:68" ht="14.25" customHeight="1" x14ac:dyDescent="0.25">
      <c r="A259" s="620" t="s">
        <v>110</v>
      </c>
      <c r="B259" s="620"/>
      <c r="C259" s="620"/>
      <c r="D259" s="620"/>
      <c r="E259" s="620"/>
      <c r="F259" s="620"/>
      <c r="G259" s="620"/>
      <c r="H259" s="620"/>
      <c r="I259" s="620"/>
      <c r="J259" s="620"/>
      <c r="K259" s="620"/>
      <c r="L259" s="620"/>
      <c r="M259" s="620"/>
      <c r="N259" s="620"/>
      <c r="O259" s="620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1">
        <v>4680115885837</v>
      </c>
      <c r="E260" s="62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115</v>
      </c>
      <c r="L260" s="37" t="s">
        <v>116</v>
      </c>
      <c r="M260" s="38" t="s">
        <v>114</v>
      </c>
      <c r="N260" s="38"/>
      <c r="O260" s="37">
        <v>55</v>
      </c>
      <c r="P260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3"/>
      <c r="R260" s="623"/>
      <c r="S260" s="623"/>
      <c r="T260" s="624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117</v>
      </c>
      <c r="AK260" s="84">
        <v>86.4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1">
        <v>4680115885851</v>
      </c>
      <c r="E261" s="6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3"/>
      <c r="R261" s="623"/>
      <c r="S261" s="623"/>
      <c r="T261" s="62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1">
        <v>4680115885806</v>
      </c>
      <c r="E262" s="62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3"/>
      <c r="R262" s="623"/>
      <c r="S262" s="623"/>
      <c r="T262" s="62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1">
        <v>4680115885844</v>
      </c>
      <c r="E263" s="621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120</v>
      </c>
      <c r="L263" s="37" t="s">
        <v>45</v>
      </c>
      <c r="M263" s="38" t="s">
        <v>114</v>
      </c>
      <c r="N263" s="38"/>
      <c r="O263" s="37">
        <v>55</v>
      </c>
      <c r="P263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1">
        <v>4680115885820</v>
      </c>
      <c r="E264" s="62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30"/>
      <c r="P265" s="626" t="s">
        <v>40</v>
      </c>
      <c r="Q265" s="627"/>
      <c r="R265" s="627"/>
      <c r="S265" s="627"/>
      <c r="T265" s="627"/>
      <c r="U265" s="627"/>
      <c r="V265" s="628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30"/>
      <c r="P266" s="626" t="s">
        <v>40</v>
      </c>
      <c r="Q266" s="627"/>
      <c r="R266" s="627"/>
      <c r="S266" s="627"/>
      <c r="T266" s="627"/>
      <c r="U266" s="627"/>
      <c r="V266" s="628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19" t="s">
        <v>444</v>
      </c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  <c r="AA267" s="65"/>
      <c r="AB267" s="65"/>
      <c r="AC267" s="79"/>
    </row>
    <row r="268" spans="1:68" ht="14.25" customHeight="1" x14ac:dyDescent="0.25">
      <c r="A268" s="620" t="s">
        <v>110</v>
      </c>
      <c r="B268" s="620"/>
      <c r="C268" s="620"/>
      <c r="D268" s="620"/>
      <c r="E268" s="620"/>
      <c r="F268" s="620"/>
      <c r="G268" s="620"/>
      <c r="H268" s="620"/>
      <c r="I268" s="620"/>
      <c r="J268" s="620"/>
      <c r="K268" s="620"/>
      <c r="L268" s="620"/>
      <c r="M268" s="620"/>
      <c r="N268" s="620"/>
      <c r="O268" s="620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1">
        <v>4607091383423</v>
      </c>
      <c r="E269" s="621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115</v>
      </c>
      <c r="L269" s="37" t="s">
        <v>45</v>
      </c>
      <c r="M269" s="38" t="s">
        <v>92</v>
      </c>
      <c r="N269" s="38"/>
      <c r="O269" s="37">
        <v>35</v>
      </c>
      <c r="P269" s="75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3"/>
      <c r="R269" s="623"/>
      <c r="S269" s="623"/>
      <c r="T269" s="62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113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1">
        <v>4680115886957</v>
      </c>
      <c r="E270" s="621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30</v>
      </c>
      <c r="P270" s="75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3"/>
      <c r="R270" s="623"/>
      <c r="S270" s="623"/>
      <c r="T270" s="62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1">
        <v>4680115885660</v>
      </c>
      <c r="E271" s="62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1">
        <v>4680115886773</v>
      </c>
      <c r="E272" s="621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115</v>
      </c>
      <c r="L272" s="37" t="s">
        <v>45</v>
      </c>
      <c r="M272" s="38" t="s">
        <v>114</v>
      </c>
      <c r="N272" s="38"/>
      <c r="O272" s="37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30"/>
      <c r="P273" s="626" t="s">
        <v>40</v>
      </c>
      <c r="Q273" s="627"/>
      <c r="R273" s="627"/>
      <c r="S273" s="627"/>
      <c r="T273" s="627"/>
      <c r="U273" s="627"/>
      <c r="V273" s="628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30"/>
      <c r="P274" s="626" t="s">
        <v>40</v>
      </c>
      <c r="Q274" s="627"/>
      <c r="R274" s="627"/>
      <c r="S274" s="627"/>
      <c r="T274" s="627"/>
      <c r="U274" s="627"/>
      <c r="V274" s="628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19" t="s">
        <v>455</v>
      </c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  <c r="AA275" s="65"/>
      <c r="AB275" s="65"/>
      <c r="AC275" s="79"/>
    </row>
    <row r="276" spans="1:68" ht="14.25" customHeight="1" x14ac:dyDescent="0.25">
      <c r="A276" s="620" t="s">
        <v>88</v>
      </c>
      <c r="B276" s="620"/>
      <c r="C276" s="620"/>
      <c r="D276" s="620"/>
      <c r="E276" s="620"/>
      <c r="F276" s="620"/>
      <c r="G276" s="620"/>
      <c r="H276" s="620"/>
      <c r="I276" s="620"/>
      <c r="J276" s="620"/>
      <c r="K276" s="620"/>
      <c r="L276" s="620"/>
      <c r="M276" s="620"/>
      <c r="N276" s="620"/>
      <c r="O276" s="620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1">
        <v>4680115886186</v>
      </c>
      <c r="E277" s="621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3"/>
      <c r="R277" s="623"/>
      <c r="S277" s="623"/>
      <c r="T277" s="62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1">
        <v>4680115881228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194</v>
      </c>
      <c r="M278" s="38" t="s">
        <v>98</v>
      </c>
      <c r="N278" s="38"/>
      <c r="O278" s="37">
        <v>40</v>
      </c>
      <c r="P278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117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1">
        <v>4680115881211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194</v>
      </c>
      <c r="M279" s="38" t="s">
        <v>92</v>
      </c>
      <c r="N279" s="38"/>
      <c r="O279" s="37">
        <v>45</v>
      </c>
      <c r="P279" s="7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30"/>
      <c r="P280" s="626" t="s">
        <v>40</v>
      </c>
      <c r="Q280" s="627"/>
      <c r="R280" s="627"/>
      <c r="S280" s="627"/>
      <c r="T280" s="627"/>
      <c r="U280" s="627"/>
      <c r="V280" s="628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19" t="s">
        <v>464</v>
      </c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  <c r="AA282" s="65"/>
      <c r="AB282" s="65"/>
      <c r="AC282" s="79"/>
    </row>
    <row r="283" spans="1:68" ht="14.25" customHeight="1" x14ac:dyDescent="0.25">
      <c r="A283" s="620" t="s">
        <v>78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1">
        <v>4680115880344</v>
      </c>
      <c r="E284" s="621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1">
        <v>4680115886919</v>
      </c>
      <c r="E285" s="621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0" t="s">
        <v>88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1">
        <v>4680115884618</v>
      </c>
      <c r="E289" s="621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120</v>
      </c>
      <c r="L289" s="37" t="s">
        <v>45</v>
      </c>
      <c r="M289" s="38" t="s">
        <v>92</v>
      </c>
      <c r="N289" s="38"/>
      <c r="O289" s="37">
        <v>45</v>
      </c>
      <c r="P289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1">
        <v>4680115887114</v>
      </c>
      <c r="E290" s="621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30"/>
      <c r="P291" s="626" t="s">
        <v>40</v>
      </c>
      <c r="Q291" s="627"/>
      <c r="R291" s="627"/>
      <c r="S291" s="627"/>
      <c r="T291" s="627"/>
      <c r="U291" s="627"/>
      <c r="V291" s="62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30"/>
      <c r="P292" s="626" t="s">
        <v>40</v>
      </c>
      <c r="Q292" s="627"/>
      <c r="R292" s="627"/>
      <c r="S292" s="627"/>
      <c r="T292" s="627"/>
      <c r="U292" s="627"/>
      <c r="V292" s="62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19" t="s">
        <v>477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  <c r="AA293" s="65"/>
      <c r="AB293" s="65"/>
      <c r="AC293" s="79"/>
    </row>
    <row r="294" spans="1:68" ht="14.25" customHeight="1" x14ac:dyDescent="0.25">
      <c r="A294" s="620" t="s">
        <v>110</v>
      </c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0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4301012024</v>
      </c>
      <c r="D295" s="621">
        <v>4680115885615</v>
      </c>
      <c r="E295" s="621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115</v>
      </c>
      <c r="L295" s="37" t="s">
        <v>45</v>
      </c>
      <c r="M295" s="38" t="s">
        <v>92</v>
      </c>
      <c r="N295" s="38"/>
      <c r="O295" s="37">
        <v>55</v>
      </c>
      <c r="P295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3"/>
      <c r="R295" s="623"/>
      <c r="S295" s="623"/>
      <c r="T295" s="62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37.5" customHeight="1" x14ac:dyDescent="0.25">
      <c r="A296" s="63" t="s">
        <v>481</v>
      </c>
      <c r="B296" s="63" t="s">
        <v>482</v>
      </c>
      <c r="C296" s="36">
        <v>4301011858</v>
      </c>
      <c r="D296" s="621">
        <v>4680115885646</v>
      </c>
      <c r="E296" s="62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3"/>
      <c r="R296" s="623"/>
      <c r="S296" s="623"/>
      <c r="T296" s="62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4301012016</v>
      </c>
      <c r="D297" s="621">
        <v>4680115885554</v>
      </c>
      <c r="E297" s="62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4301011857</v>
      </c>
      <c r="D298" s="621">
        <v>4680115885622</v>
      </c>
      <c r="E298" s="621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120</v>
      </c>
      <c r="L298" s="37" t="s">
        <v>45</v>
      </c>
      <c r="M298" s="38" t="s">
        <v>114</v>
      </c>
      <c r="N298" s="38"/>
      <c r="O298" s="37">
        <v>55</v>
      </c>
      <c r="P298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4301011859</v>
      </c>
      <c r="D299" s="621">
        <v>4680115885608</v>
      </c>
      <c r="E299" s="621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491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30"/>
      <c r="P300" s="626" t="s">
        <v>40</v>
      </c>
      <c r="Q300" s="627"/>
      <c r="R300" s="627"/>
      <c r="S300" s="627"/>
      <c r="T300" s="627"/>
      <c r="U300" s="627"/>
      <c r="V300" s="628"/>
      <c r="W300" s="42" t="s">
        <v>39</v>
      </c>
      <c r="X300" s="43">
        <f>IFERROR(X295/H295,"0")+IFERROR(X296/H296,"0")+IFERROR(X297/H297,"0")+IFERROR(X298/H298,"0")+IFERROR(X299/H299,"0")</f>
        <v>0</v>
      </c>
      <c r="Y300" s="43">
        <f>IFERROR(Y295/H295,"0")+IFERROR(Y296/H296,"0")+IFERROR(Y297/H297,"0")+IFERROR(Y298/H298,"0")+IFERROR(Y299/H299,"0")</f>
        <v>0</v>
      </c>
      <c r="Z300" s="43">
        <f>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30"/>
      <c r="P301" s="626" t="s">
        <v>40</v>
      </c>
      <c r="Q301" s="627"/>
      <c r="R301" s="627"/>
      <c r="S301" s="627"/>
      <c r="T301" s="627"/>
      <c r="U301" s="627"/>
      <c r="V301" s="628"/>
      <c r="W301" s="42" t="s">
        <v>0</v>
      </c>
      <c r="X301" s="43">
        <f>IFERROR(SUM(X295:X299),"0")</f>
        <v>0</v>
      </c>
      <c r="Y301" s="43">
        <f>IFERROR(SUM(Y295:Y299),"0")</f>
        <v>0</v>
      </c>
      <c r="Z301" s="42"/>
      <c r="AA301" s="67"/>
      <c r="AB301" s="67"/>
      <c r="AC301" s="67"/>
    </row>
    <row r="302" spans="1:68" ht="14.25" customHeight="1" x14ac:dyDescent="0.25">
      <c r="A302" s="620" t="s">
        <v>78</v>
      </c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0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6"/>
      <c r="AB302" s="66"/>
      <c r="AC302" s="80"/>
    </row>
    <row r="303" spans="1:68" ht="27" customHeight="1" x14ac:dyDescent="0.25">
      <c r="A303" s="63" t="s">
        <v>492</v>
      </c>
      <c r="B303" s="63" t="s">
        <v>493</v>
      </c>
      <c r="C303" s="36">
        <v>4301030878</v>
      </c>
      <c r="D303" s="621">
        <v>4607091387193</v>
      </c>
      <c r="E303" s="621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120</v>
      </c>
      <c r="L303" s="37" t="s">
        <v>45</v>
      </c>
      <c r="M303" s="38" t="s">
        <v>82</v>
      </c>
      <c r="N303" s="38"/>
      <c r="O303" s="37">
        <v>35</v>
      </c>
      <c r="P303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26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494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27">IFERROR(X303*I303/H303,"0")</f>
        <v>0</v>
      </c>
      <c r="BN303" s="78">
        <f t="shared" ref="BN303:BN308" si="28">IFERROR(Y303*I303/H303,"0")</f>
        <v>0</v>
      </c>
      <c r="BO303" s="78">
        <f t="shared" ref="BO303:BO308" si="29">IFERROR(1/J303*(X303/H303),"0")</f>
        <v>0</v>
      </c>
      <c r="BP303" s="78">
        <f t="shared" ref="BP303:BP308" si="30">IFERROR(1/J303*(Y303/H303),"0")</f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4301031153</v>
      </c>
      <c r="D304" s="621">
        <v>4607091387230</v>
      </c>
      <c r="E304" s="621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123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117</v>
      </c>
      <c r="AK304" s="84">
        <v>50.4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4301031154</v>
      </c>
      <c r="D305" s="621">
        <v>4607091387292</v>
      </c>
      <c r="E305" s="621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45</v>
      </c>
      <c r="P305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3"/>
      <c r="R305" s="623"/>
      <c r="S305" s="623"/>
      <c r="T305" s="62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4301031152</v>
      </c>
      <c r="D306" s="621">
        <v>4607091387285</v>
      </c>
      <c r="E306" s="621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3"/>
      <c r="R306" s="623"/>
      <c r="S306" s="623"/>
      <c r="T306" s="62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497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4301031305</v>
      </c>
      <c r="D307" s="621">
        <v>4607091389845</v>
      </c>
      <c r="E307" s="621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505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4301031066</v>
      </c>
      <c r="D308" s="621">
        <v>4607091383836</v>
      </c>
      <c r="E308" s="621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45</v>
      </c>
      <c r="M308" s="38" t="s">
        <v>82</v>
      </c>
      <c r="N308" s="38"/>
      <c r="O308" s="37">
        <v>40</v>
      </c>
      <c r="P308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x14ac:dyDescent="0.2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30"/>
      <c r="P309" s="626" t="s">
        <v>40</v>
      </c>
      <c r="Q309" s="627"/>
      <c r="R309" s="627"/>
      <c r="S309" s="627"/>
      <c r="T309" s="627"/>
      <c r="U309" s="627"/>
      <c r="V309" s="628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30"/>
      <c r="P310" s="626" t="s">
        <v>40</v>
      </c>
      <c r="Q310" s="627"/>
      <c r="R310" s="627"/>
      <c r="S310" s="627"/>
      <c r="T310" s="627"/>
      <c r="U310" s="627"/>
      <c r="V310" s="628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0" t="s">
        <v>88</v>
      </c>
      <c r="B311" s="620"/>
      <c r="C311" s="620"/>
      <c r="D311" s="620"/>
      <c r="E311" s="620"/>
      <c r="F311" s="620"/>
      <c r="G311" s="620"/>
      <c r="H311" s="620"/>
      <c r="I311" s="620"/>
      <c r="J311" s="620"/>
      <c r="K311" s="620"/>
      <c r="L311" s="620"/>
      <c r="M311" s="620"/>
      <c r="N311" s="620"/>
      <c r="O311" s="620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6"/>
      <c r="AB311" s="66"/>
      <c r="AC311" s="80"/>
    </row>
    <row r="312" spans="1:68" ht="27" customHeight="1" x14ac:dyDescent="0.25">
      <c r="A312" s="63" t="s">
        <v>509</v>
      </c>
      <c r="B312" s="63" t="s">
        <v>510</v>
      </c>
      <c r="C312" s="36">
        <v>4301051100</v>
      </c>
      <c r="D312" s="621">
        <v>4607091387766</v>
      </c>
      <c r="E312" s="621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115</v>
      </c>
      <c r="L312" s="37" t="s">
        <v>116</v>
      </c>
      <c r="M312" s="38" t="s">
        <v>92</v>
      </c>
      <c r="N312" s="38"/>
      <c r="O312" s="37">
        <v>40</v>
      </c>
      <c r="P312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3"/>
      <c r="R312" s="623"/>
      <c r="S312" s="623"/>
      <c r="T312" s="62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511</v>
      </c>
      <c r="AG312" s="78"/>
      <c r="AJ312" s="84" t="s">
        <v>117</v>
      </c>
      <c r="AK312" s="84">
        <v>62.4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512</v>
      </c>
      <c r="B313" s="63" t="s">
        <v>513</v>
      </c>
      <c r="C313" s="36">
        <v>4301051818</v>
      </c>
      <c r="D313" s="621">
        <v>4607091387957</v>
      </c>
      <c r="E313" s="621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3"/>
      <c r="R313" s="623"/>
      <c r="S313" s="623"/>
      <c r="T313" s="62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4301051819</v>
      </c>
      <c r="D314" s="621">
        <v>4607091387964</v>
      </c>
      <c r="E314" s="621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4301051734</v>
      </c>
      <c r="D315" s="621">
        <v>4680115884588</v>
      </c>
      <c r="E315" s="621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30"/>
      <c r="P316" s="626" t="s">
        <v>40</v>
      </c>
      <c r="Q316" s="627"/>
      <c r="R316" s="627"/>
      <c r="S316" s="627"/>
      <c r="T316" s="627"/>
      <c r="U316" s="627"/>
      <c r="V316" s="628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30"/>
      <c r="P317" s="626" t="s">
        <v>40</v>
      </c>
      <c r="Q317" s="627"/>
      <c r="R317" s="627"/>
      <c r="S317" s="627"/>
      <c r="T317" s="627"/>
      <c r="U317" s="627"/>
      <c r="V317" s="628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0" t="s">
        <v>168</v>
      </c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0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6"/>
      <c r="AB318" s="66"/>
      <c r="AC318" s="80"/>
    </row>
    <row r="319" spans="1:68" ht="27" customHeight="1" x14ac:dyDescent="0.25">
      <c r="A319" s="63" t="s">
        <v>521</v>
      </c>
      <c r="B319" s="63" t="s">
        <v>522</v>
      </c>
      <c r="C319" s="36">
        <v>4301060387</v>
      </c>
      <c r="D319" s="621">
        <v>4607091380880</v>
      </c>
      <c r="E319" s="621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115</v>
      </c>
      <c r="L319" s="37" t="s">
        <v>45</v>
      </c>
      <c r="M319" s="38" t="s">
        <v>92</v>
      </c>
      <c r="N319" s="38"/>
      <c r="O319" s="37">
        <v>30</v>
      </c>
      <c r="P319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3"/>
      <c r="R319" s="623"/>
      <c r="S319" s="623"/>
      <c r="T319" s="62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523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524</v>
      </c>
      <c r="B320" s="63" t="s">
        <v>525</v>
      </c>
      <c r="C320" s="36">
        <v>4301060406</v>
      </c>
      <c r="D320" s="621">
        <v>4607091384482</v>
      </c>
      <c r="E320" s="621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527</v>
      </c>
      <c r="B321" s="63" t="s">
        <v>528</v>
      </c>
      <c r="C321" s="36">
        <v>4301060484</v>
      </c>
      <c r="D321" s="621">
        <v>4607091380897</v>
      </c>
      <c r="E321" s="62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98</v>
      </c>
      <c r="N321" s="38"/>
      <c r="O321" s="37">
        <v>30</v>
      </c>
      <c r="P321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0"/>
      <c r="P322" s="626" t="s">
        <v>40</v>
      </c>
      <c r="Q322" s="627"/>
      <c r="R322" s="627"/>
      <c r="S322" s="627"/>
      <c r="T322" s="627"/>
      <c r="U322" s="627"/>
      <c r="V322" s="6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30"/>
      <c r="P323" s="626" t="s">
        <v>40</v>
      </c>
      <c r="Q323" s="627"/>
      <c r="R323" s="627"/>
      <c r="S323" s="627"/>
      <c r="T323" s="627"/>
      <c r="U323" s="627"/>
      <c r="V323" s="6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0" t="s">
        <v>102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530</v>
      </c>
      <c r="B325" s="63" t="s">
        <v>531</v>
      </c>
      <c r="C325" s="36">
        <v>4301030235</v>
      </c>
      <c r="D325" s="621">
        <v>4607091388381</v>
      </c>
      <c r="E325" s="621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120</v>
      </c>
      <c r="L325" s="37" t="s">
        <v>45</v>
      </c>
      <c r="M325" s="38" t="s">
        <v>107</v>
      </c>
      <c r="N325" s="38"/>
      <c r="O325" s="37">
        <v>180</v>
      </c>
      <c r="P325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3"/>
      <c r="R325" s="623"/>
      <c r="S325" s="623"/>
      <c r="T325" s="624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532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533</v>
      </c>
      <c r="B326" s="63" t="s">
        <v>534</v>
      </c>
      <c r="C326" s="36">
        <v>4301030232</v>
      </c>
      <c r="D326" s="621">
        <v>4607091388374</v>
      </c>
      <c r="E326" s="621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3"/>
      <c r="R326" s="623"/>
      <c r="S326" s="623"/>
      <c r="T326" s="624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532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535</v>
      </c>
      <c r="B327" s="63" t="s">
        <v>536</v>
      </c>
      <c r="C327" s="36">
        <v>4301032015</v>
      </c>
      <c r="D327" s="621">
        <v>4607091383102</v>
      </c>
      <c r="E327" s="621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194</v>
      </c>
      <c r="M327" s="38" t="s">
        <v>107</v>
      </c>
      <c r="N327" s="38"/>
      <c r="O327" s="37">
        <v>180</v>
      </c>
      <c r="P327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532</v>
      </c>
      <c r="AG327" s="78"/>
      <c r="AJ327" s="84" t="s">
        <v>117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4301030233</v>
      </c>
      <c r="D328" s="621">
        <v>4607091388404</v>
      </c>
      <c r="E328" s="621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194</v>
      </c>
      <c r="M328" s="38" t="s">
        <v>107</v>
      </c>
      <c r="N328" s="38"/>
      <c r="O328" s="37">
        <v>180</v>
      </c>
      <c r="P328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532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0"/>
      <c r="P329" s="626" t="s">
        <v>40</v>
      </c>
      <c r="Q329" s="627"/>
      <c r="R329" s="627"/>
      <c r="S329" s="627"/>
      <c r="T329" s="627"/>
      <c r="U329" s="627"/>
      <c r="V329" s="628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30"/>
      <c r="P330" s="626" t="s">
        <v>40</v>
      </c>
      <c r="Q330" s="627"/>
      <c r="R330" s="627"/>
      <c r="S330" s="627"/>
      <c r="T330" s="627"/>
      <c r="U330" s="627"/>
      <c r="V330" s="628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0" t="s">
        <v>539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16.5" customHeight="1" x14ac:dyDescent="0.25">
      <c r="A332" s="63" t="s">
        <v>540</v>
      </c>
      <c r="B332" s="63" t="s">
        <v>541</v>
      </c>
      <c r="C332" s="36">
        <v>4301180007</v>
      </c>
      <c r="D332" s="621">
        <v>4680115881808</v>
      </c>
      <c r="E332" s="621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543</v>
      </c>
      <c r="N332" s="38"/>
      <c r="O332" s="37">
        <v>730</v>
      </c>
      <c r="P332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3"/>
      <c r="R332" s="623"/>
      <c r="S332" s="623"/>
      <c r="T332" s="624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542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544</v>
      </c>
      <c r="B333" s="63" t="s">
        <v>545</v>
      </c>
      <c r="C333" s="36">
        <v>4301180006</v>
      </c>
      <c r="D333" s="621">
        <v>4680115881822</v>
      </c>
      <c r="E333" s="621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543</v>
      </c>
      <c r="N333" s="38"/>
      <c r="O333" s="37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3"/>
      <c r="R333" s="623"/>
      <c r="S333" s="623"/>
      <c r="T333" s="624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542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4301180001</v>
      </c>
      <c r="D334" s="621">
        <v>4680115880016</v>
      </c>
      <c r="E334" s="62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543</v>
      </c>
      <c r="N334" s="38"/>
      <c r="O334" s="37">
        <v>730</v>
      </c>
      <c r="P334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542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30"/>
      <c r="P335" s="626" t="s">
        <v>40</v>
      </c>
      <c r="Q335" s="627"/>
      <c r="R335" s="627"/>
      <c r="S335" s="627"/>
      <c r="T335" s="627"/>
      <c r="U335" s="627"/>
      <c r="V335" s="62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30"/>
      <c r="P336" s="626" t="s">
        <v>40</v>
      </c>
      <c r="Q336" s="627"/>
      <c r="R336" s="627"/>
      <c r="S336" s="627"/>
      <c r="T336" s="627"/>
      <c r="U336" s="627"/>
      <c r="V336" s="62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19" t="s">
        <v>548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  <c r="AA337" s="65"/>
      <c r="AB337" s="65"/>
      <c r="AC337" s="79"/>
    </row>
    <row r="338" spans="1:68" ht="14.25" customHeight="1" x14ac:dyDescent="0.25">
      <c r="A338" s="620" t="s">
        <v>88</v>
      </c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0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6"/>
      <c r="AB338" s="66"/>
      <c r="AC338" s="80"/>
    </row>
    <row r="339" spans="1:68" ht="27" customHeight="1" x14ac:dyDescent="0.25">
      <c r="A339" s="63" t="s">
        <v>549</v>
      </c>
      <c r="B339" s="63" t="s">
        <v>550</v>
      </c>
      <c r="C339" s="36">
        <v>4301051489</v>
      </c>
      <c r="D339" s="621">
        <v>4607091387919</v>
      </c>
      <c r="E339" s="621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115</v>
      </c>
      <c r="L339" s="37" t="s">
        <v>45</v>
      </c>
      <c r="M339" s="38" t="s">
        <v>98</v>
      </c>
      <c r="N339" s="38"/>
      <c r="O339" s="37">
        <v>45</v>
      </c>
      <c r="P339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3"/>
      <c r="R339" s="623"/>
      <c r="S339" s="623"/>
      <c r="T339" s="62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551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552</v>
      </c>
      <c r="B340" s="63" t="s">
        <v>553</v>
      </c>
      <c r="C340" s="36">
        <v>4301051461</v>
      </c>
      <c r="D340" s="621">
        <v>4680115883604</v>
      </c>
      <c r="E340" s="621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194</v>
      </c>
      <c r="M340" s="38" t="s">
        <v>92</v>
      </c>
      <c r="N340" s="38"/>
      <c r="O340" s="37">
        <v>45</v>
      </c>
      <c r="P340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3"/>
      <c r="R340" s="623"/>
      <c r="S340" s="623"/>
      <c r="T340" s="624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117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4301051864</v>
      </c>
      <c r="D341" s="621">
        <v>4680115883567</v>
      </c>
      <c r="E341" s="621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194</v>
      </c>
      <c r="M341" s="38" t="s">
        <v>98</v>
      </c>
      <c r="N341" s="38"/>
      <c r="O341" s="37">
        <v>40</v>
      </c>
      <c r="P341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3"/>
      <c r="R341" s="623"/>
      <c r="S341" s="623"/>
      <c r="T341" s="62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0"/>
      <c r="P342" s="626" t="s">
        <v>40</v>
      </c>
      <c r="Q342" s="627"/>
      <c r="R342" s="627"/>
      <c r="S342" s="627"/>
      <c r="T342" s="627"/>
      <c r="U342" s="627"/>
      <c r="V342" s="62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0"/>
      <c r="P343" s="626" t="s">
        <v>40</v>
      </c>
      <c r="Q343" s="627"/>
      <c r="R343" s="627"/>
      <c r="S343" s="627"/>
      <c r="T343" s="627"/>
      <c r="U343" s="627"/>
      <c r="V343" s="62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18" t="s">
        <v>558</v>
      </c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8"/>
      <c r="U344" s="618"/>
      <c r="V344" s="618"/>
      <c r="W344" s="618"/>
      <c r="X344" s="618"/>
      <c r="Y344" s="618"/>
      <c r="Z344" s="618"/>
      <c r="AA344" s="54"/>
      <c r="AB344" s="54"/>
      <c r="AC344" s="54"/>
    </row>
    <row r="345" spans="1:68" ht="16.5" customHeight="1" x14ac:dyDescent="0.25">
      <c r="A345" s="619" t="s">
        <v>559</v>
      </c>
      <c r="B345" s="619"/>
      <c r="C345" s="619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  <c r="AA345" s="65"/>
      <c r="AB345" s="65"/>
      <c r="AC345" s="79"/>
    </row>
    <row r="346" spans="1:68" ht="14.25" customHeight="1" x14ac:dyDescent="0.25">
      <c r="A346" s="620" t="s">
        <v>110</v>
      </c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0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6"/>
      <c r="AB346" s="66"/>
      <c r="AC346" s="80"/>
    </row>
    <row r="347" spans="1:68" ht="37.5" customHeight="1" x14ac:dyDescent="0.25">
      <c r="A347" s="63" t="s">
        <v>560</v>
      </c>
      <c r="B347" s="63" t="s">
        <v>561</v>
      </c>
      <c r="C347" s="36">
        <v>4301011869</v>
      </c>
      <c r="D347" s="621">
        <v>4680115884847</v>
      </c>
      <c r="E347" s="621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115</v>
      </c>
      <c r="L347" s="37" t="s">
        <v>116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1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117</v>
      </c>
      <c r="AK347" s="84">
        <v>120</v>
      </c>
      <c r="BB347" s="417" t="s">
        <v>66</v>
      </c>
      <c r="BM347" s="78">
        <f t="shared" ref="BM347:BM353" si="32">IFERROR(X347*I347/H347,"0")</f>
        <v>0</v>
      </c>
      <c r="BN347" s="78">
        <f t="shared" ref="BN347:BN353" si="33">IFERROR(Y347*I347/H347,"0")</f>
        <v>0</v>
      </c>
      <c r="BO347" s="78">
        <f t="shared" ref="BO347:BO353" si="34">IFERROR(1/J347*(X347/H347),"0")</f>
        <v>0</v>
      </c>
      <c r="BP347" s="78">
        <f t="shared" ref="BP347:BP353" si="35">IFERROR(1/J347*(Y347/H347),"0")</f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4301012083</v>
      </c>
      <c r="D348" s="621">
        <v>4680115884854</v>
      </c>
      <c r="E348" s="621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114</v>
      </c>
      <c r="N348" s="38"/>
      <c r="O348" s="37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4301012215</v>
      </c>
      <c r="D349" s="621">
        <v>4680115887046</v>
      </c>
      <c r="E349" s="62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98</v>
      </c>
      <c r="N349" s="38"/>
      <c r="O349" s="37">
        <v>60</v>
      </c>
      <c r="P349" s="7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1">
        <v>4680115884830</v>
      </c>
      <c r="E350" s="62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7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3"/>
      <c r="R350" s="623"/>
      <c r="S350" s="623"/>
      <c r="T350" s="62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4301011433</v>
      </c>
      <c r="D351" s="621">
        <v>4680115882638</v>
      </c>
      <c r="E351" s="621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120</v>
      </c>
      <c r="L351" s="37" t="s">
        <v>45</v>
      </c>
      <c r="M351" s="38" t="s">
        <v>114</v>
      </c>
      <c r="N351" s="38"/>
      <c r="O351" s="37">
        <v>90</v>
      </c>
      <c r="P35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3"/>
      <c r="R351" s="623"/>
      <c r="S351" s="623"/>
      <c r="T351" s="62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4301011952</v>
      </c>
      <c r="D352" s="621">
        <v>4680115884922</v>
      </c>
      <c r="E352" s="621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120</v>
      </c>
      <c r="L352" s="37" t="s">
        <v>45</v>
      </c>
      <c r="M352" s="38" t="s">
        <v>82</v>
      </c>
      <c r="N352" s="38"/>
      <c r="O352" s="37">
        <v>60</v>
      </c>
      <c r="P352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37.5" customHeight="1" x14ac:dyDescent="0.25">
      <c r="A353" s="63" t="s">
        <v>578</v>
      </c>
      <c r="B353" s="63" t="s">
        <v>579</v>
      </c>
      <c r="C353" s="36">
        <v>4301011868</v>
      </c>
      <c r="D353" s="621">
        <v>4680115884861</v>
      </c>
      <c r="E353" s="621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571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x14ac:dyDescent="0.2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30"/>
      <c r="P354" s="626" t="s">
        <v>40</v>
      </c>
      <c r="Q354" s="627"/>
      <c r="R354" s="627"/>
      <c r="S354" s="627"/>
      <c r="T354" s="627"/>
      <c r="U354" s="627"/>
      <c r="V354" s="628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146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580</v>
      </c>
      <c r="B357" s="63" t="s">
        <v>581</v>
      </c>
      <c r="C357" s="36">
        <v>4301020178</v>
      </c>
      <c r="D357" s="621">
        <v>4607091383980</v>
      </c>
      <c r="E357" s="621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115</v>
      </c>
      <c r="L357" s="37" t="s">
        <v>116</v>
      </c>
      <c r="M357" s="38" t="s">
        <v>114</v>
      </c>
      <c r="N357" s="38"/>
      <c r="O357" s="37">
        <v>50</v>
      </c>
      <c r="P357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582</v>
      </c>
      <c r="AG357" s="78"/>
      <c r="AJ357" s="84" t="s">
        <v>117</v>
      </c>
      <c r="AK357" s="84">
        <v>120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583</v>
      </c>
      <c r="B358" s="63" t="s">
        <v>584</v>
      </c>
      <c r="C358" s="36">
        <v>4301020179</v>
      </c>
      <c r="D358" s="621">
        <v>4607091384178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120</v>
      </c>
      <c r="L358" s="37" t="s">
        <v>45</v>
      </c>
      <c r="M358" s="38" t="s">
        <v>114</v>
      </c>
      <c r="N358" s="38"/>
      <c r="O358" s="37">
        <v>50</v>
      </c>
      <c r="P358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0"/>
      <c r="P359" s="626" t="s">
        <v>40</v>
      </c>
      <c r="Q359" s="627"/>
      <c r="R359" s="627"/>
      <c r="S359" s="627"/>
      <c r="T359" s="627"/>
      <c r="U359" s="627"/>
      <c r="V359" s="62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88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586</v>
      </c>
      <c r="B362" s="63" t="s">
        <v>587</v>
      </c>
      <c r="C362" s="36">
        <v>4301051903</v>
      </c>
      <c r="D362" s="621">
        <v>4607091383928</v>
      </c>
      <c r="E362" s="621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115</v>
      </c>
      <c r="L362" s="37" t="s">
        <v>45</v>
      </c>
      <c r="M362" s="38" t="s">
        <v>92</v>
      </c>
      <c r="N362" s="38"/>
      <c r="O362" s="37">
        <v>40</v>
      </c>
      <c r="P362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588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589</v>
      </c>
      <c r="B363" s="63" t="s">
        <v>590</v>
      </c>
      <c r="C363" s="36">
        <v>4301051897</v>
      </c>
      <c r="D363" s="621">
        <v>4607091384260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0" t="s">
        <v>168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16.5" customHeight="1" x14ac:dyDescent="0.25">
      <c r="A367" s="63" t="s">
        <v>592</v>
      </c>
      <c r="B367" s="63" t="s">
        <v>593</v>
      </c>
      <c r="C367" s="36">
        <v>4301060524</v>
      </c>
      <c r="D367" s="621">
        <v>4607091384673</v>
      </c>
      <c r="E367" s="621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92</v>
      </c>
      <c r="N367" s="38"/>
      <c r="O367" s="37">
        <v>40</v>
      </c>
      <c r="P367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594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0"/>
      <c r="P369" s="626" t="s">
        <v>40</v>
      </c>
      <c r="Q369" s="627"/>
      <c r="R369" s="627"/>
      <c r="S369" s="627"/>
      <c r="T369" s="627"/>
      <c r="U369" s="627"/>
      <c r="V369" s="628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19" t="s">
        <v>595</v>
      </c>
      <c r="B370" s="619"/>
      <c r="C370" s="619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  <c r="AA370" s="65"/>
      <c r="AB370" s="65"/>
      <c r="AC370" s="79"/>
    </row>
    <row r="371" spans="1:68" ht="14.25" customHeight="1" x14ac:dyDescent="0.25">
      <c r="A371" s="620" t="s">
        <v>110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37.5" customHeight="1" x14ac:dyDescent="0.25">
      <c r="A372" s="63" t="s">
        <v>596</v>
      </c>
      <c r="B372" s="63" t="s">
        <v>597</v>
      </c>
      <c r="C372" s="36">
        <v>4301011875</v>
      </c>
      <c r="D372" s="621">
        <v>4680115884885</v>
      </c>
      <c r="E372" s="621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115</v>
      </c>
      <c r="L372" s="37" t="s">
        <v>116</v>
      </c>
      <c r="M372" s="38" t="s">
        <v>82</v>
      </c>
      <c r="N372" s="38"/>
      <c r="O372" s="37">
        <v>60</v>
      </c>
      <c r="P372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598</v>
      </c>
      <c r="AG372" s="78"/>
      <c r="AJ372" s="84" t="s">
        <v>117</v>
      </c>
      <c r="AK372" s="84">
        <v>96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599</v>
      </c>
      <c r="B373" s="63" t="s">
        <v>600</v>
      </c>
      <c r="C373" s="36">
        <v>4301011871</v>
      </c>
      <c r="D373" s="621">
        <v>4680115884908</v>
      </c>
      <c r="E373" s="62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60</v>
      </c>
      <c r="P373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598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30"/>
      <c r="P374" s="626" t="s">
        <v>40</v>
      </c>
      <c r="Q374" s="627"/>
      <c r="R374" s="627"/>
      <c r="S374" s="627"/>
      <c r="T374" s="627"/>
      <c r="U374" s="627"/>
      <c r="V374" s="628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78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601</v>
      </c>
      <c r="B377" s="63" t="s">
        <v>602</v>
      </c>
      <c r="C377" s="36">
        <v>4301031457</v>
      </c>
      <c r="D377" s="621">
        <v>4607091384802</v>
      </c>
      <c r="E377" s="621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120</v>
      </c>
      <c r="L377" s="37" t="s">
        <v>45</v>
      </c>
      <c r="M377" s="38" t="s">
        <v>82</v>
      </c>
      <c r="N377" s="38"/>
      <c r="O377" s="37">
        <v>50</v>
      </c>
      <c r="P377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603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2" t="s">
        <v>39</v>
      </c>
      <c r="X378" s="43">
        <f>IFERROR(X377/H377,"0")</f>
        <v>0</v>
      </c>
      <c r="Y378" s="43">
        <f>IFERROR(Y377/H377,"0")</f>
        <v>0</v>
      </c>
      <c r="Z378" s="43">
        <f>IFERROR(IF(Z377="",0,Z377),"0")</f>
        <v>0</v>
      </c>
      <c r="AA378" s="67"/>
      <c r="AB378" s="67"/>
      <c r="AC378" s="67"/>
    </row>
    <row r="379" spans="1:68" x14ac:dyDescent="0.2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30"/>
      <c r="P379" s="626" t="s">
        <v>40</v>
      </c>
      <c r="Q379" s="627"/>
      <c r="R379" s="627"/>
      <c r="S379" s="627"/>
      <c r="T379" s="627"/>
      <c r="U379" s="627"/>
      <c r="V379" s="628"/>
      <c r="W379" s="42" t="s">
        <v>0</v>
      </c>
      <c r="X379" s="43">
        <f>IFERROR(SUM(X377:X377),"0")</f>
        <v>0</v>
      </c>
      <c r="Y379" s="43">
        <f>IFERROR(SUM(Y377:Y377),"0")</f>
        <v>0</v>
      </c>
      <c r="Z379" s="42"/>
      <c r="AA379" s="67"/>
      <c r="AB379" s="67"/>
      <c r="AC379" s="67"/>
    </row>
    <row r="380" spans="1:68" ht="14.25" customHeight="1" x14ac:dyDescent="0.25">
      <c r="A380" s="620" t="s">
        <v>88</v>
      </c>
      <c r="B380" s="620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0"/>
      <c r="O380" s="620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6"/>
      <c r="AB380" s="66"/>
      <c r="AC380" s="80"/>
    </row>
    <row r="381" spans="1:68" ht="27" customHeight="1" x14ac:dyDescent="0.25">
      <c r="A381" s="63" t="s">
        <v>604</v>
      </c>
      <c r="B381" s="63" t="s">
        <v>605</v>
      </c>
      <c r="C381" s="36">
        <v>4301051899</v>
      </c>
      <c r="D381" s="621">
        <v>4607091384246</v>
      </c>
      <c r="E381" s="621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115</v>
      </c>
      <c r="L381" s="37" t="s">
        <v>116</v>
      </c>
      <c r="M381" s="38" t="s">
        <v>92</v>
      </c>
      <c r="N381" s="38"/>
      <c r="O381" s="37">
        <v>40</v>
      </c>
      <c r="P381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3"/>
      <c r="R381" s="623"/>
      <c r="S381" s="623"/>
      <c r="T381" s="62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606</v>
      </c>
      <c r="AG381" s="78"/>
      <c r="AJ381" s="84" t="s">
        <v>117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4301051660</v>
      </c>
      <c r="D382" s="621">
        <v>4607091384253</v>
      </c>
      <c r="E382" s="621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194</v>
      </c>
      <c r="M382" s="38" t="s">
        <v>92</v>
      </c>
      <c r="N382" s="38"/>
      <c r="O382" s="37">
        <v>40</v>
      </c>
      <c r="P382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3"/>
      <c r="R382" s="623"/>
      <c r="S382" s="623"/>
      <c r="T382" s="62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606</v>
      </c>
      <c r="AG382" s="78"/>
      <c r="AJ382" s="84" t="s">
        <v>117</v>
      </c>
      <c r="AK382" s="84">
        <v>33.6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607</v>
      </c>
      <c r="B383" s="63" t="s">
        <v>609</v>
      </c>
      <c r="C383" s="36">
        <v>4301052069</v>
      </c>
      <c r="D383" s="621">
        <v>4607091384253</v>
      </c>
      <c r="E383" s="621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3"/>
      <c r="R383" s="623"/>
      <c r="S383" s="623"/>
      <c r="T383" s="62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30"/>
      <c r="P384" s="626" t="s">
        <v>40</v>
      </c>
      <c r="Q384" s="627"/>
      <c r="R384" s="627"/>
      <c r="S384" s="627"/>
      <c r="T384" s="627"/>
      <c r="U384" s="627"/>
      <c r="V384" s="628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30"/>
      <c r="P385" s="626" t="s">
        <v>40</v>
      </c>
      <c r="Q385" s="627"/>
      <c r="R385" s="627"/>
      <c r="S385" s="627"/>
      <c r="T385" s="627"/>
      <c r="U385" s="627"/>
      <c r="V385" s="628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18" t="s">
        <v>611</v>
      </c>
      <c r="B386" s="618"/>
      <c r="C386" s="618"/>
      <c r="D386" s="618"/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  <c r="R386" s="618"/>
      <c r="S386" s="618"/>
      <c r="T386" s="618"/>
      <c r="U386" s="618"/>
      <c r="V386" s="618"/>
      <c r="W386" s="618"/>
      <c r="X386" s="618"/>
      <c r="Y386" s="618"/>
      <c r="Z386" s="618"/>
      <c r="AA386" s="54"/>
      <c r="AB386" s="54"/>
      <c r="AC386" s="54"/>
    </row>
    <row r="387" spans="1:68" ht="16.5" customHeight="1" x14ac:dyDescent="0.25">
      <c r="A387" s="619" t="s">
        <v>612</v>
      </c>
      <c r="B387" s="619"/>
      <c r="C387" s="619"/>
      <c r="D387" s="619"/>
      <c r="E387" s="619"/>
      <c r="F387" s="619"/>
      <c r="G387" s="619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  <c r="AA387" s="65"/>
      <c r="AB387" s="65"/>
      <c r="AC387" s="79"/>
    </row>
    <row r="388" spans="1:68" ht="14.25" customHeight="1" x14ac:dyDescent="0.25">
      <c r="A388" s="620" t="s">
        <v>78</v>
      </c>
      <c r="B388" s="620"/>
      <c r="C388" s="620"/>
      <c r="D388" s="620"/>
      <c r="E388" s="620"/>
      <c r="F388" s="620"/>
      <c r="G388" s="620"/>
      <c r="H388" s="620"/>
      <c r="I388" s="620"/>
      <c r="J388" s="620"/>
      <c r="K388" s="620"/>
      <c r="L388" s="620"/>
      <c r="M388" s="620"/>
      <c r="N388" s="620"/>
      <c r="O388" s="620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6"/>
      <c r="AB388" s="66"/>
      <c r="AC388" s="80"/>
    </row>
    <row r="389" spans="1:68" ht="27" customHeight="1" x14ac:dyDescent="0.25">
      <c r="A389" s="63" t="s">
        <v>613</v>
      </c>
      <c r="B389" s="63" t="s">
        <v>614</v>
      </c>
      <c r="C389" s="36">
        <v>4301031405</v>
      </c>
      <c r="D389" s="621">
        <v>4680115886100</v>
      </c>
      <c r="E389" s="621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120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615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616</v>
      </c>
      <c r="B390" s="63" t="s">
        <v>617</v>
      </c>
      <c r="C390" s="36">
        <v>4301031406</v>
      </c>
      <c r="D390" s="621">
        <v>4680115886117</v>
      </c>
      <c r="E390" s="621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120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4301031402</v>
      </c>
      <c r="D391" s="621">
        <v>4680115886124</v>
      </c>
      <c r="E391" s="621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123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117</v>
      </c>
      <c r="AK391" s="84">
        <v>64.8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4301031366</v>
      </c>
      <c r="D392" s="621">
        <v>4680115883147</v>
      </c>
      <c r="E392" s="621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4301031362</v>
      </c>
      <c r="D393" s="621">
        <v>4607091384338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626</v>
      </c>
      <c r="B394" s="63" t="s">
        <v>627</v>
      </c>
      <c r="C394" s="36">
        <v>4301031361</v>
      </c>
      <c r="D394" s="621">
        <v>4607091389524</v>
      </c>
      <c r="E394" s="621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1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3"/>
      <c r="R394" s="623"/>
      <c r="S394" s="623"/>
      <c r="T394" s="62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4301031364</v>
      </c>
      <c r="D395" s="621">
        <v>4680115883161</v>
      </c>
      <c r="E395" s="62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3"/>
      <c r="R395" s="623"/>
      <c r="S395" s="623"/>
      <c r="T395" s="62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4301031358</v>
      </c>
      <c r="D396" s="621">
        <v>4607091389531</v>
      </c>
      <c r="E396" s="62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3"/>
      <c r="R396" s="623"/>
      <c r="S396" s="623"/>
      <c r="T396" s="62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635</v>
      </c>
      <c r="B397" s="63" t="s">
        <v>636</v>
      </c>
      <c r="C397" s="36">
        <v>4301031360</v>
      </c>
      <c r="D397" s="621">
        <v>4607091384345</v>
      </c>
      <c r="E397" s="62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30"/>
      <c r="P398" s="626" t="s">
        <v>40</v>
      </c>
      <c r="Q398" s="627"/>
      <c r="R398" s="627"/>
      <c r="S398" s="627"/>
      <c r="T398" s="627"/>
      <c r="U398" s="627"/>
      <c r="V398" s="628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0" t="s">
        <v>88</v>
      </c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6"/>
      <c r="AB400" s="66"/>
      <c r="AC400" s="80"/>
    </row>
    <row r="401" spans="1:68" ht="27" customHeight="1" x14ac:dyDescent="0.25">
      <c r="A401" s="63" t="s">
        <v>637</v>
      </c>
      <c r="B401" s="63" t="s">
        <v>638</v>
      </c>
      <c r="C401" s="36">
        <v>4301051284</v>
      </c>
      <c r="D401" s="621">
        <v>4607091384352</v>
      </c>
      <c r="E401" s="621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120</v>
      </c>
      <c r="L401" s="37" t="s">
        <v>45</v>
      </c>
      <c r="M401" s="38" t="s">
        <v>92</v>
      </c>
      <c r="N401" s="38"/>
      <c r="O401" s="37">
        <v>45</v>
      </c>
      <c r="P401" s="8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3"/>
      <c r="R401" s="623"/>
      <c r="S401" s="623"/>
      <c r="T401" s="62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639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640</v>
      </c>
      <c r="B402" s="63" t="s">
        <v>641</v>
      </c>
      <c r="C402" s="36">
        <v>4301051431</v>
      </c>
      <c r="D402" s="621">
        <v>4607091389654</v>
      </c>
      <c r="E402" s="621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3"/>
      <c r="R402" s="623"/>
      <c r="S402" s="623"/>
      <c r="T402" s="62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30"/>
      <c r="P403" s="626" t="s">
        <v>40</v>
      </c>
      <c r="Q403" s="627"/>
      <c r="R403" s="627"/>
      <c r="S403" s="627"/>
      <c r="T403" s="627"/>
      <c r="U403" s="627"/>
      <c r="V403" s="628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19" t="s">
        <v>643</v>
      </c>
      <c r="B405" s="619"/>
      <c r="C405" s="619"/>
      <c r="D405" s="619"/>
      <c r="E405" s="619"/>
      <c r="F405" s="619"/>
      <c r="G405" s="619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  <c r="AA405" s="65"/>
      <c r="AB405" s="65"/>
      <c r="AC405" s="79"/>
    </row>
    <row r="406" spans="1:68" ht="14.25" customHeight="1" x14ac:dyDescent="0.25">
      <c r="A406" s="620" t="s">
        <v>146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644</v>
      </c>
      <c r="B407" s="63" t="s">
        <v>645</v>
      </c>
      <c r="C407" s="36">
        <v>4301020319</v>
      </c>
      <c r="D407" s="621">
        <v>4680115885240</v>
      </c>
      <c r="E407" s="621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646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0"/>
      <c r="P408" s="626" t="s">
        <v>40</v>
      </c>
      <c r="Q408" s="627"/>
      <c r="R408" s="627"/>
      <c r="S408" s="627"/>
      <c r="T408" s="627"/>
      <c r="U408" s="627"/>
      <c r="V408" s="628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30"/>
      <c r="P409" s="626" t="s">
        <v>40</v>
      </c>
      <c r="Q409" s="627"/>
      <c r="R409" s="627"/>
      <c r="S409" s="627"/>
      <c r="T409" s="627"/>
      <c r="U409" s="627"/>
      <c r="V409" s="628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0" t="s">
        <v>78</v>
      </c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6"/>
      <c r="AB410" s="66"/>
      <c r="AC410" s="80"/>
    </row>
    <row r="411" spans="1:68" ht="27" customHeight="1" x14ac:dyDescent="0.25">
      <c r="A411" s="63" t="s">
        <v>647</v>
      </c>
      <c r="B411" s="63" t="s">
        <v>648</v>
      </c>
      <c r="C411" s="36">
        <v>4301031403</v>
      </c>
      <c r="D411" s="621">
        <v>4680115886094</v>
      </c>
      <c r="E411" s="621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120</v>
      </c>
      <c r="L411" s="37" t="s">
        <v>45</v>
      </c>
      <c r="M411" s="38" t="s">
        <v>114</v>
      </c>
      <c r="N411" s="38"/>
      <c r="O411" s="37">
        <v>50</v>
      </c>
      <c r="P411" s="8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3"/>
      <c r="R411" s="623"/>
      <c r="S411" s="623"/>
      <c r="T411" s="62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649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650</v>
      </c>
      <c r="B412" s="63" t="s">
        <v>651</v>
      </c>
      <c r="C412" s="36">
        <v>4301031363</v>
      </c>
      <c r="D412" s="621">
        <v>4607091389425</v>
      </c>
      <c r="E412" s="621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3"/>
      <c r="R412" s="623"/>
      <c r="S412" s="623"/>
      <c r="T412" s="624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4301031373</v>
      </c>
      <c r="D413" s="621">
        <v>4680115880771</v>
      </c>
      <c r="E413" s="621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3"/>
      <c r="R413" s="623"/>
      <c r="S413" s="623"/>
      <c r="T413" s="624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4301031359</v>
      </c>
      <c r="D414" s="621">
        <v>4607091389500</v>
      </c>
      <c r="E414" s="621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3"/>
      <c r="R414" s="623"/>
      <c r="S414" s="623"/>
      <c r="T414" s="62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30"/>
      <c r="P415" s="626" t="s">
        <v>40</v>
      </c>
      <c r="Q415" s="627"/>
      <c r="R415" s="627"/>
      <c r="S415" s="627"/>
      <c r="T415" s="627"/>
      <c r="U415" s="627"/>
      <c r="V415" s="628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19" t="s">
        <v>658</v>
      </c>
      <c r="B417" s="619"/>
      <c r="C417" s="619"/>
      <c r="D417" s="619"/>
      <c r="E417" s="619"/>
      <c r="F417" s="619"/>
      <c r="G417" s="619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  <c r="AA417" s="65"/>
      <c r="AB417" s="65"/>
      <c r="AC417" s="79"/>
    </row>
    <row r="418" spans="1:68" ht="14.25" customHeight="1" x14ac:dyDescent="0.25">
      <c r="A418" s="620" t="s">
        <v>78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6"/>
      <c r="AB418" s="66"/>
      <c r="AC418" s="80"/>
    </row>
    <row r="419" spans="1:68" ht="27" customHeight="1" x14ac:dyDescent="0.25">
      <c r="A419" s="63" t="s">
        <v>659</v>
      </c>
      <c r="B419" s="63" t="s">
        <v>660</v>
      </c>
      <c r="C419" s="36">
        <v>4301031347</v>
      </c>
      <c r="D419" s="621">
        <v>4680115885110</v>
      </c>
      <c r="E419" s="621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2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3"/>
      <c r="R419" s="623"/>
      <c r="S419" s="623"/>
      <c r="T419" s="624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661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0"/>
      <c r="P420" s="626" t="s">
        <v>40</v>
      </c>
      <c r="Q420" s="627"/>
      <c r="R420" s="627"/>
      <c r="S420" s="627"/>
      <c r="T420" s="627"/>
      <c r="U420" s="627"/>
      <c r="V420" s="628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0"/>
      <c r="P421" s="626" t="s">
        <v>40</v>
      </c>
      <c r="Q421" s="627"/>
      <c r="R421" s="627"/>
      <c r="S421" s="627"/>
      <c r="T421" s="627"/>
      <c r="U421" s="627"/>
      <c r="V421" s="628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18" t="s">
        <v>662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54"/>
      <c r="AB422" s="54"/>
      <c r="AC422" s="54"/>
    </row>
    <row r="423" spans="1:68" ht="16.5" customHeight="1" x14ac:dyDescent="0.25">
      <c r="A423" s="619" t="s">
        <v>662</v>
      </c>
      <c r="B423" s="619"/>
      <c r="C423" s="619"/>
      <c r="D423" s="619"/>
      <c r="E423" s="619"/>
      <c r="F423" s="619"/>
      <c r="G423" s="619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  <c r="AA423" s="65"/>
      <c r="AB423" s="65"/>
      <c r="AC423" s="79"/>
    </row>
    <row r="424" spans="1:68" ht="14.25" customHeight="1" x14ac:dyDescent="0.25">
      <c r="A424" s="620" t="s">
        <v>110</v>
      </c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6"/>
      <c r="AB424" s="66"/>
      <c r="AC424" s="80"/>
    </row>
    <row r="425" spans="1:68" ht="27" customHeight="1" x14ac:dyDescent="0.25">
      <c r="A425" s="63" t="s">
        <v>663</v>
      </c>
      <c r="B425" s="63" t="s">
        <v>664</v>
      </c>
      <c r="C425" s="36">
        <v>4301011795</v>
      </c>
      <c r="D425" s="621">
        <v>4607091389067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113</v>
      </c>
      <c r="AG425" s="78"/>
      <c r="AJ425" s="84" t="s">
        <v>117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4301012210</v>
      </c>
      <c r="D426" s="621">
        <v>4607091383522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668</v>
      </c>
      <c r="C427" s="36">
        <v>4301012145</v>
      </c>
      <c r="D427" s="621">
        <v>4607091383522</v>
      </c>
      <c r="E427" s="62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4301011961</v>
      </c>
      <c r="D428" s="621">
        <v>4680115885271</v>
      </c>
      <c r="E428" s="62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117</v>
      </c>
      <c r="AK428" s="84">
        <v>42.24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4301011376</v>
      </c>
      <c r="D429" s="621">
        <v>4680115885226</v>
      </c>
      <c r="E429" s="62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116</v>
      </c>
      <c r="M429" s="38" t="s">
        <v>92</v>
      </c>
      <c r="N429" s="38"/>
      <c r="O429" s="37">
        <v>60</v>
      </c>
      <c r="P429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117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675</v>
      </c>
      <c r="B430" s="63" t="s">
        <v>676</v>
      </c>
      <c r="C430" s="36">
        <v>4301011774</v>
      </c>
      <c r="D430" s="621">
        <v>4680115884502</v>
      </c>
      <c r="E430" s="62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4301011771</v>
      </c>
      <c r="D431" s="621">
        <v>4607091389104</v>
      </c>
      <c r="E431" s="62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4301012125</v>
      </c>
      <c r="D432" s="621">
        <v>4680115886391</v>
      </c>
      <c r="E432" s="621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3"/>
      <c r="R432" s="623"/>
      <c r="S432" s="623"/>
      <c r="T432" s="62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113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4301012035</v>
      </c>
      <c r="D433" s="621">
        <v>4680115880603</v>
      </c>
      <c r="E433" s="621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120</v>
      </c>
      <c r="L433" s="37" t="s">
        <v>45</v>
      </c>
      <c r="M433" s="38" t="s">
        <v>114</v>
      </c>
      <c r="N433" s="38"/>
      <c r="O433" s="37">
        <v>60</v>
      </c>
      <c r="P433" s="8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3"/>
      <c r="R433" s="623"/>
      <c r="S433" s="623"/>
      <c r="T433" s="62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4301012036</v>
      </c>
      <c r="D434" s="621">
        <v>4680115882782</v>
      </c>
      <c r="E434" s="621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120</v>
      </c>
      <c r="L434" s="37" t="s">
        <v>45</v>
      </c>
      <c r="M434" s="38" t="s">
        <v>114</v>
      </c>
      <c r="N434" s="38"/>
      <c r="O434" s="37">
        <v>60</v>
      </c>
      <c r="P434" s="83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3"/>
      <c r="R434" s="623"/>
      <c r="S434" s="623"/>
      <c r="T434" s="62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671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4301012050</v>
      </c>
      <c r="D435" s="621">
        <v>4680115885479</v>
      </c>
      <c r="E435" s="62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114</v>
      </c>
      <c r="N435" s="38"/>
      <c r="O435" s="37">
        <v>60</v>
      </c>
      <c r="P435" s="83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4301012034</v>
      </c>
      <c r="D436" s="621">
        <v>4607091389982</v>
      </c>
      <c r="E436" s="62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680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0"/>
      <c r="P437" s="626" t="s">
        <v>40</v>
      </c>
      <c r="Q437" s="627"/>
      <c r="R437" s="627"/>
      <c r="S437" s="627"/>
      <c r="T437" s="627"/>
      <c r="U437" s="627"/>
      <c r="V437" s="628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0" t="s">
        <v>146</v>
      </c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6"/>
      <c r="AB439" s="66"/>
      <c r="AC439" s="80"/>
    </row>
    <row r="440" spans="1:68" ht="16.5" customHeight="1" x14ac:dyDescent="0.25">
      <c r="A440" s="63" t="s">
        <v>691</v>
      </c>
      <c r="B440" s="63" t="s">
        <v>692</v>
      </c>
      <c r="C440" s="36">
        <v>4301020334</v>
      </c>
      <c r="D440" s="621">
        <v>4607091388930</v>
      </c>
      <c r="E440" s="621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92</v>
      </c>
      <c r="N440" s="38"/>
      <c r="O440" s="37">
        <v>70</v>
      </c>
      <c r="P440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3"/>
      <c r="R440" s="623"/>
      <c r="S440" s="623"/>
      <c r="T440" s="624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693</v>
      </c>
      <c r="AG440" s="78"/>
      <c r="AJ440" s="84" t="s">
        <v>117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694</v>
      </c>
      <c r="B441" s="63" t="s">
        <v>695</v>
      </c>
      <c r="C441" s="36">
        <v>4301020374</v>
      </c>
      <c r="D441" s="621">
        <v>4680115886407</v>
      </c>
      <c r="E441" s="621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114</v>
      </c>
      <c r="N441" s="38"/>
      <c r="O441" s="37">
        <v>70</v>
      </c>
      <c r="P441" s="8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696</v>
      </c>
      <c r="B442" s="63" t="s">
        <v>697</v>
      </c>
      <c r="C442" s="36">
        <v>4301020385</v>
      </c>
      <c r="D442" s="621">
        <v>4680115880054</v>
      </c>
      <c r="E442" s="621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120</v>
      </c>
      <c r="L442" s="37" t="s">
        <v>123</v>
      </c>
      <c r="M442" s="38" t="s">
        <v>114</v>
      </c>
      <c r="N442" s="38"/>
      <c r="O442" s="37">
        <v>70</v>
      </c>
      <c r="P442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693</v>
      </c>
      <c r="AG442" s="78"/>
      <c r="AJ442" s="84" t="s">
        <v>117</v>
      </c>
      <c r="AK442" s="84">
        <v>57.6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0"/>
      <c r="P443" s="626" t="s">
        <v>40</v>
      </c>
      <c r="Q443" s="627"/>
      <c r="R443" s="627"/>
      <c r="S443" s="627"/>
      <c r="T443" s="627"/>
      <c r="U443" s="627"/>
      <c r="V443" s="6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0"/>
      <c r="P444" s="626" t="s">
        <v>40</v>
      </c>
      <c r="Q444" s="627"/>
      <c r="R444" s="627"/>
      <c r="S444" s="627"/>
      <c r="T444" s="627"/>
      <c r="U444" s="627"/>
      <c r="V444" s="6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0" t="s">
        <v>78</v>
      </c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6"/>
      <c r="AB445" s="66"/>
      <c r="AC445" s="80"/>
    </row>
    <row r="446" spans="1:68" ht="27" customHeight="1" x14ac:dyDescent="0.25">
      <c r="A446" s="63" t="s">
        <v>698</v>
      </c>
      <c r="B446" s="63" t="s">
        <v>699</v>
      </c>
      <c r="C446" s="36">
        <v>4301031349</v>
      </c>
      <c r="D446" s="621">
        <v>4680115883116</v>
      </c>
      <c r="E446" s="621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115</v>
      </c>
      <c r="L446" s="37" t="s">
        <v>116</v>
      </c>
      <c r="M446" s="38" t="s">
        <v>114</v>
      </c>
      <c r="N446" s="38"/>
      <c r="O446" s="37">
        <v>70</v>
      </c>
      <c r="P446" s="8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700</v>
      </c>
      <c r="AG446" s="78"/>
      <c r="AJ446" s="84" t="s">
        <v>117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701</v>
      </c>
      <c r="B447" s="63" t="s">
        <v>702</v>
      </c>
      <c r="C447" s="36">
        <v>4301031350</v>
      </c>
      <c r="D447" s="621">
        <v>4680115883093</v>
      </c>
      <c r="E447" s="621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115</v>
      </c>
      <c r="L447" s="37" t="s">
        <v>116</v>
      </c>
      <c r="M447" s="38" t="s">
        <v>82</v>
      </c>
      <c r="N447" s="38"/>
      <c r="O447" s="37">
        <v>70</v>
      </c>
      <c r="P447" s="8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3"/>
      <c r="R447" s="623"/>
      <c r="S447" s="623"/>
      <c r="T447" s="624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117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4301031353</v>
      </c>
      <c r="D448" s="621">
        <v>4680115883109</v>
      </c>
      <c r="E448" s="621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82</v>
      </c>
      <c r="N448" s="38"/>
      <c r="O448" s="37">
        <v>70</v>
      </c>
      <c r="P448" s="8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3"/>
      <c r="R448" s="623"/>
      <c r="S448" s="623"/>
      <c r="T448" s="624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117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4301031419</v>
      </c>
      <c r="D449" s="621">
        <v>4680115882072</v>
      </c>
      <c r="E449" s="621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120</v>
      </c>
      <c r="L449" s="37" t="s">
        <v>45</v>
      </c>
      <c r="M449" s="38" t="s">
        <v>114</v>
      </c>
      <c r="N449" s="38"/>
      <c r="O449" s="37">
        <v>70</v>
      </c>
      <c r="P449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3"/>
      <c r="R449" s="623"/>
      <c r="S449" s="623"/>
      <c r="T449" s="62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700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4301031418</v>
      </c>
      <c r="D450" s="621">
        <v>4680115882102</v>
      </c>
      <c r="E450" s="621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120</v>
      </c>
      <c r="L450" s="37" t="s">
        <v>45</v>
      </c>
      <c r="M450" s="38" t="s">
        <v>82</v>
      </c>
      <c r="N450" s="38"/>
      <c r="O450" s="37">
        <v>70</v>
      </c>
      <c r="P450" s="84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4301031417</v>
      </c>
      <c r="D451" s="621">
        <v>4680115882096</v>
      </c>
      <c r="E451" s="621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120</v>
      </c>
      <c r="L451" s="37" t="s">
        <v>45</v>
      </c>
      <c r="M451" s="38" t="s">
        <v>82</v>
      </c>
      <c r="N451" s="38"/>
      <c r="O451" s="37">
        <v>70</v>
      </c>
      <c r="P451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30"/>
      <c r="P452" s="626" t="s">
        <v>40</v>
      </c>
      <c r="Q452" s="627"/>
      <c r="R452" s="627"/>
      <c r="S452" s="627"/>
      <c r="T452" s="627"/>
      <c r="U452" s="627"/>
      <c r="V452" s="628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27.75" customHeight="1" x14ac:dyDescent="0.2">
      <c r="A454" s="618" t="s">
        <v>713</v>
      </c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4"/>
      <c r="AB454" s="54"/>
      <c r="AC454" s="54"/>
    </row>
    <row r="455" spans="1:68" ht="16.5" customHeight="1" x14ac:dyDescent="0.25">
      <c r="A455" s="619" t="s">
        <v>713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65"/>
      <c r="AB455" s="65"/>
      <c r="AC455" s="79"/>
    </row>
    <row r="456" spans="1:68" ht="14.25" customHeight="1" x14ac:dyDescent="0.25">
      <c r="A456" s="620" t="s">
        <v>110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6"/>
      <c r="AB456" s="66"/>
      <c r="AC456" s="80"/>
    </row>
    <row r="457" spans="1:68" ht="27" customHeight="1" x14ac:dyDescent="0.25">
      <c r="A457" s="63" t="s">
        <v>714</v>
      </c>
      <c r="B457" s="63" t="s">
        <v>715</v>
      </c>
      <c r="C457" s="36">
        <v>4301011763</v>
      </c>
      <c r="D457" s="621">
        <v>4640242181011</v>
      </c>
      <c r="E457" s="621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92</v>
      </c>
      <c r="N457" s="38"/>
      <c r="O457" s="37">
        <v>55</v>
      </c>
      <c r="P457" s="85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3"/>
      <c r="R457" s="623"/>
      <c r="S457" s="623"/>
      <c r="T457" s="62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8" t="s">
        <v>716</v>
      </c>
      <c r="AG457" s="78"/>
      <c r="AJ457" s="84" t="s">
        <v>45</v>
      </c>
      <c r="AK457" s="84">
        <v>0</v>
      </c>
      <c r="BB457" s="529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717</v>
      </c>
      <c r="B458" s="63" t="s">
        <v>718</v>
      </c>
      <c r="C458" s="36">
        <v>4301011585</v>
      </c>
      <c r="D458" s="621">
        <v>4640242180441</v>
      </c>
      <c r="E458" s="621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4301011584</v>
      </c>
      <c r="D459" s="621">
        <v>4640242180564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116</v>
      </c>
      <c r="M459" s="38" t="s">
        <v>114</v>
      </c>
      <c r="N459" s="38"/>
      <c r="O459" s="37">
        <v>50</v>
      </c>
      <c r="P459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117</v>
      </c>
      <c r="AK459" s="84">
        <v>96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4301011764</v>
      </c>
      <c r="D460" s="621">
        <v>4640242181189</v>
      </c>
      <c r="E460" s="6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92</v>
      </c>
      <c r="N460" s="38"/>
      <c r="O460" s="37">
        <v>55</v>
      </c>
      <c r="P460" s="85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4" t="s">
        <v>716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30"/>
      <c r="P461" s="626" t="s">
        <v>40</v>
      </c>
      <c r="Q461" s="627"/>
      <c r="R461" s="627"/>
      <c r="S461" s="627"/>
      <c r="T461" s="627"/>
      <c r="U461" s="627"/>
      <c r="V461" s="628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20" t="s">
        <v>146</v>
      </c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4301020400</v>
      </c>
      <c r="D464" s="621">
        <v>4640242180519</v>
      </c>
      <c r="E464" s="621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3"/>
      <c r="R464" s="623"/>
      <c r="S464" s="623"/>
      <c r="T464" s="62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4301020260</v>
      </c>
      <c r="D465" s="621">
        <v>4640242180526</v>
      </c>
      <c r="E465" s="621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30"/>
      <c r="P466" s="626" t="s">
        <v>40</v>
      </c>
      <c r="Q466" s="627"/>
      <c r="R466" s="627"/>
      <c r="S466" s="627"/>
      <c r="T466" s="627"/>
      <c r="U466" s="627"/>
      <c r="V466" s="628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30"/>
      <c r="P467" s="626" t="s">
        <v>40</v>
      </c>
      <c r="Q467" s="627"/>
      <c r="R467" s="627"/>
      <c r="S467" s="627"/>
      <c r="T467" s="627"/>
      <c r="U467" s="627"/>
      <c r="V467" s="628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20" t="s">
        <v>78</v>
      </c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6"/>
      <c r="AB468" s="66"/>
      <c r="AC468" s="80"/>
    </row>
    <row r="469" spans="1:68" ht="27" customHeight="1" x14ac:dyDescent="0.25">
      <c r="A469" s="63" t="s">
        <v>731</v>
      </c>
      <c r="B469" s="63" t="s">
        <v>732</v>
      </c>
      <c r="C469" s="36">
        <v>4301031467</v>
      </c>
      <c r="D469" s="621">
        <v>4640242180595</v>
      </c>
      <c r="E469" s="621"/>
      <c r="F469" s="62">
        <v>0.8</v>
      </c>
      <c r="G469" s="37">
        <v>6</v>
      </c>
      <c r="H469" s="62">
        <v>4.8</v>
      </c>
      <c r="I469" s="62">
        <v>5.05</v>
      </c>
      <c r="J469" s="37">
        <v>132</v>
      </c>
      <c r="K469" s="37" t="s">
        <v>120</v>
      </c>
      <c r="L469" s="37" t="s">
        <v>45</v>
      </c>
      <c r="M469" s="38" t="s">
        <v>82</v>
      </c>
      <c r="N469" s="38"/>
      <c r="O469" s="37">
        <v>40</v>
      </c>
      <c r="P469" s="8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623"/>
      <c r="R469" s="623"/>
      <c r="S469" s="623"/>
      <c r="T469" s="62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0"/>
      <c r="P470" s="626" t="s">
        <v>40</v>
      </c>
      <c r="Q470" s="627"/>
      <c r="R470" s="627"/>
      <c r="S470" s="627"/>
      <c r="T470" s="627"/>
      <c r="U470" s="627"/>
      <c r="V470" s="628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30"/>
      <c r="P471" s="626" t="s">
        <v>40</v>
      </c>
      <c r="Q471" s="627"/>
      <c r="R471" s="627"/>
      <c r="S471" s="627"/>
      <c r="T471" s="627"/>
      <c r="U471" s="627"/>
      <c r="V471" s="628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20" t="s">
        <v>88</v>
      </c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4301052046</v>
      </c>
      <c r="D473" s="621">
        <v>4640242180533</v>
      </c>
      <c r="E473" s="62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115</v>
      </c>
      <c r="L473" s="37" t="s">
        <v>116</v>
      </c>
      <c r="M473" s="38" t="s">
        <v>98</v>
      </c>
      <c r="N473" s="38"/>
      <c r="O473" s="37">
        <v>45</v>
      </c>
      <c r="P47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623"/>
      <c r="R473" s="623"/>
      <c r="S473" s="623"/>
      <c r="T473" s="62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117</v>
      </c>
      <c r="AK473" s="84">
        <v>72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0"/>
      <c r="P475" s="626" t="s">
        <v>40</v>
      </c>
      <c r="Q475" s="627"/>
      <c r="R475" s="627"/>
      <c r="S475" s="627"/>
      <c r="T475" s="627"/>
      <c r="U475" s="627"/>
      <c r="V475" s="628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20" t="s">
        <v>168</v>
      </c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4301060491</v>
      </c>
      <c r="D477" s="621">
        <v>4640242180120</v>
      </c>
      <c r="E477" s="621"/>
      <c r="F477" s="62">
        <v>1.5</v>
      </c>
      <c r="G477" s="37">
        <v>6</v>
      </c>
      <c r="H477" s="62">
        <v>9</v>
      </c>
      <c r="I477" s="62">
        <v>9.41</v>
      </c>
      <c r="J477" s="37">
        <v>64</v>
      </c>
      <c r="K477" s="37" t="s">
        <v>115</v>
      </c>
      <c r="L477" s="37" t="s">
        <v>45</v>
      </c>
      <c r="M477" s="38" t="s">
        <v>92</v>
      </c>
      <c r="N477" s="38"/>
      <c r="O477" s="37">
        <v>40</v>
      </c>
      <c r="P477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623"/>
      <c r="R477" s="623"/>
      <c r="S477" s="623"/>
      <c r="T477" s="62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740</v>
      </c>
      <c r="B478" s="63" t="s">
        <v>741</v>
      </c>
      <c r="C478" s="36">
        <v>4301060493</v>
      </c>
      <c r="D478" s="621">
        <v>4640242180137</v>
      </c>
      <c r="E478" s="621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115</v>
      </c>
      <c r="L478" s="37" t="s">
        <v>45</v>
      </c>
      <c r="M478" s="38" t="s">
        <v>92</v>
      </c>
      <c r="N478" s="38"/>
      <c r="O478" s="37">
        <v>40</v>
      </c>
      <c r="P478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623"/>
      <c r="R478" s="623"/>
      <c r="S478" s="623"/>
      <c r="T478" s="624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30"/>
      <c r="P479" s="626" t="s">
        <v>40</v>
      </c>
      <c r="Q479" s="627"/>
      <c r="R479" s="627"/>
      <c r="S479" s="627"/>
      <c r="T479" s="627"/>
      <c r="U479" s="627"/>
      <c r="V479" s="628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0"/>
      <c r="P480" s="626" t="s">
        <v>40</v>
      </c>
      <c r="Q480" s="627"/>
      <c r="R480" s="627"/>
      <c r="S480" s="627"/>
      <c r="T480" s="627"/>
      <c r="U480" s="627"/>
      <c r="V480" s="628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19" t="s">
        <v>743</v>
      </c>
      <c r="B481" s="619"/>
      <c r="C481" s="619"/>
      <c r="D481" s="619"/>
      <c r="E481" s="619"/>
      <c r="F481" s="619"/>
      <c r="G481" s="619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  <c r="AA481" s="65"/>
      <c r="AB481" s="65"/>
      <c r="AC481" s="79"/>
    </row>
    <row r="482" spans="1:68" ht="14.25" customHeight="1" x14ac:dyDescent="0.25">
      <c r="A482" s="620" t="s">
        <v>146</v>
      </c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6"/>
      <c r="AB482" s="66"/>
      <c r="AC482" s="80"/>
    </row>
    <row r="483" spans="1:68" ht="27" customHeight="1" x14ac:dyDescent="0.25">
      <c r="A483" s="63" t="s">
        <v>744</v>
      </c>
      <c r="B483" s="63" t="s">
        <v>745</v>
      </c>
      <c r="C483" s="36">
        <v>4301020314</v>
      </c>
      <c r="D483" s="621">
        <v>4640242180090</v>
      </c>
      <c r="E483" s="621"/>
      <c r="F483" s="62">
        <v>1.5</v>
      </c>
      <c r="G483" s="37">
        <v>8</v>
      </c>
      <c r="H483" s="62">
        <v>12</v>
      </c>
      <c r="I483" s="62">
        <v>12.41</v>
      </c>
      <c r="J483" s="37">
        <v>64</v>
      </c>
      <c r="K483" s="37" t="s">
        <v>115</v>
      </c>
      <c r="L483" s="37" t="s">
        <v>45</v>
      </c>
      <c r="M483" s="38" t="s">
        <v>114</v>
      </c>
      <c r="N483" s="38"/>
      <c r="O483" s="37">
        <v>50</v>
      </c>
      <c r="P483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623"/>
      <c r="R483" s="623"/>
      <c r="S483" s="623"/>
      <c r="T483" s="624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48" t="s">
        <v>746</v>
      </c>
      <c r="AG483" s="78"/>
      <c r="AJ483" s="84" t="s">
        <v>45</v>
      </c>
      <c r="AK483" s="84">
        <v>0</v>
      </c>
      <c r="BB483" s="549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30"/>
      <c r="P484" s="626" t="s">
        <v>40</v>
      </c>
      <c r="Q484" s="627"/>
      <c r="R484" s="627"/>
      <c r="S484" s="627"/>
      <c r="T484" s="627"/>
      <c r="U484" s="627"/>
      <c r="V484" s="628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30"/>
      <c r="P485" s="626" t="s">
        <v>40</v>
      </c>
      <c r="Q485" s="627"/>
      <c r="R485" s="627"/>
      <c r="S485" s="627"/>
      <c r="T485" s="627"/>
      <c r="U485" s="627"/>
      <c r="V485" s="628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5" customHeight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864"/>
      <c r="P486" s="861" t="s">
        <v>33</v>
      </c>
      <c r="Q486" s="862"/>
      <c r="R486" s="862"/>
      <c r="S486" s="862"/>
      <c r="T486" s="862"/>
      <c r="U486" s="862"/>
      <c r="V486" s="863"/>
      <c r="W486" s="42" t="s">
        <v>0</v>
      </c>
      <c r="X486" s="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0</v>
      </c>
      <c r="Y486" s="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0</v>
      </c>
      <c r="Z486" s="42"/>
      <c r="AA486" s="67"/>
      <c r="AB486" s="67"/>
      <c r="AC486" s="67"/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864"/>
      <c r="P487" s="861" t="s">
        <v>34</v>
      </c>
      <c r="Q487" s="862"/>
      <c r="R487" s="862"/>
      <c r="S487" s="862"/>
      <c r="T487" s="862"/>
      <c r="U487" s="862"/>
      <c r="V487" s="863"/>
      <c r="W487" s="42" t="s">
        <v>0</v>
      </c>
      <c r="X487" s="43">
        <f>IFERROR(SUM(BM22:BM483),"0")</f>
        <v>0</v>
      </c>
      <c r="Y487" s="43">
        <f>IFERROR(SUM(BN22:BN483),"0")</f>
        <v>0</v>
      </c>
      <c r="Z487" s="42"/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4"/>
      <c r="P488" s="861" t="s">
        <v>35</v>
      </c>
      <c r="Q488" s="862"/>
      <c r="R488" s="862"/>
      <c r="S488" s="862"/>
      <c r="T488" s="862"/>
      <c r="U488" s="862"/>
      <c r="V488" s="863"/>
      <c r="W488" s="42" t="s">
        <v>20</v>
      </c>
      <c r="X488" s="44">
        <f>ROUNDUP(SUM(BO22:BO483),0)</f>
        <v>0</v>
      </c>
      <c r="Y488" s="44">
        <f>ROUNDUP(SUM(BP22:BP483),0)</f>
        <v>0</v>
      </c>
      <c r="Z488" s="42"/>
      <c r="AA488" s="67"/>
      <c r="AB488" s="67"/>
      <c r="AC488" s="67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4"/>
      <c r="P489" s="861" t="s">
        <v>36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GrossWeightTotal+PalletQtyTotal*25</f>
        <v>0</v>
      </c>
      <c r="Y489" s="43">
        <f>GrossWeightTotalR+PalletQtyTotalR*25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4"/>
      <c r="P490" s="861" t="s">
        <v>37</v>
      </c>
      <c r="Q490" s="862"/>
      <c r="R490" s="862"/>
      <c r="S490" s="862"/>
      <c r="T490" s="862"/>
      <c r="U490" s="862"/>
      <c r="V490" s="863"/>
      <c r="W490" s="42" t="s">
        <v>20</v>
      </c>
      <c r="X490" s="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0</v>
      </c>
      <c r="Y490" s="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0</v>
      </c>
      <c r="Z490" s="42"/>
      <c r="AA490" s="67"/>
      <c r="AB490" s="67"/>
      <c r="AC490" s="67"/>
    </row>
    <row r="491" spans="1:68" ht="14.25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4"/>
      <c r="P491" s="861" t="s">
        <v>38</v>
      </c>
      <c r="Q491" s="862"/>
      <c r="R491" s="862"/>
      <c r="S491" s="862"/>
      <c r="T491" s="862"/>
      <c r="U491" s="862"/>
      <c r="V491" s="863"/>
      <c r="W491" s="45" t="s">
        <v>51</v>
      </c>
      <c r="X491" s="42"/>
      <c r="Y491" s="42"/>
      <c r="Z491" s="42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0</v>
      </c>
      <c r="AA491" s="67"/>
      <c r="AB491" s="67"/>
      <c r="AC491" s="67"/>
    </row>
    <row r="492" spans="1:68" ht="13.5" thickBot="1" x14ac:dyDescent="0.25"/>
    <row r="493" spans="1:68" ht="27" thickTop="1" thickBot="1" x14ac:dyDescent="0.25">
      <c r="A493" s="46" t="s">
        <v>9</v>
      </c>
      <c r="B493" s="85" t="s">
        <v>77</v>
      </c>
      <c r="C493" s="867" t="s">
        <v>108</v>
      </c>
      <c r="D493" s="867" t="s">
        <v>108</v>
      </c>
      <c r="E493" s="867" t="s">
        <v>108</v>
      </c>
      <c r="F493" s="867" t="s">
        <v>108</v>
      </c>
      <c r="G493" s="867" t="s">
        <v>108</v>
      </c>
      <c r="H493" s="867" t="s">
        <v>108</v>
      </c>
      <c r="I493" s="867" t="s">
        <v>271</v>
      </c>
      <c r="J493" s="867" t="s">
        <v>271</v>
      </c>
      <c r="K493" s="867" t="s">
        <v>271</v>
      </c>
      <c r="L493" s="867" t="s">
        <v>271</v>
      </c>
      <c r="M493" s="867" t="s">
        <v>271</v>
      </c>
      <c r="N493" s="868"/>
      <c r="O493" s="867" t="s">
        <v>271</v>
      </c>
      <c r="P493" s="867" t="s">
        <v>271</v>
      </c>
      <c r="Q493" s="867" t="s">
        <v>271</v>
      </c>
      <c r="R493" s="867" t="s">
        <v>271</v>
      </c>
      <c r="S493" s="867" t="s">
        <v>558</v>
      </c>
      <c r="T493" s="867" t="s">
        <v>558</v>
      </c>
      <c r="U493" s="867" t="s">
        <v>611</v>
      </c>
      <c r="V493" s="867" t="s">
        <v>611</v>
      </c>
      <c r="W493" s="867" t="s">
        <v>611</v>
      </c>
      <c r="X493" s="85" t="s">
        <v>662</v>
      </c>
      <c r="Y493" s="867" t="s">
        <v>713</v>
      </c>
      <c r="Z493" s="867" t="s">
        <v>713</v>
      </c>
      <c r="AB493" s="60"/>
      <c r="AC493" s="60"/>
      <c r="AF493" s="1"/>
    </row>
    <row r="494" spans="1:68" ht="14.25" customHeight="1" thickTop="1" x14ac:dyDescent="0.2">
      <c r="A494" s="865" t="s">
        <v>10</v>
      </c>
      <c r="B494" s="867" t="s">
        <v>77</v>
      </c>
      <c r="C494" s="867" t="s">
        <v>109</v>
      </c>
      <c r="D494" s="867" t="s">
        <v>127</v>
      </c>
      <c r="E494" s="867" t="s">
        <v>175</v>
      </c>
      <c r="F494" s="867" t="s">
        <v>198</v>
      </c>
      <c r="G494" s="867" t="s">
        <v>235</v>
      </c>
      <c r="H494" s="867" t="s">
        <v>108</v>
      </c>
      <c r="I494" s="867" t="s">
        <v>272</v>
      </c>
      <c r="J494" s="867" t="s">
        <v>327</v>
      </c>
      <c r="K494" s="867" t="s">
        <v>387</v>
      </c>
      <c r="L494" s="867" t="s">
        <v>428</v>
      </c>
      <c r="M494" s="867" t="s">
        <v>444</v>
      </c>
      <c r="N494" s="1"/>
      <c r="O494" s="867" t="s">
        <v>455</v>
      </c>
      <c r="P494" s="867" t="s">
        <v>464</v>
      </c>
      <c r="Q494" s="867" t="s">
        <v>477</v>
      </c>
      <c r="R494" s="867" t="s">
        <v>548</v>
      </c>
      <c r="S494" s="867" t="s">
        <v>559</v>
      </c>
      <c r="T494" s="867" t="s">
        <v>595</v>
      </c>
      <c r="U494" s="867" t="s">
        <v>612</v>
      </c>
      <c r="V494" s="867" t="s">
        <v>643</v>
      </c>
      <c r="W494" s="867" t="s">
        <v>658</v>
      </c>
      <c r="X494" s="867" t="s">
        <v>662</v>
      </c>
      <c r="Y494" s="867" t="s">
        <v>713</v>
      </c>
      <c r="Z494" s="867" t="s">
        <v>743</v>
      </c>
      <c r="AB494" s="60"/>
      <c r="AC494" s="60"/>
      <c r="AF494" s="1"/>
    </row>
    <row r="495" spans="1:68" ht="13.5" thickBot="1" x14ac:dyDescent="0.25">
      <c r="A495" s="866"/>
      <c r="B495" s="867"/>
      <c r="C495" s="867"/>
      <c r="D495" s="867"/>
      <c r="E495" s="867"/>
      <c r="F495" s="867"/>
      <c r="G495" s="867"/>
      <c r="H495" s="867"/>
      <c r="I495" s="867"/>
      <c r="J495" s="867"/>
      <c r="K495" s="867"/>
      <c r="L495" s="867"/>
      <c r="M495" s="867"/>
      <c r="N495" s="1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B495" s="60"/>
      <c r="AC495" s="60"/>
      <c r="AF495" s="1"/>
    </row>
    <row r="496" spans="1:68" ht="18" thickTop="1" thickBot="1" x14ac:dyDescent="0.25">
      <c r="A496" s="46" t="s">
        <v>13</v>
      </c>
      <c r="B496" s="52">
        <f>IFERROR(Y22*1,"0")+IFERROR(Y23*1,"0")+IFERROR(Y27*1,"0")+IFERROR(Y28*1,"0")+IFERROR(Y29*1,"0")+IFERROR(Y30*1,"0")+IFERROR(Y34*1,"0")</f>
        <v>0</v>
      </c>
      <c r="C496" s="52">
        <f>IFERROR(Y40*1,"0")+IFERROR(Y41*1,"0")+IFERROR(Y42*1,"0")+IFERROR(Y46*1,"0")</f>
        <v>0</v>
      </c>
      <c r="D496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6" s="52">
        <f>IFERROR(Y83*1,"0")+IFERROR(Y84*1,"0")+IFERROR(Y85*1,"0")+IFERROR(Y86*1,"0")+IFERROR(Y90*1,"0")+IFERROR(Y91*1,"0")+IFERROR(Y92*1,"0")+IFERROR(Y93*1,"0")</f>
        <v>0</v>
      </c>
      <c r="F496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6" s="52">
        <f>IFERROR(Y125*1,"0")+IFERROR(Y126*1,"0")+IFERROR(Y130*1,"0")+IFERROR(Y131*1,"0")+IFERROR(Y135*1,"0")+IFERROR(Y136*1,"0")</f>
        <v>0</v>
      </c>
      <c r="H496" s="52">
        <f>IFERROR(Y141*1,"0")+IFERROR(Y142*1,"0")+IFERROR(Y146*1,"0")+IFERROR(Y147*1,"0")+IFERROR(Y148*1,"0")+IFERROR(Y149*1,"0")+IFERROR(Y150*1,"0")+IFERROR(Y154*1,"0")</f>
        <v>0</v>
      </c>
      <c r="I496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6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6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6" s="52">
        <f>IFERROR(Y260*1,"0")+IFERROR(Y261*1,"0")+IFERROR(Y262*1,"0")+IFERROR(Y263*1,"0")+IFERROR(Y264*1,"0")</f>
        <v>0</v>
      </c>
      <c r="M496" s="52">
        <f>IFERROR(Y269*1,"0")+IFERROR(Y270*1,"0")+IFERROR(Y271*1,"0")+IFERROR(Y272*1,"0")</f>
        <v>0</v>
      </c>
      <c r="N496" s="1"/>
      <c r="O496" s="52">
        <f>IFERROR(Y277*1,"0")+IFERROR(Y278*1,"0")+IFERROR(Y279*1,"0")</f>
        <v>0</v>
      </c>
      <c r="P496" s="52">
        <f>IFERROR(Y284*1,"0")+IFERROR(Y285*1,"0")+IFERROR(Y289*1,"0")+IFERROR(Y290*1,"0")</f>
        <v>0</v>
      </c>
      <c r="Q496" s="52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496" s="52">
        <f>IFERROR(Y339*1,"0")+IFERROR(Y340*1,"0")+IFERROR(Y341*1,"0")</f>
        <v>0</v>
      </c>
      <c r="S496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496" s="52">
        <f>IFERROR(Y372*1,"0")+IFERROR(Y373*1,"0")+IFERROR(Y377*1,"0")+IFERROR(Y381*1,"0")+IFERROR(Y382*1,"0")+IFERROR(Y383*1,"0")</f>
        <v>0</v>
      </c>
      <c r="U496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496" s="52">
        <f>IFERROR(Y407*1,"0")+IFERROR(Y411*1,"0")+IFERROR(Y412*1,"0")+IFERROR(Y413*1,"0")+IFERROR(Y414*1,"0")</f>
        <v>0</v>
      </c>
      <c r="W496" s="52">
        <f>IFERROR(Y419*1,"0")</f>
        <v>0</v>
      </c>
      <c r="X496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0</v>
      </c>
      <c r="Y496" s="52">
        <f>IFERROR(Y457*1,"0")+IFERROR(Y458*1,"0")+IFERROR(Y459*1,"0")+IFERROR(Y460*1,"0")+IFERROR(Y464*1,"0")+IFERROR(Y465*1,"0")+IFERROR(Y469*1,"0")+IFERROR(Y473*1,"0")+IFERROR(Y477*1,"0")+IFERROR(Y478*1,"0")</f>
        <v>0</v>
      </c>
      <c r="Z496" s="52">
        <f>IFERROR(Y483*1,"0")</f>
        <v>0</v>
      </c>
      <c r="AB496" s="60"/>
      <c r="AC496" s="60"/>
      <c r="AF496" s="1"/>
    </row>
  </sheetData>
  <sheetProtection algorithmName="SHA-512" hashValue="dMI7ptzdVYXu9HT7dY0rZIXFdO9uk+4flzKYMONkbDwAYb4YoQe99CZHSBHJp+Wwu0CAzDk/pZ0vRDlJsAjODQ==" saltValue="mYcBCTQeRd+kC6qqgBqnY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0">
    <mergeCell ref="U494:U495"/>
    <mergeCell ref="V494:V495"/>
    <mergeCell ref="W494:W495"/>
    <mergeCell ref="X494:X495"/>
    <mergeCell ref="Y494:Y495"/>
    <mergeCell ref="Z494:Z495"/>
    <mergeCell ref="C493:H493"/>
    <mergeCell ref="I493:R493"/>
    <mergeCell ref="S493:T493"/>
    <mergeCell ref="U493:W493"/>
    <mergeCell ref="Y493:Z493"/>
    <mergeCell ref="J494:J495"/>
    <mergeCell ref="K494:K495"/>
    <mergeCell ref="L494:L495"/>
    <mergeCell ref="M494:M495"/>
    <mergeCell ref="O494:O495"/>
    <mergeCell ref="P494:P495"/>
    <mergeCell ref="Q494:Q495"/>
    <mergeCell ref="R494:R495"/>
    <mergeCell ref="S494:S495"/>
    <mergeCell ref="T494:T495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A481:Z481"/>
    <mergeCell ref="A482:Z482"/>
    <mergeCell ref="D483:E483"/>
    <mergeCell ref="P483:T483"/>
    <mergeCell ref="P484:V484"/>
    <mergeCell ref="A484:O485"/>
    <mergeCell ref="P485:V485"/>
    <mergeCell ref="P486:V486"/>
    <mergeCell ref="A486:O491"/>
    <mergeCell ref="P487:V487"/>
    <mergeCell ref="P488:V488"/>
    <mergeCell ref="P489:V489"/>
    <mergeCell ref="P490:V490"/>
    <mergeCell ref="P491:V491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15:V415"/>
    <mergeCell ref="A415:O416"/>
    <mergeCell ref="P416:V416"/>
    <mergeCell ref="A417:Z417"/>
    <mergeCell ref="A418:Z418"/>
    <mergeCell ref="D419:E419"/>
    <mergeCell ref="P419:T419"/>
    <mergeCell ref="P420:V420"/>
    <mergeCell ref="A420:O421"/>
    <mergeCell ref="P421:V421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A386:Z386"/>
    <mergeCell ref="A387:Z387"/>
    <mergeCell ref="A388:Z388"/>
    <mergeCell ref="D389:E389"/>
    <mergeCell ref="P389:T389"/>
    <mergeCell ref="D390:E390"/>
    <mergeCell ref="P390:T390"/>
    <mergeCell ref="D391:E391"/>
    <mergeCell ref="P391:T391"/>
    <mergeCell ref="A380:Z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P378:V378"/>
    <mergeCell ref="A378:O379"/>
    <mergeCell ref="P379:V379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3 X459 X446:X448 X442 X440 X431 X428:X429 X425 X391 X381:X382 X372 X357 X350 X347:X348 X340:X341 X327:X328 X320 X312 X304 X278:X279 X262 X260 X238 X218:X221 X213:X216 X209 X202:X207 X193 X175 X168 X166 X130 X125:X126 X115 X113 X106 X100:X101 X98 X92:X93 X90 X85:X86 X83 X77 X60 X56 X54 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9m/xUfjXzEk9hGgOkmn+oe4wcoucBLLv1lq//uvA65nZhXjBSIES1W2HCa99nyVVk7YhdIaD1pAWneyHXRYwRg==" saltValue="k/1xD0zBjY3RTfvyet8F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