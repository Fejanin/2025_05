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C479682-A6D8-4020-A028-80800882DAD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88" i="2" l="1"/>
  <c r="X488" i="2"/>
  <c r="X487" i="2"/>
  <c r="BO486" i="2"/>
  <c r="BM486" i="2"/>
  <c r="Y486" i="2"/>
  <c r="Z499" i="2" s="1"/>
  <c r="P486" i="2"/>
  <c r="X483" i="2"/>
  <c r="Y482" i="2"/>
  <c r="X482" i="2"/>
  <c r="BP481" i="2"/>
  <c r="BO481" i="2"/>
  <c r="BM481" i="2"/>
  <c r="Y481" i="2"/>
  <c r="BN481" i="2" s="1"/>
  <c r="P481" i="2"/>
  <c r="BO480" i="2"/>
  <c r="BM480" i="2"/>
  <c r="Z480" i="2"/>
  <c r="Y480" i="2"/>
  <c r="BN480" i="2" s="1"/>
  <c r="P480" i="2"/>
  <c r="X478" i="2"/>
  <c r="X477" i="2"/>
  <c r="BO476" i="2"/>
  <c r="BM476" i="2"/>
  <c r="Y476" i="2"/>
  <c r="Y477" i="2" s="1"/>
  <c r="P476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X469" i="2"/>
  <c r="X468" i="2"/>
  <c r="BP467" i="2"/>
  <c r="BO467" i="2"/>
  <c r="BM467" i="2"/>
  <c r="Y467" i="2"/>
  <c r="P467" i="2"/>
  <c r="BO466" i="2"/>
  <c r="BM466" i="2"/>
  <c r="Y466" i="2"/>
  <c r="P466" i="2"/>
  <c r="BO465" i="2"/>
  <c r="BM465" i="2"/>
  <c r="Z465" i="2"/>
  <c r="Y465" i="2"/>
  <c r="P465" i="2"/>
  <c r="X463" i="2"/>
  <c r="X462" i="2"/>
  <c r="BO461" i="2"/>
  <c r="BM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P459" i="2"/>
  <c r="BP458" i="2"/>
  <c r="BO458" i="2"/>
  <c r="BN458" i="2"/>
  <c r="BM458" i="2"/>
  <c r="Z458" i="2"/>
  <c r="Y458" i="2"/>
  <c r="P458" i="2"/>
  <c r="X454" i="2"/>
  <c r="X453" i="2"/>
  <c r="BO452" i="2"/>
  <c r="BM452" i="2"/>
  <c r="Z452" i="2"/>
  <c r="Y452" i="2"/>
  <c r="BN452" i="2" s="1"/>
  <c r="P452" i="2"/>
  <c r="BO451" i="2"/>
  <c r="BM451" i="2"/>
  <c r="Y451" i="2"/>
  <c r="BP451" i="2" s="1"/>
  <c r="P451" i="2"/>
  <c r="BP450" i="2"/>
  <c r="BO450" i="2"/>
  <c r="BN450" i="2"/>
  <c r="BM450" i="2"/>
  <c r="Z450" i="2"/>
  <c r="Y450" i="2"/>
  <c r="Y454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P443" i="2"/>
  <c r="BO442" i="2"/>
  <c r="BM442" i="2"/>
  <c r="Z442" i="2"/>
  <c r="Y442" i="2"/>
  <c r="BN442" i="2" s="1"/>
  <c r="P442" i="2"/>
  <c r="BO441" i="2"/>
  <c r="BM441" i="2"/>
  <c r="Y441" i="2"/>
  <c r="Y448" i="2" s="1"/>
  <c r="P441" i="2"/>
  <c r="X439" i="2"/>
  <c r="X438" i="2"/>
  <c r="BO437" i="2"/>
  <c r="BM437" i="2"/>
  <c r="Y437" i="2"/>
  <c r="BP437" i="2" s="1"/>
  <c r="P437" i="2"/>
  <c r="BO436" i="2"/>
  <c r="BM436" i="2"/>
  <c r="Y436" i="2"/>
  <c r="BP436" i="2" s="1"/>
  <c r="P436" i="2"/>
  <c r="BP435" i="2"/>
  <c r="BO435" i="2"/>
  <c r="BN435" i="2"/>
  <c r="BM435" i="2"/>
  <c r="Z435" i="2"/>
  <c r="Y435" i="2"/>
  <c r="P435" i="2"/>
  <c r="X433" i="2"/>
  <c r="X432" i="2"/>
  <c r="BO431" i="2"/>
  <c r="BM431" i="2"/>
  <c r="Z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P425" i="2"/>
  <c r="BO425" i="2"/>
  <c r="BN425" i="2"/>
  <c r="BM425" i="2"/>
  <c r="Z425" i="2"/>
  <c r="Y425" i="2"/>
  <c r="P425" i="2"/>
  <c r="BO424" i="2"/>
  <c r="BM424" i="2"/>
  <c r="Y424" i="2"/>
  <c r="BP424" i="2" s="1"/>
  <c r="P424" i="2"/>
  <c r="BO423" i="2"/>
  <c r="BM423" i="2"/>
  <c r="Y423" i="2"/>
  <c r="Y433" i="2" s="1"/>
  <c r="P423" i="2"/>
  <c r="BP422" i="2"/>
  <c r="BO422" i="2"/>
  <c r="BM422" i="2"/>
  <c r="Y422" i="2"/>
  <c r="P422" i="2"/>
  <c r="BO421" i="2"/>
  <c r="BM421" i="2"/>
  <c r="Y421" i="2"/>
  <c r="P421" i="2"/>
  <c r="X417" i="2"/>
  <c r="X416" i="2"/>
  <c r="BO415" i="2"/>
  <c r="BM415" i="2"/>
  <c r="Y415" i="2"/>
  <c r="BP415" i="2" s="1"/>
  <c r="P415" i="2"/>
  <c r="X412" i="2"/>
  <c r="X411" i="2"/>
  <c r="BP410" i="2"/>
  <c r="BO410" i="2"/>
  <c r="BM410" i="2"/>
  <c r="Y410" i="2"/>
  <c r="P410" i="2"/>
  <c r="BO409" i="2"/>
  <c r="BM409" i="2"/>
  <c r="Y409" i="2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V499" i="2" s="1"/>
  <c r="P403" i="2"/>
  <c r="X400" i="2"/>
  <c r="X399" i="2"/>
  <c r="BO398" i="2"/>
  <c r="BM398" i="2"/>
  <c r="Y398" i="2"/>
  <c r="BP398" i="2" s="1"/>
  <c r="P398" i="2"/>
  <c r="BO397" i="2"/>
  <c r="BM397" i="2"/>
  <c r="Y397" i="2"/>
  <c r="Y399" i="2" s="1"/>
  <c r="P397" i="2"/>
  <c r="X395" i="2"/>
  <c r="X394" i="2"/>
  <c r="BO393" i="2"/>
  <c r="BM393" i="2"/>
  <c r="Z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Z386" i="2"/>
  <c r="Y386" i="2"/>
  <c r="BN386" i="2" s="1"/>
  <c r="P386" i="2"/>
  <c r="BO385" i="2"/>
  <c r="BM385" i="2"/>
  <c r="Y385" i="2"/>
  <c r="Y394" i="2" s="1"/>
  <c r="P385" i="2"/>
  <c r="X381" i="2"/>
  <c r="X380" i="2"/>
  <c r="BO379" i="2"/>
  <c r="BM379" i="2"/>
  <c r="Y379" i="2"/>
  <c r="BP379" i="2" s="1"/>
  <c r="BO378" i="2"/>
  <c r="BM378" i="2"/>
  <c r="Y378" i="2"/>
  <c r="BP378" i="2" s="1"/>
  <c r="P378" i="2"/>
  <c r="BO377" i="2"/>
  <c r="BM377" i="2"/>
  <c r="Y377" i="2"/>
  <c r="P377" i="2"/>
  <c r="X375" i="2"/>
  <c r="X374" i="2"/>
  <c r="BO373" i="2"/>
  <c r="BM373" i="2"/>
  <c r="Y373" i="2"/>
  <c r="Y375" i="2" s="1"/>
  <c r="P373" i="2"/>
  <c r="BP372" i="2"/>
  <c r="BO372" i="2"/>
  <c r="BN372" i="2"/>
  <c r="BM372" i="2"/>
  <c r="Z372" i="2"/>
  <c r="Y372" i="2"/>
  <c r="P372" i="2"/>
  <c r="X370" i="2"/>
  <c r="X369" i="2"/>
  <c r="BO368" i="2"/>
  <c r="BM368" i="2"/>
  <c r="Y368" i="2"/>
  <c r="P368" i="2"/>
  <c r="BO367" i="2"/>
  <c r="BM367" i="2"/>
  <c r="Y367" i="2"/>
  <c r="P367" i="2"/>
  <c r="X364" i="2"/>
  <c r="X363" i="2"/>
  <c r="BO362" i="2"/>
  <c r="BM362" i="2"/>
  <c r="Y362" i="2"/>
  <c r="Y364" i="2" s="1"/>
  <c r="P362" i="2"/>
  <c r="X360" i="2"/>
  <c r="X359" i="2"/>
  <c r="BO358" i="2"/>
  <c r="BM358" i="2"/>
  <c r="Y358" i="2"/>
  <c r="BP358" i="2" s="1"/>
  <c r="P358" i="2"/>
  <c r="BO357" i="2"/>
  <c r="BM357" i="2"/>
  <c r="Y357" i="2"/>
  <c r="Y359" i="2" s="1"/>
  <c r="P357" i="2"/>
  <c r="X355" i="2"/>
  <c r="X354" i="2"/>
  <c r="BO353" i="2"/>
  <c r="BM353" i="2"/>
  <c r="Z353" i="2"/>
  <c r="Y353" i="2"/>
  <c r="BP353" i="2" s="1"/>
  <c r="P353" i="2"/>
  <c r="BO352" i="2"/>
  <c r="BM352" i="2"/>
  <c r="Y352" i="2"/>
  <c r="Y354" i="2" s="1"/>
  <c r="P352" i="2"/>
  <c r="X350" i="2"/>
  <c r="X349" i="2"/>
  <c r="BO348" i="2"/>
  <c r="BM348" i="2"/>
  <c r="Y348" i="2"/>
  <c r="P348" i="2"/>
  <c r="BO347" i="2"/>
  <c r="BM347" i="2"/>
  <c r="Y347" i="2"/>
  <c r="P347" i="2"/>
  <c r="BP346" i="2"/>
  <c r="BO346" i="2"/>
  <c r="BN346" i="2"/>
  <c r="BM346" i="2"/>
  <c r="Z346" i="2"/>
  <c r="Y346" i="2"/>
  <c r="P346" i="2"/>
  <c r="BO345" i="2"/>
  <c r="BM345" i="2"/>
  <c r="Z345" i="2"/>
  <c r="Y345" i="2"/>
  <c r="BN345" i="2" s="1"/>
  <c r="P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Y350" i="2" s="1"/>
  <c r="P342" i="2"/>
  <c r="X338" i="2"/>
  <c r="X337" i="2"/>
  <c r="BP336" i="2"/>
  <c r="BO336" i="2"/>
  <c r="BN336" i="2"/>
  <c r="BM336" i="2"/>
  <c r="Z336" i="2"/>
  <c r="Y336" i="2"/>
  <c r="P336" i="2"/>
  <c r="BO335" i="2"/>
  <c r="BM335" i="2"/>
  <c r="Z335" i="2"/>
  <c r="Y335" i="2"/>
  <c r="P335" i="2"/>
  <c r="BO334" i="2"/>
  <c r="BM334" i="2"/>
  <c r="Y334" i="2"/>
  <c r="P334" i="2"/>
  <c r="Y331" i="2"/>
  <c r="X331" i="2"/>
  <c r="X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X325" i="2"/>
  <c r="X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Z321" i="2"/>
  <c r="Y321" i="2"/>
  <c r="BN321" i="2" s="1"/>
  <c r="P321" i="2"/>
  <c r="BO320" i="2"/>
  <c r="BM320" i="2"/>
  <c r="Y320" i="2"/>
  <c r="P320" i="2"/>
  <c r="X318" i="2"/>
  <c r="X317" i="2"/>
  <c r="BO316" i="2"/>
  <c r="BM316" i="2"/>
  <c r="Y316" i="2"/>
  <c r="BP316" i="2" s="1"/>
  <c r="P316" i="2"/>
  <c r="BO315" i="2"/>
  <c r="BM315" i="2"/>
  <c r="Y315" i="2"/>
  <c r="BP315" i="2" s="1"/>
  <c r="P315" i="2"/>
  <c r="BP314" i="2"/>
  <c r="BO314" i="2"/>
  <c r="BN314" i="2"/>
  <c r="BM314" i="2"/>
  <c r="Z314" i="2"/>
  <c r="Y314" i="2"/>
  <c r="P314" i="2"/>
  <c r="X312" i="2"/>
  <c r="X311" i="2"/>
  <c r="BO310" i="2"/>
  <c r="BM310" i="2"/>
  <c r="Z310" i="2"/>
  <c r="Y310" i="2"/>
  <c r="BN310" i="2" s="1"/>
  <c r="P310" i="2"/>
  <c r="BO309" i="2"/>
  <c r="BM309" i="2"/>
  <c r="Y309" i="2"/>
  <c r="Z309" i="2" s="1"/>
  <c r="P309" i="2"/>
  <c r="BO308" i="2"/>
  <c r="BM308" i="2"/>
  <c r="Y308" i="2"/>
  <c r="P308" i="2"/>
  <c r="BO307" i="2"/>
  <c r="BM307" i="2"/>
  <c r="Y307" i="2"/>
  <c r="Y312" i="2" s="1"/>
  <c r="P307" i="2"/>
  <c r="X305" i="2"/>
  <c r="X304" i="2"/>
  <c r="BP303" i="2"/>
  <c r="BO303" i="2"/>
  <c r="BN303" i="2"/>
  <c r="BM303" i="2"/>
  <c r="Z303" i="2"/>
  <c r="Y303" i="2"/>
  <c r="P303" i="2"/>
  <c r="BO302" i="2"/>
  <c r="BM302" i="2"/>
  <c r="Z302" i="2"/>
  <c r="Y302" i="2"/>
  <c r="BN302" i="2" s="1"/>
  <c r="P302" i="2"/>
  <c r="BO301" i="2"/>
  <c r="BN301" i="2"/>
  <c r="BM301" i="2"/>
  <c r="Z301" i="2"/>
  <c r="Y301" i="2"/>
  <c r="BP301" i="2" s="1"/>
  <c r="P301" i="2"/>
  <c r="BO300" i="2"/>
  <c r="BM300" i="2"/>
  <c r="Z300" i="2"/>
  <c r="Y300" i="2"/>
  <c r="BN300" i="2" s="1"/>
  <c r="P300" i="2"/>
  <c r="BO299" i="2"/>
  <c r="BM299" i="2"/>
  <c r="Y299" i="2"/>
  <c r="Z299" i="2" s="1"/>
  <c r="P299" i="2"/>
  <c r="BO298" i="2"/>
  <c r="BM298" i="2"/>
  <c r="Y298" i="2"/>
  <c r="P298" i="2"/>
  <c r="BO297" i="2"/>
  <c r="BM297" i="2"/>
  <c r="Y297" i="2"/>
  <c r="Y305" i="2" s="1"/>
  <c r="P297" i="2"/>
  <c r="X295" i="2"/>
  <c r="X294" i="2"/>
  <c r="BP293" i="2"/>
  <c r="BO293" i="2"/>
  <c r="BM293" i="2"/>
  <c r="Y293" i="2"/>
  <c r="P293" i="2"/>
  <c r="BO292" i="2"/>
  <c r="BM292" i="2"/>
  <c r="Y292" i="2"/>
  <c r="P292" i="2"/>
  <c r="BO291" i="2"/>
  <c r="BM291" i="2"/>
  <c r="Y291" i="2"/>
  <c r="P291" i="2"/>
  <c r="BP290" i="2"/>
  <c r="BO290" i="2"/>
  <c r="BM290" i="2"/>
  <c r="Y290" i="2"/>
  <c r="P290" i="2"/>
  <c r="BO289" i="2"/>
  <c r="BM289" i="2"/>
  <c r="Y289" i="2"/>
  <c r="Z289" i="2" s="1"/>
  <c r="P289" i="2"/>
  <c r="X286" i="2"/>
  <c r="X285" i="2"/>
  <c r="BO284" i="2"/>
  <c r="BM284" i="2"/>
  <c r="Y284" i="2"/>
  <c r="BP284" i="2" s="1"/>
  <c r="P284" i="2"/>
  <c r="BP283" i="2"/>
  <c r="BO283" i="2"/>
  <c r="BM283" i="2"/>
  <c r="Y283" i="2"/>
  <c r="BN283" i="2" s="1"/>
  <c r="P283" i="2"/>
  <c r="X281" i="2"/>
  <c r="Y280" i="2"/>
  <c r="X280" i="2"/>
  <c r="BO279" i="2"/>
  <c r="BM279" i="2"/>
  <c r="Y279" i="2"/>
  <c r="P279" i="2"/>
  <c r="BO278" i="2"/>
  <c r="BM278" i="2"/>
  <c r="Z278" i="2"/>
  <c r="Y278" i="2"/>
  <c r="BN278" i="2" s="1"/>
  <c r="P278" i="2"/>
  <c r="X275" i="2"/>
  <c r="X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Y275" i="2" s="1"/>
  <c r="P271" i="2"/>
  <c r="X268" i="2"/>
  <c r="X267" i="2"/>
  <c r="BO266" i="2"/>
  <c r="BN266" i="2"/>
  <c r="BM266" i="2"/>
  <c r="Z266" i="2"/>
  <c r="Y266" i="2"/>
  <c r="BP266" i="2" s="1"/>
  <c r="P266" i="2"/>
  <c r="BO265" i="2"/>
  <c r="BM265" i="2"/>
  <c r="Z265" i="2"/>
  <c r="Y265" i="2"/>
  <c r="P265" i="2"/>
  <c r="BO264" i="2"/>
  <c r="BM264" i="2"/>
  <c r="Y264" i="2"/>
  <c r="Z264" i="2" s="1"/>
  <c r="P264" i="2"/>
  <c r="BO263" i="2"/>
  <c r="BM263" i="2"/>
  <c r="Y263" i="2"/>
  <c r="P263" i="2"/>
  <c r="X260" i="2"/>
  <c r="X259" i="2"/>
  <c r="BP258" i="2"/>
  <c r="BO258" i="2"/>
  <c r="BM258" i="2"/>
  <c r="Y258" i="2"/>
  <c r="BN258" i="2" s="1"/>
  <c r="P258" i="2"/>
  <c r="BO257" i="2"/>
  <c r="BM257" i="2"/>
  <c r="Z257" i="2"/>
  <c r="Y257" i="2"/>
  <c r="BN257" i="2" s="1"/>
  <c r="P257" i="2"/>
  <c r="BO256" i="2"/>
  <c r="BM256" i="2"/>
  <c r="Z256" i="2"/>
  <c r="Y256" i="2"/>
  <c r="P256" i="2"/>
  <c r="BO255" i="2"/>
  <c r="BN255" i="2"/>
  <c r="BM255" i="2"/>
  <c r="Z255" i="2"/>
  <c r="Y255" i="2"/>
  <c r="BP255" i="2" s="1"/>
  <c r="P255" i="2"/>
  <c r="BO254" i="2"/>
  <c r="BM254" i="2"/>
  <c r="Z254" i="2"/>
  <c r="Y254" i="2"/>
  <c r="BN254" i="2" s="1"/>
  <c r="P254" i="2"/>
  <c r="X251" i="2"/>
  <c r="X250" i="2"/>
  <c r="BO249" i="2"/>
  <c r="BM249" i="2"/>
  <c r="Y249" i="2"/>
  <c r="BP249" i="2" s="1"/>
  <c r="P249" i="2"/>
  <c r="BO248" i="2"/>
  <c r="BM248" i="2"/>
  <c r="Y248" i="2"/>
  <c r="BP248" i="2" s="1"/>
  <c r="P248" i="2"/>
  <c r="BP247" i="2"/>
  <c r="BO247" i="2"/>
  <c r="BM247" i="2"/>
  <c r="Y247" i="2"/>
  <c r="BN247" i="2" s="1"/>
  <c r="P247" i="2"/>
  <c r="BO246" i="2"/>
  <c r="BM246" i="2"/>
  <c r="Z246" i="2"/>
  <c r="Y246" i="2"/>
  <c r="BN246" i="2" s="1"/>
  <c r="P246" i="2"/>
  <c r="BO245" i="2"/>
  <c r="BM245" i="2"/>
  <c r="Z245" i="2"/>
  <c r="Y245" i="2"/>
  <c r="P245" i="2"/>
  <c r="X243" i="2"/>
  <c r="X242" i="2"/>
  <c r="BO241" i="2"/>
  <c r="BM241" i="2"/>
  <c r="Y241" i="2"/>
  <c r="Y243" i="2" s="1"/>
  <c r="P241" i="2"/>
  <c r="X239" i="2"/>
  <c r="X238" i="2"/>
  <c r="BO237" i="2"/>
  <c r="BM237" i="2"/>
  <c r="Y237" i="2"/>
  <c r="BP237" i="2" s="1"/>
  <c r="P237" i="2"/>
  <c r="X235" i="2"/>
  <c r="X234" i="2"/>
  <c r="BO233" i="2"/>
  <c r="BM233" i="2"/>
  <c r="Z233" i="2"/>
  <c r="Y233" i="2"/>
  <c r="BN233" i="2" s="1"/>
  <c r="P233" i="2"/>
  <c r="BO232" i="2"/>
  <c r="BN232" i="2"/>
  <c r="BM232" i="2"/>
  <c r="Z232" i="2"/>
  <c r="Y232" i="2"/>
  <c r="BP232" i="2" s="1"/>
  <c r="P232" i="2"/>
  <c r="BO231" i="2"/>
  <c r="BM231" i="2"/>
  <c r="Z231" i="2"/>
  <c r="Y231" i="2"/>
  <c r="BN231" i="2" s="1"/>
  <c r="P231" i="2"/>
  <c r="BO230" i="2"/>
  <c r="BM230" i="2"/>
  <c r="Y230" i="2"/>
  <c r="Z230" i="2" s="1"/>
  <c r="P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P225" i="2"/>
  <c r="BO225" i="2"/>
  <c r="BN225" i="2"/>
  <c r="BM225" i="2"/>
  <c r="Z225" i="2"/>
  <c r="Y225" i="2"/>
  <c r="P225" i="2"/>
  <c r="BO224" i="2"/>
  <c r="BM224" i="2"/>
  <c r="Y224" i="2"/>
  <c r="BP224" i="2" s="1"/>
  <c r="P224" i="2"/>
  <c r="X221" i="2"/>
  <c r="X220" i="2"/>
  <c r="BO219" i="2"/>
  <c r="BM219" i="2"/>
  <c r="Y219" i="2"/>
  <c r="Z219" i="2" s="1"/>
  <c r="P219" i="2"/>
  <c r="BO218" i="2"/>
  <c r="BM218" i="2"/>
  <c r="Z218" i="2"/>
  <c r="Y218" i="2"/>
  <c r="BP218" i="2" s="1"/>
  <c r="P218" i="2"/>
  <c r="X216" i="2"/>
  <c r="X215" i="2"/>
  <c r="BO214" i="2"/>
  <c r="BM214" i="2"/>
  <c r="Y214" i="2"/>
  <c r="P214" i="2"/>
  <c r="BO213" i="2"/>
  <c r="BM213" i="2"/>
  <c r="Y213" i="2"/>
  <c r="P213" i="2"/>
  <c r="BP212" i="2"/>
  <c r="BO212" i="2"/>
  <c r="BM212" i="2"/>
  <c r="Y212" i="2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Z209" i="2" s="1"/>
  <c r="P209" i="2"/>
  <c r="BO208" i="2"/>
  <c r="BM208" i="2"/>
  <c r="Z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X204" i="2"/>
  <c r="X203" i="2"/>
  <c r="BO202" i="2"/>
  <c r="BM202" i="2"/>
  <c r="Z202" i="2"/>
  <c r="Y202" i="2"/>
  <c r="BN202" i="2" s="1"/>
  <c r="P202" i="2"/>
  <c r="BO201" i="2"/>
  <c r="BN201" i="2"/>
  <c r="BM201" i="2"/>
  <c r="Z201" i="2"/>
  <c r="Y201" i="2"/>
  <c r="BP201" i="2" s="1"/>
  <c r="P201" i="2"/>
  <c r="BO200" i="2"/>
  <c r="BM200" i="2"/>
  <c r="Z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BO197" i="2"/>
  <c r="BM197" i="2"/>
  <c r="Y197" i="2"/>
  <c r="BP197" i="2" s="1"/>
  <c r="P197" i="2"/>
  <c r="BO196" i="2"/>
  <c r="BM196" i="2"/>
  <c r="Y196" i="2"/>
  <c r="BP196" i="2" s="1"/>
  <c r="P196" i="2"/>
  <c r="BO195" i="2"/>
  <c r="BM195" i="2"/>
  <c r="Y195" i="2"/>
  <c r="Y204" i="2" s="1"/>
  <c r="P195" i="2"/>
  <c r="Y193" i="2"/>
  <c r="X193" i="2"/>
  <c r="X192" i="2"/>
  <c r="BO191" i="2"/>
  <c r="BN191" i="2"/>
  <c r="BM191" i="2"/>
  <c r="Z191" i="2"/>
  <c r="Y191" i="2"/>
  <c r="BP191" i="2" s="1"/>
  <c r="P191" i="2"/>
  <c r="BO190" i="2"/>
  <c r="BM190" i="2"/>
  <c r="Z190" i="2"/>
  <c r="Z192" i="2" s="1"/>
  <c r="Y190" i="2"/>
  <c r="BN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P185" i="2"/>
  <c r="Y182" i="2"/>
  <c r="X182" i="2"/>
  <c r="X181" i="2"/>
  <c r="BO180" i="2"/>
  <c r="BM180" i="2"/>
  <c r="Y180" i="2"/>
  <c r="Y181" i="2" s="1"/>
  <c r="P180" i="2"/>
  <c r="X178" i="2"/>
  <c r="X177" i="2"/>
  <c r="BO176" i="2"/>
  <c r="BM176" i="2"/>
  <c r="Y176" i="2"/>
  <c r="Z176" i="2" s="1"/>
  <c r="P176" i="2"/>
  <c r="BO175" i="2"/>
  <c r="BM175" i="2"/>
  <c r="Y175" i="2"/>
  <c r="P175" i="2"/>
  <c r="BO174" i="2"/>
  <c r="BM174" i="2"/>
  <c r="Y174" i="2"/>
  <c r="Y178" i="2" s="1"/>
  <c r="P174" i="2"/>
  <c r="X172" i="2"/>
  <c r="X171" i="2"/>
  <c r="BP170" i="2"/>
  <c r="BO170" i="2"/>
  <c r="BM170" i="2"/>
  <c r="Y170" i="2"/>
  <c r="BN170" i="2" s="1"/>
  <c r="P170" i="2"/>
  <c r="BO169" i="2"/>
  <c r="BM169" i="2"/>
  <c r="Z169" i="2"/>
  <c r="Y169" i="2"/>
  <c r="BN169" i="2" s="1"/>
  <c r="P169" i="2"/>
  <c r="BO168" i="2"/>
  <c r="BN168" i="2"/>
  <c r="BM168" i="2"/>
  <c r="Z168" i="2"/>
  <c r="Y168" i="2"/>
  <c r="BP168" i="2" s="1"/>
  <c r="P168" i="2"/>
  <c r="BO167" i="2"/>
  <c r="BM167" i="2"/>
  <c r="Y167" i="2"/>
  <c r="P167" i="2"/>
  <c r="BO166" i="2"/>
  <c r="BM166" i="2"/>
  <c r="Y166" i="2"/>
  <c r="Z166" i="2" s="1"/>
  <c r="P166" i="2"/>
  <c r="BO165" i="2"/>
  <c r="BM165" i="2"/>
  <c r="Z165" i="2"/>
  <c r="Y165" i="2"/>
  <c r="BP165" i="2" s="1"/>
  <c r="BO164" i="2"/>
  <c r="BM164" i="2"/>
  <c r="Y164" i="2"/>
  <c r="BP164" i="2" s="1"/>
  <c r="P164" i="2"/>
  <c r="BO163" i="2"/>
  <c r="BM163" i="2"/>
  <c r="Z163" i="2"/>
  <c r="Y163" i="2"/>
  <c r="BN163" i="2" s="1"/>
  <c r="P163" i="2"/>
  <c r="BO162" i="2"/>
  <c r="BM162" i="2"/>
  <c r="Y162" i="2"/>
  <c r="Y171" i="2" s="1"/>
  <c r="P162" i="2"/>
  <c r="BP161" i="2"/>
  <c r="BO161" i="2"/>
  <c r="BN161" i="2"/>
  <c r="BM161" i="2"/>
  <c r="Z161" i="2"/>
  <c r="Y161" i="2"/>
  <c r="P161" i="2"/>
  <c r="X159" i="2"/>
  <c r="X158" i="2"/>
  <c r="BO157" i="2"/>
  <c r="BM157" i="2"/>
  <c r="Y157" i="2"/>
  <c r="Y158" i="2" s="1"/>
  <c r="P157" i="2"/>
  <c r="X153" i="2"/>
  <c r="X152" i="2"/>
  <c r="BO151" i="2"/>
  <c r="BM151" i="2"/>
  <c r="Y151" i="2"/>
  <c r="P151" i="2"/>
  <c r="X149" i="2"/>
  <c r="X148" i="2"/>
  <c r="BO147" i="2"/>
  <c r="BM147" i="2"/>
  <c r="Y147" i="2"/>
  <c r="P147" i="2"/>
  <c r="BO146" i="2"/>
  <c r="BM146" i="2"/>
  <c r="Y146" i="2"/>
  <c r="BP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BP141" i="2" s="1"/>
  <c r="P141" i="2"/>
  <c r="BO140" i="2"/>
  <c r="BM140" i="2"/>
  <c r="Y140" i="2"/>
  <c r="Y142" i="2" s="1"/>
  <c r="P140" i="2"/>
  <c r="X137" i="2"/>
  <c r="X136" i="2"/>
  <c r="BO135" i="2"/>
  <c r="BM135" i="2"/>
  <c r="Z135" i="2"/>
  <c r="Y135" i="2"/>
  <c r="BP135" i="2" s="1"/>
  <c r="P135" i="2"/>
  <c r="BO134" i="2"/>
  <c r="BM134" i="2"/>
  <c r="Y134" i="2"/>
  <c r="Y136" i="2" s="1"/>
  <c r="P134" i="2"/>
  <c r="X132" i="2"/>
  <c r="X131" i="2"/>
  <c r="BO130" i="2"/>
  <c r="BM130" i="2"/>
  <c r="Z130" i="2"/>
  <c r="Y130" i="2"/>
  <c r="BN130" i="2" s="1"/>
  <c r="P130" i="2"/>
  <c r="BO129" i="2"/>
  <c r="BM129" i="2"/>
  <c r="Z129" i="2"/>
  <c r="Z131" i="2" s="1"/>
  <c r="Y129" i="2"/>
  <c r="Y132" i="2" s="1"/>
  <c r="P129" i="2"/>
  <c r="X127" i="2"/>
  <c r="X126" i="2"/>
  <c r="BO125" i="2"/>
  <c r="BM125" i="2"/>
  <c r="Y125" i="2"/>
  <c r="BP125" i="2" s="1"/>
  <c r="P125" i="2"/>
  <c r="BP124" i="2"/>
  <c r="BO124" i="2"/>
  <c r="BN124" i="2"/>
  <c r="BM124" i="2"/>
  <c r="Z124" i="2"/>
  <c r="Y124" i="2"/>
  <c r="P124" i="2"/>
  <c r="X121" i="2"/>
  <c r="X120" i="2"/>
  <c r="BO119" i="2"/>
  <c r="BM119" i="2"/>
  <c r="Y119" i="2"/>
  <c r="Y120" i="2" s="1"/>
  <c r="P119" i="2"/>
  <c r="X117" i="2"/>
  <c r="X116" i="2"/>
  <c r="BO115" i="2"/>
  <c r="BN115" i="2"/>
  <c r="BM115" i="2"/>
  <c r="Z115" i="2"/>
  <c r="Y115" i="2"/>
  <c r="BP115" i="2" s="1"/>
  <c r="P115" i="2"/>
  <c r="BO114" i="2"/>
  <c r="BM114" i="2"/>
  <c r="Z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P108" i="2"/>
  <c r="BP107" i="2"/>
  <c r="BO107" i="2"/>
  <c r="BM107" i="2"/>
  <c r="Y107" i="2"/>
  <c r="P107" i="2"/>
  <c r="BO106" i="2"/>
  <c r="BM106" i="2"/>
  <c r="Y106" i="2"/>
  <c r="P106" i="2"/>
  <c r="X104" i="2"/>
  <c r="X103" i="2"/>
  <c r="BO102" i="2"/>
  <c r="BM102" i="2"/>
  <c r="Y102" i="2"/>
  <c r="BP102" i="2" s="1"/>
  <c r="P102" i="2"/>
  <c r="BO101" i="2"/>
  <c r="BM101" i="2"/>
  <c r="Y101" i="2"/>
  <c r="P101" i="2"/>
  <c r="BO100" i="2"/>
  <c r="BM100" i="2"/>
  <c r="Y100" i="2"/>
  <c r="BP100" i="2" s="1"/>
  <c r="P100" i="2"/>
  <c r="BP99" i="2"/>
  <c r="BO99" i="2"/>
  <c r="BM99" i="2"/>
  <c r="Y99" i="2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Z92" i="2"/>
  <c r="Y92" i="2"/>
  <c r="BN92" i="2" s="1"/>
  <c r="P92" i="2"/>
  <c r="BO91" i="2"/>
  <c r="BM91" i="2"/>
  <c r="Y91" i="2"/>
  <c r="P91" i="2"/>
  <c r="X89" i="2"/>
  <c r="X88" i="2"/>
  <c r="BO87" i="2"/>
  <c r="BM87" i="2"/>
  <c r="Y87" i="2"/>
  <c r="BP87" i="2" s="1"/>
  <c r="P87" i="2"/>
  <c r="BO86" i="2"/>
  <c r="BM86" i="2"/>
  <c r="Y86" i="2"/>
  <c r="BP86" i="2" s="1"/>
  <c r="P86" i="2"/>
  <c r="BO85" i="2"/>
  <c r="BN85" i="2"/>
  <c r="BM85" i="2"/>
  <c r="Z85" i="2"/>
  <c r="Y85" i="2"/>
  <c r="P85" i="2"/>
  <c r="X82" i="2"/>
  <c r="X81" i="2"/>
  <c r="BO80" i="2"/>
  <c r="BM80" i="2"/>
  <c r="Z80" i="2"/>
  <c r="Y80" i="2"/>
  <c r="P80" i="2"/>
  <c r="BO79" i="2"/>
  <c r="BM79" i="2"/>
  <c r="Y79" i="2"/>
  <c r="Z79" i="2" s="1"/>
  <c r="P79" i="2"/>
  <c r="X77" i="2"/>
  <c r="X76" i="2"/>
  <c r="BO75" i="2"/>
  <c r="BM75" i="2"/>
  <c r="Y75" i="2"/>
  <c r="BN75" i="2" s="1"/>
  <c r="P75" i="2"/>
  <c r="BP74" i="2"/>
  <c r="BO74" i="2"/>
  <c r="BM74" i="2"/>
  <c r="Y74" i="2"/>
  <c r="BN74" i="2" s="1"/>
  <c r="P74" i="2"/>
  <c r="BO73" i="2"/>
  <c r="BM73" i="2"/>
  <c r="Z73" i="2"/>
  <c r="Y73" i="2"/>
  <c r="BN73" i="2" s="1"/>
  <c r="P73" i="2"/>
  <c r="BO72" i="2"/>
  <c r="BM72" i="2"/>
  <c r="Z72" i="2"/>
  <c r="Y72" i="2"/>
  <c r="P72" i="2"/>
  <c r="X70" i="2"/>
  <c r="X69" i="2"/>
  <c r="BO68" i="2"/>
  <c r="BM68" i="2"/>
  <c r="Y68" i="2"/>
  <c r="BP68" i="2" s="1"/>
  <c r="P68" i="2"/>
  <c r="BP67" i="2"/>
  <c r="BO67" i="2"/>
  <c r="BN67" i="2"/>
  <c r="BM67" i="2"/>
  <c r="Z67" i="2"/>
  <c r="Y67" i="2"/>
  <c r="P67" i="2"/>
  <c r="BO66" i="2"/>
  <c r="BM66" i="2"/>
  <c r="Y66" i="2"/>
  <c r="P66" i="2"/>
  <c r="X64" i="2"/>
  <c r="X63" i="2"/>
  <c r="BP62" i="2"/>
  <c r="BO62" i="2"/>
  <c r="BN62" i="2"/>
  <c r="BM62" i="2"/>
  <c r="Z62" i="2"/>
  <c r="Y62" i="2"/>
  <c r="P62" i="2"/>
  <c r="BO61" i="2"/>
  <c r="BM61" i="2"/>
  <c r="Y61" i="2"/>
  <c r="BP61" i="2" s="1"/>
  <c r="P61" i="2"/>
  <c r="BO60" i="2"/>
  <c r="BM60" i="2"/>
  <c r="Y60" i="2"/>
  <c r="Y64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BN53" i="2" s="1"/>
  <c r="P53" i="2"/>
  <c r="BP52" i="2"/>
  <c r="BO52" i="2"/>
  <c r="BN52" i="2"/>
  <c r="BM52" i="2"/>
  <c r="Z52" i="2"/>
  <c r="Y52" i="2"/>
  <c r="P52" i="2"/>
  <c r="BO51" i="2"/>
  <c r="BM51" i="2"/>
  <c r="Y51" i="2"/>
  <c r="BP51" i="2" s="1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BN42" i="2" s="1"/>
  <c r="P42" i="2"/>
  <c r="BP41" i="2"/>
  <c r="BO41" i="2"/>
  <c r="BM41" i="2"/>
  <c r="Y41" i="2"/>
  <c r="BN41" i="2" s="1"/>
  <c r="P41" i="2"/>
  <c r="BO40" i="2"/>
  <c r="BM40" i="2"/>
  <c r="Z40" i="2"/>
  <c r="Y40" i="2"/>
  <c r="P40" i="2"/>
  <c r="X36" i="2"/>
  <c r="X35" i="2"/>
  <c r="BO34" i="2"/>
  <c r="BM34" i="2"/>
  <c r="Y34" i="2"/>
  <c r="BN34" i="2" s="1"/>
  <c r="P34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P27" i="2"/>
  <c r="BO27" i="2"/>
  <c r="BN27" i="2"/>
  <c r="BM27" i="2"/>
  <c r="Z27" i="2"/>
  <c r="Y27" i="2"/>
  <c r="P27" i="2"/>
  <c r="BO26" i="2"/>
  <c r="BM26" i="2"/>
  <c r="Y26" i="2"/>
  <c r="BN26" i="2" s="1"/>
  <c r="P26" i="2"/>
  <c r="X24" i="2"/>
  <c r="X489" i="2" s="1"/>
  <c r="X23" i="2"/>
  <c r="X493" i="2" s="1"/>
  <c r="BO22" i="2"/>
  <c r="X491" i="2" s="1"/>
  <c r="BM22" i="2"/>
  <c r="X490" i="2" s="1"/>
  <c r="X492" i="2" s="1"/>
  <c r="Y22" i="2"/>
  <c r="Z22" i="2" s="1"/>
  <c r="Z23" i="2" s="1"/>
  <c r="P22" i="2"/>
  <c r="H10" i="2"/>
  <c r="A9" i="2"/>
  <c r="H9" i="2" s="1"/>
  <c r="D7" i="2"/>
  <c r="Q6" i="2"/>
  <c r="P2" i="2"/>
  <c r="F9" i="2" l="1"/>
  <c r="BP34" i="2"/>
  <c r="Y35" i="2"/>
  <c r="BN60" i="2"/>
  <c r="Y63" i="2"/>
  <c r="BN68" i="2"/>
  <c r="BP101" i="2"/>
  <c r="BN101" i="2"/>
  <c r="Z101" i="2"/>
  <c r="Y110" i="2"/>
  <c r="Z106" i="2"/>
  <c r="BN108" i="2"/>
  <c r="BP108" i="2"/>
  <c r="BN125" i="2"/>
  <c r="BN140" i="2"/>
  <c r="Y143" i="2"/>
  <c r="BP147" i="2"/>
  <c r="BN147" i="2"/>
  <c r="Z147" i="2"/>
  <c r="Y187" i="2"/>
  <c r="Y188" i="2"/>
  <c r="BN209" i="2"/>
  <c r="BP209" i="2"/>
  <c r="BN210" i="2"/>
  <c r="Z210" i="2"/>
  <c r="BN213" i="2"/>
  <c r="Z213" i="2"/>
  <c r="Z220" i="2"/>
  <c r="BN219" i="2"/>
  <c r="BP219" i="2"/>
  <c r="Y220" i="2"/>
  <c r="BP229" i="2"/>
  <c r="Z229" i="2"/>
  <c r="BN241" i="2"/>
  <c r="BP263" i="2"/>
  <c r="M499" i="2"/>
  <c r="Y268" i="2"/>
  <c r="Y267" i="2"/>
  <c r="Z263" i="2"/>
  <c r="BP298" i="2"/>
  <c r="Z298" i="2"/>
  <c r="BN357" i="2"/>
  <c r="Y360" i="2"/>
  <c r="Z367" i="2"/>
  <c r="Y370" i="2"/>
  <c r="BN367" i="2"/>
  <c r="BP367" i="2"/>
  <c r="BN368" i="2"/>
  <c r="Z368" i="2"/>
  <c r="BP368" i="2"/>
  <c r="BN22" i="2"/>
  <c r="BP22" i="2"/>
  <c r="Y23" i="2"/>
  <c r="Y24" i="2"/>
  <c r="Z34" i="2"/>
  <c r="Z35" i="2" s="1"/>
  <c r="Y36" i="2"/>
  <c r="C499" i="2"/>
  <c r="BP40" i="2"/>
  <c r="BP42" i="2"/>
  <c r="BN46" i="2"/>
  <c r="BP46" i="2"/>
  <c r="Y47" i="2"/>
  <c r="Y48" i="2"/>
  <c r="Y70" i="2"/>
  <c r="Y77" i="2"/>
  <c r="BP72" i="2"/>
  <c r="BP73" i="2"/>
  <c r="BP75" i="2"/>
  <c r="Z81" i="2"/>
  <c r="BN79" i="2"/>
  <c r="BP79" i="2"/>
  <c r="Y82" i="2"/>
  <c r="BP80" i="2"/>
  <c r="E499" i="2"/>
  <c r="Y88" i="2"/>
  <c r="BP85" i="2"/>
  <c r="Y95" i="2"/>
  <c r="Y96" i="2"/>
  <c r="BN91" i="2"/>
  <c r="BP106" i="2"/>
  <c r="BN107" i="2"/>
  <c r="Z107" i="2"/>
  <c r="Y149" i="2"/>
  <c r="BP151" i="2"/>
  <c r="Y153" i="2"/>
  <c r="BN151" i="2"/>
  <c r="Z151" i="2"/>
  <c r="Z152" i="2" s="1"/>
  <c r="Y152" i="2"/>
  <c r="BN162" i="2"/>
  <c r="BN166" i="2"/>
  <c r="BP166" i="2"/>
  <c r="BP167" i="2"/>
  <c r="BN167" i="2"/>
  <c r="Z167" i="2"/>
  <c r="BP175" i="2"/>
  <c r="Z175" i="2"/>
  <c r="BP198" i="2"/>
  <c r="Z198" i="2"/>
  <c r="BP210" i="2"/>
  <c r="BP211" i="2"/>
  <c r="BN211" i="2"/>
  <c r="Z211" i="2"/>
  <c r="BN212" i="2"/>
  <c r="Z212" i="2"/>
  <c r="BP213" i="2"/>
  <c r="BN214" i="2"/>
  <c r="BP214" i="2"/>
  <c r="BP291" i="2"/>
  <c r="BN291" i="2"/>
  <c r="Z291" i="2"/>
  <c r="Y294" i="2"/>
  <c r="Z292" i="2"/>
  <c r="BP292" i="2"/>
  <c r="R499" i="2"/>
  <c r="BP334" i="2"/>
  <c r="BN334" i="2"/>
  <c r="Z334" i="2"/>
  <c r="Z337" i="2" s="1"/>
  <c r="BP343" i="2"/>
  <c r="Z343" i="2"/>
  <c r="BN347" i="2"/>
  <c r="Z347" i="2"/>
  <c r="BP347" i="2"/>
  <c r="Y380" i="2"/>
  <c r="BP377" i="2"/>
  <c r="BN377" i="2"/>
  <c r="Z377" i="2"/>
  <c r="BP92" i="2"/>
  <c r="BN93" i="2"/>
  <c r="F499" i="2"/>
  <c r="BN102" i="2"/>
  <c r="BN113" i="2"/>
  <c r="BP113" i="2"/>
  <c r="BP114" i="2"/>
  <c r="G499" i="2"/>
  <c r="BP129" i="2"/>
  <c r="BP130" i="2"/>
  <c r="Y172" i="2"/>
  <c r="BP163" i="2"/>
  <c r="BN164" i="2"/>
  <c r="BP169" i="2"/>
  <c r="BN176" i="2"/>
  <c r="BP176" i="2"/>
  <c r="BP190" i="2"/>
  <c r="Y192" i="2"/>
  <c r="BN199" i="2"/>
  <c r="BP199" i="2"/>
  <c r="BP200" i="2"/>
  <c r="BP202" i="2"/>
  <c r="BN230" i="2"/>
  <c r="BP230" i="2"/>
  <c r="BP231" i="2"/>
  <c r="BP233" i="2"/>
  <c r="Y238" i="2"/>
  <c r="Y250" i="2"/>
  <c r="BP245" i="2"/>
  <c r="BP246" i="2"/>
  <c r="Y251" i="2"/>
  <c r="BP254" i="2"/>
  <c r="Y259" i="2"/>
  <c r="BP256" i="2"/>
  <c r="BP257" i="2"/>
  <c r="Z267" i="2"/>
  <c r="BN264" i="2"/>
  <c r="BP264" i="2"/>
  <c r="BN265" i="2"/>
  <c r="BP265" i="2"/>
  <c r="BN289" i="2"/>
  <c r="BP289" i="2"/>
  <c r="Y295" i="2"/>
  <c r="Z290" i="2"/>
  <c r="Z294" i="2" s="1"/>
  <c r="BN293" i="2"/>
  <c r="Z293" i="2"/>
  <c r="BP308" i="2"/>
  <c r="Z308" i="2"/>
  <c r="Y324" i="2"/>
  <c r="Y325" i="2"/>
  <c r="BN320" i="2"/>
  <c r="BP329" i="2"/>
  <c r="BN329" i="2"/>
  <c r="Z329" i="2"/>
  <c r="BP348" i="2"/>
  <c r="BN348" i="2"/>
  <c r="Z348" i="2"/>
  <c r="BN385" i="2"/>
  <c r="BP389" i="2"/>
  <c r="BN389" i="2"/>
  <c r="Z389" i="2"/>
  <c r="BP409" i="2"/>
  <c r="BN409" i="2"/>
  <c r="Z409" i="2"/>
  <c r="BN410" i="2"/>
  <c r="Z410" i="2"/>
  <c r="BN422" i="2"/>
  <c r="Z422" i="2"/>
  <c r="BN451" i="2"/>
  <c r="Z468" i="2"/>
  <c r="BP466" i="2"/>
  <c r="BN466" i="2"/>
  <c r="Z466" i="2"/>
  <c r="BN467" i="2"/>
  <c r="Z467" i="2"/>
  <c r="BP476" i="2"/>
  <c r="BN397" i="2"/>
  <c r="Y400" i="2"/>
  <c r="BN407" i="2"/>
  <c r="BP407" i="2"/>
  <c r="BN408" i="2"/>
  <c r="Z408" i="2"/>
  <c r="Z411" i="2" s="1"/>
  <c r="Y416" i="2"/>
  <c r="BN423" i="2"/>
  <c r="BP429" i="2"/>
  <c r="Z429" i="2"/>
  <c r="BN441" i="2"/>
  <c r="BP445" i="2"/>
  <c r="BN445" i="2"/>
  <c r="Z445" i="2"/>
  <c r="BN459" i="2"/>
  <c r="BP459" i="2"/>
  <c r="BN476" i="2"/>
  <c r="Y478" i="2"/>
  <c r="Z476" i="2"/>
  <c r="Z477" i="2" s="1"/>
  <c r="BP278" i="2"/>
  <c r="Y281" i="2"/>
  <c r="BN279" i="2"/>
  <c r="BN299" i="2"/>
  <c r="BP299" i="2"/>
  <c r="BP300" i="2"/>
  <c r="BP302" i="2"/>
  <c r="BN309" i="2"/>
  <c r="BP309" i="2"/>
  <c r="BP310" i="2"/>
  <c r="BP321" i="2"/>
  <c r="BN322" i="2"/>
  <c r="BN328" i="2"/>
  <c r="Y338" i="2"/>
  <c r="BP335" i="2"/>
  <c r="BN344" i="2"/>
  <c r="BP344" i="2"/>
  <c r="BP345" i="2"/>
  <c r="BN378" i="2"/>
  <c r="BP386" i="2"/>
  <c r="BN387" i="2"/>
  <c r="X499" i="2"/>
  <c r="BN421" i="2"/>
  <c r="BN430" i="2"/>
  <c r="BP430" i="2"/>
  <c r="BP431" i="2"/>
  <c r="BP442" i="2"/>
  <c r="Y447" i="2"/>
  <c r="BN443" i="2"/>
  <c r="BP452" i="2"/>
  <c r="Y453" i="2"/>
  <c r="Y462" i="2"/>
  <c r="BN461" i="2"/>
  <c r="Y463" i="2"/>
  <c r="Y469" i="2"/>
  <c r="BP480" i="2"/>
  <c r="Y58" i="2"/>
  <c r="Y116" i="2"/>
  <c r="Y137" i="2"/>
  <c r="Y355" i="2"/>
  <c r="Y395" i="2"/>
  <c r="H499" i="2"/>
  <c r="Y317" i="2"/>
  <c r="Y438" i="2"/>
  <c r="I499" i="2"/>
  <c r="Z30" i="2"/>
  <c r="Z55" i="2"/>
  <c r="Z174" i="2"/>
  <c r="Z177" i="2" s="1"/>
  <c r="Z197" i="2"/>
  <c r="Z207" i="2"/>
  <c r="Z228" i="2"/>
  <c r="Z273" i="2"/>
  <c r="Z297" i="2"/>
  <c r="Z304" i="2" s="1"/>
  <c r="Z307" i="2"/>
  <c r="Z311" i="2" s="1"/>
  <c r="Z342" i="2"/>
  <c r="Z349" i="2" s="1"/>
  <c r="Z352" i="2"/>
  <c r="Z354" i="2" s="1"/>
  <c r="Z392" i="2"/>
  <c r="Z428" i="2"/>
  <c r="Z472" i="2"/>
  <c r="J499" i="2"/>
  <c r="Z134" i="2"/>
  <c r="Z136" i="2" s="1"/>
  <c r="Z60" i="2"/>
  <c r="BN72" i="2"/>
  <c r="Z93" i="2"/>
  <c r="BN106" i="2"/>
  <c r="Y109" i="2"/>
  <c r="Y117" i="2"/>
  <c r="BN129" i="2"/>
  <c r="Z140" i="2"/>
  <c r="Z164" i="2"/>
  <c r="Y215" i="2"/>
  <c r="BN245" i="2"/>
  <c r="BN256" i="2"/>
  <c r="Z279" i="2"/>
  <c r="Z280" i="2" s="1"/>
  <c r="BN292" i="2"/>
  <c r="Z322" i="2"/>
  <c r="BN335" i="2"/>
  <c r="Z357" i="2"/>
  <c r="Z387" i="2"/>
  <c r="Z397" i="2"/>
  <c r="Z423" i="2"/>
  <c r="Z443" i="2"/>
  <c r="K499" i="2"/>
  <c r="BN30" i="2"/>
  <c r="Z42" i="2"/>
  <c r="BN55" i="2"/>
  <c r="Z75" i="2"/>
  <c r="Y89" i="2"/>
  <c r="Z99" i="2"/>
  <c r="BN134" i="2"/>
  <c r="Z145" i="2"/>
  <c r="BN174" i="2"/>
  <c r="Y177" i="2"/>
  <c r="Z185" i="2"/>
  <c r="BN197" i="2"/>
  <c r="BN207" i="2"/>
  <c r="BN228" i="2"/>
  <c r="Y239" i="2"/>
  <c r="Z248" i="2"/>
  <c r="BN273" i="2"/>
  <c r="Z284" i="2"/>
  <c r="BN297" i="2"/>
  <c r="BN307" i="2"/>
  <c r="Y318" i="2"/>
  <c r="Z327" i="2"/>
  <c r="BN342" i="2"/>
  <c r="BN352" i="2"/>
  <c r="Z362" i="2"/>
  <c r="Z363" i="2" s="1"/>
  <c r="Y381" i="2"/>
  <c r="BN392" i="2"/>
  <c r="Z403" i="2"/>
  <c r="Z404" i="2" s="1"/>
  <c r="Y417" i="2"/>
  <c r="BN428" i="2"/>
  <c r="Y439" i="2"/>
  <c r="Z460" i="2"/>
  <c r="BN472" i="2"/>
  <c r="L499" i="2"/>
  <c r="Z28" i="2"/>
  <c r="Z53" i="2"/>
  <c r="Z86" i="2"/>
  <c r="BN99" i="2"/>
  <c r="Z119" i="2"/>
  <c r="Z120" i="2" s="1"/>
  <c r="BP134" i="2"/>
  <c r="BN145" i="2"/>
  <c r="Y148" i="2"/>
  <c r="Z157" i="2"/>
  <c r="Z158" i="2" s="1"/>
  <c r="BP174" i="2"/>
  <c r="BN185" i="2"/>
  <c r="Z195" i="2"/>
  <c r="Y216" i="2"/>
  <c r="Z226" i="2"/>
  <c r="BN248" i="2"/>
  <c r="Y260" i="2"/>
  <c r="Z271" i="2"/>
  <c r="BN284" i="2"/>
  <c r="BP297" i="2"/>
  <c r="BP307" i="2"/>
  <c r="Z315" i="2"/>
  <c r="BN327" i="2"/>
  <c r="Y330" i="2"/>
  <c r="BP342" i="2"/>
  <c r="BP352" i="2"/>
  <c r="BN362" i="2"/>
  <c r="Z373" i="2"/>
  <c r="Z374" i="2" s="1"/>
  <c r="Z390" i="2"/>
  <c r="BN403" i="2"/>
  <c r="Z426" i="2"/>
  <c r="Z436" i="2"/>
  <c r="Z446" i="2"/>
  <c r="BN460" i="2"/>
  <c r="Y483" i="2"/>
  <c r="O499" i="2"/>
  <c r="BP60" i="2"/>
  <c r="Z68" i="2"/>
  <c r="BN80" i="2"/>
  <c r="Z91" i="2"/>
  <c r="Z102" i="2"/>
  <c r="Z125" i="2"/>
  <c r="Z126" i="2" s="1"/>
  <c r="BP140" i="2"/>
  <c r="Z162" i="2"/>
  <c r="Y203" i="2"/>
  <c r="Y221" i="2"/>
  <c r="Y234" i="2"/>
  <c r="Z241" i="2"/>
  <c r="Z242" i="2" s="1"/>
  <c r="BP279" i="2"/>
  <c r="BN290" i="2"/>
  <c r="Z320" i="2"/>
  <c r="BP357" i="2"/>
  <c r="Z378" i="2"/>
  <c r="Z385" i="2"/>
  <c r="BP397" i="2"/>
  <c r="Y411" i="2"/>
  <c r="Z421" i="2"/>
  <c r="BP423" i="2"/>
  <c r="Z441" i="2"/>
  <c r="BP443" i="2"/>
  <c r="Z451" i="2"/>
  <c r="Z453" i="2" s="1"/>
  <c r="BN465" i="2"/>
  <c r="Y468" i="2"/>
  <c r="P499" i="2"/>
  <c r="BN119" i="2"/>
  <c r="BN157" i="2"/>
  <c r="Z170" i="2"/>
  <c r="BP185" i="2"/>
  <c r="BN195" i="2"/>
  <c r="BN226" i="2"/>
  <c r="BN271" i="2"/>
  <c r="Y274" i="2"/>
  <c r="BN315" i="2"/>
  <c r="BP362" i="2"/>
  <c r="BN373" i="2"/>
  <c r="BN390" i="2"/>
  <c r="BP403" i="2"/>
  <c r="BN426" i="2"/>
  <c r="BN436" i="2"/>
  <c r="BN446" i="2"/>
  <c r="Y473" i="2"/>
  <c r="Q499" i="2"/>
  <c r="BP465" i="2"/>
  <c r="Z486" i="2"/>
  <c r="Z487" i="2" s="1"/>
  <c r="BN86" i="2"/>
  <c r="Z112" i="2"/>
  <c r="Z116" i="2" s="1"/>
  <c r="BP28" i="2"/>
  <c r="Y43" i="2"/>
  <c r="Z51" i="2"/>
  <c r="BP53" i="2"/>
  <c r="Y76" i="2"/>
  <c r="BP119" i="2"/>
  <c r="Z141" i="2"/>
  <c r="BP157" i="2"/>
  <c r="Z180" i="2"/>
  <c r="Z181" i="2" s="1"/>
  <c r="BP195" i="2"/>
  <c r="Z224" i="2"/>
  <c r="Y235" i="2"/>
  <c r="BP271" i="2"/>
  <c r="Y285" i="2"/>
  <c r="Z323" i="2"/>
  <c r="Z358" i="2"/>
  <c r="Y363" i="2"/>
  <c r="BP373" i="2"/>
  <c r="Z388" i="2"/>
  <c r="Z398" i="2"/>
  <c r="Y404" i="2"/>
  <c r="Y412" i="2"/>
  <c r="Z424" i="2"/>
  <c r="Z444" i="2"/>
  <c r="S499" i="2"/>
  <c r="Y31" i="2"/>
  <c r="Z56" i="2"/>
  <c r="J9" i="2"/>
  <c r="Z26" i="2"/>
  <c r="BN40" i="2"/>
  <c r="Z61" i="2"/>
  <c r="Z94" i="2"/>
  <c r="A10" i="2"/>
  <c r="Y32" i="2"/>
  <c r="BN56" i="2"/>
  <c r="Z66" i="2"/>
  <c r="Y81" i="2"/>
  <c r="BP91" i="2"/>
  <c r="Z100" i="2"/>
  <c r="BN112" i="2"/>
  <c r="BN135" i="2"/>
  <c r="Z146" i="2"/>
  <c r="BP162" i="2"/>
  <c r="BN165" i="2"/>
  <c r="BN175" i="2"/>
  <c r="Z186" i="2"/>
  <c r="BN198" i="2"/>
  <c r="BN208" i="2"/>
  <c r="BN218" i="2"/>
  <c r="BN229" i="2"/>
  <c r="BP241" i="2"/>
  <c r="Z249" i="2"/>
  <c r="BN263" i="2"/>
  <c r="BN298" i="2"/>
  <c r="BN308" i="2"/>
  <c r="Y311" i="2"/>
  <c r="BP320" i="2"/>
  <c r="Z328" i="2"/>
  <c r="BN343" i="2"/>
  <c r="BN353" i="2"/>
  <c r="Y369" i="2"/>
  <c r="BP385" i="2"/>
  <c r="BN393" i="2"/>
  <c r="BP421" i="2"/>
  <c r="BN429" i="2"/>
  <c r="Y432" i="2"/>
  <c r="BP441" i="2"/>
  <c r="Z461" i="2"/>
  <c r="Y474" i="2"/>
  <c r="BN486" i="2"/>
  <c r="T499" i="2"/>
  <c r="BN180" i="2"/>
  <c r="BN224" i="2"/>
  <c r="BN323" i="2"/>
  <c r="BN358" i="2"/>
  <c r="Y374" i="2"/>
  <c r="BN388" i="2"/>
  <c r="BN398" i="2"/>
  <c r="BN424" i="2"/>
  <c r="BN444" i="2"/>
  <c r="B499" i="2"/>
  <c r="U499" i="2"/>
  <c r="BN61" i="2"/>
  <c r="BN94" i="2"/>
  <c r="BN141" i="2"/>
  <c r="Z29" i="2"/>
  <c r="Y44" i="2"/>
  <c r="Z54" i="2"/>
  <c r="BN66" i="2"/>
  <c r="Y69" i="2"/>
  <c r="Z87" i="2"/>
  <c r="BN100" i="2"/>
  <c r="Y103" i="2"/>
  <c r="Y126" i="2"/>
  <c r="BN146" i="2"/>
  <c r="BN186" i="2"/>
  <c r="Z196" i="2"/>
  <c r="Z206" i="2"/>
  <c r="Z227" i="2"/>
  <c r="Z237" i="2"/>
  <c r="Z238" i="2" s="1"/>
  <c r="Y242" i="2"/>
  <c r="BN249" i="2"/>
  <c r="Z272" i="2"/>
  <c r="Y286" i="2"/>
  <c r="Z316" i="2"/>
  <c r="Z379" i="2"/>
  <c r="Z391" i="2"/>
  <c r="Y405" i="2"/>
  <c r="Z415" i="2"/>
  <c r="Z416" i="2" s="1"/>
  <c r="Z427" i="2"/>
  <c r="Z437" i="2"/>
  <c r="Z471" i="2"/>
  <c r="Z473" i="2" s="1"/>
  <c r="BP486" i="2"/>
  <c r="F10" i="2"/>
  <c r="Y349" i="2"/>
  <c r="D499" i="2"/>
  <c r="W499" i="2"/>
  <c r="BN51" i="2"/>
  <c r="Y304" i="2"/>
  <c r="Y337" i="2"/>
  <c r="BN29" i="2"/>
  <c r="Y57" i="2"/>
  <c r="BP66" i="2"/>
  <c r="Z74" i="2"/>
  <c r="Z76" i="2" s="1"/>
  <c r="BN87" i="2"/>
  <c r="Z108" i="2"/>
  <c r="Z109" i="2" s="1"/>
  <c r="Y121" i="2"/>
  <c r="Y159" i="2"/>
  <c r="BN196" i="2"/>
  <c r="BN206" i="2"/>
  <c r="Z214" i="2"/>
  <c r="BN227" i="2"/>
  <c r="BN237" i="2"/>
  <c r="Z247" i="2"/>
  <c r="Z250" i="2" s="1"/>
  <c r="Z258" i="2"/>
  <c r="Z259" i="2" s="1"/>
  <c r="BN272" i="2"/>
  <c r="Z283" i="2"/>
  <c r="Z285" i="2" s="1"/>
  <c r="BN316" i="2"/>
  <c r="BN379" i="2"/>
  <c r="BN391" i="2"/>
  <c r="BN415" i="2"/>
  <c r="BN427" i="2"/>
  <c r="BN437" i="2"/>
  <c r="Z459" i="2"/>
  <c r="BN471" i="2"/>
  <c r="Z481" i="2"/>
  <c r="Z482" i="2" s="1"/>
  <c r="Y487" i="2"/>
  <c r="BP26" i="2"/>
  <c r="BP180" i="2"/>
  <c r="Z41" i="2"/>
  <c r="Z43" i="2" s="1"/>
  <c r="BN54" i="2"/>
  <c r="Y104" i="2"/>
  <c r="Y127" i="2"/>
  <c r="Y499" i="2"/>
  <c r="Y131" i="2"/>
  <c r="Y491" i="2" l="1"/>
  <c r="Z215" i="2"/>
  <c r="Y489" i="2"/>
  <c r="Y493" i="2"/>
  <c r="Z171" i="2"/>
  <c r="Z88" i="2"/>
  <c r="Z369" i="2"/>
  <c r="Y490" i="2"/>
  <c r="Y492" i="2" s="1"/>
  <c r="Z234" i="2"/>
  <c r="Z447" i="2"/>
  <c r="Z203" i="2"/>
  <c r="Z330" i="2"/>
  <c r="Z148" i="2"/>
  <c r="Z103" i="2"/>
  <c r="Z142" i="2"/>
  <c r="Z95" i="2"/>
  <c r="Z317" i="2"/>
  <c r="Z432" i="2"/>
  <c r="Z394" i="2"/>
  <c r="Z274" i="2"/>
  <c r="Z399" i="2"/>
  <c r="Z63" i="2"/>
  <c r="Z57" i="2"/>
  <c r="Z380" i="2"/>
  <c r="Z359" i="2"/>
  <c r="Z31" i="2"/>
  <c r="Z324" i="2"/>
  <c r="Z462" i="2"/>
  <c r="Z69" i="2"/>
  <c r="Z438" i="2"/>
  <c r="Z187" i="2"/>
  <c r="Z494" i="2" l="1"/>
</calcChain>
</file>

<file path=xl/sharedStrings.xml><?xml version="1.0" encoding="utf-8"?>
<sst xmlns="http://schemas.openxmlformats.org/spreadsheetml/2006/main" count="3583" uniqueCount="763">
  <si>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</si>
  <si>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</si>
  <si>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</si>
  <si>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</si>
  <si>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</si>
  <si>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</si>
  <si>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</si>
  <si>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</si>
  <si>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</si>
  <si>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</si>
  <si>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</si>
  <si>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</si>
  <si>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</si>
  <si>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</si>
  <si>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</si>
  <si>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</si>
  <si>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</si>
  <si>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</si>
  <si>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</si>
  <si>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</si>
  <si>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</si>
  <si>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</si>
  <si>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</si>
  <si>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</si>
  <si>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</si>
  <si>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</si>
  <si>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</si>
  <si>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</si>
  <si>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</si>
  <si>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</si>
  <si>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</si>
  <si>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</si>
  <si>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</si>
  <si>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</si>
  <si>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</si>
  <si>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</si>
  <si>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</si>
  <si>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</si>
  <si>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</si>
  <si>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</si>
  <si>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</si>
  <si>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</si>
  <si>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</si>
  <si>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</si>
  <si>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</si>
  <si>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</si>
  <si>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</si>
  <si>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</si>
  <si>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</si>
  <si>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</si>
  <si>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</si>
  <si>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</si>
  <si>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</si>
  <si>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</si>
  <si>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</si>
  <si>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</si>
  <si>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</si>
  <si>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</si>
  <si>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</si>
  <si>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</si>
  <si>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</si>
  <si>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</si>
  <si>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</si>
  <si>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</si>
  <si>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</si>
  <si>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</si>
  <si>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</si>
  <si>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01.12.2025</t>
  </si>
  <si>
    <t>26.11.2025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</si>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</sst>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45992</v>
      </c>
      <c r="R5" s="557"/>
      <c r="T5" s="558" t="s">
        <v>3</v>
      </c>
      <c r="U5" s="559"/>
      <c r="V5" s="560" t="s">
        <v>749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0" t="s">
        <v>84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102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108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109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110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88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121</v>
      </c>
      <c r="M42" s="38" t="s">
        <v>88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84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127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110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88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137</v>
      </c>
      <c r="B54" s="63" t="s">
        <v>138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146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0" t="s">
        <v>84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21">
        <v>4680115885769</v>
      </c>
      <c r="E72" s="62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116</v>
      </c>
      <c r="M72" s="38" t="s">
        <v>88</v>
      </c>
      <c r="N72" s="38"/>
      <c r="O72" s="37">
        <v>45</v>
      </c>
      <c r="P72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117</v>
      </c>
      <c r="AK72" s="84">
        <v>67.2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21">
        <v>4680115884311</v>
      </c>
      <c r="E73" s="62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21">
        <v>4680115885929</v>
      </c>
      <c r="E74" s="62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21">
        <v>4680115884403</v>
      </c>
      <c r="E75" s="62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9"/>
      <c r="P76" s="625" t="s">
        <v>40</v>
      </c>
      <c r="Q76" s="626"/>
      <c r="R76" s="626"/>
      <c r="S76" s="626"/>
      <c r="T76" s="626"/>
      <c r="U76" s="626"/>
      <c r="V76" s="62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0" t="s">
        <v>174</v>
      </c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21">
        <v>4680115881532</v>
      </c>
      <c r="E79" s="6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116</v>
      </c>
      <c r="M79" s="38" t="s">
        <v>96</v>
      </c>
      <c r="N79" s="38"/>
      <c r="O79" s="37">
        <v>30</v>
      </c>
      <c r="P79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3"/>
      <c r="R79" s="623"/>
      <c r="S79" s="623"/>
      <c r="T79" s="62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117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21">
        <v>4680115881464</v>
      </c>
      <c r="E80" s="6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9" t="s">
        <v>181</v>
      </c>
      <c r="B83" s="619"/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5"/>
      <c r="AB83" s="65"/>
      <c r="AC83" s="79"/>
    </row>
    <row r="84" spans="1:68" ht="14.25" customHeight="1" x14ac:dyDescent="0.25">
      <c r="A84" s="620" t="s">
        <v>110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21">
        <v>4680115881327</v>
      </c>
      <c r="E85" s="6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21">
        <v>4680115881518</v>
      </c>
      <c r="E86" s="62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88</v>
      </c>
      <c r="N86" s="38"/>
      <c r="O86" s="37">
        <v>50</v>
      </c>
      <c r="P86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184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21">
        <v>4680115881303</v>
      </c>
      <c r="E87" s="62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121</v>
      </c>
      <c r="M87" s="38" t="s">
        <v>96</v>
      </c>
      <c r="N87" s="38"/>
      <c r="O87" s="37">
        <v>50</v>
      </c>
      <c r="P87" s="6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9"/>
      <c r="P88" s="625" t="s">
        <v>40</v>
      </c>
      <c r="Q88" s="626"/>
      <c r="R88" s="626"/>
      <c r="S88" s="626"/>
      <c r="T88" s="626"/>
      <c r="U88" s="626"/>
      <c r="V88" s="62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0" t="s">
        <v>84</v>
      </c>
      <c r="B90" s="620"/>
      <c r="C90" s="620"/>
      <c r="D90" s="620"/>
      <c r="E90" s="620"/>
      <c r="F90" s="620"/>
      <c r="G90" s="620"/>
      <c r="H90" s="620"/>
      <c r="I90" s="620"/>
      <c r="J90" s="620"/>
      <c r="K90" s="620"/>
      <c r="L90" s="620"/>
      <c r="M90" s="620"/>
      <c r="N90" s="620"/>
      <c r="O90" s="620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6"/>
      <c r="AB90" s="66"/>
      <c r="AC90" s="80"/>
    </row>
    <row r="91" spans="1:68" ht="27" customHeight="1" x14ac:dyDescent="0.25">
      <c r="A91" s="63" t="s">
        <v>189</v>
      </c>
      <c r="B91" s="63" t="s">
        <v>190</v>
      </c>
      <c r="C91" s="36">
        <v>4301051712</v>
      </c>
      <c r="D91" s="621">
        <v>4607091386967</v>
      </c>
      <c r="E91" s="62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21">
        <v>4680115884953</v>
      </c>
      <c r="E92" s="62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21">
        <v>4607091385731</v>
      </c>
      <c r="E93" s="62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197</v>
      </c>
      <c r="M93" s="38" t="s">
        <v>96</v>
      </c>
      <c r="N93" s="38"/>
      <c r="O93" s="37">
        <v>45</v>
      </c>
      <c r="P93" s="66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117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21">
        <v>4680115880894</v>
      </c>
      <c r="E94" s="62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197</v>
      </c>
      <c r="M94" s="38" t="s">
        <v>88</v>
      </c>
      <c r="N94" s="38"/>
      <c r="O94" s="37">
        <v>45</v>
      </c>
      <c r="P94" s="6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117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8"/>
      <c r="B95" s="628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628"/>
      <c r="N95" s="628"/>
      <c r="O95" s="629"/>
      <c r="P95" s="625" t="s">
        <v>40</v>
      </c>
      <c r="Q95" s="626"/>
      <c r="R95" s="626"/>
      <c r="S95" s="626"/>
      <c r="T95" s="626"/>
      <c r="U95" s="626"/>
      <c r="V95" s="62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9" t="s">
        <v>201</v>
      </c>
      <c r="B97" s="619"/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  <c r="AA97" s="65"/>
      <c r="AB97" s="65"/>
      <c r="AC97" s="79"/>
    </row>
    <row r="98" spans="1:68" ht="14.25" customHeight="1" x14ac:dyDescent="0.25">
      <c r="A98" s="620" t="s">
        <v>110</v>
      </c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21">
        <v>4680115882133</v>
      </c>
      <c r="E99" s="62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121</v>
      </c>
      <c r="M100" s="38" t="s">
        <v>88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117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121</v>
      </c>
      <c r="M101" s="38" t="s">
        <v>88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8"/>
      <c r="B103" s="628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628"/>
      <c r="N103" s="628"/>
      <c r="O103" s="629"/>
      <c r="P103" s="625" t="s">
        <v>40</v>
      </c>
      <c r="Q103" s="626"/>
      <c r="R103" s="626"/>
      <c r="S103" s="626"/>
      <c r="T103" s="626"/>
      <c r="U103" s="626"/>
      <c r="V103" s="62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146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621">
        <v>4680115882775</v>
      </c>
      <c r="E107" s="62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621">
        <v>4680115880658</v>
      </c>
      <c r="E108" s="62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197</v>
      </c>
      <c r="M108" s="38" t="s">
        <v>114</v>
      </c>
      <c r="N108" s="38"/>
      <c r="O108" s="37">
        <v>55</v>
      </c>
      <c r="P108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117</v>
      </c>
      <c r="AK108" s="84">
        <v>33.6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84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21">
        <v>4607091385168</v>
      </c>
      <c r="E112" s="62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3"/>
      <c r="R112" s="623"/>
      <c r="S112" s="623"/>
      <c r="T112" s="62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21">
        <v>4607091383256</v>
      </c>
      <c r="E113" s="62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21">
        <v>4607091385748</v>
      </c>
      <c r="E114" s="62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197</v>
      </c>
      <c r="M114" s="38" t="s">
        <v>96</v>
      </c>
      <c r="N114" s="38"/>
      <c r="O114" s="37">
        <v>45</v>
      </c>
      <c r="P114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1">
        <v>4680115884533</v>
      </c>
      <c r="E115" s="62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0" t="s">
        <v>174</v>
      </c>
      <c r="B118" s="620"/>
      <c r="C118" s="620"/>
      <c r="D118" s="620"/>
      <c r="E118" s="620"/>
      <c r="F118" s="620"/>
      <c r="G118" s="620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1">
        <v>4680115880238</v>
      </c>
      <c r="E119" s="62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3"/>
      <c r="R119" s="623"/>
      <c r="S119" s="623"/>
      <c r="T119" s="62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9" t="s">
        <v>231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5"/>
      <c r="AB122" s="65"/>
      <c r="AC122" s="79"/>
    </row>
    <row r="123" spans="1:68" ht="14.25" customHeight="1" x14ac:dyDescent="0.25">
      <c r="A123" s="620" t="s">
        <v>110</v>
      </c>
      <c r="B123" s="620"/>
      <c r="C123" s="620"/>
      <c r="D123" s="620"/>
      <c r="E123" s="620"/>
      <c r="F123" s="620"/>
      <c r="G123" s="620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1">
        <v>4680115882577</v>
      </c>
      <c r="E124" s="621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197</v>
      </c>
      <c r="M124" s="38" t="s">
        <v>107</v>
      </c>
      <c r="N124" s="38"/>
      <c r="O124" s="37">
        <v>90</v>
      </c>
      <c r="P124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3"/>
      <c r="R124" s="623"/>
      <c r="S124" s="623"/>
      <c r="T124" s="62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117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197</v>
      </c>
      <c r="M125" s="38" t="s">
        <v>107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117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78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1">
        <v>4680115883444</v>
      </c>
      <c r="E129" s="621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3"/>
      <c r="R129" s="623"/>
      <c r="S129" s="623"/>
      <c r="T129" s="62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197</v>
      </c>
      <c r="M130" s="38" t="s">
        <v>107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117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0" t="s">
        <v>84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1">
        <v>4680115882584</v>
      </c>
      <c r="E134" s="621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3"/>
      <c r="R134" s="623"/>
      <c r="S134" s="623"/>
      <c r="T134" s="624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9" t="s">
        <v>108</v>
      </c>
      <c r="B138" s="619"/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5"/>
      <c r="AB138" s="65"/>
      <c r="AC138" s="79"/>
    </row>
    <row r="139" spans="1:68" ht="14.25" customHeight="1" x14ac:dyDescent="0.25">
      <c r="A139" s="620" t="s">
        <v>110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1">
        <v>4680115887374</v>
      </c>
      <c r="E140" s="621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3"/>
      <c r="R140" s="623"/>
      <c r="S140" s="623"/>
      <c r="T140" s="62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1">
        <v>4607091384604</v>
      </c>
      <c r="E141" s="621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78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249</v>
      </c>
      <c r="B145" s="63" t="s">
        <v>250</v>
      </c>
      <c r="C145" s="36">
        <v>4301030895</v>
      </c>
      <c r="D145" s="621">
        <v>4607091387667</v>
      </c>
      <c r="E145" s="621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115</v>
      </c>
      <c r="L145" s="37" t="s">
        <v>45</v>
      </c>
      <c r="M145" s="38" t="s">
        <v>114</v>
      </c>
      <c r="N145" s="38"/>
      <c r="O145" s="37">
        <v>40</v>
      </c>
      <c r="P145" s="68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3"/>
      <c r="R145" s="623"/>
      <c r="S145" s="623"/>
      <c r="T145" s="624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251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252</v>
      </c>
      <c r="B146" s="63" t="s">
        <v>253</v>
      </c>
      <c r="C146" s="36">
        <v>4301030961</v>
      </c>
      <c r="D146" s="621">
        <v>4607091387636</v>
      </c>
      <c r="E146" s="621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89</v>
      </c>
      <c r="L146" s="37" t="s">
        <v>45</v>
      </c>
      <c r="M146" s="38" t="s">
        <v>82</v>
      </c>
      <c r="N146" s="38"/>
      <c r="O146" s="37">
        <v>40</v>
      </c>
      <c r="P146" s="6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255</v>
      </c>
      <c r="B147" s="63" t="s">
        <v>256</v>
      </c>
      <c r="C147" s="36">
        <v>4301030963</v>
      </c>
      <c r="D147" s="621">
        <v>4607091382426</v>
      </c>
      <c r="E147" s="621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8"/>
      <c r="B149" s="628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5" t="s">
        <v>40</v>
      </c>
      <c r="Q149" s="626"/>
      <c r="R149" s="626"/>
      <c r="S149" s="626"/>
      <c r="T149" s="626"/>
      <c r="U149" s="626"/>
      <c r="V149" s="627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20" t="s">
        <v>84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258</v>
      </c>
      <c r="B151" s="63" t="s">
        <v>259</v>
      </c>
      <c r="C151" s="36">
        <v>4301052064</v>
      </c>
      <c r="D151" s="621">
        <v>4680115887459</v>
      </c>
      <c r="E151" s="621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89</v>
      </c>
      <c r="L151" s="37" t="s">
        <v>45</v>
      </c>
      <c r="M151" s="38" t="s">
        <v>88</v>
      </c>
      <c r="N151" s="38"/>
      <c r="O151" s="37">
        <v>45</v>
      </c>
      <c r="P151" s="68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623"/>
      <c r="R151" s="623"/>
      <c r="S151" s="623"/>
      <c r="T151" s="624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260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8"/>
      <c r="B153" s="628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628"/>
      <c r="N153" s="628"/>
      <c r="O153" s="629"/>
      <c r="P153" s="625" t="s">
        <v>40</v>
      </c>
      <c r="Q153" s="626"/>
      <c r="R153" s="626"/>
      <c r="S153" s="626"/>
      <c r="T153" s="626"/>
      <c r="U153" s="626"/>
      <c r="V153" s="627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8" t="s">
        <v>261</v>
      </c>
      <c r="B154" s="618"/>
      <c r="C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  <c r="Q154" s="618"/>
      <c r="R154" s="618"/>
      <c r="S154" s="618"/>
      <c r="T154" s="618"/>
      <c r="U154" s="618"/>
      <c r="V154" s="618"/>
      <c r="W154" s="618"/>
      <c r="X154" s="618"/>
      <c r="Y154" s="618"/>
      <c r="Z154" s="618"/>
      <c r="AA154" s="54"/>
      <c r="AB154" s="54"/>
      <c r="AC154" s="54"/>
    </row>
    <row r="155" spans="1:68" ht="16.5" customHeight="1" x14ac:dyDescent="0.25">
      <c r="A155" s="619" t="s">
        <v>262</v>
      </c>
      <c r="B155" s="619"/>
      <c r="C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  <c r="N155" s="619"/>
      <c r="O155" s="619"/>
      <c r="P155" s="619"/>
      <c r="Q155" s="619"/>
      <c r="R155" s="619"/>
      <c r="S155" s="619"/>
      <c r="T155" s="619"/>
      <c r="U155" s="619"/>
      <c r="V155" s="619"/>
      <c r="W155" s="619"/>
      <c r="X155" s="619"/>
      <c r="Y155" s="619"/>
      <c r="Z155" s="619"/>
      <c r="AA155" s="65"/>
      <c r="AB155" s="65"/>
      <c r="AC155" s="79"/>
    </row>
    <row r="156" spans="1:68" ht="14.25" customHeight="1" x14ac:dyDescent="0.25">
      <c r="A156" s="620" t="s">
        <v>146</v>
      </c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6"/>
      <c r="AB156" s="66"/>
      <c r="AC156" s="80"/>
    </row>
    <row r="157" spans="1:68" ht="27" customHeight="1" x14ac:dyDescent="0.25">
      <c r="A157" s="63" t="s">
        <v>263</v>
      </c>
      <c r="B157" s="63" t="s">
        <v>264</v>
      </c>
      <c r="C157" s="36">
        <v>4301020323</v>
      </c>
      <c r="D157" s="621">
        <v>4680115886223</v>
      </c>
      <c r="E157" s="621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83</v>
      </c>
      <c r="L157" s="37" t="s">
        <v>45</v>
      </c>
      <c r="M157" s="38" t="s">
        <v>82</v>
      </c>
      <c r="N157" s="38"/>
      <c r="O157" s="37">
        <v>40</v>
      </c>
      <c r="P157" s="68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3"/>
      <c r="R157" s="623"/>
      <c r="S157" s="623"/>
      <c r="T157" s="624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265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20" t="s">
        <v>78</v>
      </c>
      <c r="B160" s="620"/>
      <c r="C160" s="620"/>
      <c r="D160" s="620"/>
      <c r="E160" s="620"/>
      <c r="F160" s="620"/>
      <c r="G160" s="620"/>
      <c r="H160" s="620"/>
      <c r="I160" s="620"/>
      <c r="J160" s="620"/>
      <c r="K160" s="620"/>
      <c r="L160" s="620"/>
      <c r="M160" s="620"/>
      <c r="N160" s="620"/>
      <c r="O160" s="620"/>
      <c r="P160" s="620"/>
      <c r="Q160" s="620"/>
      <c r="R160" s="620"/>
      <c r="S160" s="620"/>
      <c r="T160" s="620"/>
      <c r="U160" s="620"/>
      <c r="V160" s="620"/>
      <c r="W160" s="620"/>
      <c r="X160" s="620"/>
      <c r="Y160" s="620"/>
      <c r="Z160" s="620"/>
      <c r="AA160" s="66"/>
      <c r="AB160" s="66"/>
      <c r="AC160" s="80"/>
    </row>
    <row r="161" spans="1:68" ht="27" customHeight="1" x14ac:dyDescent="0.25">
      <c r="A161" s="63" t="s">
        <v>266</v>
      </c>
      <c r="B161" s="63" t="s">
        <v>267</v>
      </c>
      <c r="C161" s="36">
        <v>4301031191</v>
      </c>
      <c r="D161" s="621">
        <v>4680115880993</v>
      </c>
      <c r="E161" s="621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120</v>
      </c>
      <c r="L161" s="37" t="s">
        <v>121</v>
      </c>
      <c r="M161" s="38" t="s">
        <v>82</v>
      </c>
      <c r="N161" s="38"/>
      <c r="O161" s="37">
        <v>40</v>
      </c>
      <c r="P161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3"/>
      <c r="R161" s="623"/>
      <c r="S161" s="623"/>
      <c r="T161" s="624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268</v>
      </c>
      <c r="AG161" s="78"/>
      <c r="AJ161" s="84" t="s">
        <v>117</v>
      </c>
      <c r="AK161" s="84">
        <v>50.4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4301031204</v>
      </c>
      <c r="D162" s="621">
        <v>4680115881761</v>
      </c>
      <c r="E162" s="621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120</v>
      </c>
      <c r="L162" s="37" t="s">
        <v>45</v>
      </c>
      <c r="M162" s="38" t="s">
        <v>82</v>
      </c>
      <c r="N162" s="38"/>
      <c r="O162" s="37">
        <v>40</v>
      </c>
      <c r="P162" s="6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3"/>
      <c r="R162" s="623"/>
      <c r="S162" s="623"/>
      <c r="T162" s="62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271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272</v>
      </c>
      <c r="B163" s="63" t="s">
        <v>273</v>
      </c>
      <c r="C163" s="36">
        <v>4301031201</v>
      </c>
      <c r="D163" s="621">
        <v>4680115881563</v>
      </c>
      <c r="E163" s="621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120</v>
      </c>
      <c r="L163" s="37" t="s">
        <v>121</v>
      </c>
      <c r="M163" s="38" t="s">
        <v>82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274</v>
      </c>
      <c r="AG163" s="78"/>
      <c r="AJ163" s="84" t="s">
        <v>117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275</v>
      </c>
      <c r="B164" s="63" t="s">
        <v>276</v>
      </c>
      <c r="C164" s="36">
        <v>4301031199</v>
      </c>
      <c r="D164" s="621">
        <v>4680115880986</v>
      </c>
      <c r="E164" s="621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83</v>
      </c>
      <c r="L164" s="37" t="s">
        <v>277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268</v>
      </c>
      <c r="AG164" s="78"/>
      <c r="AJ164" s="84" t="s">
        <v>117</v>
      </c>
      <c r="AK164" s="84">
        <v>37.799999999999997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278</v>
      </c>
      <c r="B165" s="63" t="s">
        <v>279</v>
      </c>
      <c r="C165" s="36">
        <v>4301031443</v>
      </c>
      <c r="D165" s="621">
        <v>4680115887213</v>
      </c>
      <c r="E165" s="621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83</v>
      </c>
      <c r="L165" s="37" t="s">
        <v>45</v>
      </c>
      <c r="M165" s="38" t="s">
        <v>82</v>
      </c>
      <c r="N165" s="38"/>
      <c r="O165" s="37">
        <v>45</v>
      </c>
      <c r="P165" s="694" t="s">
        <v>280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4301031205</v>
      </c>
      <c r="D166" s="621">
        <v>4680115881785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45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271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4301031399</v>
      </c>
      <c r="D167" s="621">
        <v>4680115886537</v>
      </c>
      <c r="E167" s="621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277</v>
      </c>
      <c r="M167" s="38" t="s">
        <v>82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117</v>
      </c>
      <c r="AK167" s="84">
        <v>32.4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287</v>
      </c>
      <c r="B168" s="63" t="s">
        <v>288</v>
      </c>
      <c r="C168" s="36">
        <v>4301031202</v>
      </c>
      <c r="D168" s="621">
        <v>4680115881679</v>
      </c>
      <c r="E168" s="621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277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274</v>
      </c>
      <c r="AG168" s="78"/>
      <c r="AJ168" s="84" t="s">
        <v>117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289</v>
      </c>
      <c r="B169" s="63" t="s">
        <v>290</v>
      </c>
      <c r="C169" s="36">
        <v>4301031158</v>
      </c>
      <c r="D169" s="621">
        <v>4680115880191</v>
      </c>
      <c r="E169" s="621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274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291</v>
      </c>
      <c r="B170" s="63" t="s">
        <v>292</v>
      </c>
      <c r="C170" s="36">
        <v>4301031245</v>
      </c>
      <c r="D170" s="621">
        <v>4680115883963</v>
      </c>
      <c r="E170" s="621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8"/>
      <c r="B171" s="628"/>
      <c r="C171" s="628"/>
      <c r="D171" s="628"/>
      <c r="E171" s="628"/>
      <c r="F171" s="628"/>
      <c r="G171" s="628"/>
      <c r="H171" s="628"/>
      <c r="I171" s="628"/>
      <c r="J171" s="628"/>
      <c r="K171" s="628"/>
      <c r="L171" s="628"/>
      <c r="M171" s="628"/>
      <c r="N171" s="628"/>
      <c r="O171" s="629"/>
      <c r="P171" s="625" t="s">
        <v>40</v>
      </c>
      <c r="Q171" s="626"/>
      <c r="R171" s="626"/>
      <c r="S171" s="626"/>
      <c r="T171" s="626"/>
      <c r="U171" s="626"/>
      <c r="V171" s="627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20" t="s">
        <v>102</v>
      </c>
      <c r="B173" s="620"/>
      <c r="C173" s="620"/>
      <c r="D173" s="620"/>
      <c r="E173" s="620"/>
      <c r="F173" s="620"/>
      <c r="G173" s="620"/>
      <c r="H173" s="620"/>
      <c r="I173" s="620"/>
      <c r="J173" s="620"/>
      <c r="K173" s="620"/>
      <c r="L173" s="620"/>
      <c r="M173" s="620"/>
      <c r="N173" s="620"/>
      <c r="O173" s="620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6"/>
      <c r="AB173" s="66"/>
      <c r="AC173" s="80"/>
    </row>
    <row r="174" spans="1:68" ht="27" customHeight="1" x14ac:dyDescent="0.25">
      <c r="A174" s="63" t="s">
        <v>294</v>
      </c>
      <c r="B174" s="63" t="s">
        <v>295</v>
      </c>
      <c r="C174" s="36">
        <v>4301032053</v>
      </c>
      <c r="D174" s="621">
        <v>4680115886780</v>
      </c>
      <c r="E174" s="621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298</v>
      </c>
      <c r="L174" s="37" t="s">
        <v>45</v>
      </c>
      <c r="M174" s="38" t="s">
        <v>297</v>
      </c>
      <c r="N174" s="38"/>
      <c r="O174" s="37">
        <v>60</v>
      </c>
      <c r="P174" s="7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296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299</v>
      </c>
      <c r="B175" s="63" t="s">
        <v>300</v>
      </c>
      <c r="C175" s="36">
        <v>4301032051</v>
      </c>
      <c r="D175" s="621">
        <v>4680115886742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298</v>
      </c>
      <c r="L175" s="37" t="s">
        <v>45</v>
      </c>
      <c r="M175" s="38" t="s">
        <v>297</v>
      </c>
      <c r="N175" s="38"/>
      <c r="O175" s="37">
        <v>90</v>
      </c>
      <c r="P175" s="7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4301032052</v>
      </c>
      <c r="D176" s="621">
        <v>4680115886766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298</v>
      </c>
      <c r="L176" s="37" t="s">
        <v>45</v>
      </c>
      <c r="M176" s="38" t="s">
        <v>297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301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8"/>
      <c r="B177" s="628"/>
      <c r="C177" s="628"/>
      <c r="D177" s="628"/>
      <c r="E177" s="628"/>
      <c r="F177" s="628"/>
      <c r="G177" s="628"/>
      <c r="H177" s="628"/>
      <c r="I177" s="628"/>
      <c r="J177" s="628"/>
      <c r="K177" s="628"/>
      <c r="L177" s="628"/>
      <c r="M177" s="628"/>
      <c r="N177" s="628"/>
      <c r="O177" s="629"/>
      <c r="P177" s="625" t="s">
        <v>40</v>
      </c>
      <c r="Q177" s="626"/>
      <c r="R177" s="626"/>
      <c r="S177" s="626"/>
      <c r="T177" s="626"/>
      <c r="U177" s="626"/>
      <c r="V177" s="627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0" t="s">
        <v>304</v>
      </c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0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6"/>
      <c r="AB179" s="66"/>
      <c r="AC179" s="80"/>
    </row>
    <row r="180" spans="1:68" ht="27" customHeight="1" x14ac:dyDescent="0.25">
      <c r="A180" s="63" t="s">
        <v>305</v>
      </c>
      <c r="B180" s="63" t="s">
        <v>306</v>
      </c>
      <c r="C180" s="36">
        <v>4301170013</v>
      </c>
      <c r="D180" s="621">
        <v>4680115886797</v>
      </c>
      <c r="E180" s="621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298</v>
      </c>
      <c r="L180" s="37" t="s">
        <v>45</v>
      </c>
      <c r="M180" s="38" t="s">
        <v>297</v>
      </c>
      <c r="N180" s="38"/>
      <c r="O180" s="37">
        <v>90</v>
      </c>
      <c r="P180" s="7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3"/>
      <c r="R180" s="623"/>
      <c r="S180" s="623"/>
      <c r="T180" s="624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301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9" t="s">
        <v>307</v>
      </c>
      <c r="B183" s="619"/>
      <c r="C183" s="619"/>
      <c r="D183" s="619"/>
      <c r="E183" s="619"/>
      <c r="F183" s="619"/>
      <c r="G183" s="619"/>
      <c r="H183" s="619"/>
      <c r="I183" s="619"/>
      <c r="J183" s="619"/>
      <c r="K183" s="619"/>
      <c r="L183" s="619"/>
      <c r="M183" s="619"/>
      <c r="N183" s="619"/>
      <c r="O183" s="619"/>
      <c r="P183" s="619"/>
      <c r="Q183" s="619"/>
      <c r="R183" s="619"/>
      <c r="S183" s="619"/>
      <c r="T183" s="619"/>
      <c r="U183" s="619"/>
      <c r="V183" s="619"/>
      <c r="W183" s="619"/>
      <c r="X183" s="619"/>
      <c r="Y183" s="619"/>
      <c r="Z183" s="619"/>
      <c r="AA183" s="65"/>
      <c r="AB183" s="65"/>
      <c r="AC183" s="79"/>
    </row>
    <row r="184" spans="1:68" ht="14.25" customHeight="1" x14ac:dyDescent="0.25">
      <c r="A184" s="620" t="s">
        <v>110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6"/>
      <c r="AB184" s="66"/>
      <c r="AC184" s="80"/>
    </row>
    <row r="185" spans="1:68" ht="27" customHeight="1" x14ac:dyDescent="0.25">
      <c r="A185" s="63" t="s">
        <v>308</v>
      </c>
      <c r="B185" s="63" t="s">
        <v>309</v>
      </c>
      <c r="C185" s="36">
        <v>4301011450</v>
      </c>
      <c r="D185" s="621">
        <v>4680115881402</v>
      </c>
      <c r="E185" s="621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115</v>
      </c>
      <c r="L185" s="37" t="s">
        <v>45</v>
      </c>
      <c r="M185" s="38" t="s">
        <v>114</v>
      </c>
      <c r="N185" s="38"/>
      <c r="O185" s="37">
        <v>55</v>
      </c>
      <c r="P185" s="7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3"/>
      <c r="R185" s="623"/>
      <c r="S185" s="623"/>
      <c r="T185" s="62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310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311</v>
      </c>
      <c r="B186" s="63" t="s">
        <v>312</v>
      </c>
      <c r="C186" s="36">
        <v>4301011768</v>
      </c>
      <c r="D186" s="621">
        <v>4680115881396</v>
      </c>
      <c r="E186" s="621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45</v>
      </c>
      <c r="M186" s="38" t="s">
        <v>114</v>
      </c>
      <c r="N186" s="38"/>
      <c r="O186" s="37">
        <v>55</v>
      </c>
      <c r="P186" s="7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310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0" t="s">
        <v>146</v>
      </c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6"/>
      <c r="AB189" s="66"/>
      <c r="AC189" s="80"/>
    </row>
    <row r="190" spans="1:68" ht="16.5" customHeight="1" x14ac:dyDescent="0.25">
      <c r="A190" s="63" t="s">
        <v>313</v>
      </c>
      <c r="B190" s="63" t="s">
        <v>314</v>
      </c>
      <c r="C190" s="36">
        <v>4301020261</v>
      </c>
      <c r="D190" s="621">
        <v>4680115882935</v>
      </c>
      <c r="E190" s="621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115</v>
      </c>
      <c r="L190" s="37" t="s">
        <v>45</v>
      </c>
      <c r="M190" s="38" t="s">
        <v>114</v>
      </c>
      <c r="N190" s="38"/>
      <c r="O190" s="37">
        <v>50</v>
      </c>
      <c r="P190" s="7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3"/>
      <c r="R190" s="623"/>
      <c r="S190" s="623"/>
      <c r="T190" s="624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315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316</v>
      </c>
      <c r="B191" s="63" t="s">
        <v>317</v>
      </c>
      <c r="C191" s="36">
        <v>4301020220</v>
      </c>
      <c r="D191" s="621">
        <v>4680115880764</v>
      </c>
      <c r="E191" s="621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197</v>
      </c>
      <c r="M191" s="38" t="s">
        <v>114</v>
      </c>
      <c r="N191" s="38"/>
      <c r="O191" s="37">
        <v>50</v>
      </c>
      <c r="P191" s="7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315</v>
      </c>
      <c r="AG191" s="78"/>
      <c r="AJ191" s="84" t="s">
        <v>117</v>
      </c>
      <c r="AK191" s="84">
        <v>29.4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0" t="s">
        <v>78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6"/>
      <c r="AB194" s="66"/>
      <c r="AC194" s="80"/>
    </row>
    <row r="195" spans="1:68" ht="27" customHeight="1" x14ac:dyDescent="0.25">
      <c r="A195" s="63" t="s">
        <v>318</v>
      </c>
      <c r="B195" s="63" t="s">
        <v>319</v>
      </c>
      <c r="C195" s="36">
        <v>4301031224</v>
      </c>
      <c r="D195" s="621">
        <v>4680115882683</v>
      </c>
      <c r="E195" s="621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120</v>
      </c>
      <c r="L195" s="37" t="s">
        <v>121</v>
      </c>
      <c r="M195" s="38" t="s">
        <v>82</v>
      </c>
      <c r="N195" s="38"/>
      <c r="O195" s="37">
        <v>40</v>
      </c>
      <c r="P195" s="7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3"/>
      <c r="R195" s="623"/>
      <c r="S195" s="623"/>
      <c r="T195" s="62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320</v>
      </c>
      <c r="AG195" s="78"/>
      <c r="AJ195" s="84" t="s">
        <v>117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321</v>
      </c>
      <c r="B196" s="63" t="s">
        <v>322</v>
      </c>
      <c r="C196" s="36">
        <v>4301031230</v>
      </c>
      <c r="D196" s="621">
        <v>4680115882690</v>
      </c>
      <c r="E196" s="621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121</v>
      </c>
      <c r="M196" s="38" t="s">
        <v>82</v>
      </c>
      <c r="N196" s="38"/>
      <c r="O196" s="37">
        <v>40</v>
      </c>
      <c r="P196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117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4301031220</v>
      </c>
      <c r="D197" s="621">
        <v>4680115882669</v>
      </c>
      <c r="E197" s="621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121</v>
      </c>
      <c r="M197" s="38" t="s">
        <v>82</v>
      </c>
      <c r="N197" s="38"/>
      <c r="O197" s="37">
        <v>40</v>
      </c>
      <c r="P19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117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4301031221</v>
      </c>
      <c r="D198" s="621">
        <v>4680115882676</v>
      </c>
      <c r="E198" s="621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121</v>
      </c>
      <c r="M198" s="38" t="s">
        <v>82</v>
      </c>
      <c r="N198" s="38"/>
      <c r="O198" s="37">
        <v>40</v>
      </c>
      <c r="P19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117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4301031223</v>
      </c>
      <c r="D199" s="621">
        <v>4680115884014</v>
      </c>
      <c r="E199" s="621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277</v>
      </c>
      <c r="M199" s="38" t="s">
        <v>82</v>
      </c>
      <c r="N199" s="38"/>
      <c r="O199" s="37">
        <v>40</v>
      </c>
      <c r="P199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320</v>
      </c>
      <c r="AG199" s="78"/>
      <c r="AJ199" s="84" t="s">
        <v>117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332</v>
      </c>
      <c r="B200" s="63" t="s">
        <v>333</v>
      </c>
      <c r="C200" s="36">
        <v>4301031222</v>
      </c>
      <c r="D200" s="621">
        <v>4680115884007</v>
      </c>
      <c r="E200" s="621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277</v>
      </c>
      <c r="M200" s="38" t="s">
        <v>82</v>
      </c>
      <c r="N200" s="38"/>
      <c r="O200" s="37">
        <v>40</v>
      </c>
      <c r="P200" s="7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117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4301031229</v>
      </c>
      <c r="D201" s="621">
        <v>4680115884038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4301031225</v>
      </c>
      <c r="D202" s="621">
        <v>4680115884021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277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117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0" t="s">
        <v>84</v>
      </c>
      <c r="B205" s="620"/>
      <c r="C205" s="620"/>
      <c r="D205" s="620"/>
      <c r="E205" s="620"/>
      <c r="F205" s="620"/>
      <c r="G205" s="620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6"/>
      <c r="AB205" s="66"/>
      <c r="AC205" s="80"/>
    </row>
    <row r="206" spans="1:68" ht="27" customHeight="1" x14ac:dyDescent="0.25">
      <c r="A206" s="63" t="s">
        <v>338</v>
      </c>
      <c r="B206" s="63" t="s">
        <v>339</v>
      </c>
      <c r="C206" s="36">
        <v>4301051408</v>
      </c>
      <c r="D206" s="621">
        <v>4680115881594</v>
      </c>
      <c r="E206" s="621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115</v>
      </c>
      <c r="L206" s="37" t="s">
        <v>116</v>
      </c>
      <c r="M206" s="38" t="s">
        <v>88</v>
      </c>
      <c r="N206" s="38"/>
      <c r="O206" s="37">
        <v>40</v>
      </c>
      <c r="P206" s="7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340</v>
      </c>
      <c r="AG206" s="78"/>
      <c r="AJ206" s="84" t="s">
        <v>117</v>
      </c>
      <c r="AK206" s="84">
        <v>64.8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341</v>
      </c>
      <c r="B207" s="63" t="s">
        <v>342</v>
      </c>
      <c r="C207" s="36">
        <v>4301051411</v>
      </c>
      <c r="D207" s="621">
        <v>4680115881617</v>
      </c>
      <c r="E207" s="621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115</v>
      </c>
      <c r="L207" s="37" t="s">
        <v>116</v>
      </c>
      <c r="M207" s="38" t="s">
        <v>88</v>
      </c>
      <c r="N207" s="38"/>
      <c r="O207" s="37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117</v>
      </c>
      <c r="AK207" s="84">
        <v>64.8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4301051656</v>
      </c>
      <c r="D208" s="621">
        <v>4680115880573</v>
      </c>
      <c r="E208" s="621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115</v>
      </c>
      <c r="L208" s="37" t="s">
        <v>116</v>
      </c>
      <c r="M208" s="38" t="s">
        <v>88</v>
      </c>
      <c r="N208" s="38"/>
      <c r="O208" s="37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117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4301051407</v>
      </c>
      <c r="D209" s="621">
        <v>4680115882195</v>
      </c>
      <c r="E209" s="621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197</v>
      </c>
      <c r="M209" s="38" t="s">
        <v>88</v>
      </c>
      <c r="N209" s="38"/>
      <c r="O209" s="37">
        <v>40</v>
      </c>
      <c r="P209" s="71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340</v>
      </c>
      <c r="AG209" s="78"/>
      <c r="AJ209" s="84" t="s">
        <v>117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4301051752</v>
      </c>
      <c r="D210" s="621">
        <v>4680115882607</v>
      </c>
      <c r="E210" s="621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96</v>
      </c>
      <c r="N210" s="38"/>
      <c r="O210" s="37">
        <v>45</v>
      </c>
      <c r="P210" s="72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351</v>
      </c>
      <c r="B211" s="63" t="s">
        <v>352</v>
      </c>
      <c r="C211" s="36">
        <v>4301051666</v>
      </c>
      <c r="D211" s="621">
        <v>4680115880092</v>
      </c>
      <c r="E211" s="621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197</v>
      </c>
      <c r="M211" s="38" t="s">
        <v>88</v>
      </c>
      <c r="N211" s="38"/>
      <c r="O211" s="37">
        <v>45</v>
      </c>
      <c r="P211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346</v>
      </c>
      <c r="AG211" s="78"/>
      <c r="AJ211" s="84" t="s">
        <v>117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353</v>
      </c>
      <c r="B212" s="63" t="s">
        <v>354</v>
      </c>
      <c r="C212" s="36">
        <v>4301051668</v>
      </c>
      <c r="D212" s="621">
        <v>4680115880221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197</v>
      </c>
      <c r="M212" s="38" t="s">
        <v>88</v>
      </c>
      <c r="N212" s="38"/>
      <c r="O212" s="37">
        <v>45</v>
      </c>
      <c r="P212" s="7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346</v>
      </c>
      <c r="AG212" s="78"/>
      <c r="AJ212" s="84" t="s">
        <v>117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355</v>
      </c>
      <c r="B213" s="63" t="s">
        <v>356</v>
      </c>
      <c r="C213" s="36">
        <v>4301051945</v>
      </c>
      <c r="D213" s="621">
        <v>4680115880504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197</v>
      </c>
      <c r="M213" s="38" t="s">
        <v>96</v>
      </c>
      <c r="N213" s="38"/>
      <c r="O213" s="37">
        <v>40</v>
      </c>
      <c r="P213" s="7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357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4301051410</v>
      </c>
      <c r="D214" s="621">
        <v>4680115882164</v>
      </c>
      <c r="E214" s="621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197</v>
      </c>
      <c r="M214" s="38" t="s">
        <v>88</v>
      </c>
      <c r="N214" s="38"/>
      <c r="O214" s="37">
        <v>40</v>
      </c>
      <c r="P214" s="7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343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0" t="s">
        <v>174</v>
      </c>
      <c r="B217" s="620"/>
      <c r="C217" s="620"/>
      <c r="D217" s="620"/>
      <c r="E217" s="620"/>
      <c r="F217" s="620"/>
      <c r="G217" s="620"/>
      <c r="H217" s="620"/>
      <c r="I217" s="620"/>
      <c r="J217" s="620"/>
      <c r="K217" s="620"/>
      <c r="L217" s="620"/>
      <c r="M217" s="620"/>
      <c r="N217" s="620"/>
      <c r="O217" s="620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6"/>
      <c r="AB217" s="66"/>
      <c r="AC217" s="80"/>
    </row>
    <row r="218" spans="1:68" ht="27" customHeight="1" x14ac:dyDescent="0.25">
      <c r="A218" s="63" t="s">
        <v>360</v>
      </c>
      <c r="B218" s="63" t="s">
        <v>361</v>
      </c>
      <c r="C218" s="36">
        <v>4301060463</v>
      </c>
      <c r="D218" s="621">
        <v>4680115880818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197</v>
      </c>
      <c r="M218" s="38" t="s">
        <v>96</v>
      </c>
      <c r="N218" s="38"/>
      <c r="O218" s="37">
        <v>40</v>
      </c>
      <c r="P218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362</v>
      </c>
      <c r="AG218" s="78"/>
      <c r="AJ218" s="84" t="s">
        <v>117</v>
      </c>
      <c r="AK218" s="84">
        <v>33.6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363</v>
      </c>
      <c r="B219" s="63" t="s">
        <v>364</v>
      </c>
      <c r="C219" s="36">
        <v>4301060389</v>
      </c>
      <c r="D219" s="621">
        <v>4680115880801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197</v>
      </c>
      <c r="M219" s="38" t="s">
        <v>88</v>
      </c>
      <c r="N219" s="38"/>
      <c r="O219" s="37">
        <v>40</v>
      </c>
      <c r="P219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117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8"/>
      <c r="B220" s="628"/>
      <c r="C220" s="628"/>
      <c r="D220" s="628"/>
      <c r="E220" s="628"/>
      <c r="F220" s="628"/>
      <c r="G220" s="628"/>
      <c r="H220" s="628"/>
      <c r="I220" s="628"/>
      <c r="J220" s="628"/>
      <c r="K220" s="628"/>
      <c r="L220" s="628"/>
      <c r="M220" s="628"/>
      <c r="N220" s="628"/>
      <c r="O220" s="629"/>
      <c r="P220" s="625" t="s">
        <v>40</v>
      </c>
      <c r="Q220" s="626"/>
      <c r="R220" s="626"/>
      <c r="S220" s="626"/>
      <c r="T220" s="626"/>
      <c r="U220" s="626"/>
      <c r="V220" s="627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9" t="s">
        <v>366</v>
      </c>
      <c r="B222" s="619"/>
      <c r="C222" s="619"/>
      <c r="D222" s="619"/>
      <c r="E222" s="619"/>
      <c r="F222" s="619"/>
      <c r="G222" s="619"/>
      <c r="H222" s="619"/>
      <c r="I222" s="619"/>
      <c r="J222" s="619"/>
      <c r="K222" s="619"/>
      <c r="L222" s="619"/>
      <c r="M222" s="619"/>
      <c r="N222" s="619"/>
      <c r="O222" s="619"/>
      <c r="P222" s="619"/>
      <c r="Q222" s="619"/>
      <c r="R222" s="619"/>
      <c r="S222" s="619"/>
      <c r="T222" s="619"/>
      <c r="U222" s="619"/>
      <c r="V222" s="619"/>
      <c r="W222" s="619"/>
      <c r="X222" s="619"/>
      <c r="Y222" s="619"/>
      <c r="Z222" s="619"/>
      <c r="AA222" s="65"/>
      <c r="AB222" s="65"/>
      <c r="AC222" s="79"/>
    </row>
    <row r="223" spans="1:68" ht="14.25" customHeight="1" x14ac:dyDescent="0.25">
      <c r="A223" s="620" t="s">
        <v>110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6"/>
      <c r="AB223" s="66"/>
      <c r="AC223" s="80"/>
    </row>
    <row r="224" spans="1:68" ht="27" customHeight="1" x14ac:dyDescent="0.25">
      <c r="A224" s="63" t="s">
        <v>367</v>
      </c>
      <c r="B224" s="63" t="s">
        <v>368</v>
      </c>
      <c r="C224" s="36">
        <v>4301011826</v>
      </c>
      <c r="D224" s="621">
        <v>4680115884137</v>
      </c>
      <c r="E224" s="621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115</v>
      </c>
      <c r="L224" s="37" t="s">
        <v>116</v>
      </c>
      <c r="M224" s="38" t="s">
        <v>114</v>
      </c>
      <c r="N224" s="38"/>
      <c r="O224" s="37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3"/>
      <c r="R224" s="623"/>
      <c r="S224" s="623"/>
      <c r="T224" s="624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369</v>
      </c>
      <c r="AG224" s="78"/>
      <c r="AJ224" s="84" t="s">
        <v>117</v>
      </c>
      <c r="AK224" s="84">
        <v>92.8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370</v>
      </c>
      <c r="B225" s="63" t="s">
        <v>371</v>
      </c>
      <c r="C225" s="36">
        <v>4301011724</v>
      </c>
      <c r="D225" s="621">
        <v>4680115884236</v>
      </c>
      <c r="E225" s="621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4301011721</v>
      </c>
      <c r="D226" s="621">
        <v>4680115884175</v>
      </c>
      <c r="E226" s="621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4301011824</v>
      </c>
      <c r="D227" s="621">
        <v>4680115884144</v>
      </c>
      <c r="E227" s="621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120</v>
      </c>
      <c r="L227" s="37" t="s">
        <v>45</v>
      </c>
      <c r="M227" s="38" t="s">
        <v>114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369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376</v>
      </c>
      <c r="B228" s="63" t="s">
        <v>378</v>
      </c>
      <c r="C228" s="36">
        <v>4301012196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369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380</v>
      </c>
      <c r="C229" s="36">
        <v>4301012149</v>
      </c>
      <c r="D229" s="621">
        <v>4680115886551</v>
      </c>
      <c r="E229" s="621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381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4301011726</v>
      </c>
      <c r="D230" s="621">
        <v>4680115884182</v>
      </c>
      <c r="E230" s="621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372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4301012228</v>
      </c>
      <c r="D231" s="621">
        <v>4680115887282</v>
      </c>
      <c r="E231" s="6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114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372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4301011722</v>
      </c>
      <c r="D232" s="621">
        <v>4680115884205</v>
      </c>
      <c r="E232" s="621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120</v>
      </c>
      <c r="L232" s="37" t="s">
        <v>45</v>
      </c>
      <c r="M232" s="38" t="s">
        <v>114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386</v>
      </c>
      <c r="B233" s="63" t="s">
        <v>388</v>
      </c>
      <c r="C233" s="36">
        <v>4301012195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45</v>
      </c>
      <c r="M233" s="38" t="s">
        <v>114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375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8"/>
      <c r="B234" s="628"/>
      <c r="C234" s="628"/>
      <c r="D234" s="628"/>
      <c r="E234" s="628"/>
      <c r="F234" s="628"/>
      <c r="G234" s="628"/>
      <c r="H234" s="628"/>
      <c r="I234" s="628"/>
      <c r="J234" s="628"/>
      <c r="K234" s="628"/>
      <c r="L234" s="628"/>
      <c r="M234" s="628"/>
      <c r="N234" s="628"/>
      <c r="O234" s="629"/>
      <c r="P234" s="625" t="s">
        <v>40</v>
      </c>
      <c r="Q234" s="626"/>
      <c r="R234" s="626"/>
      <c r="S234" s="626"/>
      <c r="T234" s="626"/>
      <c r="U234" s="626"/>
      <c r="V234" s="627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0" t="s">
        <v>146</v>
      </c>
      <c r="B236" s="620"/>
      <c r="C236" s="620"/>
      <c r="D236" s="620"/>
      <c r="E236" s="620"/>
      <c r="F236" s="620"/>
      <c r="G236" s="620"/>
      <c r="H236" s="620"/>
      <c r="I236" s="620"/>
      <c r="J236" s="620"/>
      <c r="K236" s="620"/>
      <c r="L236" s="620"/>
      <c r="M236" s="620"/>
      <c r="N236" s="620"/>
      <c r="O236" s="620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6"/>
      <c r="AB236" s="66"/>
      <c r="AC236" s="80"/>
    </row>
    <row r="237" spans="1:68" ht="27" customHeight="1" x14ac:dyDescent="0.25">
      <c r="A237" s="63" t="s">
        <v>389</v>
      </c>
      <c r="B237" s="63" t="s">
        <v>390</v>
      </c>
      <c r="C237" s="36">
        <v>4301020377</v>
      </c>
      <c r="D237" s="621">
        <v>4680115885981</v>
      </c>
      <c r="E237" s="621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391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8"/>
      <c r="B238" s="628"/>
      <c r="C238" s="628"/>
      <c r="D238" s="628"/>
      <c r="E238" s="628"/>
      <c r="F238" s="628"/>
      <c r="G238" s="628"/>
      <c r="H238" s="628"/>
      <c r="I238" s="628"/>
      <c r="J238" s="628"/>
      <c r="K238" s="628"/>
      <c r="L238" s="628"/>
      <c r="M238" s="628"/>
      <c r="N238" s="628"/>
      <c r="O238" s="629"/>
      <c r="P238" s="625" t="s">
        <v>40</v>
      </c>
      <c r="Q238" s="626"/>
      <c r="R238" s="626"/>
      <c r="S238" s="626"/>
      <c r="T238" s="626"/>
      <c r="U238" s="626"/>
      <c r="V238" s="627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0" t="s">
        <v>392</v>
      </c>
      <c r="B240" s="620"/>
      <c r="C240" s="620"/>
      <c r="D240" s="620"/>
      <c r="E240" s="620"/>
      <c r="F240" s="620"/>
      <c r="G240" s="620"/>
      <c r="H240" s="620"/>
      <c r="I240" s="620"/>
      <c r="J240" s="620"/>
      <c r="K240" s="620"/>
      <c r="L240" s="620"/>
      <c r="M240" s="620"/>
      <c r="N240" s="620"/>
      <c r="O240" s="620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6"/>
      <c r="AB240" s="66"/>
      <c r="AC240" s="80"/>
    </row>
    <row r="241" spans="1:68" ht="27" customHeight="1" x14ac:dyDescent="0.25">
      <c r="A241" s="63" t="s">
        <v>393</v>
      </c>
      <c r="B241" s="63" t="s">
        <v>394</v>
      </c>
      <c r="C241" s="36">
        <v>4301040362</v>
      </c>
      <c r="D241" s="621">
        <v>4680115886803</v>
      </c>
      <c r="E241" s="621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298</v>
      </c>
      <c r="L241" s="37" t="s">
        <v>45</v>
      </c>
      <c r="M241" s="38" t="s">
        <v>297</v>
      </c>
      <c r="N241" s="38"/>
      <c r="O241" s="37">
        <v>45</v>
      </c>
      <c r="P24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3"/>
      <c r="R241" s="623"/>
      <c r="S241" s="623"/>
      <c r="T241" s="62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395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0" t="s">
        <v>396</v>
      </c>
      <c r="B244" s="620"/>
      <c r="C244" s="620"/>
      <c r="D244" s="620"/>
      <c r="E244" s="620"/>
      <c r="F244" s="620"/>
      <c r="G244" s="620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6"/>
      <c r="AB244" s="66"/>
      <c r="AC244" s="80"/>
    </row>
    <row r="245" spans="1:68" ht="27" customHeight="1" x14ac:dyDescent="0.25">
      <c r="A245" s="63" t="s">
        <v>397</v>
      </c>
      <c r="B245" s="63" t="s">
        <v>398</v>
      </c>
      <c r="C245" s="36">
        <v>4301041004</v>
      </c>
      <c r="D245" s="621">
        <v>4680115886704</v>
      </c>
      <c r="E245" s="621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298</v>
      </c>
      <c r="L245" s="37" t="s">
        <v>45</v>
      </c>
      <c r="M245" s="38" t="s">
        <v>297</v>
      </c>
      <c r="N245" s="38"/>
      <c r="O245" s="37">
        <v>90</v>
      </c>
      <c r="P245" s="7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3"/>
      <c r="R245" s="623"/>
      <c r="S245" s="623"/>
      <c r="T245" s="624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399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400</v>
      </c>
      <c r="B246" s="63" t="s">
        <v>401</v>
      </c>
      <c r="C246" s="36">
        <v>4301041008</v>
      </c>
      <c r="D246" s="621">
        <v>4680115886681</v>
      </c>
      <c r="E246" s="621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298</v>
      </c>
      <c r="L246" s="37" t="s">
        <v>45</v>
      </c>
      <c r="M246" s="38" t="s">
        <v>297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399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4301041007</v>
      </c>
      <c r="D247" s="621">
        <v>4680115886735</v>
      </c>
      <c r="E247" s="621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298</v>
      </c>
      <c r="L247" s="37" t="s">
        <v>45</v>
      </c>
      <c r="M247" s="38" t="s">
        <v>297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399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404</v>
      </c>
      <c r="B248" s="63" t="s">
        <v>405</v>
      </c>
      <c r="C248" s="36">
        <v>4301041006</v>
      </c>
      <c r="D248" s="621">
        <v>4680115886728</v>
      </c>
      <c r="E248" s="621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298</v>
      </c>
      <c r="L248" s="37" t="s">
        <v>45</v>
      </c>
      <c r="M248" s="38" t="s">
        <v>297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399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4301041005</v>
      </c>
      <c r="D249" s="621">
        <v>4680115886711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298</v>
      </c>
      <c r="L249" s="37" t="s">
        <v>45</v>
      </c>
      <c r="M249" s="38" t="s">
        <v>297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399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9" t="s">
        <v>408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5"/>
      <c r="AB252" s="65"/>
      <c r="AC252" s="79"/>
    </row>
    <row r="253" spans="1:68" ht="14.25" customHeight="1" x14ac:dyDescent="0.25">
      <c r="A253" s="620" t="s">
        <v>110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27" customHeight="1" x14ac:dyDescent="0.25">
      <c r="A254" s="63" t="s">
        <v>409</v>
      </c>
      <c r="B254" s="63" t="s">
        <v>410</v>
      </c>
      <c r="C254" s="36">
        <v>4301011855</v>
      </c>
      <c r="D254" s="621">
        <v>4680115885837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115</v>
      </c>
      <c r="L254" s="37" t="s">
        <v>116</v>
      </c>
      <c r="M254" s="38" t="s">
        <v>114</v>
      </c>
      <c r="N254" s="38"/>
      <c r="O254" s="37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411</v>
      </c>
      <c r="AG254" s="78"/>
      <c r="AJ254" s="84" t="s">
        <v>117</v>
      </c>
      <c r="AK254" s="84">
        <v>86.4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412</v>
      </c>
      <c r="B255" s="63" t="s">
        <v>413</v>
      </c>
      <c r="C255" s="36">
        <v>4301011853</v>
      </c>
      <c r="D255" s="621">
        <v>4680115885851</v>
      </c>
      <c r="E255" s="62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415</v>
      </c>
      <c r="B256" s="63" t="s">
        <v>416</v>
      </c>
      <c r="C256" s="36">
        <v>4301011850</v>
      </c>
      <c r="D256" s="621">
        <v>4680115885806</v>
      </c>
      <c r="E256" s="62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4301011852</v>
      </c>
      <c r="D257" s="621">
        <v>4680115885844</v>
      </c>
      <c r="E257" s="621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120</v>
      </c>
      <c r="L257" s="37" t="s">
        <v>45</v>
      </c>
      <c r="M257" s="38" t="s">
        <v>114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421</v>
      </c>
      <c r="B258" s="63" t="s">
        <v>422</v>
      </c>
      <c r="C258" s="36">
        <v>4301011851</v>
      </c>
      <c r="D258" s="621">
        <v>4680115885820</v>
      </c>
      <c r="E258" s="621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9" t="s">
        <v>424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5"/>
      <c r="AB261" s="65"/>
      <c r="AC261" s="79"/>
    </row>
    <row r="262" spans="1:68" ht="14.25" customHeight="1" x14ac:dyDescent="0.25">
      <c r="A262" s="620" t="s">
        <v>110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6"/>
      <c r="AB262" s="66"/>
      <c r="AC262" s="80"/>
    </row>
    <row r="263" spans="1:68" ht="27" customHeight="1" x14ac:dyDescent="0.25">
      <c r="A263" s="63" t="s">
        <v>425</v>
      </c>
      <c r="B263" s="63" t="s">
        <v>426</v>
      </c>
      <c r="C263" s="36">
        <v>4301011223</v>
      </c>
      <c r="D263" s="621">
        <v>4607091383423</v>
      </c>
      <c r="E263" s="621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115</v>
      </c>
      <c r="L263" s="37" t="s">
        <v>45</v>
      </c>
      <c r="M263" s="38" t="s">
        <v>88</v>
      </c>
      <c r="N263" s="38"/>
      <c r="O263" s="37">
        <v>35</v>
      </c>
      <c r="P263" s="7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113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427</v>
      </c>
      <c r="B264" s="63" t="s">
        <v>428</v>
      </c>
      <c r="C264" s="36">
        <v>4301012199</v>
      </c>
      <c r="D264" s="621">
        <v>4680115886957</v>
      </c>
      <c r="E264" s="6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30</v>
      </c>
      <c r="P264" s="7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430</v>
      </c>
      <c r="B265" s="63" t="s">
        <v>431</v>
      </c>
      <c r="C265" s="36">
        <v>4301012098</v>
      </c>
      <c r="D265" s="621">
        <v>4680115885660</v>
      </c>
      <c r="E265" s="621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35</v>
      </c>
      <c r="P265" s="75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432</v>
      </c>
      <c r="B266" s="63" t="s">
        <v>433</v>
      </c>
      <c r="C266" s="36">
        <v>4301012176</v>
      </c>
      <c r="D266" s="621">
        <v>4680115886773</v>
      </c>
      <c r="E266" s="621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115</v>
      </c>
      <c r="L266" s="37" t="s">
        <v>45</v>
      </c>
      <c r="M266" s="38" t="s">
        <v>114</v>
      </c>
      <c r="N266" s="38"/>
      <c r="O266" s="37">
        <v>31</v>
      </c>
      <c r="P266" s="75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9" t="s">
        <v>435</v>
      </c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19"/>
      <c r="S269" s="619"/>
      <c r="T269" s="619"/>
      <c r="U269" s="619"/>
      <c r="V269" s="619"/>
      <c r="W269" s="619"/>
      <c r="X269" s="619"/>
      <c r="Y269" s="619"/>
      <c r="Z269" s="619"/>
      <c r="AA269" s="65"/>
      <c r="AB269" s="65"/>
      <c r="AC269" s="79"/>
    </row>
    <row r="270" spans="1:68" ht="14.25" customHeight="1" x14ac:dyDescent="0.25">
      <c r="A270" s="620" t="s">
        <v>84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6"/>
      <c r="AB270" s="66"/>
      <c r="AC270" s="80"/>
    </row>
    <row r="271" spans="1:68" ht="27" customHeight="1" x14ac:dyDescent="0.25">
      <c r="A271" s="63" t="s">
        <v>436</v>
      </c>
      <c r="B271" s="63" t="s">
        <v>437</v>
      </c>
      <c r="C271" s="36">
        <v>4301051893</v>
      </c>
      <c r="D271" s="621">
        <v>4680115886186</v>
      </c>
      <c r="E271" s="621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438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439</v>
      </c>
      <c r="B272" s="63" t="s">
        <v>440</v>
      </c>
      <c r="C272" s="36">
        <v>4301051795</v>
      </c>
      <c r="D272" s="621">
        <v>4680115881228</v>
      </c>
      <c r="E272" s="62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197</v>
      </c>
      <c r="M272" s="38" t="s">
        <v>96</v>
      </c>
      <c r="N272" s="38"/>
      <c r="O272" s="37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117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4301051388</v>
      </c>
      <c r="D273" s="621">
        <v>4680115881211</v>
      </c>
      <c r="E273" s="621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197</v>
      </c>
      <c r="M273" s="38" t="s">
        <v>88</v>
      </c>
      <c r="N273" s="38"/>
      <c r="O273" s="37">
        <v>45</v>
      </c>
      <c r="P273" s="75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117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8"/>
      <c r="B274" s="628"/>
      <c r="C274" s="628"/>
      <c r="D274" s="628"/>
      <c r="E274" s="628"/>
      <c r="F274" s="628"/>
      <c r="G274" s="628"/>
      <c r="H274" s="628"/>
      <c r="I274" s="628"/>
      <c r="J274" s="628"/>
      <c r="K274" s="628"/>
      <c r="L274" s="628"/>
      <c r="M274" s="628"/>
      <c r="N274" s="628"/>
      <c r="O274" s="629"/>
      <c r="P274" s="625" t="s">
        <v>40</v>
      </c>
      <c r="Q274" s="626"/>
      <c r="R274" s="626"/>
      <c r="S274" s="626"/>
      <c r="T274" s="626"/>
      <c r="U274" s="626"/>
      <c r="V274" s="627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9" t="s">
        <v>444</v>
      </c>
      <c r="B276" s="619"/>
      <c r="C276" s="619"/>
      <c r="D276" s="619"/>
      <c r="E276" s="619"/>
      <c r="F276" s="619"/>
      <c r="G276" s="619"/>
      <c r="H276" s="619"/>
      <c r="I276" s="619"/>
      <c r="J276" s="619"/>
      <c r="K276" s="619"/>
      <c r="L276" s="619"/>
      <c r="M276" s="619"/>
      <c r="N276" s="619"/>
      <c r="O276" s="619"/>
      <c r="P276" s="619"/>
      <c r="Q276" s="619"/>
      <c r="R276" s="619"/>
      <c r="S276" s="619"/>
      <c r="T276" s="619"/>
      <c r="U276" s="619"/>
      <c r="V276" s="619"/>
      <c r="W276" s="619"/>
      <c r="X276" s="619"/>
      <c r="Y276" s="619"/>
      <c r="Z276" s="619"/>
      <c r="AA276" s="65"/>
      <c r="AB276" s="65"/>
      <c r="AC276" s="79"/>
    </row>
    <row r="277" spans="1:68" ht="14.25" customHeight="1" x14ac:dyDescent="0.25">
      <c r="A277" s="620" t="s">
        <v>78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6"/>
      <c r="AB277" s="66"/>
      <c r="AC277" s="80"/>
    </row>
    <row r="278" spans="1:68" ht="27" customHeight="1" x14ac:dyDescent="0.25">
      <c r="A278" s="63" t="s">
        <v>445</v>
      </c>
      <c r="B278" s="63" t="s">
        <v>446</v>
      </c>
      <c r="C278" s="36">
        <v>4301031307</v>
      </c>
      <c r="D278" s="621">
        <v>4680115880344</v>
      </c>
      <c r="E278" s="621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447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448</v>
      </c>
      <c r="B279" s="63" t="s">
        <v>449</v>
      </c>
      <c r="C279" s="36">
        <v>4301031429</v>
      </c>
      <c r="D279" s="621">
        <v>4680115886919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8"/>
      <c r="B280" s="628"/>
      <c r="C280" s="628"/>
      <c r="D280" s="628"/>
      <c r="E280" s="628"/>
      <c r="F280" s="628"/>
      <c r="G280" s="628"/>
      <c r="H280" s="628"/>
      <c r="I280" s="628"/>
      <c r="J280" s="628"/>
      <c r="K280" s="628"/>
      <c r="L280" s="628"/>
      <c r="M280" s="628"/>
      <c r="N280" s="628"/>
      <c r="O280" s="629"/>
      <c r="P280" s="625" t="s">
        <v>40</v>
      </c>
      <c r="Q280" s="626"/>
      <c r="R280" s="626"/>
      <c r="S280" s="626"/>
      <c r="T280" s="626"/>
      <c r="U280" s="626"/>
      <c r="V280" s="627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0" t="s">
        <v>84</v>
      </c>
      <c r="B282" s="620"/>
      <c r="C282" s="620"/>
      <c r="D282" s="620"/>
      <c r="E282" s="620"/>
      <c r="F282" s="620"/>
      <c r="G282" s="620"/>
      <c r="H282" s="620"/>
      <c r="I282" s="620"/>
      <c r="J282" s="620"/>
      <c r="K282" s="620"/>
      <c r="L282" s="620"/>
      <c r="M282" s="620"/>
      <c r="N282" s="620"/>
      <c r="O282" s="620"/>
      <c r="P282" s="620"/>
      <c r="Q282" s="620"/>
      <c r="R282" s="620"/>
      <c r="S282" s="620"/>
      <c r="T282" s="620"/>
      <c r="U282" s="620"/>
      <c r="V282" s="620"/>
      <c r="W282" s="620"/>
      <c r="X282" s="620"/>
      <c r="Y282" s="620"/>
      <c r="Z282" s="620"/>
      <c r="AA282" s="66"/>
      <c r="AB282" s="66"/>
      <c r="AC282" s="80"/>
    </row>
    <row r="283" spans="1:68" ht="37.5" customHeight="1" x14ac:dyDescent="0.25">
      <c r="A283" s="63" t="s">
        <v>451</v>
      </c>
      <c r="B283" s="63" t="s">
        <v>452</v>
      </c>
      <c r="C283" s="36">
        <v>4301051782</v>
      </c>
      <c r="D283" s="621">
        <v>4680115884618</v>
      </c>
      <c r="E283" s="621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120</v>
      </c>
      <c r="L283" s="37" t="s">
        <v>45</v>
      </c>
      <c r="M283" s="38" t="s">
        <v>88</v>
      </c>
      <c r="N283" s="38"/>
      <c r="O283" s="37">
        <v>45</v>
      </c>
      <c r="P283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3"/>
      <c r="R283" s="623"/>
      <c r="S283" s="623"/>
      <c r="T283" s="624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453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454</v>
      </c>
      <c r="B284" s="63" t="s">
        <v>455</v>
      </c>
      <c r="C284" s="36">
        <v>4301052057</v>
      </c>
      <c r="D284" s="621">
        <v>4680115887114</v>
      </c>
      <c r="E284" s="621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120</v>
      </c>
      <c r="L284" s="37" t="s">
        <v>45</v>
      </c>
      <c r="M284" s="38" t="s">
        <v>88</v>
      </c>
      <c r="N284" s="38"/>
      <c r="O284" s="37">
        <v>45</v>
      </c>
      <c r="P284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456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8"/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9"/>
      <c r="P285" s="625" t="s">
        <v>40</v>
      </c>
      <c r="Q285" s="626"/>
      <c r="R285" s="626"/>
      <c r="S285" s="626"/>
      <c r="T285" s="626"/>
      <c r="U285" s="626"/>
      <c r="V285" s="627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8"/>
      <c r="B286" s="628"/>
      <c r="C286" s="628"/>
      <c r="D286" s="628"/>
      <c r="E286" s="628"/>
      <c r="F286" s="628"/>
      <c r="G286" s="628"/>
      <c r="H286" s="628"/>
      <c r="I286" s="628"/>
      <c r="J286" s="628"/>
      <c r="K286" s="628"/>
      <c r="L286" s="628"/>
      <c r="M286" s="628"/>
      <c r="N286" s="628"/>
      <c r="O286" s="629"/>
      <c r="P286" s="625" t="s">
        <v>40</v>
      </c>
      <c r="Q286" s="626"/>
      <c r="R286" s="626"/>
      <c r="S286" s="626"/>
      <c r="T286" s="626"/>
      <c r="U286" s="626"/>
      <c r="V286" s="627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9" t="s">
        <v>457</v>
      </c>
      <c r="B287" s="619"/>
      <c r="C287" s="619"/>
      <c r="D287" s="619"/>
      <c r="E287" s="619"/>
      <c r="F287" s="619"/>
      <c r="G287" s="619"/>
      <c r="H287" s="619"/>
      <c r="I287" s="619"/>
      <c r="J287" s="619"/>
      <c r="K287" s="619"/>
      <c r="L287" s="619"/>
      <c r="M287" s="619"/>
      <c r="N287" s="619"/>
      <c r="O287" s="619"/>
      <c r="P287" s="619"/>
      <c r="Q287" s="619"/>
      <c r="R287" s="619"/>
      <c r="S287" s="619"/>
      <c r="T287" s="619"/>
      <c r="U287" s="619"/>
      <c r="V287" s="619"/>
      <c r="W287" s="619"/>
      <c r="X287" s="619"/>
      <c r="Y287" s="619"/>
      <c r="Z287" s="619"/>
      <c r="AA287" s="65"/>
      <c r="AB287" s="65"/>
      <c r="AC287" s="79"/>
    </row>
    <row r="288" spans="1:68" ht="14.25" customHeight="1" x14ac:dyDescent="0.25">
      <c r="A288" s="620" t="s">
        <v>110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27" customHeight="1" x14ac:dyDescent="0.25">
      <c r="A289" s="63" t="s">
        <v>458</v>
      </c>
      <c r="B289" s="63" t="s">
        <v>459</v>
      </c>
      <c r="C289" s="36">
        <v>4301012024</v>
      </c>
      <c r="D289" s="621">
        <v>4680115885615</v>
      </c>
      <c r="E289" s="621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115</v>
      </c>
      <c r="L289" s="37" t="s">
        <v>45</v>
      </c>
      <c r="M289" s="38" t="s">
        <v>88</v>
      </c>
      <c r="N289" s="38"/>
      <c r="O289" s="37">
        <v>55</v>
      </c>
      <c r="P289" s="7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460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461</v>
      </c>
      <c r="B290" s="63" t="s">
        <v>462</v>
      </c>
      <c r="C290" s="36">
        <v>4301011858</v>
      </c>
      <c r="D290" s="621">
        <v>4680115885646</v>
      </c>
      <c r="E290" s="621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114</v>
      </c>
      <c r="N290" s="38"/>
      <c r="O290" s="37">
        <v>55</v>
      </c>
      <c r="P290" s="7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463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464</v>
      </c>
      <c r="B291" s="63" t="s">
        <v>465</v>
      </c>
      <c r="C291" s="36">
        <v>4301012016</v>
      </c>
      <c r="D291" s="621">
        <v>4680115885554</v>
      </c>
      <c r="E291" s="621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115</v>
      </c>
      <c r="L291" s="37" t="s">
        <v>45</v>
      </c>
      <c r="M291" s="38" t="s">
        <v>88</v>
      </c>
      <c r="N291" s="38"/>
      <c r="O291" s="37">
        <v>55</v>
      </c>
      <c r="P291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466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467</v>
      </c>
      <c r="B292" s="63" t="s">
        <v>468</v>
      </c>
      <c r="C292" s="36">
        <v>4301011857</v>
      </c>
      <c r="D292" s="621">
        <v>4680115885622</v>
      </c>
      <c r="E292" s="621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120</v>
      </c>
      <c r="L292" s="37" t="s">
        <v>45</v>
      </c>
      <c r="M292" s="38" t="s">
        <v>114</v>
      </c>
      <c r="N292" s="38"/>
      <c r="O292" s="37">
        <v>55</v>
      </c>
      <c r="P292" s="7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460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469</v>
      </c>
      <c r="B293" s="63" t="s">
        <v>470</v>
      </c>
      <c r="C293" s="36">
        <v>4301011859</v>
      </c>
      <c r="D293" s="621">
        <v>4680115885608</v>
      </c>
      <c r="E293" s="621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120</v>
      </c>
      <c r="L293" s="37" t="s">
        <v>45</v>
      </c>
      <c r="M293" s="38" t="s">
        <v>114</v>
      </c>
      <c r="N293" s="38"/>
      <c r="O293" s="37">
        <v>55</v>
      </c>
      <c r="P293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471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620" t="s">
        <v>78</v>
      </c>
      <c r="B296" s="620"/>
      <c r="C296" s="620"/>
      <c r="D296" s="620"/>
      <c r="E296" s="620"/>
      <c r="F296" s="620"/>
      <c r="G296" s="620"/>
      <c r="H296" s="620"/>
      <c r="I296" s="620"/>
      <c r="J296" s="620"/>
      <c r="K296" s="620"/>
      <c r="L296" s="620"/>
      <c r="M296" s="620"/>
      <c r="N296" s="620"/>
      <c r="O296" s="620"/>
      <c r="P296" s="620"/>
      <c r="Q296" s="620"/>
      <c r="R296" s="620"/>
      <c r="S296" s="620"/>
      <c r="T296" s="620"/>
      <c r="U296" s="620"/>
      <c r="V296" s="620"/>
      <c r="W296" s="620"/>
      <c r="X296" s="620"/>
      <c r="Y296" s="620"/>
      <c r="Z296" s="620"/>
      <c r="AA296" s="66"/>
      <c r="AB296" s="66"/>
      <c r="AC296" s="80"/>
    </row>
    <row r="297" spans="1:68" ht="27" customHeight="1" x14ac:dyDescent="0.25">
      <c r="A297" s="63" t="s">
        <v>472</v>
      </c>
      <c r="B297" s="63" t="s">
        <v>473</v>
      </c>
      <c r="C297" s="36">
        <v>4301030878</v>
      </c>
      <c r="D297" s="621">
        <v>4607091387193</v>
      </c>
      <c r="E297" s="621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120</v>
      </c>
      <c r="L297" s="37" t="s">
        <v>45</v>
      </c>
      <c r="M297" s="38" t="s">
        <v>82</v>
      </c>
      <c r="N297" s="38"/>
      <c r="O297" s="37">
        <v>35</v>
      </c>
      <c r="P297" s="7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474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475</v>
      </c>
      <c r="B298" s="63" t="s">
        <v>476</v>
      </c>
      <c r="C298" s="36">
        <v>4301031153</v>
      </c>
      <c r="D298" s="621">
        <v>4607091387230</v>
      </c>
      <c r="E298" s="621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120</v>
      </c>
      <c r="L298" s="37" t="s">
        <v>121</v>
      </c>
      <c r="M298" s="38" t="s">
        <v>82</v>
      </c>
      <c r="N298" s="38"/>
      <c r="O298" s="37">
        <v>40</v>
      </c>
      <c r="P298" s="7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477</v>
      </c>
      <c r="AG298" s="78"/>
      <c r="AJ298" s="84" t="s">
        <v>117</v>
      </c>
      <c r="AK298" s="84">
        <v>50.4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478</v>
      </c>
      <c r="B299" s="63" t="s">
        <v>479</v>
      </c>
      <c r="C299" s="36">
        <v>4301031154</v>
      </c>
      <c r="D299" s="621">
        <v>4607091387292</v>
      </c>
      <c r="E299" s="621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120</v>
      </c>
      <c r="L299" s="37" t="s">
        <v>45</v>
      </c>
      <c r="M299" s="38" t="s">
        <v>82</v>
      </c>
      <c r="N299" s="38"/>
      <c r="O299" s="37">
        <v>45</v>
      </c>
      <c r="P299" s="7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480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4301031152</v>
      </c>
      <c r="D300" s="621">
        <v>4607091387285</v>
      </c>
      <c r="E300" s="621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83</v>
      </c>
      <c r="L300" s="37" t="s">
        <v>45</v>
      </c>
      <c r="M300" s="38" t="s">
        <v>82</v>
      </c>
      <c r="N300" s="38"/>
      <c r="O300" s="37">
        <v>40</v>
      </c>
      <c r="P300" s="7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477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483</v>
      </c>
      <c r="B301" s="63" t="s">
        <v>484</v>
      </c>
      <c r="C301" s="36">
        <v>4301031305</v>
      </c>
      <c r="D301" s="621">
        <v>4607091389845</v>
      </c>
      <c r="E301" s="621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83</v>
      </c>
      <c r="L301" s="37" t="s">
        <v>277</v>
      </c>
      <c r="M301" s="38" t="s">
        <v>82</v>
      </c>
      <c r="N301" s="38"/>
      <c r="O301" s="37">
        <v>40</v>
      </c>
      <c r="P301" s="7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485</v>
      </c>
      <c r="AG301" s="78"/>
      <c r="AJ301" s="84" t="s">
        <v>117</v>
      </c>
      <c r="AK301" s="84">
        <v>37.799999999999997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486</v>
      </c>
      <c r="B302" s="63" t="s">
        <v>487</v>
      </c>
      <c r="C302" s="36">
        <v>4301031306</v>
      </c>
      <c r="D302" s="621">
        <v>4680115882881</v>
      </c>
      <c r="E302" s="621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7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485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488</v>
      </c>
      <c r="B303" s="63" t="s">
        <v>489</v>
      </c>
      <c r="C303" s="36">
        <v>4301031066</v>
      </c>
      <c r="D303" s="621">
        <v>4607091383836</v>
      </c>
      <c r="E303" s="621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89</v>
      </c>
      <c r="L303" s="37" t="s">
        <v>45</v>
      </c>
      <c r="M303" s="38" t="s">
        <v>82</v>
      </c>
      <c r="N303" s="38"/>
      <c r="O303" s="37">
        <v>40</v>
      </c>
      <c r="P303" s="7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490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28"/>
      <c r="B304" s="628"/>
      <c r="C304" s="628"/>
      <c r="D304" s="628"/>
      <c r="E304" s="628"/>
      <c r="F304" s="628"/>
      <c r="G304" s="628"/>
      <c r="H304" s="628"/>
      <c r="I304" s="628"/>
      <c r="J304" s="628"/>
      <c r="K304" s="628"/>
      <c r="L304" s="628"/>
      <c r="M304" s="628"/>
      <c r="N304" s="628"/>
      <c r="O304" s="629"/>
      <c r="P304" s="625" t="s">
        <v>40</v>
      </c>
      <c r="Q304" s="626"/>
      <c r="R304" s="626"/>
      <c r="S304" s="626"/>
      <c r="T304" s="626"/>
      <c r="U304" s="626"/>
      <c r="V304" s="62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20" t="s">
        <v>84</v>
      </c>
      <c r="B306" s="620"/>
      <c r="C306" s="620"/>
      <c r="D306" s="620"/>
      <c r="E306" s="620"/>
      <c r="F306" s="620"/>
      <c r="G306" s="620"/>
      <c r="H306" s="620"/>
      <c r="I306" s="620"/>
      <c r="J306" s="620"/>
      <c r="K306" s="620"/>
      <c r="L306" s="620"/>
      <c r="M306" s="620"/>
      <c r="N306" s="620"/>
      <c r="O306" s="620"/>
      <c r="P306" s="620"/>
      <c r="Q306" s="620"/>
      <c r="R306" s="620"/>
      <c r="S306" s="620"/>
      <c r="T306" s="620"/>
      <c r="U306" s="620"/>
      <c r="V306" s="620"/>
      <c r="W306" s="620"/>
      <c r="X306" s="620"/>
      <c r="Y306" s="620"/>
      <c r="Z306" s="620"/>
      <c r="AA306" s="66"/>
      <c r="AB306" s="66"/>
      <c r="AC306" s="80"/>
    </row>
    <row r="307" spans="1:68" ht="27" customHeight="1" x14ac:dyDescent="0.25">
      <c r="A307" s="63" t="s">
        <v>491</v>
      </c>
      <c r="B307" s="63" t="s">
        <v>492</v>
      </c>
      <c r="C307" s="36">
        <v>4301051100</v>
      </c>
      <c r="D307" s="621">
        <v>4607091387766</v>
      </c>
      <c r="E307" s="621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115</v>
      </c>
      <c r="L307" s="37" t="s">
        <v>116</v>
      </c>
      <c r="M307" s="38" t="s">
        <v>88</v>
      </c>
      <c r="N307" s="38"/>
      <c r="O307" s="37">
        <v>40</v>
      </c>
      <c r="P307" s="7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493</v>
      </c>
      <c r="AG307" s="78"/>
      <c r="AJ307" s="84" t="s">
        <v>117</v>
      </c>
      <c r="AK307" s="84">
        <v>62.4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494</v>
      </c>
      <c r="B308" s="63" t="s">
        <v>495</v>
      </c>
      <c r="C308" s="36">
        <v>4301051818</v>
      </c>
      <c r="D308" s="621">
        <v>4607091387957</v>
      </c>
      <c r="E308" s="621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496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497</v>
      </c>
      <c r="B309" s="63" t="s">
        <v>498</v>
      </c>
      <c r="C309" s="36">
        <v>4301051819</v>
      </c>
      <c r="D309" s="621">
        <v>4607091387964</v>
      </c>
      <c r="E309" s="621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115</v>
      </c>
      <c r="L309" s="37" t="s">
        <v>45</v>
      </c>
      <c r="M309" s="38" t="s">
        <v>88</v>
      </c>
      <c r="N309" s="38"/>
      <c r="O309" s="37">
        <v>40</v>
      </c>
      <c r="P309" s="7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499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500</v>
      </c>
      <c r="B310" s="63" t="s">
        <v>501</v>
      </c>
      <c r="C310" s="36">
        <v>4301051734</v>
      </c>
      <c r="D310" s="621">
        <v>4680115884588</v>
      </c>
      <c r="E310" s="621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89</v>
      </c>
      <c r="L310" s="37" t="s">
        <v>45</v>
      </c>
      <c r="M310" s="38" t="s">
        <v>88</v>
      </c>
      <c r="N310" s="38"/>
      <c r="O310" s="37">
        <v>40</v>
      </c>
      <c r="P310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502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20" t="s">
        <v>174</v>
      </c>
      <c r="B313" s="620"/>
      <c r="C313" s="620"/>
      <c r="D313" s="620"/>
      <c r="E313" s="620"/>
      <c r="F313" s="620"/>
      <c r="G313" s="620"/>
      <c r="H313" s="620"/>
      <c r="I313" s="620"/>
      <c r="J313" s="620"/>
      <c r="K313" s="620"/>
      <c r="L313" s="620"/>
      <c r="M313" s="620"/>
      <c r="N313" s="620"/>
      <c r="O313" s="620"/>
      <c r="P313" s="620"/>
      <c r="Q313" s="620"/>
      <c r="R313" s="620"/>
      <c r="S313" s="620"/>
      <c r="T313" s="620"/>
      <c r="U313" s="620"/>
      <c r="V313" s="620"/>
      <c r="W313" s="620"/>
      <c r="X313" s="620"/>
      <c r="Y313" s="620"/>
      <c r="Z313" s="620"/>
      <c r="AA313" s="66"/>
      <c r="AB313" s="66"/>
      <c r="AC313" s="80"/>
    </row>
    <row r="314" spans="1:68" ht="27" customHeight="1" x14ac:dyDescent="0.25">
      <c r="A314" s="63" t="s">
        <v>503</v>
      </c>
      <c r="B314" s="63" t="s">
        <v>504</v>
      </c>
      <c r="C314" s="36">
        <v>4301060387</v>
      </c>
      <c r="D314" s="621">
        <v>4607091380880</v>
      </c>
      <c r="E314" s="621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115</v>
      </c>
      <c r="L314" s="37" t="s">
        <v>116</v>
      </c>
      <c r="M314" s="38" t="s">
        <v>88</v>
      </c>
      <c r="N314" s="38"/>
      <c r="O314" s="37">
        <v>30</v>
      </c>
      <c r="P314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3"/>
      <c r="R314" s="623"/>
      <c r="S314" s="623"/>
      <c r="T314" s="62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505</v>
      </c>
      <c r="AG314" s="78"/>
      <c r="AJ314" s="84" t="s">
        <v>117</v>
      </c>
      <c r="AK314" s="84">
        <v>67.2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506</v>
      </c>
      <c r="B315" s="63" t="s">
        <v>507</v>
      </c>
      <c r="C315" s="36">
        <v>4301060406</v>
      </c>
      <c r="D315" s="621">
        <v>4607091384482</v>
      </c>
      <c r="E315" s="621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116</v>
      </c>
      <c r="M315" s="38" t="s">
        <v>88</v>
      </c>
      <c r="N315" s="38"/>
      <c r="O315" s="37">
        <v>30</v>
      </c>
      <c r="P315" s="7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508</v>
      </c>
      <c r="AG315" s="78"/>
      <c r="AJ315" s="84" t="s">
        <v>117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509</v>
      </c>
      <c r="B316" s="63" t="s">
        <v>510</v>
      </c>
      <c r="C316" s="36">
        <v>4301060484</v>
      </c>
      <c r="D316" s="621">
        <v>4607091380897</v>
      </c>
      <c r="E316" s="621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115</v>
      </c>
      <c r="L316" s="37" t="s">
        <v>116</v>
      </c>
      <c r="M316" s="38" t="s">
        <v>96</v>
      </c>
      <c r="N316" s="38"/>
      <c r="O316" s="37">
        <v>30</v>
      </c>
      <c r="P316" s="7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511</v>
      </c>
      <c r="AG316" s="78"/>
      <c r="AJ316" s="84" t="s">
        <v>117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8"/>
      <c r="B317" s="628"/>
      <c r="C317" s="628"/>
      <c r="D317" s="628"/>
      <c r="E317" s="628"/>
      <c r="F317" s="628"/>
      <c r="G317" s="628"/>
      <c r="H317" s="628"/>
      <c r="I317" s="628"/>
      <c r="J317" s="628"/>
      <c r="K317" s="628"/>
      <c r="L317" s="628"/>
      <c r="M317" s="628"/>
      <c r="N317" s="628"/>
      <c r="O317" s="629"/>
      <c r="P317" s="625" t="s">
        <v>40</v>
      </c>
      <c r="Q317" s="626"/>
      <c r="R317" s="626"/>
      <c r="S317" s="626"/>
      <c r="T317" s="626"/>
      <c r="U317" s="626"/>
      <c r="V317" s="627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20" t="s">
        <v>102</v>
      </c>
      <c r="B319" s="620"/>
      <c r="C319" s="620"/>
      <c r="D319" s="620"/>
      <c r="E319" s="620"/>
      <c r="F319" s="620"/>
      <c r="G319" s="620"/>
      <c r="H319" s="620"/>
      <c r="I319" s="620"/>
      <c r="J319" s="620"/>
      <c r="K319" s="620"/>
      <c r="L319" s="620"/>
      <c r="M319" s="620"/>
      <c r="N319" s="620"/>
      <c r="O319" s="620"/>
      <c r="P319" s="620"/>
      <c r="Q319" s="620"/>
      <c r="R319" s="620"/>
      <c r="S319" s="620"/>
      <c r="T319" s="620"/>
      <c r="U319" s="620"/>
      <c r="V319" s="620"/>
      <c r="W319" s="620"/>
      <c r="X319" s="620"/>
      <c r="Y319" s="620"/>
      <c r="Z319" s="620"/>
      <c r="AA319" s="66"/>
      <c r="AB319" s="66"/>
      <c r="AC319" s="80"/>
    </row>
    <row r="320" spans="1:68" ht="27" customHeight="1" x14ac:dyDescent="0.25">
      <c r="A320" s="63" t="s">
        <v>512</v>
      </c>
      <c r="B320" s="63" t="s">
        <v>513</v>
      </c>
      <c r="C320" s="36">
        <v>4301030235</v>
      </c>
      <c r="D320" s="621">
        <v>4607091388381</v>
      </c>
      <c r="E320" s="621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120</v>
      </c>
      <c r="L320" s="37" t="s">
        <v>45</v>
      </c>
      <c r="M320" s="38" t="s">
        <v>107</v>
      </c>
      <c r="N320" s="38"/>
      <c r="O320" s="37">
        <v>180</v>
      </c>
      <c r="P320" s="7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3"/>
      <c r="R320" s="623"/>
      <c r="S320" s="623"/>
      <c r="T320" s="62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514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515</v>
      </c>
      <c r="B321" s="63" t="s">
        <v>516</v>
      </c>
      <c r="C321" s="36">
        <v>4301030232</v>
      </c>
      <c r="D321" s="621">
        <v>4607091388374</v>
      </c>
      <c r="E321" s="621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514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517</v>
      </c>
      <c r="B322" s="63" t="s">
        <v>518</v>
      </c>
      <c r="C322" s="36">
        <v>4301032015</v>
      </c>
      <c r="D322" s="621">
        <v>4607091383102</v>
      </c>
      <c r="E322" s="621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89</v>
      </c>
      <c r="L322" s="37" t="s">
        <v>197</v>
      </c>
      <c r="M322" s="38" t="s">
        <v>107</v>
      </c>
      <c r="N322" s="38"/>
      <c r="O322" s="37">
        <v>180</v>
      </c>
      <c r="P322" s="7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519</v>
      </c>
      <c r="AG322" s="78"/>
      <c r="AJ322" s="84" t="s">
        <v>117</v>
      </c>
      <c r="AK322" s="84">
        <v>35.700000000000003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520</v>
      </c>
      <c r="B323" s="63" t="s">
        <v>521</v>
      </c>
      <c r="C323" s="36">
        <v>4301030233</v>
      </c>
      <c r="D323" s="621">
        <v>4607091388404</v>
      </c>
      <c r="E323" s="621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89</v>
      </c>
      <c r="L323" s="37" t="s">
        <v>197</v>
      </c>
      <c r="M323" s="38" t="s">
        <v>107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514</v>
      </c>
      <c r="AG323" s="78"/>
      <c r="AJ323" s="84" t="s">
        <v>117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8"/>
      <c r="B324" s="628"/>
      <c r="C324" s="628"/>
      <c r="D324" s="628"/>
      <c r="E324" s="628"/>
      <c r="F324" s="628"/>
      <c r="G324" s="628"/>
      <c r="H324" s="628"/>
      <c r="I324" s="628"/>
      <c r="J324" s="628"/>
      <c r="K324" s="628"/>
      <c r="L324" s="628"/>
      <c r="M324" s="628"/>
      <c r="N324" s="628"/>
      <c r="O324" s="629"/>
      <c r="P324" s="625" t="s">
        <v>40</v>
      </c>
      <c r="Q324" s="626"/>
      <c r="R324" s="626"/>
      <c r="S324" s="626"/>
      <c r="T324" s="626"/>
      <c r="U324" s="626"/>
      <c r="V324" s="627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20" t="s">
        <v>522</v>
      </c>
      <c r="B326" s="620"/>
      <c r="C326" s="620"/>
      <c r="D326" s="620"/>
      <c r="E326" s="620"/>
      <c r="F326" s="620"/>
      <c r="G326" s="620"/>
      <c r="H326" s="620"/>
      <c r="I326" s="620"/>
      <c r="J326" s="620"/>
      <c r="K326" s="620"/>
      <c r="L326" s="620"/>
      <c r="M326" s="620"/>
      <c r="N326" s="620"/>
      <c r="O326" s="620"/>
      <c r="P326" s="620"/>
      <c r="Q326" s="620"/>
      <c r="R326" s="620"/>
      <c r="S326" s="620"/>
      <c r="T326" s="620"/>
      <c r="U326" s="620"/>
      <c r="V326" s="620"/>
      <c r="W326" s="620"/>
      <c r="X326" s="620"/>
      <c r="Y326" s="620"/>
      <c r="Z326" s="620"/>
      <c r="AA326" s="66"/>
      <c r="AB326" s="66"/>
      <c r="AC326" s="80"/>
    </row>
    <row r="327" spans="1:68" ht="16.5" customHeight="1" x14ac:dyDescent="0.25">
      <c r="A327" s="63" t="s">
        <v>523</v>
      </c>
      <c r="B327" s="63" t="s">
        <v>524</v>
      </c>
      <c r="C327" s="36">
        <v>4301180007</v>
      </c>
      <c r="D327" s="621">
        <v>4680115881808</v>
      </c>
      <c r="E327" s="621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89</v>
      </c>
      <c r="L327" s="37" t="s">
        <v>197</v>
      </c>
      <c r="M327" s="38" t="s">
        <v>526</v>
      </c>
      <c r="N327" s="38"/>
      <c r="O327" s="37">
        <v>730</v>
      </c>
      <c r="P327" s="7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3"/>
      <c r="R327" s="623"/>
      <c r="S327" s="623"/>
      <c r="T327" s="624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525</v>
      </c>
      <c r="AG327" s="78"/>
      <c r="AJ327" s="84" t="s">
        <v>117</v>
      </c>
      <c r="AK327" s="84">
        <v>28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527</v>
      </c>
      <c r="B328" s="63" t="s">
        <v>528</v>
      </c>
      <c r="C328" s="36">
        <v>4301180006</v>
      </c>
      <c r="D328" s="621">
        <v>4680115881822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197</v>
      </c>
      <c r="M328" s="38" t="s">
        <v>526</v>
      </c>
      <c r="N328" s="38"/>
      <c r="O328" s="37">
        <v>730</v>
      </c>
      <c r="P328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525</v>
      </c>
      <c r="AG328" s="78"/>
      <c r="AJ328" s="84" t="s">
        <v>117</v>
      </c>
      <c r="AK328" s="84">
        <v>28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529</v>
      </c>
      <c r="B329" s="63" t="s">
        <v>530</v>
      </c>
      <c r="C329" s="36">
        <v>4301180001</v>
      </c>
      <c r="D329" s="621">
        <v>4680115880016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197</v>
      </c>
      <c r="M329" s="38" t="s">
        <v>526</v>
      </c>
      <c r="N329" s="38"/>
      <c r="O329" s="37">
        <v>730</v>
      </c>
      <c r="P329" s="7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525</v>
      </c>
      <c r="AG329" s="78"/>
      <c r="AJ329" s="84" t="s">
        <v>117</v>
      </c>
      <c r="AK329" s="84">
        <v>28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8"/>
      <c r="B330" s="628"/>
      <c r="C330" s="628"/>
      <c r="D330" s="628"/>
      <c r="E330" s="628"/>
      <c r="F330" s="628"/>
      <c r="G330" s="628"/>
      <c r="H330" s="628"/>
      <c r="I330" s="628"/>
      <c r="J330" s="628"/>
      <c r="K330" s="628"/>
      <c r="L330" s="628"/>
      <c r="M330" s="628"/>
      <c r="N330" s="628"/>
      <c r="O330" s="629"/>
      <c r="P330" s="625" t="s">
        <v>40</v>
      </c>
      <c r="Q330" s="626"/>
      <c r="R330" s="626"/>
      <c r="S330" s="626"/>
      <c r="T330" s="626"/>
      <c r="U330" s="626"/>
      <c r="V330" s="627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9" t="s">
        <v>531</v>
      </c>
      <c r="B332" s="619"/>
      <c r="C332" s="619"/>
      <c r="D332" s="619"/>
      <c r="E332" s="619"/>
      <c r="F332" s="619"/>
      <c r="G332" s="619"/>
      <c r="H332" s="619"/>
      <c r="I332" s="619"/>
      <c r="J332" s="619"/>
      <c r="K332" s="619"/>
      <c r="L332" s="619"/>
      <c r="M332" s="619"/>
      <c r="N332" s="619"/>
      <c r="O332" s="619"/>
      <c r="P332" s="619"/>
      <c r="Q332" s="619"/>
      <c r="R332" s="619"/>
      <c r="S332" s="619"/>
      <c r="T332" s="619"/>
      <c r="U332" s="619"/>
      <c r="V332" s="619"/>
      <c r="W332" s="619"/>
      <c r="X332" s="619"/>
      <c r="Y332" s="619"/>
      <c r="Z332" s="619"/>
      <c r="AA332" s="65"/>
      <c r="AB332" s="65"/>
      <c r="AC332" s="79"/>
    </row>
    <row r="333" spans="1:68" ht="14.25" customHeight="1" x14ac:dyDescent="0.25">
      <c r="A333" s="620" t="s">
        <v>84</v>
      </c>
      <c r="B333" s="620"/>
      <c r="C333" s="620"/>
      <c r="D333" s="620"/>
      <c r="E333" s="620"/>
      <c r="F333" s="620"/>
      <c r="G333" s="620"/>
      <c r="H333" s="620"/>
      <c r="I333" s="620"/>
      <c r="J333" s="620"/>
      <c r="K333" s="620"/>
      <c r="L333" s="620"/>
      <c r="M333" s="620"/>
      <c r="N333" s="620"/>
      <c r="O333" s="620"/>
      <c r="P333" s="620"/>
      <c r="Q333" s="620"/>
      <c r="R333" s="620"/>
      <c r="S333" s="620"/>
      <c r="T333" s="620"/>
      <c r="U333" s="620"/>
      <c r="V333" s="620"/>
      <c r="W333" s="620"/>
      <c r="X333" s="620"/>
      <c r="Y333" s="620"/>
      <c r="Z333" s="620"/>
      <c r="AA333" s="66"/>
      <c r="AB333" s="66"/>
      <c r="AC333" s="80"/>
    </row>
    <row r="334" spans="1:68" ht="27" customHeight="1" x14ac:dyDescent="0.25">
      <c r="A334" s="63" t="s">
        <v>532</v>
      </c>
      <c r="B334" s="63" t="s">
        <v>533</v>
      </c>
      <c r="C334" s="36">
        <v>4301051489</v>
      </c>
      <c r="D334" s="621">
        <v>4607091387919</v>
      </c>
      <c r="E334" s="621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115</v>
      </c>
      <c r="L334" s="37" t="s">
        <v>116</v>
      </c>
      <c r="M334" s="38" t="s">
        <v>96</v>
      </c>
      <c r="N334" s="38"/>
      <c r="O334" s="37">
        <v>45</v>
      </c>
      <c r="P334" s="7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3"/>
      <c r="R334" s="623"/>
      <c r="S334" s="623"/>
      <c r="T334" s="624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534</v>
      </c>
      <c r="AG334" s="78"/>
      <c r="AJ334" s="84" t="s">
        <v>117</v>
      </c>
      <c r="AK334" s="84">
        <v>64.8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535</v>
      </c>
      <c r="B335" s="63" t="s">
        <v>536</v>
      </c>
      <c r="C335" s="36">
        <v>4301051461</v>
      </c>
      <c r="D335" s="621">
        <v>4680115883604</v>
      </c>
      <c r="E335" s="621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89</v>
      </c>
      <c r="L335" s="37" t="s">
        <v>197</v>
      </c>
      <c r="M335" s="38" t="s">
        <v>88</v>
      </c>
      <c r="N335" s="38"/>
      <c r="O335" s="37">
        <v>45</v>
      </c>
      <c r="P335" s="7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537</v>
      </c>
      <c r="AG335" s="78"/>
      <c r="AJ335" s="84" t="s">
        <v>117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538</v>
      </c>
      <c r="B336" s="63" t="s">
        <v>539</v>
      </c>
      <c r="C336" s="36">
        <v>4301051864</v>
      </c>
      <c r="D336" s="621">
        <v>4680115883567</v>
      </c>
      <c r="E336" s="621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89</v>
      </c>
      <c r="L336" s="37" t="s">
        <v>197</v>
      </c>
      <c r="M336" s="38" t="s">
        <v>96</v>
      </c>
      <c r="N336" s="38"/>
      <c r="O336" s="37">
        <v>40</v>
      </c>
      <c r="P336" s="7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540</v>
      </c>
      <c r="AG336" s="78"/>
      <c r="AJ336" s="84" t="s">
        <v>117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8" t="s">
        <v>541</v>
      </c>
      <c r="B339" s="618"/>
      <c r="C339" s="618"/>
      <c r="D339" s="618"/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  <c r="S339" s="618"/>
      <c r="T339" s="618"/>
      <c r="U339" s="618"/>
      <c r="V339" s="618"/>
      <c r="W339" s="618"/>
      <c r="X339" s="618"/>
      <c r="Y339" s="618"/>
      <c r="Z339" s="618"/>
      <c r="AA339" s="54"/>
      <c r="AB339" s="54"/>
      <c r="AC339" s="54"/>
    </row>
    <row r="340" spans="1:68" ht="16.5" customHeight="1" x14ac:dyDescent="0.25">
      <c r="A340" s="619" t="s">
        <v>542</v>
      </c>
      <c r="B340" s="619"/>
      <c r="C340" s="619"/>
      <c r="D340" s="619"/>
      <c r="E340" s="619"/>
      <c r="F340" s="619"/>
      <c r="G340" s="619"/>
      <c r="H340" s="619"/>
      <c r="I340" s="619"/>
      <c r="J340" s="619"/>
      <c r="K340" s="619"/>
      <c r="L340" s="619"/>
      <c r="M340" s="619"/>
      <c r="N340" s="619"/>
      <c r="O340" s="619"/>
      <c r="P340" s="619"/>
      <c r="Q340" s="619"/>
      <c r="R340" s="619"/>
      <c r="S340" s="619"/>
      <c r="T340" s="619"/>
      <c r="U340" s="619"/>
      <c r="V340" s="619"/>
      <c r="W340" s="619"/>
      <c r="X340" s="619"/>
      <c r="Y340" s="619"/>
      <c r="Z340" s="619"/>
      <c r="AA340" s="65"/>
      <c r="AB340" s="65"/>
      <c r="AC340" s="79"/>
    </row>
    <row r="341" spans="1:68" ht="14.25" customHeight="1" x14ac:dyDescent="0.25">
      <c r="A341" s="620" t="s">
        <v>110</v>
      </c>
      <c r="B341" s="620"/>
      <c r="C341" s="620"/>
      <c r="D341" s="620"/>
      <c r="E341" s="620"/>
      <c r="F341" s="620"/>
      <c r="G341" s="620"/>
      <c r="H341" s="620"/>
      <c r="I341" s="620"/>
      <c r="J341" s="620"/>
      <c r="K341" s="620"/>
      <c r="L341" s="620"/>
      <c r="M341" s="620"/>
      <c r="N341" s="620"/>
      <c r="O341" s="620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66"/>
      <c r="AB341" s="66"/>
      <c r="AC341" s="80"/>
    </row>
    <row r="342" spans="1:68" ht="37.5" customHeight="1" x14ac:dyDescent="0.25">
      <c r="A342" s="63" t="s">
        <v>543</v>
      </c>
      <c r="B342" s="63" t="s">
        <v>544</v>
      </c>
      <c r="C342" s="36">
        <v>4301011869</v>
      </c>
      <c r="D342" s="621">
        <v>4680115884847</v>
      </c>
      <c r="E342" s="621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115</v>
      </c>
      <c r="L342" s="37" t="s">
        <v>116</v>
      </c>
      <c r="M342" s="38" t="s">
        <v>82</v>
      </c>
      <c r="N342" s="38"/>
      <c r="O342" s="37">
        <v>60</v>
      </c>
      <c r="P342" s="7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3"/>
      <c r="R342" s="623"/>
      <c r="S342" s="623"/>
      <c r="T342" s="624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545</v>
      </c>
      <c r="AG342" s="78"/>
      <c r="AJ342" s="84" t="s">
        <v>117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546</v>
      </c>
      <c r="B343" s="63" t="s">
        <v>547</v>
      </c>
      <c r="C343" s="36">
        <v>4301011870</v>
      </c>
      <c r="D343" s="621">
        <v>4680115884854</v>
      </c>
      <c r="E343" s="621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116</v>
      </c>
      <c r="M343" s="38" t="s">
        <v>82</v>
      </c>
      <c r="N343" s="38"/>
      <c r="O343" s="37">
        <v>60</v>
      </c>
      <c r="P343" s="7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548</v>
      </c>
      <c r="AG343" s="78"/>
      <c r="AJ343" s="84" t="s">
        <v>117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549</v>
      </c>
      <c r="B344" s="63" t="s">
        <v>550</v>
      </c>
      <c r="C344" s="36">
        <v>4301011867</v>
      </c>
      <c r="D344" s="621">
        <v>4680115884830</v>
      </c>
      <c r="E344" s="62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116</v>
      </c>
      <c r="M344" s="38" t="s">
        <v>82</v>
      </c>
      <c r="N344" s="38"/>
      <c r="O344" s="37">
        <v>60</v>
      </c>
      <c r="P344" s="7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551</v>
      </c>
      <c r="AG344" s="78"/>
      <c r="AJ344" s="84" t="s">
        <v>117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552</v>
      </c>
      <c r="B345" s="63" t="s">
        <v>553</v>
      </c>
      <c r="C345" s="36">
        <v>4301012215</v>
      </c>
      <c r="D345" s="621">
        <v>4680115887046</v>
      </c>
      <c r="E345" s="621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96</v>
      </c>
      <c r="N345" s="38"/>
      <c r="O345" s="37">
        <v>60</v>
      </c>
      <c r="P345" s="7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554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555</v>
      </c>
      <c r="B346" s="63" t="s">
        <v>556</v>
      </c>
      <c r="C346" s="36">
        <v>4301011433</v>
      </c>
      <c r="D346" s="621">
        <v>4680115882638</v>
      </c>
      <c r="E346" s="621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120</v>
      </c>
      <c r="L346" s="37" t="s">
        <v>45</v>
      </c>
      <c r="M346" s="38" t="s">
        <v>114</v>
      </c>
      <c r="N346" s="38"/>
      <c r="O346" s="37">
        <v>90</v>
      </c>
      <c r="P346" s="7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557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558</v>
      </c>
      <c r="B347" s="63" t="s">
        <v>559</v>
      </c>
      <c r="C347" s="36">
        <v>4301011952</v>
      </c>
      <c r="D347" s="621">
        <v>4680115884922</v>
      </c>
      <c r="E347" s="621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120</v>
      </c>
      <c r="L347" s="37" t="s">
        <v>45</v>
      </c>
      <c r="M347" s="38" t="s">
        <v>82</v>
      </c>
      <c r="N347" s="38"/>
      <c r="O347" s="37">
        <v>60</v>
      </c>
      <c r="P347" s="7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548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560</v>
      </c>
      <c r="B348" s="63" t="s">
        <v>561</v>
      </c>
      <c r="C348" s="36">
        <v>4301011868</v>
      </c>
      <c r="D348" s="621">
        <v>4680115884861</v>
      </c>
      <c r="E348" s="621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551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20" t="s">
        <v>146</v>
      </c>
      <c r="B351" s="620"/>
      <c r="C351" s="620"/>
      <c r="D351" s="620"/>
      <c r="E351" s="620"/>
      <c r="F351" s="620"/>
      <c r="G351" s="620"/>
      <c r="H351" s="620"/>
      <c r="I351" s="620"/>
      <c r="J351" s="620"/>
      <c r="K351" s="620"/>
      <c r="L351" s="620"/>
      <c r="M351" s="620"/>
      <c r="N351" s="620"/>
      <c r="O351" s="620"/>
      <c r="P351" s="620"/>
      <c r="Q351" s="620"/>
      <c r="R351" s="620"/>
      <c r="S351" s="620"/>
      <c r="T351" s="620"/>
      <c r="U351" s="620"/>
      <c r="V351" s="620"/>
      <c r="W351" s="620"/>
      <c r="X351" s="620"/>
      <c r="Y351" s="620"/>
      <c r="Z351" s="620"/>
      <c r="AA351" s="66"/>
      <c r="AB351" s="66"/>
      <c r="AC351" s="80"/>
    </row>
    <row r="352" spans="1:68" ht="27" customHeight="1" x14ac:dyDescent="0.25">
      <c r="A352" s="63" t="s">
        <v>562</v>
      </c>
      <c r="B352" s="63" t="s">
        <v>563</v>
      </c>
      <c r="C352" s="36">
        <v>4301020178</v>
      </c>
      <c r="D352" s="621">
        <v>4607091383980</v>
      </c>
      <c r="E352" s="621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116</v>
      </c>
      <c r="M352" s="38" t="s">
        <v>114</v>
      </c>
      <c r="N352" s="38"/>
      <c r="O352" s="37">
        <v>50</v>
      </c>
      <c r="P352" s="7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3"/>
      <c r="R352" s="623"/>
      <c r="S352" s="623"/>
      <c r="T352" s="624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564</v>
      </c>
      <c r="AG352" s="78"/>
      <c r="AJ352" s="84" t="s">
        <v>117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565</v>
      </c>
      <c r="B353" s="63" t="s">
        <v>566</v>
      </c>
      <c r="C353" s="36">
        <v>4301020179</v>
      </c>
      <c r="D353" s="621">
        <v>4607091384178</v>
      </c>
      <c r="E353" s="621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50</v>
      </c>
      <c r="P353" s="7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567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8"/>
      <c r="B354" s="628"/>
      <c r="C354" s="628"/>
      <c r="D354" s="628"/>
      <c r="E354" s="628"/>
      <c r="F354" s="628"/>
      <c r="G354" s="628"/>
      <c r="H354" s="628"/>
      <c r="I354" s="628"/>
      <c r="J354" s="628"/>
      <c r="K354" s="628"/>
      <c r="L354" s="628"/>
      <c r="M354" s="628"/>
      <c r="N354" s="628"/>
      <c r="O354" s="629"/>
      <c r="P354" s="625" t="s">
        <v>40</v>
      </c>
      <c r="Q354" s="626"/>
      <c r="R354" s="626"/>
      <c r="S354" s="626"/>
      <c r="T354" s="626"/>
      <c r="U354" s="626"/>
      <c r="V354" s="627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20" t="s">
        <v>84</v>
      </c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0"/>
      <c r="P356" s="620"/>
      <c r="Q356" s="620"/>
      <c r="R356" s="620"/>
      <c r="S356" s="620"/>
      <c r="T356" s="620"/>
      <c r="U356" s="620"/>
      <c r="V356" s="620"/>
      <c r="W356" s="620"/>
      <c r="X356" s="620"/>
      <c r="Y356" s="620"/>
      <c r="Z356" s="620"/>
      <c r="AA356" s="66"/>
      <c r="AB356" s="66"/>
      <c r="AC356" s="80"/>
    </row>
    <row r="357" spans="1:68" ht="27" customHeight="1" x14ac:dyDescent="0.25">
      <c r="A357" s="63" t="s">
        <v>568</v>
      </c>
      <c r="B357" s="63" t="s">
        <v>569</v>
      </c>
      <c r="C357" s="36">
        <v>4301051903</v>
      </c>
      <c r="D357" s="621">
        <v>4607091383928</v>
      </c>
      <c r="E357" s="621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115</v>
      </c>
      <c r="L357" s="37" t="s">
        <v>45</v>
      </c>
      <c r="M357" s="38" t="s">
        <v>88</v>
      </c>
      <c r="N357" s="38"/>
      <c r="O357" s="37">
        <v>40</v>
      </c>
      <c r="P357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3"/>
      <c r="R357" s="623"/>
      <c r="S357" s="623"/>
      <c r="T357" s="624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570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571</v>
      </c>
      <c r="B358" s="63" t="s">
        <v>572</v>
      </c>
      <c r="C358" s="36">
        <v>4301051897</v>
      </c>
      <c r="D358" s="621">
        <v>4607091384260</v>
      </c>
      <c r="E358" s="621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115</v>
      </c>
      <c r="L358" s="37" t="s">
        <v>116</v>
      </c>
      <c r="M358" s="38" t="s">
        <v>88</v>
      </c>
      <c r="N358" s="38"/>
      <c r="O358" s="37">
        <v>40</v>
      </c>
      <c r="P358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573</v>
      </c>
      <c r="AG358" s="78"/>
      <c r="AJ358" s="84" t="s">
        <v>117</v>
      </c>
      <c r="AK358" s="84">
        <v>72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174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16.5" customHeight="1" x14ac:dyDescent="0.25">
      <c r="A362" s="63" t="s">
        <v>574</v>
      </c>
      <c r="B362" s="63" t="s">
        <v>575</v>
      </c>
      <c r="C362" s="36">
        <v>4301060524</v>
      </c>
      <c r="D362" s="621">
        <v>4607091384673</v>
      </c>
      <c r="E362" s="621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115</v>
      </c>
      <c r="L362" s="37" t="s">
        <v>45</v>
      </c>
      <c r="M362" s="38" t="s">
        <v>88</v>
      </c>
      <c r="N362" s="38"/>
      <c r="O362" s="37">
        <v>40</v>
      </c>
      <c r="P362" s="8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3"/>
      <c r="R362" s="623"/>
      <c r="S362" s="623"/>
      <c r="T362" s="624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576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9" t="s">
        <v>577</v>
      </c>
      <c r="B365" s="619"/>
      <c r="C365" s="619"/>
      <c r="D365" s="619"/>
      <c r="E365" s="619"/>
      <c r="F365" s="619"/>
      <c r="G365" s="619"/>
      <c r="H365" s="619"/>
      <c r="I365" s="619"/>
      <c r="J365" s="619"/>
      <c r="K365" s="619"/>
      <c r="L365" s="619"/>
      <c r="M365" s="619"/>
      <c r="N365" s="619"/>
      <c r="O365" s="619"/>
      <c r="P365" s="619"/>
      <c r="Q365" s="619"/>
      <c r="R365" s="619"/>
      <c r="S365" s="619"/>
      <c r="T365" s="619"/>
      <c r="U365" s="619"/>
      <c r="V365" s="619"/>
      <c r="W365" s="619"/>
      <c r="X365" s="619"/>
      <c r="Y365" s="619"/>
      <c r="Z365" s="619"/>
      <c r="AA365" s="65"/>
      <c r="AB365" s="65"/>
      <c r="AC365" s="79"/>
    </row>
    <row r="366" spans="1:68" ht="14.25" customHeight="1" x14ac:dyDescent="0.25">
      <c r="A366" s="620" t="s">
        <v>110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6"/>
      <c r="AB366" s="66"/>
      <c r="AC366" s="80"/>
    </row>
    <row r="367" spans="1:68" ht="37.5" customHeight="1" x14ac:dyDescent="0.25">
      <c r="A367" s="63" t="s">
        <v>578</v>
      </c>
      <c r="B367" s="63" t="s">
        <v>579</v>
      </c>
      <c r="C367" s="36">
        <v>4301011875</v>
      </c>
      <c r="D367" s="621">
        <v>4680115884885</v>
      </c>
      <c r="E367" s="621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115</v>
      </c>
      <c r="L367" s="37" t="s">
        <v>116</v>
      </c>
      <c r="M367" s="38" t="s">
        <v>82</v>
      </c>
      <c r="N367" s="38"/>
      <c r="O367" s="37">
        <v>60</v>
      </c>
      <c r="P367" s="8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3"/>
      <c r="R367" s="623"/>
      <c r="S367" s="623"/>
      <c r="T367" s="624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580</v>
      </c>
      <c r="AG367" s="78"/>
      <c r="AJ367" s="84" t="s">
        <v>117</v>
      </c>
      <c r="AK367" s="84">
        <v>96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581</v>
      </c>
      <c r="B368" s="63" t="s">
        <v>582</v>
      </c>
      <c r="C368" s="36">
        <v>4301011871</v>
      </c>
      <c r="D368" s="621">
        <v>4680115884908</v>
      </c>
      <c r="E368" s="6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120</v>
      </c>
      <c r="L368" s="37" t="s">
        <v>45</v>
      </c>
      <c r="M368" s="38" t="s">
        <v>82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580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20" t="s">
        <v>78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583</v>
      </c>
      <c r="B372" s="63" t="s">
        <v>584</v>
      </c>
      <c r="C372" s="36">
        <v>4301031303</v>
      </c>
      <c r="D372" s="621">
        <v>4607091384802</v>
      </c>
      <c r="E372" s="621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120</v>
      </c>
      <c r="L372" s="37" t="s">
        <v>121</v>
      </c>
      <c r="M372" s="38" t="s">
        <v>82</v>
      </c>
      <c r="N372" s="38"/>
      <c r="O372" s="37">
        <v>35</v>
      </c>
      <c r="P372" s="80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3"/>
      <c r="R372" s="623"/>
      <c r="S372" s="623"/>
      <c r="T372" s="624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585</v>
      </c>
      <c r="AG372" s="78"/>
      <c r="AJ372" s="84" t="s">
        <v>117</v>
      </c>
      <c r="AK372" s="84">
        <v>52.56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583</v>
      </c>
      <c r="B373" s="63" t="s">
        <v>586</v>
      </c>
      <c r="C373" s="36">
        <v>4301031457</v>
      </c>
      <c r="D373" s="621">
        <v>4607091384802</v>
      </c>
      <c r="E373" s="6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50</v>
      </c>
      <c r="P373" s="8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587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8"/>
      <c r="B374" s="628"/>
      <c r="C374" s="628"/>
      <c r="D374" s="628"/>
      <c r="E374" s="628"/>
      <c r="F374" s="628"/>
      <c r="G374" s="628"/>
      <c r="H374" s="628"/>
      <c r="I374" s="628"/>
      <c r="J374" s="628"/>
      <c r="K374" s="628"/>
      <c r="L374" s="628"/>
      <c r="M374" s="628"/>
      <c r="N374" s="628"/>
      <c r="O374" s="629"/>
      <c r="P374" s="625" t="s">
        <v>40</v>
      </c>
      <c r="Q374" s="626"/>
      <c r="R374" s="626"/>
      <c r="S374" s="626"/>
      <c r="T374" s="626"/>
      <c r="U374" s="626"/>
      <c r="V374" s="627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0" t="s">
        <v>84</v>
      </c>
      <c r="B376" s="620"/>
      <c r="C376" s="620"/>
      <c r="D376" s="620"/>
      <c r="E376" s="620"/>
      <c r="F376" s="620"/>
      <c r="G376" s="620"/>
      <c r="H376" s="620"/>
      <c r="I376" s="620"/>
      <c r="J376" s="620"/>
      <c r="K376" s="620"/>
      <c r="L376" s="620"/>
      <c r="M376" s="620"/>
      <c r="N376" s="620"/>
      <c r="O376" s="620"/>
      <c r="P376" s="620"/>
      <c r="Q376" s="620"/>
      <c r="R376" s="620"/>
      <c r="S376" s="620"/>
      <c r="T376" s="620"/>
      <c r="U376" s="620"/>
      <c r="V376" s="620"/>
      <c r="W376" s="620"/>
      <c r="X376" s="620"/>
      <c r="Y376" s="620"/>
      <c r="Z376" s="620"/>
      <c r="AA376" s="66"/>
      <c r="AB376" s="66"/>
      <c r="AC376" s="80"/>
    </row>
    <row r="377" spans="1:68" ht="27" customHeight="1" x14ac:dyDescent="0.25">
      <c r="A377" s="63" t="s">
        <v>588</v>
      </c>
      <c r="B377" s="63" t="s">
        <v>589</v>
      </c>
      <c r="C377" s="36">
        <v>4301051899</v>
      </c>
      <c r="D377" s="621">
        <v>4607091384246</v>
      </c>
      <c r="E377" s="621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115</v>
      </c>
      <c r="L377" s="37" t="s">
        <v>116</v>
      </c>
      <c r="M377" s="38" t="s">
        <v>88</v>
      </c>
      <c r="N377" s="38"/>
      <c r="O377" s="37">
        <v>40</v>
      </c>
      <c r="P377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3"/>
      <c r="R377" s="623"/>
      <c r="S377" s="623"/>
      <c r="T377" s="624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590</v>
      </c>
      <c r="AG377" s="78"/>
      <c r="AJ377" s="84" t="s">
        <v>117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591</v>
      </c>
      <c r="B378" s="63" t="s">
        <v>592</v>
      </c>
      <c r="C378" s="36">
        <v>4301051660</v>
      </c>
      <c r="D378" s="621">
        <v>4607091384253</v>
      </c>
      <c r="E378" s="621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89</v>
      </c>
      <c r="L378" s="37" t="s">
        <v>197</v>
      </c>
      <c r="M378" s="38" t="s">
        <v>88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590</v>
      </c>
      <c r="AG378" s="78"/>
      <c r="AJ378" s="84" t="s">
        <v>117</v>
      </c>
      <c r="AK378" s="84">
        <v>33.6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591</v>
      </c>
      <c r="B379" s="63" t="s">
        <v>593</v>
      </c>
      <c r="C379" s="36">
        <v>4301052069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45</v>
      </c>
      <c r="M379" s="38" t="s">
        <v>88</v>
      </c>
      <c r="N379" s="38"/>
      <c r="O379" s="37">
        <v>40</v>
      </c>
      <c r="P379" s="807" t="s">
        <v>594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595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IFERROR(X377/H377,"0")+IFERROR(X378/H378,"0")+IFERROR(X379/H379,"0")</f>
        <v>0</v>
      </c>
      <c r="Y380" s="43">
        <f>IFERROR(Y377/H377,"0")+IFERROR(Y378/H378,"0")+IFERROR(Y379/H379,"0")</f>
        <v>0</v>
      </c>
      <c r="Z380" s="43">
        <f>IFERROR(IF(Z377="",0,Z377),"0")+IFERROR(IF(Z378="",0,Z378),"0")+IFERROR(IF(Z379="",0,Z379),"0")</f>
        <v>0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IFERROR(SUM(X377:X379),"0")</f>
        <v>0</v>
      </c>
      <c r="Y381" s="43">
        <f>IFERROR(SUM(Y377:Y379),"0")</f>
        <v>0</v>
      </c>
      <c r="Z381" s="42"/>
      <c r="AA381" s="67"/>
      <c r="AB381" s="67"/>
      <c r="AC381" s="67"/>
    </row>
    <row r="382" spans="1:68" ht="27.75" customHeight="1" x14ac:dyDescent="0.2">
      <c r="A382" s="618" t="s">
        <v>596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customHeight="1" x14ac:dyDescent="0.25">
      <c r="A383" s="619" t="s">
        <v>597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customHeight="1" x14ac:dyDescent="0.25">
      <c r="A384" s="620" t="s">
        <v>78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598</v>
      </c>
      <c r="B385" s="63" t="s">
        <v>599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121</v>
      </c>
      <c r="M385" s="38" t="s">
        <v>82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117</v>
      </c>
      <c r="AK385" s="84">
        <v>64.8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45</v>
      </c>
      <c r="M386" s="38" t="s">
        <v>82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120</v>
      </c>
      <c r="L387" s="37" t="s">
        <v>121</v>
      </c>
      <c r="M387" s="38" t="s">
        <v>82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606</v>
      </c>
      <c r="AG387" s="78"/>
      <c r="AJ387" s="84" t="s">
        <v>117</v>
      </c>
      <c r="AK387" s="84">
        <v>64.8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600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609</v>
      </c>
      <c r="B389" s="63" t="s">
        <v>610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600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611</v>
      </c>
      <c r="B390" s="63" t="s">
        <v>612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277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117</v>
      </c>
      <c r="AK392" s="84">
        <v>37.799999999999997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620</v>
      </c>
      <c r="B393" s="63" t="s">
        <v>621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616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0" t="s">
        <v>84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customHeight="1" x14ac:dyDescent="0.25">
      <c r="A397" s="63" t="s">
        <v>622</v>
      </c>
      <c r="B397" s="63" t="s">
        <v>623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120</v>
      </c>
      <c r="L397" s="37" t="s">
        <v>45</v>
      </c>
      <c r="M397" s="38" t="s">
        <v>88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625</v>
      </c>
      <c r="B398" s="63" t="s">
        <v>626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45</v>
      </c>
      <c r="M398" s="38" t="s">
        <v>88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627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19" t="s">
        <v>628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customHeight="1" x14ac:dyDescent="0.25">
      <c r="A402" s="620" t="s">
        <v>146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customHeight="1" x14ac:dyDescent="0.25">
      <c r="A403" s="63" t="s">
        <v>629</v>
      </c>
      <c r="B403" s="63" t="s">
        <v>630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631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0" t="s">
        <v>78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632</v>
      </c>
      <c r="B407" s="63" t="s">
        <v>633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120</v>
      </c>
      <c r="L407" s="37" t="s">
        <v>121</v>
      </c>
      <c r="M407" s="38" t="s">
        <v>114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117</v>
      </c>
      <c r="AK407" s="84">
        <v>64.8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641</v>
      </c>
      <c r="B410" s="63" t="s">
        <v>642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640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19" t="s">
        <v>643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customHeight="1" x14ac:dyDescent="0.25">
      <c r="A414" s="620" t="s">
        <v>78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customHeight="1" x14ac:dyDescent="0.25">
      <c r="A415" s="63" t="s">
        <v>644</v>
      </c>
      <c r="B415" s="63" t="s">
        <v>645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646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8" t="s">
        <v>647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customHeight="1" x14ac:dyDescent="0.25">
      <c r="A419" s="619" t="s">
        <v>647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customHeight="1" x14ac:dyDescent="0.25">
      <c r="A420" s="620" t="s">
        <v>110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customHeight="1" x14ac:dyDescent="0.25">
      <c r="A421" s="63" t="s">
        <v>648</v>
      </c>
      <c r="B421" s="63" t="s">
        <v>649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116</v>
      </c>
      <c r="M421" s="38" t="s">
        <v>114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113</v>
      </c>
      <c r="AG421" s="78"/>
      <c r="AJ421" s="84" t="s">
        <v>117</v>
      </c>
      <c r="AK421" s="84">
        <v>42.24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4301012145</v>
      </c>
      <c r="D422" s="621">
        <v>4607091383522</v>
      </c>
      <c r="E422" s="621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45</v>
      </c>
      <c r="M422" s="38" t="s">
        <v>114</v>
      </c>
      <c r="N422" s="38"/>
      <c r="O422" s="37">
        <v>60</v>
      </c>
      <c r="P422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4301011961</v>
      </c>
      <c r="D423" s="621">
        <v>4680115885271</v>
      </c>
      <c r="E423" s="621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116</v>
      </c>
      <c r="M423" s="38" t="s">
        <v>114</v>
      </c>
      <c r="N423" s="38"/>
      <c r="O423" s="37">
        <v>60</v>
      </c>
      <c r="P423" s="82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655</v>
      </c>
      <c r="AG423" s="78"/>
      <c r="AJ423" s="84" t="s">
        <v>117</v>
      </c>
      <c r="AK423" s="84">
        <v>42.24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656</v>
      </c>
      <c r="B424" s="63" t="s">
        <v>657</v>
      </c>
      <c r="C424" s="36">
        <v>4301011376</v>
      </c>
      <c r="D424" s="621">
        <v>4680115885226</v>
      </c>
      <c r="E424" s="621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116</v>
      </c>
      <c r="M424" s="38" t="s">
        <v>88</v>
      </c>
      <c r="N424" s="38"/>
      <c r="O424" s="37">
        <v>60</v>
      </c>
      <c r="P424" s="82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658</v>
      </c>
      <c r="AG424" s="78"/>
      <c r="AJ424" s="84" t="s">
        <v>117</v>
      </c>
      <c r="AK424" s="84">
        <v>42.24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659</v>
      </c>
      <c r="B425" s="63" t="s">
        <v>660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661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662</v>
      </c>
      <c r="B426" s="63" t="s">
        <v>663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116</v>
      </c>
      <c r="M426" s="38" t="s">
        <v>114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664</v>
      </c>
      <c r="AG426" s="78"/>
      <c r="AJ426" s="84" t="s">
        <v>117</v>
      </c>
      <c r="AK426" s="84">
        <v>42.24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665</v>
      </c>
      <c r="B427" s="63" t="s">
        <v>666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667</v>
      </c>
      <c r="B428" s="63" t="s">
        <v>668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670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120</v>
      </c>
      <c r="L429" s="37" t="s">
        <v>45</v>
      </c>
      <c r="M429" s="38" t="s">
        <v>114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655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114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673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674</v>
      </c>
      <c r="B431" s="63" t="s">
        <v>675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120</v>
      </c>
      <c r="L431" s="37" t="s">
        <v>121</v>
      </c>
      <c r="M431" s="38" t="s">
        <v>114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664</v>
      </c>
      <c r="AG431" s="78"/>
      <c r="AJ431" s="84" t="s">
        <v>117</v>
      </c>
      <c r="AK431" s="84">
        <v>57.6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0" t="s">
        <v>146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customHeight="1" x14ac:dyDescent="0.25">
      <c r="A435" s="63" t="s">
        <v>676</v>
      </c>
      <c r="B435" s="63" t="s">
        <v>677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115</v>
      </c>
      <c r="L435" s="37" t="s">
        <v>116</v>
      </c>
      <c r="M435" s="38" t="s">
        <v>88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678</v>
      </c>
      <c r="AG435" s="78"/>
      <c r="AJ435" s="84" t="s">
        <v>117</v>
      </c>
      <c r="AK435" s="84">
        <v>42.24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679</v>
      </c>
      <c r="B436" s="63" t="s">
        <v>680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678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681</v>
      </c>
      <c r="B437" s="63" t="s">
        <v>682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120</v>
      </c>
      <c r="L437" s="37" t="s">
        <v>121</v>
      </c>
      <c r="M437" s="38" t="s">
        <v>114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678</v>
      </c>
      <c r="AG437" s="78"/>
      <c r="AJ437" s="84" t="s">
        <v>117</v>
      </c>
      <c r="AK437" s="84">
        <v>57.6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0" t="s">
        <v>78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683</v>
      </c>
      <c r="B441" s="63" t="s">
        <v>684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114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48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685</v>
      </c>
      <c r="AG441" s="78"/>
      <c r="AJ441" s="84" t="s">
        <v>117</v>
      </c>
      <c r="AK441" s="84">
        <v>42.24</v>
      </c>
      <c r="BB441" s="507" t="s">
        <v>66</v>
      </c>
      <c r="BM441" s="78">
        <f t="shared" ref="BM441:BM446" si="49">IFERROR(X441*I441/H441,"0")</f>
        <v>0</v>
      </c>
      <c r="BN441" s="78">
        <f t="shared" ref="BN441:BN446" si="50">IFERROR(Y441*I441/H441,"0")</f>
        <v>0</v>
      </c>
      <c r="BO441" s="78">
        <f t="shared" ref="BO441:BO446" si="51">IFERROR(1/J441*(X441/H441),"0")</f>
        <v>0</v>
      </c>
      <c r="BP441" s="78">
        <f t="shared" ref="BP441:BP446" si="52">IFERROR(1/J441*(Y441/H441),"0")</f>
        <v>0</v>
      </c>
    </row>
    <row r="442" spans="1:68" ht="27" customHeight="1" x14ac:dyDescent="0.25">
      <c r="A442" s="63" t="s">
        <v>686</v>
      </c>
      <c r="B442" s="63" t="s">
        <v>687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688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689</v>
      </c>
      <c r="B443" s="63" t="s">
        <v>690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82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691</v>
      </c>
      <c r="AG443" s="78"/>
      <c r="AJ443" s="84" t="s">
        <v>117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692</v>
      </c>
      <c r="B444" s="63" t="s">
        <v>693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45</v>
      </c>
      <c r="M444" s="38" t="s">
        <v>114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685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694</v>
      </c>
      <c r="B445" s="63" t="s">
        <v>695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45</v>
      </c>
      <c r="M445" s="38" t="s">
        <v>82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688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696</v>
      </c>
      <c r="B446" s="63" t="s">
        <v>697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120</v>
      </c>
      <c r="L446" s="37" t="s">
        <v>45</v>
      </c>
      <c r="M446" s="38" t="s">
        <v>82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691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0" t="s">
        <v>84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customHeight="1" x14ac:dyDescent="0.25">
      <c r="A450" s="63" t="s">
        <v>698</v>
      </c>
      <c r="B450" s="63" t="s">
        <v>699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700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701</v>
      </c>
      <c r="B451" s="63" t="s">
        <v>702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115</v>
      </c>
      <c r="L451" s="37" t="s">
        <v>45</v>
      </c>
      <c r="M451" s="38" t="s">
        <v>88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704</v>
      </c>
      <c r="B452" s="63" t="s">
        <v>705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8" t="s">
        <v>707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customHeight="1" x14ac:dyDescent="0.25">
      <c r="A456" s="619" t="s">
        <v>707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customHeight="1" x14ac:dyDescent="0.25">
      <c r="A457" s="620" t="s">
        <v>110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customHeight="1" x14ac:dyDescent="0.25">
      <c r="A458" s="63" t="s">
        <v>708</v>
      </c>
      <c r="B458" s="63" t="s">
        <v>709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115</v>
      </c>
      <c r="L458" s="37" t="s">
        <v>45</v>
      </c>
      <c r="M458" s="38" t="s">
        <v>88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710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711</v>
      </c>
      <c r="B459" s="63" t="s">
        <v>712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116</v>
      </c>
      <c r="M460" s="38" t="s">
        <v>114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716</v>
      </c>
      <c r="AG460" s="78"/>
      <c r="AJ460" s="84" t="s">
        <v>117</v>
      </c>
      <c r="AK460" s="84">
        <v>96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717</v>
      </c>
      <c r="B461" s="63" t="s">
        <v>718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120</v>
      </c>
      <c r="L461" s="37" t="s">
        <v>45</v>
      </c>
      <c r="M461" s="38" t="s">
        <v>88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710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0" t="s">
        <v>146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customHeight="1" x14ac:dyDescent="0.25">
      <c r="A465" s="63" t="s">
        <v>719</v>
      </c>
      <c r="B465" s="63" t="s">
        <v>720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721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722</v>
      </c>
      <c r="B466" s="63" t="s">
        <v>723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725</v>
      </c>
      <c r="B467" s="63" t="s">
        <v>726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114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0" t="s">
        <v>78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customHeight="1" x14ac:dyDescent="0.25">
      <c r="A471" s="63" t="s">
        <v>728</v>
      </c>
      <c r="B471" s="63" t="s">
        <v>729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121</v>
      </c>
      <c r="M471" s="38" t="s">
        <v>82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730</v>
      </c>
      <c r="AG471" s="78"/>
      <c r="AJ471" s="84" t="s">
        <v>117</v>
      </c>
      <c r="AK471" s="84">
        <v>50.4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731</v>
      </c>
      <c r="B472" s="63" t="s">
        <v>732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120</v>
      </c>
      <c r="L472" s="37" t="s">
        <v>121</v>
      </c>
      <c r="M472" s="38" t="s">
        <v>82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733</v>
      </c>
      <c r="AG472" s="78"/>
      <c r="AJ472" s="84" t="s">
        <v>117</v>
      </c>
      <c r="AK472" s="84">
        <v>50.4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0" t="s">
        <v>84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customHeight="1" x14ac:dyDescent="0.25">
      <c r="A476" s="63" t="s">
        <v>734</v>
      </c>
      <c r="B476" s="63" t="s">
        <v>735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115</v>
      </c>
      <c r="L476" s="37" t="s">
        <v>116</v>
      </c>
      <c r="M476" s="38" t="s">
        <v>96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736</v>
      </c>
      <c r="AG476" s="78"/>
      <c r="AJ476" s="84" t="s">
        <v>117</v>
      </c>
      <c r="AK476" s="84">
        <v>72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0" t="s">
        <v>174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customHeight="1" x14ac:dyDescent="0.25">
      <c r="A480" s="63" t="s">
        <v>737</v>
      </c>
      <c r="B480" s="63" t="s">
        <v>738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739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740</v>
      </c>
      <c r="B481" s="63" t="s">
        <v>741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115</v>
      </c>
      <c r="L481" s="37" t="s">
        <v>45</v>
      </c>
      <c r="M481" s="38" t="s">
        <v>88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742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19" t="s">
        <v>743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customHeight="1" x14ac:dyDescent="0.25">
      <c r="A485" s="620" t="s">
        <v>146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customHeight="1" x14ac:dyDescent="0.25">
      <c r="A486" s="63" t="s">
        <v>744</v>
      </c>
      <c r="B486" s="63" t="s">
        <v>745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115</v>
      </c>
      <c r="L486" s="37" t="s">
        <v>45</v>
      </c>
      <c r="M486" s="38" t="s">
        <v>114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746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0</v>
      </c>
      <c r="Y489" s="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0</v>
      </c>
      <c r="Y493" s="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7" t="s">
        <v>108</v>
      </c>
      <c r="D496" s="867" t="s">
        <v>108</v>
      </c>
      <c r="E496" s="867" t="s">
        <v>108</v>
      </c>
      <c r="F496" s="867" t="s">
        <v>108</v>
      </c>
      <c r="G496" s="867" t="s">
        <v>108</v>
      </c>
      <c r="H496" s="867" t="s">
        <v>108</v>
      </c>
      <c r="I496" s="867" t="s">
        <v>261</v>
      </c>
      <c r="J496" s="867" t="s">
        <v>261</v>
      </c>
      <c r="K496" s="867" t="s">
        <v>261</v>
      </c>
      <c r="L496" s="867" t="s">
        <v>261</v>
      </c>
      <c r="M496" s="867" t="s">
        <v>261</v>
      </c>
      <c r="N496" s="868"/>
      <c r="O496" s="867" t="s">
        <v>261</v>
      </c>
      <c r="P496" s="867" t="s">
        <v>261</v>
      </c>
      <c r="Q496" s="867" t="s">
        <v>261</v>
      </c>
      <c r="R496" s="867" t="s">
        <v>261</v>
      </c>
      <c r="S496" s="867" t="s">
        <v>541</v>
      </c>
      <c r="T496" s="867" t="s">
        <v>541</v>
      </c>
      <c r="U496" s="867" t="s">
        <v>596</v>
      </c>
      <c r="V496" s="867" t="s">
        <v>596</v>
      </c>
      <c r="W496" s="867" t="s">
        <v>596</v>
      </c>
      <c r="X496" s="85" t="s">
        <v>647</v>
      </c>
      <c r="Y496" s="867" t="s">
        <v>707</v>
      </c>
      <c r="Z496" s="867" t="s">
        <v>707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77</v>
      </c>
      <c r="C497" s="867" t="s">
        <v>109</v>
      </c>
      <c r="D497" s="867" t="s">
        <v>127</v>
      </c>
      <c r="E497" s="867" t="s">
        <v>181</v>
      </c>
      <c r="F497" s="867" t="s">
        <v>201</v>
      </c>
      <c r="G497" s="867" t="s">
        <v>231</v>
      </c>
      <c r="H497" s="867" t="s">
        <v>108</v>
      </c>
      <c r="I497" s="867" t="s">
        <v>262</v>
      </c>
      <c r="J497" s="867" t="s">
        <v>307</v>
      </c>
      <c r="K497" s="867" t="s">
        <v>366</v>
      </c>
      <c r="L497" s="867" t="s">
        <v>408</v>
      </c>
      <c r="M497" s="867" t="s">
        <v>424</v>
      </c>
      <c r="N497" s="1"/>
      <c r="O497" s="867" t="s">
        <v>435</v>
      </c>
      <c r="P497" s="867" t="s">
        <v>444</v>
      </c>
      <c r="Q497" s="867" t="s">
        <v>457</v>
      </c>
      <c r="R497" s="867" t="s">
        <v>531</v>
      </c>
      <c r="S497" s="867" t="s">
        <v>542</v>
      </c>
      <c r="T497" s="867" t="s">
        <v>577</v>
      </c>
      <c r="U497" s="867" t="s">
        <v>597</v>
      </c>
      <c r="V497" s="867" t="s">
        <v>628</v>
      </c>
      <c r="W497" s="867" t="s">
        <v>643</v>
      </c>
      <c r="X497" s="867" t="s">
        <v>647</v>
      </c>
      <c r="Y497" s="867" t="s">
        <v>707</v>
      </c>
      <c r="Z497" s="867" t="s">
        <v>743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IFERROR(Y140*1,"0")+IFERROR(Y141*1,"0")+IFERROR(Y145*1,"0")+IFERROR(Y146*1,"0")+IFERROR(Y147*1,"0")+IFERROR(Y151*1,"0")</f>
        <v>0</v>
      </c>
      <c r="I499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52">
        <f>IFERROR(Y254*1,"0")+IFERROR(Y255*1,"0")+IFERROR(Y256*1,"0")+IFERROR(Y257*1,"0")+IFERROR(Y258*1,"0")</f>
        <v>0</v>
      </c>
      <c r="M499" s="52">
        <f>IFERROR(Y263*1,"0")+IFERROR(Y264*1,"0")+IFERROR(Y265*1,"0")+IFERROR(Y266*1,"0")</f>
        <v>0</v>
      </c>
      <c r="N499" s="1"/>
      <c r="O499" s="52">
        <f>IFERROR(Y271*1,"0")+IFERROR(Y272*1,"0")+IFERROR(Y273*1,"0")</f>
        <v>0</v>
      </c>
      <c r="P499" s="52">
        <f>IFERROR(Y278*1,"0")+IFERROR(Y279*1,"0")+IFERROR(Y283*1,"0")+IFERROR(Y284*1,"0")</f>
        <v>0</v>
      </c>
      <c r="Q499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52">
        <f>IFERROR(Y334*1,"0")+IFERROR(Y335*1,"0")+IFERROR(Y336*1,"0")</f>
        <v>0</v>
      </c>
      <c r="S499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9" s="52">
        <f>IFERROR(Y367*1,"0")+IFERROR(Y368*1,"0")+IFERROR(Y372*1,"0")+IFERROR(Y373*1,"0")+IFERROR(Y377*1,"0")+IFERROR(Y378*1,"0")+IFERROR(Y379*1,"0")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A440:Z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6 X471:X472 X460 X441:X443 X437 X435 X431 X426 X423:X424 X421 X407 X392 X387 X385 X377:X378 X372 X367 X358 X352 X342:X344 X334:X336 X327:X329 X322:X323 X314:X316 X307 X301 X298 X272:X273 X254 X224 X218:X219 X211:X214 X206:X209 X202 X195:X200 X191 X167:X168 X163:X164 X161 X130 X124:X125 X114 X112 X108 X106 X99:X101 X93:X94 X91 X87 X85 X79 X72 X60 X56 X54 X51:X52 X40: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9"/>
    </row>
    <row r="3" spans="2:8" x14ac:dyDescent="0.2">
      <c r="B3" s="53" t="s">
        <v>748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750</v>
      </c>
      <c r="D6" s="53" t="s">
        <v>751</v>
      </c>
      <c r="E6" s="53" t="s">
        <v>45</v>
      </c>
    </row>
    <row r="8" spans="2:8" x14ac:dyDescent="0.2">
      <c r="B8" s="53" t="s">
        <v>76</v>
      </c>
      <c r="C8" s="53" t="s">
        <v>750</v>
      </c>
      <c r="D8" s="53" t="s">
        <v>45</v>
      </c>
      <c r="E8" s="53" t="s">
        <v>45</v>
      </c>
    </row>
    <row r="10" spans="2:8" x14ac:dyDescent="0.2">
      <c r="B10" s="53" t="s">
        <v>752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2025-11-27T06:11:44Z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