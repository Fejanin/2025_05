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A61C98-3AE4-41C3-B309-295C5A09AB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Z487" i="2"/>
  <c r="Z488" i="2" s="1"/>
  <c r="Y487" i="2"/>
  <c r="Z500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Y479" i="2"/>
  <c r="X479" i="2"/>
  <c r="X478" i="2"/>
  <c r="BO477" i="2"/>
  <c r="BM477" i="2"/>
  <c r="Z477" i="2"/>
  <c r="Z478" i="2" s="1"/>
  <c r="Y477" i="2"/>
  <c r="BN477" i="2" s="1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BN466" i="2" s="1"/>
  <c r="P466" i="2"/>
  <c r="X464" i="2"/>
  <c r="X463" i="2"/>
  <c r="BO462" i="2"/>
  <c r="BM462" i="2"/>
  <c r="Y462" i="2"/>
  <c r="BN462" i="2" s="1"/>
  <c r="P462" i="2"/>
  <c r="BO461" i="2"/>
  <c r="BM461" i="2"/>
  <c r="Y461" i="2"/>
  <c r="BN461" i="2" s="1"/>
  <c r="P461" i="2"/>
  <c r="BP460" i="2"/>
  <c r="BO460" i="2"/>
  <c r="BM460" i="2"/>
  <c r="Y460" i="2"/>
  <c r="BN460" i="2" s="1"/>
  <c r="P460" i="2"/>
  <c r="BO459" i="2"/>
  <c r="BM459" i="2"/>
  <c r="Y459" i="2"/>
  <c r="P459" i="2"/>
  <c r="X455" i="2"/>
  <c r="X454" i="2"/>
  <c r="BO453" i="2"/>
  <c r="BM453" i="2"/>
  <c r="Z453" i="2"/>
  <c r="Y453" i="2"/>
  <c r="BN453" i="2" s="1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Y455" i="2" s="1"/>
  <c r="P451" i="2"/>
  <c r="X449" i="2"/>
  <c r="X448" i="2"/>
  <c r="BO447" i="2"/>
  <c r="BM447" i="2"/>
  <c r="Y447" i="2"/>
  <c r="BP447" i="2" s="1"/>
  <c r="P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BP442" i="2"/>
  <c r="BO442" i="2"/>
  <c r="BN442" i="2"/>
  <c r="BM442" i="2"/>
  <c r="Z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BP423" i="2" s="1"/>
  <c r="P423" i="2"/>
  <c r="BP422" i="2"/>
  <c r="BO422" i="2"/>
  <c r="BN422" i="2"/>
  <c r="BM422" i="2"/>
  <c r="Z422" i="2"/>
  <c r="Y422" i="2"/>
  <c r="P422" i="2"/>
  <c r="X418" i="2"/>
  <c r="X417" i="2"/>
  <c r="BO416" i="2"/>
  <c r="BM416" i="2"/>
  <c r="Y416" i="2"/>
  <c r="BP416" i="2" s="1"/>
  <c r="P416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Y409" i="2"/>
  <c r="BP409" i="2" s="1"/>
  <c r="P409" i="2"/>
  <c r="BP408" i="2"/>
  <c r="BO408" i="2"/>
  <c r="BN408" i="2"/>
  <c r="BM408" i="2"/>
  <c r="Z408" i="2"/>
  <c r="Y408" i="2"/>
  <c r="P408" i="2"/>
  <c r="X406" i="2"/>
  <c r="X405" i="2"/>
  <c r="BO404" i="2"/>
  <c r="BM404" i="2"/>
  <c r="Y404" i="2"/>
  <c r="V500" i="2" s="1"/>
  <c r="P404" i="2"/>
  <c r="X401" i="2"/>
  <c r="X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BP389" i="2" s="1"/>
  <c r="P389" i="2"/>
  <c r="BO388" i="2"/>
  <c r="BM388" i="2"/>
  <c r="Y388" i="2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2" i="2"/>
  <c r="X381" i="2"/>
  <c r="BO380" i="2"/>
  <c r="BM380" i="2"/>
  <c r="Y380" i="2"/>
  <c r="BP380" i="2" s="1"/>
  <c r="P380" i="2"/>
  <c r="BO379" i="2"/>
  <c r="BM379" i="2"/>
  <c r="Y379" i="2"/>
  <c r="BP379" i="2" s="1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Z373" i="2" s="1"/>
  <c r="P373" i="2"/>
  <c r="X371" i="2"/>
  <c r="X370" i="2"/>
  <c r="BO369" i="2"/>
  <c r="BM369" i="2"/>
  <c r="Y369" i="2"/>
  <c r="P369" i="2"/>
  <c r="BO368" i="2"/>
  <c r="BM368" i="2"/>
  <c r="Y368" i="2"/>
  <c r="T500" i="2" s="1"/>
  <c r="P368" i="2"/>
  <c r="X365" i="2"/>
  <c r="X364" i="2"/>
  <c r="BO363" i="2"/>
  <c r="BM363" i="2"/>
  <c r="Z363" i="2"/>
  <c r="Z364" i="2" s="1"/>
  <c r="Y363" i="2"/>
  <c r="Y365" i="2" s="1"/>
  <c r="P363" i="2"/>
  <c r="X361" i="2"/>
  <c r="X360" i="2"/>
  <c r="BO359" i="2"/>
  <c r="BM359" i="2"/>
  <c r="Y359" i="2"/>
  <c r="BP359" i="2" s="1"/>
  <c r="P359" i="2"/>
  <c r="BP358" i="2"/>
  <c r="BO358" i="2"/>
  <c r="BM358" i="2"/>
  <c r="Y358" i="2"/>
  <c r="Y361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BP345" i="2"/>
  <c r="BO345" i="2"/>
  <c r="BN345" i="2"/>
  <c r="BM345" i="2"/>
  <c r="Z345" i="2"/>
  <c r="Y345" i="2"/>
  <c r="P345" i="2"/>
  <c r="BO344" i="2"/>
  <c r="BM344" i="2"/>
  <c r="Y344" i="2"/>
  <c r="BP344" i="2" s="1"/>
  <c r="P344" i="2"/>
  <c r="BO343" i="2"/>
  <c r="BM343" i="2"/>
  <c r="Y343" i="2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P335" i="2"/>
  <c r="X332" i="2"/>
  <c r="X331" i="2"/>
  <c r="BP330" i="2"/>
  <c r="BO330" i="2"/>
  <c r="BN330" i="2"/>
  <c r="BM330" i="2"/>
  <c r="Z330" i="2"/>
  <c r="Y330" i="2"/>
  <c r="P330" i="2"/>
  <c r="BO329" i="2"/>
  <c r="BM329" i="2"/>
  <c r="Z329" i="2"/>
  <c r="Y329" i="2"/>
  <c r="BN329" i="2" s="1"/>
  <c r="P329" i="2"/>
  <c r="BO328" i="2"/>
  <c r="BM328" i="2"/>
  <c r="Y328" i="2"/>
  <c r="Z328" i="2" s="1"/>
  <c r="Z331" i="2" s="1"/>
  <c r="P328" i="2"/>
  <c r="X326" i="2"/>
  <c r="X325" i="2"/>
  <c r="BO324" i="2"/>
  <c r="BM324" i="2"/>
  <c r="Y324" i="2"/>
  <c r="BP324" i="2" s="1"/>
  <c r="P324" i="2"/>
  <c r="BO323" i="2"/>
  <c r="BM323" i="2"/>
  <c r="Z323" i="2"/>
  <c r="Y323" i="2"/>
  <c r="P323" i="2"/>
  <c r="BO322" i="2"/>
  <c r="BM322" i="2"/>
  <c r="Y322" i="2"/>
  <c r="P322" i="2"/>
  <c r="BP321" i="2"/>
  <c r="BO321" i="2"/>
  <c r="BN321" i="2"/>
  <c r="BM321" i="2"/>
  <c r="Z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Z315" i="2" s="1"/>
  <c r="P315" i="2"/>
  <c r="X313" i="2"/>
  <c r="X312" i="2"/>
  <c r="BO311" i="2"/>
  <c r="BM311" i="2"/>
  <c r="Y311" i="2"/>
  <c r="BN311" i="2" s="1"/>
  <c r="P311" i="2"/>
  <c r="BP310" i="2"/>
  <c r="BO310" i="2"/>
  <c r="BN310" i="2"/>
  <c r="BM310" i="2"/>
  <c r="Z310" i="2"/>
  <c r="Y310" i="2"/>
  <c r="P310" i="2"/>
  <c r="BO309" i="2"/>
  <c r="BM309" i="2"/>
  <c r="Y309" i="2"/>
  <c r="BP309" i="2" s="1"/>
  <c r="P309" i="2"/>
  <c r="BO308" i="2"/>
  <c r="BM308" i="2"/>
  <c r="Y308" i="2"/>
  <c r="Z308" i="2" s="1"/>
  <c r="P308" i="2"/>
  <c r="X306" i="2"/>
  <c r="X305" i="2"/>
  <c r="BO304" i="2"/>
  <c r="BM304" i="2"/>
  <c r="Y304" i="2"/>
  <c r="P304" i="2"/>
  <c r="BO303" i="2"/>
  <c r="BM303" i="2"/>
  <c r="Y303" i="2"/>
  <c r="BP303" i="2" s="1"/>
  <c r="P303" i="2"/>
  <c r="BP302" i="2"/>
  <c r="BO302" i="2"/>
  <c r="BM302" i="2"/>
  <c r="Y302" i="2"/>
  <c r="BN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BP290" i="2"/>
  <c r="BO290" i="2"/>
  <c r="BN290" i="2"/>
  <c r="BM290" i="2"/>
  <c r="Z290" i="2"/>
  <c r="Y290" i="2"/>
  <c r="P290" i="2"/>
  <c r="BO289" i="2"/>
  <c r="BM289" i="2"/>
  <c r="Y289" i="2"/>
  <c r="P289" i="2"/>
  <c r="X286" i="2"/>
  <c r="X285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P279" i="2"/>
  <c r="BP278" i="2"/>
  <c r="BO278" i="2"/>
  <c r="BN278" i="2"/>
  <c r="BM278" i="2"/>
  <c r="Z278" i="2"/>
  <c r="Y278" i="2"/>
  <c r="P278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X260" i="2"/>
  <c r="X259" i="2"/>
  <c r="BO258" i="2"/>
  <c r="BM258" i="2"/>
  <c r="Y258" i="2"/>
  <c r="P258" i="2"/>
  <c r="BO257" i="2"/>
  <c r="BM257" i="2"/>
  <c r="Y257" i="2"/>
  <c r="BP257" i="2" s="1"/>
  <c r="P257" i="2"/>
  <c r="BP256" i="2"/>
  <c r="BO256" i="2"/>
  <c r="BM256" i="2"/>
  <c r="Y256" i="2"/>
  <c r="BN256" i="2" s="1"/>
  <c r="P256" i="2"/>
  <c r="BO255" i="2"/>
  <c r="BM255" i="2"/>
  <c r="Y255" i="2"/>
  <c r="BN255" i="2" s="1"/>
  <c r="P255" i="2"/>
  <c r="BP254" i="2"/>
  <c r="BO254" i="2"/>
  <c r="BN254" i="2"/>
  <c r="BM254" i="2"/>
  <c r="Z254" i="2"/>
  <c r="Y254" i="2"/>
  <c r="P254" i="2"/>
  <c r="X251" i="2"/>
  <c r="X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BO246" i="2"/>
  <c r="BM246" i="2"/>
  <c r="Y246" i="2"/>
  <c r="P246" i="2"/>
  <c r="BP245" i="2"/>
  <c r="BO245" i="2"/>
  <c r="BM245" i="2"/>
  <c r="Y245" i="2"/>
  <c r="BN245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Y233" i="2"/>
  <c r="BN233" i="2" s="1"/>
  <c r="P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Y234" i="2" s="1"/>
  <c r="P224" i="2"/>
  <c r="X221" i="2"/>
  <c r="X220" i="2"/>
  <c r="BO219" i="2"/>
  <c r="BM219" i="2"/>
  <c r="Y219" i="2"/>
  <c r="BP219" i="2" s="1"/>
  <c r="P219" i="2"/>
  <c r="BO218" i="2"/>
  <c r="BM218" i="2"/>
  <c r="Y218" i="2"/>
  <c r="Y221" i="2" s="1"/>
  <c r="P218" i="2"/>
  <c r="X216" i="2"/>
  <c r="X215" i="2"/>
  <c r="BO214" i="2"/>
  <c r="BM214" i="2"/>
  <c r="Y214" i="2"/>
  <c r="P214" i="2"/>
  <c r="BO213" i="2"/>
  <c r="BM213" i="2"/>
  <c r="Y213" i="2"/>
  <c r="BP213" i="2" s="1"/>
  <c r="P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N202" i="2" s="1"/>
  <c r="P202" i="2"/>
  <c r="BO201" i="2"/>
  <c r="BM201" i="2"/>
  <c r="Y201" i="2"/>
  <c r="P201" i="2"/>
  <c r="BO200" i="2"/>
  <c r="BM200" i="2"/>
  <c r="Z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X182" i="2"/>
  <c r="X181" i="2"/>
  <c r="BO180" i="2"/>
  <c r="BM180" i="2"/>
  <c r="Y180" i="2"/>
  <c r="Z180" i="2" s="1"/>
  <c r="Z181" i="2" s="1"/>
  <c r="P180" i="2"/>
  <c r="X178" i="2"/>
  <c r="X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BP170" i="2" s="1"/>
  <c r="P170" i="2"/>
  <c r="BP169" i="2"/>
  <c r="BO169" i="2"/>
  <c r="BM169" i="2"/>
  <c r="Y169" i="2"/>
  <c r="BN169" i="2" s="1"/>
  <c r="P169" i="2"/>
  <c r="BO168" i="2"/>
  <c r="BM168" i="2"/>
  <c r="Y168" i="2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P162" i="2"/>
  <c r="BO161" i="2"/>
  <c r="BM161" i="2"/>
  <c r="Y161" i="2"/>
  <c r="BN161" i="2" s="1"/>
  <c r="P161" i="2"/>
  <c r="X159" i="2"/>
  <c r="X158" i="2"/>
  <c r="BO157" i="2"/>
  <c r="BM157" i="2"/>
  <c r="Y157" i="2"/>
  <c r="P157" i="2"/>
  <c r="X153" i="2"/>
  <c r="X152" i="2"/>
  <c r="BO151" i="2"/>
  <c r="BM151" i="2"/>
  <c r="Y151" i="2"/>
  <c r="BN151" i="2" s="1"/>
  <c r="P151" i="2"/>
  <c r="X149" i="2"/>
  <c r="X148" i="2"/>
  <c r="BO147" i="2"/>
  <c r="BM147" i="2"/>
  <c r="Z147" i="2"/>
  <c r="Y147" i="2"/>
  <c r="BN147" i="2" s="1"/>
  <c r="P147" i="2"/>
  <c r="BO146" i="2"/>
  <c r="BM146" i="2"/>
  <c r="Y146" i="2"/>
  <c r="Z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P140" i="2" s="1"/>
  <c r="P140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Z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G500" i="2" s="1"/>
  <c r="P124" i="2"/>
  <c r="X121" i="2"/>
  <c r="X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P108" i="2"/>
  <c r="BO107" i="2"/>
  <c r="BM107" i="2"/>
  <c r="Y107" i="2"/>
  <c r="Z107" i="2" s="1"/>
  <c r="P107" i="2"/>
  <c r="BO106" i="2"/>
  <c r="BM106" i="2"/>
  <c r="Y106" i="2"/>
  <c r="BP106" i="2" s="1"/>
  <c r="P106" i="2"/>
  <c r="X104" i="2"/>
  <c r="X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E500" i="2" s="1"/>
  <c r="P85" i="2"/>
  <c r="X82" i="2"/>
  <c r="X81" i="2"/>
  <c r="BO80" i="2"/>
  <c r="BN80" i="2"/>
  <c r="BM80" i="2"/>
  <c r="Z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N75" i="2" s="1"/>
  <c r="P75" i="2"/>
  <c r="BO74" i="2"/>
  <c r="BM74" i="2"/>
  <c r="Y74" i="2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Z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Y57" i="2" s="1"/>
  <c r="P51" i="2"/>
  <c r="Y48" i="2"/>
  <c r="X48" i="2"/>
  <c r="X47" i="2"/>
  <c r="BO46" i="2"/>
  <c r="BM46" i="2"/>
  <c r="Y46" i="2"/>
  <c r="P46" i="2"/>
  <c r="X44" i="2"/>
  <c r="X43" i="2"/>
  <c r="BO42" i="2"/>
  <c r="BM42" i="2"/>
  <c r="Y42" i="2"/>
  <c r="BN42" i="2" s="1"/>
  <c r="P42" i="2"/>
  <c r="BO41" i="2"/>
  <c r="BM41" i="2"/>
  <c r="Y41" i="2"/>
  <c r="Z41" i="2" s="1"/>
  <c r="P41" i="2"/>
  <c r="BO40" i="2"/>
  <c r="BM40" i="2"/>
  <c r="Y40" i="2"/>
  <c r="Y43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P30" i="2" s="1"/>
  <c r="P30" i="2"/>
  <c r="BO29" i="2"/>
  <c r="BN29" i="2"/>
  <c r="BM29" i="2"/>
  <c r="Z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BO26" i="2"/>
  <c r="BM26" i="2"/>
  <c r="Y26" i="2"/>
  <c r="BN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BP28" i="2" l="1"/>
  <c r="BN30" i="2"/>
  <c r="Z34" i="2"/>
  <c r="Z35" i="2" s="1"/>
  <c r="BN34" i="2"/>
  <c r="Y36" i="2"/>
  <c r="Z42" i="2"/>
  <c r="BN55" i="2"/>
  <c r="Z60" i="2"/>
  <c r="BN60" i="2"/>
  <c r="BP60" i="2"/>
  <c r="Y63" i="2"/>
  <c r="Z67" i="2"/>
  <c r="Z68" i="2"/>
  <c r="BN68" i="2"/>
  <c r="BN72" i="2"/>
  <c r="BP72" i="2"/>
  <c r="BN73" i="2"/>
  <c r="BP75" i="2"/>
  <c r="Z92" i="2"/>
  <c r="BN92" i="2"/>
  <c r="Z101" i="2"/>
  <c r="Z102" i="2"/>
  <c r="BN102" i="2"/>
  <c r="BN106" i="2"/>
  <c r="Z114" i="2"/>
  <c r="BN114" i="2"/>
  <c r="BP124" i="2"/>
  <c r="Y127" i="2"/>
  <c r="BN129" i="2"/>
  <c r="BP129" i="2"/>
  <c r="BN130" i="2"/>
  <c r="BN134" i="2"/>
  <c r="BP147" i="2"/>
  <c r="Z161" i="2"/>
  <c r="Z162" i="2"/>
  <c r="BN162" i="2"/>
  <c r="Z164" i="2"/>
  <c r="BN164" i="2"/>
  <c r="Z167" i="2"/>
  <c r="BN167" i="2"/>
  <c r="Y171" i="2"/>
  <c r="BN196" i="2"/>
  <c r="BP202" i="2"/>
  <c r="Z210" i="2"/>
  <c r="BN210" i="2"/>
  <c r="Z213" i="2"/>
  <c r="BN213" i="2"/>
  <c r="Z218" i="2"/>
  <c r="BN228" i="2"/>
  <c r="BP233" i="2"/>
  <c r="BN237" i="2"/>
  <c r="Z241" i="2"/>
  <c r="Z242" i="2" s="1"/>
  <c r="BP246" i="2"/>
  <c r="BN246" i="2"/>
  <c r="Z246" i="2"/>
  <c r="BN248" i="2"/>
  <c r="BP248" i="2"/>
  <c r="Y280" i="2"/>
  <c r="BN292" i="2"/>
  <c r="BP292" i="2"/>
  <c r="BP300" i="2"/>
  <c r="BN300" i="2"/>
  <c r="Z300" i="2"/>
  <c r="Y339" i="2"/>
  <c r="BP335" i="2"/>
  <c r="Y23" i="2"/>
  <c r="X490" i="2"/>
  <c r="BP42" i="2"/>
  <c r="BN53" i="2"/>
  <c r="BP53" i="2"/>
  <c r="BN54" i="2"/>
  <c r="BN56" i="2"/>
  <c r="Z69" i="2"/>
  <c r="BP67" i="2"/>
  <c r="Y81" i="2"/>
  <c r="Y82" i="2"/>
  <c r="BN86" i="2"/>
  <c r="BP86" i="2"/>
  <c r="BN87" i="2"/>
  <c r="Z91" i="2"/>
  <c r="BN91" i="2"/>
  <c r="Y96" i="2"/>
  <c r="Z93" i="2"/>
  <c r="BN93" i="2"/>
  <c r="BP99" i="2"/>
  <c r="BP101" i="2"/>
  <c r="Z124" i="2"/>
  <c r="Z126" i="2" s="1"/>
  <c r="Z125" i="2"/>
  <c r="BN125" i="2"/>
  <c r="Y126" i="2"/>
  <c r="Y131" i="2"/>
  <c r="Z140" i="2"/>
  <c r="Z142" i="2" s="1"/>
  <c r="BN140" i="2"/>
  <c r="BP161" i="2"/>
  <c r="BN170" i="2"/>
  <c r="BN174" i="2"/>
  <c r="Y178" i="2"/>
  <c r="BP185" i="2"/>
  <c r="Z190" i="2"/>
  <c r="BN190" i="2"/>
  <c r="BN197" i="2"/>
  <c r="BN200" i="2"/>
  <c r="BN207" i="2"/>
  <c r="BN226" i="2"/>
  <c r="BP226" i="2"/>
  <c r="BN227" i="2"/>
  <c r="BN229" i="2"/>
  <c r="Y243" i="2"/>
  <c r="Y242" i="2"/>
  <c r="BP241" i="2"/>
  <c r="BP265" i="2"/>
  <c r="BN265" i="2"/>
  <c r="Z265" i="2"/>
  <c r="BN273" i="2"/>
  <c r="BP279" i="2"/>
  <c r="BN279" i="2"/>
  <c r="Z279" i="2"/>
  <c r="Z280" i="2" s="1"/>
  <c r="Y281" i="2"/>
  <c r="BN284" i="2"/>
  <c r="BP284" i="2"/>
  <c r="BN317" i="2"/>
  <c r="BP322" i="2"/>
  <c r="BN322" i="2"/>
  <c r="Z322" i="2"/>
  <c r="BN347" i="2"/>
  <c r="BP347" i="2"/>
  <c r="BN373" i="2"/>
  <c r="BN379" i="2"/>
  <c r="Y381" i="2"/>
  <c r="Y382" i="2"/>
  <c r="BN390" i="2"/>
  <c r="BN392" i="2"/>
  <c r="Y396" i="2"/>
  <c r="BN409" i="2"/>
  <c r="BN416" i="2"/>
  <c r="BN427" i="2"/>
  <c r="BN436" i="2"/>
  <c r="BN438" i="2"/>
  <c r="BN447" i="2"/>
  <c r="BP461" i="2"/>
  <c r="BP462" i="2"/>
  <c r="BN472" i="2"/>
  <c r="BN271" i="2"/>
  <c r="BP271" i="2"/>
  <c r="BN272" i="2"/>
  <c r="Y274" i="2"/>
  <c r="Y275" i="2"/>
  <c r="Y296" i="2"/>
  <c r="BN315" i="2"/>
  <c r="BP315" i="2"/>
  <c r="BN316" i="2"/>
  <c r="Y318" i="2"/>
  <c r="Y319" i="2"/>
  <c r="BP329" i="2"/>
  <c r="Z368" i="2"/>
  <c r="BN368" i="2"/>
  <c r="BP368" i="2"/>
  <c r="Y371" i="2"/>
  <c r="BN369" i="2"/>
  <c r="BN374" i="2"/>
  <c r="Z378" i="2"/>
  <c r="BN378" i="2"/>
  <c r="BN380" i="2"/>
  <c r="Z386" i="2"/>
  <c r="BN386" i="2"/>
  <c r="BN391" i="2"/>
  <c r="Z404" i="2"/>
  <c r="Z405" i="2" s="1"/>
  <c r="Y417" i="2"/>
  <c r="Y418" i="2"/>
  <c r="Z423" i="2"/>
  <c r="BN423" i="2"/>
  <c r="BN426" i="2"/>
  <c r="BN428" i="2"/>
  <c r="Z431" i="2"/>
  <c r="BN431" i="2"/>
  <c r="BN432" i="2"/>
  <c r="BN437" i="2"/>
  <c r="Y439" i="2"/>
  <c r="Y440" i="2"/>
  <c r="Z443" i="2"/>
  <c r="BN443" i="2"/>
  <c r="BN446" i="2"/>
  <c r="Z452" i="2"/>
  <c r="BN452" i="2"/>
  <c r="BP453" i="2"/>
  <c r="Y454" i="2"/>
  <c r="Z461" i="2"/>
  <c r="Z462" i="2"/>
  <c r="BN467" i="2"/>
  <c r="BP477" i="2"/>
  <c r="Y478" i="2"/>
  <c r="BP482" i="2"/>
  <c r="Y489" i="2"/>
  <c r="Y153" i="2"/>
  <c r="Y152" i="2"/>
  <c r="BP151" i="2"/>
  <c r="Z151" i="2"/>
  <c r="Z152" i="2" s="1"/>
  <c r="BP311" i="2"/>
  <c r="Z311" i="2"/>
  <c r="Y109" i="2"/>
  <c r="BP107" i="2"/>
  <c r="Z119" i="2"/>
  <c r="Z120" i="2" s="1"/>
  <c r="Y121" i="2"/>
  <c r="Y120" i="2"/>
  <c r="BP186" i="2"/>
  <c r="BN186" i="2"/>
  <c r="J500" i="2"/>
  <c r="BP201" i="2"/>
  <c r="Z201" i="2"/>
  <c r="Y313" i="2"/>
  <c r="Y312" i="2"/>
  <c r="BP308" i="2"/>
  <c r="Y332" i="2"/>
  <c r="BP328" i="2"/>
  <c r="Y331" i="2"/>
  <c r="BN328" i="2"/>
  <c r="BP346" i="2"/>
  <c r="Z346" i="2"/>
  <c r="BP468" i="2"/>
  <c r="BN468" i="2"/>
  <c r="BP74" i="2"/>
  <c r="BN74" i="2"/>
  <c r="Z74" i="2"/>
  <c r="BN119" i="2"/>
  <c r="BP146" i="2"/>
  <c r="BN146" i="2"/>
  <c r="Z198" i="2"/>
  <c r="BN201" i="2"/>
  <c r="Y260" i="2"/>
  <c r="Z257" i="2"/>
  <c r="Y351" i="2"/>
  <c r="Y350" i="2"/>
  <c r="S500" i="2"/>
  <c r="BP343" i="2"/>
  <c r="Y434" i="2"/>
  <c r="Y433" i="2"/>
  <c r="BN424" i="2"/>
  <c r="Z424" i="2"/>
  <c r="Y463" i="2"/>
  <c r="Y500" i="2"/>
  <c r="BP459" i="2"/>
  <c r="BN459" i="2"/>
  <c r="Z459" i="2"/>
  <c r="Z468" i="2"/>
  <c r="BP168" i="2"/>
  <c r="Z168" i="2"/>
  <c r="BN308" i="2"/>
  <c r="Z343" i="2"/>
  <c r="BN346" i="2"/>
  <c r="BN198" i="2"/>
  <c r="Z214" i="2"/>
  <c r="BP214" i="2"/>
  <c r="BN214" i="2"/>
  <c r="Z247" i="2"/>
  <c r="BP247" i="2"/>
  <c r="BN247" i="2"/>
  <c r="BN257" i="2"/>
  <c r="Z293" i="2"/>
  <c r="Y355" i="2"/>
  <c r="BP353" i="2"/>
  <c r="BN353" i="2"/>
  <c r="Z26" i="2"/>
  <c r="Y70" i="2"/>
  <c r="BP66" i="2"/>
  <c r="Y69" i="2"/>
  <c r="BN66" i="2"/>
  <c r="Z165" i="2"/>
  <c r="BN168" i="2"/>
  <c r="Y182" i="2"/>
  <c r="Y181" i="2"/>
  <c r="BN180" i="2"/>
  <c r="BN195" i="2"/>
  <c r="BP283" i="2"/>
  <c r="Z283" i="2"/>
  <c r="BN283" i="2"/>
  <c r="P500" i="2"/>
  <c r="Y286" i="2"/>
  <c r="Y325" i="2"/>
  <c r="BN323" i="2"/>
  <c r="BN343" i="2"/>
  <c r="Z353" i="2"/>
  <c r="BP424" i="2"/>
  <c r="BP108" i="2"/>
  <c r="BN108" i="2"/>
  <c r="Z108" i="2"/>
  <c r="Z157" i="2"/>
  <c r="Z158" i="2" s="1"/>
  <c r="Y159" i="2"/>
  <c r="Y158" i="2"/>
  <c r="I500" i="2"/>
  <c r="BP211" i="2"/>
  <c r="Z211" i="2"/>
  <c r="BN224" i="2"/>
  <c r="K500" i="2"/>
  <c r="BN293" i="2"/>
  <c r="BN388" i="2"/>
  <c r="Z388" i="2"/>
  <c r="Y400" i="2"/>
  <c r="BN398" i="2"/>
  <c r="Z398" i="2"/>
  <c r="BP411" i="2"/>
  <c r="BN411" i="2"/>
  <c r="X500" i="2"/>
  <c r="Y469" i="2"/>
  <c r="D500" i="2"/>
  <c r="Y58" i="2"/>
  <c r="BN51" i="2"/>
  <c r="BN107" i="2"/>
  <c r="F9" i="2"/>
  <c r="BP51" i="2"/>
  <c r="Y143" i="2"/>
  <c r="Y142" i="2"/>
  <c r="BN141" i="2"/>
  <c r="H500" i="2"/>
  <c r="BN165" i="2"/>
  <c r="BP195" i="2"/>
  <c r="Y215" i="2"/>
  <c r="BP208" i="2"/>
  <c r="Z224" i="2"/>
  <c r="BP258" i="2"/>
  <c r="BN258" i="2"/>
  <c r="Z258" i="2"/>
  <c r="Z303" i="2"/>
  <c r="Y413" i="2"/>
  <c r="Z411" i="2"/>
  <c r="Y464" i="2"/>
  <c r="BN157" i="2"/>
  <c r="BN211" i="2"/>
  <c r="Y235" i="2"/>
  <c r="R500" i="2"/>
  <c r="BP336" i="2"/>
  <c r="BP429" i="2"/>
  <c r="BN429" i="2"/>
  <c r="C500" i="2"/>
  <c r="Y44" i="2"/>
  <c r="BP40" i="2"/>
  <c r="Y104" i="2"/>
  <c r="BP100" i="2"/>
  <c r="BN100" i="2"/>
  <c r="Y177" i="2"/>
  <c r="BP175" i="2"/>
  <c r="BP180" i="2"/>
  <c r="Y259" i="2"/>
  <c r="BP255" i="2"/>
  <c r="Z255" i="2"/>
  <c r="L500" i="2"/>
  <c r="BP294" i="2"/>
  <c r="BN294" i="2"/>
  <c r="Z294" i="2"/>
  <c r="BN303" i="2"/>
  <c r="BP323" i="2"/>
  <c r="Z336" i="2"/>
  <c r="BP388" i="2"/>
  <c r="BP398" i="2"/>
  <c r="Z429" i="2"/>
  <c r="Y470" i="2"/>
  <c r="BP119" i="2"/>
  <c r="J9" i="2"/>
  <c r="A10" i="2"/>
  <c r="Z40" i="2"/>
  <c r="Z43" i="2" s="1"/>
  <c r="Z61" i="2"/>
  <c r="Z63" i="2" s="1"/>
  <c r="Z100" i="2"/>
  <c r="Y137" i="2"/>
  <c r="Y136" i="2"/>
  <c r="BP135" i="2"/>
  <c r="BP157" i="2"/>
  <c r="Z175" i="2"/>
  <c r="Y203" i="2"/>
  <c r="BN208" i="2"/>
  <c r="Y220" i="2"/>
  <c r="BP218" i="2"/>
  <c r="BP224" i="2"/>
  <c r="Y395" i="2"/>
  <c r="BP26" i="2"/>
  <c r="Y76" i="2"/>
  <c r="BP115" i="2"/>
  <c r="Z115" i="2"/>
  <c r="BP141" i="2"/>
  <c r="BP291" i="2"/>
  <c r="Z291" i="2"/>
  <c r="BN336" i="2"/>
  <c r="BP348" i="2"/>
  <c r="BN348" i="2"/>
  <c r="Y412" i="2"/>
  <c r="BN444" i="2"/>
  <c r="Z444" i="2"/>
  <c r="BN40" i="2"/>
  <c r="Z56" i="2"/>
  <c r="Y110" i="2"/>
  <c r="Y117" i="2"/>
  <c r="Y116" i="2"/>
  <c r="BP112" i="2"/>
  <c r="BN175" i="2"/>
  <c r="BP266" i="2"/>
  <c r="Z266" i="2"/>
  <c r="BP304" i="2"/>
  <c r="Z304" i="2"/>
  <c r="BN304" i="2"/>
  <c r="Z348" i="2"/>
  <c r="BP393" i="2"/>
  <c r="BN393" i="2"/>
  <c r="H9" i="2"/>
  <c r="BP46" i="2"/>
  <c r="BN46" i="2"/>
  <c r="Z46" i="2"/>
  <c r="Z47" i="2" s="1"/>
  <c r="BP22" i="2"/>
  <c r="BN22" i="2"/>
  <c r="Z22" i="2"/>
  <c r="Z23" i="2" s="1"/>
  <c r="B500" i="2"/>
  <c r="Y31" i="2"/>
  <c r="BP61" i="2"/>
  <c r="Z112" i="2"/>
  <c r="BN115" i="2"/>
  <c r="BN135" i="2"/>
  <c r="Y204" i="2"/>
  <c r="BN218" i="2"/>
  <c r="BP232" i="2"/>
  <c r="Z232" i="2"/>
  <c r="BP249" i="2"/>
  <c r="BN249" i="2"/>
  <c r="Y268" i="2"/>
  <c r="Y267" i="2"/>
  <c r="BP263" i="2"/>
  <c r="M500" i="2"/>
  <c r="BN291" i="2"/>
  <c r="Z393" i="2"/>
  <c r="X491" i="2"/>
  <c r="Y95" i="2"/>
  <c r="BN94" i="2"/>
  <c r="Z170" i="2"/>
  <c r="Y193" i="2"/>
  <c r="BP191" i="2"/>
  <c r="Y192" i="2"/>
  <c r="Z191" i="2"/>
  <c r="Z192" i="2" s="1"/>
  <c r="Z249" i="2"/>
  <c r="Z263" i="2"/>
  <c r="BN266" i="2"/>
  <c r="Y285" i="2"/>
  <c r="BP301" i="2"/>
  <c r="Z301" i="2"/>
  <c r="BP337" i="2"/>
  <c r="BN337" i="2"/>
  <c r="Z337" i="2"/>
  <c r="Y356" i="2"/>
  <c r="BP444" i="2"/>
  <c r="Y475" i="2"/>
  <c r="Y474" i="2"/>
  <c r="BP473" i="2"/>
  <c r="BN473" i="2"/>
  <c r="BP481" i="2"/>
  <c r="BN481" i="2"/>
  <c r="Z481" i="2"/>
  <c r="Y484" i="2"/>
  <c r="Y483" i="2"/>
  <c r="Z51" i="2"/>
  <c r="X492" i="2"/>
  <c r="BP41" i="2"/>
  <c r="BN41" i="2"/>
  <c r="Z73" i="2"/>
  <c r="Z94" i="2"/>
  <c r="Z95" i="2" s="1"/>
  <c r="BN112" i="2"/>
  <c r="Z130" i="2"/>
  <c r="Z131" i="2" s="1"/>
  <c r="Y148" i="2"/>
  <c r="Y149" i="2"/>
  <c r="Y216" i="2"/>
  <c r="Z229" i="2"/>
  <c r="BN232" i="2"/>
  <c r="Y306" i="2"/>
  <c r="Y305" i="2"/>
  <c r="BP298" i="2"/>
  <c r="Y449" i="2"/>
  <c r="Z454" i="2"/>
  <c r="Z473" i="2"/>
  <c r="X494" i="2"/>
  <c r="BN28" i="2"/>
  <c r="Y32" i="2"/>
  <c r="Y47" i="2"/>
  <c r="BN263" i="2"/>
  <c r="Z298" i="2"/>
  <c r="BN301" i="2"/>
  <c r="Y326" i="2"/>
  <c r="BP349" i="2"/>
  <c r="BN349" i="2"/>
  <c r="Z349" i="2"/>
  <c r="Y360" i="2"/>
  <c r="BN358" i="2"/>
  <c r="Z358" i="2"/>
  <c r="Y401" i="2"/>
  <c r="BP373" i="2"/>
  <c r="BP390" i="2"/>
  <c r="BP426" i="2"/>
  <c r="BP436" i="2"/>
  <c r="BP446" i="2"/>
  <c r="Z369" i="2"/>
  <c r="Z370" i="2" s="1"/>
  <c r="Z409" i="2"/>
  <c r="Z432" i="2"/>
  <c r="Z466" i="2"/>
  <c r="Z54" i="2"/>
  <c r="Y77" i="2"/>
  <c r="Z87" i="2"/>
  <c r="Y103" i="2"/>
  <c r="Z196" i="2"/>
  <c r="Z206" i="2"/>
  <c r="Z227" i="2"/>
  <c r="Z237" i="2"/>
  <c r="Z238" i="2" s="1"/>
  <c r="Z272" i="2"/>
  <c r="Z316" i="2"/>
  <c r="BN363" i="2"/>
  <c r="Z374" i="2"/>
  <c r="Z375" i="2" s="1"/>
  <c r="Z379" i="2"/>
  <c r="Z391" i="2"/>
  <c r="BN404" i="2"/>
  <c r="Z427" i="2"/>
  <c r="Z437" i="2"/>
  <c r="Z447" i="2"/>
  <c r="O500" i="2"/>
  <c r="BP363" i="2"/>
  <c r="BP404" i="2"/>
  <c r="Q500" i="2"/>
  <c r="Z166" i="2"/>
  <c r="Z209" i="2"/>
  <c r="Z219" i="2"/>
  <c r="Z220" i="2" s="1"/>
  <c r="Z230" i="2"/>
  <c r="Z264" i="2"/>
  <c r="Z289" i="2"/>
  <c r="Z299" i="2"/>
  <c r="Z309" i="2"/>
  <c r="Z312" i="2" s="1"/>
  <c r="Z344" i="2"/>
  <c r="Z354" i="2"/>
  <c r="BP369" i="2"/>
  <c r="Z394" i="2"/>
  <c r="Z430" i="2"/>
  <c r="BP466" i="2"/>
  <c r="Z27" i="2"/>
  <c r="Z52" i="2"/>
  <c r="Z62" i="2"/>
  <c r="Z85" i="2"/>
  <c r="Y132" i="2"/>
  <c r="Y172" i="2"/>
  <c r="Y187" i="2"/>
  <c r="BP206" i="2"/>
  <c r="Z225" i="2"/>
  <c r="BP237" i="2"/>
  <c r="Y250" i="2"/>
  <c r="Z324" i="2"/>
  <c r="Z325" i="2" s="1"/>
  <c r="Z359" i="2"/>
  <c r="Y364" i="2"/>
  <c r="Z389" i="2"/>
  <c r="Z395" i="2" s="1"/>
  <c r="Z399" i="2"/>
  <c r="Y405" i="2"/>
  <c r="Z425" i="2"/>
  <c r="Z445" i="2"/>
  <c r="Z448" i="2" s="1"/>
  <c r="BN166" i="2"/>
  <c r="BN176" i="2"/>
  <c r="BN199" i="2"/>
  <c r="BN219" i="2"/>
  <c r="BN230" i="2"/>
  <c r="BN264" i="2"/>
  <c r="BN289" i="2"/>
  <c r="BN299" i="2"/>
  <c r="BN309" i="2"/>
  <c r="BN344" i="2"/>
  <c r="BN354" i="2"/>
  <c r="Y370" i="2"/>
  <c r="BN394" i="2"/>
  <c r="BN430" i="2"/>
  <c r="BN487" i="2"/>
  <c r="Z79" i="2"/>
  <c r="Z81" i="2" s="1"/>
  <c r="BN113" i="2"/>
  <c r="BN209" i="2"/>
  <c r="BN52" i="2"/>
  <c r="BN62" i="2"/>
  <c r="BN85" i="2"/>
  <c r="Z169" i="2"/>
  <c r="Z202" i="2"/>
  <c r="Z212" i="2"/>
  <c r="BN225" i="2"/>
  <c r="Z233" i="2"/>
  <c r="Y238" i="2"/>
  <c r="Z245" i="2"/>
  <c r="Z256" i="2"/>
  <c r="Z259" i="2" s="1"/>
  <c r="Z292" i="2"/>
  <c r="Z302" i="2"/>
  <c r="BN324" i="2"/>
  <c r="Z335" i="2"/>
  <c r="Z347" i="2"/>
  <c r="BN359" i="2"/>
  <c r="Y375" i="2"/>
  <c r="BN389" i="2"/>
  <c r="BN399" i="2"/>
  <c r="Z410" i="2"/>
  <c r="BN425" i="2"/>
  <c r="BN445" i="2"/>
  <c r="Y448" i="2"/>
  <c r="Z467" i="2"/>
  <c r="U500" i="2"/>
  <c r="Z113" i="2"/>
  <c r="Z176" i="2"/>
  <c r="Z199" i="2"/>
  <c r="BP34" i="2"/>
  <c r="BN79" i="2"/>
  <c r="BN27" i="2"/>
  <c r="Y88" i="2"/>
  <c r="Z106" i="2"/>
  <c r="Z109" i="2" s="1"/>
  <c r="Z30" i="2"/>
  <c r="Z55" i="2"/>
  <c r="BN124" i="2"/>
  <c r="Z134" i="2"/>
  <c r="Z136" i="2" s="1"/>
  <c r="Z174" i="2"/>
  <c r="Y188" i="2"/>
  <c r="Z197" i="2"/>
  <c r="Z207" i="2"/>
  <c r="Z228" i="2"/>
  <c r="Y251" i="2"/>
  <c r="Z273" i="2"/>
  <c r="BP289" i="2"/>
  <c r="Z317" i="2"/>
  <c r="Z380" i="2"/>
  <c r="Z392" i="2"/>
  <c r="Y406" i="2"/>
  <c r="Z416" i="2"/>
  <c r="Z417" i="2" s="1"/>
  <c r="Z428" i="2"/>
  <c r="Z438" i="2"/>
  <c r="Z472" i="2"/>
  <c r="Z474" i="2" s="1"/>
  <c r="BP487" i="2"/>
  <c r="BP85" i="2"/>
  <c r="Y295" i="2"/>
  <c r="BN335" i="2"/>
  <c r="Y338" i="2"/>
  <c r="W500" i="2"/>
  <c r="Z75" i="2"/>
  <c r="Y89" i="2"/>
  <c r="Z99" i="2"/>
  <c r="Z103" i="2" s="1"/>
  <c r="Z145" i="2"/>
  <c r="Z148" i="2" s="1"/>
  <c r="Z185" i="2"/>
  <c r="Z187" i="2" s="1"/>
  <c r="Z248" i="2"/>
  <c r="Z284" i="2"/>
  <c r="Y376" i="2"/>
  <c r="Z460" i="2"/>
  <c r="Z482" i="2"/>
  <c r="Y488" i="2"/>
  <c r="F500" i="2"/>
  <c r="BN145" i="2"/>
  <c r="Z274" i="2" l="1"/>
  <c r="Z203" i="2"/>
  <c r="Y490" i="2"/>
  <c r="Z171" i="2"/>
  <c r="Z433" i="2"/>
  <c r="Z88" i="2"/>
  <c r="Z318" i="2"/>
  <c r="Z469" i="2"/>
  <c r="Z412" i="2"/>
  <c r="Z305" i="2"/>
  <c r="Z76" i="2"/>
  <c r="X493" i="2"/>
  <c r="Y494" i="2"/>
  <c r="Z285" i="2"/>
  <c r="Y491" i="2"/>
  <c r="Y492" i="2"/>
  <c r="Z350" i="2"/>
  <c r="Z267" i="2"/>
  <c r="Z234" i="2"/>
  <c r="Z400" i="2"/>
  <c r="Z250" i="2"/>
  <c r="Z483" i="2"/>
  <c r="Z355" i="2"/>
  <c r="Z295" i="2"/>
  <c r="Z360" i="2"/>
  <c r="Z31" i="2"/>
  <c r="Z215" i="2"/>
  <c r="Z381" i="2"/>
  <c r="Z177" i="2"/>
  <c r="Z463" i="2"/>
  <c r="Z338" i="2"/>
  <c r="Z116" i="2"/>
  <c r="Z439" i="2"/>
  <c r="Z57" i="2"/>
  <c r="Z495" i="2" l="1"/>
  <c r="Y493" i="2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<sst xmlns="http://schemas.openxmlformats.org/spreadsheetml/2006/main" count="3596" uniqueCount="766">
  <si>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</si>
  <si>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</si>
  <si>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</si>
  <si>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</si>
  <si>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</si>
  <si>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</si>
  <si>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</si>
  <si>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</si>
  <si>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</si>
  <si>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</si>
  <si>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</si>
  <si>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</si>
  <si>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</si>
  <si>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</si>
  <si>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</si>
  <si>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</si>
  <si>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</si>
  <si>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</si>
  <si>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</si>
  <si>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</si>
  <si>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</si>
  <si>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</si>
  <si>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</si>
  <si>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</si>
  <si>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</si>
  <si>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</si>
  <si>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</si>
  <si>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</si>
  <si>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</si>
  <si>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</si>
  <si>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</si>
  <si>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</si>
  <si>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</si>
  <si>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</si>
  <si>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</si>
  <si>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</si>
  <si>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</si>
  <si>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</si>
  <si>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</si>
  <si>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</si>
  <si>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</si>
  <si>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</si>
  <si>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</si>
  <si>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</si>
  <si>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</si>
  <si>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</si>
  <si>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</si>
  <si>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</si>
  <si>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</si>
  <si>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</si>
  <si>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</si>
  <si>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</si>
  <si>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</si>
  <si>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</si>
  <si>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</si>
  <si>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</si>
  <si>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</si>
  <si>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</si>
  <si>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</si>
  <si>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</si>
  <si>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</si>
  <si>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</si>
  <si>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</si>
  <si>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</si>
  <si>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</si>
  <si>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</si>
  <si>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</si>
  <si>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</si>
  <si>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</si>
  <si>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</si>
  <si>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</si>
  <si>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</si>
  <si>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</si>
  <si>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</si>
  <si>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</si>
  <si>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</si>
  <si>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</si>
  <si>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</si>
  <si>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</si>
  <si>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</si>
  <si>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</si>
  <si>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</si>
  <si>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</si>
  <si>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</si>
  <si>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</si>
  <si>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</si>
  <si>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</si>
  <si>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</si>
  <si>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</si>
  <si>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</si>
  <si>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</si>
  <si>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</si>
  <si>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</si>
  <si>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</si>
  <si>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</si>
  <si>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</si>
  <si>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</si>
  <si>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</si>
  <si>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</si>
  <si>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</si>
  <si>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</si>
  <si>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</si>
  <si>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</si>
  <si>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</si>
  <si>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</si>
  <si>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</si>
  <si>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</si>
  <si>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</si>
  <si>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</si>
  <si>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</si>
  <si>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</si>
  <si>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</si>
  <si>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</si>
  <si>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</si>
  <si>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</si>
  <si>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</si>
  <si>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</si>
  <si>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</si>
  <si>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</si>
  <si>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</si>
  <si>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</si>
  <si>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</si>
  <si>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</si>
  <si>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</si>
  <si>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</si>
  <si>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</si>
  <si>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</si>
  <si>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</si>
  <si>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</si>
  <si>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</si>
  <si>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</si>
  <si>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</si>
  <si>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</si>
  <si>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</si>
  <si>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</si>
  <si>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</si>
  <si>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</si>
  <si>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</si>
  <si>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</si>
  <si>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</si>
  <si>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</si>
  <si>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</si>
  <si>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</si>
  <si>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</si>
  <si>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</si>
  <si>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</si>
  <si>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</si>
  <si>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</si>
  <si>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</si>
  <si>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</si>
  <si>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</si>
  <si>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</si>
  <si>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</si>
  <si>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</si>
  <si>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</si>
  <si>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</si>
  <si>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</si>
  <si>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</si>
  <si>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</si>
  <si>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</si>
  <si>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</si>
  <si>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</si>
  <si>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</si>
  <si>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</si>
  <si>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</si>
  <si>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</si>
  <si>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</si>
  <si>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</si>
  <si>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</si>
  <si>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</si>
  <si>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</si>
  <si>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</si>
  <si>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</si>
  <si>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</si>
  <si>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</si>
  <si>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</si>
  <si>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</si>
  <si>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</si>
  <si>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</si>
  <si>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</si>
  <si>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</si>
  <si>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</si>
  <si>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</si>
  <si>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</si>
  <si>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</si>
  <si>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</si>
  <si>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</si>
  <si>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</si>
  <si>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</si>
  <si>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</si>
  <si>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</si>
  <si>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</si>
  <si>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</si>
  <si>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</si>
  <si>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</si>
  <si>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</si>
  <si>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</si>
  <si>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</si>
  <si>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</si>
  <si>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</si>
  <si>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</si>
  <si>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</si>
  <si>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</si>
  <si>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</si>
  <si>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</si>
  <si>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</si>
  <si>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</si>
  <si>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</si>
  <si>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</si>
  <si>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</si>
  <si>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</si>
  <si>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</si>
  <si>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</si>
  <si>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</si>
  <si>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</si>
  <si>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</si>
  <si>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</si>
  <si>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</si>
  <si>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</si>
  <si>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</si>
  <si>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</si>
  <si>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</si>
  <si>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</si>
  <si>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</si>
  <si>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</si>
  <si>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</si>
  <si>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</si>
  <si>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</si>
  <si>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</si>
  <si>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</si>
  <si>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</si>
  <si>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</si>
  <si>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</si>
  <si>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</si>
  <si>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</si>
  <si>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</si>
  <si>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</si>
  <si>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</si>
  <si>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</si>
  <si>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</si>
  <si>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</si>
  <si>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</si>
  <si>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</si>
  <si>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</si>
  <si>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</si>
  <si>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</si>
  <si>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</si>
  <si>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</si>
  <si>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</si>
  <si>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</si>
  <si>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</si>
  <si>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</si>
  <si>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</si>
  <si>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</si>
  <si>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</si>
  <si>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</si>
  <si>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</si>
  <si>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</si>
  <si>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</si>
  <si>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</si>
  <si>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</si>
  <si>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</si>
  <si>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</si>
  <si>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</si>
  <si>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</si>
  <si>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</si>
  <si>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</si>
  <si>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</si>
  <si>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</si>
  <si>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</si>
  <si>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</si>
  <si>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</si>
  <si>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</si>
  <si>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</si>
  <si>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</si>
  <si>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</si>
  <si>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</si>
  <si>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</si>
  <si>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</si>
  <si>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</si>
  <si>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</si>
  <si>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</si>
  <si>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</si>
  <si>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</si>
  <si>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</si>
  <si>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</si>
  <si>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</si>
  <si>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</si>
  <si>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</si>
  <si>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</si>
  <si>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</si>
  <si>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</si>
  <si>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</si>
  <si>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</si>
  <si>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</si>
  <si>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</si>
  <si>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</si>
  <si>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</si>
  <si>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</si>
  <si>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</si>
  <si>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</si>
  <si>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</si>
  <si>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</si>
  <si>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</si>
  <si>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</si>
  <si>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</si>
  <si>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</si>
  <si>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</si>
  <si>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</si>
  <si>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</si>
  <si>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</si>
  <si>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</si>
  <si>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</si>
  <si>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</si>
  <si>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</si>
  <si>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</si>
  <si>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</si>
  <si>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</si>
  <si>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</si>
  <si>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</si>
  <si>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</si>
  <si>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</si>
  <si>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</si>
  <si>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</si>
  <si>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</si>
  <si>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</si>
  <si>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</si>
  <si>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</si>
  <si>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</si>
  <si>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</si>
  <si>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</si>
  <si>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</si>
  <si>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</si>
  <si>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</si>
  <si>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</si>
  <si>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</si>
  <si>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</si>
  <si>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</si>
  <si>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</si>
  <si>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</si>
  <si>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</si>
  <si>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</si>
  <si>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</si>
  <si>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</si>
  <si>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</si>
  <si>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</si>
  <si>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</si>
  <si>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</si>
  <si>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</si>
  <si>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</si>
  <si>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</si>
  <si>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</si>
  <si>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</si>
  <si>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</si>
  <si>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</si>
  <si>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</si>
  <si>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</si>
  <si>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</si>
  <si>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</si>
  <si>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</si>
  <si>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</si>
  <si>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</si>
  <si>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</si>
  <si>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</si>
  <si>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</si>
  <si>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</si>
  <si>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</si>
  <si>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</si>
  <si>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</si>
  <si>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</si>
  <si>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</si>
  <si>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</si>
  <si>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</si>
  <si>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</si>
  <si>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</si>
  <si>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</si>
  <si>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</si>
  <si>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</si>
  <si>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</si>
  <si>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</si>
  <si>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</si>
  <si>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</si>
  <si>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</si>
  <si>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</si>
  <si>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</si>
  <si>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</si>
  <si>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</si>
  <si>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</si>
  <si>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</si>
  <si>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</si>
  <si>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</si>
  <si>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</si>
  <si>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</si>
  <si>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</si>
  <si>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</si>
  <si>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</si>
  <si>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</si>
  <si>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</si>
  <si>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</si>
  <si>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</si>
  <si>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</si>
  <si>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</si>
  <si>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</si>
  <si>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</si>
  <si>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</si>
  <si>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</si>
  <si>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</si>
  <si>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</si>
  <si>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</si>
  <si>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</si>
  <si>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</si>
  <si>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</si>
  <si>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</si>
  <si>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</si>
  <si>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</si>
  <si>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</si>
  <si>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</si>
  <si>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</si>
  <si>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</si>
  <si>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</si>
  <si>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</si>
  <si>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</si>
  <si>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</si>
  <si>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</si>
  <si>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</si>
  <si>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</si>
  <si>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</si>
  <si>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</si>
  <si>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</si>
  <si>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</si>
  <si>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</si>
  <si>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</si>
  <si>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</si>
  <si>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</si>
  <si>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</si>
  <si>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</si>
  <si>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</si>
  <si>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</si>
  <si>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</si>
  <si>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</si>
  <si>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</si>
  <si>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</si>
  <si>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</si>
  <si>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</si>
  <si>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</si>
  <si>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</si>
  <si>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</si>
  <si>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</si>
  <si>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</si>
  <si>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</si>
  <si>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</si>
  <si>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</si>
  <si>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</si>
  <si>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</si>
  <si>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</si>
  <si>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</si>
  <si>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</si>
  <si>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</si>
  <si>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</si>
  <si>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</si>
  <si>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</si>
  <si>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</si>
  <si>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</si>
  <si>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</si>
  <si>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</si>
  <si>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</si>
  <si>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</si>
  <si>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</si>
  <si>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</si>
  <si>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</si>
  <si>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</si>
  <si>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</si>
  <si>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</si>
  <si>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</si>
  <si>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</si>
  <si>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</si>
  <si>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</si>
  <si>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</si>
  <si>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</si>
  <si>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</si>
  <si>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</si>
  <si>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</si>
  <si>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</si>
  <si>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</si>
  <si>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</si>
  <si>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</si>
  <si>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</si>
  <si>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</si>
  <si>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</si>
  <si>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</si>
  <si>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</si>
  <si>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</si>
  <si>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</si>
  <si>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</si>
  <si>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</si>
  <si>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</si>
  <si>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</si>
  <si>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</si>
  <si>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</si>
  <si>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</si>
  <si>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</si>
  <si>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</si>
  <si>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</si>
  <si>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</si>
  <si>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</si>
  <si>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</si>
  <si>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</si>
  <si>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</si>
  <si>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</si>
  <si>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</si>
  <si>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</si>
  <si>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</si>
  <si>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</si>
  <si>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</si>
  <si>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</si>
  <si>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</si>
  <si>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</si>
  <si>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</si>
  <si>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</si>
  <si>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</si>
  <si>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</si>
  <si>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</si>
  <si>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</si>
  <si>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</si>
  <si>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</si>
  <si>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</si>
  <si>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</si>
  <si>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</si>
  <si>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</si>
  <si>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</si>
  <si>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</si>
  <si>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</si>
  <si>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</si>
  <si>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</si>
  <si>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</si>
  <si>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</si>
  <si>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</si>
  <si>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</si>
  <si>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</si>
  <si>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</si>
  <si>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</si>
  <si>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</si>
  <si>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</si>
  <si>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</si>
  <si>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</si>
  <si>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</si>
  <si>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</si>
  <si>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</si>
  <si>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</si>
  <si>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</si>
  <si>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</si>
  <si>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</si>
  <si>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</si>
  <si>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</si>
  <si>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</si>
  <si>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</si>
  <si>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</si>
  <si>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</si>
  <si>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</si>
  <si>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</si>
  <si>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</si>
  <si>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</si>
  <si>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</si>
  <si>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</si>
  <si>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</si>
  <si>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</si>
  <si>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</si>
  <si>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</si>
  <si>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</si>
  <si>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</si>
  <si>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</si>
  <si>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</si>
  <si>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</si>
  <si>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</si>
  <si>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</si>
  <si>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</si>
  <si>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</si>
  <si>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</si>
  <si>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</si>
  <si>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</si>
  <si>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</si>
  <si>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</si>
  <si>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</si>
  <si>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</si>
  <si>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</si>
  <si>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</si>
  <si>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</si>
  <si>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</si>
  <si>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</si>
  <si>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</si>
  <si>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</si>
  <si>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</si>
  <si>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</si>
  <si>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</si>
  <si>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</si>
  <si>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</si>
  <si>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Сосиски «Молочные для завтрака» Фикс.вес 0,4 п/а ТМ «Особый рецепт»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</si>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</sst>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45991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0.375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84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90</v>
      </c>
      <c r="M26" s="38" t="s">
        <v>88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91</v>
      </c>
      <c r="AK26" s="84">
        <v>25.2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92</v>
      </c>
      <c r="B27" s="63" t="s">
        <v>93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94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98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97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98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101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98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84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88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98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122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91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147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90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91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84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175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45</v>
      </c>
      <c r="M80" s="38" t="s">
        <v>88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182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112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91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98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91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84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98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98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201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112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91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45</v>
      </c>
      <c r="M100" s="38" t="s">
        <v>88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91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147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84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45</v>
      </c>
      <c r="M112" s="38" t="s">
        <v>98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98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45</v>
      </c>
      <c r="M114" s="38" t="s">
        <v>98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90</v>
      </c>
      <c r="M115" s="38" t="s">
        <v>88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91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175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90</v>
      </c>
      <c r="M119" s="38" t="s">
        <v>88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91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231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112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109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78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109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84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110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112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45</v>
      </c>
      <c r="M141" s="38" t="s">
        <v>116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30"/>
      <c r="B142" s="630"/>
      <c r="C142" s="630"/>
      <c r="D142" s="630"/>
      <c r="E142" s="630"/>
      <c r="F142" s="630"/>
      <c r="G142" s="630"/>
      <c r="H142" s="630"/>
      <c r="I142" s="630"/>
      <c r="J142" s="630"/>
      <c r="K142" s="630"/>
      <c r="L142" s="630"/>
      <c r="M142" s="630"/>
      <c r="N142" s="630"/>
      <c r="O142" s="631"/>
      <c r="P142" s="627" t="s">
        <v>40</v>
      </c>
      <c r="Q142" s="628"/>
      <c r="R142" s="628"/>
      <c r="S142" s="628"/>
      <c r="T142" s="628"/>
      <c r="U142" s="628"/>
      <c r="V142" s="62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2" t="s">
        <v>78</v>
      </c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2"/>
      <c r="P144" s="622"/>
      <c r="Q144" s="622"/>
      <c r="R144" s="622"/>
      <c r="S144" s="622"/>
      <c r="T144" s="622"/>
      <c r="U144" s="622"/>
      <c r="V144" s="622"/>
      <c r="W144" s="622"/>
      <c r="X144" s="622"/>
      <c r="Y144" s="622"/>
      <c r="Z144" s="622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3">
        <v>4607091387667</v>
      </c>
      <c r="E145" s="623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117</v>
      </c>
      <c r="L145" s="37" t="s">
        <v>45</v>
      </c>
      <c r="M145" s="38" t="s">
        <v>116</v>
      </c>
      <c r="N145" s="38"/>
      <c r="O145" s="37">
        <v>40</v>
      </c>
      <c r="P145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5"/>
      <c r="R145" s="625"/>
      <c r="S145" s="625"/>
      <c r="T145" s="626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3">
        <v>4607091387636</v>
      </c>
      <c r="E146" s="623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3">
        <v>4607091382426</v>
      </c>
      <c r="E147" s="62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45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30"/>
      <c r="B148" s="630"/>
      <c r="C148" s="630"/>
      <c r="D148" s="630"/>
      <c r="E148" s="630"/>
      <c r="F148" s="630"/>
      <c r="G148" s="630"/>
      <c r="H148" s="630"/>
      <c r="I148" s="630"/>
      <c r="J148" s="630"/>
      <c r="K148" s="630"/>
      <c r="L148" s="630"/>
      <c r="M148" s="630"/>
      <c r="N148" s="630"/>
      <c r="O148" s="631"/>
      <c r="P148" s="627" t="s">
        <v>40</v>
      </c>
      <c r="Q148" s="628"/>
      <c r="R148" s="628"/>
      <c r="S148" s="628"/>
      <c r="T148" s="628"/>
      <c r="U148" s="628"/>
      <c r="V148" s="629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2" t="s">
        <v>84</v>
      </c>
      <c r="B150" s="622"/>
      <c r="C150" s="622"/>
      <c r="D150" s="622"/>
      <c r="E150" s="622"/>
      <c r="F150" s="622"/>
      <c r="G150" s="622"/>
      <c r="H150" s="622"/>
      <c r="I150" s="622"/>
      <c r="J150" s="622"/>
      <c r="K150" s="622"/>
      <c r="L150" s="622"/>
      <c r="M150" s="622"/>
      <c r="N150" s="622"/>
      <c r="O150" s="622"/>
      <c r="P150" s="622"/>
      <c r="Q150" s="622"/>
      <c r="R150" s="622"/>
      <c r="S150" s="622"/>
      <c r="T150" s="622"/>
      <c r="U150" s="622"/>
      <c r="V150" s="622"/>
      <c r="W150" s="622"/>
      <c r="X150" s="622"/>
      <c r="Y150" s="622"/>
      <c r="Z150" s="622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3">
        <v>4680115887459</v>
      </c>
      <c r="E151" s="623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5"/>
      <c r="R151" s="625"/>
      <c r="S151" s="625"/>
      <c r="T151" s="626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0"/>
      <c r="B152" s="630"/>
      <c r="C152" s="630"/>
      <c r="D152" s="630"/>
      <c r="E152" s="630"/>
      <c r="F152" s="630"/>
      <c r="G152" s="630"/>
      <c r="H152" s="630"/>
      <c r="I152" s="630"/>
      <c r="J152" s="630"/>
      <c r="K152" s="630"/>
      <c r="L152" s="630"/>
      <c r="M152" s="630"/>
      <c r="N152" s="630"/>
      <c r="O152" s="631"/>
      <c r="P152" s="627" t="s">
        <v>40</v>
      </c>
      <c r="Q152" s="628"/>
      <c r="R152" s="628"/>
      <c r="S152" s="628"/>
      <c r="T152" s="628"/>
      <c r="U152" s="628"/>
      <c r="V152" s="629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20" t="s">
        <v>261</v>
      </c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54"/>
      <c r="AB154" s="54"/>
      <c r="AC154" s="54"/>
    </row>
    <row r="155" spans="1:68" ht="16.5" customHeight="1" x14ac:dyDescent="0.25">
      <c r="A155" s="621" t="s">
        <v>262</v>
      </c>
      <c r="B155" s="621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1"/>
      <c r="N155" s="621"/>
      <c r="O155" s="621"/>
      <c r="P155" s="621"/>
      <c r="Q155" s="621"/>
      <c r="R155" s="621"/>
      <c r="S155" s="621"/>
      <c r="T155" s="621"/>
      <c r="U155" s="621"/>
      <c r="V155" s="621"/>
      <c r="W155" s="621"/>
      <c r="X155" s="621"/>
      <c r="Y155" s="621"/>
      <c r="Z155" s="621"/>
      <c r="AA155" s="65"/>
      <c r="AB155" s="65"/>
      <c r="AC155" s="79"/>
    </row>
    <row r="156" spans="1:68" ht="14.25" customHeight="1" x14ac:dyDescent="0.25">
      <c r="A156" s="622" t="s">
        <v>147</v>
      </c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2"/>
      <c r="P156" s="622"/>
      <c r="Q156" s="622"/>
      <c r="R156" s="622"/>
      <c r="S156" s="622"/>
      <c r="T156" s="622"/>
      <c r="U156" s="622"/>
      <c r="V156" s="622"/>
      <c r="W156" s="622"/>
      <c r="X156" s="622"/>
      <c r="Y156" s="622"/>
      <c r="Z156" s="622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3">
        <v>4680115886223</v>
      </c>
      <c r="E157" s="623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5"/>
      <c r="R157" s="625"/>
      <c r="S157" s="625"/>
      <c r="T157" s="62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2" t="s">
        <v>78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3">
        <v>4680115880993</v>
      </c>
      <c r="E161" s="623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121</v>
      </c>
      <c r="L161" s="37" t="s">
        <v>122</v>
      </c>
      <c r="M161" s="38" t="s">
        <v>82</v>
      </c>
      <c r="N161" s="38"/>
      <c r="O161" s="37">
        <v>40</v>
      </c>
      <c r="P161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5"/>
      <c r="R161" s="625"/>
      <c r="S161" s="625"/>
      <c r="T161" s="626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91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3">
        <v>4680115881761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45</v>
      </c>
      <c r="M162" s="38" t="s">
        <v>82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3">
        <v>4680115881563</v>
      </c>
      <c r="E163" s="623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91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3">
        <v>4680115880986</v>
      </c>
      <c r="E164" s="623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45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277</v>
      </c>
      <c r="B165" s="63" t="s">
        <v>278</v>
      </c>
      <c r="C165" s="36">
        <v>4301031443</v>
      </c>
      <c r="D165" s="623">
        <v>4680115887213</v>
      </c>
      <c r="E165" s="623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6" t="s">
        <v>279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280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4301031205</v>
      </c>
      <c r="D166" s="623">
        <v>4680115881785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283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91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3">
        <v>4680115886537</v>
      </c>
      <c r="E167" s="623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3">
        <v>4680115881679</v>
      </c>
      <c r="E168" s="623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283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91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3">
        <v>4680115880191</v>
      </c>
      <c r="E169" s="623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3">
        <v>4680115883963</v>
      </c>
      <c r="E170" s="623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30"/>
      <c r="B171" s="630"/>
      <c r="C171" s="630"/>
      <c r="D171" s="630"/>
      <c r="E171" s="630"/>
      <c r="F171" s="630"/>
      <c r="G171" s="630"/>
      <c r="H171" s="630"/>
      <c r="I171" s="630"/>
      <c r="J171" s="630"/>
      <c r="K171" s="630"/>
      <c r="L171" s="630"/>
      <c r="M171" s="630"/>
      <c r="N171" s="630"/>
      <c r="O171" s="631"/>
      <c r="P171" s="627" t="s">
        <v>40</v>
      </c>
      <c r="Q171" s="628"/>
      <c r="R171" s="628"/>
      <c r="S171" s="628"/>
      <c r="T171" s="628"/>
      <c r="U171" s="628"/>
      <c r="V171" s="629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2" t="s">
        <v>104</v>
      </c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  <c r="Y173" s="622"/>
      <c r="Z173" s="622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3">
        <v>4680115886780</v>
      </c>
      <c r="E174" s="623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3">
        <v>4680115886742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3">
        <v>4680115886766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30"/>
      <c r="B177" s="630"/>
      <c r="C177" s="630"/>
      <c r="D177" s="630"/>
      <c r="E177" s="630"/>
      <c r="F177" s="630"/>
      <c r="G177" s="630"/>
      <c r="H177" s="630"/>
      <c r="I177" s="630"/>
      <c r="J177" s="630"/>
      <c r="K177" s="630"/>
      <c r="L177" s="630"/>
      <c r="M177" s="630"/>
      <c r="N177" s="630"/>
      <c r="O177" s="631"/>
      <c r="P177" s="627" t="s">
        <v>40</v>
      </c>
      <c r="Q177" s="628"/>
      <c r="R177" s="628"/>
      <c r="S177" s="628"/>
      <c r="T177" s="628"/>
      <c r="U177" s="628"/>
      <c r="V177" s="629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2" t="s">
        <v>304</v>
      </c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2"/>
      <c r="P179" s="622"/>
      <c r="Q179" s="622"/>
      <c r="R179" s="622"/>
      <c r="S179" s="622"/>
      <c r="T179" s="622"/>
      <c r="U179" s="622"/>
      <c r="V179" s="622"/>
      <c r="W179" s="622"/>
      <c r="X179" s="622"/>
      <c r="Y179" s="622"/>
      <c r="Z179" s="622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3">
        <v>4680115886797</v>
      </c>
      <c r="E180" s="623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5"/>
      <c r="R180" s="625"/>
      <c r="S180" s="625"/>
      <c r="T180" s="626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30"/>
      <c r="B181" s="630"/>
      <c r="C181" s="630"/>
      <c r="D181" s="630"/>
      <c r="E181" s="630"/>
      <c r="F181" s="630"/>
      <c r="G181" s="630"/>
      <c r="H181" s="630"/>
      <c r="I181" s="630"/>
      <c r="J181" s="630"/>
      <c r="K181" s="630"/>
      <c r="L181" s="630"/>
      <c r="M181" s="630"/>
      <c r="N181" s="630"/>
      <c r="O181" s="631"/>
      <c r="P181" s="627" t="s">
        <v>40</v>
      </c>
      <c r="Q181" s="628"/>
      <c r="R181" s="628"/>
      <c r="S181" s="628"/>
      <c r="T181" s="628"/>
      <c r="U181" s="628"/>
      <c r="V181" s="629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21" t="s">
        <v>307</v>
      </c>
      <c r="B183" s="621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21"/>
      <c r="P183" s="621"/>
      <c r="Q183" s="621"/>
      <c r="R183" s="621"/>
      <c r="S183" s="621"/>
      <c r="T183" s="621"/>
      <c r="U183" s="621"/>
      <c r="V183" s="621"/>
      <c r="W183" s="621"/>
      <c r="X183" s="621"/>
      <c r="Y183" s="621"/>
      <c r="Z183" s="621"/>
      <c r="AA183" s="65"/>
      <c r="AB183" s="65"/>
      <c r="AC183" s="79"/>
    </row>
    <row r="184" spans="1:68" ht="14.25" customHeight="1" x14ac:dyDescent="0.25">
      <c r="A184" s="622" t="s">
        <v>112</v>
      </c>
      <c r="B184" s="622"/>
      <c r="C184" s="622"/>
      <c r="D184" s="622"/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2"/>
      <c r="U184" s="622"/>
      <c r="V184" s="622"/>
      <c r="W184" s="622"/>
      <c r="X184" s="622"/>
      <c r="Y184" s="622"/>
      <c r="Z184" s="622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3">
        <v>4680115881402</v>
      </c>
      <c r="E185" s="623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5"/>
      <c r="R185" s="625"/>
      <c r="S185" s="625"/>
      <c r="T185" s="62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3">
        <v>4680115881396</v>
      </c>
      <c r="E186" s="623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116</v>
      </c>
      <c r="N186" s="38"/>
      <c r="O186" s="37">
        <v>55</v>
      </c>
      <c r="P186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0"/>
      <c r="B187" s="630"/>
      <c r="C187" s="630"/>
      <c r="D187" s="630"/>
      <c r="E187" s="630"/>
      <c r="F187" s="630"/>
      <c r="G187" s="630"/>
      <c r="H187" s="630"/>
      <c r="I187" s="630"/>
      <c r="J187" s="630"/>
      <c r="K187" s="630"/>
      <c r="L187" s="630"/>
      <c r="M187" s="630"/>
      <c r="N187" s="630"/>
      <c r="O187" s="631"/>
      <c r="P187" s="627" t="s">
        <v>40</v>
      </c>
      <c r="Q187" s="628"/>
      <c r="R187" s="628"/>
      <c r="S187" s="628"/>
      <c r="T187" s="628"/>
      <c r="U187" s="628"/>
      <c r="V187" s="629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2" t="s">
        <v>147</v>
      </c>
      <c r="B189" s="622"/>
      <c r="C189" s="622"/>
      <c r="D189" s="622"/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622"/>
      <c r="T189" s="622"/>
      <c r="U189" s="622"/>
      <c r="V189" s="622"/>
      <c r="W189" s="622"/>
      <c r="X189" s="622"/>
      <c r="Y189" s="622"/>
      <c r="Z189" s="622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3">
        <v>4680115882935</v>
      </c>
      <c r="E190" s="623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5"/>
      <c r="R190" s="625"/>
      <c r="S190" s="625"/>
      <c r="T190" s="62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3">
        <v>4680115880764</v>
      </c>
      <c r="E191" s="623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2" t="s">
        <v>78</v>
      </c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  <c r="Y194" s="622"/>
      <c r="Z194" s="622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3">
        <v>4680115882683</v>
      </c>
      <c r="E195" s="623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5"/>
      <c r="R195" s="625"/>
      <c r="S195" s="625"/>
      <c r="T195" s="626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91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3">
        <v>4680115882690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91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3">
        <v>4680115882669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91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3">
        <v>4680115882676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91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3">
        <v>4680115884014</v>
      </c>
      <c r="E199" s="623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45</v>
      </c>
      <c r="M199" s="38" t="s">
        <v>82</v>
      </c>
      <c r="N199" s="38"/>
      <c r="O199" s="37">
        <v>40</v>
      </c>
      <c r="P199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3">
        <v>4680115884007</v>
      </c>
      <c r="E200" s="623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283</v>
      </c>
      <c r="M200" s="38" t="s">
        <v>82</v>
      </c>
      <c r="N200" s="38"/>
      <c r="O200" s="37">
        <v>40</v>
      </c>
      <c r="P200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91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3">
        <v>4680115884038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283</v>
      </c>
      <c r="M201" s="38" t="s">
        <v>82</v>
      </c>
      <c r="N201" s="38"/>
      <c r="O201" s="37">
        <v>40</v>
      </c>
      <c r="P20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91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3">
        <v>4680115884021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283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91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2" t="s">
        <v>84</v>
      </c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2"/>
      <c r="T205" s="622"/>
      <c r="U205" s="622"/>
      <c r="V205" s="622"/>
      <c r="W205" s="622"/>
      <c r="X205" s="622"/>
      <c r="Y205" s="622"/>
      <c r="Z205" s="622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3">
        <v>4680115881594</v>
      </c>
      <c r="E206" s="623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3">
        <v>4680115881617</v>
      </c>
      <c r="E207" s="623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3">
        <v>4680115880573</v>
      </c>
      <c r="E208" s="623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91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3">
        <v>4680115882195</v>
      </c>
      <c r="E209" s="623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90</v>
      </c>
      <c r="M209" s="38" t="s">
        <v>88</v>
      </c>
      <c r="N209" s="38"/>
      <c r="O209" s="37">
        <v>40</v>
      </c>
      <c r="P209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91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3">
        <v>4680115882607</v>
      </c>
      <c r="E210" s="623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98</v>
      </c>
      <c r="N210" s="38"/>
      <c r="O210" s="37">
        <v>45</v>
      </c>
      <c r="P210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3">
        <v>4680115880092</v>
      </c>
      <c r="E211" s="623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90</v>
      </c>
      <c r="M211" s="38" t="s">
        <v>88</v>
      </c>
      <c r="N211" s="38"/>
      <c r="O211" s="37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91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3">
        <v>4680115880221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3">
        <v>4680115880504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90</v>
      </c>
      <c r="M213" s="38" t="s">
        <v>98</v>
      </c>
      <c r="N213" s="38"/>
      <c r="O213" s="37">
        <v>40</v>
      </c>
      <c r="P213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91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3">
        <v>4680115882164</v>
      </c>
      <c r="E214" s="623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90</v>
      </c>
      <c r="M214" s="38" t="s">
        <v>88</v>
      </c>
      <c r="N214" s="38"/>
      <c r="O214" s="37">
        <v>40</v>
      </c>
      <c r="P214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91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2" t="s">
        <v>175</v>
      </c>
      <c r="B217" s="622"/>
      <c r="C217" s="622"/>
      <c r="D217" s="622"/>
      <c r="E217" s="622"/>
      <c r="F217" s="622"/>
      <c r="G217" s="622"/>
      <c r="H217" s="622"/>
      <c r="I217" s="622"/>
      <c r="J217" s="622"/>
      <c r="K217" s="622"/>
      <c r="L217" s="622"/>
      <c r="M217" s="622"/>
      <c r="N217" s="622"/>
      <c r="O217" s="622"/>
      <c r="P217" s="622"/>
      <c r="Q217" s="622"/>
      <c r="R217" s="622"/>
      <c r="S217" s="622"/>
      <c r="T217" s="622"/>
      <c r="U217" s="622"/>
      <c r="V217" s="622"/>
      <c r="W217" s="622"/>
      <c r="X217" s="622"/>
      <c r="Y217" s="622"/>
      <c r="Z217" s="622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3">
        <v>4680115880818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90</v>
      </c>
      <c r="M218" s="38" t="s">
        <v>98</v>
      </c>
      <c r="N218" s="38"/>
      <c r="O218" s="37">
        <v>40</v>
      </c>
      <c r="P218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91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3">
        <v>4680115880801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90</v>
      </c>
      <c r="M219" s="38" t="s">
        <v>88</v>
      </c>
      <c r="N219" s="38"/>
      <c r="O219" s="37">
        <v>40</v>
      </c>
      <c r="P219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91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30"/>
      <c r="B220" s="630"/>
      <c r="C220" s="630"/>
      <c r="D220" s="630"/>
      <c r="E220" s="630"/>
      <c r="F220" s="630"/>
      <c r="G220" s="630"/>
      <c r="H220" s="630"/>
      <c r="I220" s="630"/>
      <c r="J220" s="630"/>
      <c r="K220" s="630"/>
      <c r="L220" s="630"/>
      <c r="M220" s="630"/>
      <c r="N220" s="630"/>
      <c r="O220" s="631"/>
      <c r="P220" s="627" t="s">
        <v>40</v>
      </c>
      <c r="Q220" s="628"/>
      <c r="R220" s="628"/>
      <c r="S220" s="628"/>
      <c r="T220" s="628"/>
      <c r="U220" s="628"/>
      <c r="V220" s="629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21" t="s">
        <v>366</v>
      </c>
      <c r="B222" s="621"/>
      <c r="C222" s="621"/>
      <c r="D222" s="621"/>
      <c r="E222" s="621"/>
      <c r="F222" s="621"/>
      <c r="G222" s="621"/>
      <c r="H222" s="621"/>
      <c r="I222" s="621"/>
      <c r="J222" s="621"/>
      <c r="K222" s="621"/>
      <c r="L222" s="621"/>
      <c r="M222" s="621"/>
      <c r="N222" s="621"/>
      <c r="O222" s="621"/>
      <c r="P222" s="621"/>
      <c r="Q222" s="621"/>
      <c r="R222" s="621"/>
      <c r="S222" s="621"/>
      <c r="T222" s="621"/>
      <c r="U222" s="621"/>
      <c r="V222" s="621"/>
      <c r="W222" s="621"/>
      <c r="X222" s="621"/>
      <c r="Y222" s="621"/>
      <c r="Z222" s="621"/>
      <c r="AA222" s="65"/>
      <c r="AB222" s="65"/>
      <c r="AC222" s="79"/>
    </row>
    <row r="223" spans="1:68" ht="14.25" customHeight="1" x14ac:dyDescent="0.25">
      <c r="A223" s="622" t="s">
        <v>112</v>
      </c>
      <c r="B223" s="622"/>
      <c r="C223" s="622"/>
      <c r="D223" s="622"/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622"/>
      <c r="X223" s="622"/>
      <c r="Y223" s="622"/>
      <c r="Z223" s="622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3">
        <v>4680115884137</v>
      </c>
      <c r="E224" s="623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5"/>
      <c r="R224" s="625"/>
      <c r="S224" s="625"/>
      <c r="T224" s="62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3">
        <v>4680115884236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3">
        <v>4680115884175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4301012196</v>
      </c>
      <c r="D227" s="623">
        <v>4680115884144</v>
      </c>
      <c r="E227" s="623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45</v>
      </c>
      <c r="M227" s="38" t="s">
        <v>116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3">
        <v>4680115886551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3">
        <v>4680115884182</v>
      </c>
      <c r="E230" s="623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3">
        <v>4680115887282</v>
      </c>
      <c r="E231" s="62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4301012195</v>
      </c>
      <c r="D232" s="623">
        <v>4680115884205</v>
      </c>
      <c r="E232" s="623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45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122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91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30"/>
      <c r="B234" s="630"/>
      <c r="C234" s="630"/>
      <c r="D234" s="630"/>
      <c r="E234" s="630"/>
      <c r="F234" s="630"/>
      <c r="G234" s="630"/>
      <c r="H234" s="630"/>
      <c r="I234" s="630"/>
      <c r="J234" s="630"/>
      <c r="K234" s="630"/>
      <c r="L234" s="630"/>
      <c r="M234" s="630"/>
      <c r="N234" s="630"/>
      <c r="O234" s="631"/>
      <c r="P234" s="627" t="s">
        <v>40</v>
      </c>
      <c r="Q234" s="628"/>
      <c r="R234" s="628"/>
      <c r="S234" s="628"/>
      <c r="T234" s="628"/>
      <c r="U234" s="628"/>
      <c r="V234" s="629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2" t="s">
        <v>147</v>
      </c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2"/>
      <c r="P236" s="622"/>
      <c r="Q236" s="622"/>
      <c r="R236" s="622"/>
      <c r="S236" s="622"/>
      <c r="T236" s="622"/>
      <c r="U236" s="622"/>
      <c r="V236" s="622"/>
      <c r="W236" s="622"/>
      <c r="X236" s="622"/>
      <c r="Y236" s="622"/>
      <c r="Z236" s="622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3">
        <v>4680115885981</v>
      </c>
      <c r="E237" s="623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30"/>
      <c r="B238" s="630"/>
      <c r="C238" s="630"/>
      <c r="D238" s="630"/>
      <c r="E238" s="630"/>
      <c r="F238" s="630"/>
      <c r="G238" s="630"/>
      <c r="H238" s="630"/>
      <c r="I238" s="630"/>
      <c r="J238" s="630"/>
      <c r="K238" s="630"/>
      <c r="L238" s="630"/>
      <c r="M238" s="630"/>
      <c r="N238" s="630"/>
      <c r="O238" s="631"/>
      <c r="P238" s="627" t="s">
        <v>40</v>
      </c>
      <c r="Q238" s="628"/>
      <c r="R238" s="628"/>
      <c r="S238" s="628"/>
      <c r="T238" s="628"/>
      <c r="U238" s="628"/>
      <c r="V238" s="629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2" t="s">
        <v>392</v>
      </c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2"/>
      <c r="P240" s="622"/>
      <c r="Q240" s="622"/>
      <c r="R240" s="622"/>
      <c r="S240" s="622"/>
      <c r="T240" s="622"/>
      <c r="U240" s="622"/>
      <c r="V240" s="622"/>
      <c r="W240" s="622"/>
      <c r="X240" s="622"/>
      <c r="Y240" s="622"/>
      <c r="Z240" s="622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3">
        <v>4680115886803</v>
      </c>
      <c r="E241" s="623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5"/>
      <c r="R241" s="625"/>
      <c r="S241" s="625"/>
      <c r="T241" s="62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2" t="s">
        <v>396</v>
      </c>
      <c r="B244" s="622"/>
      <c r="C244" s="622"/>
      <c r="D244" s="622"/>
      <c r="E244" s="622"/>
      <c r="F244" s="622"/>
      <c r="G244" s="622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2"/>
      <c r="U244" s="622"/>
      <c r="V244" s="622"/>
      <c r="W244" s="622"/>
      <c r="X244" s="622"/>
      <c r="Y244" s="622"/>
      <c r="Z244" s="622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3">
        <v>4680115886704</v>
      </c>
      <c r="E245" s="623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5"/>
      <c r="R245" s="625"/>
      <c r="S245" s="625"/>
      <c r="T245" s="62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3">
        <v>4680115886681</v>
      </c>
      <c r="E246" s="623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3">
        <v>4680115886735</v>
      </c>
      <c r="E247" s="623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3">
        <v>4680115886728</v>
      </c>
      <c r="E248" s="623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3">
        <v>4680115886711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21" t="s">
        <v>408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5"/>
      <c r="AB252" s="65"/>
      <c r="AC252" s="79"/>
    </row>
    <row r="253" spans="1:68" ht="14.25" customHeight="1" x14ac:dyDescent="0.25">
      <c r="A253" s="622" t="s">
        <v>112</v>
      </c>
      <c r="B253" s="622"/>
      <c r="C253" s="622"/>
      <c r="D253" s="622"/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  <c r="O253" s="622"/>
      <c r="P253" s="622"/>
      <c r="Q253" s="622"/>
      <c r="R253" s="622"/>
      <c r="S253" s="622"/>
      <c r="T253" s="622"/>
      <c r="U253" s="622"/>
      <c r="V253" s="622"/>
      <c r="W253" s="622"/>
      <c r="X253" s="622"/>
      <c r="Y253" s="622"/>
      <c r="Z253" s="622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3">
        <v>4680115885837</v>
      </c>
      <c r="E254" s="62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45</v>
      </c>
      <c r="M254" s="38" t="s">
        <v>116</v>
      </c>
      <c r="N254" s="38"/>
      <c r="O254" s="37">
        <v>55</v>
      </c>
      <c r="P254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3">
        <v>4680115885851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3">
        <v>4680115885806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3">
        <v>4680115885844</v>
      </c>
      <c r="E257" s="623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3">
        <v>4680115885820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21" t="s">
        <v>424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5"/>
      <c r="AB261" s="65"/>
      <c r="AC261" s="79"/>
    </row>
    <row r="262" spans="1:68" ht="14.25" customHeight="1" x14ac:dyDescent="0.25">
      <c r="A262" s="622" t="s">
        <v>112</v>
      </c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2"/>
      <c r="P262" s="622"/>
      <c r="Q262" s="622"/>
      <c r="R262" s="622"/>
      <c r="S262" s="622"/>
      <c r="T262" s="622"/>
      <c r="U262" s="622"/>
      <c r="V262" s="622"/>
      <c r="W262" s="622"/>
      <c r="X262" s="622"/>
      <c r="Y262" s="622"/>
      <c r="Z262" s="622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3">
        <v>4607091383423</v>
      </c>
      <c r="E263" s="623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3">
        <v>4680115886957</v>
      </c>
      <c r="E264" s="62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3">
        <v>4680115885660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3">
        <v>4680115886773</v>
      </c>
      <c r="E266" s="623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21" t="s">
        <v>435</v>
      </c>
      <c r="B269" s="621"/>
      <c r="C269" s="621"/>
      <c r="D269" s="621"/>
      <c r="E269" s="621"/>
      <c r="F269" s="621"/>
      <c r="G269" s="621"/>
      <c r="H269" s="621"/>
      <c r="I269" s="621"/>
      <c r="J269" s="621"/>
      <c r="K269" s="621"/>
      <c r="L269" s="621"/>
      <c r="M269" s="621"/>
      <c r="N269" s="621"/>
      <c r="O269" s="621"/>
      <c r="P269" s="621"/>
      <c r="Q269" s="621"/>
      <c r="R269" s="621"/>
      <c r="S269" s="621"/>
      <c r="T269" s="621"/>
      <c r="U269" s="621"/>
      <c r="V269" s="621"/>
      <c r="W269" s="621"/>
      <c r="X269" s="621"/>
      <c r="Y269" s="621"/>
      <c r="Z269" s="621"/>
      <c r="AA269" s="65"/>
      <c r="AB269" s="65"/>
      <c r="AC269" s="79"/>
    </row>
    <row r="270" spans="1:68" ht="14.25" customHeight="1" x14ac:dyDescent="0.25">
      <c r="A270" s="622" t="s">
        <v>84</v>
      </c>
      <c r="B270" s="622"/>
      <c r="C270" s="622"/>
      <c r="D270" s="622"/>
      <c r="E270" s="622"/>
      <c r="F270" s="622"/>
      <c r="G270" s="622"/>
      <c r="H270" s="622"/>
      <c r="I270" s="622"/>
      <c r="J270" s="622"/>
      <c r="K270" s="622"/>
      <c r="L270" s="622"/>
      <c r="M270" s="622"/>
      <c r="N270" s="622"/>
      <c r="O270" s="622"/>
      <c r="P270" s="622"/>
      <c r="Q270" s="622"/>
      <c r="R270" s="622"/>
      <c r="S270" s="622"/>
      <c r="T270" s="622"/>
      <c r="U270" s="622"/>
      <c r="V270" s="622"/>
      <c r="W270" s="622"/>
      <c r="X270" s="622"/>
      <c r="Y270" s="622"/>
      <c r="Z270" s="622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3">
        <v>4680115886186</v>
      </c>
      <c r="E271" s="623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3">
        <v>4680115881228</v>
      </c>
      <c r="E272" s="62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90</v>
      </c>
      <c r="M272" s="38" t="s">
        <v>98</v>
      </c>
      <c r="N272" s="38"/>
      <c r="O272" s="37">
        <v>40</v>
      </c>
      <c r="P272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91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3">
        <v>4680115881211</v>
      </c>
      <c r="E273" s="623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0"/>
      <c r="B274" s="630"/>
      <c r="C274" s="630"/>
      <c r="D274" s="630"/>
      <c r="E274" s="630"/>
      <c r="F274" s="630"/>
      <c r="G274" s="630"/>
      <c r="H274" s="630"/>
      <c r="I274" s="630"/>
      <c r="J274" s="630"/>
      <c r="K274" s="630"/>
      <c r="L274" s="630"/>
      <c r="M274" s="630"/>
      <c r="N274" s="630"/>
      <c r="O274" s="631"/>
      <c r="P274" s="627" t="s">
        <v>40</v>
      </c>
      <c r="Q274" s="628"/>
      <c r="R274" s="628"/>
      <c r="S274" s="628"/>
      <c r="T274" s="628"/>
      <c r="U274" s="628"/>
      <c r="V274" s="629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21" t="s">
        <v>444</v>
      </c>
      <c r="B276" s="621"/>
      <c r="C276" s="621"/>
      <c r="D276" s="621"/>
      <c r="E276" s="621"/>
      <c r="F276" s="621"/>
      <c r="G276" s="621"/>
      <c r="H276" s="621"/>
      <c r="I276" s="621"/>
      <c r="J276" s="621"/>
      <c r="K276" s="621"/>
      <c r="L276" s="621"/>
      <c r="M276" s="621"/>
      <c r="N276" s="621"/>
      <c r="O276" s="621"/>
      <c r="P276" s="621"/>
      <c r="Q276" s="621"/>
      <c r="R276" s="621"/>
      <c r="S276" s="621"/>
      <c r="T276" s="621"/>
      <c r="U276" s="621"/>
      <c r="V276" s="621"/>
      <c r="W276" s="621"/>
      <c r="X276" s="621"/>
      <c r="Y276" s="621"/>
      <c r="Z276" s="621"/>
      <c r="AA276" s="65"/>
      <c r="AB276" s="65"/>
      <c r="AC276" s="79"/>
    </row>
    <row r="277" spans="1:68" ht="14.25" customHeight="1" x14ac:dyDescent="0.25">
      <c r="A277" s="622" t="s">
        <v>78</v>
      </c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2"/>
      <c r="P277" s="622"/>
      <c r="Q277" s="622"/>
      <c r="R277" s="622"/>
      <c r="S277" s="622"/>
      <c r="T277" s="622"/>
      <c r="U277" s="622"/>
      <c r="V277" s="622"/>
      <c r="W277" s="622"/>
      <c r="X277" s="622"/>
      <c r="Y277" s="622"/>
      <c r="Z277" s="622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3">
        <v>4680115880344</v>
      </c>
      <c r="E278" s="623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3">
        <v>4680115886919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0"/>
      <c r="B280" s="630"/>
      <c r="C280" s="630"/>
      <c r="D280" s="630"/>
      <c r="E280" s="630"/>
      <c r="F280" s="630"/>
      <c r="G280" s="630"/>
      <c r="H280" s="630"/>
      <c r="I280" s="630"/>
      <c r="J280" s="630"/>
      <c r="K280" s="630"/>
      <c r="L280" s="630"/>
      <c r="M280" s="630"/>
      <c r="N280" s="630"/>
      <c r="O280" s="631"/>
      <c r="P280" s="627" t="s">
        <v>40</v>
      </c>
      <c r="Q280" s="628"/>
      <c r="R280" s="628"/>
      <c r="S280" s="628"/>
      <c r="T280" s="628"/>
      <c r="U280" s="628"/>
      <c r="V280" s="629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2" t="s">
        <v>84</v>
      </c>
      <c r="B282" s="622"/>
      <c r="C282" s="622"/>
      <c r="D282" s="622"/>
      <c r="E282" s="622"/>
      <c r="F282" s="622"/>
      <c r="G282" s="622"/>
      <c r="H282" s="622"/>
      <c r="I282" s="622"/>
      <c r="J282" s="622"/>
      <c r="K282" s="622"/>
      <c r="L282" s="622"/>
      <c r="M282" s="622"/>
      <c r="N282" s="622"/>
      <c r="O282" s="622"/>
      <c r="P282" s="622"/>
      <c r="Q282" s="622"/>
      <c r="R282" s="622"/>
      <c r="S282" s="622"/>
      <c r="T282" s="622"/>
      <c r="U282" s="622"/>
      <c r="V282" s="622"/>
      <c r="W282" s="622"/>
      <c r="X282" s="622"/>
      <c r="Y282" s="622"/>
      <c r="Z282" s="622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3">
        <v>4680115884618</v>
      </c>
      <c r="E283" s="623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45</v>
      </c>
      <c r="M283" s="38" t="s">
        <v>88</v>
      </c>
      <c r="N283" s="38"/>
      <c r="O283" s="37">
        <v>45</v>
      </c>
      <c r="P283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5"/>
      <c r="R283" s="625"/>
      <c r="S283" s="625"/>
      <c r="T283" s="626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0"/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1"/>
      <c r="P285" s="627" t="s">
        <v>40</v>
      </c>
      <c r="Q285" s="628"/>
      <c r="R285" s="628"/>
      <c r="S285" s="628"/>
      <c r="T285" s="628"/>
      <c r="U285" s="628"/>
      <c r="V285" s="629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21" t="s">
        <v>457</v>
      </c>
      <c r="B287" s="621"/>
      <c r="C287" s="621"/>
      <c r="D287" s="621"/>
      <c r="E287" s="621"/>
      <c r="F287" s="621"/>
      <c r="G287" s="621"/>
      <c r="H287" s="621"/>
      <c r="I287" s="621"/>
      <c r="J287" s="621"/>
      <c r="K287" s="621"/>
      <c r="L287" s="621"/>
      <c r="M287" s="621"/>
      <c r="N287" s="621"/>
      <c r="O287" s="621"/>
      <c r="P287" s="621"/>
      <c r="Q287" s="621"/>
      <c r="R287" s="621"/>
      <c r="S287" s="621"/>
      <c r="T287" s="621"/>
      <c r="U287" s="621"/>
      <c r="V287" s="621"/>
      <c r="W287" s="621"/>
      <c r="X287" s="621"/>
      <c r="Y287" s="621"/>
      <c r="Z287" s="621"/>
      <c r="AA287" s="65"/>
      <c r="AB287" s="65"/>
      <c r="AC287" s="79"/>
    </row>
    <row r="288" spans="1:68" ht="14.25" customHeight="1" x14ac:dyDescent="0.25">
      <c r="A288" s="622" t="s">
        <v>112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4301012126</v>
      </c>
      <c r="D289" s="623">
        <v>4607091386004</v>
      </c>
      <c r="E289" s="623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45</v>
      </c>
      <c r="M289" s="38" t="s">
        <v>116</v>
      </c>
      <c r="N289" s="38"/>
      <c r="O289" s="37">
        <v>55</v>
      </c>
      <c r="P289" s="7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45</v>
      </c>
      <c r="M290" s="38" t="s">
        <v>88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116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45</v>
      </c>
      <c r="M292" s="38" t="s">
        <v>88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45</v>
      </c>
      <c r="M293" s="38" t="s">
        <v>116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45</v>
      </c>
      <c r="M294" s="38" t="s">
        <v>116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30"/>
      <c r="B295" s="630"/>
      <c r="C295" s="630"/>
      <c r="D295" s="630"/>
      <c r="E295" s="630"/>
      <c r="F295" s="630"/>
      <c r="G295" s="630"/>
      <c r="H295" s="630"/>
      <c r="I295" s="630"/>
      <c r="J295" s="630"/>
      <c r="K295" s="630"/>
      <c r="L295" s="630"/>
      <c r="M295" s="630"/>
      <c r="N295" s="630"/>
      <c r="O295" s="631"/>
      <c r="P295" s="627" t="s">
        <v>40</v>
      </c>
      <c r="Q295" s="628"/>
      <c r="R295" s="628"/>
      <c r="S295" s="628"/>
      <c r="T295" s="628"/>
      <c r="U295" s="628"/>
      <c r="V295" s="629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45</v>
      </c>
      <c r="M298" s="38" t="s">
        <v>82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283</v>
      </c>
      <c r="M302" s="38" t="s">
        <v>82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91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4301031306</v>
      </c>
      <c r="D303" s="623">
        <v>4680115882881</v>
      </c>
      <c r="E303" s="623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488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491</v>
      </c>
      <c r="B304" s="63" t="s">
        <v>492</v>
      </c>
      <c r="C304" s="36">
        <v>4301031066</v>
      </c>
      <c r="D304" s="623">
        <v>4607091383836</v>
      </c>
      <c r="E304" s="623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90</v>
      </c>
      <c r="M304" s="38" t="s">
        <v>82</v>
      </c>
      <c r="N304" s="38"/>
      <c r="O304" s="37">
        <v>40</v>
      </c>
      <c r="P304" s="7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493</v>
      </c>
      <c r="AG304" s="78"/>
      <c r="AJ304" s="84" t="s">
        <v>91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30"/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1"/>
      <c r="P305" s="627" t="s">
        <v>40</v>
      </c>
      <c r="Q305" s="628"/>
      <c r="R305" s="628"/>
      <c r="S305" s="628"/>
      <c r="T305" s="628"/>
      <c r="U305" s="628"/>
      <c r="V305" s="629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2" t="s">
        <v>84</v>
      </c>
      <c r="B307" s="622"/>
      <c r="C307" s="622"/>
      <c r="D307" s="622"/>
      <c r="E307" s="622"/>
      <c r="F307" s="622"/>
      <c r="G307" s="622"/>
      <c r="H307" s="622"/>
      <c r="I307" s="622"/>
      <c r="J307" s="622"/>
      <c r="K307" s="622"/>
      <c r="L307" s="622"/>
      <c r="M307" s="622"/>
      <c r="N307" s="622"/>
      <c r="O307" s="622"/>
      <c r="P307" s="622"/>
      <c r="Q307" s="622"/>
      <c r="R307" s="622"/>
      <c r="S307" s="622"/>
      <c r="T307" s="622"/>
      <c r="U307" s="622"/>
      <c r="V307" s="622"/>
      <c r="W307" s="622"/>
      <c r="X307" s="622"/>
      <c r="Y307" s="622"/>
      <c r="Z307" s="622"/>
      <c r="AA307" s="66"/>
      <c r="AB307" s="66"/>
      <c r="AC307" s="80"/>
    </row>
    <row r="308" spans="1:68" ht="27" customHeight="1" x14ac:dyDescent="0.25">
      <c r="A308" s="63" t="s">
        <v>494</v>
      </c>
      <c r="B308" s="63" t="s">
        <v>495</v>
      </c>
      <c r="C308" s="36">
        <v>4301051100</v>
      </c>
      <c r="D308" s="623">
        <v>4607091387766</v>
      </c>
      <c r="E308" s="623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117</v>
      </c>
      <c r="L308" s="37" t="s">
        <v>45</v>
      </c>
      <c r="M308" s="38" t="s">
        <v>88</v>
      </c>
      <c r="N308" s="38"/>
      <c r="O308" s="37">
        <v>40</v>
      </c>
      <c r="P308" s="7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4301051818</v>
      </c>
      <c r="D309" s="623">
        <v>4607091387957</v>
      </c>
      <c r="E309" s="623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4301051819</v>
      </c>
      <c r="D310" s="623">
        <v>4607091387964</v>
      </c>
      <c r="E310" s="623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503</v>
      </c>
      <c r="B311" s="63" t="s">
        <v>504</v>
      </c>
      <c r="C311" s="36">
        <v>4301051734</v>
      </c>
      <c r="D311" s="623">
        <v>4680115884588</v>
      </c>
      <c r="E311" s="623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505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2" t="s">
        <v>175</v>
      </c>
      <c r="B314" s="622"/>
      <c r="C314" s="622"/>
      <c r="D314" s="622"/>
      <c r="E314" s="622"/>
      <c r="F314" s="622"/>
      <c r="G314" s="622"/>
      <c r="H314" s="622"/>
      <c r="I314" s="622"/>
      <c r="J314" s="622"/>
      <c r="K314" s="622"/>
      <c r="L314" s="622"/>
      <c r="M314" s="622"/>
      <c r="N314" s="622"/>
      <c r="O314" s="622"/>
      <c r="P314" s="622"/>
      <c r="Q314" s="622"/>
      <c r="R314" s="622"/>
      <c r="S314" s="622"/>
      <c r="T314" s="622"/>
      <c r="U314" s="622"/>
      <c r="V314" s="622"/>
      <c r="W314" s="622"/>
      <c r="X314" s="622"/>
      <c r="Y314" s="622"/>
      <c r="Z314" s="622"/>
      <c r="AA314" s="66"/>
      <c r="AB314" s="66"/>
      <c r="AC314" s="80"/>
    </row>
    <row r="315" spans="1:68" ht="27" customHeight="1" x14ac:dyDescent="0.25">
      <c r="A315" s="63" t="s">
        <v>506</v>
      </c>
      <c r="B315" s="63" t="s">
        <v>507</v>
      </c>
      <c r="C315" s="36">
        <v>4301060387</v>
      </c>
      <c r="D315" s="623">
        <v>4607091380880</v>
      </c>
      <c r="E315" s="623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91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509</v>
      </c>
      <c r="B316" s="63" t="s">
        <v>510</v>
      </c>
      <c r="C316" s="36">
        <v>4301060406</v>
      </c>
      <c r="D316" s="623">
        <v>4607091384482</v>
      </c>
      <c r="E316" s="62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91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512</v>
      </c>
      <c r="B317" s="63" t="s">
        <v>513</v>
      </c>
      <c r="C317" s="36">
        <v>4301060484</v>
      </c>
      <c r="D317" s="623">
        <v>4607091380897</v>
      </c>
      <c r="E317" s="623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45</v>
      </c>
      <c r="M317" s="38" t="s">
        <v>98</v>
      </c>
      <c r="N317" s="38"/>
      <c r="O317" s="37">
        <v>30</v>
      </c>
      <c r="P317" s="7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514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0"/>
      <c r="B318" s="630"/>
      <c r="C318" s="630"/>
      <c r="D318" s="630"/>
      <c r="E318" s="630"/>
      <c r="F318" s="630"/>
      <c r="G318" s="630"/>
      <c r="H318" s="630"/>
      <c r="I318" s="630"/>
      <c r="J318" s="630"/>
      <c r="K318" s="630"/>
      <c r="L318" s="630"/>
      <c r="M318" s="630"/>
      <c r="N318" s="630"/>
      <c r="O318" s="631"/>
      <c r="P318" s="627" t="s">
        <v>40</v>
      </c>
      <c r="Q318" s="628"/>
      <c r="R318" s="628"/>
      <c r="S318" s="628"/>
      <c r="T318" s="628"/>
      <c r="U318" s="628"/>
      <c r="V318" s="629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2" t="s">
        <v>104</v>
      </c>
      <c r="B320" s="622"/>
      <c r="C320" s="622"/>
      <c r="D320" s="622"/>
      <c r="E320" s="622"/>
      <c r="F320" s="622"/>
      <c r="G320" s="622"/>
      <c r="H320" s="622"/>
      <c r="I320" s="622"/>
      <c r="J320" s="622"/>
      <c r="K320" s="622"/>
      <c r="L320" s="622"/>
      <c r="M320" s="622"/>
      <c r="N320" s="622"/>
      <c r="O320" s="622"/>
      <c r="P320" s="622"/>
      <c r="Q320" s="622"/>
      <c r="R320" s="622"/>
      <c r="S320" s="622"/>
      <c r="T320" s="622"/>
      <c r="U320" s="622"/>
      <c r="V320" s="622"/>
      <c r="W320" s="622"/>
      <c r="X320" s="622"/>
      <c r="Y320" s="622"/>
      <c r="Z320" s="622"/>
      <c r="AA320" s="66"/>
      <c r="AB320" s="66"/>
      <c r="AC320" s="80"/>
    </row>
    <row r="321" spans="1:68" ht="27" customHeight="1" x14ac:dyDescent="0.25">
      <c r="A321" s="63" t="s">
        <v>515</v>
      </c>
      <c r="B321" s="63" t="s">
        <v>516</v>
      </c>
      <c r="C321" s="36">
        <v>4301030235</v>
      </c>
      <c r="D321" s="623">
        <v>4607091388381</v>
      </c>
      <c r="E321" s="623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517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4301030232</v>
      </c>
      <c r="D322" s="623">
        <v>4607091388374</v>
      </c>
      <c r="E322" s="623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517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4301032015</v>
      </c>
      <c r="D323" s="623">
        <v>4607091383102</v>
      </c>
      <c r="E323" s="623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90</v>
      </c>
      <c r="M323" s="38" t="s">
        <v>109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522</v>
      </c>
      <c r="AG323" s="78"/>
      <c r="AJ323" s="84" t="s">
        <v>91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523</v>
      </c>
      <c r="B324" s="63" t="s">
        <v>524</v>
      </c>
      <c r="C324" s="36">
        <v>4301030233</v>
      </c>
      <c r="D324" s="623">
        <v>4607091388404</v>
      </c>
      <c r="E324" s="623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45</v>
      </c>
      <c r="M324" s="38" t="s">
        <v>109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517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2" t="s">
        <v>525</v>
      </c>
      <c r="B327" s="622"/>
      <c r="C327" s="622"/>
      <c r="D327" s="622"/>
      <c r="E327" s="622"/>
      <c r="F327" s="622"/>
      <c r="G327" s="622"/>
      <c r="H327" s="622"/>
      <c r="I327" s="622"/>
      <c r="J327" s="622"/>
      <c r="K327" s="622"/>
      <c r="L327" s="622"/>
      <c r="M327" s="622"/>
      <c r="N327" s="622"/>
      <c r="O327" s="622"/>
      <c r="P327" s="622"/>
      <c r="Q327" s="622"/>
      <c r="R327" s="622"/>
      <c r="S327" s="622"/>
      <c r="T327" s="622"/>
      <c r="U327" s="622"/>
      <c r="V327" s="622"/>
      <c r="W327" s="622"/>
      <c r="X327" s="622"/>
      <c r="Y327" s="622"/>
      <c r="Z327" s="622"/>
      <c r="AA327" s="66"/>
      <c r="AB327" s="66"/>
      <c r="AC327" s="80"/>
    </row>
    <row r="328" spans="1:68" ht="16.5" customHeight="1" x14ac:dyDescent="0.25">
      <c r="A328" s="63" t="s">
        <v>526</v>
      </c>
      <c r="B328" s="63" t="s">
        <v>527</v>
      </c>
      <c r="C328" s="36">
        <v>4301180007</v>
      </c>
      <c r="D328" s="623">
        <v>4680115881808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4301180006</v>
      </c>
      <c r="D329" s="623">
        <v>4680115881822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529</v>
      </c>
      <c r="N329" s="38"/>
      <c r="O329" s="37">
        <v>730</v>
      </c>
      <c r="P329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532</v>
      </c>
      <c r="B330" s="63" t="s">
        <v>533</v>
      </c>
      <c r="C330" s="36">
        <v>4301180001</v>
      </c>
      <c r="D330" s="623">
        <v>4680115880016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529</v>
      </c>
      <c r="N330" s="38"/>
      <c r="O330" s="37">
        <v>730</v>
      </c>
      <c r="P330" s="7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528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0"/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1"/>
      <c r="P331" s="627" t="s">
        <v>40</v>
      </c>
      <c r="Q331" s="628"/>
      <c r="R331" s="628"/>
      <c r="S331" s="628"/>
      <c r="T331" s="628"/>
      <c r="U331" s="628"/>
      <c r="V331" s="629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1" t="s">
        <v>534</v>
      </c>
      <c r="B333" s="621"/>
      <c r="C333" s="621"/>
      <c r="D333" s="621"/>
      <c r="E333" s="621"/>
      <c r="F333" s="621"/>
      <c r="G333" s="621"/>
      <c r="H333" s="621"/>
      <c r="I333" s="621"/>
      <c r="J333" s="621"/>
      <c r="K333" s="621"/>
      <c r="L333" s="621"/>
      <c r="M333" s="621"/>
      <c r="N333" s="621"/>
      <c r="O333" s="621"/>
      <c r="P333" s="621"/>
      <c r="Q333" s="621"/>
      <c r="R333" s="621"/>
      <c r="S333" s="621"/>
      <c r="T333" s="621"/>
      <c r="U333" s="621"/>
      <c r="V333" s="621"/>
      <c r="W333" s="621"/>
      <c r="X333" s="621"/>
      <c r="Y333" s="621"/>
      <c r="Z333" s="621"/>
      <c r="AA333" s="65"/>
      <c r="AB333" s="65"/>
      <c r="AC333" s="79"/>
    </row>
    <row r="334" spans="1:68" ht="14.25" customHeight="1" x14ac:dyDescent="0.25">
      <c r="A334" s="622" t="s">
        <v>84</v>
      </c>
      <c r="B334" s="622"/>
      <c r="C334" s="622"/>
      <c r="D334" s="622"/>
      <c r="E334" s="622"/>
      <c r="F334" s="622"/>
      <c r="G334" s="622"/>
      <c r="H334" s="622"/>
      <c r="I334" s="622"/>
      <c r="J334" s="622"/>
      <c r="K334" s="622"/>
      <c r="L334" s="622"/>
      <c r="M334" s="622"/>
      <c r="N334" s="622"/>
      <c r="O334" s="622"/>
      <c r="P334" s="622"/>
      <c r="Q334" s="622"/>
      <c r="R334" s="622"/>
      <c r="S334" s="622"/>
      <c r="T334" s="622"/>
      <c r="U334" s="622"/>
      <c r="V334" s="622"/>
      <c r="W334" s="622"/>
      <c r="X334" s="622"/>
      <c r="Y334" s="622"/>
      <c r="Z334" s="622"/>
      <c r="AA334" s="66"/>
      <c r="AB334" s="66"/>
      <c r="AC334" s="80"/>
    </row>
    <row r="335" spans="1:68" ht="27" customHeight="1" x14ac:dyDescent="0.25">
      <c r="A335" s="63" t="s">
        <v>535</v>
      </c>
      <c r="B335" s="63" t="s">
        <v>536</v>
      </c>
      <c r="C335" s="36">
        <v>4301051489</v>
      </c>
      <c r="D335" s="623">
        <v>4607091387919</v>
      </c>
      <c r="E335" s="623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45</v>
      </c>
      <c r="M335" s="38" t="s">
        <v>98</v>
      </c>
      <c r="N335" s="38"/>
      <c r="O335" s="37">
        <v>45</v>
      </c>
      <c r="P335" s="7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4301051461</v>
      </c>
      <c r="D336" s="623">
        <v>4680115883604</v>
      </c>
      <c r="E336" s="623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90</v>
      </c>
      <c r="M336" s="38" t="s">
        <v>88</v>
      </c>
      <c r="N336" s="38"/>
      <c r="O336" s="37">
        <v>45</v>
      </c>
      <c r="P336" s="7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91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541</v>
      </c>
      <c r="B337" s="63" t="s">
        <v>542</v>
      </c>
      <c r="C337" s="36">
        <v>4301051864</v>
      </c>
      <c r="D337" s="623">
        <v>4680115883567</v>
      </c>
      <c r="E337" s="623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90</v>
      </c>
      <c r="M337" s="38" t="s">
        <v>98</v>
      </c>
      <c r="N337" s="38"/>
      <c r="O337" s="37">
        <v>40</v>
      </c>
      <c r="P337" s="7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543</v>
      </c>
      <c r="AG337" s="78"/>
      <c r="AJ337" s="84" t="s">
        <v>91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20" t="s">
        <v>544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54"/>
      <c r="AB340" s="54"/>
      <c r="AC340" s="54"/>
    </row>
    <row r="341" spans="1:68" ht="16.5" customHeight="1" x14ac:dyDescent="0.25">
      <c r="A341" s="621" t="s">
        <v>545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5"/>
      <c r="AB341" s="65"/>
      <c r="AC341" s="79"/>
    </row>
    <row r="342" spans="1:68" ht="14.25" customHeight="1" x14ac:dyDescent="0.25">
      <c r="A342" s="622" t="s">
        <v>112</v>
      </c>
      <c r="B342" s="622"/>
      <c r="C342" s="622"/>
      <c r="D342" s="622"/>
      <c r="E342" s="622"/>
      <c r="F342" s="622"/>
      <c r="G342" s="622"/>
      <c r="H342" s="622"/>
      <c r="I342" s="622"/>
      <c r="J342" s="622"/>
      <c r="K342" s="622"/>
      <c r="L342" s="622"/>
      <c r="M342" s="622"/>
      <c r="N342" s="622"/>
      <c r="O342" s="622"/>
      <c r="P342" s="622"/>
      <c r="Q342" s="622"/>
      <c r="R342" s="622"/>
      <c r="S342" s="622"/>
      <c r="T342" s="622"/>
      <c r="U342" s="622"/>
      <c r="V342" s="622"/>
      <c r="W342" s="622"/>
      <c r="X342" s="622"/>
      <c r="Y342" s="622"/>
      <c r="Z342" s="622"/>
      <c r="AA342" s="66"/>
      <c r="AB342" s="66"/>
      <c r="AC342" s="80"/>
    </row>
    <row r="343" spans="1:68" ht="37.5" customHeight="1" x14ac:dyDescent="0.25">
      <c r="A343" s="63" t="s">
        <v>546</v>
      </c>
      <c r="B343" s="63" t="s">
        <v>547</v>
      </c>
      <c r="C343" s="36">
        <v>4301011869</v>
      </c>
      <c r="D343" s="623">
        <v>4680115884847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118</v>
      </c>
      <c r="M343" s="38" t="s">
        <v>82</v>
      </c>
      <c r="N343" s="38"/>
      <c r="O343" s="37">
        <v>60</v>
      </c>
      <c r="P343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91</v>
      </c>
      <c r="AK343" s="84">
        <v>120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549</v>
      </c>
      <c r="B344" s="63" t="s">
        <v>550</v>
      </c>
      <c r="C344" s="36">
        <v>4301011870</v>
      </c>
      <c r="D344" s="623">
        <v>4680115884854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118</v>
      </c>
      <c r="M344" s="38" t="s">
        <v>82</v>
      </c>
      <c r="N344" s="38"/>
      <c r="O344" s="37">
        <v>60</v>
      </c>
      <c r="P344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91</v>
      </c>
      <c r="AK344" s="84">
        <v>120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98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37.5" customHeight="1" x14ac:dyDescent="0.25">
      <c r="A346" s="63" t="s">
        <v>555</v>
      </c>
      <c r="B346" s="63" t="s">
        <v>556</v>
      </c>
      <c r="C346" s="36">
        <v>4301011867</v>
      </c>
      <c r="D346" s="623">
        <v>4680115884830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118</v>
      </c>
      <c r="M346" s="38" t="s">
        <v>82</v>
      </c>
      <c r="N346" s="38"/>
      <c r="O346" s="37">
        <v>60</v>
      </c>
      <c r="P346" s="7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91</v>
      </c>
      <c r="AK346" s="84">
        <v>120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4301011433</v>
      </c>
      <c r="D347" s="623">
        <v>4680115882638</v>
      </c>
      <c r="E347" s="623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560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561</v>
      </c>
      <c r="B348" s="63" t="s">
        <v>562</v>
      </c>
      <c r="C348" s="36">
        <v>4301011952</v>
      </c>
      <c r="D348" s="623">
        <v>4680115884922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563</v>
      </c>
      <c r="B349" s="63" t="s">
        <v>564</v>
      </c>
      <c r="C349" s="36">
        <v>4301011868</v>
      </c>
      <c r="D349" s="623">
        <v>4680115884861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7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557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30"/>
      <c r="B350" s="630"/>
      <c r="C350" s="630"/>
      <c r="D350" s="630"/>
      <c r="E350" s="630"/>
      <c r="F350" s="630"/>
      <c r="G350" s="630"/>
      <c r="H350" s="630"/>
      <c r="I350" s="630"/>
      <c r="J350" s="630"/>
      <c r="K350" s="630"/>
      <c r="L350" s="630"/>
      <c r="M350" s="630"/>
      <c r="N350" s="630"/>
      <c r="O350" s="631"/>
      <c r="P350" s="627" t="s">
        <v>40</v>
      </c>
      <c r="Q350" s="628"/>
      <c r="R350" s="628"/>
      <c r="S350" s="628"/>
      <c r="T350" s="628"/>
      <c r="U350" s="628"/>
      <c r="V350" s="629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2" t="s">
        <v>147</v>
      </c>
      <c r="B352" s="622"/>
      <c r="C352" s="622"/>
      <c r="D352" s="622"/>
      <c r="E352" s="622"/>
      <c r="F352" s="622"/>
      <c r="G352" s="622"/>
      <c r="H352" s="622"/>
      <c r="I352" s="622"/>
      <c r="J352" s="622"/>
      <c r="K352" s="622"/>
      <c r="L352" s="622"/>
      <c r="M352" s="622"/>
      <c r="N352" s="622"/>
      <c r="O352" s="622"/>
      <c r="P352" s="622"/>
      <c r="Q352" s="622"/>
      <c r="R352" s="622"/>
      <c r="S352" s="622"/>
      <c r="T352" s="622"/>
      <c r="U352" s="622"/>
      <c r="V352" s="622"/>
      <c r="W352" s="622"/>
      <c r="X352" s="622"/>
      <c r="Y352" s="622"/>
      <c r="Z352" s="622"/>
      <c r="AA352" s="66"/>
      <c r="AB352" s="66"/>
      <c r="AC352" s="80"/>
    </row>
    <row r="353" spans="1:68" ht="27" customHeight="1" x14ac:dyDescent="0.25">
      <c r="A353" s="63" t="s">
        <v>565</v>
      </c>
      <c r="B353" s="63" t="s">
        <v>566</v>
      </c>
      <c r="C353" s="36">
        <v>4301020178</v>
      </c>
      <c r="D353" s="623">
        <v>4607091383980</v>
      </c>
      <c r="E353" s="62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118</v>
      </c>
      <c r="M353" s="38" t="s">
        <v>116</v>
      </c>
      <c r="N353" s="38"/>
      <c r="O353" s="37">
        <v>50</v>
      </c>
      <c r="P353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91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568</v>
      </c>
      <c r="B354" s="63" t="s">
        <v>569</v>
      </c>
      <c r="C354" s="36">
        <v>4301020179</v>
      </c>
      <c r="D354" s="623">
        <v>4607091384178</v>
      </c>
      <c r="E354" s="62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570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30"/>
      <c r="B355" s="630"/>
      <c r="C355" s="630"/>
      <c r="D355" s="630"/>
      <c r="E355" s="630"/>
      <c r="F355" s="630"/>
      <c r="G355" s="630"/>
      <c r="H355" s="630"/>
      <c r="I355" s="630"/>
      <c r="J355" s="630"/>
      <c r="K355" s="630"/>
      <c r="L355" s="630"/>
      <c r="M355" s="630"/>
      <c r="N355" s="630"/>
      <c r="O355" s="631"/>
      <c r="P355" s="627" t="s">
        <v>40</v>
      </c>
      <c r="Q355" s="628"/>
      <c r="R355" s="628"/>
      <c r="S355" s="628"/>
      <c r="T355" s="628"/>
      <c r="U355" s="628"/>
      <c r="V355" s="62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84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571</v>
      </c>
      <c r="B358" s="63" t="s">
        <v>572</v>
      </c>
      <c r="C358" s="36">
        <v>4301051903</v>
      </c>
      <c r="D358" s="623">
        <v>4607091383928</v>
      </c>
      <c r="E358" s="623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45</v>
      </c>
      <c r="M358" s="38" t="s">
        <v>88</v>
      </c>
      <c r="N358" s="38"/>
      <c r="O358" s="37">
        <v>40</v>
      </c>
      <c r="P358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574</v>
      </c>
      <c r="B359" s="63" t="s">
        <v>575</v>
      </c>
      <c r="C359" s="36">
        <v>4301051897</v>
      </c>
      <c r="D359" s="623">
        <v>4607091384260</v>
      </c>
      <c r="E359" s="623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45</v>
      </c>
      <c r="M359" s="38" t="s">
        <v>88</v>
      </c>
      <c r="N359" s="38"/>
      <c r="O359" s="37">
        <v>40</v>
      </c>
      <c r="P359" s="8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576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0"/>
      <c r="B360" s="630"/>
      <c r="C360" s="630"/>
      <c r="D360" s="630"/>
      <c r="E360" s="630"/>
      <c r="F360" s="630"/>
      <c r="G360" s="630"/>
      <c r="H360" s="630"/>
      <c r="I360" s="630"/>
      <c r="J360" s="630"/>
      <c r="K360" s="630"/>
      <c r="L360" s="630"/>
      <c r="M360" s="630"/>
      <c r="N360" s="630"/>
      <c r="O360" s="631"/>
      <c r="P360" s="627" t="s">
        <v>40</v>
      </c>
      <c r="Q360" s="628"/>
      <c r="R360" s="628"/>
      <c r="S360" s="628"/>
      <c r="T360" s="628"/>
      <c r="U360" s="628"/>
      <c r="V360" s="629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175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16.5" customHeight="1" x14ac:dyDescent="0.25">
      <c r="A363" s="63" t="s">
        <v>577</v>
      </c>
      <c r="B363" s="63" t="s">
        <v>578</v>
      </c>
      <c r="C363" s="36">
        <v>4301060524</v>
      </c>
      <c r="D363" s="623">
        <v>4607091384673</v>
      </c>
      <c r="E363" s="623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579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0"/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1"/>
      <c r="P364" s="627" t="s">
        <v>40</v>
      </c>
      <c r="Q364" s="628"/>
      <c r="R364" s="628"/>
      <c r="S364" s="628"/>
      <c r="T364" s="628"/>
      <c r="U364" s="628"/>
      <c r="V364" s="629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1" t="s">
        <v>580</v>
      </c>
      <c r="B366" s="621"/>
      <c r="C366" s="621"/>
      <c r="D366" s="621"/>
      <c r="E366" s="621"/>
      <c r="F366" s="621"/>
      <c r="G366" s="621"/>
      <c r="H366" s="621"/>
      <c r="I366" s="621"/>
      <c r="J366" s="621"/>
      <c r="K366" s="621"/>
      <c r="L366" s="621"/>
      <c r="M366" s="621"/>
      <c r="N366" s="621"/>
      <c r="O366" s="621"/>
      <c r="P366" s="621"/>
      <c r="Q366" s="621"/>
      <c r="R366" s="621"/>
      <c r="S366" s="621"/>
      <c r="T366" s="621"/>
      <c r="U366" s="621"/>
      <c r="V366" s="621"/>
      <c r="W366" s="621"/>
      <c r="X366" s="621"/>
      <c r="Y366" s="621"/>
      <c r="Z366" s="621"/>
      <c r="AA366" s="65"/>
      <c r="AB366" s="65"/>
      <c r="AC366" s="79"/>
    </row>
    <row r="367" spans="1:68" ht="14.25" customHeight="1" x14ac:dyDescent="0.25">
      <c r="A367" s="622" t="s">
        <v>112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37.5" customHeight="1" x14ac:dyDescent="0.25">
      <c r="A368" s="63" t="s">
        <v>581</v>
      </c>
      <c r="B368" s="63" t="s">
        <v>582</v>
      </c>
      <c r="C368" s="36">
        <v>4301011875</v>
      </c>
      <c r="D368" s="623">
        <v>4680115884885</v>
      </c>
      <c r="E368" s="623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45</v>
      </c>
      <c r="M368" s="38" t="s">
        <v>82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584</v>
      </c>
      <c r="B369" s="63" t="s">
        <v>585</v>
      </c>
      <c r="C369" s="36">
        <v>4301011871</v>
      </c>
      <c r="D369" s="623">
        <v>4680115884908</v>
      </c>
      <c r="E369" s="6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45</v>
      </c>
      <c r="M369" s="38" t="s">
        <v>82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583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0"/>
      <c r="B370" s="630"/>
      <c r="C370" s="630"/>
      <c r="D370" s="630"/>
      <c r="E370" s="630"/>
      <c r="F370" s="630"/>
      <c r="G370" s="630"/>
      <c r="H370" s="630"/>
      <c r="I370" s="630"/>
      <c r="J370" s="630"/>
      <c r="K370" s="630"/>
      <c r="L370" s="630"/>
      <c r="M370" s="630"/>
      <c r="N370" s="630"/>
      <c r="O370" s="631"/>
      <c r="P370" s="627" t="s">
        <v>40</v>
      </c>
      <c r="Q370" s="628"/>
      <c r="R370" s="628"/>
      <c r="S370" s="628"/>
      <c r="T370" s="628"/>
      <c r="U370" s="628"/>
      <c r="V370" s="629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2" t="s">
        <v>78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27" customHeight="1" x14ac:dyDescent="0.25">
      <c r="A373" s="63" t="s">
        <v>586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121</v>
      </c>
      <c r="L373" s="37" t="s">
        <v>45</v>
      </c>
      <c r="M373" s="38" t="s">
        <v>82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586</v>
      </c>
      <c r="B374" s="63" t="s">
        <v>589</v>
      </c>
      <c r="C374" s="36">
        <v>4301031303</v>
      </c>
      <c r="D374" s="623">
        <v>4607091384802</v>
      </c>
      <c r="E374" s="62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35</v>
      </c>
      <c r="P374" s="8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590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0"/>
      <c r="B375" s="630"/>
      <c r="C375" s="630"/>
      <c r="D375" s="630"/>
      <c r="E375" s="630"/>
      <c r="F375" s="630"/>
      <c r="G375" s="630"/>
      <c r="H375" s="630"/>
      <c r="I375" s="630"/>
      <c r="J375" s="630"/>
      <c r="K375" s="630"/>
      <c r="L375" s="630"/>
      <c r="M375" s="630"/>
      <c r="N375" s="630"/>
      <c r="O375" s="631"/>
      <c r="P375" s="627" t="s">
        <v>40</v>
      </c>
      <c r="Q375" s="628"/>
      <c r="R375" s="628"/>
      <c r="S375" s="628"/>
      <c r="T375" s="628"/>
      <c r="U375" s="628"/>
      <c r="V375" s="629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84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591</v>
      </c>
      <c r="B378" s="63" t="s">
        <v>592</v>
      </c>
      <c r="C378" s="36">
        <v>4301051899</v>
      </c>
      <c r="D378" s="623">
        <v>4607091384246</v>
      </c>
      <c r="E378" s="623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45</v>
      </c>
      <c r="M378" s="38" t="s">
        <v>88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594</v>
      </c>
      <c r="B379" s="63" t="s">
        <v>595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9" t="s">
        <v>596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594</v>
      </c>
      <c r="B380" s="63" t="s">
        <v>598</v>
      </c>
      <c r="C380" s="36">
        <v>4301051660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89</v>
      </c>
      <c r="L380" s="37" t="s">
        <v>45</v>
      </c>
      <c r="M380" s="38" t="s">
        <v>88</v>
      </c>
      <c r="N380" s="38"/>
      <c r="O380" s="37">
        <v>40</v>
      </c>
      <c r="P380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593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599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600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78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601</v>
      </c>
      <c r="B386" s="63" t="s">
        <v>602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121</v>
      </c>
      <c r="L388" s="37" t="s">
        <v>45</v>
      </c>
      <c r="M388" s="38" t="s">
        <v>82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609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612</v>
      </c>
      <c r="B390" s="63" t="s">
        <v>613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283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603</v>
      </c>
      <c r="AG390" s="78"/>
      <c r="AJ390" s="84" t="s">
        <v>91</v>
      </c>
      <c r="AK390" s="84">
        <v>37.799999999999997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614</v>
      </c>
      <c r="B391" s="63" t="s">
        <v>615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623</v>
      </c>
      <c r="B394" s="63" t="s">
        <v>624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83</v>
      </c>
      <c r="L394" s="37" t="s">
        <v>45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84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625</v>
      </c>
      <c r="B398" s="63" t="s">
        <v>626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121</v>
      </c>
      <c r="L398" s="37" t="s">
        <v>45</v>
      </c>
      <c r="M398" s="38" t="s">
        <v>88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628</v>
      </c>
      <c r="B399" s="63" t="s">
        <v>629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89</v>
      </c>
      <c r="L399" s="37" t="s">
        <v>45</v>
      </c>
      <c r="M399" s="38" t="s">
        <v>88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630</v>
      </c>
      <c r="AG399" s="78"/>
      <c r="AJ399" s="84" t="s">
        <v>45</v>
      </c>
      <c r="AK399" s="84">
        <v>0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631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147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632</v>
      </c>
      <c r="B404" s="63" t="s">
        <v>633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89</v>
      </c>
      <c r="L404" s="37" t="s">
        <v>45</v>
      </c>
      <c r="M404" s="38" t="s">
        <v>82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634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78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635</v>
      </c>
      <c r="B408" s="63" t="s">
        <v>636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121</v>
      </c>
      <c r="L408" s="37" t="s">
        <v>45</v>
      </c>
      <c r="M408" s="38" t="s">
        <v>116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644</v>
      </c>
      <c r="B411" s="63" t="s">
        <v>645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83</v>
      </c>
      <c r="L411" s="37" t="s">
        <v>45</v>
      </c>
      <c r="M411" s="38" t="s">
        <v>82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646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78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647</v>
      </c>
      <c r="B416" s="63" t="s">
        <v>648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89</v>
      </c>
      <c r="L416" s="37" t="s">
        <v>45</v>
      </c>
      <c r="M416" s="38" t="s">
        <v>82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649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650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650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112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651</v>
      </c>
      <c r="B422" s="63" t="s">
        <v>652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115</v>
      </c>
      <c r="AG422" s="78"/>
      <c r="AJ422" s="84" t="s">
        <v>91</v>
      </c>
      <c r="AK422" s="84">
        <v>42.24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4301012145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45</v>
      </c>
      <c r="M423" s="38" t="s">
        <v>116</v>
      </c>
      <c r="N423" s="38"/>
      <c r="O423" s="37">
        <v>60</v>
      </c>
      <c r="P423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45</v>
      </c>
      <c r="M424" s="38" t="s">
        <v>116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118</v>
      </c>
      <c r="M425" s="38" t="s">
        <v>88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91</v>
      </c>
      <c r="AK425" s="84">
        <v>42.24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662</v>
      </c>
      <c r="B426" s="63" t="s">
        <v>663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45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91</v>
      </c>
      <c r="AK427" s="84">
        <v>42.24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89</v>
      </c>
      <c r="L428" s="37" t="s">
        <v>45</v>
      </c>
      <c r="M428" s="38" t="s">
        <v>88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121</v>
      </c>
      <c r="L430" s="37" t="s">
        <v>45</v>
      </c>
      <c r="M430" s="38" t="s">
        <v>116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658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89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676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677</v>
      </c>
      <c r="B432" s="63" t="s">
        <v>678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121</v>
      </c>
      <c r="L432" s="37" t="s">
        <v>45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667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147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679</v>
      </c>
      <c r="B436" s="63" t="s">
        <v>680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117</v>
      </c>
      <c r="L436" s="37" t="s">
        <v>45</v>
      </c>
      <c r="M436" s="38" t="s">
        <v>88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681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682</v>
      </c>
      <c r="B437" s="63" t="s">
        <v>683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89</v>
      </c>
      <c r="L437" s="37" t="s">
        <v>45</v>
      </c>
      <c r="M437" s="38" t="s">
        <v>88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681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684</v>
      </c>
      <c r="B438" s="63" t="s">
        <v>685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121</v>
      </c>
      <c r="L438" s="37" t="s">
        <v>45</v>
      </c>
      <c r="M438" s="38" t="s">
        <v>116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681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686</v>
      </c>
      <c r="B442" s="63" t="s">
        <v>687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45</v>
      </c>
      <c r="M442" s="38" t="s">
        <v>116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45</v>
      </c>
      <c r="AK442" s="84">
        <v>0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91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82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694</v>
      </c>
      <c r="AG444" s="78"/>
      <c r="AJ444" s="84" t="s">
        <v>91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695</v>
      </c>
      <c r="B445" s="63" t="s">
        <v>696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699</v>
      </c>
      <c r="B447" s="63" t="s">
        <v>700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121</v>
      </c>
      <c r="L447" s="37" t="s">
        <v>45</v>
      </c>
      <c r="M447" s="38" t="s">
        <v>82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694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84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117</v>
      </c>
      <c r="L452" s="37" t="s">
        <v>45</v>
      </c>
      <c r="M452" s="38" t="s">
        <v>88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89</v>
      </c>
      <c r="L453" s="37" t="s">
        <v>45</v>
      </c>
      <c r="M453" s="38" t="s">
        <v>88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112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117</v>
      </c>
      <c r="L459" s="37" t="s">
        <v>45</v>
      </c>
      <c r="M459" s="38" t="s">
        <v>88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45</v>
      </c>
      <c r="M461" s="38" t="s">
        <v>116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121</v>
      </c>
      <c r="L462" s="37" t="s">
        <v>45</v>
      </c>
      <c r="M462" s="38" t="s">
        <v>88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147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116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121</v>
      </c>
      <c r="L473" s="37" t="s">
        <v>45</v>
      </c>
      <c r="M473" s="38" t="s">
        <v>82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84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117</v>
      </c>
      <c r="L477" s="37" t="s">
        <v>45</v>
      </c>
      <c r="M477" s="38" t="s">
        <v>98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175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117</v>
      </c>
      <c r="L482" s="37" t="s">
        <v>45</v>
      </c>
      <c r="M482" s="38" t="s">
        <v>88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147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117</v>
      </c>
      <c r="L487" s="37" t="s">
        <v>45</v>
      </c>
      <c r="M487" s="38" t="s">
        <v>116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0</v>
      </c>
      <c r="Y490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0</v>
      </c>
      <c r="Y494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110</v>
      </c>
      <c r="D497" s="870" t="s">
        <v>110</v>
      </c>
      <c r="E497" s="870" t="s">
        <v>110</v>
      </c>
      <c r="F497" s="870" t="s">
        <v>110</v>
      </c>
      <c r="G497" s="870" t="s">
        <v>110</v>
      </c>
      <c r="H497" s="870" t="s">
        <v>110</v>
      </c>
      <c r="I497" s="870" t="s">
        <v>261</v>
      </c>
      <c r="J497" s="870" t="s">
        <v>261</v>
      </c>
      <c r="K497" s="870" t="s">
        <v>261</v>
      </c>
      <c r="L497" s="870" t="s">
        <v>261</v>
      </c>
      <c r="M497" s="870" t="s">
        <v>261</v>
      </c>
      <c r="N497" s="871"/>
      <c r="O497" s="870" t="s">
        <v>261</v>
      </c>
      <c r="P497" s="870" t="s">
        <v>261</v>
      </c>
      <c r="Q497" s="870" t="s">
        <v>261</v>
      </c>
      <c r="R497" s="870" t="s">
        <v>261</v>
      </c>
      <c r="S497" s="870" t="s">
        <v>544</v>
      </c>
      <c r="T497" s="870" t="s">
        <v>544</v>
      </c>
      <c r="U497" s="870" t="s">
        <v>599</v>
      </c>
      <c r="V497" s="870" t="s">
        <v>599</v>
      </c>
      <c r="W497" s="870" t="s">
        <v>599</v>
      </c>
      <c r="X497" s="85" t="s">
        <v>650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111</v>
      </c>
      <c r="D498" s="870" t="s">
        <v>128</v>
      </c>
      <c r="E498" s="870" t="s">
        <v>182</v>
      </c>
      <c r="F498" s="870" t="s">
        <v>201</v>
      </c>
      <c r="G498" s="870" t="s">
        <v>231</v>
      </c>
      <c r="H498" s="870" t="s">
        <v>110</v>
      </c>
      <c r="I498" s="870" t="s">
        <v>262</v>
      </c>
      <c r="J498" s="870" t="s">
        <v>307</v>
      </c>
      <c r="K498" s="870" t="s">
        <v>366</v>
      </c>
      <c r="L498" s="870" t="s">
        <v>408</v>
      </c>
      <c r="M498" s="870" t="s">
        <v>424</v>
      </c>
      <c r="N498" s="1"/>
      <c r="O498" s="870" t="s">
        <v>435</v>
      </c>
      <c r="P498" s="870" t="s">
        <v>444</v>
      </c>
      <c r="Q498" s="870" t="s">
        <v>457</v>
      </c>
      <c r="R498" s="870" t="s">
        <v>534</v>
      </c>
      <c r="S498" s="870" t="s">
        <v>545</v>
      </c>
      <c r="T498" s="870" t="s">
        <v>580</v>
      </c>
      <c r="U498" s="870" t="s">
        <v>600</v>
      </c>
      <c r="V498" s="870" t="s">
        <v>631</v>
      </c>
      <c r="W498" s="870" t="s">
        <v>646</v>
      </c>
      <c r="X498" s="870" t="s">
        <v>650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IFERROR(Y140*1,"0")+IFERROR(Y141*1,"0")+IFERROR(Y145*1,"0")+IFERROR(Y146*1,"0")+IFERROR(Y147*1,"0")+IFERROR(Y151*1,"0")</f>
        <v>0</v>
      </c>
      <c r="I500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52">
        <f>IFERROR(Y254*1,"0")+IFERROR(Y255*1,"0")+IFERROR(Y256*1,"0")+IFERROR(Y257*1,"0")+IFERROR(Y258*1,"0")</f>
        <v>0</v>
      </c>
      <c r="M500" s="52">
        <f>IFERROR(Y263*1,"0")+IFERROR(Y264*1,"0")+IFERROR(Y265*1,"0")+IFERROR(Y266*1,"0")</f>
        <v>0</v>
      </c>
      <c r="N500" s="1"/>
      <c r="O500" s="52">
        <f>IFERROR(Y271*1,"0")+IFERROR(Y272*1,"0")+IFERROR(Y273*1,"0")</f>
        <v>0</v>
      </c>
      <c r="P500" s="52">
        <f>IFERROR(Y278*1,"0")+IFERROR(Y279*1,"0")+IFERROR(Y283*1,"0")+IFERROR(Y284*1,"0")</f>
        <v>0</v>
      </c>
      <c r="Q500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0" s="52">
        <f>IFERROR(Y335*1,"0")+IFERROR(Y336*1,"0")+IFERROR(Y337*1,"0")</f>
        <v>0</v>
      </c>
      <c r="S500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0" s="52">
        <f>IFERROR(Y368*1,"0")+IFERROR(Y369*1,"0")+IFERROR(Y373*1,"0")+IFERROR(Y374*1,"0")+IFERROR(Y378*1,"0")+IFERROR(Y379*1,"0")+IFERROR(Y380*1,"0")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Vxqfq/f+szo1NQJPQxuBy9k8osGkGqjxRrgD/yMYSWDwoVCPedpkPRvJLX2AhiXDTdnmc2kR+kyhZXqkLQkD1A==" saltValue="pdYpDRnTnWWS68zskhNQ+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43:X444 X427 X425 X422 X390 X353 X346 X343:X344 X336:X337 X323 X315:X316 X304 X302 X272 X233 X218:X219 X213:X214 X211 X208:X209 X200:X202 X195:X198 X168 X166 X163 X161 X119 X115 X101 X99 X87 X85 X62 X56 X40:X41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MTY55iF6wZOMCxc2dcSnrgg7b034rOSa5q3wyaK2EJ3QbU+FmVwaS7HmCqvKzturLGKXVx6SqQQnryiKcLV6gw==" saltValue="R2DImAQx/iyZGNqiUCoVM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