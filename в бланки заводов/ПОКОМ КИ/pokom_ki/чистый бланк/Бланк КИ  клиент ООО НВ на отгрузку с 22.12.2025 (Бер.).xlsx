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E20BAB-553D-4788-88B2-D5A64DE5C2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Z489" i="2"/>
  <c r="Z490" i="2" s="1"/>
  <c r="Y489" i="2"/>
  <c r="Z502" i="2" s="1"/>
  <c r="P489" i="2"/>
  <c r="X486" i="2"/>
  <c r="X485" i="2"/>
  <c r="BP484" i="2"/>
  <c r="BO484" i="2"/>
  <c r="BM484" i="2"/>
  <c r="Y484" i="2"/>
  <c r="BN484" i="2" s="1"/>
  <c r="P484" i="2"/>
  <c r="BO483" i="2"/>
  <c r="BM483" i="2"/>
  <c r="Y483" i="2"/>
  <c r="P483" i="2"/>
  <c r="Y481" i="2"/>
  <c r="X481" i="2"/>
  <c r="Y480" i="2"/>
  <c r="X480" i="2"/>
  <c r="BP479" i="2"/>
  <c r="BO479" i="2"/>
  <c r="BM479" i="2"/>
  <c r="Y479" i="2"/>
  <c r="BN479" i="2" s="1"/>
  <c r="P479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BP471" i="2" s="1"/>
  <c r="P471" i="2"/>
  <c r="BP470" i="2"/>
  <c r="BO470" i="2"/>
  <c r="BM470" i="2"/>
  <c r="Y470" i="2"/>
  <c r="P470" i="2"/>
  <c r="X468" i="2"/>
  <c r="X467" i="2"/>
  <c r="BO466" i="2"/>
  <c r="BM466" i="2"/>
  <c r="Y466" i="2"/>
  <c r="BP466" i="2" s="1"/>
  <c r="P466" i="2"/>
  <c r="BP465" i="2"/>
  <c r="BO465" i="2"/>
  <c r="BN465" i="2"/>
  <c r="BM465" i="2"/>
  <c r="Z465" i="2"/>
  <c r="Y465" i="2"/>
  <c r="P465" i="2"/>
  <c r="BO464" i="2"/>
  <c r="BM464" i="2"/>
  <c r="Y464" i="2"/>
  <c r="BP464" i="2" s="1"/>
  <c r="P464" i="2"/>
  <c r="BO463" i="2"/>
  <c r="BM463" i="2"/>
  <c r="Y463" i="2"/>
  <c r="P463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Z453" i="2" s="1"/>
  <c r="P453" i="2"/>
  <c r="BO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N448" i="2"/>
  <c r="BM448" i="2"/>
  <c r="Z448" i="2"/>
  <c r="Y448" i="2"/>
  <c r="BP448" i="2" s="1"/>
  <c r="P448" i="2"/>
  <c r="X446" i="2"/>
  <c r="X445" i="2"/>
  <c r="BO444" i="2"/>
  <c r="BM444" i="2"/>
  <c r="Y444" i="2"/>
  <c r="P444" i="2"/>
  <c r="BP443" i="2"/>
  <c r="BO443" i="2"/>
  <c r="BN443" i="2"/>
  <c r="BM443" i="2"/>
  <c r="Z443" i="2"/>
  <c r="Y443" i="2"/>
  <c r="P443" i="2"/>
  <c r="BO442" i="2"/>
  <c r="BM442" i="2"/>
  <c r="Y442" i="2"/>
  <c r="P442" i="2"/>
  <c r="X440" i="2"/>
  <c r="X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BO435" i="2"/>
  <c r="BM435" i="2"/>
  <c r="Z435" i="2"/>
  <c r="Y435" i="2"/>
  <c r="BN435" i="2" s="1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Z428" i="2" s="1"/>
  <c r="P428" i="2"/>
  <c r="BO427" i="2"/>
  <c r="BM427" i="2"/>
  <c r="Y427" i="2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Z413" i="2"/>
  <c r="Y413" i="2"/>
  <c r="P413" i="2"/>
  <c r="X411" i="2"/>
  <c r="X410" i="2"/>
  <c r="BO409" i="2"/>
  <c r="BM409" i="2"/>
  <c r="Y409" i="2"/>
  <c r="Y411" i="2" s="1"/>
  <c r="P409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BP399" i="2" s="1"/>
  <c r="P399" i="2"/>
  <c r="BO398" i="2"/>
  <c r="BM398" i="2"/>
  <c r="Z398" i="2"/>
  <c r="Y398" i="2"/>
  <c r="BP398" i="2" s="1"/>
  <c r="P398" i="2"/>
  <c r="BO397" i="2"/>
  <c r="BM397" i="2"/>
  <c r="Y397" i="2"/>
  <c r="P397" i="2"/>
  <c r="BO396" i="2"/>
  <c r="BM396" i="2"/>
  <c r="Z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BO391" i="2"/>
  <c r="BM391" i="2"/>
  <c r="Z391" i="2"/>
  <c r="Y391" i="2"/>
  <c r="BP391" i="2" s="1"/>
  <c r="P391" i="2"/>
  <c r="X387" i="2"/>
  <c r="X386" i="2"/>
  <c r="BO385" i="2"/>
  <c r="BM385" i="2"/>
  <c r="Y385" i="2"/>
  <c r="P385" i="2"/>
  <c r="BO384" i="2"/>
  <c r="BM384" i="2"/>
  <c r="Z384" i="2"/>
  <c r="Y384" i="2"/>
  <c r="BP384" i="2" s="1"/>
  <c r="P384" i="2"/>
  <c r="BO383" i="2"/>
  <c r="BM383" i="2"/>
  <c r="Y383" i="2"/>
  <c r="P383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Y376" i="2" s="1"/>
  <c r="P374" i="2"/>
  <c r="BP373" i="2"/>
  <c r="BO373" i="2"/>
  <c r="BN373" i="2"/>
  <c r="BM373" i="2"/>
  <c r="Z373" i="2"/>
  <c r="Y373" i="2"/>
  <c r="P373" i="2"/>
  <c r="X370" i="2"/>
  <c r="X369" i="2"/>
  <c r="BO368" i="2"/>
  <c r="BM368" i="2"/>
  <c r="Y368" i="2"/>
  <c r="Y370" i="2" s="1"/>
  <c r="P368" i="2"/>
  <c r="X366" i="2"/>
  <c r="X365" i="2"/>
  <c r="BP364" i="2"/>
  <c r="BO364" i="2"/>
  <c r="BM364" i="2"/>
  <c r="Y364" i="2"/>
  <c r="P364" i="2"/>
  <c r="BO363" i="2"/>
  <c r="BM363" i="2"/>
  <c r="Z363" i="2"/>
  <c r="Y363" i="2"/>
  <c r="BP363" i="2" s="1"/>
  <c r="P363" i="2"/>
  <c r="X361" i="2"/>
  <c r="X360" i="2"/>
  <c r="BO359" i="2"/>
  <c r="BM359" i="2"/>
  <c r="Y359" i="2"/>
  <c r="Y360" i="2" s="1"/>
  <c r="P359" i="2"/>
  <c r="BP358" i="2"/>
  <c r="BO358" i="2"/>
  <c r="BN358" i="2"/>
  <c r="BM358" i="2"/>
  <c r="Z358" i="2"/>
  <c r="Y358" i="2"/>
  <c r="P358" i="2"/>
  <c r="X356" i="2"/>
  <c r="X355" i="2"/>
  <c r="BO354" i="2"/>
  <c r="BM354" i="2"/>
  <c r="Z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BP351" i="2" s="1"/>
  <c r="P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4" i="2"/>
  <c r="X343" i="2"/>
  <c r="BO342" i="2"/>
  <c r="BM342" i="2"/>
  <c r="Y342" i="2"/>
  <c r="Y344" i="2" s="1"/>
  <c r="P342" i="2"/>
  <c r="BO341" i="2"/>
  <c r="BM341" i="2"/>
  <c r="Y341" i="2"/>
  <c r="P341" i="2"/>
  <c r="BO340" i="2"/>
  <c r="BM340" i="2"/>
  <c r="Y340" i="2"/>
  <c r="Z340" i="2" s="1"/>
  <c r="P340" i="2"/>
  <c r="X337" i="2"/>
  <c r="X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1" i="2"/>
  <c r="X330" i="2"/>
  <c r="BP329" i="2"/>
  <c r="BO329" i="2"/>
  <c r="BM329" i="2"/>
  <c r="Y329" i="2"/>
  <c r="P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Z326" i="2"/>
  <c r="Y326" i="2"/>
  <c r="BP326" i="2" s="1"/>
  <c r="P326" i="2"/>
  <c r="X324" i="2"/>
  <c r="X323" i="2"/>
  <c r="BO322" i="2"/>
  <c r="BM322" i="2"/>
  <c r="Y322" i="2"/>
  <c r="Z322" i="2" s="1"/>
  <c r="P322" i="2"/>
  <c r="BO321" i="2"/>
  <c r="BM321" i="2"/>
  <c r="Y321" i="2"/>
  <c r="Z321" i="2" s="1"/>
  <c r="P321" i="2"/>
  <c r="BO320" i="2"/>
  <c r="BM320" i="2"/>
  <c r="Y320" i="2"/>
  <c r="P320" i="2"/>
  <c r="X318" i="2"/>
  <c r="X317" i="2"/>
  <c r="BO316" i="2"/>
  <c r="BM316" i="2"/>
  <c r="Y316" i="2"/>
  <c r="BP316" i="2" s="1"/>
  <c r="P316" i="2"/>
  <c r="BP315" i="2"/>
  <c r="BO315" i="2"/>
  <c r="BN315" i="2"/>
  <c r="BM315" i="2"/>
  <c r="Z315" i="2"/>
  <c r="Y315" i="2"/>
  <c r="P315" i="2"/>
  <c r="BO314" i="2"/>
  <c r="BM314" i="2"/>
  <c r="Y314" i="2"/>
  <c r="P314" i="2"/>
  <c r="BO313" i="2"/>
  <c r="BM313" i="2"/>
  <c r="Y313" i="2"/>
  <c r="P313" i="2"/>
  <c r="X311" i="2"/>
  <c r="X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Y310" i="2" s="1"/>
  <c r="P304" i="2"/>
  <c r="X302" i="2"/>
  <c r="X301" i="2"/>
  <c r="BO300" i="2"/>
  <c r="BM300" i="2"/>
  <c r="Y300" i="2"/>
  <c r="Z300" i="2" s="1"/>
  <c r="P300" i="2"/>
  <c r="BO299" i="2"/>
  <c r="BM299" i="2"/>
  <c r="Z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Z297" i="2" s="1"/>
  <c r="P297" i="2"/>
  <c r="BO296" i="2"/>
  <c r="BM296" i="2"/>
  <c r="Y296" i="2"/>
  <c r="P296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X288" i="2"/>
  <c r="X287" i="2"/>
  <c r="BP286" i="2"/>
  <c r="BO286" i="2"/>
  <c r="BM286" i="2"/>
  <c r="Y286" i="2"/>
  <c r="P286" i="2"/>
  <c r="BO285" i="2"/>
  <c r="BM285" i="2"/>
  <c r="Z285" i="2"/>
  <c r="Y285" i="2"/>
  <c r="BP285" i="2" s="1"/>
  <c r="P285" i="2"/>
  <c r="X282" i="2"/>
  <c r="X281" i="2"/>
  <c r="BO280" i="2"/>
  <c r="BM280" i="2"/>
  <c r="Y280" i="2"/>
  <c r="Y281" i="2" s="1"/>
  <c r="P280" i="2"/>
  <c r="BP279" i="2"/>
  <c r="BO279" i="2"/>
  <c r="BN279" i="2"/>
  <c r="BM279" i="2"/>
  <c r="Z279" i="2"/>
  <c r="Y279" i="2"/>
  <c r="P279" i="2"/>
  <c r="BO278" i="2"/>
  <c r="BM278" i="2"/>
  <c r="Y278" i="2"/>
  <c r="Z278" i="2" s="1"/>
  <c r="P278" i="2"/>
  <c r="X275" i="2"/>
  <c r="X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Y275" i="2" s="1"/>
  <c r="P271" i="2"/>
  <c r="BP270" i="2"/>
  <c r="BO270" i="2"/>
  <c r="BN270" i="2"/>
  <c r="BM270" i="2"/>
  <c r="Z270" i="2"/>
  <c r="Y270" i="2"/>
  <c r="P270" i="2"/>
  <c r="X267" i="2"/>
  <c r="X266" i="2"/>
  <c r="BO265" i="2"/>
  <c r="BM265" i="2"/>
  <c r="Y265" i="2"/>
  <c r="Z265" i="2" s="1"/>
  <c r="P265" i="2"/>
  <c r="BO264" i="2"/>
  <c r="BM264" i="2"/>
  <c r="Y264" i="2"/>
  <c r="Z264" i="2" s="1"/>
  <c r="P264" i="2"/>
  <c r="BO263" i="2"/>
  <c r="BM263" i="2"/>
  <c r="Z263" i="2"/>
  <c r="Y263" i="2"/>
  <c r="BP263" i="2" s="1"/>
  <c r="P263" i="2"/>
  <c r="BO262" i="2"/>
  <c r="BM262" i="2"/>
  <c r="Y262" i="2"/>
  <c r="P262" i="2"/>
  <c r="BO261" i="2"/>
  <c r="BM261" i="2"/>
  <c r="Y261" i="2"/>
  <c r="Y267" i="2" s="1"/>
  <c r="P261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P252" i="2"/>
  <c r="X250" i="2"/>
  <c r="X249" i="2"/>
  <c r="BO248" i="2"/>
  <c r="BM248" i="2"/>
  <c r="Y248" i="2"/>
  <c r="P248" i="2"/>
  <c r="Y246" i="2"/>
  <c r="X246" i="2"/>
  <c r="Y245" i="2"/>
  <c r="X245" i="2"/>
  <c r="BP244" i="2"/>
  <c r="BO244" i="2"/>
  <c r="BN244" i="2"/>
  <c r="BM244" i="2"/>
  <c r="Z244" i="2"/>
  <c r="Z245" i="2" s="1"/>
  <c r="Y244" i="2"/>
  <c r="P244" i="2"/>
  <c r="X242" i="2"/>
  <c r="X241" i="2"/>
  <c r="BO240" i="2"/>
  <c r="BM240" i="2"/>
  <c r="Z240" i="2"/>
  <c r="Y240" i="2"/>
  <c r="BP240" i="2" s="1"/>
  <c r="P240" i="2"/>
  <c r="BO239" i="2"/>
  <c r="BM239" i="2"/>
  <c r="Y239" i="2"/>
  <c r="BP239" i="2" s="1"/>
  <c r="P239" i="2"/>
  <c r="BP238" i="2"/>
  <c r="BO238" i="2"/>
  <c r="BN238" i="2"/>
  <c r="BM238" i="2"/>
  <c r="Z238" i="2"/>
  <c r="Y238" i="2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Z233" i="2" s="1"/>
  <c r="P233" i="2"/>
  <c r="BO232" i="2"/>
  <c r="BM232" i="2"/>
  <c r="Y232" i="2"/>
  <c r="P232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X224" i="2"/>
  <c r="X223" i="2"/>
  <c r="BO222" i="2"/>
  <c r="BM222" i="2"/>
  <c r="Y222" i="2"/>
  <c r="BP222" i="2" s="1"/>
  <c r="P222" i="2"/>
  <c r="BO221" i="2"/>
  <c r="BM221" i="2"/>
  <c r="Y221" i="2"/>
  <c r="Z221" i="2" s="1"/>
  <c r="P221" i="2"/>
  <c r="BO220" i="2"/>
  <c r="BM220" i="2"/>
  <c r="Y220" i="2"/>
  <c r="Z220" i="2" s="1"/>
  <c r="P220" i="2"/>
  <c r="BO219" i="2"/>
  <c r="BM219" i="2"/>
  <c r="Z219" i="2"/>
  <c r="Y219" i="2"/>
  <c r="BP219" i="2" s="1"/>
  <c r="P219" i="2"/>
  <c r="BO218" i="2"/>
  <c r="BM218" i="2"/>
  <c r="Y218" i="2"/>
  <c r="BP218" i="2" s="1"/>
  <c r="P218" i="2"/>
  <c r="BP217" i="2"/>
  <c r="BO217" i="2"/>
  <c r="BN217" i="2"/>
  <c r="BM217" i="2"/>
  <c r="Z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P210" i="2"/>
  <c r="BO209" i="2"/>
  <c r="BM209" i="2"/>
  <c r="Z209" i="2"/>
  <c r="Y209" i="2"/>
  <c r="BP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P203" i="2"/>
  <c r="BO203" i="2"/>
  <c r="BN203" i="2"/>
  <c r="BM203" i="2"/>
  <c r="Z203" i="2"/>
  <c r="Y203" i="2"/>
  <c r="Y211" i="2" s="1"/>
  <c r="P203" i="2"/>
  <c r="X201" i="2"/>
  <c r="X200" i="2"/>
  <c r="BO199" i="2"/>
  <c r="BM199" i="2"/>
  <c r="Y199" i="2"/>
  <c r="Z199" i="2" s="1"/>
  <c r="P199" i="2"/>
  <c r="BO198" i="2"/>
  <c r="BM198" i="2"/>
  <c r="Y198" i="2"/>
  <c r="P198" i="2"/>
  <c r="X196" i="2"/>
  <c r="X195" i="2"/>
  <c r="BO194" i="2"/>
  <c r="BM194" i="2"/>
  <c r="Y194" i="2"/>
  <c r="BP194" i="2" s="1"/>
  <c r="P194" i="2"/>
  <c r="BO193" i="2"/>
  <c r="BM193" i="2"/>
  <c r="Y193" i="2"/>
  <c r="Y195" i="2" s="1"/>
  <c r="P193" i="2"/>
  <c r="X190" i="2"/>
  <c r="X189" i="2"/>
  <c r="BP188" i="2"/>
  <c r="BO188" i="2"/>
  <c r="BN188" i="2"/>
  <c r="BM188" i="2"/>
  <c r="Z188" i="2"/>
  <c r="Z189" i="2" s="1"/>
  <c r="Y188" i="2"/>
  <c r="Y190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Y186" i="2" s="1"/>
  <c r="P182" i="2"/>
  <c r="X180" i="2"/>
  <c r="X179" i="2"/>
  <c r="BO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P174" i="2"/>
  <c r="BO174" i="2"/>
  <c r="BN174" i="2"/>
  <c r="BM174" i="2"/>
  <c r="Z174" i="2"/>
  <c r="Y174" i="2"/>
  <c r="P174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P170" i="2"/>
  <c r="BO170" i="2"/>
  <c r="BN170" i="2"/>
  <c r="BM170" i="2"/>
  <c r="Z170" i="2"/>
  <c r="Y170" i="2"/>
  <c r="P170" i="2"/>
  <c r="BO169" i="2"/>
  <c r="BM169" i="2"/>
  <c r="Y169" i="2"/>
  <c r="Z169" i="2" s="1"/>
  <c r="P169" i="2"/>
  <c r="BO168" i="2"/>
  <c r="BM168" i="2"/>
  <c r="Y168" i="2"/>
  <c r="BP168" i="2" s="1"/>
  <c r="P168" i="2"/>
  <c r="BO167" i="2"/>
  <c r="BM167" i="2"/>
  <c r="Y167" i="2"/>
  <c r="Y180" i="2" s="1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BP157" i="2" s="1"/>
  <c r="P157" i="2"/>
  <c r="X155" i="2"/>
  <c r="X154" i="2"/>
  <c r="BO153" i="2"/>
  <c r="BM153" i="2"/>
  <c r="Y153" i="2"/>
  <c r="BN153" i="2" s="1"/>
  <c r="P153" i="2"/>
  <c r="BP152" i="2"/>
  <c r="BO152" i="2"/>
  <c r="BN152" i="2"/>
  <c r="BM152" i="2"/>
  <c r="Z152" i="2"/>
  <c r="Y152" i="2"/>
  <c r="P152" i="2"/>
  <c r="BO151" i="2"/>
  <c r="BM151" i="2"/>
  <c r="Y151" i="2"/>
  <c r="Z151" i="2" s="1"/>
  <c r="P151" i="2"/>
  <c r="BO150" i="2"/>
  <c r="BM150" i="2"/>
  <c r="Y150" i="2"/>
  <c r="BP150" i="2" s="1"/>
  <c r="BO149" i="2"/>
  <c r="BM149" i="2"/>
  <c r="Y149" i="2"/>
  <c r="BP149" i="2" s="1"/>
  <c r="BP148" i="2"/>
  <c r="BO148" i="2"/>
  <c r="BN148" i="2"/>
  <c r="BM148" i="2"/>
  <c r="Z148" i="2"/>
  <c r="Y148" i="2"/>
  <c r="X146" i="2"/>
  <c r="X145" i="2"/>
  <c r="BO144" i="2"/>
  <c r="BM144" i="2"/>
  <c r="Y144" i="2"/>
  <c r="P144" i="2"/>
  <c r="BO143" i="2"/>
  <c r="BM143" i="2"/>
  <c r="Y143" i="2"/>
  <c r="H502" i="2" s="1"/>
  <c r="P143" i="2"/>
  <c r="X140" i="2"/>
  <c r="X139" i="2"/>
  <c r="BO138" i="2"/>
  <c r="BM138" i="2"/>
  <c r="Y138" i="2"/>
  <c r="Z138" i="2" s="1"/>
  <c r="P138" i="2"/>
  <c r="BO137" i="2"/>
  <c r="BM137" i="2"/>
  <c r="Y137" i="2"/>
  <c r="Y139" i="2" s="1"/>
  <c r="P137" i="2"/>
  <c r="X135" i="2"/>
  <c r="X134" i="2"/>
  <c r="BO133" i="2"/>
  <c r="BM133" i="2"/>
  <c r="Y133" i="2"/>
  <c r="Z133" i="2" s="1"/>
  <c r="P133" i="2"/>
  <c r="BO132" i="2"/>
  <c r="BM132" i="2"/>
  <c r="Y132" i="2"/>
  <c r="Y134" i="2" s="1"/>
  <c r="P132" i="2"/>
  <c r="X130" i="2"/>
  <c r="X129" i="2"/>
  <c r="BP128" i="2"/>
  <c r="BO128" i="2"/>
  <c r="BN128" i="2"/>
  <c r="BM128" i="2"/>
  <c r="Z128" i="2"/>
  <c r="Y128" i="2"/>
  <c r="P128" i="2"/>
  <c r="BO127" i="2"/>
  <c r="BM127" i="2"/>
  <c r="Z127" i="2"/>
  <c r="Z129" i="2" s="1"/>
  <c r="Y127" i="2"/>
  <c r="P127" i="2"/>
  <c r="X124" i="2"/>
  <c r="X123" i="2"/>
  <c r="BO122" i="2"/>
  <c r="BM122" i="2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N115" i="2" s="1"/>
  <c r="P115" i="2"/>
  <c r="X113" i="2"/>
  <c r="X112" i="2"/>
  <c r="BP111" i="2"/>
  <c r="BO111" i="2"/>
  <c r="BN111" i="2"/>
  <c r="BM111" i="2"/>
  <c r="Z111" i="2"/>
  <c r="Y111" i="2"/>
  <c r="P111" i="2"/>
  <c r="BO110" i="2"/>
  <c r="BM110" i="2"/>
  <c r="Y110" i="2"/>
  <c r="Z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X106" i="2"/>
  <c r="X105" i="2"/>
  <c r="BO104" i="2"/>
  <c r="BM104" i="2"/>
  <c r="Z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X97" i="2"/>
  <c r="X96" i="2"/>
  <c r="BO95" i="2"/>
  <c r="BM95" i="2"/>
  <c r="Y95" i="2"/>
  <c r="Z95" i="2" s="1"/>
  <c r="P95" i="2"/>
  <c r="BP94" i="2"/>
  <c r="BO94" i="2"/>
  <c r="BN94" i="2"/>
  <c r="BM94" i="2"/>
  <c r="Z94" i="2"/>
  <c r="Y94" i="2"/>
  <c r="P94" i="2"/>
  <c r="BO93" i="2"/>
  <c r="BM93" i="2"/>
  <c r="Z93" i="2"/>
  <c r="Y93" i="2"/>
  <c r="BN93" i="2" s="1"/>
  <c r="P93" i="2"/>
  <c r="BO92" i="2"/>
  <c r="BM92" i="2"/>
  <c r="Y92" i="2"/>
  <c r="Y96" i="2" s="1"/>
  <c r="P92" i="2"/>
  <c r="X90" i="2"/>
  <c r="X89" i="2"/>
  <c r="BP88" i="2"/>
  <c r="BO88" i="2"/>
  <c r="BN88" i="2"/>
  <c r="BM88" i="2"/>
  <c r="Z88" i="2"/>
  <c r="Y88" i="2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E502" i="2" s="1"/>
  <c r="P85" i="2"/>
  <c r="X82" i="2"/>
  <c r="X81" i="2"/>
  <c r="BO80" i="2"/>
  <c r="BM80" i="2"/>
  <c r="Y80" i="2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P61" i="2"/>
  <c r="BO61" i="2"/>
  <c r="BN61" i="2"/>
  <c r="BM61" i="2"/>
  <c r="Z61" i="2"/>
  <c r="Y61" i="2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X49" i="2"/>
  <c r="X48" i="2"/>
  <c r="BO47" i="2"/>
  <c r="BM47" i="2"/>
  <c r="Y47" i="2"/>
  <c r="Y49" i="2" s="1"/>
  <c r="P47" i="2"/>
  <c r="X45" i="2"/>
  <c r="X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Z35" i="2"/>
  <c r="Z36" i="2" s="1"/>
  <c r="Y35" i="2"/>
  <c r="Y37" i="2" s="1"/>
  <c r="P35" i="2"/>
  <c r="X33" i="2"/>
  <c r="X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Z27" i="2" s="1"/>
  <c r="P27" i="2"/>
  <c r="X25" i="2"/>
  <c r="X24" i="2"/>
  <c r="X496" i="2" s="1"/>
  <c r="BO23" i="2"/>
  <c r="BM23" i="2"/>
  <c r="Y23" i="2"/>
  <c r="Y25" i="2" s="1"/>
  <c r="P23" i="2"/>
  <c r="BP22" i="2"/>
  <c r="BO22" i="2"/>
  <c r="BN22" i="2"/>
  <c r="BM22" i="2"/>
  <c r="Z22" i="2"/>
  <c r="Y22" i="2"/>
  <c r="P22" i="2"/>
  <c r="H10" i="2"/>
  <c r="A9" i="2"/>
  <c r="J9" i="2" s="1"/>
  <c r="D7" i="2"/>
  <c r="Q6" i="2"/>
  <c r="P2" i="2"/>
  <c r="BN23" i="2" l="1"/>
  <c r="BN52" i="2"/>
  <c r="BP52" i="2"/>
  <c r="X492" i="2"/>
  <c r="BN62" i="2"/>
  <c r="BP62" i="2"/>
  <c r="BN85" i="2"/>
  <c r="BP85" i="2"/>
  <c r="Y89" i="2"/>
  <c r="Y90" i="2"/>
  <c r="BN95" i="2"/>
  <c r="BP95" i="2"/>
  <c r="BN116" i="2"/>
  <c r="BN137" i="2"/>
  <c r="Y140" i="2"/>
  <c r="Y146" i="2"/>
  <c r="BP153" i="2"/>
  <c r="Y158" i="2"/>
  <c r="Y159" i="2"/>
  <c r="BP167" i="2"/>
  <c r="BN175" i="2"/>
  <c r="BN208" i="2"/>
  <c r="BN210" i="2"/>
  <c r="BN218" i="2"/>
  <c r="BN220" i="2"/>
  <c r="Y229" i="2"/>
  <c r="Y241" i="2"/>
  <c r="Y242" i="2"/>
  <c r="BP232" i="2"/>
  <c r="BN232" i="2"/>
  <c r="BP236" i="2"/>
  <c r="BN236" i="2"/>
  <c r="Z236" i="2"/>
  <c r="Y249" i="2"/>
  <c r="BP248" i="2"/>
  <c r="BN248" i="2"/>
  <c r="Z248" i="2"/>
  <c r="Z249" i="2" s="1"/>
  <c r="Y250" i="2"/>
  <c r="BP252" i="2"/>
  <c r="Z252" i="2"/>
  <c r="BN261" i="2"/>
  <c r="BP261" i="2"/>
  <c r="Y266" i="2"/>
  <c r="BN262" i="2"/>
  <c r="BN264" i="2"/>
  <c r="BN272" i="2"/>
  <c r="BP272" i="2"/>
  <c r="BN273" i="2"/>
  <c r="BP305" i="2"/>
  <c r="BN305" i="2"/>
  <c r="Z305" i="2"/>
  <c r="BP309" i="2"/>
  <c r="Z309" i="2"/>
  <c r="Y323" i="2"/>
  <c r="Y324" i="2"/>
  <c r="Z320" i="2"/>
  <c r="BP327" i="2"/>
  <c r="BN327" i="2"/>
  <c r="Z327" i="2"/>
  <c r="Z330" i="2" s="1"/>
  <c r="Y356" i="2"/>
  <c r="BP348" i="2"/>
  <c r="BN348" i="2"/>
  <c r="Z348" i="2"/>
  <c r="Y381" i="2"/>
  <c r="Z378" i="2"/>
  <c r="BN392" i="2"/>
  <c r="BP397" i="2"/>
  <c r="BN397" i="2"/>
  <c r="Z397" i="2"/>
  <c r="Y405" i="2"/>
  <c r="BN415" i="2"/>
  <c r="BP415" i="2"/>
  <c r="BP416" i="2"/>
  <c r="BN416" i="2"/>
  <c r="Z416" i="2"/>
  <c r="W502" i="2"/>
  <c r="Y422" i="2"/>
  <c r="BP421" i="2"/>
  <c r="BN421" i="2"/>
  <c r="Z421" i="2"/>
  <c r="Z422" i="2" s="1"/>
  <c r="Y423" i="2"/>
  <c r="X502" i="2"/>
  <c r="Z427" i="2"/>
  <c r="BP432" i="2"/>
  <c r="Z432" i="2"/>
  <c r="BP444" i="2"/>
  <c r="Z444" i="2"/>
  <c r="Y502" i="2"/>
  <c r="BP463" i="2"/>
  <c r="BN463" i="2"/>
  <c r="Z463" i="2"/>
  <c r="BN471" i="2"/>
  <c r="BP483" i="2"/>
  <c r="Y486" i="2"/>
  <c r="BN483" i="2"/>
  <c r="B502" i="2"/>
  <c r="X493" i="2"/>
  <c r="X494" i="2"/>
  <c r="BN27" i="2"/>
  <c r="BP27" i="2"/>
  <c r="Z30" i="2"/>
  <c r="BN30" i="2"/>
  <c r="Y33" i="2"/>
  <c r="BP35" i="2"/>
  <c r="BN47" i="2"/>
  <c r="Z53" i="2"/>
  <c r="BN53" i="2"/>
  <c r="Z57" i="2"/>
  <c r="BN57" i="2"/>
  <c r="Y58" i="2"/>
  <c r="Y59" i="2"/>
  <c r="Y65" i="2"/>
  <c r="Z63" i="2"/>
  <c r="Z64" i="2" s="1"/>
  <c r="BN63" i="2"/>
  <c r="Y64" i="2"/>
  <c r="Z67" i="2"/>
  <c r="Z69" i="2" s="1"/>
  <c r="BN67" i="2"/>
  <c r="BN72" i="2"/>
  <c r="Z79" i="2"/>
  <c r="BN79" i="2"/>
  <c r="Y82" i="2"/>
  <c r="BN80" i="2"/>
  <c r="Z86" i="2"/>
  <c r="BN86" i="2"/>
  <c r="Z92" i="2"/>
  <c r="BN92" i="2"/>
  <c r="BP92" i="2"/>
  <c r="BP93" i="2"/>
  <c r="Y97" i="2"/>
  <c r="F502" i="2"/>
  <c r="Z103" i="2"/>
  <c r="BN103" i="2"/>
  <c r="BP104" i="2"/>
  <c r="Y119" i="2"/>
  <c r="Y120" i="2"/>
  <c r="G502" i="2"/>
  <c r="BP127" i="2"/>
  <c r="Z143" i="2"/>
  <c r="BN143" i="2"/>
  <c r="BP143" i="2"/>
  <c r="Y145" i="2"/>
  <c r="Z150" i="2"/>
  <c r="BN150" i="2"/>
  <c r="Z153" i="2"/>
  <c r="Z167" i="2"/>
  <c r="Z168" i="2"/>
  <c r="BN168" i="2"/>
  <c r="BN169" i="2"/>
  <c r="BP169" i="2"/>
  <c r="Z172" i="2"/>
  <c r="BN172" i="2"/>
  <c r="BN177" i="2"/>
  <c r="Z182" i="2"/>
  <c r="BN182" i="2"/>
  <c r="BP182" i="2"/>
  <c r="Z194" i="2"/>
  <c r="Y200" i="2"/>
  <c r="BN198" i="2"/>
  <c r="Y201" i="2"/>
  <c r="Z205" i="2"/>
  <c r="BN205" i="2"/>
  <c r="Z215" i="2"/>
  <c r="BN215" i="2"/>
  <c r="Y223" i="2"/>
  <c r="Z227" i="2"/>
  <c r="BN227" i="2"/>
  <c r="BN239" i="2"/>
  <c r="BN286" i="2"/>
  <c r="Z286" i="2"/>
  <c r="Z287" i="2" s="1"/>
  <c r="BP296" i="2"/>
  <c r="Y301" i="2"/>
  <c r="BN297" i="2"/>
  <c r="BP297" i="2"/>
  <c r="BN298" i="2"/>
  <c r="BN300" i="2"/>
  <c r="Y311" i="2"/>
  <c r="BP313" i="2"/>
  <c r="BN313" i="2"/>
  <c r="Z313" i="2"/>
  <c r="BP320" i="2"/>
  <c r="BN321" i="2"/>
  <c r="BP321" i="2"/>
  <c r="BN322" i="2"/>
  <c r="BP322" i="2"/>
  <c r="BN329" i="2"/>
  <c r="Z329" i="2"/>
  <c r="BP342" i="2"/>
  <c r="Z342" i="2"/>
  <c r="BN352" i="2"/>
  <c r="BP352" i="2"/>
  <c r="BN353" i="2"/>
  <c r="Y361" i="2"/>
  <c r="BN364" i="2"/>
  <c r="Z364" i="2"/>
  <c r="Z365" i="2" s="1"/>
  <c r="BP378" i="2"/>
  <c r="BN379" i="2"/>
  <c r="BP385" i="2"/>
  <c r="BN385" i="2"/>
  <c r="Z385" i="2"/>
  <c r="BN399" i="2"/>
  <c r="Z399" i="2"/>
  <c r="BP434" i="2"/>
  <c r="Z434" i="2"/>
  <c r="BN438" i="2"/>
  <c r="BP438" i="2"/>
  <c r="Y446" i="2"/>
  <c r="Z442" i="2"/>
  <c r="Z445" i="2" s="1"/>
  <c r="BN453" i="2"/>
  <c r="BP453" i="2"/>
  <c r="Y458" i="2"/>
  <c r="Z457" i="2"/>
  <c r="Z458" i="2" s="1"/>
  <c r="Y473" i="2"/>
  <c r="Z470" i="2"/>
  <c r="BN233" i="2"/>
  <c r="BP233" i="2"/>
  <c r="BN253" i="2"/>
  <c r="BN278" i="2"/>
  <c r="BP278" i="2"/>
  <c r="Y282" i="2"/>
  <c r="Y292" i="2"/>
  <c r="BN307" i="2"/>
  <c r="BP307" i="2"/>
  <c r="BN308" i="2"/>
  <c r="Y318" i="2"/>
  <c r="BN340" i="2"/>
  <c r="BP340" i="2"/>
  <c r="Y343" i="2"/>
  <c r="BN341" i="2"/>
  <c r="Y355" i="2"/>
  <c r="Y375" i="2"/>
  <c r="Y387" i="2"/>
  <c r="Y418" i="2"/>
  <c r="BP413" i="2"/>
  <c r="BN414" i="2"/>
  <c r="Y417" i="2"/>
  <c r="BN428" i="2"/>
  <c r="BP435" i="2"/>
  <c r="BP436" i="2"/>
  <c r="BN437" i="2"/>
  <c r="Y491" i="2"/>
  <c r="X495" i="2"/>
  <c r="Z323" i="2"/>
  <c r="Z96" i="2"/>
  <c r="BP109" i="2"/>
  <c r="Y45" i="2"/>
  <c r="Y135" i="2"/>
  <c r="Y196" i="2"/>
  <c r="Y287" i="2"/>
  <c r="Y330" i="2"/>
  <c r="Y365" i="2"/>
  <c r="Y400" i="2"/>
  <c r="I502" i="2"/>
  <c r="Z109" i="2"/>
  <c r="Z193" i="2"/>
  <c r="Z195" i="2" s="1"/>
  <c r="J502" i="2"/>
  <c r="Z42" i="2"/>
  <c r="Z75" i="2"/>
  <c r="Z132" i="2"/>
  <c r="Z134" i="2" s="1"/>
  <c r="Y185" i="2"/>
  <c r="Y228" i="2"/>
  <c r="Z256" i="2"/>
  <c r="Z335" i="2"/>
  <c r="Z383" i="2"/>
  <c r="Z386" i="2" s="1"/>
  <c r="Z395" i="2"/>
  <c r="Z431" i="2"/>
  <c r="Z451" i="2"/>
  <c r="Z475" i="2"/>
  <c r="Z476" i="2" s="1"/>
  <c r="Z23" i="2"/>
  <c r="Z24" i="2" s="1"/>
  <c r="BN35" i="2"/>
  <c r="Z47" i="2"/>
  <c r="Z48" i="2" s="1"/>
  <c r="BP72" i="2"/>
  <c r="Z80" i="2"/>
  <c r="Z81" i="2" s="1"/>
  <c r="BP116" i="2"/>
  <c r="BN127" i="2"/>
  <c r="Z137" i="2"/>
  <c r="Z139" i="2" s="1"/>
  <c r="BN167" i="2"/>
  <c r="Z175" i="2"/>
  <c r="BP177" i="2"/>
  <c r="Z198" i="2"/>
  <c r="Z200" i="2" s="1"/>
  <c r="Z208" i="2"/>
  <c r="BP210" i="2"/>
  <c r="Z218" i="2"/>
  <c r="BP220" i="2"/>
  <c r="Z239" i="2"/>
  <c r="BP253" i="2"/>
  <c r="Z262" i="2"/>
  <c r="BP264" i="2"/>
  <c r="Z273" i="2"/>
  <c r="Y288" i="2"/>
  <c r="Z298" i="2"/>
  <c r="BP300" i="2"/>
  <c r="Z308" i="2"/>
  <c r="BN320" i="2"/>
  <c r="Y331" i="2"/>
  <c r="Z341" i="2"/>
  <c r="Z343" i="2" s="1"/>
  <c r="Z353" i="2"/>
  <c r="Y366" i="2"/>
  <c r="BN378" i="2"/>
  <c r="BP392" i="2"/>
  <c r="Y401" i="2"/>
  <c r="BN413" i="2"/>
  <c r="BP428" i="2"/>
  <c r="Y439" i="2"/>
  <c r="BN470" i="2"/>
  <c r="Y485" i="2"/>
  <c r="K502" i="2"/>
  <c r="BN193" i="2"/>
  <c r="Y224" i="2"/>
  <c r="BN256" i="2"/>
  <c r="Y293" i="2"/>
  <c r="BN335" i="2"/>
  <c r="BN383" i="2"/>
  <c r="Y386" i="2"/>
  <c r="BN395" i="2"/>
  <c r="Y406" i="2"/>
  <c r="BN431" i="2"/>
  <c r="BN451" i="2"/>
  <c r="Y454" i="2"/>
  <c r="BN475" i="2"/>
  <c r="L502" i="2"/>
  <c r="M502" i="2"/>
  <c r="Y112" i="2"/>
  <c r="Z429" i="2"/>
  <c r="Y440" i="2"/>
  <c r="Z449" i="2"/>
  <c r="BP475" i="2"/>
  <c r="O502" i="2"/>
  <c r="BN75" i="2"/>
  <c r="Z73" i="2"/>
  <c r="BP193" i="2"/>
  <c r="Z368" i="2"/>
  <c r="Z369" i="2" s="1"/>
  <c r="BP383" i="2"/>
  <c r="Z393" i="2"/>
  <c r="Z403" i="2"/>
  <c r="H9" i="2"/>
  <c r="BP23" i="2"/>
  <c r="Z31" i="2"/>
  <c r="Y36" i="2"/>
  <c r="BP47" i="2"/>
  <c r="Z56" i="2"/>
  <c r="BN68" i="2"/>
  <c r="BP80" i="2"/>
  <c r="BN102" i="2"/>
  <c r="Y105" i="2"/>
  <c r="Y113" i="2"/>
  <c r="Z122" i="2"/>
  <c r="Z123" i="2" s="1"/>
  <c r="BP137" i="2"/>
  <c r="BN151" i="2"/>
  <c r="Y154" i="2"/>
  <c r="Z163" i="2"/>
  <c r="Z164" i="2" s="1"/>
  <c r="Z173" i="2"/>
  <c r="Z183" i="2"/>
  <c r="Z185" i="2" s="1"/>
  <c r="BP198" i="2"/>
  <c r="Z206" i="2"/>
  <c r="Z216" i="2"/>
  <c r="Z226" i="2"/>
  <c r="Z228" i="2" s="1"/>
  <c r="Z237" i="2"/>
  <c r="BP262" i="2"/>
  <c r="Z271" i="2"/>
  <c r="Z274" i="2" s="1"/>
  <c r="BN285" i="2"/>
  <c r="Z296" i="2"/>
  <c r="Z301" i="2" s="1"/>
  <c r="Z306" i="2"/>
  <c r="Z316" i="2"/>
  <c r="BN328" i="2"/>
  <c r="BP341" i="2"/>
  <c r="Z351" i="2"/>
  <c r="BN363" i="2"/>
  <c r="Z374" i="2"/>
  <c r="Z375" i="2" s="1"/>
  <c r="BN398" i="2"/>
  <c r="Z409" i="2"/>
  <c r="Z410" i="2" s="1"/>
  <c r="BN434" i="2"/>
  <c r="BN444" i="2"/>
  <c r="Y455" i="2"/>
  <c r="Z466" i="2"/>
  <c r="P502" i="2"/>
  <c r="BN178" i="2"/>
  <c r="Y212" i="2"/>
  <c r="BN221" i="2"/>
  <c r="Z232" i="2"/>
  <c r="BN254" i="2"/>
  <c r="Y257" i="2"/>
  <c r="BN265" i="2"/>
  <c r="BN290" i="2"/>
  <c r="Y302" i="2"/>
  <c r="BN333" i="2"/>
  <c r="Y336" i="2"/>
  <c r="BN368" i="2"/>
  <c r="Z379" i="2"/>
  <c r="Z380" i="2" s="1"/>
  <c r="BN393" i="2"/>
  <c r="BN403" i="2"/>
  <c r="Z414" i="2"/>
  <c r="Z417" i="2" s="1"/>
  <c r="BN429" i="2"/>
  <c r="Z437" i="2"/>
  <c r="BN449" i="2"/>
  <c r="Z471" i="2"/>
  <c r="Z472" i="2" s="1"/>
  <c r="Y476" i="2"/>
  <c r="Z483" i="2"/>
  <c r="Q502" i="2"/>
  <c r="BN132" i="2"/>
  <c r="Y24" i="2"/>
  <c r="BN31" i="2"/>
  <c r="Y48" i="2"/>
  <c r="BN56" i="2"/>
  <c r="BN183" i="2"/>
  <c r="BN206" i="2"/>
  <c r="BN216" i="2"/>
  <c r="BN226" i="2"/>
  <c r="BN237" i="2"/>
  <c r="BN271" i="2"/>
  <c r="Y274" i="2"/>
  <c r="BN296" i="2"/>
  <c r="BN306" i="2"/>
  <c r="BN316" i="2"/>
  <c r="BN351" i="2"/>
  <c r="BN374" i="2"/>
  <c r="BN409" i="2"/>
  <c r="BN466" i="2"/>
  <c r="R502" i="2"/>
  <c r="Y76" i="2"/>
  <c r="BN163" i="2"/>
  <c r="Z149" i="2"/>
  <c r="Z154" i="2" s="1"/>
  <c r="BP221" i="2"/>
  <c r="BP254" i="2"/>
  <c r="BP265" i="2"/>
  <c r="BP290" i="2"/>
  <c r="BP333" i="2"/>
  <c r="BP368" i="2"/>
  <c r="S502" i="2"/>
  <c r="Z29" i="2"/>
  <c r="Z32" i="2" s="1"/>
  <c r="BP31" i="2"/>
  <c r="BN43" i="2"/>
  <c r="Z54" i="2"/>
  <c r="Y69" i="2"/>
  <c r="Y77" i="2"/>
  <c r="Z87" i="2"/>
  <c r="BN100" i="2"/>
  <c r="BN110" i="2"/>
  <c r="BP122" i="2"/>
  <c r="BN133" i="2"/>
  <c r="Z144" i="2"/>
  <c r="Z145" i="2" s="1"/>
  <c r="BP163" i="2"/>
  <c r="Z171" i="2"/>
  <c r="BP173" i="2"/>
  <c r="BN194" i="2"/>
  <c r="Z204" i="2"/>
  <c r="Z211" i="2" s="1"/>
  <c r="Z214" i="2"/>
  <c r="Z235" i="2"/>
  <c r="Y258" i="2"/>
  <c r="BP271" i="2"/>
  <c r="Z280" i="2"/>
  <c r="Z281" i="2" s="1"/>
  <c r="Z304" i="2"/>
  <c r="Z310" i="2" s="1"/>
  <c r="Z314" i="2"/>
  <c r="Z317" i="2" s="1"/>
  <c r="BN326" i="2"/>
  <c r="Y337" i="2"/>
  <c r="Z349" i="2"/>
  <c r="Z355" i="2" s="1"/>
  <c r="Z359" i="2"/>
  <c r="Z360" i="2" s="1"/>
  <c r="BP374" i="2"/>
  <c r="BN384" i="2"/>
  <c r="BN396" i="2"/>
  <c r="BP409" i="2"/>
  <c r="BN432" i="2"/>
  <c r="BN442" i="2"/>
  <c r="Y445" i="2"/>
  <c r="BN452" i="2"/>
  <c r="Z464" i="2"/>
  <c r="Z467" i="2" s="1"/>
  <c r="BN489" i="2"/>
  <c r="T502" i="2"/>
  <c r="Z102" i="2"/>
  <c r="F10" i="2"/>
  <c r="BN138" i="2"/>
  <c r="BN149" i="2"/>
  <c r="BN199" i="2"/>
  <c r="BN209" i="2"/>
  <c r="BN219" i="2"/>
  <c r="BN240" i="2"/>
  <c r="BN252" i="2"/>
  <c r="BN263" i="2"/>
  <c r="BN299" i="2"/>
  <c r="BN309" i="2"/>
  <c r="BN342" i="2"/>
  <c r="BN354" i="2"/>
  <c r="Y369" i="2"/>
  <c r="BN391" i="2"/>
  <c r="BN427" i="2"/>
  <c r="BN457" i="2"/>
  <c r="U502" i="2"/>
  <c r="BN42" i="2"/>
  <c r="F9" i="2"/>
  <c r="BN117" i="2"/>
  <c r="A10" i="2"/>
  <c r="BN122" i="2"/>
  <c r="BP151" i="2"/>
  <c r="Z176" i="2"/>
  <c r="Y179" i="2"/>
  <c r="BN29" i="2"/>
  <c r="Y32" i="2"/>
  <c r="Z41" i="2"/>
  <c r="Z44" i="2" s="1"/>
  <c r="BP43" i="2"/>
  <c r="BN54" i="2"/>
  <c r="Z74" i="2"/>
  <c r="BN87" i="2"/>
  <c r="BP100" i="2"/>
  <c r="Z108" i="2"/>
  <c r="Z112" i="2" s="1"/>
  <c r="BP110" i="2"/>
  <c r="Z118" i="2"/>
  <c r="Y123" i="2"/>
  <c r="BP133" i="2"/>
  <c r="BN144" i="2"/>
  <c r="Z157" i="2"/>
  <c r="Z158" i="2" s="1"/>
  <c r="Y164" i="2"/>
  <c r="BN171" i="2"/>
  <c r="BN204" i="2"/>
  <c r="BN214" i="2"/>
  <c r="Z222" i="2"/>
  <c r="BN235" i="2"/>
  <c r="Z255" i="2"/>
  <c r="Z257" i="2" s="1"/>
  <c r="BN280" i="2"/>
  <c r="Z291" i="2"/>
  <c r="Z292" i="2" s="1"/>
  <c r="BN304" i="2"/>
  <c r="BN314" i="2"/>
  <c r="Y317" i="2"/>
  <c r="Z334" i="2"/>
  <c r="Z336" i="2" s="1"/>
  <c r="BN349" i="2"/>
  <c r="BN359" i="2"/>
  <c r="Z394" i="2"/>
  <c r="Z404" i="2"/>
  <c r="Y410" i="2"/>
  <c r="Z430" i="2"/>
  <c r="BP442" i="2"/>
  <c r="Z450" i="2"/>
  <c r="BN464" i="2"/>
  <c r="Y467" i="2"/>
  <c r="BP489" i="2"/>
  <c r="C502" i="2"/>
  <c r="V502" i="2"/>
  <c r="BP132" i="2"/>
  <c r="BP68" i="2"/>
  <c r="Y81" i="2"/>
  <c r="BP73" i="2"/>
  <c r="Y155" i="2"/>
  <c r="BP178" i="2"/>
  <c r="Y70" i="2"/>
  <c r="BP115" i="2"/>
  <c r="Y129" i="2"/>
  <c r="BP138" i="2"/>
  <c r="BP176" i="2"/>
  <c r="Y189" i="2"/>
  <c r="BP199" i="2"/>
  <c r="Z261" i="2"/>
  <c r="Y380" i="2"/>
  <c r="BP427" i="2"/>
  <c r="BP457" i="2"/>
  <c r="Y472" i="2"/>
  <c r="Z479" i="2"/>
  <c r="Z480" i="2" s="1"/>
  <c r="D502" i="2"/>
  <c r="Z100" i="2"/>
  <c r="Z105" i="2" s="1"/>
  <c r="Y106" i="2"/>
  <c r="Z115" i="2"/>
  <c r="BP117" i="2"/>
  <c r="BN41" i="2"/>
  <c r="Y44" i="2"/>
  <c r="BN74" i="2"/>
  <c r="Z85" i="2"/>
  <c r="Z89" i="2" s="1"/>
  <c r="BN108" i="2"/>
  <c r="BN118" i="2"/>
  <c r="BP144" i="2"/>
  <c r="BN157" i="2"/>
  <c r="BN222" i="2"/>
  <c r="BN255" i="2"/>
  <c r="BP280" i="2"/>
  <c r="BN291" i="2"/>
  <c r="BP304" i="2"/>
  <c r="BP314" i="2"/>
  <c r="BN334" i="2"/>
  <c r="BP349" i="2"/>
  <c r="BP359" i="2"/>
  <c r="BN394" i="2"/>
  <c r="BN404" i="2"/>
  <c r="BN430" i="2"/>
  <c r="BN450" i="2"/>
  <c r="Z484" i="2"/>
  <c r="Y490" i="2"/>
  <c r="Y468" i="2"/>
  <c r="Y130" i="2"/>
  <c r="Y493" i="2" l="1"/>
  <c r="Z439" i="2"/>
  <c r="Z400" i="2"/>
  <c r="Z76" i="2"/>
  <c r="Y492" i="2"/>
  <c r="Z223" i="2"/>
  <c r="Z179" i="2"/>
  <c r="Z58" i="2"/>
  <c r="Y494" i="2"/>
  <c r="Y495" i="2" s="1"/>
  <c r="Z405" i="2"/>
  <c r="Y496" i="2"/>
  <c r="Z485" i="2"/>
  <c r="Z241" i="2"/>
  <c r="Z454" i="2"/>
  <c r="Z119" i="2"/>
  <c r="Z266" i="2"/>
  <c r="Z497" i="2" l="1"/>
</calcChain>
</file>

<file path=xl/sharedStrings.xml><?xml version="1.0" encoding="utf-8"?>
<sst xmlns="http://schemas.openxmlformats.org/spreadsheetml/2006/main" count="3623" uniqueCount="775">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</sst>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46013</v>
      </c>
      <c r="R5" s="563"/>
      <c r="T5" s="564" t="s">
        <v>3</v>
      </c>
      <c r="U5" s="565"/>
      <c r="V5" s="566" t="s">
        <v>761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Понедельник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104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110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111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112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27">
        <v>4680115882539</v>
      </c>
      <c r="E42" s="62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627">
        <v>4607091385687</v>
      </c>
      <c r="E43" s="627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45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127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128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112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129</v>
      </c>
      <c r="B52" s="63" t="s">
        <v>130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131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134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137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138</v>
      </c>
      <c r="B55" s="63" t="s">
        <v>139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140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143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146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147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148</v>
      </c>
      <c r="B61" s="63" t="s">
        <v>149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45</v>
      </c>
      <c r="M61" s="38" t="s">
        <v>116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151</v>
      </c>
      <c r="B62" s="63" t="s">
        <v>152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153</v>
      </c>
      <c r="B63" s="63" t="s">
        <v>154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155</v>
      </c>
      <c r="B67" s="63" t="s">
        <v>156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157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158</v>
      </c>
      <c r="B68" s="63" t="s">
        <v>159</v>
      </c>
      <c r="C68" s="36">
        <v>4301031316</v>
      </c>
      <c r="D68" s="627">
        <v>4680115885097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160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6" t="s">
        <v>88</v>
      </c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6"/>
      <c r="AB71" s="66"/>
      <c r="AC71" s="80"/>
    </row>
    <row r="72" spans="1:68" ht="27" customHeight="1" x14ac:dyDescent="0.25">
      <c r="A72" s="63" t="s">
        <v>161</v>
      </c>
      <c r="B72" s="63" t="s">
        <v>162</v>
      </c>
      <c r="C72" s="36">
        <v>4301051846</v>
      </c>
      <c r="D72" s="627">
        <v>4680115885769</v>
      </c>
      <c r="E72" s="627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9"/>
      <c r="R72" s="629"/>
      <c r="S72" s="629"/>
      <c r="T72" s="63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163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164</v>
      </c>
      <c r="B73" s="63" t="s">
        <v>165</v>
      </c>
      <c r="C73" s="36">
        <v>4301051837</v>
      </c>
      <c r="D73" s="627">
        <v>4680115884311</v>
      </c>
      <c r="E73" s="62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4301051844</v>
      </c>
      <c r="D74" s="627">
        <v>4680115885929</v>
      </c>
      <c r="E74" s="627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163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169</v>
      </c>
      <c r="B75" s="63" t="s">
        <v>170</v>
      </c>
      <c r="C75" s="36">
        <v>4301051929</v>
      </c>
      <c r="D75" s="627">
        <v>4680115884403</v>
      </c>
      <c r="E75" s="627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171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6"/>
      <c r="P76" s="632" t="s">
        <v>40</v>
      </c>
      <c r="Q76" s="633"/>
      <c r="R76" s="633"/>
      <c r="S76" s="633"/>
      <c r="T76" s="633"/>
      <c r="U76" s="633"/>
      <c r="V76" s="63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6" t="s">
        <v>172</v>
      </c>
      <c r="B78" s="626"/>
      <c r="C78" s="626"/>
      <c r="D78" s="626"/>
      <c r="E78" s="626"/>
      <c r="F78" s="626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6"/>
      <c r="AB78" s="66"/>
      <c r="AC78" s="80"/>
    </row>
    <row r="79" spans="1:68" ht="27" customHeight="1" x14ac:dyDescent="0.25">
      <c r="A79" s="63" t="s">
        <v>173</v>
      </c>
      <c r="B79" s="63" t="s">
        <v>174</v>
      </c>
      <c r="C79" s="36">
        <v>4301060455</v>
      </c>
      <c r="D79" s="627">
        <v>4680115881532</v>
      </c>
      <c r="E79" s="62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9"/>
      <c r="R79" s="629"/>
      <c r="S79" s="629"/>
      <c r="T79" s="63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175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176</v>
      </c>
      <c r="B80" s="63" t="s">
        <v>177</v>
      </c>
      <c r="C80" s="36">
        <v>4301060351</v>
      </c>
      <c r="D80" s="627">
        <v>4680115881464</v>
      </c>
      <c r="E80" s="62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178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6"/>
      <c r="P81" s="632" t="s">
        <v>40</v>
      </c>
      <c r="Q81" s="633"/>
      <c r="R81" s="633"/>
      <c r="S81" s="633"/>
      <c r="T81" s="633"/>
      <c r="U81" s="633"/>
      <c r="V81" s="63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5" t="s">
        <v>179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5"/>
      <c r="AB83" s="65"/>
      <c r="AC83" s="79"/>
    </row>
    <row r="84" spans="1:68" ht="14.25" customHeight="1" x14ac:dyDescent="0.25">
      <c r="A84" s="626" t="s">
        <v>112</v>
      </c>
      <c r="B84" s="626"/>
      <c r="C84" s="626"/>
      <c r="D84" s="626"/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6"/>
      <c r="AB84" s="66"/>
      <c r="AC84" s="80"/>
    </row>
    <row r="85" spans="1:68" ht="27" customHeight="1" x14ac:dyDescent="0.25">
      <c r="A85" s="63" t="s">
        <v>180</v>
      </c>
      <c r="B85" s="63" t="s">
        <v>181</v>
      </c>
      <c r="C85" s="36">
        <v>4301011468</v>
      </c>
      <c r="D85" s="627">
        <v>4680115881327</v>
      </c>
      <c r="E85" s="62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9"/>
      <c r="R85" s="629"/>
      <c r="S85" s="629"/>
      <c r="T85" s="63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182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4301011261</v>
      </c>
      <c r="D86" s="627">
        <v>4680115887732</v>
      </c>
      <c r="E86" s="62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186</v>
      </c>
      <c r="L86" s="37" t="s">
        <v>45</v>
      </c>
      <c r="M86" s="38" t="s">
        <v>82</v>
      </c>
      <c r="N86" s="38"/>
      <c r="O86" s="37">
        <v>30</v>
      </c>
      <c r="P86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4301011476</v>
      </c>
      <c r="D87" s="627">
        <v>4680115881518</v>
      </c>
      <c r="E87" s="62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189</v>
      </c>
      <c r="B88" s="63" t="s">
        <v>190</v>
      </c>
      <c r="C88" s="36">
        <v>4301011443</v>
      </c>
      <c r="D88" s="627">
        <v>4680115881303</v>
      </c>
      <c r="E88" s="627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182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5"/>
      <c r="B89" s="635"/>
      <c r="C89" s="635"/>
      <c r="D89" s="635"/>
      <c r="E89" s="635"/>
      <c r="F89" s="635"/>
      <c r="G89" s="635"/>
      <c r="H89" s="635"/>
      <c r="I89" s="635"/>
      <c r="J89" s="635"/>
      <c r="K89" s="635"/>
      <c r="L89" s="635"/>
      <c r="M89" s="635"/>
      <c r="N89" s="635"/>
      <c r="O89" s="636"/>
      <c r="P89" s="632" t="s">
        <v>40</v>
      </c>
      <c r="Q89" s="633"/>
      <c r="R89" s="633"/>
      <c r="S89" s="633"/>
      <c r="T89" s="633"/>
      <c r="U89" s="633"/>
      <c r="V89" s="63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6" t="s">
        <v>88</v>
      </c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6"/>
      <c r="AB91" s="66"/>
      <c r="AC91" s="80"/>
    </row>
    <row r="92" spans="1:68" ht="27" customHeight="1" x14ac:dyDescent="0.25">
      <c r="A92" s="63" t="s">
        <v>191</v>
      </c>
      <c r="B92" s="63" t="s">
        <v>192</v>
      </c>
      <c r="C92" s="36">
        <v>4301051712</v>
      </c>
      <c r="D92" s="627">
        <v>4607091386967</v>
      </c>
      <c r="E92" s="627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9"/>
      <c r="R92" s="629"/>
      <c r="S92" s="629"/>
      <c r="T92" s="63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4301051788</v>
      </c>
      <c r="D93" s="627">
        <v>4680115884953</v>
      </c>
      <c r="E93" s="62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627">
        <v>4607091385731</v>
      </c>
      <c r="E94" s="62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199</v>
      </c>
      <c r="B95" s="63" t="s">
        <v>200</v>
      </c>
      <c r="C95" s="36">
        <v>4301051438</v>
      </c>
      <c r="D95" s="627">
        <v>4680115880894</v>
      </c>
      <c r="E95" s="62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201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6"/>
      <c r="P96" s="632" t="s">
        <v>40</v>
      </c>
      <c r="Q96" s="633"/>
      <c r="R96" s="633"/>
      <c r="S96" s="633"/>
      <c r="T96" s="633"/>
      <c r="U96" s="633"/>
      <c r="V96" s="63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5" t="s">
        <v>202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5"/>
      <c r="AB98" s="65"/>
      <c r="AC98" s="79"/>
    </row>
    <row r="99" spans="1:68" ht="14.25" customHeight="1" x14ac:dyDescent="0.25">
      <c r="A99" s="626" t="s">
        <v>112</v>
      </c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6"/>
      <c r="AB99" s="66"/>
      <c r="AC99" s="80"/>
    </row>
    <row r="100" spans="1:68" ht="37.5" customHeight="1" x14ac:dyDescent="0.25">
      <c r="A100" s="63" t="s">
        <v>203</v>
      </c>
      <c r="B100" s="63" t="s">
        <v>204</v>
      </c>
      <c r="C100" s="36">
        <v>4301011514</v>
      </c>
      <c r="D100" s="627">
        <v>4680115882133</v>
      </c>
      <c r="E100" s="627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9"/>
      <c r="R100" s="629"/>
      <c r="S100" s="629"/>
      <c r="T100" s="63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206</v>
      </c>
      <c r="B101" s="63" t="s">
        <v>207</v>
      </c>
      <c r="C101" s="36">
        <v>4301012051</v>
      </c>
      <c r="D101" s="627">
        <v>4680115887718</v>
      </c>
      <c r="E101" s="627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186</v>
      </c>
      <c r="L101" s="37" t="s">
        <v>45</v>
      </c>
      <c r="M101" s="38" t="s">
        <v>82</v>
      </c>
      <c r="N101" s="38"/>
      <c r="O101" s="37">
        <v>30</v>
      </c>
      <c r="P101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4301011417</v>
      </c>
      <c r="D102" s="627">
        <v>4680115880269</v>
      </c>
      <c r="E102" s="627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4301011415</v>
      </c>
      <c r="D103" s="627">
        <v>4680115880429</v>
      </c>
      <c r="E103" s="627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213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205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27">
        <v>4680115881457</v>
      </c>
      <c r="E104" s="627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205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6" t="s">
        <v>147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  <c r="M107" s="626"/>
      <c r="N107" s="626"/>
      <c r="O107" s="626"/>
      <c r="P107" s="626"/>
      <c r="Q107" s="626"/>
      <c r="R107" s="626"/>
      <c r="S107" s="626"/>
      <c r="T107" s="626"/>
      <c r="U107" s="626"/>
      <c r="V107" s="626"/>
      <c r="W107" s="626"/>
      <c r="X107" s="626"/>
      <c r="Y107" s="626"/>
      <c r="Z107" s="626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27">
        <v>4680115881488</v>
      </c>
      <c r="E108" s="627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45</v>
      </c>
      <c r="M108" s="38" t="s">
        <v>116</v>
      </c>
      <c r="N108" s="38"/>
      <c r="O108" s="37">
        <v>55</v>
      </c>
      <c r="P108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29"/>
      <c r="R108" s="629"/>
      <c r="S108" s="629"/>
      <c r="T108" s="63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27">
        <v>4680115887664</v>
      </c>
      <c r="E109" s="627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27">
        <v>4680115882775</v>
      </c>
      <c r="E110" s="627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27">
        <v>4680115880658</v>
      </c>
      <c r="E111" s="6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5"/>
      <c r="B112" s="635"/>
      <c r="C112" s="635"/>
      <c r="D112" s="635"/>
      <c r="E112" s="635"/>
      <c r="F112" s="635"/>
      <c r="G112" s="635"/>
      <c r="H112" s="635"/>
      <c r="I112" s="635"/>
      <c r="J112" s="635"/>
      <c r="K112" s="635"/>
      <c r="L112" s="635"/>
      <c r="M112" s="635"/>
      <c r="N112" s="635"/>
      <c r="O112" s="636"/>
      <c r="P112" s="632" t="s">
        <v>40</v>
      </c>
      <c r="Q112" s="633"/>
      <c r="R112" s="633"/>
      <c r="S112" s="633"/>
      <c r="T112" s="633"/>
      <c r="U112" s="633"/>
      <c r="V112" s="63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6" t="s">
        <v>88</v>
      </c>
      <c r="B114" s="626"/>
      <c r="C114" s="626"/>
      <c r="D114" s="626"/>
      <c r="E114" s="626"/>
      <c r="F114" s="626"/>
      <c r="G114" s="626"/>
      <c r="H114" s="626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27">
        <v>4607091385168</v>
      </c>
      <c r="E115" s="627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29"/>
      <c r="R115" s="629"/>
      <c r="S115" s="629"/>
      <c r="T115" s="63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27">
        <v>4607091383256</v>
      </c>
      <c r="E116" s="627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27">
        <v>4607091385748</v>
      </c>
      <c r="E117" s="627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234</v>
      </c>
      <c r="M117" s="38" t="s">
        <v>98</v>
      </c>
      <c r="N117" s="38"/>
      <c r="O117" s="37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627">
        <v>4680115884533</v>
      </c>
      <c r="E118" s="627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6"/>
      <c r="P119" s="632" t="s">
        <v>40</v>
      </c>
      <c r="Q119" s="633"/>
      <c r="R119" s="633"/>
      <c r="S119" s="633"/>
      <c r="T119" s="633"/>
      <c r="U119" s="633"/>
      <c r="V119" s="63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6" t="s">
        <v>172</v>
      </c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627">
        <v>4680115880238</v>
      </c>
      <c r="E122" s="627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29"/>
      <c r="R122" s="629"/>
      <c r="S122" s="629"/>
      <c r="T122" s="630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5"/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6"/>
      <c r="P123" s="632" t="s">
        <v>40</v>
      </c>
      <c r="Q123" s="633"/>
      <c r="R123" s="633"/>
      <c r="S123" s="633"/>
      <c r="T123" s="633"/>
      <c r="U123" s="633"/>
      <c r="V123" s="63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5" t="s">
        <v>241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5"/>
      <c r="AB125" s="65"/>
      <c r="AC125" s="79"/>
    </row>
    <row r="126" spans="1:68" ht="14.25" customHeight="1" x14ac:dyDescent="0.25">
      <c r="A126" s="626" t="s">
        <v>112</v>
      </c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627">
        <v>4680115882577</v>
      </c>
      <c r="E127" s="627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9"/>
      <c r="R127" s="629"/>
      <c r="S127" s="629"/>
      <c r="T127" s="63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6" t="s">
        <v>78</v>
      </c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6"/>
      <c r="P131" s="626"/>
      <c r="Q131" s="626"/>
      <c r="R131" s="626"/>
      <c r="S131" s="626"/>
      <c r="T131" s="626"/>
      <c r="U131" s="626"/>
      <c r="V131" s="626"/>
      <c r="W131" s="626"/>
      <c r="X131" s="626"/>
      <c r="Y131" s="626"/>
      <c r="Z131" s="626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627">
        <v>4680115883444</v>
      </c>
      <c r="E132" s="627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9"/>
      <c r="R132" s="629"/>
      <c r="S132" s="629"/>
      <c r="T132" s="630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6" t="s">
        <v>88</v>
      </c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627">
        <v>4680115882584</v>
      </c>
      <c r="E137" s="627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29"/>
      <c r="R137" s="629"/>
      <c r="S137" s="629"/>
      <c r="T137" s="630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5"/>
      <c r="AB141" s="65"/>
      <c r="AC141" s="79"/>
    </row>
    <row r="142" spans="1:68" ht="14.25" customHeight="1" x14ac:dyDescent="0.25">
      <c r="A142" s="626" t="s">
        <v>112</v>
      </c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627">
        <v>4680115887374</v>
      </c>
      <c r="E143" s="627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29"/>
      <c r="R143" s="629"/>
      <c r="S143" s="629"/>
      <c r="T143" s="630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627">
        <v>4607091384604</v>
      </c>
      <c r="E144" s="627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6"/>
      <c r="P145" s="632" t="s">
        <v>40</v>
      </c>
      <c r="Q145" s="633"/>
      <c r="R145" s="633"/>
      <c r="S145" s="633"/>
      <c r="T145" s="633"/>
      <c r="U145" s="633"/>
      <c r="V145" s="63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6" t="s">
        <v>78</v>
      </c>
      <c r="B147" s="626"/>
      <c r="C147" s="626"/>
      <c r="D147" s="626"/>
      <c r="E147" s="626"/>
      <c r="F147" s="626"/>
      <c r="G147" s="626"/>
      <c r="H147" s="626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27">
        <v>4680115887428</v>
      </c>
      <c r="E148" s="627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694" t="s">
        <v>261</v>
      </c>
      <c r="Q148" s="629"/>
      <c r="R148" s="629"/>
      <c r="S148" s="629"/>
      <c r="T148" s="630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627">
        <v>4680115887336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695" t="s">
        <v>266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627">
        <v>4680115887398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82</v>
      </c>
      <c r="N150" s="38"/>
      <c r="O150" s="37">
        <v>40</v>
      </c>
      <c r="P150" s="696" t="s">
        <v>270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627">
        <v>4607091387667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627">
        <v>4607091387636</v>
      </c>
      <c r="E152" s="627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627">
        <v>4607091382426</v>
      </c>
      <c r="E153" s="627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6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6" t="s">
        <v>88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4" t="s">
        <v>284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customHeight="1" x14ac:dyDescent="0.25">
      <c r="A161" s="625" t="s">
        <v>285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customHeight="1" x14ac:dyDescent="0.25">
      <c r="A162" s="626" t="s">
        <v>147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6" t="s">
        <v>78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213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119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213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303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119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307</v>
      </c>
      <c r="B173" s="63" t="s">
        <v>308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627">
        <v>4680115886537</v>
      </c>
      <c r="E174" s="627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627">
        <v>4680115887596</v>
      </c>
      <c r="E175" s="627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186</v>
      </c>
      <c r="L175" s="37" t="s">
        <v>45</v>
      </c>
      <c r="M175" s="38" t="s">
        <v>82</v>
      </c>
      <c r="N175" s="38"/>
      <c r="O175" s="37">
        <v>45</v>
      </c>
      <c r="P175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627">
        <v>4680115881679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627">
        <v>4680115880191</v>
      </c>
      <c r="E177" s="627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627">
        <v>4680115883963</v>
      </c>
      <c r="E178" s="62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6" t="s">
        <v>104</v>
      </c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  <c r="Z181" s="626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627">
        <v>4680115886780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627">
        <v>4680115886742</v>
      </c>
      <c r="E183" s="627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1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9"/>
      <c r="R183" s="629"/>
      <c r="S183" s="629"/>
      <c r="T183" s="63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627">
        <v>4680115886766</v>
      </c>
      <c r="E184" s="627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9"/>
      <c r="R184" s="629"/>
      <c r="S184" s="629"/>
      <c r="T184" s="630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6" t="s">
        <v>332</v>
      </c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  <c r="Z187" s="626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627">
        <v>4680115886797</v>
      </c>
      <c r="E188" s="627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9"/>
      <c r="R188" s="629"/>
      <c r="S188" s="629"/>
      <c r="T188" s="630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5" t="s">
        <v>335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5"/>
      <c r="AB191" s="65"/>
      <c r="AC191" s="79"/>
    </row>
    <row r="192" spans="1:68" ht="14.25" customHeight="1" x14ac:dyDescent="0.25">
      <c r="A192" s="626" t="s">
        <v>112</v>
      </c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  <c r="Z192" s="62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627">
        <v>4680115881402</v>
      </c>
      <c r="E193" s="627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9"/>
      <c r="R193" s="629"/>
      <c r="S193" s="629"/>
      <c r="T193" s="630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627">
        <v>4680115881396</v>
      </c>
      <c r="E194" s="627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9"/>
      <c r="R194" s="629"/>
      <c r="S194" s="629"/>
      <c r="T194" s="630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36"/>
      <c r="P195" s="632" t="s">
        <v>40</v>
      </c>
      <c r="Q195" s="633"/>
      <c r="R195" s="633"/>
      <c r="S195" s="633"/>
      <c r="T195" s="633"/>
      <c r="U195" s="633"/>
      <c r="V195" s="63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6"/>
      <c r="P196" s="632" t="s">
        <v>40</v>
      </c>
      <c r="Q196" s="633"/>
      <c r="R196" s="633"/>
      <c r="S196" s="633"/>
      <c r="T196" s="633"/>
      <c r="U196" s="633"/>
      <c r="V196" s="63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6" t="s">
        <v>147</v>
      </c>
      <c r="B197" s="626"/>
      <c r="C197" s="626"/>
      <c r="D197" s="626"/>
      <c r="E197" s="626"/>
      <c r="F197" s="626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  <c r="Z197" s="626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627">
        <v>4680115882935</v>
      </c>
      <c r="E198" s="62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9"/>
      <c r="R198" s="629"/>
      <c r="S198" s="629"/>
      <c r="T198" s="630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627">
        <v>4680115880764</v>
      </c>
      <c r="E199" s="627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9"/>
      <c r="R199" s="629"/>
      <c r="S199" s="629"/>
      <c r="T199" s="630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36"/>
      <c r="P200" s="632" t="s">
        <v>40</v>
      </c>
      <c r="Q200" s="633"/>
      <c r="R200" s="633"/>
      <c r="S200" s="633"/>
      <c r="T200" s="633"/>
      <c r="U200" s="633"/>
      <c r="V200" s="63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6"/>
      <c r="P201" s="632" t="s">
        <v>40</v>
      </c>
      <c r="Q201" s="633"/>
      <c r="R201" s="633"/>
      <c r="S201" s="633"/>
      <c r="T201" s="633"/>
      <c r="U201" s="633"/>
      <c r="V201" s="63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6" t="s">
        <v>78</v>
      </c>
      <c r="B202" s="626"/>
      <c r="C202" s="626"/>
      <c r="D202" s="626"/>
      <c r="E202" s="626"/>
      <c r="F202" s="626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  <c r="Z202" s="626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627">
        <v>4680115882683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122</v>
      </c>
      <c r="L203" s="37" t="s">
        <v>213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119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627">
        <v>4680115882690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122</v>
      </c>
      <c r="L204" s="37" t="s">
        <v>213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119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627">
        <v>4680115882669</v>
      </c>
      <c r="E205" s="627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45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45</v>
      </c>
      <c r="AK205" s="84">
        <v>0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627">
        <v>4680115882676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213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627">
        <v>4680115884014</v>
      </c>
      <c r="E207" s="627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627">
        <v>4680115884007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627">
        <v>4680115884038</v>
      </c>
      <c r="E209" s="627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627">
        <v>4680115884021</v>
      </c>
      <c r="E210" s="627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5"/>
      <c r="O212" s="636"/>
      <c r="P212" s="632" t="s">
        <v>40</v>
      </c>
      <c r="Q212" s="633"/>
      <c r="R212" s="633"/>
      <c r="S212" s="633"/>
      <c r="T212" s="633"/>
      <c r="U212" s="633"/>
      <c r="V212" s="63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6" t="s">
        <v>88</v>
      </c>
      <c r="B213" s="626"/>
      <c r="C213" s="626"/>
      <c r="D213" s="626"/>
      <c r="E213" s="626"/>
      <c r="F213" s="626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  <c r="Z213" s="626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627">
        <v>4680115881594</v>
      </c>
      <c r="E214" s="627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627">
        <v>4680115881617</v>
      </c>
      <c r="E215" s="627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627">
        <v>4680115880573</v>
      </c>
      <c r="E216" s="627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45</v>
      </c>
      <c r="P216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627">
        <v>4680115882195</v>
      </c>
      <c r="E217" s="627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234</v>
      </c>
      <c r="M217" s="38" t="s">
        <v>92</v>
      </c>
      <c r="N217" s="38"/>
      <c r="O217" s="37">
        <v>40</v>
      </c>
      <c r="P217" s="7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119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627">
        <v>4680115882607</v>
      </c>
      <c r="E218" s="627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627">
        <v>4680115880092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234</v>
      </c>
      <c r="M219" s="38" t="s">
        <v>92</v>
      </c>
      <c r="N219" s="38"/>
      <c r="O219" s="37">
        <v>45</v>
      </c>
      <c r="P219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627">
        <v>4680115880221</v>
      </c>
      <c r="E220" s="62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234</v>
      </c>
      <c r="M220" s="38" t="s">
        <v>92</v>
      </c>
      <c r="N220" s="38"/>
      <c r="O220" s="37">
        <v>45</v>
      </c>
      <c r="P220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119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627">
        <v>4680115880504</v>
      </c>
      <c r="E221" s="627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234</v>
      </c>
      <c r="M221" s="38" t="s">
        <v>98</v>
      </c>
      <c r="N221" s="38"/>
      <c r="O221" s="37">
        <v>40</v>
      </c>
      <c r="P221" s="7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627">
        <v>4680115882164</v>
      </c>
      <c r="E222" s="627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234</v>
      </c>
      <c r="M222" s="38" t="s">
        <v>92</v>
      </c>
      <c r="N222" s="38"/>
      <c r="O222" s="37">
        <v>40</v>
      </c>
      <c r="P222" s="7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5"/>
      <c r="M223" s="635"/>
      <c r="N223" s="635"/>
      <c r="O223" s="636"/>
      <c r="P223" s="632" t="s">
        <v>40</v>
      </c>
      <c r="Q223" s="633"/>
      <c r="R223" s="633"/>
      <c r="S223" s="633"/>
      <c r="T223" s="633"/>
      <c r="U223" s="633"/>
      <c r="V223" s="63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5"/>
      <c r="M224" s="635"/>
      <c r="N224" s="635"/>
      <c r="O224" s="636"/>
      <c r="P224" s="632" t="s">
        <v>40</v>
      </c>
      <c r="Q224" s="633"/>
      <c r="R224" s="633"/>
      <c r="S224" s="633"/>
      <c r="T224" s="633"/>
      <c r="U224" s="633"/>
      <c r="V224" s="63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6" t="s">
        <v>172</v>
      </c>
      <c r="B225" s="626"/>
      <c r="C225" s="626"/>
      <c r="D225" s="626"/>
      <c r="E225" s="626"/>
      <c r="F225" s="626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  <c r="Z225" s="626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627">
        <v>4680115880818</v>
      </c>
      <c r="E226" s="627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9"/>
      <c r="R226" s="629"/>
      <c r="S226" s="629"/>
      <c r="T226" s="630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627">
        <v>4680115880801</v>
      </c>
      <c r="E227" s="627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9"/>
      <c r="R227" s="629"/>
      <c r="S227" s="629"/>
      <c r="T227" s="630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5"/>
      <c r="M229" s="635"/>
      <c r="N229" s="635"/>
      <c r="O229" s="636"/>
      <c r="P229" s="632" t="s">
        <v>40</v>
      </c>
      <c r="Q229" s="633"/>
      <c r="R229" s="633"/>
      <c r="S229" s="633"/>
      <c r="T229" s="633"/>
      <c r="U229" s="633"/>
      <c r="V229" s="63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5" t="s">
        <v>394</v>
      </c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5"/>
      <c r="P230" s="625"/>
      <c r="Q230" s="625"/>
      <c r="R230" s="625"/>
      <c r="S230" s="625"/>
      <c r="T230" s="625"/>
      <c r="U230" s="625"/>
      <c r="V230" s="625"/>
      <c r="W230" s="625"/>
      <c r="X230" s="625"/>
      <c r="Y230" s="625"/>
      <c r="Z230" s="625"/>
      <c r="AA230" s="65"/>
      <c r="AB230" s="65"/>
      <c r="AC230" s="79"/>
    </row>
    <row r="231" spans="1:68" ht="14.25" customHeight="1" x14ac:dyDescent="0.25">
      <c r="A231" s="626" t="s">
        <v>112</v>
      </c>
      <c r="B231" s="626"/>
      <c r="C231" s="626"/>
      <c r="D231" s="626"/>
      <c r="E231" s="626"/>
      <c r="F231" s="626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  <c r="Z231" s="626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627">
        <v>4680115884137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627">
        <v>4680115884236</v>
      </c>
      <c r="E233" s="627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627">
        <v>4680115884175</v>
      </c>
      <c r="E234" s="627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4301011824</v>
      </c>
      <c r="D235" s="627">
        <v>4680115884144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122</v>
      </c>
      <c r="L235" s="37" t="s">
        <v>45</v>
      </c>
      <c r="M235" s="38" t="s">
        <v>116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4301012196</v>
      </c>
      <c r="D236" s="627">
        <v>4680115884144</v>
      </c>
      <c r="E236" s="627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122</v>
      </c>
      <c r="L236" s="37" t="s">
        <v>45</v>
      </c>
      <c r="M236" s="38" t="s">
        <v>116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627">
        <v>4680115886551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627">
        <v>4680115887282</v>
      </c>
      <c r="E238" s="627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4301011722</v>
      </c>
      <c r="D239" s="627">
        <v>4680115884205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4301012195</v>
      </c>
      <c r="D240" s="627">
        <v>4680115884205</v>
      </c>
      <c r="E240" s="627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122</v>
      </c>
      <c r="L240" s="37" t="s">
        <v>45</v>
      </c>
      <c r="M240" s="38" t="s">
        <v>116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6" t="s">
        <v>147</v>
      </c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  <c r="Z243" s="626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627">
        <v>4680115885981</v>
      </c>
      <c r="E244" s="627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9"/>
      <c r="R244" s="629"/>
      <c r="S244" s="629"/>
      <c r="T244" s="630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6" t="s">
        <v>418</v>
      </c>
      <c r="B247" s="626"/>
      <c r="C247" s="626"/>
      <c r="D247" s="626"/>
      <c r="E247" s="626"/>
      <c r="F247" s="626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  <c r="Z247" s="626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627">
        <v>4680115886803</v>
      </c>
      <c r="E248" s="627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9"/>
      <c r="R248" s="629"/>
      <c r="S248" s="629"/>
      <c r="T248" s="63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5"/>
      <c r="M249" s="635"/>
      <c r="N249" s="635"/>
      <c r="O249" s="636"/>
      <c r="P249" s="632" t="s">
        <v>40</v>
      </c>
      <c r="Q249" s="633"/>
      <c r="R249" s="633"/>
      <c r="S249" s="633"/>
      <c r="T249" s="633"/>
      <c r="U249" s="633"/>
      <c r="V249" s="63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6" t="s">
        <v>422</v>
      </c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  <c r="Z251" s="626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627">
        <v>4680115886704</v>
      </c>
      <c r="E252" s="627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627">
        <v>4680115886681</v>
      </c>
      <c r="E253" s="627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627">
        <v>4680115886735</v>
      </c>
      <c r="E254" s="627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627">
        <v>4680115886728</v>
      </c>
      <c r="E255" s="627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627">
        <v>4680115886711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5" t="s">
        <v>434</v>
      </c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5"/>
      <c r="P259" s="625"/>
      <c r="Q259" s="625"/>
      <c r="R259" s="625"/>
      <c r="S259" s="625"/>
      <c r="T259" s="625"/>
      <c r="U259" s="625"/>
      <c r="V259" s="625"/>
      <c r="W259" s="625"/>
      <c r="X259" s="625"/>
      <c r="Y259" s="625"/>
      <c r="Z259" s="625"/>
      <c r="AA259" s="65"/>
      <c r="AB259" s="65"/>
      <c r="AC259" s="79"/>
    </row>
    <row r="260" spans="1:68" ht="14.25" customHeight="1" x14ac:dyDescent="0.25">
      <c r="A260" s="626" t="s">
        <v>112</v>
      </c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  <c r="Z260" s="626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627">
        <v>4680115885837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627">
        <v>4680115885851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627">
        <v>4680115885806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627">
        <v>4680115885844</v>
      </c>
      <c r="E264" s="627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122</v>
      </c>
      <c r="L264" s="37" t="s">
        <v>45</v>
      </c>
      <c r="M264" s="38" t="s">
        <v>116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627">
        <v>4680115885820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116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36"/>
      <c r="P266" s="632" t="s">
        <v>40</v>
      </c>
      <c r="Q266" s="633"/>
      <c r="R266" s="633"/>
      <c r="S266" s="633"/>
      <c r="T266" s="633"/>
      <c r="U266" s="633"/>
      <c r="V266" s="63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5" t="s">
        <v>450</v>
      </c>
      <c r="B268" s="625"/>
      <c r="C268" s="625"/>
      <c r="D268" s="625"/>
      <c r="E268" s="625"/>
      <c r="F268" s="625"/>
      <c r="G268" s="625"/>
      <c r="H268" s="625"/>
      <c r="I268" s="625"/>
      <c r="J268" s="625"/>
      <c r="K268" s="625"/>
      <c r="L268" s="625"/>
      <c r="M268" s="625"/>
      <c r="N268" s="625"/>
      <c r="O268" s="625"/>
      <c r="P268" s="625"/>
      <c r="Q268" s="625"/>
      <c r="R268" s="625"/>
      <c r="S268" s="625"/>
      <c r="T268" s="625"/>
      <c r="U268" s="625"/>
      <c r="V268" s="625"/>
      <c r="W268" s="625"/>
      <c r="X268" s="625"/>
      <c r="Y268" s="625"/>
      <c r="Z268" s="625"/>
      <c r="AA268" s="65"/>
      <c r="AB268" s="65"/>
      <c r="AC268" s="79"/>
    </row>
    <row r="269" spans="1:68" ht="14.25" customHeight="1" x14ac:dyDescent="0.25">
      <c r="A269" s="626" t="s">
        <v>112</v>
      </c>
      <c r="B269" s="626"/>
      <c r="C269" s="626"/>
      <c r="D269" s="626"/>
      <c r="E269" s="626"/>
      <c r="F269" s="626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  <c r="Z269" s="626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627">
        <v>4607091383423</v>
      </c>
      <c r="E270" s="627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627">
        <v>4680115886957</v>
      </c>
      <c r="E271" s="627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627">
        <v>4680115885660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627">
        <v>4680115886773</v>
      </c>
      <c r="E273" s="627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5"/>
      <c r="M274" s="635"/>
      <c r="N274" s="635"/>
      <c r="O274" s="636"/>
      <c r="P274" s="632" t="s">
        <v>40</v>
      </c>
      <c r="Q274" s="633"/>
      <c r="R274" s="633"/>
      <c r="S274" s="633"/>
      <c r="T274" s="633"/>
      <c r="U274" s="633"/>
      <c r="V274" s="63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5" t="s">
        <v>461</v>
      </c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5"/>
      <c r="P276" s="625"/>
      <c r="Q276" s="625"/>
      <c r="R276" s="625"/>
      <c r="S276" s="625"/>
      <c r="T276" s="625"/>
      <c r="U276" s="625"/>
      <c r="V276" s="625"/>
      <c r="W276" s="625"/>
      <c r="X276" s="625"/>
      <c r="Y276" s="625"/>
      <c r="Z276" s="625"/>
      <c r="AA276" s="65"/>
      <c r="AB276" s="65"/>
      <c r="AC276" s="79"/>
    </row>
    <row r="277" spans="1:68" ht="14.25" customHeight="1" x14ac:dyDescent="0.25">
      <c r="A277" s="626" t="s">
        <v>88</v>
      </c>
      <c r="B277" s="626"/>
      <c r="C277" s="626"/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627">
        <v>4680115886186</v>
      </c>
      <c r="E278" s="627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627">
        <v>4680115881228</v>
      </c>
      <c r="E279" s="62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234</v>
      </c>
      <c r="M279" s="38" t="s">
        <v>98</v>
      </c>
      <c r="N279" s="38"/>
      <c r="O279" s="37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119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627">
        <v>4680115881211</v>
      </c>
      <c r="E280" s="62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234</v>
      </c>
      <c r="M280" s="38" t="s">
        <v>92</v>
      </c>
      <c r="N280" s="38"/>
      <c r="O280" s="37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119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5"/>
      <c r="M281" s="635"/>
      <c r="N281" s="635"/>
      <c r="O281" s="636"/>
      <c r="P281" s="632" t="s">
        <v>40</v>
      </c>
      <c r="Q281" s="633"/>
      <c r="R281" s="633"/>
      <c r="S281" s="633"/>
      <c r="T281" s="633"/>
      <c r="U281" s="633"/>
      <c r="V281" s="63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5" t="s">
        <v>470</v>
      </c>
      <c r="B283" s="625"/>
      <c r="C283" s="625"/>
      <c r="D283" s="625"/>
      <c r="E283" s="625"/>
      <c r="F283" s="625"/>
      <c r="G283" s="625"/>
      <c r="H283" s="625"/>
      <c r="I283" s="625"/>
      <c r="J283" s="625"/>
      <c r="K283" s="625"/>
      <c r="L283" s="625"/>
      <c r="M283" s="625"/>
      <c r="N283" s="625"/>
      <c r="O283" s="625"/>
      <c r="P283" s="625"/>
      <c r="Q283" s="625"/>
      <c r="R283" s="625"/>
      <c r="S283" s="625"/>
      <c r="T283" s="625"/>
      <c r="U283" s="625"/>
      <c r="V283" s="625"/>
      <c r="W283" s="625"/>
      <c r="X283" s="625"/>
      <c r="Y283" s="625"/>
      <c r="Z283" s="625"/>
      <c r="AA283" s="65"/>
      <c r="AB283" s="65"/>
      <c r="AC283" s="79"/>
    </row>
    <row r="284" spans="1:68" ht="14.25" customHeight="1" x14ac:dyDescent="0.25">
      <c r="A284" s="626" t="s">
        <v>78</v>
      </c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  <c r="Z284" s="626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627">
        <v>4680115880344</v>
      </c>
      <c r="E285" s="627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9"/>
      <c r="R285" s="629"/>
      <c r="S285" s="629"/>
      <c r="T285" s="630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627">
        <v>4680115886919</v>
      </c>
      <c r="E286" s="627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6" t="s">
        <v>88</v>
      </c>
      <c r="B289" s="626"/>
      <c r="C289" s="626"/>
      <c r="D289" s="626"/>
      <c r="E289" s="626"/>
      <c r="F289" s="626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  <c r="Z289" s="626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627">
        <v>4680115884618</v>
      </c>
      <c r="E290" s="627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122</v>
      </c>
      <c r="L290" s="37" t="s">
        <v>45</v>
      </c>
      <c r="M290" s="38" t="s">
        <v>92</v>
      </c>
      <c r="N290" s="38"/>
      <c r="O290" s="37">
        <v>45</v>
      </c>
      <c r="P290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9"/>
      <c r="R290" s="629"/>
      <c r="S290" s="629"/>
      <c r="T290" s="630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627">
        <v>4680115887114</v>
      </c>
      <c r="E291" s="627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122</v>
      </c>
      <c r="L291" s="37" t="s">
        <v>45</v>
      </c>
      <c r="M291" s="38" t="s">
        <v>92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36"/>
      <c r="P292" s="632" t="s">
        <v>40</v>
      </c>
      <c r="Q292" s="633"/>
      <c r="R292" s="633"/>
      <c r="S292" s="633"/>
      <c r="T292" s="633"/>
      <c r="U292" s="633"/>
      <c r="V292" s="63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5" t="s">
        <v>483</v>
      </c>
      <c r="B294" s="625"/>
      <c r="C294" s="625"/>
      <c r="D294" s="625"/>
      <c r="E294" s="625"/>
      <c r="F294" s="625"/>
      <c r="G294" s="625"/>
      <c r="H294" s="625"/>
      <c r="I294" s="625"/>
      <c r="J294" s="625"/>
      <c r="K294" s="625"/>
      <c r="L294" s="625"/>
      <c r="M294" s="625"/>
      <c r="N294" s="625"/>
      <c r="O294" s="625"/>
      <c r="P294" s="625"/>
      <c r="Q294" s="625"/>
      <c r="R294" s="625"/>
      <c r="S294" s="625"/>
      <c r="T294" s="625"/>
      <c r="U294" s="625"/>
      <c r="V294" s="625"/>
      <c r="W294" s="625"/>
      <c r="X294" s="625"/>
      <c r="Y294" s="625"/>
      <c r="Z294" s="625"/>
      <c r="AA294" s="65"/>
      <c r="AB294" s="65"/>
      <c r="AC294" s="79"/>
    </row>
    <row r="295" spans="1:68" ht="14.25" customHeight="1" x14ac:dyDescent="0.25">
      <c r="A295" s="626" t="s">
        <v>112</v>
      </c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  <c r="Z295" s="626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4301012024</v>
      </c>
      <c r="D296" s="627">
        <v>4680115885615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487</v>
      </c>
      <c r="B297" s="63" t="s">
        <v>488</v>
      </c>
      <c r="C297" s="36">
        <v>4301011858</v>
      </c>
      <c r="D297" s="627">
        <v>4680115885646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490</v>
      </c>
      <c r="B298" s="63" t="s">
        <v>491</v>
      </c>
      <c r="C298" s="36">
        <v>4301012016</v>
      </c>
      <c r="D298" s="627">
        <v>4680115885554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4301011857</v>
      </c>
      <c r="D299" s="627">
        <v>4680115885622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122</v>
      </c>
      <c r="L299" s="37" t="s">
        <v>45</v>
      </c>
      <c r="M299" s="38" t="s">
        <v>116</v>
      </c>
      <c r="N299" s="38"/>
      <c r="O299" s="37">
        <v>55</v>
      </c>
      <c r="P299" s="77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486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4301011859</v>
      </c>
      <c r="D300" s="627">
        <v>4680115885608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116</v>
      </c>
      <c r="N300" s="38"/>
      <c r="O300" s="37">
        <v>55</v>
      </c>
      <c r="P300" s="7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6" t="s">
        <v>78</v>
      </c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  <c r="Z303" s="626"/>
      <c r="AA303" s="66"/>
      <c r="AB303" s="66"/>
      <c r="AC303" s="80"/>
    </row>
    <row r="304" spans="1:68" ht="27" customHeight="1" x14ac:dyDescent="0.25">
      <c r="A304" s="63" t="s">
        <v>498</v>
      </c>
      <c r="B304" s="63" t="s">
        <v>499</v>
      </c>
      <c r="C304" s="36">
        <v>4301030878</v>
      </c>
      <c r="D304" s="627">
        <v>4607091387193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122</v>
      </c>
      <c r="L304" s="37" t="s">
        <v>45</v>
      </c>
      <c r="M304" s="38" t="s">
        <v>82</v>
      </c>
      <c r="N304" s="38"/>
      <c r="O304" s="37">
        <v>35</v>
      </c>
      <c r="P304" s="7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500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501</v>
      </c>
      <c r="B305" s="63" t="s">
        <v>502</v>
      </c>
      <c r="C305" s="36">
        <v>4301031153</v>
      </c>
      <c r="D305" s="627">
        <v>4607091387230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82</v>
      </c>
      <c r="N305" s="38"/>
      <c r="O305" s="37">
        <v>40</v>
      </c>
      <c r="P305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4301031154</v>
      </c>
      <c r="D306" s="627">
        <v>4607091387292</v>
      </c>
      <c r="E306" s="627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45</v>
      </c>
      <c r="P306" s="7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4301031152</v>
      </c>
      <c r="D307" s="627">
        <v>4607091387285</v>
      </c>
      <c r="E307" s="627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503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4301031305</v>
      </c>
      <c r="D308" s="627">
        <v>4607091389845</v>
      </c>
      <c r="E308" s="627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4301031066</v>
      </c>
      <c r="D309" s="627">
        <v>4607091383836</v>
      </c>
      <c r="E309" s="627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5"/>
      <c r="M311" s="635"/>
      <c r="N311" s="635"/>
      <c r="O311" s="636"/>
      <c r="P311" s="632" t="s">
        <v>40</v>
      </c>
      <c r="Q311" s="633"/>
      <c r="R311" s="633"/>
      <c r="S311" s="633"/>
      <c r="T311" s="633"/>
      <c r="U311" s="633"/>
      <c r="V311" s="634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6" t="s">
        <v>88</v>
      </c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6"/>
      <c r="P312" s="626"/>
      <c r="Q312" s="626"/>
      <c r="R312" s="626"/>
      <c r="S312" s="626"/>
      <c r="T312" s="626"/>
      <c r="U312" s="626"/>
      <c r="V312" s="626"/>
      <c r="W312" s="626"/>
      <c r="X312" s="626"/>
      <c r="Y312" s="626"/>
      <c r="Z312" s="626"/>
      <c r="AA312" s="66"/>
      <c r="AB312" s="66"/>
      <c r="AC312" s="80"/>
    </row>
    <row r="313" spans="1:68" ht="27" customHeight="1" x14ac:dyDescent="0.25">
      <c r="A313" s="63" t="s">
        <v>515</v>
      </c>
      <c r="B313" s="63" t="s">
        <v>516</v>
      </c>
      <c r="C313" s="36">
        <v>4301051100</v>
      </c>
      <c r="D313" s="627">
        <v>4607091387766</v>
      </c>
      <c r="E313" s="627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517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518</v>
      </c>
      <c r="B314" s="63" t="s">
        <v>519</v>
      </c>
      <c r="C314" s="36">
        <v>4301051818</v>
      </c>
      <c r="D314" s="627">
        <v>4607091387957</v>
      </c>
      <c r="E314" s="627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4301051819</v>
      </c>
      <c r="D315" s="627">
        <v>4607091387964</v>
      </c>
      <c r="E315" s="627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4301051734</v>
      </c>
      <c r="D316" s="627">
        <v>4680115884588</v>
      </c>
      <c r="E316" s="627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6"/>
      <c r="P318" s="632" t="s">
        <v>40</v>
      </c>
      <c r="Q318" s="633"/>
      <c r="R318" s="633"/>
      <c r="S318" s="633"/>
      <c r="T318" s="633"/>
      <c r="U318" s="633"/>
      <c r="V318" s="634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6" t="s">
        <v>172</v>
      </c>
      <c r="B319" s="626"/>
      <c r="C319" s="626"/>
      <c r="D319" s="626"/>
      <c r="E319" s="626"/>
      <c r="F319" s="626"/>
      <c r="G319" s="626"/>
      <c r="H319" s="626"/>
      <c r="I319" s="626"/>
      <c r="J319" s="626"/>
      <c r="K319" s="626"/>
      <c r="L319" s="626"/>
      <c r="M319" s="626"/>
      <c r="N319" s="626"/>
      <c r="O319" s="626"/>
      <c r="P319" s="626"/>
      <c r="Q319" s="626"/>
      <c r="R319" s="626"/>
      <c r="S319" s="626"/>
      <c r="T319" s="626"/>
      <c r="U319" s="626"/>
      <c r="V319" s="626"/>
      <c r="W319" s="626"/>
      <c r="X319" s="626"/>
      <c r="Y319" s="626"/>
      <c r="Z319" s="626"/>
      <c r="AA319" s="66"/>
      <c r="AB319" s="66"/>
      <c r="AC319" s="80"/>
    </row>
    <row r="320" spans="1:68" ht="27" customHeight="1" x14ac:dyDescent="0.25">
      <c r="A320" s="63" t="s">
        <v>527</v>
      </c>
      <c r="B320" s="63" t="s">
        <v>528</v>
      </c>
      <c r="C320" s="36">
        <v>4301060387</v>
      </c>
      <c r="D320" s="627">
        <v>4607091380880</v>
      </c>
      <c r="E320" s="627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45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529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530</v>
      </c>
      <c r="B321" s="63" t="s">
        <v>531</v>
      </c>
      <c r="C321" s="36">
        <v>4301060406</v>
      </c>
      <c r="D321" s="627">
        <v>4607091384482</v>
      </c>
      <c r="E321" s="627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119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533</v>
      </c>
      <c r="B322" s="63" t="s">
        <v>534</v>
      </c>
      <c r="C322" s="36">
        <v>4301060484</v>
      </c>
      <c r="D322" s="627">
        <v>4607091380897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98</v>
      </c>
      <c r="N322" s="38"/>
      <c r="O322" s="37">
        <v>30</v>
      </c>
      <c r="P322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6"/>
      <c r="P324" s="632" t="s">
        <v>40</v>
      </c>
      <c r="Q324" s="633"/>
      <c r="R324" s="633"/>
      <c r="S324" s="633"/>
      <c r="T324" s="633"/>
      <c r="U324" s="633"/>
      <c r="V324" s="634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6" t="s">
        <v>104</v>
      </c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26"/>
      <c r="Y325" s="626"/>
      <c r="Z325" s="626"/>
      <c r="AA325" s="66"/>
      <c r="AB325" s="66"/>
      <c r="AC325" s="80"/>
    </row>
    <row r="326" spans="1:68" ht="27" customHeight="1" x14ac:dyDescent="0.25">
      <c r="A326" s="63" t="s">
        <v>536</v>
      </c>
      <c r="B326" s="63" t="s">
        <v>537</v>
      </c>
      <c r="C326" s="36">
        <v>4301030235</v>
      </c>
      <c r="D326" s="627">
        <v>4607091388381</v>
      </c>
      <c r="E326" s="627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122</v>
      </c>
      <c r="L326" s="37" t="s">
        <v>45</v>
      </c>
      <c r="M326" s="38" t="s">
        <v>109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539</v>
      </c>
      <c r="B327" s="63" t="s">
        <v>540</v>
      </c>
      <c r="C327" s="36">
        <v>4301030232</v>
      </c>
      <c r="D327" s="627">
        <v>4607091388374</v>
      </c>
      <c r="E327" s="627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122</v>
      </c>
      <c r="L327" s="37" t="s">
        <v>45</v>
      </c>
      <c r="M327" s="38" t="s">
        <v>109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541</v>
      </c>
      <c r="B328" s="63" t="s">
        <v>542</v>
      </c>
      <c r="C328" s="36">
        <v>4301032015</v>
      </c>
      <c r="D328" s="627">
        <v>4607091383102</v>
      </c>
      <c r="E328" s="627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109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4301030233</v>
      </c>
      <c r="D329" s="627">
        <v>4607091388404</v>
      </c>
      <c r="E329" s="627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45</v>
      </c>
      <c r="M329" s="38" t="s">
        <v>109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36"/>
      <c r="P331" s="632" t="s">
        <v>40</v>
      </c>
      <c r="Q331" s="633"/>
      <c r="R331" s="633"/>
      <c r="S331" s="633"/>
      <c r="T331" s="633"/>
      <c r="U331" s="633"/>
      <c r="V331" s="634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6" t="s">
        <v>546</v>
      </c>
      <c r="B332" s="626"/>
      <c r="C332" s="626"/>
      <c r="D332" s="626"/>
      <c r="E332" s="626"/>
      <c r="F332" s="626"/>
      <c r="G332" s="626"/>
      <c r="H332" s="626"/>
      <c r="I332" s="626"/>
      <c r="J332" s="626"/>
      <c r="K332" s="626"/>
      <c r="L332" s="626"/>
      <c r="M332" s="626"/>
      <c r="N332" s="626"/>
      <c r="O332" s="626"/>
      <c r="P332" s="626"/>
      <c r="Q332" s="626"/>
      <c r="R332" s="626"/>
      <c r="S332" s="626"/>
      <c r="T332" s="626"/>
      <c r="U332" s="626"/>
      <c r="V332" s="626"/>
      <c r="W332" s="626"/>
      <c r="X332" s="626"/>
      <c r="Y332" s="626"/>
      <c r="Z332" s="626"/>
      <c r="AA332" s="66"/>
      <c r="AB332" s="66"/>
      <c r="AC332" s="80"/>
    </row>
    <row r="333" spans="1:68" ht="16.5" customHeight="1" x14ac:dyDescent="0.25">
      <c r="A333" s="63" t="s">
        <v>547</v>
      </c>
      <c r="B333" s="63" t="s">
        <v>548</v>
      </c>
      <c r="C333" s="36">
        <v>4301180007</v>
      </c>
      <c r="D333" s="627">
        <v>4680115881808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550</v>
      </c>
      <c r="N333" s="38"/>
      <c r="O333" s="37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551</v>
      </c>
      <c r="B334" s="63" t="s">
        <v>552</v>
      </c>
      <c r="C334" s="36">
        <v>4301180006</v>
      </c>
      <c r="D334" s="627">
        <v>4680115881822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550</v>
      </c>
      <c r="N334" s="38"/>
      <c r="O334" s="37">
        <v>730</v>
      </c>
      <c r="P334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553</v>
      </c>
      <c r="B335" s="63" t="s">
        <v>554</v>
      </c>
      <c r="C335" s="36">
        <v>4301180001</v>
      </c>
      <c r="D335" s="627">
        <v>4680115880016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5" t="s">
        <v>555</v>
      </c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625"/>
      <c r="Y338" s="625"/>
      <c r="Z338" s="625"/>
      <c r="AA338" s="65"/>
      <c r="AB338" s="65"/>
      <c r="AC338" s="79"/>
    </row>
    <row r="339" spans="1:68" ht="14.25" customHeight="1" x14ac:dyDescent="0.25">
      <c r="A339" s="626" t="s">
        <v>88</v>
      </c>
      <c r="B339" s="626"/>
      <c r="C339" s="626"/>
      <c r="D339" s="626"/>
      <c r="E339" s="626"/>
      <c r="F339" s="626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  <c r="Z339" s="626"/>
      <c r="AA339" s="66"/>
      <c r="AB339" s="66"/>
      <c r="AC339" s="80"/>
    </row>
    <row r="340" spans="1:68" ht="27" customHeight="1" x14ac:dyDescent="0.25">
      <c r="A340" s="63" t="s">
        <v>556</v>
      </c>
      <c r="B340" s="63" t="s">
        <v>557</v>
      </c>
      <c r="C340" s="36">
        <v>4301051489</v>
      </c>
      <c r="D340" s="627">
        <v>4607091387919</v>
      </c>
      <c r="E340" s="627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98</v>
      </c>
      <c r="N340" s="38"/>
      <c r="O340" s="37">
        <v>45</v>
      </c>
      <c r="P340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558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559</v>
      </c>
      <c r="B341" s="63" t="s">
        <v>560</v>
      </c>
      <c r="C341" s="36">
        <v>4301051461</v>
      </c>
      <c r="D341" s="627">
        <v>4680115883604</v>
      </c>
      <c r="E341" s="627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45</v>
      </c>
      <c r="M341" s="38" t="s">
        <v>92</v>
      </c>
      <c r="N341" s="38"/>
      <c r="O341" s="37">
        <v>45</v>
      </c>
      <c r="P341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4301051864</v>
      </c>
      <c r="D342" s="627">
        <v>4680115883567</v>
      </c>
      <c r="E342" s="627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45</v>
      </c>
      <c r="M342" s="38" t="s">
        <v>98</v>
      </c>
      <c r="N342" s="38"/>
      <c r="O342" s="37">
        <v>40</v>
      </c>
      <c r="P342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5"/>
      <c r="M344" s="635"/>
      <c r="N344" s="635"/>
      <c r="O344" s="636"/>
      <c r="P344" s="632" t="s">
        <v>40</v>
      </c>
      <c r="Q344" s="633"/>
      <c r="R344" s="633"/>
      <c r="S344" s="633"/>
      <c r="T344" s="633"/>
      <c r="U344" s="633"/>
      <c r="V344" s="634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4" t="s">
        <v>565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54"/>
      <c r="AB345" s="54"/>
      <c r="AC345" s="54"/>
    </row>
    <row r="346" spans="1:68" ht="16.5" customHeight="1" x14ac:dyDescent="0.25">
      <c r="A346" s="625" t="s">
        <v>566</v>
      </c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5"/>
      <c r="P346" s="625"/>
      <c r="Q346" s="625"/>
      <c r="R346" s="625"/>
      <c r="S346" s="625"/>
      <c r="T346" s="625"/>
      <c r="U346" s="625"/>
      <c r="V346" s="625"/>
      <c r="W346" s="625"/>
      <c r="X346" s="625"/>
      <c r="Y346" s="625"/>
      <c r="Z346" s="625"/>
      <c r="AA346" s="65"/>
      <c r="AB346" s="65"/>
      <c r="AC346" s="79"/>
    </row>
    <row r="347" spans="1:68" ht="14.25" customHeight="1" x14ac:dyDescent="0.25">
      <c r="A347" s="626" t="s">
        <v>112</v>
      </c>
      <c r="B347" s="626"/>
      <c r="C347" s="626"/>
      <c r="D347" s="626"/>
      <c r="E347" s="626"/>
      <c r="F347" s="626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  <c r="Z347" s="626"/>
      <c r="AA347" s="66"/>
      <c r="AB347" s="66"/>
      <c r="AC347" s="80"/>
    </row>
    <row r="348" spans="1:68" ht="37.5" customHeight="1" x14ac:dyDescent="0.25">
      <c r="A348" s="63" t="s">
        <v>567</v>
      </c>
      <c r="B348" s="63" t="s">
        <v>568</v>
      </c>
      <c r="C348" s="36">
        <v>4301011869</v>
      </c>
      <c r="D348" s="627">
        <v>4680115884847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118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569</v>
      </c>
      <c r="AG348" s="78"/>
      <c r="AJ348" s="84" t="s">
        <v>119</v>
      </c>
      <c r="AK348" s="84">
        <v>120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570</v>
      </c>
      <c r="B349" s="63" t="s">
        <v>571</v>
      </c>
      <c r="C349" s="36">
        <v>4301011870</v>
      </c>
      <c r="D349" s="627">
        <v>4680115884854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118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119</v>
      </c>
      <c r="AK349" s="84">
        <v>120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27" customHeight="1" x14ac:dyDescent="0.25">
      <c r="A350" s="63" t="s">
        <v>573</v>
      </c>
      <c r="B350" s="63" t="s">
        <v>574</v>
      </c>
      <c r="C350" s="36">
        <v>4301012215</v>
      </c>
      <c r="D350" s="627">
        <v>4680115887046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98</v>
      </c>
      <c r="N350" s="38"/>
      <c r="O350" s="37">
        <v>60</v>
      </c>
      <c r="P350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576</v>
      </c>
      <c r="B351" s="63" t="s">
        <v>577</v>
      </c>
      <c r="C351" s="36">
        <v>4301011867</v>
      </c>
      <c r="D351" s="627">
        <v>4680115884830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119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579</v>
      </c>
      <c r="B352" s="63" t="s">
        <v>580</v>
      </c>
      <c r="C352" s="36">
        <v>4301011433</v>
      </c>
      <c r="D352" s="627">
        <v>4680115882638</v>
      </c>
      <c r="E352" s="62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122</v>
      </c>
      <c r="L352" s="37" t="s">
        <v>45</v>
      </c>
      <c r="M352" s="38" t="s">
        <v>116</v>
      </c>
      <c r="N352" s="38"/>
      <c r="O352" s="37">
        <v>90</v>
      </c>
      <c r="P352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4301011952</v>
      </c>
      <c r="D353" s="627">
        <v>4680115884922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122</v>
      </c>
      <c r="L353" s="37" t="s">
        <v>45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572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584</v>
      </c>
      <c r="B354" s="63" t="s">
        <v>585</v>
      </c>
      <c r="C354" s="36">
        <v>4301011868</v>
      </c>
      <c r="D354" s="627">
        <v>4680115884861</v>
      </c>
      <c r="E354" s="627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122</v>
      </c>
      <c r="L354" s="37" t="s">
        <v>45</v>
      </c>
      <c r="M354" s="38" t="s">
        <v>82</v>
      </c>
      <c r="N354" s="38"/>
      <c r="O354" s="37">
        <v>60</v>
      </c>
      <c r="P354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578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5"/>
      <c r="M356" s="635"/>
      <c r="N356" s="635"/>
      <c r="O356" s="636"/>
      <c r="P356" s="632" t="s">
        <v>40</v>
      </c>
      <c r="Q356" s="633"/>
      <c r="R356" s="633"/>
      <c r="S356" s="633"/>
      <c r="T356" s="633"/>
      <c r="U356" s="633"/>
      <c r="V356" s="634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6" t="s">
        <v>147</v>
      </c>
      <c r="B357" s="626"/>
      <c r="C357" s="626"/>
      <c r="D357" s="626"/>
      <c r="E357" s="626"/>
      <c r="F357" s="626"/>
      <c r="G357" s="626"/>
      <c r="H357" s="626"/>
      <c r="I357" s="626"/>
      <c r="J357" s="626"/>
      <c r="K357" s="626"/>
      <c r="L357" s="626"/>
      <c r="M357" s="626"/>
      <c r="N357" s="626"/>
      <c r="O357" s="626"/>
      <c r="P357" s="626"/>
      <c r="Q357" s="626"/>
      <c r="R357" s="626"/>
      <c r="S357" s="626"/>
      <c r="T357" s="626"/>
      <c r="U357" s="626"/>
      <c r="V357" s="626"/>
      <c r="W357" s="626"/>
      <c r="X357" s="626"/>
      <c r="Y357" s="626"/>
      <c r="Z357" s="626"/>
      <c r="AA357" s="66"/>
      <c r="AB357" s="66"/>
      <c r="AC357" s="80"/>
    </row>
    <row r="358" spans="1:68" ht="27" customHeight="1" x14ac:dyDescent="0.25">
      <c r="A358" s="63" t="s">
        <v>586</v>
      </c>
      <c r="B358" s="63" t="s">
        <v>587</v>
      </c>
      <c r="C358" s="36">
        <v>4301020178</v>
      </c>
      <c r="D358" s="627">
        <v>4607091383980</v>
      </c>
      <c r="E358" s="627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118</v>
      </c>
      <c r="M358" s="38" t="s">
        <v>116</v>
      </c>
      <c r="N358" s="38"/>
      <c r="O358" s="37">
        <v>50</v>
      </c>
      <c r="P358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588</v>
      </c>
      <c r="AG358" s="78"/>
      <c r="AJ358" s="84" t="s">
        <v>119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589</v>
      </c>
      <c r="B359" s="63" t="s">
        <v>590</v>
      </c>
      <c r="C359" s="36">
        <v>4301020179</v>
      </c>
      <c r="D359" s="627">
        <v>4607091384178</v>
      </c>
      <c r="E359" s="62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122</v>
      </c>
      <c r="L359" s="37" t="s">
        <v>45</v>
      </c>
      <c r="M359" s="38" t="s">
        <v>116</v>
      </c>
      <c r="N359" s="38"/>
      <c r="O359" s="37">
        <v>50</v>
      </c>
      <c r="P359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9"/>
      <c r="R359" s="629"/>
      <c r="S359" s="629"/>
      <c r="T359" s="63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6"/>
      <c r="P361" s="632" t="s">
        <v>40</v>
      </c>
      <c r="Q361" s="633"/>
      <c r="R361" s="633"/>
      <c r="S361" s="633"/>
      <c r="T361" s="633"/>
      <c r="U361" s="633"/>
      <c r="V361" s="634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6" t="s">
        <v>88</v>
      </c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26"/>
      <c r="Y362" s="626"/>
      <c r="Z362" s="626"/>
      <c r="AA362" s="66"/>
      <c r="AB362" s="66"/>
      <c r="AC362" s="80"/>
    </row>
    <row r="363" spans="1:68" ht="27" customHeight="1" x14ac:dyDescent="0.25">
      <c r="A363" s="63" t="s">
        <v>592</v>
      </c>
      <c r="B363" s="63" t="s">
        <v>593</v>
      </c>
      <c r="C363" s="36">
        <v>4301051903</v>
      </c>
      <c r="D363" s="627">
        <v>4607091383928</v>
      </c>
      <c r="E363" s="627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594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595</v>
      </c>
      <c r="B364" s="63" t="s">
        <v>596</v>
      </c>
      <c r="C364" s="36">
        <v>4301051897</v>
      </c>
      <c r="D364" s="627">
        <v>4607091384260</v>
      </c>
      <c r="E364" s="627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9"/>
      <c r="R364" s="629"/>
      <c r="S364" s="629"/>
      <c r="T364" s="63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5"/>
      <c r="M366" s="635"/>
      <c r="N366" s="635"/>
      <c r="O366" s="636"/>
      <c r="P366" s="632" t="s">
        <v>40</v>
      </c>
      <c r="Q366" s="633"/>
      <c r="R366" s="633"/>
      <c r="S366" s="633"/>
      <c r="T366" s="633"/>
      <c r="U366" s="633"/>
      <c r="V366" s="634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6" t="s">
        <v>172</v>
      </c>
      <c r="B367" s="626"/>
      <c r="C367" s="626"/>
      <c r="D367" s="626"/>
      <c r="E367" s="626"/>
      <c r="F367" s="626"/>
      <c r="G367" s="626"/>
      <c r="H367" s="626"/>
      <c r="I367" s="626"/>
      <c r="J367" s="626"/>
      <c r="K367" s="626"/>
      <c r="L367" s="626"/>
      <c r="M367" s="626"/>
      <c r="N367" s="626"/>
      <c r="O367" s="626"/>
      <c r="P367" s="626"/>
      <c r="Q367" s="626"/>
      <c r="R367" s="626"/>
      <c r="S367" s="626"/>
      <c r="T367" s="626"/>
      <c r="U367" s="626"/>
      <c r="V367" s="626"/>
      <c r="W367" s="626"/>
      <c r="X367" s="626"/>
      <c r="Y367" s="626"/>
      <c r="Z367" s="626"/>
      <c r="AA367" s="66"/>
      <c r="AB367" s="66"/>
      <c r="AC367" s="80"/>
    </row>
    <row r="368" spans="1:68" ht="16.5" customHeight="1" x14ac:dyDescent="0.25">
      <c r="A368" s="63" t="s">
        <v>598</v>
      </c>
      <c r="B368" s="63" t="s">
        <v>599</v>
      </c>
      <c r="C368" s="36">
        <v>4301060524</v>
      </c>
      <c r="D368" s="627">
        <v>4607091384673</v>
      </c>
      <c r="E368" s="627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9"/>
      <c r="R368" s="629"/>
      <c r="S368" s="629"/>
      <c r="T368" s="630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600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5" t="s">
        <v>601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5"/>
      <c r="AB371" s="65"/>
      <c r="AC371" s="79"/>
    </row>
    <row r="372" spans="1:68" ht="14.25" customHeight="1" x14ac:dyDescent="0.25">
      <c r="A372" s="626" t="s">
        <v>112</v>
      </c>
      <c r="B372" s="626"/>
      <c r="C372" s="626"/>
      <c r="D372" s="626"/>
      <c r="E372" s="626"/>
      <c r="F372" s="626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  <c r="Z372" s="626"/>
      <c r="AA372" s="66"/>
      <c r="AB372" s="66"/>
      <c r="AC372" s="80"/>
    </row>
    <row r="373" spans="1:68" ht="37.5" customHeight="1" x14ac:dyDescent="0.25">
      <c r="A373" s="63" t="s">
        <v>602</v>
      </c>
      <c r="B373" s="63" t="s">
        <v>603</v>
      </c>
      <c r="C373" s="36">
        <v>4301011875</v>
      </c>
      <c r="D373" s="627">
        <v>4680115884885</v>
      </c>
      <c r="E373" s="627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45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605</v>
      </c>
      <c r="B374" s="63" t="s">
        <v>606</v>
      </c>
      <c r="C374" s="36">
        <v>4301011871</v>
      </c>
      <c r="D374" s="627">
        <v>4680115884908</v>
      </c>
      <c r="E374" s="627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122</v>
      </c>
      <c r="L374" s="37" t="s">
        <v>45</v>
      </c>
      <c r="M374" s="38" t="s">
        <v>82</v>
      </c>
      <c r="N374" s="38"/>
      <c r="O374" s="37">
        <v>60</v>
      </c>
      <c r="P374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9"/>
      <c r="R374" s="629"/>
      <c r="S374" s="629"/>
      <c r="T374" s="63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604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6" t="s">
        <v>78</v>
      </c>
      <c r="B377" s="626"/>
      <c r="C377" s="626"/>
      <c r="D377" s="626"/>
      <c r="E377" s="626"/>
      <c r="F377" s="626"/>
      <c r="G377" s="626"/>
      <c r="H377" s="626"/>
      <c r="I377" s="626"/>
      <c r="J377" s="626"/>
      <c r="K377" s="626"/>
      <c r="L377" s="626"/>
      <c r="M377" s="626"/>
      <c r="N377" s="626"/>
      <c r="O377" s="626"/>
      <c r="P377" s="626"/>
      <c r="Q377" s="626"/>
      <c r="R377" s="626"/>
      <c r="S377" s="626"/>
      <c r="T377" s="626"/>
      <c r="U377" s="626"/>
      <c r="V377" s="626"/>
      <c r="W377" s="626"/>
      <c r="X377" s="626"/>
      <c r="Y377" s="626"/>
      <c r="Z377" s="626"/>
      <c r="AA377" s="66"/>
      <c r="AB377" s="66"/>
      <c r="AC377" s="80"/>
    </row>
    <row r="378" spans="1:68" ht="27" customHeight="1" x14ac:dyDescent="0.25">
      <c r="A378" s="63" t="s">
        <v>607</v>
      </c>
      <c r="B378" s="63" t="s">
        <v>608</v>
      </c>
      <c r="C378" s="36">
        <v>4301031457</v>
      </c>
      <c r="D378" s="627">
        <v>4607091384802</v>
      </c>
      <c r="E378" s="627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122</v>
      </c>
      <c r="L378" s="37" t="s">
        <v>45</v>
      </c>
      <c r="M378" s="38" t="s">
        <v>82</v>
      </c>
      <c r="N378" s="38"/>
      <c r="O378" s="37">
        <v>50</v>
      </c>
      <c r="P378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609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607</v>
      </c>
      <c r="B379" s="63" t="s">
        <v>610</v>
      </c>
      <c r="C379" s="36">
        <v>4301031303</v>
      </c>
      <c r="D379" s="627">
        <v>4607091384802</v>
      </c>
      <c r="E379" s="627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122</v>
      </c>
      <c r="L379" s="37" t="s">
        <v>45</v>
      </c>
      <c r="M379" s="38" t="s">
        <v>82</v>
      </c>
      <c r="N379" s="38"/>
      <c r="O379" s="37">
        <v>35</v>
      </c>
      <c r="P379" s="81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29"/>
      <c r="R379" s="629"/>
      <c r="S379" s="629"/>
      <c r="T379" s="63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611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6" t="s">
        <v>88</v>
      </c>
      <c r="B382" s="626"/>
      <c r="C382" s="626"/>
      <c r="D382" s="626"/>
      <c r="E382" s="626"/>
      <c r="F382" s="626"/>
      <c r="G382" s="626"/>
      <c r="H382" s="626"/>
      <c r="I382" s="626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26"/>
      <c r="Y382" s="626"/>
      <c r="Z382" s="626"/>
      <c r="AA382" s="66"/>
      <c r="AB382" s="66"/>
      <c r="AC382" s="80"/>
    </row>
    <row r="383" spans="1:68" ht="27" customHeight="1" x14ac:dyDescent="0.25">
      <c r="A383" s="63" t="s">
        <v>612</v>
      </c>
      <c r="B383" s="63" t="s">
        <v>613</v>
      </c>
      <c r="C383" s="36">
        <v>4301051899</v>
      </c>
      <c r="D383" s="627">
        <v>4607091384246</v>
      </c>
      <c r="E383" s="627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118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119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616</v>
      </c>
      <c r="C384" s="36">
        <v>4301051660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614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615</v>
      </c>
      <c r="B385" s="63" t="s">
        <v>617</v>
      </c>
      <c r="C385" s="36">
        <v>4301052069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618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4" t="s">
        <v>619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54"/>
      <c r="AB388" s="54"/>
      <c r="AC388" s="54"/>
    </row>
    <row r="389" spans="1:68" ht="16.5" customHeight="1" x14ac:dyDescent="0.25">
      <c r="A389" s="625" t="s">
        <v>620</v>
      </c>
      <c r="B389" s="625"/>
      <c r="C389" s="625"/>
      <c r="D389" s="625"/>
      <c r="E389" s="625"/>
      <c r="F389" s="625"/>
      <c r="G389" s="625"/>
      <c r="H389" s="625"/>
      <c r="I389" s="625"/>
      <c r="J389" s="625"/>
      <c r="K389" s="625"/>
      <c r="L389" s="625"/>
      <c r="M389" s="625"/>
      <c r="N389" s="625"/>
      <c r="O389" s="625"/>
      <c r="P389" s="625"/>
      <c r="Q389" s="625"/>
      <c r="R389" s="625"/>
      <c r="S389" s="625"/>
      <c r="T389" s="625"/>
      <c r="U389" s="625"/>
      <c r="V389" s="625"/>
      <c r="W389" s="625"/>
      <c r="X389" s="625"/>
      <c r="Y389" s="625"/>
      <c r="Z389" s="625"/>
      <c r="AA389" s="65"/>
      <c r="AB389" s="65"/>
      <c r="AC389" s="79"/>
    </row>
    <row r="390" spans="1:68" ht="14.25" customHeight="1" x14ac:dyDescent="0.25">
      <c r="A390" s="626" t="s">
        <v>78</v>
      </c>
      <c r="B390" s="626"/>
      <c r="C390" s="626"/>
      <c r="D390" s="626"/>
      <c r="E390" s="626"/>
      <c r="F390" s="626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  <c r="Z390" s="626"/>
      <c r="AA390" s="66"/>
      <c r="AB390" s="66"/>
      <c r="AC390" s="80"/>
    </row>
    <row r="391" spans="1:68" ht="27" customHeight="1" x14ac:dyDescent="0.25">
      <c r="A391" s="63" t="s">
        <v>621</v>
      </c>
      <c r="B391" s="63" t="s">
        <v>622</v>
      </c>
      <c r="C391" s="36">
        <v>4301031405</v>
      </c>
      <c r="D391" s="627">
        <v>4680115886100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122</v>
      </c>
      <c r="L391" s="37" t="s">
        <v>213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623</v>
      </c>
      <c r="AG391" s="78"/>
      <c r="AJ391" s="84" t="s">
        <v>119</v>
      </c>
      <c r="AK391" s="84">
        <v>64.8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624</v>
      </c>
      <c r="B392" s="63" t="s">
        <v>625</v>
      </c>
      <c r="C392" s="36">
        <v>4301031406</v>
      </c>
      <c r="D392" s="627">
        <v>4680115886117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4301031402</v>
      </c>
      <c r="D393" s="627">
        <v>4680115886124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4301031366</v>
      </c>
      <c r="D394" s="627">
        <v>4680115883147</v>
      </c>
      <c r="E394" s="627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4301031362</v>
      </c>
      <c r="D395" s="627">
        <v>4607091384338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623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634</v>
      </c>
      <c r="B396" s="63" t="s">
        <v>635</v>
      </c>
      <c r="C396" s="36">
        <v>4301031361</v>
      </c>
      <c r="D396" s="627">
        <v>4607091389524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636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4301031364</v>
      </c>
      <c r="D397" s="627">
        <v>4680115883161</v>
      </c>
      <c r="E397" s="627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4301031358</v>
      </c>
      <c r="D398" s="627">
        <v>4607091389531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643</v>
      </c>
      <c r="B399" s="63" t="s">
        <v>644</v>
      </c>
      <c r="C399" s="36">
        <v>4301031360</v>
      </c>
      <c r="D399" s="627">
        <v>4607091384345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639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6" t="s">
        <v>88</v>
      </c>
      <c r="B402" s="626"/>
      <c r="C402" s="626"/>
      <c r="D402" s="626"/>
      <c r="E402" s="626"/>
      <c r="F402" s="626"/>
      <c r="G402" s="626"/>
      <c r="H402" s="626"/>
      <c r="I402" s="626"/>
      <c r="J402" s="626"/>
      <c r="K402" s="626"/>
      <c r="L402" s="626"/>
      <c r="M402" s="626"/>
      <c r="N402" s="626"/>
      <c r="O402" s="626"/>
      <c r="P402" s="626"/>
      <c r="Q402" s="626"/>
      <c r="R402" s="626"/>
      <c r="S402" s="626"/>
      <c r="T402" s="626"/>
      <c r="U402" s="626"/>
      <c r="V402" s="626"/>
      <c r="W402" s="626"/>
      <c r="X402" s="626"/>
      <c r="Y402" s="626"/>
      <c r="Z402" s="626"/>
      <c r="AA402" s="66"/>
      <c r="AB402" s="66"/>
      <c r="AC402" s="80"/>
    </row>
    <row r="403" spans="1:68" ht="27" customHeight="1" x14ac:dyDescent="0.25">
      <c r="A403" s="63" t="s">
        <v>645</v>
      </c>
      <c r="B403" s="63" t="s">
        <v>646</v>
      </c>
      <c r="C403" s="36">
        <v>4301051284</v>
      </c>
      <c r="D403" s="627">
        <v>4607091384352</v>
      </c>
      <c r="E403" s="627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122</v>
      </c>
      <c r="L403" s="37" t="s">
        <v>45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647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648</v>
      </c>
      <c r="B404" s="63" t="s">
        <v>649</v>
      </c>
      <c r="C404" s="36">
        <v>4301051431</v>
      </c>
      <c r="D404" s="627">
        <v>4607091389654</v>
      </c>
      <c r="E404" s="627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5" t="s">
        <v>651</v>
      </c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625"/>
      <c r="Y407" s="625"/>
      <c r="Z407" s="625"/>
      <c r="AA407" s="65"/>
      <c r="AB407" s="65"/>
      <c r="AC407" s="79"/>
    </row>
    <row r="408" spans="1:68" ht="14.25" customHeight="1" x14ac:dyDescent="0.25">
      <c r="A408" s="626" t="s">
        <v>147</v>
      </c>
      <c r="B408" s="626"/>
      <c r="C408" s="626"/>
      <c r="D408" s="626"/>
      <c r="E408" s="626"/>
      <c r="F408" s="626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  <c r="Z408" s="626"/>
      <c r="AA408" s="66"/>
      <c r="AB408" s="66"/>
      <c r="AC408" s="80"/>
    </row>
    <row r="409" spans="1:68" ht="27" customHeight="1" x14ac:dyDescent="0.25">
      <c r="A409" s="63" t="s">
        <v>652</v>
      </c>
      <c r="B409" s="63" t="s">
        <v>653</v>
      </c>
      <c r="C409" s="36">
        <v>4301020319</v>
      </c>
      <c r="D409" s="627">
        <v>4680115885240</v>
      </c>
      <c r="E409" s="627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9"/>
      <c r="R409" s="629"/>
      <c r="S409" s="629"/>
      <c r="T409" s="630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654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6" t="s">
        <v>78</v>
      </c>
      <c r="B412" s="626"/>
      <c r="C412" s="626"/>
      <c r="D412" s="626"/>
      <c r="E412" s="626"/>
      <c r="F412" s="626"/>
      <c r="G412" s="626"/>
      <c r="H412" s="626"/>
      <c r="I412" s="626"/>
      <c r="J412" s="626"/>
      <c r="K412" s="626"/>
      <c r="L412" s="626"/>
      <c r="M412" s="626"/>
      <c r="N412" s="626"/>
      <c r="O412" s="626"/>
      <c r="P412" s="626"/>
      <c r="Q412" s="626"/>
      <c r="R412" s="626"/>
      <c r="S412" s="626"/>
      <c r="T412" s="626"/>
      <c r="U412" s="626"/>
      <c r="V412" s="626"/>
      <c r="W412" s="626"/>
      <c r="X412" s="626"/>
      <c r="Y412" s="626"/>
      <c r="Z412" s="626"/>
      <c r="AA412" s="66"/>
      <c r="AB412" s="66"/>
      <c r="AC412" s="80"/>
    </row>
    <row r="413" spans="1:68" ht="27" customHeight="1" x14ac:dyDescent="0.25">
      <c r="A413" s="63" t="s">
        <v>655</v>
      </c>
      <c r="B413" s="63" t="s">
        <v>656</v>
      </c>
      <c r="C413" s="36">
        <v>4301031403</v>
      </c>
      <c r="D413" s="627">
        <v>4680115886094</v>
      </c>
      <c r="E413" s="627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122</v>
      </c>
      <c r="L413" s="37" t="s">
        <v>213</v>
      </c>
      <c r="M413" s="38" t="s">
        <v>116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657</v>
      </c>
      <c r="AG413" s="78"/>
      <c r="AJ413" s="84" t="s">
        <v>119</v>
      </c>
      <c r="AK413" s="84">
        <v>64.8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658</v>
      </c>
      <c r="B414" s="63" t="s">
        <v>659</v>
      </c>
      <c r="C414" s="36">
        <v>4301031363</v>
      </c>
      <c r="D414" s="627">
        <v>4607091389425</v>
      </c>
      <c r="E414" s="627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663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5" t="s">
        <v>666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customHeight="1" x14ac:dyDescent="0.25">
      <c r="A420" s="626" t="s">
        <v>78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customHeight="1" x14ac:dyDescent="0.25">
      <c r="A421" s="63" t="s">
        <v>667</v>
      </c>
      <c r="B421" s="63" t="s">
        <v>668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669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4" t="s">
        <v>670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customHeight="1" x14ac:dyDescent="0.25">
      <c r="A425" s="625" t="s">
        <v>670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customHeight="1" x14ac:dyDescent="0.25">
      <c r="A426" s="626" t="s">
        <v>112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customHeight="1" x14ac:dyDescent="0.25">
      <c r="A427" s="63" t="s">
        <v>671</v>
      </c>
      <c r="B427" s="63" t="s">
        <v>672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45</v>
      </c>
      <c r="M427" s="38" t="s">
        <v>116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4301012210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673</v>
      </c>
      <c r="B429" s="63" t="s">
        <v>676</v>
      </c>
      <c r="C429" s="36">
        <v>4301012145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92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119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683</v>
      </c>
      <c r="B432" s="63" t="s">
        <v>684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686</v>
      </c>
      <c r="B433" s="63" t="s">
        <v>687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116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116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693</v>
      </c>
      <c r="B436" s="63" t="s">
        <v>694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122</v>
      </c>
      <c r="L436" s="37" t="s">
        <v>45</v>
      </c>
      <c r="M436" s="38" t="s">
        <v>116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679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695</v>
      </c>
      <c r="B437" s="63" t="s">
        <v>696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697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688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6" t="s">
        <v>147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customHeight="1" x14ac:dyDescent="0.25">
      <c r="A442" s="63" t="s">
        <v>700</v>
      </c>
      <c r="B442" s="63" t="s">
        <v>701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702</v>
      </c>
      <c r="AG442" s="78"/>
      <c r="AJ442" s="84" t="s">
        <v>119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703</v>
      </c>
      <c r="B443" s="63" t="s">
        <v>704</v>
      </c>
      <c r="C443" s="36">
        <v>4301020384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702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705</v>
      </c>
      <c r="B444" s="63" t="s">
        <v>706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116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702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6" t="s">
        <v>78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707</v>
      </c>
      <c r="B448" s="63" t="s">
        <v>708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116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709</v>
      </c>
      <c r="AG448" s="78"/>
      <c r="AJ448" s="84" t="s">
        <v>119</v>
      </c>
      <c r="AK448" s="84">
        <v>42.24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710</v>
      </c>
      <c r="B449" s="63" t="s">
        <v>711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119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119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116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709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4301031418</v>
      </c>
      <c r="D452" s="627">
        <v>4680115882102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122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720</v>
      </c>
      <c r="B453" s="63" t="s">
        <v>721</v>
      </c>
      <c r="C453" s="36">
        <v>4301031417</v>
      </c>
      <c r="D453" s="627">
        <v>4680115882096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82</v>
      </c>
      <c r="N453" s="38"/>
      <c r="O453" s="37">
        <v>70</v>
      </c>
      <c r="P453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6" t="s">
        <v>88</v>
      </c>
      <c r="B456" s="626"/>
      <c r="C456" s="626"/>
      <c r="D456" s="626"/>
      <c r="E456" s="626"/>
      <c r="F456" s="626"/>
      <c r="G456" s="626"/>
      <c r="H456" s="626"/>
      <c r="I456" s="626"/>
      <c r="J456" s="626"/>
      <c r="K456" s="626"/>
      <c r="L456" s="626"/>
      <c r="M456" s="626"/>
      <c r="N456" s="626"/>
      <c r="O456" s="626"/>
      <c r="P456" s="626"/>
      <c r="Q456" s="626"/>
      <c r="R456" s="626"/>
      <c r="S456" s="626"/>
      <c r="T456" s="626"/>
      <c r="U456" s="626"/>
      <c r="V456" s="626"/>
      <c r="W456" s="626"/>
      <c r="X456" s="626"/>
      <c r="Y456" s="626"/>
      <c r="Z456" s="626"/>
      <c r="AA456" s="66"/>
      <c r="AB456" s="66"/>
      <c r="AC456" s="80"/>
    </row>
    <row r="457" spans="1:68" ht="27" customHeight="1" x14ac:dyDescent="0.25">
      <c r="A457" s="63" t="s">
        <v>722</v>
      </c>
      <c r="B457" s="63" t="s">
        <v>723</v>
      </c>
      <c r="C457" s="36">
        <v>4301051064</v>
      </c>
      <c r="D457" s="627">
        <v>4680115883536</v>
      </c>
      <c r="E457" s="627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29"/>
      <c r="R457" s="629"/>
      <c r="S457" s="629"/>
      <c r="T457" s="630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724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5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635"/>
      <c r="N459" s="635"/>
      <c r="O459" s="636"/>
      <c r="P459" s="632" t="s">
        <v>40</v>
      </c>
      <c r="Q459" s="633"/>
      <c r="R459" s="633"/>
      <c r="S459" s="633"/>
      <c r="T459" s="633"/>
      <c r="U459" s="633"/>
      <c r="V459" s="63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4" t="s">
        <v>725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54"/>
      <c r="AB460" s="54"/>
      <c r="AC460" s="54"/>
    </row>
    <row r="461" spans="1:68" ht="16.5" customHeight="1" x14ac:dyDescent="0.25">
      <c r="A461" s="625" t="s">
        <v>725</v>
      </c>
      <c r="B461" s="625"/>
      <c r="C461" s="625"/>
      <c r="D461" s="625"/>
      <c r="E461" s="625"/>
      <c r="F461" s="625"/>
      <c r="G461" s="625"/>
      <c r="H461" s="625"/>
      <c r="I461" s="625"/>
      <c r="J461" s="625"/>
      <c r="K461" s="625"/>
      <c r="L461" s="625"/>
      <c r="M461" s="625"/>
      <c r="N461" s="625"/>
      <c r="O461" s="625"/>
      <c r="P461" s="625"/>
      <c r="Q461" s="625"/>
      <c r="R461" s="625"/>
      <c r="S461" s="625"/>
      <c r="T461" s="625"/>
      <c r="U461" s="625"/>
      <c r="V461" s="625"/>
      <c r="W461" s="625"/>
      <c r="X461" s="625"/>
      <c r="Y461" s="625"/>
      <c r="Z461" s="625"/>
      <c r="AA461" s="65"/>
      <c r="AB461" s="65"/>
      <c r="AC461" s="79"/>
    </row>
    <row r="462" spans="1:68" ht="14.25" customHeight="1" x14ac:dyDescent="0.25">
      <c r="A462" s="626" t="s">
        <v>112</v>
      </c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6"/>
      <c r="V462" s="626"/>
      <c r="W462" s="626"/>
      <c r="X462" s="626"/>
      <c r="Y462" s="626"/>
      <c r="Z462" s="626"/>
      <c r="AA462" s="66"/>
      <c r="AB462" s="66"/>
      <c r="AC462" s="80"/>
    </row>
    <row r="463" spans="1:68" ht="27" customHeight="1" x14ac:dyDescent="0.25">
      <c r="A463" s="63" t="s">
        <v>726</v>
      </c>
      <c r="B463" s="63" t="s">
        <v>727</v>
      </c>
      <c r="C463" s="36">
        <v>4301011763</v>
      </c>
      <c r="D463" s="627">
        <v>4640242181011</v>
      </c>
      <c r="E463" s="627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728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729</v>
      </c>
      <c r="B464" s="63" t="s">
        <v>730</v>
      </c>
      <c r="C464" s="36">
        <v>4301011585</v>
      </c>
      <c r="D464" s="627">
        <v>4640242180441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4301011584</v>
      </c>
      <c r="D465" s="627">
        <v>4640242180564</v>
      </c>
      <c r="E465" s="627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4301011764</v>
      </c>
      <c r="D466" s="627">
        <v>4640242181189</v>
      </c>
      <c r="E466" s="627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122</v>
      </c>
      <c r="L466" s="37" t="s">
        <v>45</v>
      </c>
      <c r="M466" s="38" t="s">
        <v>92</v>
      </c>
      <c r="N466" s="38"/>
      <c r="O466" s="37">
        <v>55</v>
      </c>
      <c r="P466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29"/>
      <c r="R466" s="629"/>
      <c r="S466" s="629"/>
      <c r="T466" s="630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728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6" t="s">
        <v>147</v>
      </c>
      <c r="B469" s="626"/>
      <c r="C469" s="626"/>
      <c r="D469" s="626"/>
      <c r="E469" s="626"/>
      <c r="F469" s="626"/>
      <c r="G469" s="626"/>
      <c r="H469" s="626"/>
      <c r="I469" s="626"/>
      <c r="J469" s="626"/>
      <c r="K469" s="626"/>
      <c r="L469" s="626"/>
      <c r="M469" s="626"/>
      <c r="N469" s="626"/>
      <c r="O469" s="626"/>
      <c r="P469" s="626"/>
      <c r="Q469" s="626"/>
      <c r="R469" s="626"/>
      <c r="S469" s="626"/>
      <c r="T469" s="626"/>
      <c r="U469" s="626"/>
      <c r="V469" s="626"/>
      <c r="W469" s="626"/>
      <c r="X469" s="626"/>
      <c r="Y469" s="626"/>
      <c r="Z469" s="626"/>
      <c r="AA469" s="66"/>
      <c r="AB469" s="66"/>
      <c r="AC469" s="80"/>
    </row>
    <row r="470" spans="1:68" ht="27" customHeight="1" x14ac:dyDescent="0.25">
      <c r="A470" s="63" t="s">
        <v>737</v>
      </c>
      <c r="B470" s="63" t="s">
        <v>738</v>
      </c>
      <c r="C470" s="36">
        <v>4301020400</v>
      </c>
      <c r="D470" s="627">
        <v>4640242180519</v>
      </c>
      <c r="E470" s="627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739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740</v>
      </c>
      <c r="B471" s="63" t="s">
        <v>741</v>
      </c>
      <c r="C471" s="36">
        <v>4301020260</v>
      </c>
      <c r="D471" s="627">
        <v>4640242180526</v>
      </c>
      <c r="E471" s="627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6" t="s">
        <v>78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customHeight="1" x14ac:dyDescent="0.25">
      <c r="A475" s="63" t="s">
        <v>743</v>
      </c>
      <c r="B475" s="63" t="s">
        <v>744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122</v>
      </c>
      <c r="L475" s="37" t="s">
        <v>45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745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746</v>
      </c>
      <c r="B479" s="63" t="s">
        <v>747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117</v>
      </c>
      <c r="L479" s="37" t="s">
        <v>118</v>
      </c>
      <c r="M479" s="38" t="s">
        <v>98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748</v>
      </c>
      <c r="AG479" s="78"/>
      <c r="AJ479" s="84" t="s">
        <v>119</v>
      </c>
      <c r="AK479" s="84">
        <v>72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172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749</v>
      </c>
      <c r="B483" s="63" t="s">
        <v>750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117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751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752</v>
      </c>
      <c r="B484" s="63" t="s">
        <v>753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755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147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756</v>
      </c>
      <c r="B489" s="63" t="s">
        <v>757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117</v>
      </c>
      <c r="L489" s="37" t="s">
        <v>45</v>
      </c>
      <c r="M489" s="38" t="s">
        <v>116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758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2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0</v>
      </c>
      <c r="Y496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110</v>
      </c>
      <c r="D499" s="876" t="s">
        <v>110</v>
      </c>
      <c r="E499" s="876" t="s">
        <v>110</v>
      </c>
      <c r="F499" s="876" t="s">
        <v>110</v>
      </c>
      <c r="G499" s="876" t="s">
        <v>110</v>
      </c>
      <c r="H499" s="876" t="s">
        <v>110</v>
      </c>
      <c r="I499" s="876" t="s">
        <v>284</v>
      </c>
      <c r="J499" s="876" t="s">
        <v>284</v>
      </c>
      <c r="K499" s="876" t="s">
        <v>284</v>
      </c>
      <c r="L499" s="876" t="s">
        <v>284</v>
      </c>
      <c r="M499" s="876" t="s">
        <v>284</v>
      </c>
      <c r="N499" s="877"/>
      <c r="O499" s="876" t="s">
        <v>284</v>
      </c>
      <c r="P499" s="876" t="s">
        <v>284</v>
      </c>
      <c r="Q499" s="876" t="s">
        <v>284</v>
      </c>
      <c r="R499" s="876" t="s">
        <v>284</v>
      </c>
      <c r="S499" s="876" t="s">
        <v>565</v>
      </c>
      <c r="T499" s="876" t="s">
        <v>565</v>
      </c>
      <c r="U499" s="876" t="s">
        <v>619</v>
      </c>
      <c r="V499" s="876" t="s">
        <v>619</v>
      </c>
      <c r="W499" s="876" t="s">
        <v>619</v>
      </c>
      <c r="X499" s="85" t="s">
        <v>670</v>
      </c>
      <c r="Y499" s="876" t="s">
        <v>725</v>
      </c>
      <c r="Z499" s="876" t="s">
        <v>725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111</v>
      </c>
      <c r="D500" s="876" t="s">
        <v>128</v>
      </c>
      <c r="E500" s="876" t="s">
        <v>179</v>
      </c>
      <c r="F500" s="876" t="s">
        <v>202</v>
      </c>
      <c r="G500" s="876" t="s">
        <v>241</v>
      </c>
      <c r="H500" s="876" t="s">
        <v>110</v>
      </c>
      <c r="I500" s="876" t="s">
        <v>285</v>
      </c>
      <c r="J500" s="876" t="s">
        <v>335</v>
      </c>
      <c r="K500" s="876" t="s">
        <v>394</v>
      </c>
      <c r="L500" s="876" t="s">
        <v>434</v>
      </c>
      <c r="M500" s="876" t="s">
        <v>450</v>
      </c>
      <c r="N500" s="1"/>
      <c r="O500" s="876" t="s">
        <v>461</v>
      </c>
      <c r="P500" s="876" t="s">
        <v>470</v>
      </c>
      <c r="Q500" s="876" t="s">
        <v>483</v>
      </c>
      <c r="R500" s="876" t="s">
        <v>555</v>
      </c>
      <c r="S500" s="876" t="s">
        <v>566</v>
      </c>
      <c r="T500" s="876" t="s">
        <v>601</v>
      </c>
      <c r="U500" s="876" t="s">
        <v>620</v>
      </c>
      <c r="V500" s="876" t="s">
        <v>651</v>
      </c>
      <c r="W500" s="876" t="s">
        <v>666</v>
      </c>
      <c r="X500" s="876" t="s">
        <v>670</v>
      </c>
      <c r="Y500" s="876" t="s">
        <v>725</v>
      </c>
      <c r="Z500" s="876" t="s">
        <v>755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52">
        <f>IFERROR(Y85*1,"0")+IFERROR(Y86*1,"0")+IFERROR(Y87*1,"0")+IFERROR(Y88*1,"0")+IFERROR(Y92*1,"0")+IFERROR(Y93*1,"0")+IFERROR(Y94*1,"0")+IFERROR(Y95*1,"0")</f>
        <v>0</v>
      </c>
      <c r="F502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2" s="52">
        <f>IFERROR(Y127*1,"0")+IFERROR(Y128*1,"0")+IFERROR(Y132*1,"0")+IFERROR(Y133*1,"0")+IFERROR(Y137*1,"0")+IFERROR(Y138*1,"0")</f>
        <v>0</v>
      </c>
      <c r="H502" s="52">
        <f>IFERROR(Y143*1,"0")+IFERROR(Y144*1,"0")+IFERROR(Y148*1,"0")+IFERROR(Y149*1,"0")+IFERROR(Y150*1,"0")+IFERROR(Y151*1,"0")+IFERROR(Y152*1,"0")+IFERROR(Y153*1,"0")+IFERROR(Y157*1,"0")</f>
        <v>0</v>
      </c>
      <c r="I502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52">
        <f>IFERROR(Y261*1,"0")+IFERROR(Y262*1,"0")+IFERROR(Y263*1,"0")+IFERROR(Y264*1,"0")+IFERROR(Y265*1,"0")</f>
        <v>0</v>
      </c>
      <c r="M502" s="52">
        <f>IFERROR(Y270*1,"0")+IFERROR(Y271*1,"0")+IFERROR(Y272*1,"0")+IFERROR(Y273*1,"0")</f>
        <v>0</v>
      </c>
      <c r="N502" s="1"/>
      <c r="O502" s="52">
        <f>IFERROR(Y278*1,"0")+IFERROR(Y279*1,"0")+IFERROR(Y280*1,"0")</f>
        <v>0</v>
      </c>
      <c r="P502" s="52">
        <f>IFERROR(Y285*1,"0")+IFERROR(Y286*1,"0")+IFERROR(Y290*1,"0")+IFERROR(Y291*1,"0")</f>
        <v>0</v>
      </c>
      <c r="Q502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52">
        <f>IFERROR(Y340*1,"0")+IFERROR(Y341*1,"0")+IFERROR(Y342*1,"0")</f>
        <v>0</v>
      </c>
      <c r="S502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2" s="52">
        <f>IFERROR(Y373*1,"0")+IFERROR(Y374*1,"0")+IFERROR(Y378*1,"0")+IFERROR(Y379*1,"0")+IFERROR(Y383*1,"0")+IFERROR(Y384*1,"0")+IFERROR(Y385*1,"0")</f>
        <v>0</v>
      </c>
      <c r="U502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52">
        <f>IFERROR(Y409*1,"0")+IFERROR(Y413*1,"0")+IFERROR(Y414*1,"0")+IFERROR(Y415*1,"0")+IFERROR(Y416*1,"0")</f>
        <v>0</v>
      </c>
      <c r="W502" s="52">
        <f>IFERROR(Y421*1,"0")</f>
        <v>0</v>
      </c>
      <c r="X502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2" s="52">
        <f>IFERROR(Y463*1,"0")+IFERROR(Y464*1,"0")+IFERROR(Y465*1,"0")+IFERROR(Y466*1,"0")+IFERROR(Y470*1,"0")+IFERROR(Y471*1,"0")+IFERROR(Y475*1,"0")+IFERROR(Y479*1,"0")+IFERROR(Y483*1,"0")+IFERROR(Y484*1,"0")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P2AJkf1NOkNR4s5EfV+vtnQzqJjx9R3o2FLZ/AzLypHGMYEvQJyBz2XJ0fB560l3hsfSBXD82NPMkC5LIEXdNA==" saltValue="JRwDUAqnKnJN04KXrxfH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D484:E484"/>
    <mergeCell ref="P484:T484"/>
    <mergeCell ref="P485:V485"/>
    <mergeCell ref="A485:O486"/>
    <mergeCell ref="P486:V486"/>
    <mergeCell ref="A487:Z487"/>
    <mergeCell ref="A488:Z488"/>
    <mergeCell ref="D489:E489"/>
    <mergeCell ref="P489:T489"/>
    <mergeCell ref="A478:Z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9 X448:X450 X442 X433 X431 X413 X391 X383 X358 X351 X348:X349 X321 X279:X280 X219:X222 X217 X206 X203:X204 X171 X169 X167 X117 X115 X103 X100 X92 X8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LxOucxi5Ypb2ev8UpYeMTqLsnvFjAt7mFyQUm5GGysoNvNqjQ9eiQ1AFzi9E7/ztzpwhMalwx96+ypUZcOYjpw==" saltValue="qJNxBZ0VqRku1S70UbyaN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