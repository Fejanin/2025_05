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78AA794-6AE3-4453-816B-25438F83B0F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Y546" i="2"/>
  <c r="X546" i="2"/>
  <c r="BP545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P531" i="2"/>
  <c r="BO530" i="2"/>
  <c r="BN530" i="2"/>
  <c r="BM530" i="2"/>
  <c r="Y530" i="2"/>
  <c r="BP530" i="2" s="1"/>
  <c r="P530" i="2"/>
  <c r="BO529" i="2"/>
  <c r="BM529" i="2"/>
  <c r="Z529" i="2"/>
  <c r="Y529" i="2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N526" i="2"/>
  <c r="BM526" i="2"/>
  <c r="Y526" i="2"/>
  <c r="Z526" i="2" s="1"/>
  <c r="P526" i="2"/>
  <c r="BO525" i="2"/>
  <c r="BM525" i="2"/>
  <c r="Y525" i="2"/>
  <c r="BP525" i="2" s="1"/>
  <c r="P525" i="2"/>
  <c r="X523" i="2"/>
  <c r="X522" i="2"/>
  <c r="BP521" i="2"/>
  <c r="BO521" i="2"/>
  <c r="BM521" i="2"/>
  <c r="Y521" i="2"/>
  <c r="P521" i="2"/>
  <c r="BO520" i="2"/>
  <c r="BN520" i="2"/>
  <c r="BM520" i="2"/>
  <c r="Y520" i="2"/>
  <c r="BP520" i="2" s="1"/>
  <c r="P520" i="2"/>
  <c r="BO519" i="2"/>
  <c r="BM519" i="2"/>
  <c r="Y519" i="2"/>
  <c r="P519" i="2"/>
  <c r="X517" i="2"/>
  <c r="X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BP513" i="2" s="1"/>
  <c r="P513" i="2"/>
  <c r="BP512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N510" i="2"/>
  <c r="BM510" i="2"/>
  <c r="Z510" i="2"/>
  <c r="Y510" i="2"/>
  <c r="BP510" i="2" s="1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P500" i="2"/>
  <c r="BO500" i="2"/>
  <c r="BM500" i="2"/>
  <c r="Y500" i="2"/>
  <c r="P500" i="2"/>
  <c r="X498" i="2"/>
  <c r="X497" i="2"/>
  <c r="BO496" i="2"/>
  <c r="BM496" i="2"/>
  <c r="Y496" i="2"/>
  <c r="P496" i="2"/>
  <c r="X493" i="2"/>
  <c r="Y492" i="2"/>
  <c r="X492" i="2"/>
  <c r="BO491" i="2"/>
  <c r="BN491" i="2"/>
  <c r="BM491" i="2"/>
  <c r="Y491" i="2"/>
  <c r="Y493" i="2" s="1"/>
  <c r="P491" i="2"/>
  <c r="X489" i="2"/>
  <c r="X488" i="2"/>
  <c r="BP487" i="2"/>
  <c r="BO487" i="2"/>
  <c r="BM487" i="2"/>
  <c r="Y487" i="2"/>
  <c r="BN487" i="2" s="1"/>
  <c r="P487" i="2"/>
  <c r="BO486" i="2"/>
  <c r="BM486" i="2"/>
  <c r="Y486" i="2"/>
  <c r="P486" i="2"/>
  <c r="BO485" i="2"/>
  <c r="BN485" i="2"/>
  <c r="BM485" i="2"/>
  <c r="Y485" i="2"/>
  <c r="BP485" i="2" s="1"/>
  <c r="P485" i="2"/>
  <c r="BO484" i="2"/>
  <c r="BM484" i="2"/>
  <c r="Y484" i="2"/>
  <c r="P484" i="2"/>
  <c r="BO483" i="2"/>
  <c r="BN483" i="2"/>
  <c r="BM483" i="2"/>
  <c r="Y483" i="2"/>
  <c r="Z483" i="2" s="1"/>
  <c r="P483" i="2"/>
  <c r="BO482" i="2"/>
  <c r="BN482" i="2"/>
  <c r="BM482" i="2"/>
  <c r="Y482" i="2"/>
  <c r="P482" i="2"/>
  <c r="X478" i="2"/>
  <c r="X477" i="2"/>
  <c r="BO476" i="2"/>
  <c r="BM476" i="2"/>
  <c r="Y476" i="2"/>
  <c r="BP476" i="2" s="1"/>
  <c r="P476" i="2"/>
  <c r="BP475" i="2"/>
  <c r="BO475" i="2"/>
  <c r="BM475" i="2"/>
  <c r="Y475" i="2"/>
  <c r="BN475" i="2" s="1"/>
  <c r="P475" i="2"/>
  <c r="BP474" i="2"/>
  <c r="BO474" i="2"/>
  <c r="BM474" i="2"/>
  <c r="Y474" i="2"/>
  <c r="P474" i="2"/>
  <c r="X472" i="2"/>
  <c r="X471" i="2"/>
  <c r="BP470" i="2"/>
  <c r="BO470" i="2"/>
  <c r="BM470" i="2"/>
  <c r="Y470" i="2"/>
  <c r="Y472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7" i="2" s="1"/>
  <c r="P465" i="2"/>
  <c r="X462" i="2"/>
  <c r="X461" i="2"/>
  <c r="BO460" i="2"/>
  <c r="BM460" i="2"/>
  <c r="Y460" i="2"/>
  <c r="P460" i="2"/>
  <c r="BO459" i="2"/>
  <c r="BM459" i="2"/>
  <c r="Z459" i="2"/>
  <c r="Y459" i="2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Y457" i="2" s="1"/>
  <c r="P453" i="2"/>
  <c r="X451" i="2"/>
  <c r="X450" i="2"/>
  <c r="BO449" i="2"/>
  <c r="BM449" i="2"/>
  <c r="Y449" i="2"/>
  <c r="BP449" i="2" s="1"/>
  <c r="P449" i="2"/>
  <c r="BO448" i="2"/>
  <c r="BM448" i="2"/>
  <c r="Y448" i="2"/>
  <c r="BN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N440" i="2"/>
  <c r="BM440" i="2"/>
  <c r="Y440" i="2"/>
  <c r="P440" i="2"/>
  <c r="BO439" i="2"/>
  <c r="BN439" i="2"/>
  <c r="BM439" i="2"/>
  <c r="Y439" i="2"/>
  <c r="Z439" i="2" s="1"/>
  <c r="P439" i="2"/>
  <c r="BP438" i="2"/>
  <c r="BO438" i="2"/>
  <c r="BM438" i="2"/>
  <c r="Y438" i="2"/>
  <c r="P438" i="2"/>
  <c r="BO437" i="2"/>
  <c r="BM437" i="2"/>
  <c r="Y437" i="2"/>
  <c r="P437" i="2"/>
  <c r="BP436" i="2"/>
  <c r="BO436" i="2"/>
  <c r="BM436" i="2"/>
  <c r="Y436" i="2"/>
  <c r="BN436" i="2" s="1"/>
  <c r="P436" i="2"/>
  <c r="X432" i="2"/>
  <c r="X431" i="2"/>
  <c r="BO430" i="2"/>
  <c r="BM430" i="2"/>
  <c r="Y430" i="2"/>
  <c r="Y431" i="2" s="1"/>
  <c r="P430" i="2"/>
  <c r="BO429" i="2"/>
  <c r="BN429" i="2"/>
  <c r="BM429" i="2"/>
  <c r="Y429" i="2"/>
  <c r="BP429" i="2" s="1"/>
  <c r="P429" i="2"/>
  <c r="BP428" i="2"/>
  <c r="BO428" i="2"/>
  <c r="BN428" i="2"/>
  <c r="BM428" i="2"/>
  <c r="Z428" i="2"/>
  <c r="Y428" i="2"/>
  <c r="P428" i="2"/>
  <c r="X425" i="2"/>
  <c r="X424" i="2"/>
  <c r="BO423" i="2"/>
  <c r="BN423" i="2"/>
  <c r="BM423" i="2"/>
  <c r="Y423" i="2"/>
  <c r="Z423" i="2" s="1"/>
  <c r="BO422" i="2"/>
  <c r="BM422" i="2"/>
  <c r="Y422" i="2"/>
  <c r="BN422" i="2" s="1"/>
  <c r="P422" i="2"/>
  <c r="BO421" i="2"/>
  <c r="BN421" i="2"/>
  <c r="BM421" i="2"/>
  <c r="Y421" i="2"/>
  <c r="P421" i="2"/>
  <c r="BO420" i="2"/>
  <c r="BM420" i="2"/>
  <c r="Z420" i="2"/>
  <c r="Y420" i="2"/>
  <c r="BN420" i="2" s="1"/>
  <c r="P420" i="2"/>
  <c r="X417" i="2"/>
  <c r="X416" i="2"/>
  <c r="BP415" i="2"/>
  <c r="BO415" i="2"/>
  <c r="BN415" i="2"/>
  <c r="BM415" i="2"/>
  <c r="Z415" i="2"/>
  <c r="Y415" i="2"/>
  <c r="P415" i="2"/>
  <c r="BO414" i="2"/>
  <c r="BM414" i="2"/>
  <c r="Y414" i="2"/>
  <c r="BP414" i="2" s="1"/>
  <c r="P414" i="2"/>
  <c r="BO413" i="2"/>
  <c r="BM413" i="2"/>
  <c r="Y413" i="2"/>
  <c r="Y417" i="2" s="1"/>
  <c r="P413" i="2"/>
  <c r="X411" i="2"/>
  <c r="X410" i="2"/>
  <c r="BO409" i="2"/>
  <c r="BN409" i="2"/>
  <c r="BM409" i="2"/>
  <c r="Z409" i="2"/>
  <c r="Y409" i="2"/>
  <c r="BP409" i="2" s="1"/>
  <c r="P409" i="2"/>
  <c r="BO408" i="2"/>
  <c r="BM408" i="2"/>
  <c r="Y408" i="2"/>
  <c r="P408" i="2"/>
  <c r="BO407" i="2"/>
  <c r="BN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P402" i="2" s="1"/>
  <c r="P402" i="2"/>
  <c r="BP401" i="2"/>
  <c r="BO401" i="2"/>
  <c r="BM401" i="2"/>
  <c r="Y401" i="2"/>
  <c r="BN401" i="2" s="1"/>
  <c r="P401" i="2"/>
  <c r="BP400" i="2"/>
  <c r="BO400" i="2"/>
  <c r="BM400" i="2"/>
  <c r="Y400" i="2"/>
  <c r="Z400" i="2" s="1"/>
  <c r="P400" i="2"/>
  <c r="X398" i="2"/>
  <c r="X397" i="2"/>
  <c r="BP396" i="2"/>
  <c r="BO396" i="2"/>
  <c r="BM396" i="2"/>
  <c r="Y396" i="2"/>
  <c r="BN396" i="2" s="1"/>
  <c r="P396" i="2"/>
  <c r="BP395" i="2"/>
  <c r="BO395" i="2"/>
  <c r="BM395" i="2"/>
  <c r="Y395" i="2"/>
  <c r="BN395" i="2" s="1"/>
  <c r="P395" i="2"/>
  <c r="BO394" i="2"/>
  <c r="BM394" i="2"/>
  <c r="Y394" i="2"/>
  <c r="Y398" i="2" s="1"/>
  <c r="P394" i="2"/>
  <c r="X392" i="2"/>
  <c r="X391" i="2"/>
  <c r="BP390" i="2"/>
  <c r="BO390" i="2"/>
  <c r="BN390" i="2"/>
  <c r="BM390" i="2"/>
  <c r="Z390" i="2"/>
  <c r="Y390" i="2"/>
  <c r="P390" i="2"/>
  <c r="BO389" i="2"/>
  <c r="BM389" i="2"/>
  <c r="Y389" i="2"/>
  <c r="BN389" i="2" s="1"/>
  <c r="P389" i="2"/>
  <c r="BO388" i="2"/>
  <c r="BN388" i="2"/>
  <c r="BM388" i="2"/>
  <c r="Y388" i="2"/>
  <c r="P388" i="2"/>
  <c r="BO387" i="2"/>
  <c r="BM387" i="2"/>
  <c r="Y387" i="2"/>
  <c r="BN387" i="2" s="1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P380" i="2"/>
  <c r="BO380" i="2"/>
  <c r="BN380" i="2"/>
  <c r="BM380" i="2"/>
  <c r="Z380" i="2"/>
  <c r="Y380" i="2"/>
  <c r="P380" i="2"/>
  <c r="BO379" i="2"/>
  <c r="BN379" i="2"/>
  <c r="BM379" i="2"/>
  <c r="Y379" i="2"/>
  <c r="P379" i="2"/>
  <c r="BO378" i="2"/>
  <c r="BM378" i="2"/>
  <c r="Y378" i="2"/>
  <c r="P378" i="2"/>
  <c r="BO377" i="2"/>
  <c r="BM377" i="2"/>
  <c r="Z377" i="2"/>
  <c r="Y377" i="2"/>
  <c r="BN377" i="2" s="1"/>
  <c r="P377" i="2"/>
  <c r="X375" i="2"/>
  <c r="X374" i="2"/>
  <c r="BO373" i="2"/>
  <c r="BN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P370" i="2"/>
  <c r="BO370" i="2"/>
  <c r="BN370" i="2"/>
  <c r="BM370" i="2"/>
  <c r="Z370" i="2"/>
  <c r="Y370" i="2"/>
  <c r="P370" i="2"/>
  <c r="BO369" i="2"/>
  <c r="BM369" i="2"/>
  <c r="Y369" i="2"/>
  <c r="BN369" i="2" s="1"/>
  <c r="P369" i="2"/>
  <c r="BO368" i="2"/>
  <c r="BN368" i="2"/>
  <c r="BM368" i="2"/>
  <c r="Y368" i="2"/>
  <c r="P368" i="2"/>
  <c r="BO367" i="2"/>
  <c r="BM367" i="2"/>
  <c r="Y367" i="2"/>
  <c r="BN367" i="2" s="1"/>
  <c r="P367" i="2"/>
  <c r="X364" i="2"/>
  <c r="X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Y364" i="2" s="1"/>
  <c r="P360" i="2"/>
  <c r="X357" i="2"/>
  <c r="X356" i="2"/>
  <c r="BO355" i="2"/>
  <c r="BM355" i="2"/>
  <c r="Z355" i="2"/>
  <c r="Z356" i="2" s="1"/>
  <c r="Y355" i="2"/>
  <c r="P355" i="2"/>
  <c r="X353" i="2"/>
  <c r="Y352" i="2"/>
  <c r="X352" i="2"/>
  <c r="BO351" i="2"/>
  <c r="BN351" i="2"/>
  <c r="BM351" i="2"/>
  <c r="Y351" i="2"/>
  <c r="P351" i="2"/>
  <c r="X348" i="2"/>
  <c r="X347" i="2"/>
  <c r="BO346" i="2"/>
  <c r="BM346" i="2"/>
  <c r="Y346" i="2"/>
  <c r="P346" i="2"/>
  <c r="BO345" i="2"/>
  <c r="BN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P332" i="2"/>
  <c r="BO332" i="2"/>
  <c r="BM332" i="2"/>
  <c r="Y332" i="2"/>
  <c r="Z332" i="2" s="1"/>
  <c r="P332" i="2"/>
  <c r="BO331" i="2"/>
  <c r="BN331" i="2"/>
  <c r="BM331" i="2"/>
  <c r="Z331" i="2"/>
  <c r="Y331" i="2"/>
  <c r="BP331" i="2" s="1"/>
  <c r="P331" i="2"/>
  <c r="BO330" i="2"/>
  <c r="BM330" i="2"/>
  <c r="Y330" i="2"/>
  <c r="Y334" i="2" s="1"/>
  <c r="P330" i="2"/>
  <c r="X327" i="2"/>
  <c r="X326" i="2"/>
  <c r="BO325" i="2"/>
  <c r="BM325" i="2"/>
  <c r="Z325" i="2"/>
  <c r="Y325" i="2"/>
  <c r="BP325" i="2" s="1"/>
  <c r="P325" i="2"/>
  <c r="BO324" i="2"/>
  <c r="BN324" i="2"/>
  <c r="BM324" i="2"/>
  <c r="Z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BP321" i="2"/>
  <c r="BO321" i="2"/>
  <c r="BM321" i="2"/>
  <c r="Y321" i="2"/>
  <c r="Z321" i="2" s="1"/>
  <c r="P321" i="2"/>
  <c r="BO320" i="2"/>
  <c r="BN320" i="2"/>
  <c r="BM320" i="2"/>
  <c r="Z320" i="2"/>
  <c r="Y320" i="2"/>
  <c r="BP320" i="2" s="1"/>
  <c r="P320" i="2"/>
  <c r="BO319" i="2"/>
  <c r="BM319" i="2"/>
  <c r="Y319" i="2"/>
  <c r="P319" i="2"/>
  <c r="BO318" i="2"/>
  <c r="BN318" i="2"/>
  <c r="BM318" i="2"/>
  <c r="Y318" i="2"/>
  <c r="Z318" i="2" s="1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P311" i="2"/>
  <c r="BO311" i="2"/>
  <c r="BM311" i="2"/>
  <c r="Y311" i="2"/>
  <c r="BN311" i="2" s="1"/>
  <c r="P311" i="2"/>
  <c r="BO310" i="2"/>
  <c r="BM310" i="2"/>
  <c r="Y310" i="2"/>
  <c r="Z310" i="2" s="1"/>
  <c r="P310" i="2"/>
  <c r="X308" i="2"/>
  <c r="X307" i="2"/>
  <c r="BP306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Z298" i="2" s="1"/>
  <c r="P298" i="2"/>
  <c r="BO297" i="2"/>
  <c r="BM297" i="2"/>
  <c r="Z297" i="2"/>
  <c r="Y297" i="2"/>
  <c r="BP297" i="2" s="1"/>
  <c r="P297" i="2"/>
  <c r="BO296" i="2"/>
  <c r="BM296" i="2"/>
  <c r="Y296" i="2"/>
  <c r="BP296" i="2" s="1"/>
  <c r="P296" i="2"/>
  <c r="BO295" i="2"/>
  <c r="BN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X289" i="2"/>
  <c r="X288" i="2"/>
  <c r="BP287" i="2"/>
  <c r="BO287" i="2"/>
  <c r="BM287" i="2"/>
  <c r="Y287" i="2"/>
  <c r="Z287" i="2" s="1"/>
  <c r="P287" i="2"/>
  <c r="BO286" i="2"/>
  <c r="BM286" i="2"/>
  <c r="Y286" i="2"/>
  <c r="P286" i="2"/>
  <c r="X284" i="2"/>
  <c r="X283" i="2"/>
  <c r="BP282" i="2"/>
  <c r="BO282" i="2"/>
  <c r="BM282" i="2"/>
  <c r="Y282" i="2"/>
  <c r="P282" i="2"/>
  <c r="BO281" i="2"/>
  <c r="BM281" i="2"/>
  <c r="Y281" i="2"/>
  <c r="BP281" i="2" s="1"/>
  <c r="P281" i="2"/>
  <c r="BO280" i="2"/>
  <c r="BN280" i="2"/>
  <c r="BM280" i="2"/>
  <c r="Z280" i="2"/>
  <c r="Y280" i="2"/>
  <c r="BP280" i="2" s="1"/>
  <c r="P280" i="2"/>
  <c r="BO279" i="2"/>
  <c r="BM279" i="2"/>
  <c r="Y279" i="2"/>
  <c r="BP279" i="2" s="1"/>
  <c r="P279" i="2"/>
  <c r="BP278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P274" i="2"/>
  <c r="BO274" i="2"/>
  <c r="BM274" i="2"/>
  <c r="Y274" i="2"/>
  <c r="P274" i="2"/>
  <c r="BO273" i="2"/>
  <c r="BM273" i="2"/>
  <c r="Y273" i="2"/>
  <c r="BP273" i="2" s="1"/>
  <c r="P273" i="2"/>
  <c r="BP272" i="2"/>
  <c r="BO272" i="2"/>
  <c r="BN272" i="2"/>
  <c r="BM272" i="2"/>
  <c r="Z272" i="2"/>
  <c r="Y272" i="2"/>
  <c r="P272" i="2"/>
  <c r="BO271" i="2"/>
  <c r="BM271" i="2"/>
  <c r="Y271" i="2"/>
  <c r="BP271" i="2" s="1"/>
  <c r="P271" i="2"/>
  <c r="X269" i="2"/>
  <c r="X268" i="2"/>
  <c r="BO267" i="2"/>
  <c r="BM267" i="2"/>
  <c r="Y267" i="2"/>
  <c r="Z267" i="2" s="1"/>
  <c r="P267" i="2"/>
  <c r="BO266" i="2"/>
  <c r="BM266" i="2"/>
  <c r="Z266" i="2"/>
  <c r="Y266" i="2"/>
  <c r="BP266" i="2" s="1"/>
  <c r="P266" i="2"/>
  <c r="BO265" i="2"/>
  <c r="BM265" i="2"/>
  <c r="Y265" i="2"/>
  <c r="BP265" i="2" s="1"/>
  <c r="P265" i="2"/>
  <c r="BO264" i="2"/>
  <c r="BN264" i="2"/>
  <c r="BM264" i="2"/>
  <c r="Y264" i="2"/>
  <c r="Z264" i="2" s="1"/>
  <c r="P264" i="2"/>
  <c r="BO263" i="2"/>
  <c r="BM263" i="2"/>
  <c r="Y263" i="2"/>
  <c r="P263" i="2"/>
  <c r="BO262" i="2"/>
  <c r="BN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X258" i="2"/>
  <c r="X257" i="2"/>
  <c r="BO256" i="2"/>
  <c r="BM256" i="2"/>
  <c r="Z256" i="2"/>
  <c r="Y256" i="2"/>
  <c r="P256" i="2"/>
  <c r="BO255" i="2"/>
  <c r="BM255" i="2"/>
  <c r="Y255" i="2"/>
  <c r="P255" i="2"/>
  <c r="X253" i="2"/>
  <c r="X252" i="2"/>
  <c r="BO251" i="2"/>
  <c r="BM251" i="2"/>
  <c r="Y251" i="2"/>
  <c r="BO250" i="2"/>
  <c r="BM250" i="2"/>
  <c r="Y250" i="2"/>
  <c r="P250" i="2"/>
  <c r="BO249" i="2"/>
  <c r="BN249" i="2"/>
  <c r="BM249" i="2"/>
  <c r="Y249" i="2"/>
  <c r="Z249" i="2" s="1"/>
  <c r="P249" i="2"/>
  <c r="X246" i="2"/>
  <c r="X245" i="2"/>
  <c r="BO244" i="2"/>
  <c r="BN244" i="2"/>
  <c r="BM244" i="2"/>
  <c r="Z244" i="2"/>
  <c r="Z245" i="2" s="1"/>
  <c r="Y244" i="2"/>
  <c r="Y246" i="2" s="1"/>
  <c r="P244" i="2"/>
  <c r="X242" i="2"/>
  <c r="X241" i="2"/>
  <c r="BO240" i="2"/>
  <c r="BN240" i="2"/>
  <c r="BM240" i="2"/>
  <c r="Y240" i="2"/>
  <c r="P240" i="2"/>
  <c r="BO239" i="2"/>
  <c r="BM239" i="2"/>
  <c r="Y239" i="2"/>
  <c r="P239" i="2"/>
  <c r="BO238" i="2"/>
  <c r="BM238" i="2"/>
  <c r="Z238" i="2"/>
  <c r="Y238" i="2"/>
  <c r="P238" i="2"/>
  <c r="X236" i="2"/>
  <c r="X235" i="2"/>
  <c r="BO234" i="2"/>
  <c r="BN234" i="2"/>
  <c r="BM234" i="2"/>
  <c r="Y234" i="2"/>
  <c r="P234" i="2"/>
  <c r="BO233" i="2"/>
  <c r="BM233" i="2"/>
  <c r="Y233" i="2"/>
  <c r="BP233" i="2" s="1"/>
  <c r="P233" i="2"/>
  <c r="BO232" i="2"/>
  <c r="BM232" i="2"/>
  <c r="Y232" i="2"/>
  <c r="Y236" i="2" s="1"/>
  <c r="P232" i="2"/>
  <c r="BP231" i="2"/>
  <c r="BO231" i="2"/>
  <c r="BN231" i="2"/>
  <c r="BM231" i="2"/>
  <c r="Z231" i="2"/>
  <c r="Y231" i="2"/>
  <c r="P231" i="2"/>
  <c r="BO230" i="2"/>
  <c r="BM230" i="2"/>
  <c r="Z230" i="2"/>
  <c r="Y230" i="2"/>
  <c r="BN230" i="2" s="1"/>
  <c r="P230" i="2"/>
  <c r="X228" i="2"/>
  <c r="X227" i="2"/>
  <c r="BO226" i="2"/>
  <c r="BN226" i="2"/>
  <c r="BM226" i="2"/>
  <c r="Y226" i="2"/>
  <c r="Z226" i="2" s="1"/>
  <c r="P226" i="2"/>
  <c r="BO225" i="2"/>
  <c r="BN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N220" i="2"/>
  <c r="BM220" i="2"/>
  <c r="Y220" i="2"/>
  <c r="P220" i="2"/>
  <c r="BO219" i="2"/>
  <c r="BM219" i="2"/>
  <c r="Y219" i="2"/>
  <c r="P219" i="2"/>
  <c r="BO218" i="2"/>
  <c r="BM218" i="2"/>
  <c r="Z218" i="2"/>
  <c r="Y218" i="2"/>
  <c r="BN218" i="2" s="1"/>
  <c r="P218" i="2"/>
  <c r="BO217" i="2"/>
  <c r="BM217" i="2"/>
  <c r="Y217" i="2"/>
  <c r="BN217" i="2" s="1"/>
  <c r="P217" i="2"/>
  <c r="BP216" i="2"/>
  <c r="BO216" i="2"/>
  <c r="BN216" i="2"/>
  <c r="BM216" i="2"/>
  <c r="Z216" i="2"/>
  <c r="Y216" i="2"/>
  <c r="P216" i="2"/>
  <c r="BO215" i="2"/>
  <c r="BM215" i="2"/>
  <c r="Y215" i="2"/>
  <c r="P215" i="2"/>
  <c r="BO214" i="2"/>
  <c r="BM214" i="2"/>
  <c r="Y214" i="2"/>
  <c r="P214" i="2"/>
  <c r="Y212" i="2"/>
  <c r="X212" i="2"/>
  <c r="Z211" i="2"/>
  <c r="X211" i="2"/>
  <c r="BP210" i="2"/>
  <c r="BO210" i="2"/>
  <c r="BN210" i="2"/>
  <c r="BM210" i="2"/>
  <c r="Z210" i="2"/>
  <c r="Y210" i="2"/>
  <c r="Y211" i="2" s="1"/>
  <c r="P210" i="2"/>
  <c r="X207" i="2"/>
  <c r="X206" i="2"/>
  <c r="BO205" i="2"/>
  <c r="BM205" i="2"/>
  <c r="Y205" i="2"/>
  <c r="P205" i="2"/>
  <c r="BO204" i="2"/>
  <c r="BN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N200" i="2"/>
  <c r="BM200" i="2"/>
  <c r="Y200" i="2"/>
  <c r="P200" i="2"/>
  <c r="BO199" i="2"/>
  <c r="BM199" i="2"/>
  <c r="Y199" i="2"/>
  <c r="K572" i="2" s="1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Y191" i="2" s="1"/>
  <c r="P189" i="2"/>
  <c r="X187" i="2"/>
  <c r="X186" i="2"/>
  <c r="BP185" i="2"/>
  <c r="BO185" i="2"/>
  <c r="BN185" i="2"/>
  <c r="BM185" i="2"/>
  <c r="Z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P176" i="2"/>
  <c r="BO176" i="2"/>
  <c r="BN176" i="2"/>
  <c r="BM176" i="2"/>
  <c r="Z176" i="2"/>
  <c r="Y176" i="2"/>
  <c r="P176" i="2"/>
  <c r="BO175" i="2"/>
  <c r="BM175" i="2"/>
  <c r="Y175" i="2"/>
  <c r="BP175" i="2" s="1"/>
  <c r="P175" i="2"/>
  <c r="BO174" i="2"/>
  <c r="BN174" i="2"/>
  <c r="BM174" i="2"/>
  <c r="Y174" i="2"/>
  <c r="P174" i="2"/>
  <c r="BO173" i="2"/>
  <c r="BM173" i="2"/>
  <c r="Z173" i="2"/>
  <c r="Y173" i="2"/>
  <c r="BN173" i="2" s="1"/>
  <c r="P173" i="2"/>
  <c r="BO172" i="2"/>
  <c r="BM172" i="2"/>
  <c r="Y172" i="2"/>
  <c r="BN172" i="2" s="1"/>
  <c r="P172" i="2"/>
  <c r="BP171" i="2"/>
  <c r="BO171" i="2"/>
  <c r="BN171" i="2"/>
  <c r="BM171" i="2"/>
  <c r="Z171" i="2"/>
  <c r="Y171" i="2"/>
  <c r="P171" i="2"/>
  <c r="BO170" i="2"/>
  <c r="BM170" i="2"/>
  <c r="Y170" i="2"/>
  <c r="Y181" i="2" s="1"/>
  <c r="P170" i="2"/>
  <c r="X168" i="2"/>
  <c r="X167" i="2"/>
  <c r="BO166" i="2"/>
  <c r="BM166" i="2"/>
  <c r="Y166" i="2"/>
  <c r="BP166" i="2" s="1"/>
  <c r="P166" i="2"/>
  <c r="BP165" i="2"/>
  <c r="BO165" i="2"/>
  <c r="BN165" i="2"/>
  <c r="BM165" i="2"/>
  <c r="Z165" i="2"/>
  <c r="Y165" i="2"/>
  <c r="Y167" i="2" s="1"/>
  <c r="P165" i="2"/>
  <c r="X163" i="2"/>
  <c r="X162" i="2"/>
  <c r="BO161" i="2"/>
  <c r="BM161" i="2"/>
  <c r="Y161" i="2"/>
  <c r="Z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J572" i="2" s="1"/>
  <c r="P158" i="2"/>
  <c r="X155" i="2"/>
  <c r="X154" i="2"/>
  <c r="BP153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P148" i="2"/>
  <c r="BO148" i="2"/>
  <c r="BN148" i="2"/>
  <c r="BM148" i="2"/>
  <c r="Z148" i="2"/>
  <c r="Y148" i="2"/>
  <c r="P148" i="2"/>
  <c r="BO147" i="2"/>
  <c r="BM147" i="2"/>
  <c r="Y147" i="2"/>
  <c r="BP147" i="2" s="1"/>
  <c r="P147" i="2"/>
  <c r="BP146" i="2"/>
  <c r="BO146" i="2"/>
  <c r="BN146" i="2"/>
  <c r="BM146" i="2"/>
  <c r="Z146" i="2"/>
  <c r="Y146" i="2"/>
  <c r="P146" i="2"/>
  <c r="X143" i="2"/>
  <c r="X142" i="2"/>
  <c r="BO141" i="2"/>
  <c r="BM141" i="2"/>
  <c r="Y141" i="2"/>
  <c r="BN141" i="2" s="1"/>
  <c r="P141" i="2"/>
  <c r="BO140" i="2"/>
  <c r="BM140" i="2"/>
  <c r="Y140" i="2"/>
  <c r="BN140" i="2" s="1"/>
  <c r="P140" i="2"/>
  <c r="X138" i="2"/>
  <c r="X137" i="2"/>
  <c r="BO136" i="2"/>
  <c r="BN136" i="2"/>
  <c r="BM136" i="2"/>
  <c r="Y136" i="2"/>
  <c r="P136" i="2"/>
  <c r="BO135" i="2"/>
  <c r="BM135" i="2"/>
  <c r="Y135" i="2"/>
  <c r="Y137" i="2" s="1"/>
  <c r="P135" i="2"/>
  <c r="X133" i="2"/>
  <c r="X132" i="2"/>
  <c r="BO131" i="2"/>
  <c r="BM131" i="2"/>
  <c r="Y131" i="2"/>
  <c r="BN131" i="2" s="1"/>
  <c r="P131" i="2"/>
  <c r="BP130" i="2"/>
  <c r="BO130" i="2"/>
  <c r="BM130" i="2"/>
  <c r="Y130" i="2"/>
  <c r="Z130" i="2" s="1"/>
  <c r="P130" i="2"/>
  <c r="X127" i="2"/>
  <c r="X126" i="2"/>
  <c r="BP125" i="2"/>
  <c r="BO125" i="2"/>
  <c r="BM125" i="2"/>
  <c r="Y125" i="2"/>
  <c r="Y127" i="2" s="1"/>
  <c r="P125" i="2"/>
  <c r="X123" i="2"/>
  <c r="X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P119" i="2" s="1"/>
  <c r="P119" i="2"/>
  <c r="BO118" i="2"/>
  <c r="BN118" i="2"/>
  <c r="BM118" i="2"/>
  <c r="Y118" i="2"/>
  <c r="BP118" i="2" s="1"/>
  <c r="P118" i="2"/>
  <c r="X116" i="2"/>
  <c r="X115" i="2"/>
  <c r="BO114" i="2"/>
  <c r="BM114" i="2"/>
  <c r="Y114" i="2"/>
  <c r="Z114" i="2" s="1"/>
  <c r="P114" i="2"/>
  <c r="BO113" i="2"/>
  <c r="BN113" i="2"/>
  <c r="BM113" i="2"/>
  <c r="Y113" i="2"/>
  <c r="BP113" i="2" s="1"/>
  <c r="P113" i="2"/>
  <c r="BO112" i="2"/>
  <c r="BN112" i="2"/>
  <c r="BM112" i="2"/>
  <c r="Y112" i="2"/>
  <c r="Y115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N104" i="2"/>
  <c r="BM104" i="2"/>
  <c r="Y104" i="2"/>
  <c r="Z104" i="2" s="1"/>
  <c r="P104" i="2"/>
  <c r="BO103" i="2"/>
  <c r="BM103" i="2"/>
  <c r="Y103" i="2"/>
  <c r="BN103" i="2" s="1"/>
  <c r="P103" i="2"/>
  <c r="BO102" i="2"/>
  <c r="BN102" i="2"/>
  <c r="BM102" i="2"/>
  <c r="Z102" i="2"/>
  <c r="Y102" i="2"/>
  <c r="P102" i="2"/>
  <c r="X99" i="2"/>
  <c r="X98" i="2"/>
  <c r="BO97" i="2"/>
  <c r="BN97" i="2"/>
  <c r="BM97" i="2"/>
  <c r="Y97" i="2"/>
  <c r="BP97" i="2" s="1"/>
  <c r="P97" i="2"/>
  <c r="BP96" i="2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Y99" i="2" s="1"/>
  <c r="P94" i="2"/>
  <c r="X92" i="2"/>
  <c r="X91" i="2"/>
  <c r="BO90" i="2"/>
  <c r="BM90" i="2"/>
  <c r="Y90" i="2"/>
  <c r="BP90" i="2" s="1"/>
  <c r="P90" i="2"/>
  <c r="BP89" i="2"/>
  <c r="BO89" i="2"/>
  <c r="BN89" i="2"/>
  <c r="BM89" i="2"/>
  <c r="Z89" i="2"/>
  <c r="Y89" i="2"/>
  <c r="P89" i="2"/>
  <c r="BO88" i="2"/>
  <c r="BM88" i="2"/>
  <c r="Y88" i="2"/>
  <c r="BP88" i="2" s="1"/>
  <c r="P88" i="2"/>
  <c r="BO87" i="2"/>
  <c r="BM87" i="2"/>
  <c r="Y87" i="2"/>
  <c r="BP87" i="2" s="1"/>
  <c r="P87" i="2"/>
  <c r="BP86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N80" i="2"/>
  <c r="BM80" i="2"/>
  <c r="Z80" i="2"/>
  <c r="Y80" i="2"/>
  <c r="BP80" i="2" s="1"/>
  <c r="P80" i="2"/>
  <c r="BO79" i="2"/>
  <c r="BM79" i="2"/>
  <c r="Y79" i="2"/>
  <c r="BP79" i="2" s="1"/>
  <c r="P79" i="2"/>
  <c r="BP78" i="2"/>
  <c r="BO78" i="2"/>
  <c r="BN78" i="2"/>
  <c r="BM78" i="2"/>
  <c r="Z78" i="2"/>
  <c r="Y78" i="2"/>
  <c r="P78" i="2"/>
  <c r="X76" i="2"/>
  <c r="X75" i="2"/>
  <c r="BO74" i="2"/>
  <c r="BN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Z68" i="2"/>
  <c r="Y68" i="2"/>
  <c r="BP68" i="2" s="1"/>
  <c r="P68" i="2"/>
  <c r="BO67" i="2"/>
  <c r="BM67" i="2"/>
  <c r="Y67" i="2"/>
  <c r="BP67" i="2" s="1"/>
  <c r="P67" i="2"/>
  <c r="BO66" i="2"/>
  <c r="BM66" i="2"/>
  <c r="Y66" i="2"/>
  <c r="Y71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N60" i="2"/>
  <c r="BM60" i="2"/>
  <c r="Y60" i="2"/>
  <c r="Z60" i="2" s="1"/>
  <c r="P60" i="2"/>
  <c r="BO59" i="2"/>
  <c r="BN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Y63" i="2" s="1"/>
  <c r="P56" i="2"/>
  <c r="BO55" i="2"/>
  <c r="BN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Y52" i="2" s="1"/>
  <c r="P48" i="2"/>
  <c r="BO47" i="2"/>
  <c r="BN47" i="2"/>
  <c r="BM47" i="2"/>
  <c r="Z47" i="2"/>
  <c r="Y47" i="2"/>
  <c r="P47" i="2"/>
  <c r="X43" i="2"/>
  <c r="X42" i="2"/>
  <c r="BO41" i="2"/>
  <c r="BN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Y43" i="2" s="1"/>
  <c r="P38" i="2"/>
  <c r="BO37" i="2"/>
  <c r="BN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X566" i="2" s="1"/>
  <c r="BO26" i="2"/>
  <c r="BM26" i="2"/>
  <c r="Y26" i="2"/>
  <c r="BP26" i="2" s="1"/>
  <c r="P26" i="2"/>
  <c r="BO25" i="2"/>
  <c r="BM25" i="2"/>
  <c r="Z25" i="2"/>
  <c r="Y25" i="2"/>
  <c r="BN25" i="2" s="1"/>
  <c r="P25" i="2"/>
  <c r="BO24" i="2"/>
  <c r="BM24" i="2"/>
  <c r="Y24" i="2"/>
  <c r="BN24" i="2" s="1"/>
  <c r="P24" i="2"/>
  <c r="BO23" i="2"/>
  <c r="BN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X563" i="2" l="1"/>
  <c r="Z23" i="2"/>
  <c r="BP25" i="2"/>
  <c r="BN26" i="2"/>
  <c r="Y28" i="2"/>
  <c r="BP37" i="2"/>
  <c r="Z41" i="2"/>
  <c r="D572" i="2"/>
  <c r="BN48" i="2"/>
  <c r="Z55" i="2"/>
  <c r="BN68" i="2"/>
  <c r="BN73" i="2"/>
  <c r="Z74" i="2"/>
  <c r="Y82" i="2"/>
  <c r="Z79" i="2"/>
  <c r="BP104" i="2"/>
  <c r="Z108" i="2"/>
  <c r="Z112" i="2"/>
  <c r="BN114" i="2"/>
  <c r="Z118" i="2"/>
  <c r="Y138" i="2"/>
  <c r="BN161" i="2"/>
  <c r="Y162" i="2"/>
  <c r="Y168" i="2"/>
  <c r="BN184" i="2"/>
  <c r="BN193" i="2"/>
  <c r="Y194" i="2"/>
  <c r="Z205" i="2"/>
  <c r="BN205" i="2"/>
  <c r="BP219" i="2"/>
  <c r="BN219" i="2"/>
  <c r="BP220" i="2"/>
  <c r="Z220" i="2"/>
  <c r="BP224" i="2"/>
  <c r="BP234" i="2"/>
  <c r="Z234" i="2"/>
  <c r="Y242" i="2"/>
  <c r="BN239" i="2"/>
  <c r="BP240" i="2"/>
  <c r="Z240" i="2"/>
  <c r="BP249" i="2"/>
  <c r="BP255" i="2"/>
  <c r="Z255" i="2"/>
  <c r="Z257" i="2" s="1"/>
  <c r="BP263" i="2"/>
  <c r="BN263" i="2"/>
  <c r="BP264" i="2"/>
  <c r="BN273" i="2"/>
  <c r="BP313" i="2"/>
  <c r="BN313" i="2"/>
  <c r="BP338" i="2"/>
  <c r="Z338" i="2"/>
  <c r="BP403" i="2"/>
  <c r="BN403" i="2"/>
  <c r="BP441" i="2"/>
  <c r="Y450" i="2"/>
  <c r="Y451" i="2"/>
  <c r="BP454" i="2"/>
  <c r="Z454" i="2"/>
  <c r="Z486" i="2"/>
  <c r="BN486" i="2"/>
  <c r="AA572" i="2"/>
  <c r="Y497" i="2"/>
  <c r="Z496" i="2"/>
  <c r="Z497" i="2" s="1"/>
  <c r="Y517" i="2"/>
  <c r="BN508" i="2"/>
  <c r="BP519" i="2"/>
  <c r="BN519" i="2"/>
  <c r="Y522" i="2"/>
  <c r="Y523" i="2"/>
  <c r="X564" i="2"/>
  <c r="X565" i="2" s="1"/>
  <c r="BN31" i="2"/>
  <c r="Y32" i="2"/>
  <c r="BP40" i="2"/>
  <c r="BN49" i="2"/>
  <c r="Y51" i="2"/>
  <c r="BN58" i="2"/>
  <c r="BP60" i="2"/>
  <c r="BN69" i="2"/>
  <c r="Z81" i="2"/>
  <c r="Y92" i="2"/>
  <c r="BN87" i="2"/>
  <c r="Z90" i="2"/>
  <c r="Z97" i="2"/>
  <c r="Y110" i="2"/>
  <c r="BP107" i="2"/>
  <c r="BN119" i="2"/>
  <c r="Y122" i="2"/>
  <c r="Z131" i="2"/>
  <c r="BP131" i="2"/>
  <c r="BN135" i="2"/>
  <c r="Z141" i="2"/>
  <c r="BP141" i="2"/>
  <c r="I572" i="2"/>
  <c r="Z147" i="2"/>
  <c r="BN159" i="2"/>
  <c r="BN166" i="2"/>
  <c r="BP172" i="2"/>
  <c r="Y182" i="2"/>
  <c r="BN175" i="2"/>
  <c r="Z179" i="2"/>
  <c r="BP179" i="2"/>
  <c r="BN180" i="2"/>
  <c r="Z189" i="2"/>
  <c r="Z190" i="2" s="1"/>
  <c r="BP189" i="2"/>
  <c r="Z199" i="2"/>
  <c r="BP199" i="2"/>
  <c r="Z203" i="2"/>
  <c r="BP203" i="2"/>
  <c r="BP217" i="2"/>
  <c r="Z224" i="2"/>
  <c r="BP251" i="2"/>
  <c r="Z251" i="2"/>
  <c r="BP277" i="2"/>
  <c r="BP293" i="2"/>
  <c r="Z293" i="2"/>
  <c r="Z296" i="2"/>
  <c r="BP298" i="2"/>
  <c r="BP310" i="2"/>
  <c r="Z313" i="2"/>
  <c r="Y327" i="2"/>
  <c r="Z319" i="2"/>
  <c r="BP339" i="2"/>
  <c r="BN339" i="2"/>
  <c r="BP340" i="2"/>
  <c r="Y348" i="2"/>
  <c r="BP344" i="2"/>
  <c r="Z344" i="2"/>
  <c r="Y347" i="2"/>
  <c r="BP369" i="2"/>
  <c r="BP389" i="2"/>
  <c r="Z403" i="2"/>
  <c r="Y410" i="2"/>
  <c r="Z408" i="2"/>
  <c r="BP422" i="2"/>
  <c r="BN437" i="2"/>
  <c r="BP437" i="2"/>
  <c r="BN438" i="2"/>
  <c r="Z438" i="2"/>
  <c r="Z441" i="2"/>
  <c r="Z449" i="2"/>
  <c r="BN449" i="2"/>
  <c r="Z461" i="2"/>
  <c r="BP460" i="2"/>
  <c r="BN460" i="2"/>
  <c r="Z474" i="2"/>
  <c r="BN474" i="2"/>
  <c r="BP502" i="2"/>
  <c r="BN502" i="2"/>
  <c r="BP514" i="2"/>
  <c r="BN514" i="2"/>
  <c r="Z519" i="2"/>
  <c r="Z531" i="2"/>
  <c r="BP531" i="2"/>
  <c r="H9" i="2"/>
  <c r="BP24" i="2"/>
  <c r="BP114" i="2"/>
  <c r="Y123" i="2"/>
  <c r="BP161" i="2"/>
  <c r="BP193" i="2"/>
  <c r="Y195" i="2"/>
  <c r="BP214" i="2"/>
  <c r="BN214" i="2"/>
  <c r="Y252" i="2"/>
  <c r="Z250" i="2"/>
  <c r="Z252" i="2" s="1"/>
  <c r="Y253" i="2"/>
  <c r="BP286" i="2"/>
  <c r="Z286" i="2"/>
  <c r="Z288" i="2" s="1"/>
  <c r="BP294" i="2"/>
  <c r="BN294" i="2"/>
  <c r="BP295" i="2"/>
  <c r="BN338" i="2"/>
  <c r="BP362" i="2"/>
  <c r="BP367" i="2"/>
  <c r="Z369" i="2"/>
  <c r="Y375" i="2"/>
  <c r="BP373" i="2"/>
  <c r="Z373" i="2"/>
  <c r="Y384" i="2"/>
  <c r="BN378" i="2"/>
  <c r="BP379" i="2"/>
  <c r="Z379" i="2"/>
  <c r="Y385" i="2"/>
  <c r="BP383" i="2"/>
  <c r="BP387" i="2"/>
  <c r="Z389" i="2"/>
  <c r="Y391" i="2"/>
  <c r="Z394" i="2"/>
  <c r="BP420" i="2"/>
  <c r="Z422" i="2"/>
  <c r="BN454" i="2"/>
  <c r="Z455" i="2"/>
  <c r="Z460" i="2"/>
  <c r="Y498" i="2"/>
  <c r="Z502" i="2"/>
  <c r="Z514" i="2"/>
  <c r="Z521" i="2"/>
  <c r="BN521" i="2"/>
  <c r="J9" i="2"/>
  <c r="Z22" i="2"/>
  <c r="Z24" i="2"/>
  <c r="X562" i="2"/>
  <c r="Z31" i="2"/>
  <c r="BP49" i="2"/>
  <c r="E572" i="2"/>
  <c r="Z58" i="2"/>
  <c r="Z87" i="2"/>
  <c r="Y109" i="2"/>
  <c r="BP108" i="2"/>
  <c r="Y116" i="2"/>
  <c r="Z119" i="2"/>
  <c r="Z132" i="2"/>
  <c r="Y132" i="2"/>
  <c r="Z135" i="2"/>
  <c r="Y143" i="2"/>
  <c r="BP149" i="2"/>
  <c r="Z159" i="2"/>
  <c r="BN160" i="2"/>
  <c r="Z166" i="2"/>
  <c r="Z167" i="2" s="1"/>
  <c r="Z170" i="2"/>
  <c r="BP173" i="2"/>
  <c r="Z175" i="2"/>
  <c r="BN189" i="2"/>
  <c r="BN199" i="2"/>
  <c r="BP200" i="2"/>
  <c r="Z200" i="2"/>
  <c r="BP205" i="2"/>
  <c r="Z214" i="2"/>
  <c r="BP215" i="2"/>
  <c r="Z215" i="2"/>
  <c r="BP226" i="2"/>
  <c r="BP230" i="2"/>
  <c r="Y269" i="2"/>
  <c r="BP262" i="2"/>
  <c r="Z262" i="2"/>
  <c r="Z265" i="2"/>
  <c r="BP267" i="2"/>
  <c r="Z274" i="2"/>
  <c r="BN274" i="2"/>
  <c r="Z281" i="2"/>
  <c r="BN282" i="2"/>
  <c r="Z282" i="2"/>
  <c r="BN293" i="2"/>
  <c r="BP318" i="2"/>
  <c r="BP322" i="2"/>
  <c r="Z330" i="2"/>
  <c r="Z333" i="2" s="1"/>
  <c r="BN340" i="2"/>
  <c r="BN344" i="2"/>
  <c r="Z345" i="2"/>
  <c r="S572" i="2"/>
  <c r="BP351" i="2"/>
  <c r="Z351" i="2"/>
  <c r="Z352" i="2" s="1"/>
  <c r="Y356" i="2"/>
  <c r="BN355" i="2"/>
  <c r="Z362" i="2"/>
  <c r="Z367" i="2"/>
  <c r="Z374" i="2" s="1"/>
  <c r="Z383" i="2"/>
  <c r="Z387" i="2"/>
  <c r="Z410" i="2"/>
  <c r="BP407" i="2"/>
  <c r="Y424" i="2"/>
  <c r="BP440" i="2"/>
  <c r="Z440" i="2"/>
  <c r="BP447" i="2"/>
  <c r="BP484" i="2"/>
  <c r="Z484" i="2"/>
  <c r="BP486" i="2"/>
  <c r="BP496" i="2"/>
  <c r="BP508" i="2"/>
  <c r="Z511" i="2"/>
  <c r="BN511" i="2"/>
  <c r="BP529" i="2"/>
  <c r="BN529" i="2"/>
  <c r="Y425" i="2"/>
  <c r="BP421" i="2"/>
  <c r="BP423" i="2"/>
  <c r="BP448" i="2"/>
  <c r="Y489" i="2"/>
  <c r="Y516" i="2"/>
  <c r="BP526" i="2"/>
  <c r="BP218" i="2"/>
  <c r="Y241" i="2"/>
  <c r="BP238" i="2"/>
  <c r="Y257" i="2"/>
  <c r="Y374" i="2"/>
  <c r="BP377" i="2"/>
  <c r="Y392" i="2"/>
  <c r="Y432" i="2"/>
  <c r="Z429" i="2"/>
  <c r="BP439" i="2"/>
  <c r="Z448" i="2"/>
  <c r="Y461" i="2"/>
  <c r="BP483" i="2"/>
  <c r="Z485" i="2"/>
  <c r="Y488" i="2"/>
  <c r="Z491" i="2"/>
  <c r="Z492" i="2" s="1"/>
  <c r="BP491" i="2"/>
  <c r="Y504" i="2"/>
  <c r="Z509" i="2"/>
  <c r="Z520" i="2"/>
  <c r="Z530" i="2"/>
  <c r="AC572" i="2"/>
  <c r="Z522" i="2"/>
  <c r="Z241" i="2"/>
  <c r="F9" i="2"/>
  <c r="Z26" i="2"/>
  <c r="Z27" i="2" s="1"/>
  <c r="BN40" i="2"/>
  <c r="Y64" i="2"/>
  <c r="Z73" i="2"/>
  <c r="Z75" i="2" s="1"/>
  <c r="BN86" i="2"/>
  <c r="BN96" i="2"/>
  <c r="BN107" i="2"/>
  <c r="BN130" i="2"/>
  <c r="Z140" i="2"/>
  <c r="Z142" i="2" s="1"/>
  <c r="BN153" i="2"/>
  <c r="Z174" i="2"/>
  <c r="Z184" i="2"/>
  <c r="Z186" i="2" s="1"/>
  <c r="Z219" i="2"/>
  <c r="Z239" i="2"/>
  <c r="Y258" i="2"/>
  <c r="BN267" i="2"/>
  <c r="BN277" i="2"/>
  <c r="BN287" i="2"/>
  <c r="BN298" i="2"/>
  <c r="BN310" i="2"/>
  <c r="BN321" i="2"/>
  <c r="BN332" i="2"/>
  <c r="Y357" i="2"/>
  <c r="Z368" i="2"/>
  <c r="Z378" i="2"/>
  <c r="Z384" i="2" s="1"/>
  <c r="Z388" i="2"/>
  <c r="Z391" i="2" s="1"/>
  <c r="BN400" i="2"/>
  <c r="Y411" i="2"/>
  <c r="Z421" i="2"/>
  <c r="Z424" i="2" s="1"/>
  <c r="Y462" i="2"/>
  <c r="Y477" i="2"/>
  <c r="BN531" i="2"/>
  <c r="BN545" i="2"/>
  <c r="L572" i="2"/>
  <c r="Y206" i="2"/>
  <c r="Y227" i="2"/>
  <c r="Y304" i="2"/>
  <c r="Y341" i="2"/>
  <c r="Y445" i="2"/>
  <c r="Y468" i="2"/>
  <c r="Y539" i="2"/>
  <c r="Y551" i="2"/>
  <c r="M572" i="2"/>
  <c r="Z94" i="2"/>
  <c r="Y556" i="2"/>
  <c r="O572" i="2"/>
  <c r="Z38" i="2"/>
  <c r="Z50" i="2"/>
  <c r="Z105" i="2"/>
  <c r="A10" i="2"/>
  <c r="BP47" i="2"/>
  <c r="Z56" i="2"/>
  <c r="Z66" i="2"/>
  <c r="Y81" i="2"/>
  <c r="BP102" i="2"/>
  <c r="BP112" i="2"/>
  <c r="Z120" i="2"/>
  <c r="Z122" i="2" s="1"/>
  <c r="BP135" i="2"/>
  <c r="Z177" i="2"/>
  <c r="Z201" i="2"/>
  <c r="Z222" i="2"/>
  <c r="Z232" i="2"/>
  <c r="Z260" i="2"/>
  <c r="Y283" i="2"/>
  <c r="Z346" i="2"/>
  <c r="Z347" i="2" s="1"/>
  <c r="Z360" i="2"/>
  <c r="Z371" i="2"/>
  <c r="Z381" i="2"/>
  <c r="Z413" i="2"/>
  <c r="Z430" i="2"/>
  <c r="Z431" i="2" s="1"/>
  <c r="Z442" i="2"/>
  <c r="Z465" i="2"/>
  <c r="Y478" i="2"/>
  <c r="P572" i="2"/>
  <c r="BN38" i="2"/>
  <c r="BN50" i="2"/>
  <c r="BN61" i="2"/>
  <c r="BP73" i="2"/>
  <c r="BN94" i="2"/>
  <c r="BN105" i="2"/>
  <c r="Z125" i="2"/>
  <c r="Z126" i="2" s="1"/>
  <c r="BP140" i="2"/>
  <c r="Z149" i="2"/>
  <c r="Y154" i="2"/>
  <c r="Y163" i="2"/>
  <c r="Z172" i="2"/>
  <c r="BP174" i="2"/>
  <c r="BP184" i="2"/>
  <c r="Y207" i="2"/>
  <c r="Z217" i="2"/>
  <c r="Y228" i="2"/>
  <c r="BP239" i="2"/>
  <c r="BN250" i="2"/>
  <c r="BN255" i="2"/>
  <c r="BN265" i="2"/>
  <c r="Y268" i="2"/>
  <c r="BN275" i="2"/>
  <c r="Y288" i="2"/>
  <c r="BN296" i="2"/>
  <c r="Y299" i="2"/>
  <c r="Z306" i="2"/>
  <c r="Z307" i="2" s="1"/>
  <c r="BN319" i="2"/>
  <c r="BN330" i="2"/>
  <c r="Y333" i="2"/>
  <c r="Y342" i="2"/>
  <c r="BP368" i="2"/>
  <c r="BP378" i="2"/>
  <c r="BP388" i="2"/>
  <c r="Z396" i="2"/>
  <c r="BN408" i="2"/>
  <c r="Z437" i="2"/>
  <c r="Z447" i="2"/>
  <c r="Z450" i="2" s="1"/>
  <c r="BN459" i="2"/>
  <c r="Z470" i="2"/>
  <c r="Z471" i="2" s="1"/>
  <c r="BN484" i="2"/>
  <c r="BN509" i="2"/>
  <c r="Y532" i="2"/>
  <c r="Z541" i="2"/>
  <c r="Z542" i="2" s="1"/>
  <c r="Z553" i="2"/>
  <c r="Q572" i="2"/>
  <c r="BN56" i="2"/>
  <c r="BN201" i="2"/>
  <c r="BN222" i="2"/>
  <c r="BN232" i="2"/>
  <c r="Y235" i="2"/>
  <c r="BP244" i="2"/>
  <c r="BN260" i="2"/>
  <c r="Z278" i="2"/>
  <c r="Z311" i="2"/>
  <c r="Z322" i="2"/>
  <c r="Z326" i="2" s="1"/>
  <c r="BN346" i="2"/>
  <c r="BN360" i="2"/>
  <c r="Y363" i="2"/>
  <c r="BN371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R572" i="2"/>
  <c r="Z61" i="2"/>
  <c r="BN66" i="2"/>
  <c r="BN120" i="2"/>
  <c r="BN177" i="2"/>
  <c r="Y27" i="2"/>
  <c r="BP38" i="2"/>
  <c r="Z48" i="2"/>
  <c r="BP50" i="2"/>
  <c r="Z59" i="2"/>
  <c r="Z69" i="2"/>
  <c r="BP94" i="2"/>
  <c r="Z103" i="2"/>
  <c r="Z113" i="2"/>
  <c r="Z115" i="2" s="1"/>
  <c r="BN125" i="2"/>
  <c r="Z136" i="2"/>
  <c r="Z137" i="2" s="1"/>
  <c r="Z160" i="2"/>
  <c r="Z180" i="2"/>
  <c r="Z204" i="2"/>
  <c r="Z225" i="2"/>
  <c r="BP250" i="2"/>
  <c r="Z263" i="2"/>
  <c r="Z273" i="2"/>
  <c r="Y284" i="2"/>
  <c r="Z294" i="2"/>
  <c r="BN306" i="2"/>
  <c r="BP319" i="2"/>
  <c r="BP330" i="2"/>
  <c r="Z339" i="2"/>
  <c r="Y353" i="2"/>
  <c r="BP408" i="2"/>
  <c r="BN447" i="2"/>
  <c r="BP459" i="2"/>
  <c r="BN470" i="2"/>
  <c r="Z482" i="2"/>
  <c r="Z488" i="2" s="1"/>
  <c r="BP509" i="2"/>
  <c r="Z527" i="2"/>
  <c r="BN541" i="2"/>
  <c r="BN553" i="2"/>
  <c r="BP56" i="2"/>
  <c r="BP66" i="2"/>
  <c r="BP120" i="2"/>
  <c r="Y155" i="2"/>
  <c r="Y190" i="2"/>
  <c r="BP232" i="2"/>
  <c r="Y245" i="2"/>
  <c r="BP260" i="2"/>
  <c r="Y289" i="2"/>
  <c r="Y300" i="2"/>
  <c r="Y314" i="2"/>
  <c r="BP346" i="2"/>
  <c r="BP360" i="2"/>
  <c r="BP371" i="2"/>
  <c r="BP381" i="2"/>
  <c r="Y404" i="2"/>
  <c r="BP413" i="2"/>
  <c r="BP430" i="2"/>
  <c r="BP465" i="2"/>
  <c r="BN500" i="2"/>
  <c r="Y503" i="2"/>
  <c r="Y533" i="2"/>
  <c r="Y547" i="2"/>
  <c r="BN559" i="2"/>
  <c r="T572" i="2"/>
  <c r="Z515" i="2"/>
  <c r="BN527" i="2"/>
  <c r="BP541" i="2"/>
  <c r="BP553" i="2"/>
  <c r="B572" i="2"/>
  <c r="U572" i="2"/>
  <c r="BP559" i="2"/>
  <c r="C572" i="2"/>
  <c r="V572" i="2"/>
  <c r="Z62" i="2"/>
  <c r="Z106" i="2"/>
  <c r="BN22" i="2"/>
  <c r="Y33" i="2"/>
  <c r="BP48" i="2"/>
  <c r="Z57" i="2"/>
  <c r="Z67" i="2"/>
  <c r="BN79" i="2"/>
  <c r="BN90" i="2"/>
  <c r="BP103" i="2"/>
  <c r="Z121" i="2"/>
  <c r="Y126" i="2"/>
  <c r="BP136" i="2"/>
  <c r="BN147" i="2"/>
  <c r="Y150" i="2"/>
  <c r="Z158" i="2"/>
  <c r="Z162" i="2" s="1"/>
  <c r="BN170" i="2"/>
  <c r="Z178" i="2"/>
  <c r="Z202" i="2"/>
  <c r="BN215" i="2"/>
  <c r="Z223" i="2"/>
  <c r="Z233" i="2"/>
  <c r="BN251" i="2"/>
  <c r="Z261" i="2"/>
  <c r="Z271" i="2"/>
  <c r="BN281" i="2"/>
  <c r="Z292" i="2"/>
  <c r="Z302" i="2"/>
  <c r="Z303" i="2" s="1"/>
  <c r="Y307" i="2"/>
  <c r="Y315" i="2"/>
  <c r="BN325" i="2"/>
  <c r="Z337" i="2"/>
  <c r="Z361" i="2"/>
  <c r="Z372" i="2"/>
  <c r="Z382" i="2"/>
  <c r="BN394" i="2"/>
  <c r="Y397" i="2"/>
  <c r="Y405" i="2"/>
  <c r="Z414" i="2"/>
  <c r="Z443" i="2"/>
  <c r="BN455" i="2"/>
  <c r="Z466" i="2"/>
  <c r="Y471" i="2"/>
  <c r="BP482" i="2"/>
  <c r="BN515" i="2"/>
  <c r="Z525" i="2"/>
  <c r="Z537" i="2"/>
  <c r="Z538" i="2" s="1"/>
  <c r="Y542" i="2"/>
  <c r="Z549" i="2"/>
  <c r="Z550" i="2" s="1"/>
  <c r="W572" i="2"/>
  <c r="Z95" i="2"/>
  <c r="BN39" i="2"/>
  <c r="BN62" i="2"/>
  <c r="BN85" i="2"/>
  <c r="Y98" i="2"/>
  <c r="Z554" i="2"/>
  <c r="Y560" i="2"/>
  <c r="X572" i="2"/>
  <c r="Z85" i="2"/>
  <c r="Y42" i="2"/>
  <c r="BN95" i="2"/>
  <c r="BN106" i="2"/>
  <c r="BN256" i="2"/>
  <c r="BN286" i="2"/>
  <c r="Z30" i="2"/>
  <c r="Z32" i="2" s="1"/>
  <c r="BN57" i="2"/>
  <c r="BN67" i="2"/>
  <c r="Y70" i="2"/>
  <c r="Z88" i="2"/>
  <c r="BN121" i="2"/>
  <c r="BN158" i="2"/>
  <c r="BP170" i="2"/>
  <c r="BN178" i="2"/>
  <c r="BN202" i="2"/>
  <c r="BN223" i="2"/>
  <c r="BN233" i="2"/>
  <c r="BN261" i="2"/>
  <c r="BN271" i="2"/>
  <c r="Z279" i="2"/>
  <c r="BN292" i="2"/>
  <c r="BN302" i="2"/>
  <c r="Z312" i="2"/>
  <c r="Z323" i="2"/>
  <c r="BN337" i="2"/>
  <c r="BN361" i="2"/>
  <c r="BN372" i="2"/>
  <c r="BN382" i="2"/>
  <c r="BP394" i="2"/>
  <c r="Z402" i="2"/>
  <c r="BN414" i="2"/>
  <c r="BN443" i="2"/>
  <c r="Z453" i="2"/>
  <c r="BN466" i="2"/>
  <c r="Z476" i="2"/>
  <c r="Z501" i="2"/>
  <c r="Z513" i="2"/>
  <c r="BN525" i="2"/>
  <c r="BN537" i="2"/>
  <c r="BN549" i="2"/>
  <c r="F572" i="2"/>
  <c r="Y572" i="2"/>
  <c r="Z39" i="2"/>
  <c r="BN266" i="2"/>
  <c r="BN276" i="2"/>
  <c r="BN297" i="2"/>
  <c r="Y75" i="2"/>
  <c r="BP85" i="2"/>
  <c r="Y142" i="2"/>
  <c r="Y151" i="2"/>
  <c r="Y186" i="2"/>
  <c r="BN238" i="2"/>
  <c r="BP256" i="2"/>
  <c r="BP355" i="2"/>
  <c r="BN496" i="2"/>
  <c r="Z508" i="2"/>
  <c r="Z528" i="2"/>
  <c r="BN554" i="2"/>
  <c r="G572" i="2"/>
  <c r="Z572" i="2"/>
  <c r="BN30" i="2"/>
  <c r="BN88" i="2"/>
  <c r="Y91" i="2"/>
  <c r="Y133" i="2"/>
  <c r="BP158" i="2"/>
  <c r="BN279" i="2"/>
  <c r="BP302" i="2"/>
  <c r="BN312" i="2"/>
  <c r="BN323" i="2"/>
  <c r="Y326" i="2"/>
  <c r="BN402" i="2"/>
  <c r="BN453" i="2"/>
  <c r="Y456" i="2"/>
  <c r="BN476" i="2"/>
  <c r="BN501" i="2"/>
  <c r="BN513" i="2"/>
  <c r="BP537" i="2"/>
  <c r="BP549" i="2"/>
  <c r="Y561" i="2"/>
  <c r="H572" i="2"/>
  <c r="Z395" i="2"/>
  <c r="Z436" i="2"/>
  <c r="BN528" i="2"/>
  <c r="AB572" i="2"/>
  <c r="Y444" i="2"/>
  <c r="BP453" i="2"/>
  <c r="Y538" i="2"/>
  <c r="Z397" i="2" l="1"/>
  <c r="Z456" i="2"/>
  <c r="Z341" i="2"/>
  <c r="Y562" i="2"/>
  <c r="Z109" i="2"/>
  <c r="Z555" i="2"/>
  <c r="Z150" i="2"/>
  <c r="Z42" i="2"/>
  <c r="Z181" i="2"/>
  <c r="Y564" i="2"/>
  <c r="Z314" i="2"/>
  <c r="Z283" i="2"/>
  <c r="Z404" i="2"/>
  <c r="Z98" i="2"/>
  <c r="Z516" i="2"/>
  <c r="Z91" i="2"/>
  <c r="Z299" i="2"/>
  <c r="Z51" i="2"/>
  <c r="Z477" i="2"/>
  <c r="Z227" i="2"/>
  <c r="Z363" i="2"/>
  <c r="Z235" i="2"/>
  <c r="Z268" i="2"/>
  <c r="Z206" i="2"/>
  <c r="Y563" i="2"/>
  <c r="Y566" i="2"/>
  <c r="Z444" i="2"/>
  <c r="Z503" i="2"/>
  <c r="Z467" i="2"/>
  <c r="Z70" i="2"/>
  <c r="Z63" i="2"/>
  <c r="Z416" i="2"/>
  <c r="Z532" i="2"/>
  <c r="Z567" i="2" l="1"/>
  <c r="Y565" i="2"/>
</calcChain>
</file>

<file path=xl/sharedStrings.xml><?xml version="1.0" encoding="utf-8"?>
<sst xmlns="http://schemas.openxmlformats.org/spreadsheetml/2006/main" count="4280" uniqueCount="915">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</sst>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46328</v>
      </c>
      <c r="R5" s="651"/>
      <c r="T5" s="652" t="s">
        <v>3</v>
      </c>
      <c r="U5" s="653"/>
      <c r="V5" s="654" t="s">
        <v>879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4301051866</v>
      </c>
      <c r="D22" s="715">
        <v>4680115885912</v>
      </c>
      <c r="E22" s="715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4301051776</v>
      </c>
      <c r="D23" s="715">
        <v>4607091388237</v>
      </c>
      <c r="E23" s="715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85</v>
      </c>
      <c r="B24" s="63" t="s">
        <v>86</v>
      </c>
      <c r="C24" s="36">
        <v>4301052063</v>
      </c>
      <c r="D24" s="715">
        <v>4680115887350</v>
      </c>
      <c r="E24" s="715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717"/>
      <c r="R24" s="717"/>
      <c r="S24" s="717"/>
      <c r="T24" s="718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customHeight="1" x14ac:dyDescent="0.25">
      <c r="A25" s="63" t="s">
        <v>89</v>
      </c>
      <c r="B25" s="63" t="s">
        <v>90</v>
      </c>
      <c r="C25" s="36">
        <v>4301051863</v>
      </c>
      <c r="D25" s="715">
        <v>4680115885905</v>
      </c>
      <c r="E25" s="715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7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717"/>
      <c r="R25" s="717"/>
      <c r="S25" s="717"/>
      <c r="T25" s="718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customHeight="1" x14ac:dyDescent="0.25">
      <c r="A26" s="63" t="s">
        <v>92</v>
      </c>
      <c r="B26" s="63" t="s">
        <v>93</v>
      </c>
      <c r="C26" s="36">
        <v>4301052071</v>
      </c>
      <c r="D26" s="715">
        <v>4680115887619</v>
      </c>
      <c r="E26" s="715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x14ac:dyDescent="0.2">
      <c r="A27" s="726"/>
      <c r="B27" s="726"/>
      <c r="C27" s="726"/>
      <c r="D27" s="726"/>
      <c r="E27" s="726"/>
      <c r="F27" s="726"/>
      <c r="G27" s="726"/>
      <c r="H27" s="726"/>
      <c r="I27" s="726"/>
      <c r="J27" s="726"/>
      <c r="K27" s="726"/>
      <c r="L27" s="726"/>
      <c r="M27" s="726"/>
      <c r="N27" s="726"/>
      <c r="O27" s="727"/>
      <c r="P27" s="723" t="s">
        <v>40</v>
      </c>
      <c r="Q27" s="724"/>
      <c r="R27" s="724"/>
      <c r="S27" s="724"/>
      <c r="T27" s="724"/>
      <c r="U27" s="724"/>
      <c r="V27" s="72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x14ac:dyDescent="0.2">
      <c r="A28" s="726"/>
      <c r="B28" s="726"/>
      <c r="C28" s="726"/>
      <c r="D28" s="726"/>
      <c r="E28" s="726"/>
      <c r="F28" s="726"/>
      <c r="G28" s="726"/>
      <c r="H28" s="726"/>
      <c r="I28" s="726"/>
      <c r="J28" s="726"/>
      <c r="K28" s="726"/>
      <c r="L28" s="726"/>
      <c r="M28" s="726"/>
      <c r="N28" s="726"/>
      <c r="O28" s="727"/>
      <c r="P28" s="723" t="s">
        <v>40</v>
      </c>
      <c r="Q28" s="724"/>
      <c r="R28" s="724"/>
      <c r="S28" s="724"/>
      <c r="T28" s="724"/>
      <c r="U28" s="724"/>
      <c r="V28" s="72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customHeight="1" x14ac:dyDescent="0.25">
      <c r="A29" s="714" t="s">
        <v>95</v>
      </c>
      <c r="B29" s="714"/>
      <c r="C29" s="714"/>
      <c r="D29" s="714"/>
      <c r="E29" s="714"/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4"/>
      <c r="V29" s="714"/>
      <c r="W29" s="714"/>
      <c r="X29" s="714"/>
      <c r="Y29" s="714"/>
      <c r="Z29" s="714"/>
      <c r="AA29" s="66"/>
      <c r="AB29" s="66"/>
      <c r="AC29" s="80"/>
    </row>
    <row r="30" spans="1:68" ht="27" customHeight="1" x14ac:dyDescent="0.25">
      <c r="A30" s="63" t="s">
        <v>96</v>
      </c>
      <c r="B30" s="63" t="s">
        <v>97</v>
      </c>
      <c r="C30" s="36">
        <v>4301032059</v>
      </c>
      <c r="D30" s="715">
        <v>4680115889262</v>
      </c>
      <c r="E30" s="715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4301032063</v>
      </c>
      <c r="D31" s="715">
        <v>4680115889040</v>
      </c>
      <c r="E31" s="715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106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77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107</v>
      </c>
      <c r="B37" s="63" t="s">
        <v>108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110</v>
      </c>
      <c r="B38" s="63" t="s">
        <v>111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113</v>
      </c>
      <c r="B39" s="63" t="s">
        <v>114</v>
      </c>
      <c r="C39" s="36">
        <v>4301052259</v>
      </c>
      <c r="D39" s="715">
        <v>4680115889590</v>
      </c>
      <c r="E39" s="71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116</v>
      </c>
      <c r="B40" s="63" t="s">
        <v>117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2" t="s">
        <v>122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123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124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130</v>
      </c>
      <c r="B48" s="63" t="s">
        <v>131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138</v>
      </c>
      <c r="B50" s="63" t="s">
        <v>139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3" t="s">
        <v>140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124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141</v>
      </c>
      <c r="B55" s="63" t="s">
        <v>142</v>
      </c>
      <c r="C55" s="36">
        <v>4301012161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715">
        <v>4680115881426</v>
      </c>
      <c r="E56" s="71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customHeight="1" x14ac:dyDescent="0.25">
      <c r="A57" s="63" t="s">
        <v>144</v>
      </c>
      <c r="B57" s="63" t="s">
        <v>147</v>
      </c>
      <c r="C57" s="36">
        <v>4301012162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149</v>
      </c>
      <c r="B58" s="63" t="s">
        <v>150</v>
      </c>
      <c r="C58" s="36">
        <v>4301012259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152</v>
      </c>
      <c r="B59" s="63" t="s">
        <v>153</v>
      </c>
      <c r="C59" s="36">
        <v>4301011806</v>
      </c>
      <c r="D59" s="715">
        <v>4680115881525</v>
      </c>
      <c r="E59" s="71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155</v>
      </c>
      <c r="C60" s="36">
        <v>4301012159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157</v>
      </c>
      <c r="B61" s="63" t="s">
        <v>158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6"/>
      <c r="B63" s="726"/>
      <c r="C63" s="726"/>
      <c r="D63" s="726"/>
      <c r="E63" s="726"/>
      <c r="F63" s="726"/>
      <c r="G63" s="726"/>
      <c r="H63" s="726"/>
      <c r="I63" s="726"/>
      <c r="J63" s="726"/>
      <c r="K63" s="726"/>
      <c r="L63" s="726"/>
      <c r="M63" s="726"/>
      <c r="N63" s="726"/>
      <c r="O63" s="727"/>
      <c r="P63" s="723" t="s">
        <v>40</v>
      </c>
      <c r="Q63" s="724"/>
      <c r="R63" s="724"/>
      <c r="S63" s="724"/>
      <c r="T63" s="724"/>
      <c r="U63" s="724"/>
      <c r="V63" s="72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714" t="s">
        <v>161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165</v>
      </c>
      <c r="B67" s="63" t="s">
        <v>166</v>
      </c>
      <c r="C67" s="36">
        <v>4301020403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748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168</v>
      </c>
      <c r="B68" s="63" t="s">
        <v>169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6"/>
      <c r="B70" s="726"/>
      <c r="C70" s="726"/>
      <c r="D70" s="726"/>
      <c r="E70" s="726"/>
      <c r="F70" s="726"/>
      <c r="G70" s="726"/>
      <c r="H70" s="726"/>
      <c r="I70" s="726"/>
      <c r="J70" s="726"/>
      <c r="K70" s="726"/>
      <c r="L70" s="726"/>
      <c r="M70" s="726"/>
      <c r="N70" s="726"/>
      <c r="O70" s="727"/>
      <c r="P70" s="723" t="s">
        <v>40</v>
      </c>
      <c r="Q70" s="724"/>
      <c r="R70" s="724"/>
      <c r="S70" s="724"/>
      <c r="T70" s="724"/>
      <c r="U70" s="724"/>
      <c r="V70" s="725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726"/>
      <c r="B71" s="726"/>
      <c r="C71" s="726"/>
      <c r="D71" s="726"/>
      <c r="E71" s="726"/>
      <c r="F71" s="726"/>
      <c r="G71" s="726"/>
      <c r="H71" s="726"/>
      <c r="I71" s="726"/>
      <c r="J71" s="726"/>
      <c r="K71" s="726"/>
      <c r="L71" s="726"/>
      <c r="M71" s="726"/>
      <c r="N71" s="726"/>
      <c r="O71" s="727"/>
      <c r="P71" s="723" t="s">
        <v>40</v>
      </c>
      <c r="Q71" s="724"/>
      <c r="R71" s="724"/>
      <c r="S71" s="724"/>
      <c r="T71" s="724"/>
      <c r="U71" s="724"/>
      <c r="V71" s="725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714" t="s">
        <v>77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173</v>
      </c>
      <c r="B73" s="63" t="s">
        <v>174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176</v>
      </c>
      <c r="B74" s="63" t="s">
        <v>177</v>
      </c>
      <c r="C74" s="36">
        <v>4301052083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6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7"/>
      <c r="P75" s="723" t="s">
        <v>40</v>
      </c>
      <c r="Q75" s="724"/>
      <c r="R75" s="724"/>
      <c r="S75" s="724"/>
      <c r="T75" s="724"/>
      <c r="U75" s="724"/>
      <c r="V75" s="72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6"/>
      <c r="B76" s="726"/>
      <c r="C76" s="726"/>
      <c r="D76" s="726"/>
      <c r="E76" s="726"/>
      <c r="F76" s="726"/>
      <c r="G76" s="726"/>
      <c r="H76" s="726"/>
      <c r="I76" s="726"/>
      <c r="J76" s="726"/>
      <c r="K76" s="726"/>
      <c r="L76" s="726"/>
      <c r="M76" s="726"/>
      <c r="N76" s="726"/>
      <c r="O76" s="727"/>
      <c r="P76" s="723" t="s">
        <v>40</v>
      </c>
      <c r="Q76" s="724"/>
      <c r="R76" s="724"/>
      <c r="S76" s="724"/>
      <c r="T76" s="724"/>
      <c r="U76" s="724"/>
      <c r="V76" s="72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179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180</v>
      </c>
      <c r="B79" s="63" t="s">
        <v>183</v>
      </c>
      <c r="C79" s="36">
        <v>4301060526</v>
      </c>
      <c r="D79" s="715">
        <v>4680115881532</v>
      </c>
      <c r="E79" s="715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184</v>
      </c>
      <c r="B80" s="63" t="s">
        <v>185</v>
      </c>
      <c r="C80" s="36">
        <v>4301060527</v>
      </c>
      <c r="D80" s="715">
        <v>4680115881464</v>
      </c>
      <c r="E80" s="71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7"/>
      <c r="R80" s="717"/>
      <c r="S80" s="717"/>
      <c r="T80" s="71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6"/>
      <c r="B81" s="726"/>
      <c r="C81" s="726"/>
      <c r="D81" s="726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7"/>
      <c r="P81" s="723" t="s">
        <v>40</v>
      </c>
      <c r="Q81" s="724"/>
      <c r="R81" s="724"/>
      <c r="S81" s="724"/>
      <c r="T81" s="724"/>
      <c r="U81" s="724"/>
      <c r="V81" s="72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2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7"/>
      <c r="P82" s="723" t="s">
        <v>40</v>
      </c>
      <c r="Q82" s="724"/>
      <c r="R82" s="724"/>
      <c r="S82" s="724"/>
      <c r="T82" s="724"/>
      <c r="U82" s="724"/>
      <c r="V82" s="72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713" t="s">
        <v>187</v>
      </c>
      <c r="B83" s="713"/>
      <c r="C83" s="713"/>
      <c r="D83" s="713"/>
      <c r="E83" s="713"/>
      <c r="F83" s="713"/>
      <c r="G83" s="713"/>
      <c r="H83" s="713"/>
      <c r="I83" s="713"/>
      <c r="J83" s="713"/>
      <c r="K83" s="713"/>
      <c r="L83" s="713"/>
      <c r="M83" s="713"/>
      <c r="N83" s="713"/>
      <c r="O83" s="713"/>
      <c r="P83" s="713"/>
      <c r="Q83" s="713"/>
      <c r="R83" s="713"/>
      <c r="S83" s="713"/>
      <c r="T83" s="713"/>
      <c r="U83" s="713"/>
      <c r="V83" s="713"/>
      <c r="W83" s="713"/>
      <c r="X83" s="713"/>
      <c r="Y83" s="713"/>
      <c r="Z83" s="713"/>
      <c r="AA83" s="65"/>
      <c r="AB83" s="65"/>
      <c r="AC83" s="79"/>
    </row>
    <row r="84" spans="1:68" ht="14.25" customHeight="1" x14ac:dyDescent="0.25">
      <c r="A84" s="714" t="s">
        <v>124</v>
      </c>
      <c r="B84" s="714"/>
      <c r="C84" s="714"/>
      <c r="D84" s="714"/>
      <c r="E84" s="714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4"/>
      <c r="U84" s="714"/>
      <c r="V84" s="714"/>
      <c r="W84" s="714"/>
      <c r="X84" s="714"/>
      <c r="Y84" s="714"/>
      <c r="Z84" s="714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715">
        <v>4680115881327</v>
      </c>
      <c r="E85" s="71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customHeight="1" x14ac:dyDescent="0.25">
      <c r="A86" s="63" t="s">
        <v>188</v>
      </c>
      <c r="B86" s="63" t="s">
        <v>191</v>
      </c>
      <c r="C86" s="36">
        <v>4301012251</v>
      </c>
      <c r="D86" s="715">
        <v>4680115881327</v>
      </c>
      <c r="E86" s="71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192</v>
      </c>
      <c r="B87" s="63" t="s">
        <v>193</v>
      </c>
      <c r="C87" s="36">
        <v>4301012392</v>
      </c>
      <c r="D87" s="715">
        <v>4680115887732</v>
      </c>
      <c r="E87" s="71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195</v>
      </c>
      <c r="B88" s="63" t="s">
        <v>196</v>
      </c>
      <c r="C88" s="36">
        <v>4301011476</v>
      </c>
      <c r="D88" s="715">
        <v>4680115881518</v>
      </c>
      <c r="E88" s="71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7"/>
      <c r="R88" s="717"/>
      <c r="S88" s="717"/>
      <c r="T88" s="718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195</v>
      </c>
      <c r="B89" s="63" t="s">
        <v>197</v>
      </c>
      <c r="C89" s="36">
        <v>4301012252</v>
      </c>
      <c r="D89" s="715">
        <v>4680115881518</v>
      </c>
      <c r="E89" s="715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715">
        <v>4680115881303</v>
      </c>
      <c r="E90" s="715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6"/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7"/>
      <c r="P91" s="723" t="s">
        <v>40</v>
      </c>
      <c r="Q91" s="724"/>
      <c r="R91" s="724"/>
      <c r="S91" s="724"/>
      <c r="T91" s="724"/>
      <c r="U91" s="724"/>
      <c r="V91" s="725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726"/>
      <c r="B92" s="726"/>
      <c r="C92" s="726"/>
      <c r="D92" s="726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7"/>
      <c r="P92" s="723" t="s">
        <v>40</v>
      </c>
      <c r="Q92" s="724"/>
      <c r="R92" s="724"/>
      <c r="S92" s="724"/>
      <c r="T92" s="724"/>
      <c r="U92" s="724"/>
      <c r="V92" s="725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customHeight="1" x14ac:dyDescent="0.25">
      <c r="A93" s="714" t="s">
        <v>77</v>
      </c>
      <c r="B93" s="714"/>
      <c r="C93" s="714"/>
      <c r="D93" s="714"/>
      <c r="E93" s="714"/>
      <c r="F93" s="714"/>
      <c r="G93" s="714"/>
      <c r="H93" s="714"/>
      <c r="I93" s="714"/>
      <c r="J93" s="714"/>
      <c r="K93" s="714"/>
      <c r="L93" s="714"/>
      <c r="M93" s="714"/>
      <c r="N93" s="714"/>
      <c r="O93" s="714"/>
      <c r="P93" s="714"/>
      <c r="Q93" s="714"/>
      <c r="R93" s="714"/>
      <c r="S93" s="714"/>
      <c r="T93" s="714"/>
      <c r="U93" s="714"/>
      <c r="V93" s="714"/>
      <c r="W93" s="714"/>
      <c r="X93" s="714"/>
      <c r="Y93" s="714"/>
      <c r="Z93" s="714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715">
        <v>4607091386967</v>
      </c>
      <c r="E94" s="71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203</v>
      </c>
      <c r="B95" s="63" t="s">
        <v>204</v>
      </c>
      <c r="C95" s="36">
        <v>4301052090</v>
      </c>
      <c r="D95" s="715">
        <v>4680115884953</v>
      </c>
      <c r="E95" s="71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7"/>
      <c r="R95" s="717"/>
      <c r="S95" s="717"/>
      <c r="T95" s="718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715">
        <v>4607091385731</v>
      </c>
      <c r="E96" s="71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7"/>
      <c r="R96" s="717"/>
      <c r="S96" s="717"/>
      <c r="T96" s="71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208</v>
      </c>
      <c r="B97" s="63" t="s">
        <v>209</v>
      </c>
      <c r="C97" s="36">
        <v>4301052092</v>
      </c>
      <c r="D97" s="715">
        <v>4680115880894</v>
      </c>
      <c r="E97" s="715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7"/>
      <c r="R97" s="717"/>
      <c r="S97" s="717"/>
      <c r="T97" s="71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6"/>
      <c r="B98" s="726"/>
      <c r="C98" s="726"/>
      <c r="D98" s="726"/>
      <c r="E98" s="726"/>
      <c r="F98" s="726"/>
      <c r="G98" s="726"/>
      <c r="H98" s="726"/>
      <c r="I98" s="726"/>
      <c r="J98" s="726"/>
      <c r="K98" s="726"/>
      <c r="L98" s="726"/>
      <c r="M98" s="726"/>
      <c r="N98" s="726"/>
      <c r="O98" s="727"/>
      <c r="P98" s="723" t="s">
        <v>40</v>
      </c>
      <c r="Q98" s="724"/>
      <c r="R98" s="724"/>
      <c r="S98" s="724"/>
      <c r="T98" s="724"/>
      <c r="U98" s="724"/>
      <c r="V98" s="72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713" t="s">
        <v>211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5"/>
      <c r="AB100" s="65"/>
      <c r="AC100" s="79"/>
    </row>
    <row r="101" spans="1:68" ht="14.25" customHeight="1" x14ac:dyDescent="0.25">
      <c r="A101" s="714" t="s">
        <v>124</v>
      </c>
      <c r="B101" s="714"/>
      <c r="C101" s="714"/>
      <c r="D101" s="714"/>
      <c r="E101" s="714"/>
      <c r="F101" s="714"/>
      <c r="G101" s="714"/>
      <c r="H101" s="714"/>
      <c r="I101" s="714"/>
      <c r="J101" s="714"/>
      <c r="K101" s="714"/>
      <c r="L101" s="714"/>
      <c r="M101" s="714"/>
      <c r="N101" s="714"/>
      <c r="O101" s="714"/>
      <c r="P101" s="714"/>
      <c r="Q101" s="714"/>
      <c r="R101" s="714"/>
      <c r="S101" s="714"/>
      <c r="T101" s="714"/>
      <c r="U101" s="714"/>
      <c r="V101" s="714"/>
      <c r="W101" s="714"/>
      <c r="X101" s="714"/>
      <c r="Y101" s="714"/>
      <c r="Z101" s="714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715">
        <v>4680115882133</v>
      </c>
      <c r="E102" s="715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0</v>
      </c>
      <c r="BN102" s="78">
        <f t="shared" ref="BN102:BN108" si="12">IFERROR(Y102*I102/H102,"0")</f>
        <v>0</v>
      </c>
      <c r="BO102" s="78">
        <f t="shared" ref="BO102:BO108" si="13">IFERROR(1/J102*(X102/H102),"0")</f>
        <v>0</v>
      </c>
      <c r="BP102" s="78">
        <f t="shared" ref="BP102:BP108" si="14">IFERROR(1/J102*(Y102/H102),"0")</f>
        <v>0</v>
      </c>
    </row>
    <row r="103" spans="1:68" ht="27" customHeight="1" x14ac:dyDescent="0.25">
      <c r="A103" s="63" t="s">
        <v>212</v>
      </c>
      <c r="B103" s="63" t="s">
        <v>215</v>
      </c>
      <c r="C103" s="36">
        <v>4301012256</v>
      </c>
      <c r="D103" s="715">
        <v>4680115882133</v>
      </c>
      <c r="E103" s="71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customHeight="1" x14ac:dyDescent="0.25">
      <c r="A104" s="63" t="s">
        <v>217</v>
      </c>
      <c r="B104" s="63" t="s">
        <v>218</v>
      </c>
      <c r="C104" s="36">
        <v>4301012379</v>
      </c>
      <c r="D104" s="715">
        <v>4680115887718</v>
      </c>
      <c r="E104" s="715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220</v>
      </c>
      <c r="B105" s="63" t="s">
        <v>221</v>
      </c>
      <c r="C105" s="36">
        <v>4301012253</v>
      </c>
      <c r="D105" s="715">
        <v>4680115880269</v>
      </c>
      <c r="E105" s="715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715">
        <v>4680115880429</v>
      </c>
      <c r="E106" s="715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224</v>
      </c>
      <c r="B107" s="63" t="s">
        <v>225</v>
      </c>
      <c r="C107" s="36">
        <v>4301012255</v>
      </c>
      <c r="D107" s="715">
        <v>4680115881457</v>
      </c>
      <c r="E107" s="715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226</v>
      </c>
      <c r="B108" s="63" t="s">
        <v>227</v>
      </c>
      <c r="C108" s="36">
        <v>4301012366</v>
      </c>
      <c r="D108" s="715">
        <v>4680115889477</v>
      </c>
      <c r="E108" s="715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726"/>
      <c r="B109" s="726"/>
      <c r="C109" s="726"/>
      <c r="D109" s="726"/>
      <c r="E109" s="726"/>
      <c r="F109" s="726"/>
      <c r="G109" s="726"/>
      <c r="H109" s="726"/>
      <c r="I109" s="726"/>
      <c r="J109" s="726"/>
      <c r="K109" s="726"/>
      <c r="L109" s="726"/>
      <c r="M109" s="726"/>
      <c r="N109" s="726"/>
      <c r="O109" s="727"/>
      <c r="P109" s="723" t="s">
        <v>40</v>
      </c>
      <c r="Q109" s="724"/>
      <c r="R109" s="724"/>
      <c r="S109" s="724"/>
      <c r="T109" s="724"/>
      <c r="U109" s="724"/>
      <c r="V109" s="725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26"/>
      <c r="B110" s="726"/>
      <c r="C110" s="726"/>
      <c r="D110" s="726"/>
      <c r="E110" s="726"/>
      <c r="F110" s="726"/>
      <c r="G110" s="726"/>
      <c r="H110" s="726"/>
      <c r="I110" s="726"/>
      <c r="J110" s="726"/>
      <c r="K110" s="726"/>
      <c r="L110" s="726"/>
      <c r="M110" s="726"/>
      <c r="N110" s="726"/>
      <c r="O110" s="727"/>
      <c r="P110" s="723" t="s">
        <v>40</v>
      </c>
      <c r="Q110" s="724"/>
      <c r="R110" s="724"/>
      <c r="S110" s="724"/>
      <c r="T110" s="724"/>
      <c r="U110" s="724"/>
      <c r="V110" s="725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714" t="s">
        <v>161</v>
      </c>
      <c r="B111" s="714"/>
      <c r="C111" s="714"/>
      <c r="D111" s="714"/>
      <c r="E111" s="714"/>
      <c r="F111" s="714"/>
      <c r="G111" s="714"/>
      <c r="H111" s="714"/>
      <c r="I111" s="714"/>
      <c r="J111" s="714"/>
      <c r="K111" s="714"/>
      <c r="L111" s="714"/>
      <c r="M111" s="714"/>
      <c r="N111" s="714"/>
      <c r="O111" s="714"/>
      <c r="P111" s="714"/>
      <c r="Q111" s="714"/>
      <c r="R111" s="714"/>
      <c r="S111" s="714"/>
      <c r="T111" s="714"/>
      <c r="U111" s="714"/>
      <c r="V111" s="714"/>
      <c r="W111" s="714"/>
      <c r="X111" s="714"/>
      <c r="Y111" s="714"/>
      <c r="Z111" s="714"/>
      <c r="AA111" s="66"/>
      <c r="AB111" s="66"/>
      <c r="AC111" s="80"/>
    </row>
    <row r="112" spans="1:68" ht="27" customHeight="1" x14ac:dyDescent="0.25">
      <c r="A112" s="63" t="s">
        <v>229</v>
      </c>
      <c r="B112" s="63" t="s">
        <v>230</v>
      </c>
      <c r="C112" s="36">
        <v>4301020391</v>
      </c>
      <c r="D112" s="715">
        <v>4680115881488</v>
      </c>
      <c r="E112" s="715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232</v>
      </c>
      <c r="B113" s="63" t="s">
        <v>233</v>
      </c>
      <c r="C113" s="36">
        <v>4301020393</v>
      </c>
      <c r="D113" s="715">
        <v>4680115882775</v>
      </c>
      <c r="E113" s="715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77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235</v>
      </c>
      <c r="B114" s="63" t="s">
        <v>236</v>
      </c>
      <c r="C114" s="36">
        <v>4301020392</v>
      </c>
      <c r="D114" s="715">
        <v>4680115880658</v>
      </c>
      <c r="E114" s="715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717"/>
      <c r="R114" s="717"/>
      <c r="S114" s="717"/>
      <c r="T114" s="71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726"/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7"/>
      <c r="P115" s="723" t="s">
        <v>40</v>
      </c>
      <c r="Q115" s="724"/>
      <c r="R115" s="724"/>
      <c r="S115" s="724"/>
      <c r="T115" s="724"/>
      <c r="U115" s="724"/>
      <c r="V115" s="72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726"/>
      <c r="B116" s="726"/>
      <c r="C116" s="726"/>
      <c r="D116" s="726"/>
      <c r="E116" s="726"/>
      <c r="F116" s="726"/>
      <c r="G116" s="726"/>
      <c r="H116" s="726"/>
      <c r="I116" s="726"/>
      <c r="J116" s="726"/>
      <c r="K116" s="726"/>
      <c r="L116" s="726"/>
      <c r="M116" s="726"/>
      <c r="N116" s="726"/>
      <c r="O116" s="727"/>
      <c r="P116" s="723" t="s">
        <v>40</v>
      </c>
      <c r="Q116" s="724"/>
      <c r="R116" s="724"/>
      <c r="S116" s="724"/>
      <c r="T116" s="724"/>
      <c r="U116" s="724"/>
      <c r="V116" s="72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customHeight="1" x14ac:dyDescent="0.25">
      <c r="A117" s="714" t="s">
        <v>77</v>
      </c>
      <c r="B117" s="714"/>
      <c r="C117" s="714"/>
      <c r="D117" s="714"/>
      <c r="E117" s="714"/>
      <c r="F117" s="714"/>
      <c r="G117" s="714"/>
      <c r="H117" s="714"/>
      <c r="I117" s="714"/>
      <c r="J117" s="714"/>
      <c r="K117" s="714"/>
      <c r="L117" s="714"/>
      <c r="M117" s="714"/>
      <c r="N117" s="714"/>
      <c r="O117" s="714"/>
      <c r="P117" s="714"/>
      <c r="Q117" s="714"/>
      <c r="R117" s="714"/>
      <c r="S117" s="714"/>
      <c r="T117" s="714"/>
      <c r="U117" s="714"/>
      <c r="V117" s="714"/>
      <c r="W117" s="714"/>
      <c r="X117" s="714"/>
      <c r="Y117" s="714"/>
      <c r="Z117" s="714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715">
        <v>4607091385168</v>
      </c>
      <c r="E118" s="715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4301052087</v>
      </c>
      <c r="D119" s="715">
        <v>4607091383256</v>
      </c>
      <c r="E119" s="715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7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715">
        <v>4607091385748</v>
      </c>
      <c r="E120" s="715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7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customHeight="1" x14ac:dyDescent="0.25">
      <c r="A121" s="63" t="s">
        <v>244</v>
      </c>
      <c r="B121" s="63" t="s">
        <v>245</v>
      </c>
      <c r="C121" s="36">
        <v>4301052085</v>
      </c>
      <c r="D121" s="715">
        <v>4680115884533</v>
      </c>
      <c r="E121" s="715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7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717"/>
      <c r="R121" s="717"/>
      <c r="S121" s="717"/>
      <c r="T121" s="71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726"/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7"/>
      <c r="P122" s="723" t="s">
        <v>40</v>
      </c>
      <c r="Q122" s="724"/>
      <c r="R122" s="724"/>
      <c r="S122" s="724"/>
      <c r="T122" s="724"/>
      <c r="U122" s="724"/>
      <c r="V122" s="72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726"/>
      <c r="B123" s="726"/>
      <c r="C123" s="726"/>
      <c r="D123" s="726"/>
      <c r="E123" s="726"/>
      <c r="F123" s="726"/>
      <c r="G123" s="726"/>
      <c r="H123" s="726"/>
      <c r="I123" s="726"/>
      <c r="J123" s="726"/>
      <c r="K123" s="726"/>
      <c r="L123" s="726"/>
      <c r="M123" s="726"/>
      <c r="N123" s="726"/>
      <c r="O123" s="727"/>
      <c r="P123" s="723" t="s">
        <v>40</v>
      </c>
      <c r="Q123" s="724"/>
      <c r="R123" s="724"/>
      <c r="S123" s="724"/>
      <c r="T123" s="724"/>
      <c r="U123" s="724"/>
      <c r="V123" s="72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customHeight="1" x14ac:dyDescent="0.25">
      <c r="A124" s="714" t="s">
        <v>179</v>
      </c>
      <c r="B124" s="714"/>
      <c r="C124" s="714"/>
      <c r="D124" s="714"/>
      <c r="E124" s="714"/>
      <c r="F124" s="714"/>
      <c r="G124" s="714"/>
      <c r="H124" s="714"/>
      <c r="I124" s="714"/>
      <c r="J124" s="714"/>
      <c r="K124" s="714"/>
      <c r="L124" s="714"/>
      <c r="M124" s="714"/>
      <c r="N124" s="714"/>
      <c r="O124" s="714"/>
      <c r="P124" s="714"/>
      <c r="Q124" s="714"/>
      <c r="R124" s="714"/>
      <c r="S124" s="714"/>
      <c r="T124" s="714"/>
      <c r="U124" s="714"/>
      <c r="V124" s="714"/>
      <c r="W124" s="714"/>
      <c r="X124" s="714"/>
      <c r="Y124" s="714"/>
      <c r="Z124" s="714"/>
      <c r="AA124" s="66"/>
      <c r="AB124" s="66"/>
      <c r="AC124" s="80"/>
    </row>
    <row r="125" spans="1:68" ht="16.5" customHeight="1" x14ac:dyDescent="0.25">
      <c r="A125" s="63" t="s">
        <v>247</v>
      </c>
      <c r="B125" s="63" t="s">
        <v>248</v>
      </c>
      <c r="C125" s="36">
        <v>4301060525</v>
      </c>
      <c r="D125" s="715">
        <v>4680115880238</v>
      </c>
      <c r="E125" s="715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78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726"/>
      <c r="B127" s="726"/>
      <c r="C127" s="726"/>
      <c r="D127" s="726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7"/>
      <c r="P127" s="723" t="s">
        <v>40</v>
      </c>
      <c r="Q127" s="724"/>
      <c r="R127" s="724"/>
      <c r="S127" s="724"/>
      <c r="T127" s="724"/>
      <c r="U127" s="724"/>
      <c r="V127" s="72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713" t="s">
        <v>250</v>
      </c>
      <c r="B128" s="713"/>
      <c r="C128" s="713"/>
      <c r="D128" s="713"/>
      <c r="E128" s="713"/>
      <c r="F128" s="713"/>
      <c r="G128" s="713"/>
      <c r="H128" s="713"/>
      <c r="I128" s="713"/>
      <c r="J128" s="713"/>
      <c r="K128" s="713"/>
      <c r="L128" s="713"/>
      <c r="M128" s="713"/>
      <c r="N128" s="713"/>
      <c r="O128" s="713"/>
      <c r="P128" s="713"/>
      <c r="Q128" s="713"/>
      <c r="R128" s="713"/>
      <c r="S128" s="713"/>
      <c r="T128" s="713"/>
      <c r="U128" s="713"/>
      <c r="V128" s="713"/>
      <c r="W128" s="713"/>
      <c r="X128" s="713"/>
      <c r="Y128" s="713"/>
      <c r="Z128" s="713"/>
      <c r="AA128" s="65"/>
      <c r="AB128" s="65"/>
      <c r="AC128" s="79"/>
    </row>
    <row r="129" spans="1:68" ht="14.25" customHeight="1" x14ac:dyDescent="0.25">
      <c r="A129" s="714" t="s">
        <v>124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6"/>
      <c r="AB129" s="66"/>
      <c r="AC129" s="80"/>
    </row>
    <row r="130" spans="1:68" ht="27" customHeight="1" x14ac:dyDescent="0.25">
      <c r="A130" s="63" t="s">
        <v>251</v>
      </c>
      <c r="B130" s="63" t="s">
        <v>252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251</v>
      </c>
      <c r="B131" s="63" t="s">
        <v>255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6"/>
      <c r="B132" s="726"/>
      <c r="C132" s="726"/>
      <c r="D132" s="726"/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7"/>
      <c r="P132" s="723" t="s">
        <v>40</v>
      </c>
      <c r="Q132" s="724"/>
      <c r="R132" s="724"/>
      <c r="S132" s="724"/>
      <c r="T132" s="724"/>
      <c r="U132" s="724"/>
      <c r="V132" s="72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726"/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7"/>
      <c r="P133" s="723" t="s">
        <v>40</v>
      </c>
      <c r="Q133" s="724"/>
      <c r="R133" s="724"/>
      <c r="S133" s="724"/>
      <c r="T133" s="724"/>
      <c r="U133" s="724"/>
      <c r="V133" s="72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714" t="s">
        <v>256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4301031234</v>
      </c>
      <c r="D135" s="715">
        <v>4680115883444</v>
      </c>
      <c r="E135" s="715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4301031235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7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26"/>
      <c r="B137" s="726"/>
      <c r="C137" s="726"/>
      <c r="D137" s="726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7"/>
      <c r="P137" s="723" t="s">
        <v>40</v>
      </c>
      <c r="Q137" s="724"/>
      <c r="R137" s="724"/>
      <c r="S137" s="724"/>
      <c r="T137" s="724"/>
      <c r="U137" s="724"/>
      <c r="V137" s="72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726"/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7"/>
      <c r="P138" s="723" t="s">
        <v>40</v>
      </c>
      <c r="Q138" s="724"/>
      <c r="R138" s="724"/>
      <c r="S138" s="724"/>
      <c r="T138" s="724"/>
      <c r="U138" s="724"/>
      <c r="V138" s="72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714" t="s">
        <v>77</v>
      </c>
      <c r="B139" s="714"/>
      <c r="C139" s="714"/>
      <c r="D139" s="714"/>
      <c r="E139" s="714"/>
      <c r="F139" s="714"/>
      <c r="G139" s="714"/>
      <c r="H139" s="714"/>
      <c r="I139" s="714"/>
      <c r="J139" s="714"/>
      <c r="K139" s="714"/>
      <c r="L139" s="714"/>
      <c r="M139" s="714"/>
      <c r="N139" s="714"/>
      <c r="O139" s="714"/>
      <c r="P139" s="714"/>
      <c r="Q139" s="714"/>
      <c r="R139" s="714"/>
      <c r="S139" s="714"/>
      <c r="T139" s="714"/>
      <c r="U139" s="714"/>
      <c r="V139" s="714"/>
      <c r="W139" s="714"/>
      <c r="X139" s="714"/>
      <c r="Y139" s="714"/>
      <c r="Z139" s="714"/>
      <c r="AA139" s="66"/>
      <c r="AB139" s="66"/>
      <c r="AC139" s="80"/>
    </row>
    <row r="140" spans="1:68" ht="16.5" customHeight="1" x14ac:dyDescent="0.25">
      <c r="A140" s="63" t="s">
        <v>261</v>
      </c>
      <c r="B140" s="63" t="s">
        <v>262</v>
      </c>
      <c r="C140" s="36">
        <v>4301051476</v>
      </c>
      <c r="D140" s="715">
        <v>4680115882584</v>
      </c>
      <c r="E140" s="715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7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717"/>
      <c r="R140" s="717"/>
      <c r="S140" s="717"/>
      <c r="T140" s="71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261</v>
      </c>
      <c r="B141" s="63" t="s">
        <v>263</v>
      </c>
      <c r="C141" s="36">
        <v>4301051477</v>
      </c>
      <c r="D141" s="715">
        <v>4680115882584</v>
      </c>
      <c r="E141" s="715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7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6"/>
      <c r="B142" s="726"/>
      <c r="C142" s="726"/>
      <c r="D142" s="726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7"/>
      <c r="P142" s="723" t="s">
        <v>40</v>
      </c>
      <c r="Q142" s="724"/>
      <c r="R142" s="724"/>
      <c r="S142" s="724"/>
      <c r="T142" s="724"/>
      <c r="U142" s="724"/>
      <c r="V142" s="72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26"/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7"/>
      <c r="P143" s="723" t="s">
        <v>40</v>
      </c>
      <c r="Q143" s="724"/>
      <c r="R143" s="724"/>
      <c r="S143" s="724"/>
      <c r="T143" s="724"/>
      <c r="U143" s="724"/>
      <c r="V143" s="72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713" t="s">
        <v>264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5"/>
      <c r="AB144" s="65"/>
      <c r="AC144" s="79"/>
    </row>
    <row r="145" spans="1:68" ht="14.25" customHeight="1" x14ac:dyDescent="0.25">
      <c r="A145" s="714" t="s">
        <v>77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27" customHeight="1" x14ac:dyDescent="0.25">
      <c r="A146" s="63" t="s">
        <v>265</v>
      </c>
      <c r="B146" s="63" t="s">
        <v>266</v>
      </c>
      <c r="C146" s="36">
        <v>4301052254</v>
      </c>
      <c r="D146" s="715">
        <v>4680115888203</v>
      </c>
      <c r="E146" s="715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7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268</v>
      </c>
      <c r="B147" s="63" t="s">
        <v>269</v>
      </c>
      <c r="C147" s="36">
        <v>4301052252</v>
      </c>
      <c r="D147" s="715">
        <v>4680115888180</v>
      </c>
      <c r="E147" s="715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7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271</v>
      </c>
      <c r="B148" s="63" t="s">
        <v>272</v>
      </c>
      <c r="C148" s="36">
        <v>4301052253</v>
      </c>
      <c r="D148" s="715">
        <v>4680115888197</v>
      </c>
      <c r="E148" s="715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717"/>
      <c r="R148" s="717"/>
      <c r="S148" s="717"/>
      <c r="T148" s="71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274</v>
      </c>
      <c r="B149" s="63" t="s">
        <v>275</v>
      </c>
      <c r="C149" s="36">
        <v>4301052255</v>
      </c>
      <c r="D149" s="715">
        <v>4680115888210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79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26"/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7"/>
      <c r="P150" s="723" t="s">
        <v>40</v>
      </c>
      <c r="Q150" s="724"/>
      <c r="R150" s="724"/>
      <c r="S150" s="724"/>
      <c r="T150" s="724"/>
      <c r="U150" s="724"/>
      <c r="V150" s="72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26"/>
      <c r="B151" s="726"/>
      <c r="C151" s="726"/>
      <c r="D151" s="726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7"/>
      <c r="P151" s="723" t="s">
        <v>40</v>
      </c>
      <c r="Q151" s="724"/>
      <c r="R151" s="724"/>
      <c r="S151" s="724"/>
      <c r="T151" s="724"/>
      <c r="U151" s="724"/>
      <c r="V151" s="72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customHeight="1" x14ac:dyDescent="0.25">
      <c r="A152" s="714" t="s">
        <v>95</v>
      </c>
      <c r="B152" s="714"/>
      <c r="C152" s="714"/>
      <c r="D152" s="714"/>
      <c r="E152" s="714"/>
      <c r="F152" s="714"/>
      <c r="G152" s="714"/>
      <c r="H152" s="714"/>
      <c r="I152" s="714"/>
      <c r="J152" s="714"/>
      <c r="K152" s="714"/>
      <c r="L152" s="714"/>
      <c r="M152" s="714"/>
      <c r="N152" s="714"/>
      <c r="O152" s="714"/>
      <c r="P152" s="714"/>
      <c r="Q152" s="714"/>
      <c r="R152" s="714"/>
      <c r="S152" s="714"/>
      <c r="T152" s="714"/>
      <c r="U152" s="714"/>
      <c r="V152" s="714"/>
      <c r="W152" s="714"/>
      <c r="X152" s="714"/>
      <c r="Y152" s="714"/>
      <c r="Z152" s="714"/>
      <c r="AA152" s="66"/>
      <c r="AB152" s="66"/>
      <c r="AC152" s="80"/>
    </row>
    <row r="153" spans="1:68" ht="27" customHeight="1" x14ac:dyDescent="0.25">
      <c r="A153" s="63" t="s">
        <v>277</v>
      </c>
      <c r="B153" s="63" t="s">
        <v>278</v>
      </c>
      <c r="C153" s="36">
        <v>4301032067</v>
      </c>
      <c r="D153" s="715">
        <v>4680115889132</v>
      </c>
      <c r="E153" s="715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79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726"/>
      <c r="B154" s="726"/>
      <c r="C154" s="726"/>
      <c r="D154" s="726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7"/>
      <c r="P154" s="723" t="s">
        <v>40</v>
      </c>
      <c r="Q154" s="724"/>
      <c r="R154" s="724"/>
      <c r="S154" s="724"/>
      <c r="T154" s="724"/>
      <c r="U154" s="724"/>
      <c r="V154" s="72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726"/>
      <c r="B155" s="726"/>
      <c r="C155" s="726"/>
      <c r="D155" s="726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7"/>
      <c r="P155" s="723" t="s">
        <v>40</v>
      </c>
      <c r="Q155" s="724"/>
      <c r="R155" s="724"/>
      <c r="S155" s="724"/>
      <c r="T155" s="724"/>
      <c r="U155" s="724"/>
      <c r="V155" s="72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customHeight="1" x14ac:dyDescent="0.25">
      <c r="A156" s="713" t="s">
        <v>122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5"/>
      <c r="AB156" s="65"/>
      <c r="AC156" s="79"/>
    </row>
    <row r="157" spans="1:68" ht="14.25" customHeight="1" x14ac:dyDescent="0.25">
      <c r="A157" s="714" t="s">
        <v>124</v>
      </c>
      <c r="B157" s="714"/>
      <c r="C157" s="714"/>
      <c r="D157" s="714"/>
      <c r="E157" s="714"/>
      <c r="F157" s="714"/>
      <c r="G157" s="714"/>
      <c r="H157" s="714"/>
      <c r="I157" s="714"/>
      <c r="J157" s="714"/>
      <c r="K157" s="714"/>
      <c r="L157" s="714"/>
      <c r="M157" s="714"/>
      <c r="N157" s="714"/>
      <c r="O157" s="714"/>
      <c r="P157" s="714"/>
      <c r="Q157" s="714"/>
      <c r="R157" s="714"/>
      <c r="S157" s="714"/>
      <c r="T157" s="714"/>
      <c r="U157" s="714"/>
      <c r="V157" s="714"/>
      <c r="W157" s="714"/>
      <c r="X157" s="714"/>
      <c r="Y157" s="714"/>
      <c r="Z157" s="714"/>
      <c r="AA157" s="66"/>
      <c r="AB157" s="66"/>
      <c r="AC157" s="80"/>
    </row>
    <row r="158" spans="1:68" ht="27" customHeight="1" x14ac:dyDescent="0.25">
      <c r="A158" s="63" t="s">
        <v>280</v>
      </c>
      <c r="B158" s="63" t="s">
        <v>281</v>
      </c>
      <c r="C158" s="36">
        <v>4301012338</v>
      </c>
      <c r="D158" s="715">
        <v>4680115887374</v>
      </c>
      <c r="E158" s="715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7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717"/>
      <c r="R158" s="717"/>
      <c r="S158" s="717"/>
      <c r="T158" s="718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283</v>
      </c>
      <c r="B159" s="63" t="s">
        <v>284</v>
      </c>
      <c r="C159" s="36">
        <v>4301011705</v>
      </c>
      <c r="D159" s="715">
        <v>4607091384604</v>
      </c>
      <c r="E159" s="715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283</v>
      </c>
      <c r="B160" s="63" t="s">
        <v>286</v>
      </c>
      <c r="C160" s="36">
        <v>4301012258</v>
      </c>
      <c r="D160" s="715">
        <v>4607091384604</v>
      </c>
      <c r="E160" s="715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79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717"/>
      <c r="R160" s="717"/>
      <c r="S160" s="717"/>
      <c r="T160" s="718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customHeight="1" x14ac:dyDescent="0.25">
      <c r="A161" s="63" t="s">
        <v>287</v>
      </c>
      <c r="B161" s="63" t="s">
        <v>288</v>
      </c>
      <c r="C161" s="36">
        <v>4301012344</v>
      </c>
      <c r="D161" s="715">
        <v>4680115888876</v>
      </c>
      <c r="E161" s="715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717"/>
      <c r="R161" s="717"/>
      <c r="S161" s="717"/>
      <c r="T161" s="718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26"/>
      <c r="B162" s="726"/>
      <c r="C162" s="726"/>
      <c r="D162" s="726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7"/>
      <c r="P162" s="723" t="s">
        <v>40</v>
      </c>
      <c r="Q162" s="724"/>
      <c r="R162" s="724"/>
      <c r="S162" s="724"/>
      <c r="T162" s="724"/>
      <c r="U162" s="724"/>
      <c r="V162" s="72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x14ac:dyDescent="0.2">
      <c r="A163" s="726"/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7"/>
      <c r="P163" s="723" t="s">
        <v>40</v>
      </c>
      <c r="Q163" s="724"/>
      <c r="R163" s="724"/>
      <c r="S163" s="724"/>
      <c r="T163" s="724"/>
      <c r="U163" s="724"/>
      <c r="V163" s="72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customHeight="1" x14ac:dyDescent="0.25">
      <c r="A164" s="714" t="s">
        <v>161</v>
      </c>
      <c r="B164" s="714"/>
      <c r="C164" s="714"/>
      <c r="D164" s="714"/>
      <c r="E164" s="714"/>
      <c r="F164" s="714"/>
      <c r="G164" s="714"/>
      <c r="H164" s="714"/>
      <c r="I164" s="714"/>
      <c r="J164" s="714"/>
      <c r="K164" s="714"/>
      <c r="L164" s="714"/>
      <c r="M164" s="714"/>
      <c r="N164" s="714"/>
      <c r="O164" s="714"/>
      <c r="P164" s="714"/>
      <c r="Q164" s="714"/>
      <c r="R164" s="714"/>
      <c r="S164" s="714"/>
      <c r="T164" s="714"/>
      <c r="U164" s="714"/>
      <c r="V164" s="714"/>
      <c r="W164" s="714"/>
      <c r="X164" s="714"/>
      <c r="Y164" s="714"/>
      <c r="Z164" s="714"/>
      <c r="AA164" s="66"/>
      <c r="AB164" s="66"/>
      <c r="AC164" s="80"/>
    </row>
    <row r="165" spans="1:68" ht="16.5" customHeight="1" x14ac:dyDescent="0.25">
      <c r="A165" s="63" t="s">
        <v>290</v>
      </c>
      <c r="B165" s="63" t="s">
        <v>291</v>
      </c>
      <c r="C165" s="36">
        <v>4301020410</v>
      </c>
      <c r="D165" s="715">
        <v>4680115887695</v>
      </c>
      <c r="E165" s="715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4301020439</v>
      </c>
      <c r="D166" s="715">
        <v>4680115889491</v>
      </c>
      <c r="E166" s="715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6"/>
      <c r="B167" s="726"/>
      <c r="C167" s="726"/>
      <c r="D167" s="726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7"/>
      <c r="P167" s="723" t="s">
        <v>40</v>
      </c>
      <c r="Q167" s="724"/>
      <c r="R167" s="724"/>
      <c r="S167" s="724"/>
      <c r="T167" s="724"/>
      <c r="U167" s="724"/>
      <c r="V167" s="72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x14ac:dyDescent="0.2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customHeight="1" x14ac:dyDescent="0.25">
      <c r="A169" s="714" t="s">
        <v>256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27" customHeight="1" x14ac:dyDescent="0.25">
      <c r="A170" s="63" t="s">
        <v>296</v>
      </c>
      <c r="B170" s="63" t="s">
        <v>297</v>
      </c>
      <c r="C170" s="36">
        <v>4301031527</v>
      </c>
      <c r="D170" s="715">
        <v>4680115889613</v>
      </c>
      <c r="E170" s="715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798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715">
        <v>4680115887428</v>
      </c>
      <c r="E171" s="715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4301031509</v>
      </c>
      <c r="D172" s="715">
        <v>4680115889170</v>
      </c>
      <c r="E172" s="715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4301031522</v>
      </c>
      <c r="D173" s="715">
        <v>4680115887398</v>
      </c>
      <c r="E173" s="715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717"/>
      <c r="R173" s="717"/>
      <c r="S173" s="717"/>
      <c r="T173" s="718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4301031520</v>
      </c>
      <c r="D174" s="715">
        <v>4680115887336</v>
      </c>
      <c r="E174" s="715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717"/>
      <c r="R174" s="717"/>
      <c r="S174" s="717"/>
      <c r="T174" s="718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customHeight="1" x14ac:dyDescent="0.25">
      <c r="A175" s="63" t="s">
        <v>311</v>
      </c>
      <c r="B175" s="63" t="s">
        <v>312</v>
      </c>
      <c r="C175" s="36">
        <v>4301031528</v>
      </c>
      <c r="D175" s="715">
        <v>4680115887787</v>
      </c>
      <c r="E175" s="715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314</v>
      </c>
      <c r="B176" s="63" t="s">
        <v>315</v>
      </c>
      <c r="C176" s="36">
        <v>4301031448</v>
      </c>
      <c r="D176" s="715">
        <v>4680115887503</v>
      </c>
      <c r="E176" s="71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4301031389</v>
      </c>
      <c r="D177" s="715">
        <v>4680115887763</v>
      </c>
      <c r="E177" s="715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4301031521</v>
      </c>
      <c r="D178" s="715">
        <v>4680115887480</v>
      </c>
      <c r="E178" s="715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4301031434</v>
      </c>
      <c r="D179" s="715">
        <v>4680115888067</v>
      </c>
      <c r="E179" s="715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324</v>
      </c>
      <c r="B180" s="63" t="s">
        <v>325</v>
      </c>
      <c r="C180" s="36">
        <v>4301031519</v>
      </c>
      <c r="D180" s="715">
        <v>4680115887435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726"/>
      <c r="B181" s="726"/>
      <c r="C181" s="726"/>
      <c r="D181" s="726"/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7"/>
      <c r="P181" s="723" t="s">
        <v>40</v>
      </c>
      <c r="Q181" s="724"/>
      <c r="R181" s="724"/>
      <c r="S181" s="724"/>
      <c r="T181" s="724"/>
      <c r="U181" s="724"/>
      <c r="V181" s="72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726"/>
      <c r="B182" s="726"/>
      <c r="C182" s="726"/>
      <c r="D182" s="726"/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7"/>
      <c r="P182" s="723" t="s">
        <v>40</v>
      </c>
      <c r="Q182" s="724"/>
      <c r="R182" s="724"/>
      <c r="S182" s="724"/>
      <c r="T182" s="724"/>
      <c r="U182" s="724"/>
      <c r="V182" s="72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customHeight="1" x14ac:dyDescent="0.25">
      <c r="A183" s="714" t="s">
        <v>77</v>
      </c>
      <c r="B183" s="714"/>
      <c r="C183" s="714"/>
      <c r="D183" s="714"/>
      <c r="E183" s="714"/>
      <c r="F183" s="714"/>
      <c r="G183" s="714"/>
      <c r="H183" s="714"/>
      <c r="I183" s="714"/>
      <c r="J183" s="714"/>
      <c r="K183" s="714"/>
      <c r="L183" s="714"/>
      <c r="M183" s="714"/>
      <c r="N183" s="714"/>
      <c r="O183" s="714"/>
      <c r="P183" s="714"/>
      <c r="Q183" s="714"/>
      <c r="R183" s="714"/>
      <c r="S183" s="714"/>
      <c r="T183" s="714"/>
      <c r="U183" s="714"/>
      <c r="V183" s="714"/>
      <c r="W183" s="714"/>
      <c r="X183" s="714"/>
      <c r="Y183" s="714"/>
      <c r="Z183" s="714"/>
      <c r="AA183" s="66"/>
      <c r="AB183" s="66"/>
      <c r="AC183" s="80"/>
    </row>
    <row r="184" spans="1:68" ht="16.5" customHeight="1" x14ac:dyDescent="0.25">
      <c r="A184" s="63" t="s">
        <v>326</v>
      </c>
      <c r="B184" s="63" t="s">
        <v>327</v>
      </c>
      <c r="C184" s="36">
        <v>4301052193</v>
      </c>
      <c r="D184" s="715">
        <v>4680115888395</v>
      </c>
      <c r="E184" s="715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customHeight="1" x14ac:dyDescent="0.25">
      <c r="A185" s="63" t="s">
        <v>329</v>
      </c>
      <c r="B185" s="63" t="s">
        <v>330</v>
      </c>
      <c r="C185" s="36">
        <v>4301052191</v>
      </c>
      <c r="D185" s="715">
        <v>4680115888371</v>
      </c>
      <c r="E185" s="715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726"/>
      <c r="B186" s="726"/>
      <c r="C186" s="726"/>
      <c r="D186" s="726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7"/>
      <c r="P186" s="723" t="s">
        <v>40</v>
      </c>
      <c r="Q186" s="724"/>
      <c r="R186" s="724"/>
      <c r="S186" s="724"/>
      <c r="T186" s="724"/>
      <c r="U186" s="724"/>
      <c r="V186" s="72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customHeight="1" x14ac:dyDescent="0.25">
      <c r="A188" s="714" t="s">
        <v>95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332</v>
      </c>
      <c r="B189" s="63" t="s">
        <v>333</v>
      </c>
      <c r="C189" s="36">
        <v>4301032058</v>
      </c>
      <c r="D189" s="715">
        <v>4680115889026</v>
      </c>
      <c r="E189" s="715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26"/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7"/>
      <c r="P190" s="723" t="s">
        <v>40</v>
      </c>
      <c r="Q190" s="724"/>
      <c r="R190" s="724"/>
      <c r="S190" s="724"/>
      <c r="T190" s="724"/>
      <c r="U190" s="724"/>
      <c r="V190" s="72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726"/>
      <c r="B191" s="726"/>
      <c r="C191" s="726"/>
      <c r="D191" s="726"/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7"/>
      <c r="P191" s="723" t="s">
        <v>40</v>
      </c>
      <c r="Q191" s="724"/>
      <c r="R191" s="724"/>
      <c r="S191" s="724"/>
      <c r="T191" s="724"/>
      <c r="U191" s="724"/>
      <c r="V191" s="72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customHeight="1" x14ac:dyDescent="0.25">
      <c r="A192" s="714" t="s">
        <v>336</v>
      </c>
      <c r="B192" s="714"/>
      <c r="C192" s="714"/>
      <c r="D192" s="714"/>
      <c r="E192" s="714"/>
      <c r="F192" s="714"/>
      <c r="G192" s="714"/>
      <c r="H192" s="714"/>
      <c r="I192" s="714"/>
      <c r="J192" s="714"/>
      <c r="K192" s="714"/>
      <c r="L192" s="714"/>
      <c r="M192" s="714"/>
      <c r="N192" s="714"/>
      <c r="O192" s="714"/>
      <c r="P192" s="714"/>
      <c r="Q192" s="714"/>
      <c r="R192" s="714"/>
      <c r="S192" s="714"/>
      <c r="T192" s="714"/>
      <c r="U192" s="714"/>
      <c r="V192" s="714"/>
      <c r="W192" s="714"/>
      <c r="X192" s="714"/>
      <c r="Y192" s="714"/>
      <c r="Z192" s="714"/>
      <c r="AA192" s="66"/>
      <c r="AB192" s="66"/>
      <c r="AC192" s="80"/>
    </row>
    <row r="193" spans="1:68" ht="27" customHeight="1" x14ac:dyDescent="0.25">
      <c r="A193" s="63" t="s">
        <v>337</v>
      </c>
      <c r="B193" s="63" t="s">
        <v>338</v>
      </c>
      <c r="C193" s="36">
        <v>4301041009</v>
      </c>
      <c r="D193" s="715">
        <v>4680115889033</v>
      </c>
      <c r="E193" s="715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717"/>
      <c r="R193" s="717"/>
      <c r="S193" s="717"/>
      <c r="T193" s="718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26"/>
      <c r="B194" s="726"/>
      <c r="C194" s="726"/>
      <c r="D194" s="726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7"/>
      <c r="P194" s="723" t="s">
        <v>40</v>
      </c>
      <c r="Q194" s="724"/>
      <c r="R194" s="724"/>
      <c r="S194" s="724"/>
      <c r="T194" s="724"/>
      <c r="U194" s="724"/>
      <c r="V194" s="72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26"/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7"/>
      <c r="P195" s="723" t="s">
        <v>40</v>
      </c>
      <c r="Q195" s="724"/>
      <c r="R195" s="724"/>
      <c r="S195" s="724"/>
      <c r="T195" s="724"/>
      <c r="U195" s="724"/>
      <c r="V195" s="72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712" t="s">
        <v>340</v>
      </c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2"/>
      <c r="P196" s="712"/>
      <c r="Q196" s="712"/>
      <c r="R196" s="712"/>
      <c r="S196" s="712"/>
      <c r="T196" s="712"/>
      <c r="U196" s="712"/>
      <c r="V196" s="712"/>
      <c r="W196" s="712"/>
      <c r="X196" s="712"/>
      <c r="Y196" s="712"/>
      <c r="Z196" s="712"/>
      <c r="AA196" s="54"/>
      <c r="AB196" s="54"/>
      <c r="AC196" s="54"/>
    </row>
    <row r="197" spans="1:68" ht="16.5" customHeight="1" x14ac:dyDescent="0.25">
      <c r="A197" s="713" t="s">
        <v>341</v>
      </c>
      <c r="B197" s="713"/>
      <c r="C197" s="713"/>
      <c r="D197" s="713"/>
      <c r="E197" s="713"/>
      <c r="F197" s="713"/>
      <c r="G197" s="713"/>
      <c r="H197" s="713"/>
      <c r="I197" s="713"/>
      <c r="J197" s="713"/>
      <c r="K197" s="713"/>
      <c r="L197" s="713"/>
      <c r="M197" s="713"/>
      <c r="N197" s="713"/>
      <c r="O197" s="713"/>
      <c r="P197" s="713"/>
      <c r="Q197" s="713"/>
      <c r="R197" s="713"/>
      <c r="S197" s="713"/>
      <c r="T197" s="713"/>
      <c r="U197" s="713"/>
      <c r="V197" s="713"/>
      <c r="W197" s="713"/>
      <c r="X197" s="713"/>
      <c r="Y197" s="713"/>
      <c r="Z197" s="713"/>
      <c r="AA197" s="65"/>
      <c r="AB197" s="65"/>
      <c r="AC197" s="79"/>
    </row>
    <row r="198" spans="1:68" ht="14.25" customHeight="1" x14ac:dyDescent="0.25">
      <c r="A198" s="714" t="s">
        <v>124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customHeight="1" x14ac:dyDescent="0.25">
      <c r="A199" s="63" t="s">
        <v>342</v>
      </c>
      <c r="B199" s="63" t="s">
        <v>343</v>
      </c>
      <c r="C199" s="36">
        <v>4301011223</v>
      </c>
      <c r="D199" s="715">
        <v>4607091383423</v>
      </c>
      <c r="E199" s="715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4301012340</v>
      </c>
      <c r="D200" s="715">
        <v>4680115888760</v>
      </c>
      <c r="E200" s="715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4301012341</v>
      </c>
      <c r="D201" s="715">
        <v>4680115888807</v>
      </c>
      <c r="E201" s="715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717"/>
      <c r="R201" s="717"/>
      <c r="S201" s="717"/>
      <c r="T201" s="718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4301012342</v>
      </c>
      <c r="D202" s="715">
        <v>4680115888852</v>
      </c>
      <c r="E202" s="715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717"/>
      <c r="R202" s="717"/>
      <c r="S202" s="717"/>
      <c r="T202" s="718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customHeight="1" x14ac:dyDescent="0.25">
      <c r="A203" s="63" t="s">
        <v>353</v>
      </c>
      <c r="B203" s="63" t="s">
        <v>354</v>
      </c>
      <c r="C203" s="36">
        <v>4301012370</v>
      </c>
      <c r="D203" s="715">
        <v>4680115886957</v>
      </c>
      <c r="E203" s="715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717"/>
      <c r="R203" s="717"/>
      <c r="S203" s="717"/>
      <c r="T203" s="718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356</v>
      </c>
      <c r="B204" s="63" t="s">
        <v>357</v>
      </c>
      <c r="C204" s="36">
        <v>4301012098</v>
      </c>
      <c r="D204" s="715">
        <v>4680115885660</v>
      </c>
      <c r="E204" s="715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717"/>
      <c r="R204" s="717"/>
      <c r="S204" s="717"/>
      <c r="T204" s="718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359</v>
      </c>
      <c r="B205" s="63" t="s">
        <v>360</v>
      </c>
      <c r="C205" s="36">
        <v>4301012369</v>
      </c>
      <c r="D205" s="715">
        <v>4680115886773</v>
      </c>
      <c r="E205" s="715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726"/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7"/>
      <c r="P206" s="723" t="s">
        <v>40</v>
      </c>
      <c r="Q206" s="724"/>
      <c r="R206" s="724"/>
      <c r="S206" s="724"/>
      <c r="T206" s="724"/>
      <c r="U206" s="724"/>
      <c r="V206" s="72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726"/>
      <c r="B207" s="726"/>
      <c r="C207" s="726"/>
      <c r="D207" s="726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7"/>
      <c r="P207" s="723" t="s">
        <v>40</v>
      </c>
      <c r="Q207" s="724"/>
      <c r="R207" s="724"/>
      <c r="S207" s="724"/>
      <c r="T207" s="724"/>
      <c r="U207" s="724"/>
      <c r="V207" s="72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713" t="s">
        <v>362</v>
      </c>
      <c r="B208" s="713"/>
      <c r="C208" s="713"/>
      <c r="D208" s="713"/>
      <c r="E208" s="713"/>
      <c r="F208" s="713"/>
      <c r="G208" s="713"/>
      <c r="H208" s="713"/>
      <c r="I208" s="713"/>
      <c r="J208" s="713"/>
      <c r="K208" s="713"/>
      <c r="L208" s="713"/>
      <c r="M208" s="713"/>
      <c r="N208" s="713"/>
      <c r="O208" s="713"/>
      <c r="P208" s="713"/>
      <c r="Q208" s="713"/>
      <c r="R208" s="713"/>
      <c r="S208" s="713"/>
      <c r="T208" s="713"/>
      <c r="U208" s="713"/>
      <c r="V208" s="713"/>
      <c r="W208" s="713"/>
      <c r="X208" s="713"/>
      <c r="Y208" s="713"/>
      <c r="Z208" s="713"/>
      <c r="AA208" s="65"/>
      <c r="AB208" s="65"/>
      <c r="AC208" s="79"/>
    </row>
    <row r="209" spans="1:68" ht="14.25" customHeight="1" x14ac:dyDescent="0.25">
      <c r="A209" s="714" t="s">
        <v>161</v>
      </c>
      <c r="B209" s="714"/>
      <c r="C209" s="714"/>
      <c r="D209" s="714"/>
      <c r="E209" s="714"/>
      <c r="F209" s="714"/>
      <c r="G209" s="714"/>
      <c r="H209" s="714"/>
      <c r="I209" s="714"/>
      <c r="J209" s="714"/>
      <c r="K209" s="714"/>
      <c r="L209" s="714"/>
      <c r="M209" s="714"/>
      <c r="N209" s="714"/>
      <c r="O209" s="714"/>
      <c r="P209" s="714"/>
      <c r="Q209" s="714"/>
      <c r="R209" s="714"/>
      <c r="S209" s="714"/>
      <c r="T209" s="714"/>
      <c r="U209" s="714"/>
      <c r="V209" s="714"/>
      <c r="W209" s="714"/>
      <c r="X209" s="714"/>
      <c r="Y209" s="714"/>
      <c r="Z209" s="714"/>
      <c r="AA209" s="66"/>
      <c r="AB209" s="66"/>
      <c r="AC209" s="80"/>
    </row>
    <row r="210" spans="1:68" ht="27" customHeight="1" x14ac:dyDescent="0.25">
      <c r="A210" s="63" t="s">
        <v>363</v>
      </c>
      <c r="B210" s="63" t="s">
        <v>364</v>
      </c>
      <c r="C210" s="36">
        <v>4301020323</v>
      </c>
      <c r="D210" s="715">
        <v>4680115886223</v>
      </c>
      <c r="E210" s="715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726"/>
      <c r="B211" s="726"/>
      <c r="C211" s="726"/>
      <c r="D211" s="726"/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7"/>
      <c r="P211" s="723" t="s">
        <v>40</v>
      </c>
      <c r="Q211" s="724"/>
      <c r="R211" s="724"/>
      <c r="S211" s="724"/>
      <c r="T211" s="724"/>
      <c r="U211" s="724"/>
      <c r="V211" s="72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726"/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7"/>
      <c r="P212" s="723" t="s">
        <v>40</v>
      </c>
      <c r="Q212" s="724"/>
      <c r="R212" s="724"/>
      <c r="S212" s="724"/>
      <c r="T212" s="724"/>
      <c r="U212" s="724"/>
      <c r="V212" s="72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714" t="s">
        <v>256</v>
      </c>
      <c r="B213" s="714"/>
      <c r="C213" s="714"/>
      <c r="D213" s="714"/>
      <c r="E213" s="714"/>
      <c r="F213" s="714"/>
      <c r="G213" s="714"/>
      <c r="H213" s="714"/>
      <c r="I213" s="714"/>
      <c r="J213" s="714"/>
      <c r="K213" s="714"/>
      <c r="L213" s="714"/>
      <c r="M213" s="714"/>
      <c r="N213" s="714"/>
      <c r="O213" s="714"/>
      <c r="P213" s="714"/>
      <c r="Q213" s="714"/>
      <c r="R213" s="714"/>
      <c r="S213" s="714"/>
      <c r="T213" s="714"/>
      <c r="U213" s="714"/>
      <c r="V213" s="714"/>
      <c r="W213" s="714"/>
      <c r="X213" s="714"/>
      <c r="Y213" s="714"/>
      <c r="Z213" s="714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4301031191</v>
      </c>
      <c r="D214" s="715">
        <v>4680115880993</v>
      </c>
      <c r="E214" s="715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717"/>
      <c r="R214" s="717"/>
      <c r="S214" s="717"/>
      <c r="T214" s="71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4301031204</v>
      </c>
      <c r="D215" s="715">
        <v>4680115881761</v>
      </c>
      <c r="E215" s="715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717"/>
      <c r="R215" s="717"/>
      <c r="S215" s="717"/>
      <c r="T215" s="71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715">
        <v>4680115881563</v>
      </c>
      <c r="E216" s="715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2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375</v>
      </c>
      <c r="B217" s="63" t="s">
        <v>376</v>
      </c>
      <c r="C217" s="36">
        <v>4301031447</v>
      </c>
      <c r="D217" s="715">
        <v>4680115887565</v>
      </c>
      <c r="E217" s="715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4301031199</v>
      </c>
      <c r="D218" s="715">
        <v>4680115880986</v>
      </c>
      <c r="E218" s="715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717"/>
      <c r="R218" s="717"/>
      <c r="S218" s="717"/>
      <c r="T218" s="718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4301031443</v>
      </c>
      <c r="D219" s="715">
        <v>4680115887213</v>
      </c>
      <c r="E219" s="715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717"/>
      <c r="R219" s="717"/>
      <c r="S219" s="717"/>
      <c r="T219" s="71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4301031205</v>
      </c>
      <c r="D220" s="715">
        <v>4680115881785</v>
      </c>
      <c r="E220" s="715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4301031499</v>
      </c>
      <c r="D221" s="715">
        <v>4680115888432</v>
      </c>
      <c r="E221" s="715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388</v>
      </c>
      <c r="B222" s="63" t="s">
        <v>389</v>
      </c>
      <c r="C222" s="36">
        <v>4301031503</v>
      </c>
      <c r="D222" s="715">
        <v>4680115886537</v>
      </c>
      <c r="E222" s="715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2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391</v>
      </c>
      <c r="B223" s="63" t="s">
        <v>392</v>
      </c>
      <c r="C223" s="36">
        <v>4301031279</v>
      </c>
      <c r="D223" s="715">
        <v>4680115887596</v>
      </c>
      <c r="E223" s="715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715">
        <v>4680115881679</v>
      </c>
      <c r="E224" s="715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396</v>
      </c>
      <c r="B225" s="63" t="s">
        <v>397</v>
      </c>
      <c r="C225" s="36">
        <v>4301031531</v>
      </c>
      <c r="D225" s="715">
        <v>4680115880191</v>
      </c>
      <c r="E225" s="715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3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4301031245</v>
      </c>
      <c r="D226" s="715">
        <v>4680115883963</v>
      </c>
      <c r="E226" s="715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26"/>
      <c r="B227" s="726"/>
      <c r="C227" s="726"/>
      <c r="D227" s="726"/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7"/>
      <c r="P227" s="723" t="s">
        <v>40</v>
      </c>
      <c r="Q227" s="724"/>
      <c r="R227" s="724"/>
      <c r="S227" s="724"/>
      <c r="T227" s="724"/>
      <c r="U227" s="724"/>
      <c r="V227" s="72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726"/>
      <c r="B228" s="726"/>
      <c r="C228" s="726"/>
      <c r="D228" s="726"/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7"/>
      <c r="P228" s="723" t="s">
        <v>40</v>
      </c>
      <c r="Q228" s="724"/>
      <c r="R228" s="724"/>
      <c r="S228" s="724"/>
      <c r="T228" s="724"/>
      <c r="U228" s="724"/>
      <c r="V228" s="72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customHeight="1" x14ac:dyDescent="0.25">
      <c r="A229" s="714" t="s">
        <v>77</v>
      </c>
      <c r="B229" s="714"/>
      <c r="C229" s="714"/>
      <c r="D229" s="714"/>
      <c r="E229" s="714"/>
      <c r="F229" s="714"/>
      <c r="G229" s="714"/>
      <c r="H229" s="714"/>
      <c r="I229" s="714"/>
      <c r="J229" s="714"/>
      <c r="K229" s="714"/>
      <c r="L229" s="714"/>
      <c r="M229" s="714"/>
      <c r="N229" s="714"/>
      <c r="O229" s="714"/>
      <c r="P229" s="714"/>
      <c r="Q229" s="714"/>
      <c r="R229" s="714"/>
      <c r="S229" s="714"/>
      <c r="T229" s="714"/>
      <c r="U229" s="714"/>
      <c r="V229" s="714"/>
      <c r="W229" s="714"/>
      <c r="X229" s="714"/>
      <c r="Y229" s="714"/>
      <c r="Z229" s="714"/>
      <c r="AA229" s="66"/>
      <c r="AB229" s="66"/>
      <c r="AC229" s="80"/>
    </row>
    <row r="230" spans="1:68" ht="16.5" customHeight="1" x14ac:dyDescent="0.25">
      <c r="A230" s="63" t="s">
        <v>401</v>
      </c>
      <c r="B230" s="63" t="s">
        <v>402</v>
      </c>
      <c r="C230" s="36">
        <v>4301052279</v>
      </c>
      <c r="D230" s="715">
        <v>4680115888692</v>
      </c>
      <c r="E230" s="715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404</v>
      </c>
      <c r="B231" s="63" t="s">
        <v>405</v>
      </c>
      <c r="C231" s="36">
        <v>4301052280</v>
      </c>
      <c r="D231" s="715">
        <v>4680115888722</v>
      </c>
      <c r="E231" s="715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407</v>
      </c>
      <c r="B232" s="63" t="s">
        <v>408</v>
      </c>
      <c r="C232" s="36">
        <v>4301052276</v>
      </c>
      <c r="D232" s="715">
        <v>4680115888951</v>
      </c>
      <c r="E232" s="715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4301052278</v>
      </c>
      <c r="D233" s="715">
        <v>4680115888975</v>
      </c>
      <c r="E233" s="715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4301052277</v>
      </c>
      <c r="D234" s="715">
        <v>4680115888982</v>
      </c>
      <c r="E234" s="715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26"/>
      <c r="B235" s="726"/>
      <c r="C235" s="726"/>
      <c r="D235" s="726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7"/>
      <c r="P235" s="723" t="s">
        <v>40</v>
      </c>
      <c r="Q235" s="724"/>
      <c r="R235" s="724"/>
      <c r="S235" s="724"/>
      <c r="T235" s="724"/>
      <c r="U235" s="724"/>
      <c r="V235" s="72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714" t="s">
        <v>95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715">
        <v>4680115886780</v>
      </c>
      <c r="E238" s="715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715">
        <v>4680115886742</v>
      </c>
      <c r="E239" s="71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715">
        <v>4680115886766</v>
      </c>
      <c r="E240" s="715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26"/>
      <c r="B241" s="726"/>
      <c r="C241" s="726"/>
      <c r="D241" s="726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7"/>
      <c r="P241" s="723" t="s">
        <v>40</v>
      </c>
      <c r="Q241" s="724"/>
      <c r="R241" s="724"/>
      <c r="S241" s="724"/>
      <c r="T241" s="724"/>
      <c r="U241" s="724"/>
      <c r="V241" s="72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26"/>
      <c r="B242" s="726"/>
      <c r="C242" s="726"/>
      <c r="D242" s="726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7"/>
      <c r="P242" s="723" t="s">
        <v>40</v>
      </c>
      <c r="Q242" s="724"/>
      <c r="R242" s="724"/>
      <c r="S242" s="724"/>
      <c r="T242" s="724"/>
      <c r="U242" s="724"/>
      <c r="V242" s="72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714" t="s">
        <v>422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715">
        <v>4680115886797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26"/>
      <c r="B245" s="726"/>
      <c r="C245" s="726"/>
      <c r="D245" s="726"/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7"/>
      <c r="P245" s="723" t="s">
        <v>40</v>
      </c>
      <c r="Q245" s="724"/>
      <c r="R245" s="724"/>
      <c r="S245" s="724"/>
      <c r="T245" s="724"/>
      <c r="U245" s="724"/>
      <c r="V245" s="72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26"/>
      <c r="B246" s="726"/>
      <c r="C246" s="726"/>
      <c r="D246" s="726"/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7"/>
      <c r="P246" s="723" t="s">
        <v>40</v>
      </c>
      <c r="Q246" s="724"/>
      <c r="R246" s="724"/>
      <c r="S246" s="724"/>
      <c r="T246" s="724"/>
      <c r="U246" s="724"/>
      <c r="V246" s="72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713" t="s">
        <v>425</v>
      </c>
      <c r="B247" s="713"/>
      <c r="C247" s="713"/>
      <c r="D247" s="713"/>
      <c r="E247" s="713"/>
      <c r="F247" s="713"/>
      <c r="G247" s="713"/>
      <c r="H247" s="713"/>
      <c r="I247" s="713"/>
      <c r="J247" s="713"/>
      <c r="K247" s="713"/>
      <c r="L247" s="713"/>
      <c r="M247" s="713"/>
      <c r="N247" s="713"/>
      <c r="O247" s="713"/>
      <c r="P247" s="713"/>
      <c r="Q247" s="713"/>
      <c r="R247" s="713"/>
      <c r="S247" s="713"/>
      <c r="T247" s="713"/>
      <c r="U247" s="713"/>
      <c r="V247" s="713"/>
      <c r="W247" s="713"/>
      <c r="X247" s="713"/>
      <c r="Y247" s="713"/>
      <c r="Z247" s="713"/>
      <c r="AA247" s="65"/>
      <c r="AB247" s="65"/>
      <c r="AC247" s="79"/>
    </row>
    <row r="248" spans="1:68" ht="14.25" customHeight="1" x14ac:dyDescent="0.25">
      <c r="A248" s="714" t="s">
        <v>124</v>
      </c>
      <c r="B248" s="714"/>
      <c r="C248" s="714"/>
      <c r="D248" s="714"/>
      <c r="E248" s="714"/>
      <c r="F248" s="714"/>
      <c r="G248" s="714"/>
      <c r="H248" s="714"/>
      <c r="I248" s="714"/>
      <c r="J248" s="714"/>
      <c r="K248" s="714"/>
      <c r="L248" s="714"/>
      <c r="M248" s="714"/>
      <c r="N248" s="714"/>
      <c r="O248" s="714"/>
      <c r="P248" s="714"/>
      <c r="Q248" s="714"/>
      <c r="R248" s="714"/>
      <c r="S248" s="714"/>
      <c r="T248" s="714"/>
      <c r="U248" s="714"/>
      <c r="V248" s="714"/>
      <c r="W248" s="714"/>
      <c r="X248" s="714"/>
      <c r="Y248" s="714"/>
      <c r="Z248" s="714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715">
        <v>4680115881402</v>
      </c>
      <c r="E249" s="71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717"/>
      <c r="R249" s="717"/>
      <c r="S249" s="717"/>
      <c r="T249" s="71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715">
        <v>4680115881396</v>
      </c>
      <c r="E250" s="715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429</v>
      </c>
      <c r="B251" s="63" t="s">
        <v>431</v>
      </c>
      <c r="C251" s="36">
        <v>4301012403</v>
      </c>
      <c r="D251" s="715">
        <v>4680115889903</v>
      </c>
      <c r="E251" s="715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45" t="s">
        <v>432</v>
      </c>
      <c r="Q251" s="717"/>
      <c r="R251" s="717"/>
      <c r="S251" s="717"/>
      <c r="T251" s="71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26"/>
      <c r="B252" s="726"/>
      <c r="C252" s="726"/>
      <c r="D252" s="726"/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7"/>
      <c r="P252" s="723" t="s">
        <v>40</v>
      </c>
      <c r="Q252" s="724"/>
      <c r="R252" s="724"/>
      <c r="S252" s="724"/>
      <c r="T252" s="724"/>
      <c r="U252" s="724"/>
      <c r="V252" s="72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726"/>
      <c r="B253" s="726"/>
      <c r="C253" s="726"/>
      <c r="D253" s="726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7"/>
      <c r="P253" s="723" t="s">
        <v>40</v>
      </c>
      <c r="Q253" s="724"/>
      <c r="R253" s="724"/>
      <c r="S253" s="724"/>
      <c r="T253" s="724"/>
      <c r="U253" s="724"/>
      <c r="V253" s="72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customHeight="1" x14ac:dyDescent="0.25">
      <c r="A254" s="714" t="s">
        <v>161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16.5" customHeight="1" x14ac:dyDescent="0.25">
      <c r="A255" s="63" t="s">
        <v>434</v>
      </c>
      <c r="B255" s="63" t="s">
        <v>435</v>
      </c>
      <c r="C255" s="36">
        <v>4301020261</v>
      </c>
      <c r="D255" s="715">
        <v>4680115882935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customHeight="1" x14ac:dyDescent="0.25">
      <c r="A256" s="63" t="s">
        <v>437</v>
      </c>
      <c r="B256" s="63" t="s">
        <v>438</v>
      </c>
      <c r="C256" s="36">
        <v>4301020220</v>
      </c>
      <c r="D256" s="715">
        <v>4680115880764</v>
      </c>
      <c r="E256" s="715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26"/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7"/>
      <c r="P257" s="723" t="s">
        <v>40</v>
      </c>
      <c r="Q257" s="724"/>
      <c r="R257" s="724"/>
      <c r="S257" s="724"/>
      <c r="T257" s="724"/>
      <c r="U257" s="724"/>
      <c r="V257" s="72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714" t="s">
        <v>256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715">
        <v>4680115882683</v>
      </c>
      <c r="E260" s="715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715">
        <v>4680115882690</v>
      </c>
      <c r="E261" s="715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715">
        <v>4680115882669</v>
      </c>
      <c r="E262" s="715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715">
        <v>4680115882676</v>
      </c>
      <c r="E263" s="715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customHeight="1" x14ac:dyDescent="0.25">
      <c r="A264" s="63" t="s">
        <v>451</v>
      </c>
      <c r="B264" s="63" t="s">
        <v>452</v>
      </c>
      <c r="C264" s="36">
        <v>4301031223</v>
      </c>
      <c r="D264" s="715">
        <v>4680115884014</v>
      </c>
      <c r="E264" s="715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717"/>
      <c r="R264" s="717"/>
      <c r="S264" s="717"/>
      <c r="T264" s="718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customHeight="1" x14ac:dyDescent="0.25">
      <c r="A265" s="63" t="s">
        <v>453</v>
      </c>
      <c r="B265" s="63" t="s">
        <v>454</v>
      </c>
      <c r="C265" s="36">
        <v>4301031222</v>
      </c>
      <c r="D265" s="715">
        <v>4680115884007</v>
      </c>
      <c r="E265" s="715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455</v>
      </c>
      <c r="B266" s="63" t="s">
        <v>456</v>
      </c>
      <c r="C266" s="36">
        <v>4301031229</v>
      </c>
      <c r="D266" s="715">
        <v>4680115884038</v>
      </c>
      <c r="E266" s="715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4301031225</v>
      </c>
      <c r="D267" s="715">
        <v>4680115884021</v>
      </c>
      <c r="E267" s="715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726"/>
      <c r="B268" s="726"/>
      <c r="C268" s="726"/>
      <c r="D268" s="726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7"/>
      <c r="P268" s="723" t="s">
        <v>40</v>
      </c>
      <c r="Q268" s="724"/>
      <c r="R268" s="724"/>
      <c r="S268" s="724"/>
      <c r="T268" s="724"/>
      <c r="U268" s="724"/>
      <c r="V268" s="72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0</v>
      </c>
      <c r="Y268" s="43">
        <f>IFERROR(Y260/H260,"0")+IFERROR(Y261/H261,"0")+IFERROR(Y262/H262,"0")+IFERROR(Y263/H263,"0")+IFERROR(Y264/H264,"0")+IFERROR(Y265/H265,"0")+IFERROR(Y266/H266,"0")+IFERROR(Y267/H267,"0")</f>
        <v>0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2" t="s">
        <v>0</v>
      </c>
      <c r="X269" s="43">
        <f>IFERROR(SUM(X260:X267),"0")</f>
        <v>0</v>
      </c>
      <c r="Y269" s="43">
        <f>IFERROR(SUM(Y260:Y267),"0")</f>
        <v>0</v>
      </c>
      <c r="Z269" s="42"/>
      <c r="AA269" s="67"/>
      <c r="AB269" s="67"/>
      <c r="AC269" s="67"/>
    </row>
    <row r="270" spans="1:68" ht="14.25" customHeight="1" x14ac:dyDescent="0.25">
      <c r="A270" s="714" t="s">
        <v>77</v>
      </c>
      <c r="B270" s="714"/>
      <c r="C270" s="714"/>
      <c r="D270" s="714"/>
      <c r="E270" s="714"/>
      <c r="F270" s="714"/>
      <c r="G270" s="714"/>
      <c r="H270" s="714"/>
      <c r="I270" s="714"/>
      <c r="J270" s="714"/>
      <c r="K270" s="714"/>
      <c r="L270" s="714"/>
      <c r="M270" s="714"/>
      <c r="N270" s="714"/>
      <c r="O270" s="714"/>
      <c r="P270" s="714"/>
      <c r="Q270" s="714"/>
      <c r="R270" s="714"/>
      <c r="S270" s="714"/>
      <c r="T270" s="714"/>
      <c r="U270" s="714"/>
      <c r="V270" s="714"/>
      <c r="W270" s="714"/>
      <c r="X270" s="714"/>
      <c r="Y270" s="714"/>
      <c r="Z270" s="714"/>
      <c r="AA270" s="66"/>
      <c r="AB270" s="66"/>
      <c r="AC270" s="80"/>
    </row>
    <row r="271" spans="1:68" ht="27" customHeight="1" x14ac:dyDescent="0.25">
      <c r="A271" s="63" t="s">
        <v>459</v>
      </c>
      <c r="B271" s="63" t="s">
        <v>460</v>
      </c>
      <c r="C271" s="36">
        <v>4301052272</v>
      </c>
      <c r="D271" s="715">
        <v>4680115889873</v>
      </c>
      <c r="E271" s="715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56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4301051408</v>
      </c>
      <c r="D272" s="715">
        <v>4680115881594</v>
      </c>
      <c r="E272" s="715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4301051411</v>
      </c>
      <c r="D273" s="715">
        <v>4680115881617</v>
      </c>
      <c r="E273" s="715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customHeight="1" x14ac:dyDescent="0.25">
      <c r="A274" s="63" t="s">
        <v>468</v>
      </c>
      <c r="B274" s="63" t="s">
        <v>469</v>
      </c>
      <c r="C274" s="36">
        <v>4301051656</v>
      </c>
      <c r="D274" s="715">
        <v>4680115880573</v>
      </c>
      <c r="E274" s="715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715">
        <v>4680115882195</v>
      </c>
      <c r="E275" s="715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717"/>
      <c r="R275" s="717"/>
      <c r="S275" s="717"/>
      <c r="T275" s="71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4301051752</v>
      </c>
      <c r="D276" s="715">
        <v>4680115882607</v>
      </c>
      <c r="E276" s="715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717"/>
      <c r="R276" s="717"/>
      <c r="S276" s="717"/>
      <c r="T276" s="71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715">
        <v>4680115880092</v>
      </c>
      <c r="E277" s="71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4301052214</v>
      </c>
      <c r="D278" s="715">
        <v>4680115889064</v>
      </c>
      <c r="E278" s="715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4301051668</v>
      </c>
      <c r="D279" s="715">
        <v>4680115880221</v>
      </c>
      <c r="E279" s="715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715">
        <v>4680115880504</v>
      </c>
      <c r="E280" s="71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715">
        <v>4680115882164</v>
      </c>
      <c r="E281" s="715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4301052180</v>
      </c>
      <c r="D282" s="715">
        <v>4680115888340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726"/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7"/>
      <c r="P283" s="723" t="s">
        <v>40</v>
      </c>
      <c r="Q283" s="724"/>
      <c r="R283" s="724"/>
      <c r="S283" s="724"/>
      <c r="T283" s="724"/>
      <c r="U283" s="724"/>
      <c r="V283" s="72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726"/>
      <c r="B284" s="726"/>
      <c r="C284" s="726"/>
      <c r="D284" s="726"/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7"/>
      <c r="P284" s="723" t="s">
        <v>40</v>
      </c>
      <c r="Q284" s="724"/>
      <c r="R284" s="724"/>
      <c r="S284" s="724"/>
      <c r="T284" s="724"/>
      <c r="U284" s="724"/>
      <c r="V284" s="72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customHeight="1" x14ac:dyDescent="0.25">
      <c r="A285" s="714" t="s">
        <v>179</v>
      </c>
      <c r="B285" s="714"/>
      <c r="C285" s="714"/>
      <c r="D285" s="714"/>
      <c r="E285" s="714"/>
      <c r="F285" s="714"/>
      <c r="G285" s="714"/>
      <c r="H285" s="714"/>
      <c r="I285" s="714"/>
      <c r="J285" s="714"/>
      <c r="K285" s="714"/>
      <c r="L285" s="714"/>
      <c r="M285" s="714"/>
      <c r="N285" s="714"/>
      <c r="O285" s="714"/>
      <c r="P285" s="714"/>
      <c r="Q285" s="714"/>
      <c r="R285" s="714"/>
      <c r="S285" s="714"/>
      <c r="T285" s="714"/>
      <c r="U285" s="714"/>
      <c r="V285" s="714"/>
      <c r="W285" s="714"/>
      <c r="X285" s="714"/>
      <c r="Y285" s="714"/>
      <c r="Z285" s="714"/>
      <c r="AA285" s="66"/>
      <c r="AB285" s="66"/>
      <c r="AC285" s="80"/>
    </row>
    <row r="286" spans="1:68" ht="27" customHeight="1" x14ac:dyDescent="0.25">
      <c r="A286" s="63" t="s">
        <v>490</v>
      </c>
      <c r="B286" s="63" t="s">
        <v>491</v>
      </c>
      <c r="C286" s="36">
        <v>4301060463</v>
      </c>
      <c r="D286" s="715">
        <v>4680115880818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493</v>
      </c>
      <c r="B287" s="63" t="s">
        <v>494</v>
      </c>
      <c r="C287" s="36">
        <v>4301060389</v>
      </c>
      <c r="D287" s="715">
        <v>4680115880801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726"/>
      <c r="B288" s="726"/>
      <c r="C288" s="726"/>
      <c r="D288" s="726"/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7"/>
      <c r="P288" s="723" t="s">
        <v>40</v>
      </c>
      <c r="Q288" s="724"/>
      <c r="R288" s="724"/>
      <c r="S288" s="724"/>
      <c r="T288" s="724"/>
      <c r="U288" s="724"/>
      <c r="V288" s="72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726"/>
      <c r="B289" s="726"/>
      <c r="C289" s="726"/>
      <c r="D289" s="726"/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7"/>
      <c r="P289" s="723" t="s">
        <v>40</v>
      </c>
      <c r="Q289" s="724"/>
      <c r="R289" s="724"/>
      <c r="S289" s="724"/>
      <c r="T289" s="724"/>
      <c r="U289" s="724"/>
      <c r="V289" s="72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customHeight="1" x14ac:dyDescent="0.25">
      <c r="A290" s="713" t="s">
        <v>496</v>
      </c>
      <c r="B290" s="713"/>
      <c r="C290" s="713"/>
      <c r="D290" s="713"/>
      <c r="E290" s="713"/>
      <c r="F290" s="713"/>
      <c r="G290" s="713"/>
      <c r="H290" s="713"/>
      <c r="I290" s="713"/>
      <c r="J290" s="713"/>
      <c r="K290" s="713"/>
      <c r="L290" s="713"/>
      <c r="M290" s="713"/>
      <c r="N290" s="713"/>
      <c r="O290" s="713"/>
      <c r="P290" s="713"/>
      <c r="Q290" s="713"/>
      <c r="R290" s="713"/>
      <c r="S290" s="713"/>
      <c r="T290" s="713"/>
      <c r="U290" s="713"/>
      <c r="V290" s="713"/>
      <c r="W290" s="713"/>
      <c r="X290" s="713"/>
      <c r="Y290" s="713"/>
      <c r="Z290" s="713"/>
      <c r="AA290" s="65"/>
      <c r="AB290" s="65"/>
      <c r="AC290" s="79"/>
    </row>
    <row r="291" spans="1:68" ht="14.25" customHeight="1" x14ac:dyDescent="0.25">
      <c r="A291" s="714" t="s">
        <v>124</v>
      </c>
      <c r="B291" s="714"/>
      <c r="C291" s="714"/>
      <c r="D291" s="714"/>
      <c r="E291" s="714"/>
      <c r="F291" s="714"/>
      <c r="G291" s="714"/>
      <c r="H291" s="714"/>
      <c r="I291" s="714"/>
      <c r="J291" s="714"/>
      <c r="K291" s="714"/>
      <c r="L291" s="714"/>
      <c r="M291" s="714"/>
      <c r="N291" s="714"/>
      <c r="O291" s="714"/>
      <c r="P291" s="714"/>
      <c r="Q291" s="714"/>
      <c r="R291" s="714"/>
      <c r="S291" s="714"/>
      <c r="T291" s="714"/>
      <c r="U291" s="714"/>
      <c r="V291" s="714"/>
      <c r="W291" s="714"/>
      <c r="X291" s="714"/>
      <c r="Y291" s="714"/>
      <c r="Z291" s="714"/>
      <c r="AA291" s="66"/>
      <c r="AB291" s="66"/>
      <c r="AC291" s="80"/>
    </row>
    <row r="292" spans="1:68" ht="27" customHeight="1" x14ac:dyDescent="0.25">
      <c r="A292" s="63" t="s">
        <v>497</v>
      </c>
      <c r="B292" s="63" t="s">
        <v>498</v>
      </c>
      <c r="C292" s="36">
        <v>4301011826</v>
      </c>
      <c r="D292" s="715">
        <v>4680115884137</v>
      </c>
      <c r="E292" s="715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4301011724</v>
      </c>
      <c r="D293" s="715">
        <v>4680115884236</v>
      </c>
      <c r="E293" s="715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503</v>
      </c>
      <c r="B294" s="63" t="s">
        <v>504</v>
      </c>
      <c r="C294" s="36">
        <v>4301011721</v>
      </c>
      <c r="D294" s="715">
        <v>4680115884175</v>
      </c>
      <c r="E294" s="715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505</v>
      </c>
      <c r="B295" s="63" t="s">
        <v>506</v>
      </c>
      <c r="C295" s="36">
        <v>4301011824</v>
      </c>
      <c r="D295" s="715">
        <v>4680115884144</v>
      </c>
      <c r="E295" s="71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717"/>
      <c r="R295" s="717"/>
      <c r="S295" s="717"/>
      <c r="T295" s="718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4301012149</v>
      </c>
      <c r="D296" s="715">
        <v>4680115886551</v>
      </c>
      <c r="E296" s="715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717"/>
      <c r="R296" s="717"/>
      <c r="S296" s="717"/>
      <c r="T296" s="718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4301012228</v>
      </c>
      <c r="D297" s="715">
        <v>4680115887282</v>
      </c>
      <c r="E297" s="715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513</v>
      </c>
      <c r="B298" s="63" t="s">
        <v>514</v>
      </c>
      <c r="C298" s="36">
        <v>4301011722</v>
      </c>
      <c r="D298" s="715">
        <v>4680115884205</v>
      </c>
      <c r="E298" s="71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x14ac:dyDescent="0.2">
      <c r="A299" s="726"/>
      <c r="B299" s="726"/>
      <c r="C299" s="726"/>
      <c r="D299" s="726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7"/>
      <c r="P299" s="723" t="s">
        <v>40</v>
      </c>
      <c r="Q299" s="724"/>
      <c r="R299" s="724"/>
      <c r="S299" s="724"/>
      <c r="T299" s="724"/>
      <c r="U299" s="724"/>
      <c r="V299" s="72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customHeight="1" x14ac:dyDescent="0.25">
      <c r="A301" s="714" t="s">
        <v>161</v>
      </c>
      <c r="B301" s="714"/>
      <c r="C301" s="714"/>
      <c r="D301" s="714"/>
      <c r="E301" s="714"/>
      <c r="F301" s="714"/>
      <c r="G301" s="714"/>
      <c r="H301" s="714"/>
      <c r="I301" s="714"/>
      <c r="J301" s="714"/>
      <c r="K301" s="714"/>
      <c r="L301" s="714"/>
      <c r="M301" s="714"/>
      <c r="N301" s="714"/>
      <c r="O301" s="714"/>
      <c r="P301" s="714"/>
      <c r="Q301" s="714"/>
      <c r="R301" s="714"/>
      <c r="S301" s="714"/>
      <c r="T301" s="714"/>
      <c r="U301" s="714"/>
      <c r="V301" s="714"/>
      <c r="W301" s="714"/>
      <c r="X301" s="714"/>
      <c r="Y301" s="714"/>
      <c r="Z301" s="714"/>
      <c r="AA301" s="66"/>
      <c r="AB301" s="66"/>
      <c r="AC301" s="80"/>
    </row>
    <row r="302" spans="1:68" ht="27" customHeight="1" x14ac:dyDescent="0.25">
      <c r="A302" s="63" t="s">
        <v>515</v>
      </c>
      <c r="B302" s="63" t="s">
        <v>516</v>
      </c>
      <c r="C302" s="36">
        <v>4301020377</v>
      </c>
      <c r="D302" s="715">
        <v>4680115885981</v>
      </c>
      <c r="E302" s="715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726"/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7"/>
      <c r="P303" s="723" t="s">
        <v>40</v>
      </c>
      <c r="Q303" s="724"/>
      <c r="R303" s="724"/>
      <c r="S303" s="724"/>
      <c r="T303" s="724"/>
      <c r="U303" s="724"/>
      <c r="V303" s="72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x14ac:dyDescent="0.2">
      <c r="A304" s="726"/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7"/>
      <c r="P304" s="723" t="s">
        <v>40</v>
      </c>
      <c r="Q304" s="724"/>
      <c r="R304" s="724"/>
      <c r="S304" s="724"/>
      <c r="T304" s="724"/>
      <c r="U304" s="724"/>
      <c r="V304" s="72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customHeight="1" x14ac:dyDescent="0.25">
      <c r="A305" s="714" t="s">
        <v>518</v>
      </c>
      <c r="B305" s="714"/>
      <c r="C305" s="714"/>
      <c r="D305" s="714"/>
      <c r="E305" s="714"/>
      <c r="F305" s="714"/>
      <c r="G305" s="714"/>
      <c r="H305" s="714"/>
      <c r="I305" s="714"/>
      <c r="J305" s="714"/>
      <c r="K305" s="714"/>
      <c r="L305" s="714"/>
      <c r="M305" s="714"/>
      <c r="N305" s="714"/>
      <c r="O305" s="714"/>
      <c r="P305" s="714"/>
      <c r="Q305" s="714"/>
      <c r="R305" s="714"/>
      <c r="S305" s="714"/>
      <c r="T305" s="714"/>
      <c r="U305" s="714"/>
      <c r="V305" s="714"/>
      <c r="W305" s="714"/>
      <c r="X305" s="714"/>
      <c r="Y305" s="714"/>
      <c r="Z305" s="714"/>
      <c r="AA305" s="66"/>
      <c r="AB305" s="66"/>
      <c r="AC305" s="80"/>
    </row>
    <row r="306" spans="1:68" ht="27" customHeight="1" x14ac:dyDescent="0.25">
      <c r="A306" s="63" t="s">
        <v>519</v>
      </c>
      <c r="B306" s="63" t="s">
        <v>520</v>
      </c>
      <c r="C306" s="36">
        <v>4301040362</v>
      </c>
      <c r="D306" s="715">
        <v>4680115886803</v>
      </c>
      <c r="E306" s="715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717"/>
      <c r="R306" s="717"/>
      <c r="S306" s="717"/>
      <c r="T306" s="718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x14ac:dyDescent="0.2">
      <c r="A307" s="726"/>
      <c r="B307" s="726"/>
      <c r="C307" s="726"/>
      <c r="D307" s="726"/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7"/>
      <c r="P307" s="723" t="s">
        <v>40</v>
      </c>
      <c r="Q307" s="724"/>
      <c r="R307" s="724"/>
      <c r="S307" s="724"/>
      <c r="T307" s="724"/>
      <c r="U307" s="724"/>
      <c r="V307" s="72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x14ac:dyDescent="0.2">
      <c r="A308" s="726"/>
      <c r="B308" s="726"/>
      <c r="C308" s="726"/>
      <c r="D308" s="726"/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7"/>
      <c r="P308" s="723" t="s">
        <v>40</v>
      </c>
      <c r="Q308" s="724"/>
      <c r="R308" s="724"/>
      <c r="S308" s="724"/>
      <c r="T308" s="724"/>
      <c r="U308" s="724"/>
      <c r="V308" s="72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customHeight="1" x14ac:dyDescent="0.25">
      <c r="A309" s="714" t="s">
        <v>336</v>
      </c>
      <c r="B309" s="714"/>
      <c r="C309" s="714"/>
      <c r="D309" s="714"/>
      <c r="E309" s="714"/>
      <c r="F309" s="714"/>
      <c r="G309" s="714"/>
      <c r="H309" s="714"/>
      <c r="I309" s="714"/>
      <c r="J309" s="714"/>
      <c r="K309" s="714"/>
      <c r="L309" s="714"/>
      <c r="M309" s="714"/>
      <c r="N309" s="714"/>
      <c r="O309" s="714"/>
      <c r="P309" s="714"/>
      <c r="Q309" s="714"/>
      <c r="R309" s="714"/>
      <c r="S309" s="714"/>
      <c r="T309" s="714"/>
      <c r="U309" s="714"/>
      <c r="V309" s="714"/>
      <c r="W309" s="714"/>
      <c r="X309" s="714"/>
      <c r="Y309" s="714"/>
      <c r="Z309" s="714"/>
      <c r="AA309" s="66"/>
      <c r="AB309" s="66"/>
      <c r="AC309" s="80"/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715">
        <v>4680115886681</v>
      </c>
      <c r="E310" s="715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8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717"/>
      <c r="R310" s="717"/>
      <c r="S310" s="717"/>
      <c r="T310" s="718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525</v>
      </c>
      <c r="B311" s="63" t="s">
        <v>526</v>
      </c>
      <c r="C311" s="36">
        <v>4301041007</v>
      </c>
      <c r="D311" s="715">
        <v>4680115886735</v>
      </c>
      <c r="E311" s="715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527</v>
      </c>
      <c r="B312" s="63" t="s">
        <v>528</v>
      </c>
      <c r="C312" s="36">
        <v>4301041006</v>
      </c>
      <c r="D312" s="715">
        <v>4680115886728</v>
      </c>
      <c r="E312" s="715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8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717"/>
      <c r="R312" s="717"/>
      <c r="S312" s="717"/>
      <c r="T312" s="718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529</v>
      </c>
      <c r="B313" s="63" t="s">
        <v>530</v>
      </c>
      <c r="C313" s="36">
        <v>4301041005</v>
      </c>
      <c r="D313" s="715">
        <v>4680115886711</v>
      </c>
      <c r="E313" s="715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8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6"/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7"/>
      <c r="P314" s="723" t="s">
        <v>40</v>
      </c>
      <c r="Q314" s="724"/>
      <c r="R314" s="724"/>
      <c r="S314" s="724"/>
      <c r="T314" s="724"/>
      <c r="U314" s="724"/>
      <c r="V314" s="72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customHeight="1" x14ac:dyDescent="0.25">
      <c r="A316" s="713" t="s">
        <v>531</v>
      </c>
      <c r="B316" s="713"/>
      <c r="C316" s="713"/>
      <c r="D316" s="713"/>
      <c r="E316" s="713"/>
      <c r="F316" s="713"/>
      <c r="G316" s="713"/>
      <c r="H316" s="713"/>
      <c r="I316" s="713"/>
      <c r="J316" s="713"/>
      <c r="K316" s="713"/>
      <c r="L316" s="713"/>
      <c r="M316" s="713"/>
      <c r="N316" s="713"/>
      <c r="O316" s="713"/>
      <c r="P316" s="713"/>
      <c r="Q316" s="713"/>
      <c r="R316" s="713"/>
      <c r="S316" s="713"/>
      <c r="T316" s="713"/>
      <c r="U316" s="713"/>
      <c r="V316" s="713"/>
      <c r="W316" s="713"/>
      <c r="X316" s="713"/>
      <c r="Y316" s="713"/>
      <c r="Z316" s="713"/>
      <c r="AA316" s="65"/>
      <c r="AB316" s="65"/>
      <c r="AC316" s="79"/>
    </row>
    <row r="317" spans="1:68" ht="14.25" customHeight="1" x14ac:dyDescent="0.25">
      <c r="A317" s="714" t="s">
        <v>124</v>
      </c>
      <c r="B317" s="714"/>
      <c r="C317" s="714"/>
      <c r="D317" s="714"/>
      <c r="E317" s="714"/>
      <c r="F317" s="714"/>
      <c r="G317" s="714"/>
      <c r="H317" s="714"/>
      <c r="I317" s="714"/>
      <c r="J317" s="714"/>
      <c r="K317" s="714"/>
      <c r="L317" s="714"/>
      <c r="M317" s="714"/>
      <c r="N317" s="714"/>
      <c r="O317" s="714"/>
      <c r="P317" s="714"/>
      <c r="Q317" s="714"/>
      <c r="R317" s="714"/>
      <c r="S317" s="714"/>
      <c r="T317" s="714"/>
      <c r="U317" s="714"/>
      <c r="V317" s="714"/>
      <c r="W317" s="714"/>
      <c r="X317" s="714"/>
      <c r="Y317" s="714"/>
      <c r="Z317" s="714"/>
      <c r="AA317" s="66"/>
      <c r="AB317" s="66"/>
      <c r="AC317" s="80"/>
    </row>
    <row r="318" spans="1:68" ht="27" customHeight="1" x14ac:dyDescent="0.25">
      <c r="A318" s="63" t="s">
        <v>532</v>
      </c>
      <c r="B318" s="63" t="s">
        <v>533</v>
      </c>
      <c r="C318" s="36">
        <v>4301012362</v>
      </c>
      <c r="D318" s="715">
        <v>4680115889507</v>
      </c>
      <c r="E318" s="715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4301011855</v>
      </c>
      <c r="D319" s="715">
        <v>4680115885837</v>
      </c>
      <c r="E319" s="715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8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customHeight="1" x14ac:dyDescent="0.25">
      <c r="A320" s="63" t="s">
        <v>538</v>
      </c>
      <c r="B320" s="63" t="s">
        <v>539</v>
      </c>
      <c r="C320" s="36">
        <v>4301012212</v>
      </c>
      <c r="D320" s="715">
        <v>4680115887077</v>
      </c>
      <c r="E320" s="715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885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717"/>
      <c r="R320" s="717"/>
      <c r="S320" s="717"/>
      <c r="T320" s="718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customHeight="1" x14ac:dyDescent="0.25">
      <c r="A321" s="63" t="s">
        <v>541</v>
      </c>
      <c r="B321" s="63" t="s">
        <v>542</v>
      </c>
      <c r="C321" s="36">
        <v>4301012390</v>
      </c>
      <c r="D321" s="715">
        <v>4680115889637</v>
      </c>
      <c r="E321" s="715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88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717"/>
      <c r="R321" s="717"/>
      <c r="S321" s="717"/>
      <c r="T321" s="718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customHeight="1" x14ac:dyDescent="0.25">
      <c r="A322" s="63" t="s">
        <v>544</v>
      </c>
      <c r="B322" s="63" t="s">
        <v>545</v>
      </c>
      <c r="C322" s="36">
        <v>4301012234</v>
      </c>
      <c r="D322" s="715">
        <v>4680115887237</v>
      </c>
      <c r="E322" s="715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88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717"/>
      <c r="R322" s="717"/>
      <c r="S322" s="717"/>
      <c r="T322" s="718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customHeight="1" x14ac:dyDescent="0.25">
      <c r="A323" s="63" t="s">
        <v>547</v>
      </c>
      <c r="B323" s="63" t="s">
        <v>548</v>
      </c>
      <c r="C323" s="36">
        <v>4301011850</v>
      </c>
      <c r="D323" s="715">
        <v>4680115885806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88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customHeight="1" x14ac:dyDescent="0.25">
      <c r="A324" s="63" t="s">
        <v>550</v>
      </c>
      <c r="B324" s="63" t="s">
        <v>551</v>
      </c>
      <c r="C324" s="36">
        <v>4301011852</v>
      </c>
      <c r="D324" s="715">
        <v>4680115885844</v>
      </c>
      <c r="E324" s="715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customHeight="1" x14ac:dyDescent="0.25">
      <c r="A325" s="63" t="s">
        <v>553</v>
      </c>
      <c r="B325" s="63" t="s">
        <v>554</v>
      </c>
      <c r="C325" s="36">
        <v>4301011851</v>
      </c>
      <c r="D325" s="715">
        <v>4680115885820</v>
      </c>
      <c r="E325" s="715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x14ac:dyDescent="0.2">
      <c r="A326" s="726"/>
      <c r="B326" s="726"/>
      <c r="C326" s="726"/>
      <c r="D326" s="726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7"/>
      <c r="P326" s="723" t="s">
        <v>40</v>
      </c>
      <c r="Q326" s="724"/>
      <c r="R326" s="724"/>
      <c r="S326" s="724"/>
      <c r="T326" s="724"/>
      <c r="U326" s="724"/>
      <c r="V326" s="72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726"/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7"/>
      <c r="P327" s="723" t="s">
        <v>40</v>
      </c>
      <c r="Q327" s="724"/>
      <c r="R327" s="724"/>
      <c r="S327" s="724"/>
      <c r="T327" s="724"/>
      <c r="U327" s="724"/>
      <c r="V327" s="72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customHeight="1" x14ac:dyDescent="0.25">
      <c r="A328" s="713" t="s">
        <v>556</v>
      </c>
      <c r="B328" s="713"/>
      <c r="C328" s="713"/>
      <c r="D328" s="713"/>
      <c r="E328" s="713"/>
      <c r="F328" s="713"/>
      <c r="G328" s="713"/>
      <c r="H328" s="713"/>
      <c r="I328" s="713"/>
      <c r="J328" s="713"/>
      <c r="K328" s="713"/>
      <c r="L328" s="713"/>
      <c r="M328" s="713"/>
      <c r="N328" s="713"/>
      <c r="O328" s="713"/>
      <c r="P328" s="713"/>
      <c r="Q328" s="713"/>
      <c r="R328" s="713"/>
      <c r="S328" s="713"/>
      <c r="T328" s="713"/>
      <c r="U328" s="713"/>
      <c r="V328" s="713"/>
      <c r="W328" s="713"/>
      <c r="X328" s="713"/>
      <c r="Y328" s="713"/>
      <c r="Z328" s="713"/>
      <c r="AA328" s="65"/>
      <c r="AB328" s="65"/>
      <c r="AC328" s="79"/>
    </row>
    <row r="329" spans="1:68" ht="14.25" customHeight="1" x14ac:dyDescent="0.25">
      <c r="A329" s="714" t="s">
        <v>77</v>
      </c>
      <c r="B329" s="714"/>
      <c r="C329" s="714"/>
      <c r="D329" s="714"/>
      <c r="E329" s="714"/>
      <c r="F329" s="714"/>
      <c r="G329" s="714"/>
      <c r="H329" s="714"/>
      <c r="I329" s="714"/>
      <c r="J329" s="714"/>
      <c r="K329" s="714"/>
      <c r="L329" s="714"/>
      <c r="M329" s="714"/>
      <c r="N329" s="714"/>
      <c r="O329" s="714"/>
      <c r="P329" s="714"/>
      <c r="Q329" s="714"/>
      <c r="R329" s="714"/>
      <c r="S329" s="714"/>
      <c r="T329" s="714"/>
      <c r="U329" s="714"/>
      <c r="V329" s="714"/>
      <c r="W329" s="714"/>
      <c r="X329" s="714"/>
      <c r="Y329" s="714"/>
      <c r="Z329" s="714"/>
      <c r="AA329" s="66"/>
      <c r="AB329" s="66"/>
      <c r="AC329" s="80"/>
    </row>
    <row r="330" spans="1:68" ht="27" customHeight="1" x14ac:dyDescent="0.25">
      <c r="A330" s="63" t="s">
        <v>557</v>
      </c>
      <c r="B330" s="63" t="s">
        <v>558</v>
      </c>
      <c r="C330" s="36">
        <v>4301051893</v>
      </c>
      <c r="D330" s="715">
        <v>4680115886186</v>
      </c>
      <c r="E330" s="715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89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717"/>
      <c r="R330" s="717"/>
      <c r="S330" s="717"/>
      <c r="T330" s="71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560</v>
      </c>
      <c r="B331" s="63" t="s">
        <v>561</v>
      </c>
      <c r="C331" s="36">
        <v>4301051795</v>
      </c>
      <c r="D331" s="715">
        <v>4680115881228</v>
      </c>
      <c r="E331" s="715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89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717"/>
      <c r="R331" s="717"/>
      <c r="S331" s="717"/>
      <c r="T331" s="71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563</v>
      </c>
      <c r="B332" s="63" t="s">
        <v>564</v>
      </c>
      <c r="C332" s="36">
        <v>4301051388</v>
      </c>
      <c r="D332" s="715">
        <v>4680115881211</v>
      </c>
      <c r="E332" s="715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717"/>
      <c r="R332" s="717"/>
      <c r="S332" s="717"/>
      <c r="T332" s="71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customHeight="1" x14ac:dyDescent="0.25">
      <c r="A335" s="713" t="s">
        <v>565</v>
      </c>
      <c r="B335" s="713"/>
      <c r="C335" s="713"/>
      <c r="D335" s="713"/>
      <c r="E335" s="713"/>
      <c r="F335" s="713"/>
      <c r="G335" s="713"/>
      <c r="H335" s="713"/>
      <c r="I335" s="713"/>
      <c r="J335" s="713"/>
      <c r="K335" s="713"/>
      <c r="L335" s="713"/>
      <c r="M335" s="713"/>
      <c r="N335" s="713"/>
      <c r="O335" s="713"/>
      <c r="P335" s="713"/>
      <c r="Q335" s="713"/>
      <c r="R335" s="713"/>
      <c r="S335" s="713"/>
      <c r="T335" s="713"/>
      <c r="U335" s="713"/>
      <c r="V335" s="713"/>
      <c r="W335" s="713"/>
      <c r="X335" s="713"/>
      <c r="Y335" s="713"/>
      <c r="Z335" s="713"/>
      <c r="AA335" s="65"/>
      <c r="AB335" s="65"/>
      <c r="AC335" s="79"/>
    </row>
    <row r="336" spans="1:68" ht="14.25" customHeight="1" x14ac:dyDescent="0.25">
      <c r="A336" s="714" t="s">
        <v>256</v>
      </c>
      <c r="B336" s="714"/>
      <c r="C336" s="714"/>
      <c r="D336" s="714"/>
      <c r="E336" s="714"/>
      <c r="F336" s="714"/>
      <c r="G336" s="714"/>
      <c r="H336" s="714"/>
      <c r="I336" s="714"/>
      <c r="J336" s="714"/>
      <c r="K336" s="714"/>
      <c r="L336" s="714"/>
      <c r="M336" s="714"/>
      <c r="N336" s="714"/>
      <c r="O336" s="714"/>
      <c r="P336" s="714"/>
      <c r="Q336" s="714"/>
      <c r="R336" s="714"/>
      <c r="S336" s="714"/>
      <c r="T336" s="714"/>
      <c r="U336" s="714"/>
      <c r="V336" s="714"/>
      <c r="W336" s="714"/>
      <c r="X336" s="714"/>
      <c r="Y336" s="714"/>
      <c r="Z336" s="714"/>
      <c r="AA336" s="66"/>
      <c r="AB336" s="66"/>
      <c r="AC336" s="80"/>
    </row>
    <row r="337" spans="1:68" ht="27" customHeight="1" x14ac:dyDescent="0.25">
      <c r="A337" s="63" t="s">
        <v>566</v>
      </c>
      <c r="B337" s="63" t="s">
        <v>567</v>
      </c>
      <c r="C337" s="36">
        <v>4301031445</v>
      </c>
      <c r="D337" s="715">
        <v>4680115888319</v>
      </c>
      <c r="E337" s="715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717"/>
      <c r="R337" s="717"/>
      <c r="S337" s="717"/>
      <c r="T337" s="71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569</v>
      </c>
      <c r="B338" s="63" t="s">
        <v>570</v>
      </c>
      <c r="C338" s="36">
        <v>4301031502</v>
      </c>
      <c r="D338" s="715">
        <v>4680115884700</v>
      </c>
      <c r="E338" s="715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717"/>
      <c r="R338" s="717"/>
      <c r="S338" s="717"/>
      <c r="T338" s="71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572</v>
      </c>
      <c r="B339" s="63" t="s">
        <v>573</v>
      </c>
      <c r="C339" s="36">
        <v>4301031307</v>
      </c>
      <c r="D339" s="715">
        <v>4680115880344</v>
      </c>
      <c r="E339" s="715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89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717"/>
      <c r="R339" s="717"/>
      <c r="S339" s="717"/>
      <c r="T339" s="71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575</v>
      </c>
      <c r="B340" s="63" t="s">
        <v>576</v>
      </c>
      <c r="C340" s="36">
        <v>4301031501</v>
      </c>
      <c r="D340" s="715">
        <v>4680115886919</v>
      </c>
      <c r="E340" s="71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726"/>
      <c r="B342" s="726"/>
      <c r="C342" s="726"/>
      <c r="D342" s="726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7"/>
      <c r="P342" s="723" t="s">
        <v>40</v>
      </c>
      <c r="Q342" s="724"/>
      <c r="R342" s="724"/>
      <c r="S342" s="724"/>
      <c r="T342" s="724"/>
      <c r="U342" s="724"/>
      <c r="V342" s="72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customHeight="1" x14ac:dyDescent="0.25">
      <c r="A343" s="714" t="s">
        <v>77</v>
      </c>
      <c r="B343" s="714"/>
      <c r="C343" s="714"/>
      <c r="D343" s="714"/>
      <c r="E343" s="714"/>
      <c r="F343" s="714"/>
      <c r="G343" s="714"/>
      <c r="H343" s="714"/>
      <c r="I343" s="714"/>
      <c r="J343" s="714"/>
      <c r="K343" s="714"/>
      <c r="L343" s="714"/>
      <c r="M343" s="714"/>
      <c r="N343" s="714"/>
      <c r="O343" s="714"/>
      <c r="P343" s="714"/>
      <c r="Q343" s="714"/>
      <c r="R343" s="714"/>
      <c r="S343" s="714"/>
      <c r="T343" s="714"/>
      <c r="U343" s="714"/>
      <c r="V343" s="714"/>
      <c r="W343" s="714"/>
      <c r="X343" s="714"/>
      <c r="Y343" s="714"/>
      <c r="Z343" s="714"/>
      <c r="AA343" s="66"/>
      <c r="AB343" s="66"/>
      <c r="AC343" s="80"/>
    </row>
    <row r="344" spans="1:68" ht="27" customHeight="1" x14ac:dyDescent="0.25">
      <c r="A344" s="63" t="s">
        <v>578</v>
      </c>
      <c r="B344" s="63" t="s">
        <v>579</v>
      </c>
      <c r="C344" s="36">
        <v>4301051782</v>
      </c>
      <c r="D344" s="715">
        <v>4680115884618</v>
      </c>
      <c r="E344" s="715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8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581</v>
      </c>
      <c r="B345" s="63" t="s">
        <v>582</v>
      </c>
      <c r="C345" s="36">
        <v>4301052057</v>
      </c>
      <c r="D345" s="715">
        <v>4680115887114</v>
      </c>
      <c r="E345" s="715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89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717"/>
      <c r="R345" s="717"/>
      <c r="S345" s="717"/>
      <c r="T345" s="71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customHeight="1" x14ac:dyDescent="0.25">
      <c r="A346" s="63" t="s">
        <v>584</v>
      </c>
      <c r="B346" s="63" t="s">
        <v>585</v>
      </c>
      <c r="C346" s="36">
        <v>4301052066</v>
      </c>
      <c r="D346" s="715">
        <v>4680115887466</v>
      </c>
      <c r="E346" s="715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90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717"/>
      <c r="R346" s="717"/>
      <c r="S346" s="717"/>
      <c r="T346" s="71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26"/>
      <c r="B347" s="726"/>
      <c r="C347" s="726"/>
      <c r="D347" s="726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7"/>
      <c r="P347" s="723" t="s">
        <v>40</v>
      </c>
      <c r="Q347" s="724"/>
      <c r="R347" s="724"/>
      <c r="S347" s="724"/>
      <c r="T347" s="724"/>
      <c r="U347" s="724"/>
      <c r="V347" s="72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26"/>
      <c r="B348" s="726"/>
      <c r="C348" s="726"/>
      <c r="D348" s="726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7"/>
      <c r="P348" s="723" t="s">
        <v>40</v>
      </c>
      <c r="Q348" s="724"/>
      <c r="R348" s="724"/>
      <c r="S348" s="724"/>
      <c r="T348" s="724"/>
      <c r="U348" s="724"/>
      <c r="V348" s="72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customHeight="1" x14ac:dyDescent="0.25">
      <c r="A349" s="713" t="s">
        <v>587</v>
      </c>
      <c r="B349" s="713"/>
      <c r="C349" s="713"/>
      <c r="D349" s="713"/>
      <c r="E349" s="713"/>
      <c r="F349" s="713"/>
      <c r="G349" s="713"/>
      <c r="H349" s="713"/>
      <c r="I349" s="713"/>
      <c r="J349" s="713"/>
      <c r="K349" s="713"/>
      <c r="L349" s="713"/>
      <c r="M349" s="713"/>
      <c r="N349" s="713"/>
      <c r="O349" s="713"/>
      <c r="P349" s="713"/>
      <c r="Q349" s="713"/>
      <c r="R349" s="713"/>
      <c r="S349" s="713"/>
      <c r="T349" s="713"/>
      <c r="U349" s="713"/>
      <c r="V349" s="713"/>
      <c r="W349" s="713"/>
      <c r="X349" s="713"/>
      <c r="Y349" s="713"/>
      <c r="Z349" s="713"/>
      <c r="AA349" s="65"/>
      <c r="AB349" s="65"/>
      <c r="AC349" s="79"/>
    </row>
    <row r="350" spans="1:68" ht="14.25" customHeight="1" x14ac:dyDescent="0.25">
      <c r="A350" s="714" t="s">
        <v>256</v>
      </c>
      <c r="B350" s="714"/>
      <c r="C350" s="714"/>
      <c r="D350" s="714"/>
      <c r="E350" s="714"/>
      <c r="F350" s="714"/>
      <c r="G350" s="714"/>
      <c r="H350" s="714"/>
      <c r="I350" s="714"/>
      <c r="J350" s="714"/>
      <c r="K350" s="714"/>
      <c r="L350" s="714"/>
      <c r="M350" s="714"/>
      <c r="N350" s="714"/>
      <c r="O350" s="714"/>
      <c r="P350" s="714"/>
      <c r="Q350" s="714"/>
      <c r="R350" s="714"/>
      <c r="S350" s="714"/>
      <c r="T350" s="714"/>
      <c r="U350" s="714"/>
      <c r="V350" s="714"/>
      <c r="W350" s="714"/>
      <c r="X350" s="714"/>
      <c r="Y350" s="714"/>
      <c r="Z350" s="714"/>
      <c r="AA350" s="66"/>
      <c r="AB350" s="66"/>
      <c r="AC350" s="80"/>
    </row>
    <row r="351" spans="1:68" ht="37.5" customHeight="1" x14ac:dyDescent="0.25">
      <c r="A351" s="63" t="s">
        <v>588</v>
      </c>
      <c r="B351" s="63" t="s">
        <v>589</v>
      </c>
      <c r="C351" s="36">
        <v>4301031283</v>
      </c>
      <c r="D351" s="715">
        <v>4680115886001</v>
      </c>
      <c r="E351" s="715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90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717"/>
      <c r="R351" s="717"/>
      <c r="S351" s="717"/>
      <c r="T351" s="71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26"/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7"/>
      <c r="P352" s="723" t="s">
        <v>40</v>
      </c>
      <c r="Q352" s="724"/>
      <c r="R352" s="724"/>
      <c r="S352" s="724"/>
      <c r="T352" s="724"/>
      <c r="U352" s="724"/>
      <c r="V352" s="72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x14ac:dyDescent="0.2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7"/>
      <c r="P353" s="723" t="s">
        <v>40</v>
      </c>
      <c r="Q353" s="724"/>
      <c r="R353" s="724"/>
      <c r="S353" s="724"/>
      <c r="T353" s="724"/>
      <c r="U353" s="724"/>
      <c r="V353" s="72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27" customHeight="1" x14ac:dyDescent="0.25">
      <c r="A355" s="63" t="s">
        <v>591</v>
      </c>
      <c r="B355" s="63" t="s">
        <v>592</v>
      </c>
      <c r="C355" s="36">
        <v>4301051597</v>
      </c>
      <c r="D355" s="715">
        <v>4680115886087</v>
      </c>
      <c r="E355" s="715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7"/>
      <c r="P356" s="723" t="s">
        <v>40</v>
      </c>
      <c r="Q356" s="724"/>
      <c r="R356" s="724"/>
      <c r="S356" s="724"/>
      <c r="T356" s="724"/>
      <c r="U356" s="724"/>
      <c r="V356" s="72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x14ac:dyDescent="0.2">
      <c r="A357" s="726"/>
      <c r="B357" s="726"/>
      <c r="C357" s="726"/>
      <c r="D357" s="726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7"/>
      <c r="P357" s="723" t="s">
        <v>40</v>
      </c>
      <c r="Q357" s="724"/>
      <c r="R357" s="724"/>
      <c r="S357" s="724"/>
      <c r="T357" s="724"/>
      <c r="U357" s="724"/>
      <c r="V357" s="72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customHeight="1" x14ac:dyDescent="0.25">
      <c r="A358" s="713" t="s">
        <v>594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5"/>
      <c r="AB358" s="65"/>
      <c r="AC358" s="79"/>
    </row>
    <row r="359" spans="1:68" ht="14.25" customHeight="1" x14ac:dyDescent="0.25">
      <c r="A359" s="714" t="s">
        <v>124</v>
      </c>
      <c r="B359" s="714"/>
      <c r="C359" s="714"/>
      <c r="D359" s="714"/>
      <c r="E359" s="714"/>
      <c r="F359" s="714"/>
      <c r="G359" s="714"/>
      <c r="H359" s="714"/>
      <c r="I359" s="714"/>
      <c r="J359" s="714"/>
      <c r="K359" s="714"/>
      <c r="L359" s="714"/>
      <c r="M359" s="714"/>
      <c r="N359" s="714"/>
      <c r="O359" s="714"/>
      <c r="P359" s="714"/>
      <c r="Q359" s="714"/>
      <c r="R359" s="714"/>
      <c r="S359" s="714"/>
      <c r="T359" s="714"/>
      <c r="U359" s="714"/>
      <c r="V359" s="714"/>
      <c r="W359" s="714"/>
      <c r="X359" s="714"/>
      <c r="Y359" s="714"/>
      <c r="Z359" s="714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715">
        <v>4680115887947</v>
      </c>
      <c r="E360" s="71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90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717"/>
      <c r="R360" s="717"/>
      <c r="S360" s="717"/>
      <c r="T360" s="71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715">
        <v>4680115887978</v>
      </c>
      <c r="E361" s="71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90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600</v>
      </c>
      <c r="B362" s="63" t="s">
        <v>601</v>
      </c>
      <c r="C362" s="36">
        <v>4301012327</v>
      </c>
      <c r="D362" s="715">
        <v>4680115887992</v>
      </c>
      <c r="E362" s="715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90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7"/>
      <c r="P363" s="723" t="s">
        <v>40</v>
      </c>
      <c r="Q363" s="724"/>
      <c r="R363" s="724"/>
      <c r="S363" s="724"/>
      <c r="T363" s="724"/>
      <c r="U363" s="724"/>
      <c r="V363" s="72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x14ac:dyDescent="0.2">
      <c r="A364" s="726"/>
      <c r="B364" s="726"/>
      <c r="C364" s="726"/>
      <c r="D364" s="726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7"/>
      <c r="P364" s="723" t="s">
        <v>40</v>
      </c>
      <c r="Q364" s="724"/>
      <c r="R364" s="724"/>
      <c r="S364" s="724"/>
      <c r="T364" s="724"/>
      <c r="U364" s="724"/>
      <c r="V364" s="72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customHeight="1" x14ac:dyDescent="0.25">
      <c r="A365" s="713" t="s">
        <v>603</v>
      </c>
      <c r="B365" s="713"/>
      <c r="C365" s="713"/>
      <c r="D365" s="713"/>
      <c r="E365" s="713"/>
      <c r="F365" s="713"/>
      <c r="G365" s="713"/>
      <c r="H365" s="713"/>
      <c r="I365" s="713"/>
      <c r="J365" s="713"/>
      <c r="K365" s="713"/>
      <c r="L365" s="713"/>
      <c r="M365" s="713"/>
      <c r="N365" s="713"/>
      <c r="O365" s="713"/>
      <c r="P365" s="713"/>
      <c r="Q365" s="713"/>
      <c r="R365" s="713"/>
      <c r="S365" s="713"/>
      <c r="T365" s="713"/>
      <c r="U365" s="713"/>
      <c r="V365" s="713"/>
      <c r="W365" s="713"/>
      <c r="X365" s="713"/>
      <c r="Y365" s="713"/>
      <c r="Z365" s="713"/>
      <c r="AA365" s="65"/>
      <c r="AB365" s="65"/>
      <c r="AC365" s="79"/>
    </row>
    <row r="366" spans="1:68" ht="14.25" customHeight="1" x14ac:dyDescent="0.25">
      <c r="A366" s="714" t="s">
        <v>124</v>
      </c>
      <c r="B366" s="714"/>
      <c r="C366" s="714"/>
      <c r="D366" s="714"/>
      <c r="E366" s="714"/>
      <c r="F366" s="714"/>
      <c r="G366" s="714"/>
      <c r="H366" s="714"/>
      <c r="I366" s="714"/>
      <c r="J366" s="714"/>
      <c r="K366" s="714"/>
      <c r="L366" s="714"/>
      <c r="M366" s="714"/>
      <c r="N366" s="714"/>
      <c r="O366" s="714"/>
      <c r="P366" s="714"/>
      <c r="Q366" s="714"/>
      <c r="R366" s="714"/>
      <c r="S366" s="714"/>
      <c r="T366" s="714"/>
      <c r="U366" s="714"/>
      <c r="V366" s="714"/>
      <c r="W366" s="714"/>
      <c r="X366" s="714"/>
      <c r="Y366" s="714"/>
      <c r="Z366" s="714"/>
      <c r="AA366" s="66"/>
      <c r="AB366" s="66"/>
      <c r="AC366" s="80"/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715">
        <v>4680115889293</v>
      </c>
      <c r="E367" s="71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90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17"/>
      <c r="R367" s="717"/>
      <c r="S367" s="717"/>
      <c r="T367" s="71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715">
        <v>4680115887190</v>
      </c>
      <c r="E368" s="71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90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17"/>
      <c r="R368" s="717"/>
      <c r="S368" s="717"/>
      <c r="T368" s="71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customHeight="1" x14ac:dyDescent="0.25">
      <c r="A369" s="63" t="s">
        <v>610</v>
      </c>
      <c r="B369" s="63" t="s">
        <v>611</v>
      </c>
      <c r="C369" s="36">
        <v>4301012400</v>
      </c>
      <c r="D369" s="715">
        <v>4680115889880</v>
      </c>
      <c r="E369" s="71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90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717"/>
      <c r="R369" s="717"/>
      <c r="S369" s="717"/>
      <c r="T369" s="71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customHeight="1" x14ac:dyDescent="0.25">
      <c r="A370" s="63" t="s">
        <v>612</v>
      </c>
      <c r="B370" s="63" t="s">
        <v>613</v>
      </c>
      <c r="C370" s="36">
        <v>4301012233</v>
      </c>
      <c r="D370" s="715">
        <v>4680115887138</v>
      </c>
      <c r="E370" s="715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4301012016</v>
      </c>
      <c r="D371" s="715">
        <v>4680115885554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customHeight="1" x14ac:dyDescent="0.25">
      <c r="A372" s="63" t="s">
        <v>618</v>
      </c>
      <c r="B372" s="63" t="s">
        <v>619</v>
      </c>
      <c r="C372" s="36">
        <v>4301012236</v>
      </c>
      <c r="D372" s="715">
        <v>4680115887220</v>
      </c>
      <c r="E372" s="71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customHeight="1" x14ac:dyDescent="0.25">
      <c r="A373" s="63" t="s">
        <v>620</v>
      </c>
      <c r="B373" s="63" t="s">
        <v>621</v>
      </c>
      <c r="C373" s="36">
        <v>4301011859</v>
      </c>
      <c r="D373" s="715">
        <v>4680115885608</v>
      </c>
      <c r="E373" s="715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x14ac:dyDescent="0.2">
      <c r="A374" s="726"/>
      <c r="B374" s="726"/>
      <c r="C374" s="726"/>
      <c r="D374" s="726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7"/>
      <c r="P374" s="723" t="s">
        <v>40</v>
      </c>
      <c r="Q374" s="724"/>
      <c r="R374" s="724"/>
      <c r="S374" s="724"/>
      <c r="T374" s="724"/>
      <c r="U374" s="724"/>
      <c r="V374" s="72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726"/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7"/>
      <c r="P375" s="723" t="s">
        <v>40</v>
      </c>
      <c r="Q375" s="724"/>
      <c r="R375" s="724"/>
      <c r="S375" s="724"/>
      <c r="T375" s="724"/>
      <c r="U375" s="724"/>
      <c r="V375" s="72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714" t="s">
        <v>256</v>
      </c>
      <c r="B376" s="714"/>
      <c r="C376" s="714"/>
      <c r="D376" s="714"/>
      <c r="E376" s="714"/>
      <c r="F376" s="714"/>
      <c r="G376" s="714"/>
      <c r="H376" s="714"/>
      <c r="I376" s="714"/>
      <c r="J376" s="714"/>
      <c r="K376" s="714"/>
      <c r="L376" s="714"/>
      <c r="M376" s="714"/>
      <c r="N376" s="714"/>
      <c r="O376" s="714"/>
      <c r="P376" s="714"/>
      <c r="Q376" s="714"/>
      <c r="R376" s="714"/>
      <c r="S376" s="714"/>
      <c r="T376" s="714"/>
      <c r="U376" s="714"/>
      <c r="V376" s="714"/>
      <c r="W376" s="714"/>
      <c r="X376" s="714"/>
      <c r="Y376" s="714"/>
      <c r="Z376" s="714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715">
        <v>4607091387193</v>
      </c>
      <c r="E377" s="715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customHeight="1" x14ac:dyDescent="0.25">
      <c r="A378" s="63" t="s">
        <v>626</v>
      </c>
      <c r="B378" s="63" t="s">
        <v>627</v>
      </c>
      <c r="C378" s="36">
        <v>4301031153</v>
      </c>
      <c r="D378" s="715">
        <v>4607091387230</v>
      </c>
      <c r="E378" s="715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717"/>
      <c r="R378" s="717"/>
      <c r="S378" s="717"/>
      <c r="T378" s="71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4301031154</v>
      </c>
      <c r="D379" s="715">
        <v>4607091387292</v>
      </c>
      <c r="E379" s="715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717"/>
      <c r="R379" s="717"/>
      <c r="S379" s="717"/>
      <c r="T379" s="71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4301031152</v>
      </c>
      <c r="D380" s="715">
        <v>4607091387285</v>
      </c>
      <c r="E380" s="715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4301031305</v>
      </c>
      <c r="D381" s="715">
        <v>4607091389845</v>
      </c>
      <c r="E381" s="715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4301031460</v>
      </c>
      <c r="D382" s="715">
        <v>4680115887442</v>
      </c>
      <c r="E382" s="715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customHeight="1" x14ac:dyDescent="0.25">
      <c r="A383" s="63" t="s">
        <v>639</v>
      </c>
      <c r="B383" s="63" t="s">
        <v>640</v>
      </c>
      <c r="C383" s="36">
        <v>4301031066</v>
      </c>
      <c r="D383" s="715">
        <v>4607091383836</v>
      </c>
      <c r="E383" s="715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726"/>
      <c r="B384" s="726"/>
      <c r="C384" s="726"/>
      <c r="D384" s="726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7"/>
      <c r="P384" s="723" t="s">
        <v>40</v>
      </c>
      <c r="Q384" s="724"/>
      <c r="R384" s="724"/>
      <c r="S384" s="724"/>
      <c r="T384" s="724"/>
      <c r="U384" s="724"/>
      <c r="V384" s="725"/>
      <c r="W384" s="42" t="s">
        <v>39</v>
      </c>
      <c r="X384" s="43">
        <f>IFERROR(X377/H377,"0")+IFERROR(X378/H378,"0")+IFERROR(X379/H379,"0")+IFERROR(X380/H380,"0")+IFERROR(X381/H381,"0")+IFERROR(X382/H382,"0")+IFERROR(X383/H383,"0")</f>
        <v>0</v>
      </c>
      <c r="Y384" s="43">
        <f>IFERROR(Y377/H377,"0")+IFERROR(Y378/H378,"0")+IFERROR(Y379/H379,"0")+IFERROR(Y380/H380,"0")+IFERROR(Y381/H381,"0")+IFERROR(Y382/H382,"0")+IFERROR(Y383/H383,"0")</f>
        <v>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726"/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7"/>
      <c r="P385" s="723" t="s">
        <v>40</v>
      </c>
      <c r="Q385" s="724"/>
      <c r="R385" s="724"/>
      <c r="S385" s="724"/>
      <c r="T385" s="724"/>
      <c r="U385" s="724"/>
      <c r="V385" s="725"/>
      <c r="W385" s="42" t="s">
        <v>0</v>
      </c>
      <c r="X385" s="43">
        <f>IFERROR(SUM(X377:X383),"0")</f>
        <v>0</v>
      </c>
      <c r="Y385" s="43">
        <f>IFERROR(SUM(Y377:Y383),"0")</f>
        <v>0</v>
      </c>
      <c r="Z385" s="42"/>
      <c r="AA385" s="67"/>
      <c r="AB385" s="67"/>
      <c r="AC385" s="67"/>
    </row>
    <row r="386" spans="1:68" ht="14.25" customHeight="1" x14ac:dyDescent="0.25">
      <c r="A386" s="714" t="s">
        <v>77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642</v>
      </c>
      <c r="B387" s="63" t="s">
        <v>643</v>
      </c>
      <c r="C387" s="36">
        <v>4301051100</v>
      </c>
      <c r="D387" s="715">
        <v>4607091387766</v>
      </c>
      <c r="E387" s="715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4301051818</v>
      </c>
      <c r="D388" s="715">
        <v>4607091387957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648</v>
      </c>
      <c r="B389" s="63" t="s">
        <v>649</v>
      </c>
      <c r="C389" s="36">
        <v>4301051819</v>
      </c>
      <c r="D389" s="715">
        <v>4607091387964</v>
      </c>
      <c r="E389" s="715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651</v>
      </c>
      <c r="B390" s="63" t="s">
        <v>652</v>
      </c>
      <c r="C390" s="36">
        <v>4301051734</v>
      </c>
      <c r="D390" s="715">
        <v>4680115884588</v>
      </c>
      <c r="E390" s="715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717"/>
      <c r="R390" s="717"/>
      <c r="S390" s="717"/>
      <c r="T390" s="718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726"/>
      <c r="B391" s="726"/>
      <c r="C391" s="726"/>
      <c r="D391" s="726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7"/>
      <c r="P391" s="723" t="s">
        <v>40</v>
      </c>
      <c r="Q391" s="724"/>
      <c r="R391" s="724"/>
      <c r="S391" s="724"/>
      <c r="T391" s="724"/>
      <c r="U391" s="724"/>
      <c r="V391" s="72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726"/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7"/>
      <c r="P392" s="723" t="s">
        <v>40</v>
      </c>
      <c r="Q392" s="724"/>
      <c r="R392" s="724"/>
      <c r="S392" s="724"/>
      <c r="T392" s="724"/>
      <c r="U392" s="724"/>
      <c r="V392" s="72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customHeight="1" x14ac:dyDescent="0.25">
      <c r="A393" s="714" t="s">
        <v>179</v>
      </c>
      <c r="B393" s="714"/>
      <c r="C393" s="714"/>
      <c r="D393" s="714"/>
      <c r="E393" s="714"/>
      <c r="F393" s="714"/>
      <c r="G393" s="714"/>
      <c r="H393" s="714"/>
      <c r="I393" s="714"/>
      <c r="J393" s="714"/>
      <c r="K393" s="714"/>
      <c r="L393" s="714"/>
      <c r="M393" s="714"/>
      <c r="N393" s="714"/>
      <c r="O393" s="714"/>
      <c r="P393" s="714"/>
      <c r="Q393" s="714"/>
      <c r="R393" s="714"/>
      <c r="S393" s="714"/>
      <c r="T393" s="714"/>
      <c r="U393" s="714"/>
      <c r="V393" s="714"/>
      <c r="W393" s="714"/>
      <c r="X393" s="714"/>
      <c r="Y393" s="714"/>
      <c r="Z393" s="714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715">
        <v>4607091380880</v>
      </c>
      <c r="E394" s="71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715">
        <v>4607091384482</v>
      </c>
      <c r="E395" s="715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715">
        <v>4607091380897</v>
      </c>
      <c r="E396" s="715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6"/>
      <c r="B397" s="726"/>
      <c r="C397" s="726"/>
      <c r="D397" s="726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7"/>
      <c r="P397" s="723" t="s">
        <v>40</v>
      </c>
      <c r="Q397" s="724"/>
      <c r="R397" s="724"/>
      <c r="S397" s="724"/>
      <c r="T397" s="724"/>
      <c r="U397" s="724"/>
      <c r="V397" s="725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726"/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7"/>
      <c r="P398" s="723" t="s">
        <v>40</v>
      </c>
      <c r="Q398" s="724"/>
      <c r="R398" s="724"/>
      <c r="S398" s="724"/>
      <c r="T398" s="724"/>
      <c r="U398" s="724"/>
      <c r="V398" s="725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14.25" customHeight="1" x14ac:dyDescent="0.25">
      <c r="A399" s="714" t="s">
        <v>95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27" customHeight="1" x14ac:dyDescent="0.25">
      <c r="A400" s="63" t="s">
        <v>662</v>
      </c>
      <c r="B400" s="63" t="s">
        <v>663</v>
      </c>
      <c r="C400" s="36">
        <v>4301030235</v>
      </c>
      <c r="D400" s="715">
        <v>4607091388381</v>
      </c>
      <c r="E400" s="715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4301030232</v>
      </c>
      <c r="D401" s="715">
        <v>4607091388374</v>
      </c>
      <c r="E401" s="715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4301032015</v>
      </c>
      <c r="D402" s="715">
        <v>4607091383102</v>
      </c>
      <c r="E402" s="715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669</v>
      </c>
      <c r="B403" s="63" t="s">
        <v>670</v>
      </c>
      <c r="C403" s="36">
        <v>4301030233</v>
      </c>
      <c r="D403" s="715">
        <v>4607091388404</v>
      </c>
      <c r="E403" s="715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717"/>
      <c r="R403" s="717"/>
      <c r="S403" s="717"/>
      <c r="T403" s="718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726"/>
      <c r="B404" s="726"/>
      <c r="C404" s="726"/>
      <c r="D404" s="726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7"/>
      <c r="P404" s="723" t="s">
        <v>40</v>
      </c>
      <c r="Q404" s="724"/>
      <c r="R404" s="724"/>
      <c r="S404" s="724"/>
      <c r="T404" s="724"/>
      <c r="U404" s="724"/>
      <c r="V404" s="72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726"/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7"/>
      <c r="P405" s="723" t="s">
        <v>40</v>
      </c>
      <c r="Q405" s="724"/>
      <c r="R405" s="724"/>
      <c r="S405" s="724"/>
      <c r="T405" s="724"/>
      <c r="U405" s="724"/>
      <c r="V405" s="72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customHeight="1" x14ac:dyDescent="0.25">
      <c r="A406" s="714" t="s">
        <v>671</v>
      </c>
      <c r="B406" s="714"/>
      <c r="C406" s="714"/>
      <c r="D406" s="714"/>
      <c r="E406" s="714"/>
      <c r="F406" s="714"/>
      <c r="G406" s="714"/>
      <c r="H406" s="714"/>
      <c r="I406" s="714"/>
      <c r="J406" s="714"/>
      <c r="K406" s="714"/>
      <c r="L406" s="714"/>
      <c r="M406" s="714"/>
      <c r="N406" s="714"/>
      <c r="O406" s="714"/>
      <c r="P406" s="714"/>
      <c r="Q406" s="714"/>
      <c r="R406" s="714"/>
      <c r="S406" s="714"/>
      <c r="T406" s="714"/>
      <c r="U406" s="714"/>
      <c r="V406" s="714"/>
      <c r="W406" s="714"/>
      <c r="X406" s="714"/>
      <c r="Y406" s="714"/>
      <c r="Z406" s="714"/>
      <c r="AA406" s="66"/>
      <c r="AB406" s="66"/>
      <c r="AC406" s="80"/>
    </row>
    <row r="407" spans="1:68" ht="16.5" customHeight="1" x14ac:dyDescent="0.25">
      <c r="A407" s="63" t="s">
        <v>672</v>
      </c>
      <c r="B407" s="63" t="s">
        <v>673</v>
      </c>
      <c r="C407" s="36">
        <v>4301180007</v>
      </c>
      <c r="D407" s="715">
        <v>4680115881808</v>
      </c>
      <c r="E407" s="71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4301180006</v>
      </c>
      <c r="D408" s="715">
        <v>4680115881822</v>
      </c>
      <c r="E408" s="715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678</v>
      </c>
      <c r="B409" s="63" t="s">
        <v>679</v>
      </c>
      <c r="C409" s="36">
        <v>4301180001</v>
      </c>
      <c r="D409" s="715">
        <v>4680115880016</v>
      </c>
      <c r="E409" s="715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717"/>
      <c r="R409" s="717"/>
      <c r="S409" s="717"/>
      <c r="T409" s="718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726"/>
      <c r="B410" s="726"/>
      <c r="C410" s="726"/>
      <c r="D410" s="726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7"/>
      <c r="P410" s="723" t="s">
        <v>40</v>
      </c>
      <c r="Q410" s="724"/>
      <c r="R410" s="724"/>
      <c r="S410" s="724"/>
      <c r="T410" s="724"/>
      <c r="U410" s="724"/>
      <c r="V410" s="72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726"/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7"/>
      <c r="P411" s="723" t="s">
        <v>40</v>
      </c>
      <c r="Q411" s="724"/>
      <c r="R411" s="724"/>
      <c r="S411" s="724"/>
      <c r="T411" s="724"/>
      <c r="U411" s="724"/>
      <c r="V411" s="72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customHeight="1" x14ac:dyDescent="0.25">
      <c r="A412" s="714" t="s">
        <v>680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27" customHeight="1" x14ac:dyDescent="0.25">
      <c r="A413" s="63" t="s">
        <v>681</v>
      </c>
      <c r="B413" s="63" t="s">
        <v>682</v>
      </c>
      <c r="C413" s="36">
        <v>4301220003</v>
      </c>
      <c r="D413" s="715">
        <v>4680115888678</v>
      </c>
      <c r="E413" s="71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684</v>
      </c>
      <c r="B414" s="63" t="s">
        <v>685</v>
      </c>
      <c r="C414" s="36">
        <v>4301220001</v>
      </c>
      <c r="D414" s="715">
        <v>4680115888654</v>
      </c>
      <c r="E414" s="715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687</v>
      </c>
      <c r="B415" s="63" t="s">
        <v>688</v>
      </c>
      <c r="C415" s="36">
        <v>4301220002</v>
      </c>
      <c r="D415" s="715">
        <v>4680115888753</v>
      </c>
      <c r="E415" s="715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717"/>
      <c r="R415" s="717"/>
      <c r="S415" s="717"/>
      <c r="T415" s="718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726"/>
      <c r="B416" s="726"/>
      <c r="C416" s="726"/>
      <c r="D416" s="726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7"/>
      <c r="P416" s="723" t="s">
        <v>40</v>
      </c>
      <c r="Q416" s="724"/>
      <c r="R416" s="724"/>
      <c r="S416" s="724"/>
      <c r="T416" s="724"/>
      <c r="U416" s="724"/>
      <c r="V416" s="72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726"/>
      <c r="B417" s="726"/>
      <c r="C417" s="726"/>
      <c r="D417" s="726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7"/>
      <c r="P417" s="723" t="s">
        <v>40</v>
      </c>
      <c r="Q417" s="724"/>
      <c r="R417" s="724"/>
      <c r="S417" s="724"/>
      <c r="T417" s="724"/>
      <c r="U417" s="724"/>
      <c r="V417" s="72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customHeight="1" x14ac:dyDescent="0.25">
      <c r="A418" s="713" t="s">
        <v>689</v>
      </c>
      <c r="B418" s="713"/>
      <c r="C418" s="713"/>
      <c r="D418" s="713"/>
      <c r="E418" s="713"/>
      <c r="F418" s="713"/>
      <c r="G418" s="713"/>
      <c r="H418" s="713"/>
      <c r="I418" s="713"/>
      <c r="J418" s="713"/>
      <c r="K418" s="713"/>
      <c r="L418" s="713"/>
      <c r="M418" s="713"/>
      <c r="N418" s="713"/>
      <c r="O418" s="713"/>
      <c r="P418" s="713"/>
      <c r="Q418" s="713"/>
      <c r="R418" s="713"/>
      <c r="S418" s="713"/>
      <c r="T418" s="713"/>
      <c r="U418" s="713"/>
      <c r="V418" s="713"/>
      <c r="W418" s="713"/>
      <c r="X418" s="713"/>
      <c r="Y418" s="713"/>
      <c r="Z418" s="713"/>
      <c r="AA418" s="65"/>
      <c r="AB418" s="65"/>
      <c r="AC418" s="79"/>
    </row>
    <row r="419" spans="1:68" ht="14.25" customHeight="1" x14ac:dyDescent="0.25">
      <c r="A419" s="714" t="s">
        <v>77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6"/>
      <c r="AB419" s="66"/>
      <c r="AC419" s="80"/>
    </row>
    <row r="420" spans="1:68" ht="16.5" customHeight="1" x14ac:dyDescent="0.25">
      <c r="A420" s="63" t="s">
        <v>690</v>
      </c>
      <c r="B420" s="63" t="s">
        <v>691</v>
      </c>
      <c r="C420" s="36">
        <v>4301052283</v>
      </c>
      <c r="D420" s="715">
        <v>4660663720026</v>
      </c>
      <c r="E420" s="715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93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customHeight="1" x14ac:dyDescent="0.25">
      <c r="A421" s="63" t="s">
        <v>693</v>
      </c>
      <c r="B421" s="63" t="s">
        <v>694</v>
      </c>
      <c r="C421" s="36">
        <v>4301052236</v>
      </c>
      <c r="D421" s="715">
        <v>4680115889422</v>
      </c>
      <c r="E421" s="715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93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693</v>
      </c>
      <c r="B422" s="63" t="s">
        <v>696</v>
      </c>
      <c r="C422" s="36">
        <v>4301052284</v>
      </c>
      <c r="D422" s="715">
        <v>4680115889972</v>
      </c>
      <c r="E422" s="715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93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717"/>
      <c r="R422" s="717"/>
      <c r="S422" s="717"/>
      <c r="T422" s="718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698</v>
      </c>
      <c r="B423" s="63" t="s">
        <v>699</v>
      </c>
      <c r="C423" s="36">
        <v>4301052281</v>
      </c>
      <c r="D423" s="715">
        <v>4660663720163</v>
      </c>
      <c r="E423" s="715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940" t="s">
        <v>700</v>
      </c>
      <c r="Q423" s="717"/>
      <c r="R423" s="717"/>
      <c r="S423" s="717"/>
      <c r="T423" s="718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26"/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7"/>
      <c r="P424" s="723" t="s">
        <v>40</v>
      </c>
      <c r="Q424" s="724"/>
      <c r="R424" s="724"/>
      <c r="S424" s="724"/>
      <c r="T424" s="724"/>
      <c r="U424" s="724"/>
      <c r="V424" s="72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726"/>
      <c r="B425" s="726"/>
      <c r="C425" s="726"/>
      <c r="D425" s="726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7"/>
      <c r="P425" s="723" t="s">
        <v>40</v>
      </c>
      <c r="Q425" s="724"/>
      <c r="R425" s="724"/>
      <c r="S425" s="724"/>
      <c r="T425" s="724"/>
      <c r="U425" s="724"/>
      <c r="V425" s="72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customHeight="1" x14ac:dyDescent="0.25">
      <c r="A426" s="713" t="s">
        <v>702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65"/>
      <c r="AB426" s="65"/>
      <c r="AC426" s="79"/>
    </row>
    <row r="427" spans="1:68" ht="14.25" customHeight="1" x14ac:dyDescent="0.25">
      <c r="A427" s="714" t="s">
        <v>77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6"/>
      <c r="AB427" s="66"/>
      <c r="AC427" s="80"/>
    </row>
    <row r="428" spans="1:68" ht="27" customHeight="1" x14ac:dyDescent="0.25">
      <c r="A428" s="63" t="s">
        <v>703</v>
      </c>
      <c r="B428" s="63" t="s">
        <v>704</v>
      </c>
      <c r="C428" s="36">
        <v>4301051489</v>
      </c>
      <c r="D428" s="715">
        <v>4607091387919</v>
      </c>
      <c r="E428" s="715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715">
        <v>4680115883604</v>
      </c>
      <c r="E429" s="715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715">
        <v>4680115883567</v>
      </c>
      <c r="E430" s="715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26"/>
      <c r="B431" s="726"/>
      <c r="C431" s="726"/>
      <c r="D431" s="726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7"/>
      <c r="P431" s="723" t="s">
        <v>40</v>
      </c>
      <c r="Q431" s="724"/>
      <c r="R431" s="724"/>
      <c r="S431" s="724"/>
      <c r="T431" s="724"/>
      <c r="U431" s="724"/>
      <c r="V431" s="72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26"/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7"/>
      <c r="P432" s="723" t="s">
        <v>40</v>
      </c>
      <c r="Q432" s="724"/>
      <c r="R432" s="724"/>
      <c r="S432" s="724"/>
      <c r="T432" s="724"/>
      <c r="U432" s="724"/>
      <c r="V432" s="72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customHeight="1" x14ac:dyDescent="0.2">
      <c r="A433" s="712" t="s">
        <v>712</v>
      </c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2"/>
      <c r="P433" s="712"/>
      <c r="Q433" s="712"/>
      <c r="R433" s="712"/>
      <c r="S433" s="712"/>
      <c r="T433" s="712"/>
      <c r="U433" s="712"/>
      <c r="V433" s="712"/>
      <c r="W433" s="712"/>
      <c r="X433" s="712"/>
      <c r="Y433" s="712"/>
      <c r="Z433" s="712"/>
      <c r="AA433" s="54"/>
      <c r="AB433" s="54"/>
      <c r="AC433" s="54"/>
    </row>
    <row r="434" spans="1:68" ht="16.5" customHeight="1" x14ac:dyDescent="0.25">
      <c r="A434" s="713" t="s">
        <v>713</v>
      </c>
      <c r="B434" s="713"/>
      <c r="C434" s="713"/>
      <c r="D434" s="713"/>
      <c r="E434" s="713"/>
      <c r="F434" s="713"/>
      <c r="G434" s="713"/>
      <c r="H434" s="713"/>
      <c r="I434" s="713"/>
      <c r="J434" s="713"/>
      <c r="K434" s="713"/>
      <c r="L434" s="713"/>
      <c r="M434" s="713"/>
      <c r="N434" s="713"/>
      <c r="O434" s="713"/>
      <c r="P434" s="713"/>
      <c r="Q434" s="713"/>
      <c r="R434" s="713"/>
      <c r="S434" s="713"/>
      <c r="T434" s="713"/>
      <c r="U434" s="713"/>
      <c r="V434" s="713"/>
      <c r="W434" s="713"/>
      <c r="X434" s="713"/>
      <c r="Y434" s="713"/>
      <c r="Z434" s="713"/>
      <c r="AA434" s="65"/>
      <c r="AB434" s="65"/>
      <c r="AC434" s="79"/>
    </row>
    <row r="435" spans="1:68" ht="14.25" customHeight="1" x14ac:dyDescent="0.25">
      <c r="A435" s="714" t="s">
        <v>124</v>
      </c>
      <c r="B435" s="714"/>
      <c r="C435" s="714"/>
      <c r="D435" s="714"/>
      <c r="E435" s="714"/>
      <c r="F435" s="714"/>
      <c r="G435" s="714"/>
      <c r="H435" s="714"/>
      <c r="I435" s="714"/>
      <c r="J435" s="714"/>
      <c r="K435" s="714"/>
      <c r="L435" s="714"/>
      <c r="M435" s="714"/>
      <c r="N435" s="714"/>
      <c r="O435" s="714"/>
      <c r="P435" s="714"/>
      <c r="Q435" s="714"/>
      <c r="R435" s="714"/>
      <c r="S435" s="714"/>
      <c r="T435" s="714"/>
      <c r="U435" s="714"/>
      <c r="V435" s="714"/>
      <c r="W435" s="714"/>
      <c r="X435" s="714"/>
      <c r="Y435" s="714"/>
      <c r="Z435" s="714"/>
      <c r="AA435" s="66"/>
      <c r="AB435" s="66"/>
      <c r="AC435" s="80"/>
    </row>
    <row r="436" spans="1:68" ht="27" customHeight="1" x14ac:dyDescent="0.25">
      <c r="A436" s="63" t="s">
        <v>714</v>
      </c>
      <c r="B436" s="63" t="s">
        <v>715</v>
      </c>
      <c r="C436" s="36">
        <v>4301012332</v>
      </c>
      <c r="D436" s="715">
        <v>4680115888401</v>
      </c>
      <c r="E436" s="71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17"/>
      <c r="R436" s="717"/>
      <c r="S436" s="717"/>
      <c r="T436" s="71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715">
        <v>4680115884847</v>
      </c>
      <c r="E437" s="71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17"/>
      <c r="R437" s="717"/>
      <c r="S437" s="717"/>
      <c r="T437" s="71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715">
        <v>4680115884854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2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0</v>
      </c>
      <c r="BN438" s="78">
        <f t="shared" si="64"/>
        <v>0</v>
      </c>
      <c r="BO438" s="78">
        <f t="shared" si="65"/>
        <v>0</v>
      </c>
      <c r="BP438" s="78">
        <f t="shared" si="66"/>
        <v>0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715">
        <v>4680115884830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2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0</v>
      </c>
      <c r="BN439" s="78">
        <f t="shared" si="64"/>
        <v>0</v>
      </c>
      <c r="BO439" s="78">
        <f t="shared" si="65"/>
        <v>0</v>
      </c>
      <c r="BP439" s="78">
        <f t="shared" si="66"/>
        <v>0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715">
        <v>4680115889231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customHeight="1" x14ac:dyDescent="0.25">
      <c r="A441" s="63" t="s">
        <v>729</v>
      </c>
      <c r="B441" s="63" t="s">
        <v>730</v>
      </c>
      <c r="C441" s="36">
        <v>4301011433</v>
      </c>
      <c r="D441" s="715">
        <v>4680115882638</v>
      </c>
      <c r="E441" s="715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customHeight="1" x14ac:dyDescent="0.25">
      <c r="A442" s="63" t="s">
        <v>732</v>
      </c>
      <c r="B442" s="63" t="s">
        <v>733</v>
      </c>
      <c r="C442" s="36">
        <v>4301011952</v>
      </c>
      <c r="D442" s="715">
        <v>4680115884922</v>
      </c>
      <c r="E442" s="715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customHeight="1" x14ac:dyDescent="0.25">
      <c r="A443" s="63" t="s">
        <v>735</v>
      </c>
      <c r="B443" s="63" t="s">
        <v>736</v>
      </c>
      <c r="C443" s="36">
        <v>4301011868</v>
      </c>
      <c r="D443" s="715">
        <v>4680115884861</v>
      </c>
      <c r="E443" s="715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726"/>
      <c r="B444" s="726"/>
      <c r="C444" s="726"/>
      <c r="D444" s="726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7"/>
      <c r="P444" s="723" t="s">
        <v>40</v>
      </c>
      <c r="Q444" s="724"/>
      <c r="R444" s="724"/>
      <c r="S444" s="724"/>
      <c r="T444" s="724"/>
      <c r="U444" s="724"/>
      <c r="V444" s="72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customHeight="1" x14ac:dyDescent="0.25">
      <c r="A446" s="714" t="s">
        <v>161</v>
      </c>
      <c r="B446" s="714"/>
      <c r="C446" s="714"/>
      <c r="D446" s="714"/>
      <c r="E446" s="714"/>
      <c r="F446" s="714"/>
      <c r="G446" s="714"/>
      <c r="H446" s="714"/>
      <c r="I446" s="714"/>
      <c r="J446" s="714"/>
      <c r="K446" s="714"/>
      <c r="L446" s="714"/>
      <c r="M446" s="714"/>
      <c r="N446" s="714"/>
      <c r="O446" s="714"/>
      <c r="P446" s="714"/>
      <c r="Q446" s="714"/>
      <c r="R446" s="714"/>
      <c r="S446" s="714"/>
      <c r="T446" s="714"/>
      <c r="U446" s="714"/>
      <c r="V446" s="714"/>
      <c r="W446" s="714"/>
      <c r="X446" s="714"/>
      <c r="Y446" s="714"/>
      <c r="Z446" s="714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715">
        <v>4607091383980</v>
      </c>
      <c r="E447" s="715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17"/>
      <c r="R447" s="717"/>
      <c r="S447" s="717"/>
      <c r="T447" s="718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741</v>
      </c>
      <c r="B448" s="63" t="s">
        <v>742</v>
      </c>
      <c r="C448" s="36">
        <v>4301020355</v>
      </c>
      <c r="D448" s="715">
        <v>4680115888425</v>
      </c>
      <c r="E448" s="715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17"/>
      <c r="R448" s="717"/>
      <c r="S448" s="717"/>
      <c r="T448" s="718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744</v>
      </c>
      <c r="B449" s="63" t="s">
        <v>745</v>
      </c>
      <c r="C449" s="36">
        <v>4301020179</v>
      </c>
      <c r="D449" s="715">
        <v>4607091384178</v>
      </c>
      <c r="E449" s="715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17"/>
      <c r="R449" s="717"/>
      <c r="S449" s="717"/>
      <c r="T449" s="71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26"/>
      <c r="B450" s="726"/>
      <c r="C450" s="726"/>
      <c r="D450" s="726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7"/>
      <c r="P450" s="723" t="s">
        <v>40</v>
      </c>
      <c r="Q450" s="724"/>
      <c r="R450" s="724"/>
      <c r="S450" s="724"/>
      <c r="T450" s="724"/>
      <c r="U450" s="724"/>
      <c r="V450" s="72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customHeight="1" x14ac:dyDescent="0.25">
      <c r="A452" s="714" t="s">
        <v>77</v>
      </c>
      <c r="B452" s="714"/>
      <c r="C452" s="714"/>
      <c r="D452" s="714"/>
      <c r="E452" s="714"/>
      <c r="F452" s="714"/>
      <c r="G452" s="714"/>
      <c r="H452" s="714"/>
      <c r="I452" s="714"/>
      <c r="J452" s="714"/>
      <c r="K452" s="714"/>
      <c r="L452" s="714"/>
      <c r="M452" s="714"/>
      <c r="N452" s="714"/>
      <c r="O452" s="714"/>
      <c r="P452" s="714"/>
      <c r="Q452" s="714"/>
      <c r="R452" s="714"/>
      <c r="S452" s="714"/>
      <c r="T452" s="714"/>
      <c r="U452" s="714"/>
      <c r="V452" s="714"/>
      <c r="W452" s="714"/>
      <c r="X452" s="714"/>
      <c r="Y452" s="714"/>
      <c r="Z452" s="714"/>
      <c r="AA452" s="66"/>
      <c r="AB452" s="66"/>
      <c r="AC452" s="80"/>
    </row>
    <row r="453" spans="1:68" ht="27" customHeight="1" x14ac:dyDescent="0.25">
      <c r="A453" s="63" t="s">
        <v>747</v>
      </c>
      <c r="B453" s="63" t="s">
        <v>748</v>
      </c>
      <c r="C453" s="36">
        <v>4301051903</v>
      </c>
      <c r="D453" s="715">
        <v>4607091383928</v>
      </c>
      <c r="E453" s="715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17"/>
      <c r="R453" s="717"/>
      <c r="S453" s="717"/>
      <c r="T453" s="718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750</v>
      </c>
      <c r="B454" s="63" t="s">
        <v>751</v>
      </c>
      <c r="C454" s="36">
        <v>4301051897</v>
      </c>
      <c r="D454" s="715">
        <v>4607091384260</v>
      </c>
      <c r="E454" s="715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17"/>
      <c r="R454" s="717"/>
      <c r="S454" s="717"/>
      <c r="T454" s="718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753</v>
      </c>
      <c r="B455" s="63" t="s">
        <v>754</v>
      </c>
      <c r="C455" s="36">
        <v>4301052220</v>
      </c>
      <c r="D455" s="715">
        <v>4680115889538</v>
      </c>
      <c r="E455" s="715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17"/>
      <c r="R455" s="717"/>
      <c r="S455" s="717"/>
      <c r="T455" s="71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714" t="s">
        <v>179</v>
      </c>
      <c r="B458" s="714"/>
      <c r="C458" s="714"/>
      <c r="D458" s="714"/>
      <c r="E458" s="714"/>
      <c r="F458" s="714"/>
      <c r="G458" s="714"/>
      <c r="H458" s="714"/>
      <c r="I458" s="714"/>
      <c r="J458" s="714"/>
      <c r="K458" s="714"/>
      <c r="L458" s="714"/>
      <c r="M458" s="714"/>
      <c r="N458" s="714"/>
      <c r="O458" s="714"/>
      <c r="P458" s="714"/>
      <c r="Q458" s="714"/>
      <c r="R458" s="714"/>
      <c r="S458" s="714"/>
      <c r="T458" s="714"/>
      <c r="U458" s="714"/>
      <c r="V458" s="714"/>
      <c r="W458" s="714"/>
      <c r="X458" s="714"/>
      <c r="Y458" s="714"/>
      <c r="Z458" s="714"/>
      <c r="AA458" s="66"/>
      <c r="AB458" s="66"/>
      <c r="AC458" s="80"/>
    </row>
    <row r="459" spans="1:68" ht="27" customHeight="1" x14ac:dyDescent="0.25">
      <c r="A459" s="63" t="s">
        <v>756</v>
      </c>
      <c r="B459" s="63" t="s">
        <v>757</v>
      </c>
      <c r="C459" s="36">
        <v>4301060537</v>
      </c>
      <c r="D459" s="715">
        <v>4680115889545</v>
      </c>
      <c r="E459" s="715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17"/>
      <c r="R459" s="717"/>
      <c r="S459" s="717"/>
      <c r="T459" s="71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715">
        <v>4607091384673</v>
      </c>
      <c r="E460" s="715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17"/>
      <c r="R460" s="717"/>
      <c r="S460" s="717"/>
      <c r="T460" s="71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26"/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7"/>
      <c r="P461" s="723" t="s">
        <v>40</v>
      </c>
      <c r="Q461" s="724"/>
      <c r="R461" s="724"/>
      <c r="S461" s="724"/>
      <c r="T461" s="724"/>
      <c r="U461" s="724"/>
      <c r="V461" s="72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713" t="s">
        <v>762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5"/>
      <c r="AB463" s="65"/>
      <c r="AC463" s="79"/>
    </row>
    <row r="464" spans="1:68" ht="14.25" customHeight="1" x14ac:dyDescent="0.25">
      <c r="A464" s="714" t="s">
        <v>124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763</v>
      </c>
      <c r="B465" s="63" t="s">
        <v>764</v>
      </c>
      <c r="C465" s="36">
        <v>4301011875</v>
      </c>
      <c r="D465" s="715">
        <v>4680115884885</v>
      </c>
      <c r="E465" s="715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766</v>
      </c>
      <c r="B466" s="63" t="s">
        <v>767</v>
      </c>
      <c r="C466" s="36">
        <v>4301011871</v>
      </c>
      <c r="D466" s="715">
        <v>4680115884908</v>
      </c>
      <c r="E466" s="715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726"/>
      <c r="B468" s="726"/>
      <c r="C468" s="726"/>
      <c r="D468" s="726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7"/>
      <c r="P468" s="723" t="s">
        <v>40</v>
      </c>
      <c r="Q468" s="724"/>
      <c r="R468" s="724"/>
      <c r="S468" s="724"/>
      <c r="T468" s="724"/>
      <c r="U468" s="724"/>
      <c r="V468" s="72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714" t="s">
        <v>256</v>
      </c>
      <c r="B469" s="714"/>
      <c r="C469" s="714"/>
      <c r="D469" s="714"/>
      <c r="E469" s="714"/>
      <c r="F469" s="714"/>
      <c r="G469" s="714"/>
      <c r="H469" s="714"/>
      <c r="I469" s="714"/>
      <c r="J469" s="714"/>
      <c r="K469" s="714"/>
      <c r="L469" s="714"/>
      <c r="M469" s="714"/>
      <c r="N469" s="714"/>
      <c r="O469" s="714"/>
      <c r="P469" s="714"/>
      <c r="Q469" s="714"/>
      <c r="R469" s="714"/>
      <c r="S469" s="714"/>
      <c r="T469" s="714"/>
      <c r="U469" s="714"/>
      <c r="V469" s="714"/>
      <c r="W469" s="714"/>
      <c r="X469" s="714"/>
      <c r="Y469" s="714"/>
      <c r="Z469" s="714"/>
      <c r="AA469" s="66"/>
      <c r="AB469" s="66"/>
      <c r="AC469" s="80"/>
    </row>
    <row r="470" spans="1:68" ht="27" customHeight="1" x14ac:dyDescent="0.25">
      <c r="A470" s="63" t="s">
        <v>768</v>
      </c>
      <c r="B470" s="63" t="s">
        <v>769</v>
      </c>
      <c r="C470" s="36">
        <v>4301031533</v>
      </c>
      <c r="D470" s="715">
        <v>4607091384802</v>
      </c>
      <c r="E470" s="715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17"/>
      <c r="R470" s="717"/>
      <c r="S470" s="717"/>
      <c r="T470" s="71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726"/>
      <c r="B471" s="726"/>
      <c r="C471" s="726"/>
      <c r="D471" s="726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7"/>
      <c r="P471" s="723" t="s">
        <v>40</v>
      </c>
      <c r="Q471" s="724"/>
      <c r="R471" s="724"/>
      <c r="S471" s="724"/>
      <c r="T471" s="724"/>
      <c r="U471" s="724"/>
      <c r="V471" s="72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714" t="s">
        <v>77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715">
        <v>4607091384246</v>
      </c>
      <c r="E474" s="715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774</v>
      </c>
      <c r="B475" s="63" t="s">
        <v>775</v>
      </c>
      <c r="C475" s="36">
        <v>4301051660</v>
      </c>
      <c r="D475" s="715">
        <v>4607091384253</v>
      </c>
      <c r="E475" s="715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774</v>
      </c>
      <c r="B476" s="63" t="s">
        <v>776</v>
      </c>
      <c r="C476" s="36">
        <v>4301052069</v>
      </c>
      <c r="D476" s="715">
        <v>4607091384253</v>
      </c>
      <c r="E476" s="715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26"/>
      <c r="B477" s="726"/>
      <c r="C477" s="726"/>
      <c r="D477" s="726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7"/>
      <c r="P477" s="723" t="s">
        <v>40</v>
      </c>
      <c r="Q477" s="724"/>
      <c r="R477" s="724"/>
      <c r="S477" s="724"/>
      <c r="T477" s="724"/>
      <c r="U477" s="724"/>
      <c r="V477" s="72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726"/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7"/>
      <c r="P478" s="723" t="s">
        <v>40</v>
      </c>
      <c r="Q478" s="724"/>
      <c r="R478" s="724"/>
      <c r="S478" s="724"/>
      <c r="T478" s="724"/>
      <c r="U478" s="724"/>
      <c r="V478" s="72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712" t="s">
        <v>778</v>
      </c>
      <c r="B479" s="712"/>
      <c r="C479" s="712"/>
      <c r="D479" s="712"/>
      <c r="E479" s="712"/>
      <c r="F479" s="712"/>
      <c r="G479" s="712"/>
      <c r="H479" s="712"/>
      <c r="I479" s="712"/>
      <c r="J479" s="712"/>
      <c r="K479" s="712"/>
      <c r="L479" s="712"/>
      <c r="M479" s="712"/>
      <c r="N479" s="712"/>
      <c r="O479" s="712"/>
      <c r="P479" s="712"/>
      <c r="Q479" s="712"/>
      <c r="R479" s="712"/>
      <c r="S479" s="712"/>
      <c r="T479" s="712"/>
      <c r="U479" s="712"/>
      <c r="V479" s="712"/>
      <c r="W479" s="712"/>
      <c r="X479" s="712"/>
      <c r="Y479" s="712"/>
      <c r="Z479" s="712"/>
      <c r="AA479" s="54"/>
      <c r="AB479" s="54"/>
      <c r="AC479" s="54"/>
    </row>
    <row r="480" spans="1:68" ht="16.5" customHeight="1" x14ac:dyDescent="0.25">
      <c r="A480" s="713" t="s">
        <v>779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5"/>
      <c r="AB480" s="65"/>
      <c r="AC480" s="79"/>
    </row>
    <row r="481" spans="1:68" ht="14.25" customHeight="1" x14ac:dyDescent="0.25">
      <c r="A481" s="714" t="s">
        <v>256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715">
        <v>4680115886100</v>
      </c>
      <c r="E482" s="715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715">
        <v>4680115886124</v>
      </c>
      <c r="E483" s="715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customHeight="1" x14ac:dyDescent="0.25">
      <c r="A484" s="63" t="s">
        <v>786</v>
      </c>
      <c r="B484" s="63" t="s">
        <v>787</v>
      </c>
      <c r="C484" s="36">
        <v>4301031362</v>
      </c>
      <c r="D484" s="715">
        <v>4607091384338</v>
      </c>
      <c r="E484" s="715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17"/>
      <c r="R484" s="717"/>
      <c r="S484" s="717"/>
      <c r="T484" s="718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customHeight="1" x14ac:dyDescent="0.25">
      <c r="A485" s="63" t="s">
        <v>788</v>
      </c>
      <c r="B485" s="63" t="s">
        <v>789</v>
      </c>
      <c r="C485" s="36">
        <v>4301031364</v>
      </c>
      <c r="D485" s="715">
        <v>4680115883161</v>
      </c>
      <c r="E485" s="715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customHeight="1" x14ac:dyDescent="0.25">
      <c r="A486" s="63" t="s">
        <v>791</v>
      </c>
      <c r="B486" s="63" t="s">
        <v>792</v>
      </c>
      <c r="C486" s="36">
        <v>4301031358</v>
      </c>
      <c r="D486" s="715">
        <v>4607091389531</v>
      </c>
      <c r="E486" s="715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customHeight="1" x14ac:dyDescent="0.25">
      <c r="A487" s="63" t="s">
        <v>794</v>
      </c>
      <c r="B487" s="63" t="s">
        <v>795</v>
      </c>
      <c r="C487" s="36">
        <v>4301031360</v>
      </c>
      <c r="D487" s="715">
        <v>4607091384345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714" t="s">
        <v>77</v>
      </c>
      <c r="B490" s="714"/>
      <c r="C490" s="714"/>
      <c r="D490" s="714"/>
      <c r="E490" s="714"/>
      <c r="F490" s="714"/>
      <c r="G490" s="714"/>
      <c r="H490" s="714"/>
      <c r="I490" s="714"/>
      <c r="J490" s="714"/>
      <c r="K490" s="714"/>
      <c r="L490" s="714"/>
      <c r="M490" s="714"/>
      <c r="N490" s="714"/>
      <c r="O490" s="714"/>
      <c r="P490" s="714"/>
      <c r="Q490" s="714"/>
      <c r="R490" s="714"/>
      <c r="S490" s="714"/>
      <c r="T490" s="714"/>
      <c r="U490" s="714"/>
      <c r="V490" s="714"/>
      <c r="W490" s="714"/>
      <c r="X490" s="714"/>
      <c r="Y490" s="714"/>
      <c r="Z490" s="714"/>
      <c r="AA490" s="66"/>
      <c r="AB490" s="66"/>
      <c r="AC490" s="80"/>
    </row>
    <row r="491" spans="1:68" ht="27" customHeight="1" x14ac:dyDescent="0.25">
      <c r="A491" s="63" t="s">
        <v>796</v>
      </c>
      <c r="B491" s="63" t="s">
        <v>797</v>
      </c>
      <c r="C491" s="36">
        <v>4301051284</v>
      </c>
      <c r="D491" s="715">
        <v>4607091384352</v>
      </c>
      <c r="E491" s="715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17"/>
      <c r="R491" s="717"/>
      <c r="S491" s="717"/>
      <c r="T491" s="71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726"/>
      <c r="B492" s="726"/>
      <c r="C492" s="726"/>
      <c r="D492" s="726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7"/>
      <c r="P492" s="723" t="s">
        <v>40</v>
      </c>
      <c r="Q492" s="724"/>
      <c r="R492" s="724"/>
      <c r="S492" s="724"/>
      <c r="T492" s="724"/>
      <c r="U492" s="724"/>
      <c r="V492" s="72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customHeight="1" x14ac:dyDescent="0.25">
      <c r="A494" s="713" t="s">
        <v>799</v>
      </c>
      <c r="B494" s="713"/>
      <c r="C494" s="713"/>
      <c r="D494" s="713"/>
      <c r="E494" s="713"/>
      <c r="F494" s="713"/>
      <c r="G494" s="713"/>
      <c r="H494" s="713"/>
      <c r="I494" s="713"/>
      <c r="J494" s="713"/>
      <c r="K494" s="713"/>
      <c r="L494" s="713"/>
      <c r="M494" s="713"/>
      <c r="N494" s="713"/>
      <c r="O494" s="713"/>
      <c r="P494" s="713"/>
      <c r="Q494" s="713"/>
      <c r="R494" s="713"/>
      <c r="S494" s="713"/>
      <c r="T494" s="713"/>
      <c r="U494" s="713"/>
      <c r="V494" s="713"/>
      <c r="W494" s="713"/>
      <c r="X494" s="713"/>
      <c r="Y494" s="713"/>
      <c r="Z494" s="713"/>
      <c r="AA494" s="65"/>
      <c r="AB494" s="65"/>
      <c r="AC494" s="79"/>
    </row>
    <row r="495" spans="1:68" ht="14.25" customHeight="1" x14ac:dyDescent="0.25">
      <c r="A495" s="714" t="s">
        <v>161</v>
      </c>
      <c r="B495" s="714"/>
      <c r="C495" s="714"/>
      <c r="D495" s="714"/>
      <c r="E495" s="714"/>
      <c r="F495" s="714"/>
      <c r="G495" s="714"/>
      <c r="H495" s="714"/>
      <c r="I495" s="714"/>
      <c r="J495" s="714"/>
      <c r="K495" s="714"/>
      <c r="L495" s="714"/>
      <c r="M495" s="714"/>
      <c r="N495" s="714"/>
      <c r="O495" s="714"/>
      <c r="P495" s="714"/>
      <c r="Q495" s="714"/>
      <c r="R495" s="714"/>
      <c r="S495" s="714"/>
      <c r="T495" s="714"/>
      <c r="U495" s="714"/>
      <c r="V495" s="714"/>
      <c r="W495" s="714"/>
      <c r="X495" s="714"/>
      <c r="Y495" s="714"/>
      <c r="Z495" s="714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4301020416</v>
      </c>
      <c r="D496" s="715">
        <v>4680115885240</v>
      </c>
      <c r="E496" s="715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717"/>
      <c r="R496" s="717"/>
      <c r="S496" s="717"/>
      <c r="T496" s="718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726"/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7"/>
      <c r="P497" s="723" t="s">
        <v>40</v>
      </c>
      <c r="Q497" s="724"/>
      <c r="R497" s="724"/>
      <c r="S497" s="724"/>
      <c r="T497" s="724"/>
      <c r="U497" s="724"/>
      <c r="V497" s="72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x14ac:dyDescent="0.2">
      <c r="A498" s="726"/>
      <c r="B498" s="726"/>
      <c r="C498" s="726"/>
      <c r="D498" s="726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7"/>
      <c r="P498" s="723" t="s">
        <v>40</v>
      </c>
      <c r="Q498" s="724"/>
      <c r="R498" s="724"/>
      <c r="S498" s="724"/>
      <c r="T498" s="724"/>
      <c r="U498" s="724"/>
      <c r="V498" s="72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customHeight="1" x14ac:dyDescent="0.25">
      <c r="A499" s="714" t="s">
        <v>256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715">
        <v>4680115886094</v>
      </c>
      <c r="E500" s="715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4301031373</v>
      </c>
      <c r="D501" s="715">
        <v>4680115880771</v>
      </c>
      <c r="E501" s="715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4301031359</v>
      </c>
      <c r="D502" s="715">
        <v>4607091389500</v>
      </c>
      <c r="E502" s="715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726"/>
      <c r="B503" s="726"/>
      <c r="C503" s="726"/>
      <c r="D503" s="726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7"/>
      <c r="P503" s="723" t="s">
        <v>40</v>
      </c>
      <c r="Q503" s="724"/>
      <c r="R503" s="724"/>
      <c r="S503" s="724"/>
      <c r="T503" s="724"/>
      <c r="U503" s="724"/>
      <c r="V503" s="72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726"/>
      <c r="B504" s="726"/>
      <c r="C504" s="726"/>
      <c r="D504" s="726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7"/>
      <c r="P504" s="723" t="s">
        <v>40</v>
      </c>
      <c r="Q504" s="724"/>
      <c r="R504" s="724"/>
      <c r="S504" s="724"/>
      <c r="T504" s="724"/>
      <c r="U504" s="724"/>
      <c r="V504" s="72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customHeight="1" x14ac:dyDescent="0.2">
      <c r="A505" s="712" t="s">
        <v>811</v>
      </c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2"/>
      <c r="P505" s="712"/>
      <c r="Q505" s="712"/>
      <c r="R505" s="712"/>
      <c r="S505" s="712"/>
      <c r="T505" s="712"/>
      <c r="U505" s="712"/>
      <c r="V505" s="712"/>
      <c r="W505" s="712"/>
      <c r="X505" s="712"/>
      <c r="Y505" s="712"/>
      <c r="Z505" s="712"/>
      <c r="AA505" s="54"/>
      <c r="AB505" s="54"/>
      <c r="AC505" s="54"/>
    </row>
    <row r="506" spans="1:68" ht="16.5" customHeight="1" x14ac:dyDescent="0.25">
      <c r="A506" s="713" t="s">
        <v>811</v>
      </c>
      <c r="B506" s="713"/>
      <c r="C506" s="713"/>
      <c r="D506" s="713"/>
      <c r="E506" s="713"/>
      <c r="F506" s="713"/>
      <c r="G506" s="713"/>
      <c r="H506" s="713"/>
      <c r="I506" s="713"/>
      <c r="J506" s="713"/>
      <c r="K506" s="713"/>
      <c r="L506" s="713"/>
      <c r="M506" s="713"/>
      <c r="N506" s="713"/>
      <c r="O506" s="713"/>
      <c r="P506" s="713"/>
      <c r="Q506" s="713"/>
      <c r="R506" s="713"/>
      <c r="S506" s="713"/>
      <c r="T506" s="713"/>
      <c r="U506" s="713"/>
      <c r="V506" s="713"/>
      <c r="W506" s="713"/>
      <c r="X506" s="713"/>
      <c r="Y506" s="713"/>
      <c r="Z506" s="713"/>
      <c r="AA506" s="65"/>
      <c r="AB506" s="65"/>
      <c r="AC506" s="79"/>
    </row>
    <row r="507" spans="1:68" ht="14.25" customHeight="1" x14ac:dyDescent="0.25">
      <c r="A507" s="714" t="s">
        <v>124</v>
      </c>
      <c r="B507" s="714"/>
      <c r="C507" s="714"/>
      <c r="D507" s="714"/>
      <c r="E507" s="714"/>
      <c r="F507" s="714"/>
      <c r="G507" s="714"/>
      <c r="H507" s="714"/>
      <c r="I507" s="714"/>
      <c r="J507" s="714"/>
      <c r="K507" s="714"/>
      <c r="L507" s="714"/>
      <c r="M507" s="714"/>
      <c r="N507" s="714"/>
      <c r="O507" s="714"/>
      <c r="P507" s="714"/>
      <c r="Q507" s="714"/>
      <c r="R507" s="714"/>
      <c r="S507" s="714"/>
      <c r="T507" s="714"/>
      <c r="U507" s="714"/>
      <c r="V507" s="714"/>
      <c r="W507" s="714"/>
      <c r="X507" s="714"/>
      <c r="Y507" s="714"/>
      <c r="Z507" s="714"/>
      <c r="AA507" s="66"/>
      <c r="AB507" s="66"/>
      <c r="AC507" s="80"/>
    </row>
    <row r="508" spans="1:68" ht="27" customHeight="1" x14ac:dyDescent="0.25">
      <c r="A508" s="63" t="s">
        <v>812</v>
      </c>
      <c r="B508" s="63" t="s">
        <v>813</v>
      </c>
      <c r="C508" s="36">
        <v>4301011769</v>
      </c>
      <c r="D508" s="715">
        <v>4607091389067</v>
      </c>
      <c r="E508" s="71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customHeight="1" x14ac:dyDescent="0.25">
      <c r="A509" s="63" t="s">
        <v>814</v>
      </c>
      <c r="B509" s="63" t="s">
        <v>815</v>
      </c>
      <c r="C509" s="36">
        <v>4301012380</v>
      </c>
      <c r="D509" s="715">
        <v>4680115889576</v>
      </c>
      <c r="E509" s="71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717"/>
      <c r="R509" s="717"/>
      <c r="S509" s="717"/>
      <c r="T509" s="71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customHeight="1" x14ac:dyDescent="0.25">
      <c r="A510" s="63" t="s">
        <v>817</v>
      </c>
      <c r="B510" s="63" t="s">
        <v>818</v>
      </c>
      <c r="C510" s="36">
        <v>4301011961</v>
      </c>
      <c r="D510" s="715">
        <v>4680115885271</v>
      </c>
      <c r="E510" s="71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717"/>
      <c r="R510" s="717"/>
      <c r="S510" s="717"/>
      <c r="T510" s="71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715">
        <v>4680115885226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715">
        <v>4607091389104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2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0</v>
      </c>
      <c r="BN512" s="78">
        <f t="shared" si="74"/>
        <v>0</v>
      </c>
      <c r="BO512" s="78">
        <f t="shared" si="75"/>
        <v>0</v>
      </c>
      <c r="BP512" s="78">
        <f t="shared" si="76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4301012125</v>
      </c>
      <c r="D513" s="715">
        <v>4680115886391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4301012048</v>
      </c>
      <c r="D514" s="715">
        <v>4680115880603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customHeight="1" x14ac:dyDescent="0.25">
      <c r="A515" s="63" t="s">
        <v>830</v>
      </c>
      <c r="B515" s="63" t="s">
        <v>831</v>
      </c>
      <c r="C515" s="36">
        <v>4301012034</v>
      </c>
      <c r="D515" s="715">
        <v>4607091389982</v>
      </c>
      <c r="E515" s="715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726"/>
      <c r="B516" s="726"/>
      <c r="C516" s="726"/>
      <c r="D516" s="726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7"/>
      <c r="P516" s="723" t="s">
        <v>40</v>
      </c>
      <c r="Q516" s="724"/>
      <c r="R516" s="724"/>
      <c r="S516" s="724"/>
      <c r="T516" s="724"/>
      <c r="U516" s="724"/>
      <c r="V516" s="72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0</v>
      </c>
      <c r="Y516" s="43">
        <f>IFERROR(Y508/H508,"0")+IFERROR(Y509/H509,"0")+IFERROR(Y510/H510,"0")+IFERROR(Y511/H511,"0")+IFERROR(Y512/H512,"0")+IFERROR(Y513/H513,"0")+IFERROR(Y514/H514,"0")+IFERROR(Y515/H515,"0")</f>
        <v>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x14ac:dyDescent="0.2">
      <c r="A517" s="726"/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7"/>
      <c r="P517" s="723" t="s">
        <v>40</v>
      </c>
      <c r="Q517" s="724"/>
      <c r="R517" s="724"/>
      <c r="S517" s="724"/>
      <c r="T517" s="724"/>
      <c r="U517" s="724"/>
      <c r="V517" s="725"/>
      <c r="W517" s="42" t="s">
        <v>0</v>
      </c>
      <c r="X517" s="43">
        <f>IFERROR(SUM(X508:X515),"0")</f>
        <v>0</v>
      </c>
      <c r="Y517" s="43">
        <f>IFERROR(SUM(Y508:Y515),"0")</f>
        <v>0</v>
      </c>
      <c r="Z517" s="42"/>
      <c r="AA517" s="67"/>
      <c r="AB517" s="67"/>
      <c r="AC517" s="67"/>
    </row>
    <row r="518" spans="1:68" ht="14.25" customHeight="1" x14ac:dyDescent="0.25">
      <c r="A518" s="714" t="s">
        <v>161</v>
      </c>
      <c r="B518" s="714"/>
      <c r="C518" s="714"/>
      <c r="D518" s="714"/>
      <c r="E518" s="714"/>
      <c r="F518" s="714"/>
      <c r="G518" s="714"/>
      <c r="H518" s="714"/>
      <c r="I518" s="714"/>
      <c r="J518" s="714"/>
      <c r="K518" s="714"/>
      <c r="L518" s="714"/>
      <c r="M518" s="714"/>
      <c r="N518" s="714"/>
      <c r="O518" s="714"/>
      <c r="P518" s="714"/>
      <c r="Q518" s="714"/>
      <c r="R518" s="714"/>
      <c r="S518" s="714"/>
      <c r="T518" s="714"/>
      <c r="U518" s="714"/>
      <c r="V518" s="714"/>
      <c r="W518" s="714"/>
      <c r="X518" s="714"/>
      <c r="Y518" s="714"/>
      <c r="Z518" s="714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715">
        <v>4607091388930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835</v>
      </c>
      <c r="B520" s="63" t="s">
        <v>836</v>
      </c>
      <c r="C520" s="36">
        <v>4301020374</v>
      </c>
      <c r="D520" s="715">
        <v>4680115886407</v>
      </c>
      <c r="E520" s="715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837</v>
      </c>
      <c r="B521" s="63" t="s">
        <v>838</v>
      </c>
      <c r="C521" s="36">
        <v>4301020385</v>
      </c>
      <c r="D521" s="715">
        <v>4680115880054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726"/>
      <c r="B522" s="726"/>
      <c r="C522" s="726"/>
      <c r="D522" s="726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7"/>
      <c r="P522" s="723" t="s">
        <v>40</v>
      </c>
      <c r="Q522" s="724"/>
      <c r="R522" s="724"/>
      <c r="S522" s="724"/>
      <c r="T522" s="724"/>
      <c r="U522" s="724"/>
      <c r="V522" s="725"/>
      <c r="W522" s="42" t="s">
        <v>39</v>
      </c>
      <c r="X522" s="43">
        <f>IFERROR(X519/H519,"0")+IFERROR(X520/H520,"0")+IFERROR(X521/H521,"0")</f>
        <v>0</v>
      </c>
      <c r="Y522" s="43">
        <f>IFERROR(Y519/H519,"0")+IFERROR(Y520/H520,"0")+IFERROR(Y521/H521,"0")</f>
        <v>0</v>
      </c>
      <c r="Z522" s="43">
        <f>IFERROR(IF(Z519="",0,Z519),"0")+IFERROR(IF(Z520="",0,Z520),"0")+IFERROR(IF(Z521="",0,Z521),"0")</f>
        <v>0</v>
      </c>
      <c r="AA522" s="67"/>
      <c r="AB522" s="67"/>
      <c r="AC522" s="67"/>
    </row>
    <row r="523" spans="1:68" x14ac:dyDescent="0.2">
      <c r="A523" s="726"/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7"/>
      <c r="P523" s="723" t="s">
        <v>40</v>
      </c>
      <c r="Q523" s="724"/>
      <c r="R523" s="724"/>
      <c r="S523" s="724"/>
      <c r="T523" s="724"/>
      <c r="U523" s="724"/>
      <c r="V523" s="725"/>
      <c r="W523" s="42" t="s">
        <v>0</v>
      </c>
      <c r="X523" s="43">
        <f>IFERROR(SUM(X519:X521),"0")</f>
        <v>0</v>
      </c>
      <c r="Y523" s="43">
        <f>IFERROR(SUM(Y519:Y521),"0")</f>
        <v>0</v>
      </c>
      <c r="Z523" s="42"/>
      <c r="AA523" s="67"/>
      <c r="AB523" s="67"/>
      <c r="AC523" s="67"/>
    </row>
    <row r="524" spans="1:68" ht="14.25" customHeight="1" x14ac:dyDescent="0.25">
      <c r="A524" s="714" t="s">
        <v>256</v>
      </c>
      <c r="B524" s="714"/>
      <c r="C524" s="714"/>
      <c r="D524" s="714"/>
      <c r="E524" s="714"/>
      <c r="F524" s="714"/>
      <c r="G524" s="714"/>
      <c r="H524" s="714"/>
      <c r="I524" s="714"/>
      <c r="J524" s="714"/>
      <c r="K524" s="714"/>
      <c r="L524" s="714"/>
      <c r="M524" s="714"/>
      <c r="N524" s="714"/>
      <c r="O524" s="714"/>
      <c r="P524" s="714"/>
      <c r="Q524" s="714"/>
      <c r="R524" s="714"/>
      <c r="S524" s="714"/>
      <c r="T524" s="714"/>
      <c r="U524" s="714"/>
      <c r="V524" s="714"/>
      <c r="W524" s="714"/>
      <c r="X524" s="714"/>
      <c r="Y524" s="714"/>
      <c r="Z524" s="714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715">
        <v>4680115883116</v>
      </c>
      <c r="E525" s="71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717"/>
      <c r="R525" s="717"/>
      <c r="S525" s="717"/>
      <c r="T525" s="71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ref="Y525:Y531" si="77">IFERROR(IF(X525="",0,CEILING((X525/$H525),1)*$H525),"")</f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0</v>
      </c>
      <c r="BN525" s="78">
        <f t="shared" ref="BN525:BN531" si="79">IFERROR(Y525*I525/H525,"0")</f>
        <v>0</v>
      </c>
      <c r="BO525" s="78">
        <f t="shared" ref="BO525:BO531" si="80">IFERROR(1/J525*(X525/H525),"0")</f>
        <v>0</v>
      </c>
      <c r="BP525" s="78">
        <f t="shared" ref="BP525:BP531" si="81">IFERROR(1/J525*(Y525/H525),"0")</f>
        <v>0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715">
        <v>4680115883093</v>
      </c>
      <c r="E526" s="715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717"/>
      <c r="R526" s="717"/>
      <c r="S526" s="717"/>
      <c r="T526" s="71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715">
        <v>4680115883109</v>
      </c>
      <c r="E527" s="715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717"/>
      <c r="R527" s="717"/>
      <c r="S527" s="717"/>
      <c r="T527" s="71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customHeight="1" x14ac:dyDescent="0.25">
      <c r="A528" s="63" t="s">
        <v>848</v>
      </c>
      <c r="B528" s="63" t="s">
        <v>849</v>
      </c>
      <c r="C528" s="36">
        <v>4301031419</v>
      </c>
      <c r="D528" s="715">
        <v>4680115882072</v>
      </c>
      <c r="E528" s="715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customHeight="1" x14ac:dyDescent="0.25">
      <c r="A529" s="63" t="s">
        <v>850</v>
      </c>
      <c r="B529" s="63" t="s">
        <v>851</v>
      </c>
      <c r="C529" s="36">
        <v>4301031352</v>
      </c>
      <c r="D529" s="715">
        <v>4680115882102</v>
      </c>
      <c r="E529" s="715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customHeight="1" x14ac:dyDescent="0.25">
      <c r="A530" s="63" t="s">
        <v>850</v>
      </c>
      <c r="B530" s="63" t="s">
        <v>852</v>
      </c>
      <c r="C530" s="36">
        <v>4301031418</v>
      </c>
      <c r="D530" s="715">
        <v>4680115882102</v>
      </c>
      <c r="E530" s="715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customHeight="1" x14ac:dyDescent="0.25">
      <c r="A531" s="63" t="s">
        <v>853</v>
      </c>
      <c r="B531" s="63" t="s">
        <v>854</v>
      </c>
      <c r="C531" s="36">
        <v>4301031417</v>
      </c>
      <c r="D531" s="715">
        <v>4680115882096</v>
      </c>
      <c r="E531" s="715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726"/>
      <c r="B532" s="726"/>
      <c r="C532" s="726"/>
      <c r="D532" s="726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7"/>
      <c r="P532" s="723" t="s">
        <v>40</v>
      </c>
      <c r="Q532" s="724"/>
      <c r="R532" s="724"/>
      <c r="S532" s="724"/>
      <c r="T532" s="724"/>
      <c r="U532" s="724"/>
      <c r="V532" s="725"/>
      <c r="W532" s="42" t="s">
        <v>39</v>
      </c>
      <c r="X532" s="43">
        <f>IFERROR(X525/H525,"0")+IFERROR(X526/H526,"0")+IFERROR(X527/H527,"0")+IFERROR(X528/H528,"0")+IFERROR(X529/H529,"0")+IFERROR(X530/H530,"0")+IFERROR(X531/H531,"0")</f>
        <v>0</v>
      </c>
      <c r="Y532" s="43">
        <f>IFERROR(Y525/H525,"0")+IFERROR(Y526/H526,"0")+IFERROR(Y527/H527,"0")+IFERROR(Y528/H528,"0")+IFERROR(Y529/H529,"0")+IFERROR(Y530/H530,"0")+IFERROR(Y531/H531,"0")</f>
        <v>0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7"/>
      <c r="AB532" s="67"/>
      <c r="AC532" s="67"/>
    </row>
    <row r="533" spans="1:68" x14ac:dyDescent="0.2">
      <c r="A533" s="726"/>
      <c r="B533" s="726"/>
      <c r="C533" s="726"/>
      <c r="D533" s="726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7"/>
      <c r="P533" s="723" t="s">
        <v>40</v>
      </c>
      <c r="Q533" s="724"/>
      <c r="R533" s="724"/>
      <c r="S533" s="724"/>
      <c r="T533" s="724"/>
      <c r="U533" s="724"/>
      <c r="V533" s="725"/>
      <c r="W533" s="42" t="s">
        <v>0</v>
      </c>
      <c r="X533" s="43">
        <f>IFERROR(SUM(X525:X531),"0")</f>
        <v>0</v>
      </c>
      <c r="Y533" s="43">
        <f>IFERROR(SUM(Y525:Y531),"0")</f>
        <v>0</v>
      </c>
      <c r="Z533" s="42"/>
      <c r="AA533" s="67"/>
      <c r="AB533" s="67"/>
      <c r="AC533" s="67"/>
    </row>
    <row r="534" spans="1:68" ht="27.75" customHeight="1" x14ac:dyDescent="0.2">
      <c r="A534" s="712" t="s">
        <v>855</v>
      </c>
      <c r="B534" s="712"/>
      <c r="C534" s="712"/>
      <c r="D534" s="712"/>
      <c r="E534" s="712"/>
      <c r="F534" s="712"/>
      <c r="G534" s="712"/>
      <c r="H534" s="712"/>
      <c r="I534" s="712"/>
      <c r="J534" s="712"/>
      <c r="K534" s="712"/>
      <c r="L534" s="712"/>
      <c r="M534" s="712"/>
      <c r="N534" s="712"/>
      <c r="O534" s="712"/>
      <c r="P534" s="712"/>
      <c r="Q534" s="712"/>
      <c r="R534" s="712"/>
      <c r="S534" s="712"/>
      <c r="T534" s="712"/>
      <c r="U534" s="712"/>
      <c r="V534" s="712"/>
      <c r="W534" s="712"/>
      <c r="X534" s="712"/>
      <c r="Y534" s="712"/>
      <c r="Z534" s="712"/>
      <c r="AA534" s="54"/>
      <c r="AB534" s="54"/>
      <c r="AC534" s="54"/>
    </row>
    <row r="535" spans="1:68" ht="16.5" customHeight="1" x14ac:dyDescent="0.25">
      <c r="A535" s="713" t="s">
        <v>855</v>
      </c>
      <c r="B535" s="713"/>
      <c r="C535" s="713"/>
      <c r="D535" s="713"/>
      <c r="E535" s="713"/>
      <c r="F535" s="713"/>
      <c r="G535" s="713"/>
      <c r="H535" s="713"/>
      <c r="I535" s="713"/>
      <c r="J535" s="713"/>
      <c r="K535" s="713"/>
      <c r="L535" s="713"/>
      <c r="M535" s="713"/>
      <c r="N535" s="713"/>
      <c r="O535" s="713"/>
      <c r="P535" s="713"/>
      <c r="Q535" s="713"/>
      <c r="R535" s="713"/>
      <c r="S535" s="713"/>
      <c r="T535" s="713"/>
      <c r="U535" s="713"/>
      <c r="V535" s="713"/>
      <c r="W535" s="713"/>
      <c r="X535" s="713"/>
      <c r="Y535" s="713"/>
      <c r="Z535" s="713"/>
      <c r="AA535" s="65"/>
      <c r="AB535" s="65"/>
      <c r="AC535" s="79"/>
    </row>
    <row r="536" spans="1:68" ht="14.25" customHeight="1" x14ac:dyDescent="0.25">
      <c r="A536" s="714" t="s">
        <v>124</v>
      </c>
      <c r="B536" s="714"/>
      <c r="C536" s="714"/>
      <c r="D536" s="714"/>
      <c r="E536" s="714"/>
      <c r="F536" s="714"/>
      <c r="G536" s="714"/>
      <c r="H536" s="714"/>
      <c r="I536" s="714"/>
      <c r="J536" s="714"/>
      <c r="K536" s="714"/>
      <c r="L536" s="714"/>
      <c r="M536" s="714"/>
      <c r="N536" s="714"/>
      <c r="O536" s="714"/>
      <c r="P536" s="714"/>
      <c r="Q536" s="714"/>
      <c r="R536" s="714"/>
      <c r="S536" s="714"/>
      <c r="T536" s="714"/>
      <c r="U536" s="714"/>
      <c r="V536" s="714"/>
      <c r="W536" s="714"/>
      <c r="X536" s="714"/>
      <c r="Y536" s="714"/>
      <c r="Z536" s="714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715">
        <v>4680115889736</v>
      </c>
      <c r="E537" s="715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717"/>
      <c r="R537" s="717"/>
      <c r="S537" s="717"/>
      <c r="T537" s="71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26"/>
      <c r="B538" s="726"/>
      <c r="C538" s="726"/>
      <c r="D538" s="726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7"/>
      <c r="P538" s="723" t="s">
        <v>40</v>
      </c>
      <c r="Q538" s="724"/>
      <c r="R538" s="724"/>
      <c r="S538" s="724"/>
      <c r="T538" s="724"/>
      <c r="U538" s="724"/>
      <c r="V538" s="72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14" t="s">
        <v>161</v>
      </c>
      <c r="B540" s="714"/>
      <c r="C540" s="714"/>
      <c r="D540" s="714"/>
      <c r="E540" s="714"/>
      <c r="F540" s="714"/>
      <c r="G540" s="714"/>
      <c r="H540" s="714"/>
      <c r="I540" s="714"/>
      <c r="J540" s="714"/>
      <c r="K540" s="714"/>
      <c r="L540" s="714"/>
      <c r="M540" s="714"/>
      <c r="N540" s="714"/>
      <c r="O540" s="714"/>
      <c r="P540" s="714"/>
      <c r="Q540" s="714"/>
      <c r="R540" s="714"/>
      <c r="S540" s="714"/>
      <c r="T540" s="714"/>
      <c r="U540" s="714"/>
      <c r="V540" s="714"/>
      <c r="W540" s="714"/>
      <c r="X540" s="714"/>
      <c r="Y540" s="714"/>
      <c r="Z540" s="714"/>
      <c r="AA540" s="66"/>
      <c r="AB540" s="66"/>
      <c r="AC540" s="80"/>
    </row>
    <row r="541" spans="1:68" ht="27" customHeight="1" x14ac:dyDescent="0.25">
      <c r="A541" s="63" t="s">
        <v>859</v>
      </c>
      <c r="B541" s="63" t="s">
        <v>860</v>
      </c>
      <c r="C541" s="36">
        <v>4301020444</v>
      </c>
      <c r="D541" s="715">
        <v>4680115889781</v>
      </c>
      <c r="E541" s="715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717"/>
      <c r="R541" s="717"/>
      <c r="S541" s="717"/>
      <c r="T541" s="71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726"/>
      <c r="B542" s="726"/>
      <c r="C542" s="726"/>
      <c r="D542" s="726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7"/>
      <c r="P542" s="723" t="s">
        <v>40</v>
      </c>
      <c r="Q542" s="724"/>
      <c r="R542" s="724"/>
      <c r="S542" s="724"/>
      <c r="T542" s="724"/>
      <c r="U542" s="724"/>
      <c r="V542" s="72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714" t="s">
        <v>256</v>
      </c>
      <c r="B544" s="714"/>
      <c r="C544" s="714"/>
      <c r="D544" s="714"/>
      <c r="E544" s="714"/>
      <c r="F544" s="714"/>
      <c r="G544" s="714"/>
      <c r="H544" s="714"/>
      <c r="I544" s="714"/>
      <c r="J544" s="714"/>
      <c r="K544" s="714"/>
      <c r="L544" s="714"/>
      <c r="M544" s="714"/>
      <c r="N544" s="714"/>
      <c r="O544" s="714"/>
      <c r="P544" s="714"/>
      <c r="Q544" s="714"/>
      <c r="R544" s="714"/>
      <c r="S544" s="714"/>
      <c r="T544" s="714"/>
      <c r="U544" s="714"/>
      <c r="V544" s="714"/>
      <c r="W544" s="714"/>
      <c r="X544" s="714"/>
      <c r="Y544" s="714"/>
      <c r="Z544" s="714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715">
        <v>4680115889774</v>
      </c>
      <c r="E545" s="715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717"/>
      <c r="R545" s="717"/>
      <c r="S545" s="717"/>
      <c r="T545" s="71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726"/>
      <c r="B546" s="726"/>
      <c r="C546" s="726"/>
      <c r="D546" s="726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7"/>
      <c r="P546" s="723" t="s">
        <v>40</v>
      </c>
      <c r="Q546" s="724"/>
      <c r="R546" s="724"/>
      <c r="S546" s="724"/>
      <c r="T546" s="724"/>
      <c r="U546" s="724"/>
      <c r="V546" s="72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customHeight="1" x14ac:dyDescent="0.25">
      <c r="A548" s="714" t="s">
        <v>77</v>
      </c>
      <c r="B548" s="714"/>
      <c r="C548" s="714"/>
      <c r="D548" s="714"/>
      <c r="E548" s="714"/>
      <c r="F548" s="714"/>
      <c r="G548" s="714"/>
      <c r="H548" s="714"/>
      <c r="I548" s="714"/>
      <c r="J548" s="714"/>
      <c r="K548" s="714"/>
      <c r="L548" s="714"/>
      <c r="M548" s="714"/>
      <c r="N548" s="714"/>
      <c r="O548" s="714"/>
      <c r="P548" s="714"/>
      <c r="Q548" s="714"/>
      <c r="R548" s="714"/>
      <c r="S548" s="714"/>
      <c r="T548" s="714"/>
      <c r="U548" s="714"/>
      <c r="V548" s="714"/>
      <c r="W548" s="714"/>
      <c r="X548" s="714"/>
      <c r="Y548" s="714"/>
      <c r="Z548" s="714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715">
        <v>4680115889811</v>
      </c>
      <c r="E549" s="715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998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717"/>
      <c r="R549" s="717"/>
      <c r="S549" s="717"/>
      <c r="T549" s="718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726"/>
      <c r="B550" s="726"/>
      <c r="C550" s="726"/>
      <c r="D550" s="726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7"/>
      <c r="P550" s="723" t="s">
        <v>40</v>
      </c>
      <c r="Q550" s="724"/>
      <c r="R550" s="724"/>
      <c r="S550" s="724"/>
      <c r="T550" s="724"/>
      <c r="U550" s="724"/>
      <c r="V550" s="72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">
      <c r="A551" s="726"/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7"/>
      <c r="P551" s="723" t="s">
        <v>40</v>
      </c>
      <c r="Q551" s="724"/>
      <c r="R551" s="724"/>
      <c r="S551" s="724"/>
      <c r="T551" s="724"/>
      <c r="U551" s="724"/>
      <c r="V551" s="72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customHeight="1" x14ac:dyDescent="0.25">
      <c r="A552" s="714" t="s">
        <v>179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6"/>
      <c r="AB552" s="66"/>
      <c r="AC552" s="80"/>
    </row>
    <row r="553" spans="1:68" ht="27" customHeight="1" x14ac:dyDescent="0.25">
      <c r="A553" s="63" t="s">
        <v>867</v>
      </c>
      <c r="B553" s="63" t="s">
        <v>868</v>
      </c>
      <c r="C553" s="36">
        <v>4301060543</v>
      </c>
      <c r="D553" s="715">
        <v>4680115889804</v>
      </c>
      <c r="E553" s="715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999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717"/>
      <c r="R553" s="717"/>
      <c r="S553" s="717"/>
      <c r="T553" s="71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customHeight="1" x14ac:dyDescent="0.25">
      <c r="A554" s="63" t="s">
        <v>870</v>
      </c>
      <c r="B554" s="63" t="s">
        <v>871</v>
      </c>
      <c r="C554" s="36">
        <v>4301060544</v>
      </c>
      <c r="D554" s="715">
        <v>4680115889828</v>
      </c>
      <c r="E554" s="715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100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717"/>
      <c r="R554" s="717"/>
      <c r="S554" s="717"/>
      <c r="T554" s="718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x14ac:dyDescent="0.2">
      <c r="A555" s="726"/>
      <c r="B555" s="726"/>
      <c r="C555" s="726"/>
      <c r="D555" s="726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7"/>
      <c r="P555" s="723" t="s">
        <v>40</v>
      </c>
      <c r="Q555" s="724"/>
      <c r="R555" s="724"/>
      <c r="S555" s="724"/>
      <c r="T555" s="724"/>
      <c r="U555" s="724"/>
      <c r="V555" s="72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x14ac:dyDescent="0.2">
      <c r="A556" s="726"/>
      <c r="B556" s="726"/>
      <c r="C556" s="726"/>
      <c r="D556" s="726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7"/>
      <c r="P556" s="723" t="s">
        <v>40</v>
      </c>
      <c r="Q556" s="724"/>
      <c r="R556" s="724"/>
      <c r="S556" s="724"/>
      <c r="T556" s="724"/>
      <c r="U556" s="724"/>
      <c r="V556" s="72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customHeight="1" x14ac:dyDescent="0.25">
      <c r="A557" s="713" t="s">
        <v>873</v>
      </c>
      <c r="B557" s="713"/>
      <c r="C557" s="713"/>
      <c r="D557" s="713"/>
      <c r="E557" s="713"/>
      <c r="F557" s="713"/>
      <c r="G557" s="713"/>
      <c r="H557" s="713"/>
      <c r="I557" s="713"/>
      <c r="J557" s="713"/>
      <c r="K557" s="713"/>
      <c r="L557" s="713"/>
      <c r="M557" s="713"/>
      <c r="N557" s="713"/>
      <c r="O557" s="713"/>
      <c r="P557" s="713"/>
      <c r="Q557" s="713"/>
      <c r="R557" s="713"/>
      <c r="S557" s="713"/>
      <c r="T557" s="713"/>
      <c r="U557" s="713"/>
      <c r="V557" s="713"/>
      <c r="W557" s="713"/>
      <c r="X557" s="713"/>
      <c r="Y557" s="713"/>
      <c r="Z557" s="713"/>
      <c r="AA557" s="65"/>
      <c r="AB557" s="65"/>
      <c r="AC557" s="79"/>
    </row>
    <row r="558" spans="1:68" ht="14.25" customHeight="1" x14ac:dyDescent="0.25">
      <c r="A558" s="714" t="s">
        <v>161</v>
      </c>
      <c r="B558" s="714"/>
      <c r="C558" s="714"/>
      <c r="D558" s="714"/>
      <c r="E558" s="714"/>
      <c r="F558" s="714"/>
      <c r="G558" s="714"/>
      <c r="H558" s="714"/>
      <c r="I558" s="714"/>
      <c r="J558" s="714"/>
      <c r="K558" s="714"/>
      <c r="L558" s="714"/>
      <c r="M558" s="714"/>
      <c r="N558" s="714"/>
      <c r="O558" s="714"/>
      <c r="P558" s="714"/>
      <c r="Q558" s="714"/>
      <c r="R558" s="714"/>
      <c r="S558" s="714"/>
      <c r="T558" s="714"/>
      <c r="U558" s="714"/>
      <c r="V558" s="714"/>
      <c r="W558" s="714"/>
      <c r="X558" s="714"/>
      <c r="Y558" s="714"/>
      <c r="Z558" s="714"/>
      <c r="AA558" s="66"/>
      <c r="AB558" s="66"/>
      <c r="AC558" s="80"/>
    </row>
    <row r="559" spans="1:68" ht="27" customHeight="1" x14ac:dyDescent="0.25">
      <c r="A559" s="63" t="s">
        <v>874</v>
      </c>
      <c r="B559" s="63" t="s">
        <v>875</v>
      </c>
      <c r="C559" s="36">
        <v>4301020441</v>
      </c>
      <c r="D559" s="715">
        <v>4680115889798</v>
      </c>
      <c r="E559" s="715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100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717"/>
      <c r="R559" s="717"/>
      <c r="S559" s="717"/>
      <c r="T559" s="718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7"/>
      <c r="P560" s="723" t="s">
        <v>40</v>
      </c>
      <c r="Q560" s="724"/>
      <c r="R560" s="724"/>
      <c r="S560" s="724"/>
      <c r="T560" s="724"/>
      <c r="U560" s="724"/>
      <c r="V560" s="72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7"/>
      <c r="P561" s="723" t="s">
        <v>40</v>
      </c>
      <c r="Q561" s="724"/>
      <c r="R561" s="724"/>
      <c r="S561" s="724"/>
      <c r="T561" s="724"/>
      <c r="U561" s="724"/>
      <c r="V561" s="72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05"/>
      <c r="P562" s="1002" t="s">
        <v>33</v>
      </c>
      <c r="Q562" s="1003"/>
      <c r="R562" s="1003"/>
      <c r="S562" s="1003"/>
      <c r="T562" s="1003"/>
      <c r="U562" s="1003"/>
      <c r="V562" s="1004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0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0</v>
      </c>
      <c r="Z562" s="42"/>
      <c r="AA562" s="67"/>
      <c r="AB562" s="67"/>
      <c r="AC562" s="67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05"/>
      <c r="P563" s="1002" t="s">
        <v>34</v>
      </c>
      <c r="Q563" s="1003"/>
      <c r="R563" s="1003"/>
      <c r="S563" s="1003"/>
      <c r="T563" s="1003"/>
      <c r="U563" s="1003"/>
      <c r="V563" s="1004"/>
      <c r="W563" s="42" t="s">
        <v>0</v>
      </c>
      <c r="X563" s="43">
        <f>IFERROR(SUM(BM22:BM559),"0")</f>
        <v>0</v>
      </c>
      <c r="Y563" s="43">
        <f>IFERROR(SUM(BN22:BN559),"0")</f>
        <v>0</v>
      </c>
      <c r="Z563" s="42"/>
      <c r="AA563" s="67"/>
      <c r="AB563" s="67"/>
      <c r="AC563" s="67"/>
    </row>
    <row r="564" spans="1:32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05"/>
      <c r="P564" s="1002" t="s">
        <v>35</v>
      </c>
      <c r="Q564" s="1003"/>
      <c r="R564" s="1003"/>
      <c r="S564" s="1003"/>
      <c r="T564" s="1003"/>
      <c r="U564" s="1003"/>
      <c r="V564" s="1004"/>
      <c r="W564" s="42" t="s">
        <v>20</v>
      </c>
      <c r="X564" s="44">
        <f>ROUNDUP(SUM(BO22:BO559),0)</f>
        <v>0</v>
      </c>
      <c r="Y564" s="44">
        <f>ROUNDUP(SUM(BP22:BP559),0)</f>
        <v>0</v>
      </c>
      <c r="Z564" s="42"/>
      <c r="AA564" s="67"/>
      <c r="AB564" s="67"/>
      <c r="AC564" s="67"/>
    </row>
    <row r="565" spans="1:32" x14ac:dyDescent="0.2">
      <c r="A565" s="726"/>
      <c r="B565" s="726"/>
      <c r="C565" s="726"/>
      <c r="D565" s="726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1005"/>
      <c r="P565" s="1002" t="s">
        <v>36</v>
      </c>
      <c r="Q565" s="1003"/>
      <c r="R565" s="1003"/>
      <c r="S565" s="1003"/>
      <c r="T565" s="1003"/>
      <c r="U565" s="1003"/>
      <c r="V565" s="1004"/>
      <c r="W565" s="42" t="s">
        <v>0</v>
      </c>
      <c r="X565" s="43">
        <f>GrossWeightTotal+PalletQtyTotal*25</f>
        <v>0</v>
      </c>
      <c r="Y565" s="43">
        <f>GrossWeightTotalR+PalletQtyTotalR*25</f>
        <v>0</v>
      </c>
      <c r="Z565" s="42"/>
      <c r="AA565" s="67"/>
      <c r="AB565" s="67"/>
      <c r="AC565" s="67"/>
    </row>
    <row r="566" spans="1:32" x14ac:dyDescent="0.2">
      <c r="A566" s="726"/>
      <c r="B566" s="726"/>
      <c r="C566" s="726"/>
      <c r="D566" s="726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1005"/>
      <c r="P566" s="1002" t="s">
        <v>37</v>
      </c>
      <c r="Q566" s="1003"/>
      <c r="R566" s="1003"/>
      <c r="S566" s="1003"/>
      <c r="T566" s="1003"/>
      <c r="U566" s="1003"/>
      <c r="V566" s="1004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0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0</v>
      </c>
      <c r="Z566" s="42"/>
      <c r="AA566" s="67"/>
      <c r="AB566" s="67"/>
      <c r="AC566" s="67"/>
    </row>
    <row r="567" spans="1:32" ht="14.25" x14ac:dyDescent="0.2">
      <c r="A567" s="726"/>
      <c r="B567" s="726"/>
      <c r="C567" s="726"/>
      <c r="D567" s="726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1005"/>
      <c r="P567" s="1002" t="s">
        <v>38</v>
      </c>
      <c r="Q567" s="1003"/>
      <c r="R567" s="1003"/>
      <c r="S567" s="1003"/>
      <c r="T567" s="1003"/>
      <c r="U567" s="1003"/>
      <c r="V567" s="1004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0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1006" t="s">
        <v>122</v>
      </c>
      <c r="E569" s="1006" t="s">
        <v>122</v>
      </c>
      <c r="F569" s="1006" t="s">
        <v>122</v>
      </c>
      <c r="G569" s="1006" t="s">
        <v>122</v>
      </c>
      <c r="H569" s="1006" t="s">
        <v>122</v>
      </c>
      <c r="I569" s="1006" t="s">
        <v>122</v>
      </c>
      <c r="J569" s="1006" t="s">
        <v>122</v>
      </c>
      <c r="K569" s="1006" t="s">
        <v>340</v>
      </c>
      <c r="L569" s="1006" t="s">
        <v>340</v>
      </c>
      <c r="M569" s="1006" t="s">
        <v>340</v>
      </c>
      <c r="N569" s="1007"/>
      <c r="O569" s="1006" t="s">
        <v>340</v>
      </c>
      <c r="P569" s="1006" t="s">
        <v>340</v>
      </c>
      <c r="Q569" s="1006" t="s">
        <v>340</v>
      </c>
      <c r="R569" s="1006" t="s">
        <v>340</v>
      </c>
      <c r="S569" s="1006" t="s">
        <v>340</v>
      </c>
      <c r="T569" s="1006" t="s">
        <v>340</v>
      </c>
      <c r="U569" s="1006" t="s">
        <v>340</v>
      </c>
      <c r="V569" s="1006" t="s">
        <v>340</v>
      </c>
      <c r="W569" s="1006" t="s">
        <v>340</v>
      </c>
      <c r="X569" s="1006" t="s">
        <v>712</v>
      </c>
      <c r="Y569" s="1006" t="s">
        <v>712</v>
      </c>
      <c r="Z569" s="1006" t="s">
        <v>778</v>
      </c>
      <c r="AA569" s="1006" t="s">
        <v>778</v>
      </c>
      <c r="AB569" s="85" t="s">
        <v>811</v>
      </c>
      <c r="AC569" s="1006" t="s">
        <v>855</v>
      </c>
      <c r="AD569" s="1006" t="s">
        <v>855</v>
      </c>
      <c r="AF569" s="1"/>
    </row>
    <row r="570" spans="1:32" ht="14.25" customHeight="1" thickTop="1" x14ac:dyDescent="0.2">
      <c r="A570" s="1008" t="s">
        <v>10</v>
      </c>
      <c r="B570" s="1006" t="s">
        <v>76</v>
      </c>
      <c r="C570" s="1006" t="s">
        <v>106</v>
      </c>
      <c r="D570" s="1006" t="s">
        <v>123</v>
      </c>
      <c r="E570" s="1006" t="s">
        <v>140</v>
      </c>
      <c r="F570" s="1006" t="s">
        <v>187</v>
      </c>
      <c r="G570" s="1006" t="s">
        <v>211</v>
      </c>
      <c r="H570" s="1006" t="s">
        <v>250</v>
      </c>
      <c r="I570" s="1006" t="s">
        <v>264</v>
      </c>
      <c r="J570" s="1006" t="s">
        <v>122</v>
      </c>
      <c r="K570" s="1006" t="s">
        <v>341</v>
      </c>
      <c r="L570" s="1006" t="s">
        <v>362</v>
      </c>
      <c r="M570" s="1006" t="s">
        <v>425</v>
      </c>
      <c r="N570" s="1"/>
      <c r="O570" s="1006" t="s">
        <v>496</v>
      </c>
      <c r="P570" s="1006" t="s">
        <v>531</v>
      </c>
      <c r="Q570" s="1006" t="s">
        <v>556</v>
      </c>
      <c r="R570" s="1006" t="s">
        <v>565</v>
      </c>
      <c r="S570" s="1006" t="s">
        <v>587</v>
      </c>
      <c r="T570" s="1006" t="s">
        <v>594</v>
      </c>
      <c r="U570" s="1006" t="s">
        <v>603</v>
      </c>
      <c r="V570" s="1006" t="s">
        <v>689</v>
      </c>
      <c r="W570" s="1006" t="s">
        <v>702</v>
      </c>
      <c r="X570" s="1006" t="s">
        <v>713</v>
      </c>
      <c r="Y570" s="1006" t="s">
        <v>762</v>
      </c>
      <c r="Z570" s="1006" t="s">
        <v>779</v>
      </c>
      <c r="AA570" s="1006" t="s">
        <v>799</v>
      </c>
      <c r="AB570" s="1006" t="s">
        <v>811</v>
      </c>
      <c r="AC570" s="1006" t="s">
        <v>855</v>
      </c>
      <c r="AD570" s="1006" t="s">
        <v>873</v>
      </c>
      <c r="AF570" s="1"/>
    </row>
    <row r="571" spans="1:32" ht="13.5" thickBot="1" x14ac:dyDescent="0.25">
      <c r="A571" s="1009"/>
      <c r="B571" s="1006"/>
      <c r="C571" s="1006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"/>
      <c r="O571" s="1006"/>
      <c r="P571" s="1006"/>
      <c r="Q571" s="1006"/>
      <c r="R571" s="1006"/>
      <c r="S571" s="1006"/>
      <c r="T571" s="1006"/>
      <c r="U571" s="1006"/>
      <c r="V571" s="1006"/>
      <c r="W571" s="1006"/>
      <c r="X571" s="1006"/>
      <c r="Y571" s="1006"/>
      <c r="Z571" s="1006"/>
      <c r="AA571" s="1006"/>
      <c r="AB571" s="1006"/>
      <c r="AC571" s="1006"/>
      <c r="AD571" s="1006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0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0</v>
      </c>
      <c r="F572" s="52">
        <f>IFERROR(Y85*1,"0")+IFERROR(Y86*1,"0")+IFERROR(Y87*1,"0")+IFERROR(Y88*1,"0")+IFERROR(Y89*1,"0")+IFERROR(Y90*1,"0")+IFERROR(Y94*1,"0")+IFERROR(Y95*1,"0")+IFERROR(Y96*1,"0")+IFERROR(Y97*1,"0")</f>
        <v>0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0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0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0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0</v>
      </c>
      <c r="AC572" s="52">
        <f>IFERROR(Y537*1,"0")+IFERROR(Y541*1,"0")+IFERROR(Y545*1,"0")+IFERROR(Y549*1,"0")+IFERROR(Y553*1,"0")+IFERROR(Y554*1,"0")</f>
        <v>0</v>
      </c>
      <c r="AD572" s="52">
        <f>IFERROR(Y559*1,"0")</f>
        <v>0</v>
      </c>
      <c r="AF572" s="1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3" spans="2:8" x14ac:dyDescent="0.2">
      <c r="B13" s="53" t="s">
        <v>898</v>
      </c>
      <c r="C13" s="53" t="s">
        <v>881</v>
      </c>
      <c r="D13" s="53" t="s">
        <v>46</v>
      </c>
      <c r="E13" s="53" t="s">
        <v>46</v>
      </c>
    </row>
    <row r="15" spans="2:8" x14ac:dyDescent="0.2">
      <c r="B15" s="53" t="s">
        <v>899</v>
      </c>
      <c r="C15" s="53" t="s">
        <v>884</v>
      </c>
      <c r="D15" s="53" t="s">
        <v>46</v>
      </c>
      <c r="E15" s="53" t="s">
        <v>46</v>
      </c>
    </row>
    <row r="17" spans="2:5" x14ac:dyDescent="0.2">
      <c r="B17" s="53" t="s">
        <v>900</v>
      </c>
      <c r="C17" s="53" t="s">
        <v>887</v>
      </c>
      <c r="D17" s="53" t="s">
        <v>46</v>
      </c>
      <c r="E17" s="53" t="s">
        <v>46</v>
      </c>
    </row>
    <row r="19" spans="2:5" x14ac:dyDescent="0.2">
      <c r="B19" s="53" t="s">
        <v>901</v>
      </c>
      <c r="C19" s="53" t="s">
        <v>890</v>
      </c>
      <c r="D19" s="53" t="s">
        <v>46</v>
      </c>
      <c r="E19" s="53" t="s">
        <v>46</v>
      </c>
    </row>
    <row r="21" spans="2:5" x14ac:dyDescent="0.2">
      <c r="B21" s="53" t="s">
        <v>902</v>
      </c>
      <c r="C21" s="53" t="s">
        <v>893</v>
      </c>
      <c r="D21" s="53" t="s">
        <v>46</v>
      </c>
      <c r="E21" s="53" t="s">
        <v>46</v>
      </c>
    </row>
    <row r="23" spans="2:5" x14ac:dyDescent="0.2">
      <c r="B23" s="53" t="s">
        <v>903</v>
      </c>
      <c r="C23" s="53" t="s">
        <v>896</v>
      </c>
      <c r="D23" s="53" t="s">
        <v>46</v>
      </c>
      <c r="E23" s="53" t="s">
        <v>46</v>
      </c>
    </row>
    <row r="25" spans="2:5" x14ac:dyDescent="0.2">
      <c r="B25" s="53" t="s">
        <v>904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905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906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1168</vt:i4>
      </vt:variant>
    </vt:vector>
  </HeadingPairs>
  <TitlesOfParts>
    <vt:vector size="117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2026-10-28T11:51:59Z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