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3B36B6-A9A4-4102-87D5-E512A175B5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P551" i="2"/>
  <c r="X549" i="2"/>
  <c r="X548" i="2"/>
  <c r="BO547" i="2"/>
  <c r="BM547" i="2"/>
  <c r="Y547" i="2"/>
  <c r="Y548" i="2" s="1"/>
  <c r="P547" i="2"/>
  <c r="X545" i="2"/>
  <c r="X544" i="2"/>
  <c r="BP543" i="2"/>
  <c r="BO543" i="2"/>
  <c r="BM543" i="2"/>
  <c r="Y543" i="2"/>
  <c r="Z543" i="2" s="1"/>
  <c r="Z544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Z535" i="2"/>
  <c r="Z536" i="2" s="1"/>
  <c r="Y535" i="2"/>
  <c r="Y536" i="2" s="1"/>
  <c r="P535" i="2"/>
  <c r="X531" i="2"/>
  <c r="X530" i="2"/>
  <c r="BO529" i="2"/>
  <c r="BM529" i="2"/>
  <c r="Y529" i="2"/>
  <c r="Z529" i="2" s="1"/>
  <c r="P529" i="2"/>
  <c r="BO528" i="2"/>
  <c r="BN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P526" i="2"/>
  <c r="BO525" i="2"/>
  <c r="BN525" i="2"/>
  <c r="BM525" i="2"/>
  <c r="Y525" i="2"/>
  <c r="Z525" i="2" s="1"/>
  <c r="P525" i="2"/>
  <c r="BP524" i="2"/>
  <c r="BO524" i="2"/>
  <c r="BM524" i="2"/>
  <c r="Y524" i="2"/>
  <c r="P524" i="2"/>
  <c r="BO523" i="2"/>
  <c r="BM523" i="2"/>
  <c r="Z523" i="2"/>
  <c r="Y523" i="2"/>
  <c r="BN523" i="2" s="1"/>
  <c r="P523" i="2"/>
  <c r="Y521" i="2"/>
  <c r="X521" i="2"/>
  <c r="X520" i="2"/>
  <c r="BP519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N509" i="2"/>
  <c r="BM509" i="2"/>
  <c r="Y509" i="2"/>
  <c r="Z509" i="2" s="1"/>
  <c r="P509" i="2"/>
  <c r="BO508" i="2"/>
  <c r="BM508" i="2"/>
  <c r="Y508" i="2"/>
  <c r="P508" i="2"/>
  <c r="BO507" i="2"/>
  <c r="BM507" i="2"/>
  <c r="Y507" i="2"/>
  <c r="P507" i="2"/>
  <c r="BO506" i="2"/>
  <c r="BN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BP499" i="2" s="1"/>
  <c r="P499" i="2"/>
  <c r="BO498" i="2"/>
  <c r="BN498" i="2"/>
  <c r="BM498" i="2"/>
  <c r="Y498" i="2"/>
  <c r="BP498" i="2" s="1"/>
  <c r="P498" i="2"/>
  <c r="BO497" i="2"/>
  <c r="BM497" i="2"/>
  <c r="Y497" i="2"/>
  <c r="BP497" i="2" s="1"/>
  <c r="P497" i="2"/>
  <c r="X495" i="2"/>
  <c r="X494" i="2"/>
  <c r="BO493" i="2"/>
  <c r="BM493" i="2"/>
  <c r="Y493" i="2"/>
  <c r="P493" i="2"/>
  <c r="X490" i="2"/>
  <c r="X489" i="2"/>
  <c r="BO488" i="2"/>
  <c r="BN488" i="2"/>
  <c r="BM488" i="2"/>
  <c r="Y488" i="2"/>
  <c r="BP488" i="2" s="1"/>
  <c r="P488" i="2"/>
  <c r="BO487" i="2"/>
  <c r="BM487" i="2"/>
  <c r="Y487" i="2"/>
  <c r="Y489" i="2" s="1"/>
  <c r="P487" i="2"/>
  <c r="X485" i="2"/>
  <c r="X484" i="2"/>
  <c r="BO483" i="2"/>
  <c r="BN483" i="2"/>
  <c r="BM483" i="2"/>
  <c r="Y483" i="2"/>
  <c r="P483" i="2"/>
  <c r="BO482" i="2"/>
  <c r="BM482" i="2"/>
  <c r="Y482" i="2"/>
  <c r="BP482" i="2" s="1"/>
  <c r="P482" i="2"/>
  <c r="BO481" i="2"/>
  <c r="BM481" i="2"/>
  <c r="Y481" i="2"/>
  <c r="P481" i="2"/>
  <c r="BO480" i="2"/>
  <c r="BN480" i="2"/>
  <c r="BM480" i="2"/>
  <c r="Y480" i="2"/>
  <c r="Z480" i="2" s="1"/>
  <c r="P480" i="2"/>
  <c r="BO479" i="2"/>
  <c r="BM479" i="2"/>
  <c r="Y479" i="2"/>
  <c r="BP479" i="2" s="1"/>
  <c r="P479" i="2"/>
  <c r="BO478" i="2"/>
  <c r="BN478" i="2"/>
  <c r="BM478" i="2"/>
  <c r="Y478" i="2"/>
  <c r="P478" i="2"/>
  <c r="X474" i="2"/>
  <c r="X473" i="2"/>
  <c r="BO472" i="2"/>
  <c r="BM472" i="2"/>
  <c r="Y472" i="2"/>
  <c r="BP472" i="2" s="1"/>
  <c r="P472" i="2"/>
  <c r="BO471" i="2"/>
  <c r="BN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Y467" i="2" s="1"/>
  <c r="P466" i="2"/>
  <c r="X464" i="2"/>
  <c r="Y463" i="2"/>
  <c r="X463" i="2"/>
  <c r="BO462" i="2"/>
  <c r="BN462" i="2"/>
  <c r="BM462" i="2"/>
  <c r="Y462" i="2"/>
  <c r="BP462" i="2" s="1"/>
  <c r="P462" i="2"/>
  <c r="BO461" i="2"/>
  <c r="BN461" i="2"/>
  <c r="BM461" i="2"/>
  <c r="Y461" i="2"/>
  <c r="P461" i="2"/>
  <c r="X458" i="2"/>
  <c r="X457" i="2"/>
  <c r="BO456" i="2"/>
  <c r="BN456" i="2"/>
  <c r="BM456" i="2"/>
  <c r="Y456" i="2"/>
  <c r="Z456" i="2" s="1"/>
  <c r="P456" i="2"/>
  <c r="BO455" i="2"/>
  <c r="BM455" i="2"/>
  <c r="Y455" i="2"/>
  <c r="Z455" i="2" s="1"/>
  <c r="Z457" i="2" s="1"/>
  <c r="P455" i="2"/>
  <c r="X453" i="2"/>
  <c r="X452" i="2"/>
  <c r="BO451" i="2"/>
  <c r="BM451" i="2"/>
  <c r="Y451" i="2"/>
  <c r="BP451" i="2" s="1"/>
  <c r="P451" i="2"/>
  <c r="BO450" i="2"/>
  <c r="BN450" i="2"/>
  <c r="BM450" i="2"/>
  <c r="Y450" i="2"/>
  <c r="BP450" i="2" s="1"/>
  <c r="P450" i="2"/>
  <c r="BO449" i="2"/>
  <c r="BN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N439" i="2"/>
  <c r="BM439" i="2"/>
  <c r="Y439" i="2"/>
  <c r="BP439" i="2" s="1"/>
  <c r="P439" i="2"/>
  <c r="BP438" i="2"/>
  <c r="BO438" i="2"/>
  <c r="BN438" i="2"/>
  <c r="BM438" i="2"/>
  <c r="Z438" i="2"/>
  <c r="Y438" i="2"/>
  <c r="P438" i="2"/>
  <c r="BO437" i="2"/>
  <c r="BM437" i="2"/>
  <c r="Y437" i="2"/>
  <c r="P437" i="2"/>
  <c r="BO436" i="2"/>
  <c r="BM436" i="2"/>
  <c r="Z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N426" i="2"/>
  <c r="BM426" i="2"/>
  <c r="Y426" i="2"/>
  <c r="BP426" i="2" s="1"/>
  <c r="P426" i="2"/>
  <c r="BO425" i="2"/>
  <c r="BN425" i="2"/>
  <c r="BM425" i="2"/>
  <c r="Y425" i="2"/>
  <c r="BP425" i="2" s="1"/>
  <c r="P425" i="2"/>
  <c r="BO424" i="2"/>
  <c r="BM424" i="2"/>
  <c r="Y424" i="2"/>
  <c r="Y428" i="2" s="1"/>
  <c r="P424" i="2"/>
  <c r="X421" i="2"/>
  <c r="X420" i="2"/>
  <c r="BO419" i="2"/>
  <c r="BN419" i="2"/>
  <c r="BM419" i="2"/>
  <c r="Y419" i="2"/>
  <c r="Z419" i="2" s="1"/>
  <c r="P419" i="2"/>
  <c r="BO418" i="2"/>
  <c r="BM418" i="2"/>
  <c r="Y418" i="2"/>
  <c r="P418" i="2"/>
  <c r="X415" i="2"/>
  <c r="X414" i="2"/>
  <c r="BO413" i="2"/>
  <c r="BN413" i="2"/>
  <c r="BM413" i="2"/>
  <c r="Y413" i="2"/>
  <c r="Z413" i="2" s="1"/>
  <c r="P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N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P387" i="2"/>
  <c r="BO387" i="2"/>
  <c r="BM387" i="2"/>
  <c r="Y387" i="2"/>
  <c r="P387" i="2"/>
  <c r="BO386" i="2"/>
  <c r="BN386" i="2"/>
  <c r="BM386" i="2"/>
  <c r="Y386" i="2"/>
  <c r="Z386" i="2" s="1"/>
  <c r="P386" i="2"/>
  <c r="BP385" i="2"/>
  <c r="BO385" i="2"/>
  <c r="BN385" i="2"/>
  <c r="BM385" i="2"/>
  <c r="Z385" i="2"/>
  <c r="Y385" i="2"/>
  <c r="P385" i="2"/>
  <c r="X383" i="2"/>
  <c r="X382" i="2"/>
  <c r="BO381" i="2"/>
  <c r="BN381" i="2"/>
  <c r="BM381" i="2"/>
  <c r="Y381" i="2"/>
  <c r="Z381" i="2" s="1"/>
  <c r="P381" i="2"/>
  <c r="BO380" i="2"/>
  <c r="BM380" i="2"/>
  <c r="Y380" i="2"/>
  <c r="P380" i="2"/>
  <c r="BO379" i="2"/>
  <c r="BM379" i="2"/>
  <c r="Z379" i="2"/>
  <c r="Y379" i="2"/>
  <c r="BP379" i="2" s="1"/>
  <c r="P379" i="2"/>
  <c r="BO378" i="2"/>
  <c r="BM378" i="2"/>
  <c r="Y378" i="2"/>
  <c r="BN378" i="2" s="1"/>
  <c r="P378" i="2"/>
  <c r="BO377" i="2"/>
  <c r="BN377" i="2"/>
  <c r="BM377" i="2"/>
  <c r="Y377" i="2"/>
  <c r="Z377" i="2" s="1"/>
  <c r="P377" i="2"/>
  <c r="BP376" i="2"/>
  <c r="BO376" i="2"/>
  <c r="BM376" i="2"/>
  <c r="Y376" i="2"/>
  <c r="P376" i="2"/>
  <c r="BO375" i="2"/>
  <c r="BM375" i="2"/>
  <c r="Y375" i="2"/>
  <c r="BN375" i="2" s="1"/>
  <c r="P375" i="2"/>
  <c r="X373" i="2"/>
  <c r="X372" i="2"/>
  <c r="BP371" i="2"/>
  <c r="BO371" i="2"/>
  <c r="BM371" i="2"/>
  <c r="Y371" i="2"/>
  <c r="P371" i="2"/>
  <c r="BO370" i="2"/>
  <c r="BN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N366" i="2"/>
  <c r="BM366" i="2"/>
  <c r="Y366" i="2"/>
  <c r="Z366" i="2" s="1"/>
  <c r="P366" i="2"/>
  <c r="BP365" i="2"/>
  <c r="BO365" i="2"/>
  <c r="BN365" i="2"/>
  <c r="BM365" i="2"/>
  <c r="Z365" i="2"/>
  <c r="Y365" i="2"/>
  <c r="P365" i="2"/>
  <c r="X362" i="2"/>
  <c r="X361" i="2"/>
  <c r="BO360" i="2"/>
  <c r="BN360" i="2"/>
  <c r="BM360" i="2"/>
  <c r="Y360" i="2"/>
  <c r="Z360" i="2" s="1"/>
  <c r="P360" i="2"/>
  <c r="BO359" i="2"/>
  <c r="BN359" i="2"/>
  <c r="BM359" i="2"/>
  <c r="Y359" i="2"/>
  <c r="BP359" i="2" s="1"/>
  <c r="P359" i="2"/>
  <c r="BO358" i="2"/>
  <c r="BM358" i="2"/>
  <c r="Y358" i="2"/>
  <c r="P358" i="2"/>
  <c r="X355" i="2"/>
  <c r="X354" i="2"/>
  <c r="BO353" i="2"/>
  <c r="BM353" i="2"/>
  <c r="Y353" i="2"/>
  <c r="BP353" i="2" s="1"/>
  <c r="P353" i="2"/>
  <c r="BO352" i="2"/>
  <c r="BM352" i="2"/>
  <c r="Y352" i="2"/>
  <c r="Y354" i="2" s="1"/>
  <c r="P352" i="2"/>
  <c r="X350" i="2"/>
  <c r="X349" i="2"/>
  <c r="BO348" i="2"/>
  <c r="BN348" i="2"/>
  <c r="BM348" i="2"/>
  <c r="Y348" i="2"/>
  <c r="BP348" i="2" s="1"/>
  <c r="P348" i="2"/>
  <c r="BP347" i="2"/>
  <c r="BO347" i="2"/>
  <c r="BN347" i="2"/>
  <c r="BM347" i="2"/>
  <c r="Z347" i="2"/>
  <c r="Y347" i="2"/>
  <c r="P347" i="2"/>
  <c r="BO346" i="2"/>
  <c r="BM346" i="2"/>
  <c r="Y346" i="2"/>
  <c r="BP346" i="2" s="1"/>
  <c r="P346" i="2"/>
  <c r="BO345" i="2"/>
  <c r="BM345" i="2"/>
  <c r="Y345" i="2"/>
  <c r="BN345" i="2" s="1"/>
  <c r="P345" i="2"/>
  <c r="BO344" i="2"/>
  <c r="BM344" i="2"/>
  <c r="Y344" i="2"/>
  <c r="Y350" i="2" s="1"/>
  <c r="P344" i="2"/>
  <c r="X341" i="2"/>
  <c r="X340" i="2"/>
  <c r="BO339" i="2"/>
  <c r="BM339" i="2"/>
  <c r="Y339" i="2"/>
  <c r="P339" i="2"/>
  <c r="BO338" i="2"/>
  <c r="BM338" i="2"/>
  <c r="Y338" i="2"/>
  <c r="BN338" i="2" s="1"/>
  <c r="P338" i="2"/>
  <c r="BO337" i="2"/>
  <c r="BM337" i="2"/>
  <c r="Y337" i="2"/>
  <c r="P337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N330" i="2"/>
  <c r="BM330" i="2"/>
  <c r="Y330" i="2"/>
  <c r="Z330" i="2" s="1"/>
  <c r="P330" i="2"/>
  <c r="BO329" i="2"/>
  <c r="BM329" i="2"/>
  <c r="Z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Y316" i="2"/>
  <c r="X316" i="2"/>
  <c r="Y315" i="2"/>
  <c r="X315" i="2"/>
  <c r="BP314" i="2"/>
  <c r="BO314" i="2"/>
  <c r="BN314" i="2"/>
  <c r="BM314" i="2"/>
  <c r="Z314" i="2"/>
  <c r="Z315" i="2" s="1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N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P305" i="2"/>
  <c r="BO304" i="2"/>
  <c r="BN304" i="2"/>
  <c r="BM304" i="2"/>
  <c r="Y304" i="2"/>
  <c r="BP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N291" i="2"/>
  <c r="BM291" i="2"/>
  <c r="Y291" i="2"/>
  <c r="Z291" i="2" s="1"/>
  <c r="P291" i="2"/>
  <c r="BO290" i="2"/>
  <c r="BM290" i="2"/>
  <c r="Y290" i="2"/>
  <c r="P290" i="2"/>
  <c r="BO289" i="2"/>
  <c r="BM289" i="2"/>
  <c r="Z289" i="2"/>
  <c r="Y289" i="2"/>
  <c r="BP289" i="2" s="1"/>
  <c r="P289" i="2"/>
  <c r="BO288" i="2"/>
  <c r="BM288" i="2"/>
  <c r="Y288" i="2"/>
  <c r="BN288" i="2" s="1"/>
  <c r="P288" i="2"/>
  <c r="BO287" i="2"/>
  <c r="BN287" i="2"/>
  <c r="BM287" i="2"/>
  <c r="Y287" i="2"/>
  <c r="Z287" i="2" s="1"/>
  <c r="P287" i="2"/>
  <c r="BP286" i="2"/>
  <c r="BO286" i="2"/>
  <c r="BM286" i="2"/>
  <c r="Y286" i="2"/>
  <c r="P286" i="2"/>
  <c r="BO285" i="2"/>
  <c r="BM285" i="2"/>
  <c r="Y285" i="2"/>
  <c r="P285" i="2"/>
  <c r="BO284" i="2"/>
  <c r="BM284" i="2"/>
  <c r="Y284" i="2"/>
  <c r="Y296" i="2" s="1"/>
  <c r="P284" i="2"/>
  <c r="BO283" i="2"/>
  <c r="BN283" i="2"/>
  <c r="BM283" i="2"/>
  <c r="Y283" i="2"/>
  <c r="BP283" i="2" s="1"/>
  <c r="P283" i="2"/>
  <c r="X281" i="2"/>
  <c r="X280" i="2"/>
  <c r="BO279" i="2"/>
  <c r="BM279" i="2"/>
  <c r="Z279" i="2"/>
  <c r="Y279" i="2"/>
  <c r="BP279" i="2" s="1"/>
  <c r="P279" i="2"/>
  <c r="BO278" i="2"/>
  <c r="BM278" i="2"/>
  <c r="Y278" i="2"/>
  <c r="BN278" i="2" s="1"/>
  <c r="P278" i="2"/>
  <c r="BP277" i="2"/>
  <c r="BO277" i="2"/>
  <c r="BM277" i="2"/>
  <c r="Y277" i="2"/>
  <c r="P277" i="2"/>
  <c r="BO276" i="2"/>
  <c r="BN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Y281" i="2" s="1"/>
  <c r="P274" i="2"/>
  <c r="BO273" i="2"/>
  <c r="BN273" i="2"/>
  <c r="BM273" i="2"/>
  <c r="Y273" i="2"/>
  <c r="P273" i="2"/>
  <c r="BP272" i="2"/>
  <c r="BO272" i="2"/>
  <c r="BN272" i="2"/>
  <c r="BM272" i="2"/>
  <c r="Z272" i="2"/>
  <c r="Y272" i="2"/>
  <c r="P272" i="2"/>
  <c r="X270" i="2"/>
  <c r="X269" i="2"/>
  <c r="BO268" i="2"/>
  <c r="BM268" i="2"/>
  <c r="Y268" i="2"/>
  <c r="BN268" i="2" s="1"/>
  <c r="P268" i="2"/>
  <c r="BP267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N262" i="2"/>
  <c r="BM262" i="2"/>
  <c r="Y262" i="2"/>
  <c r="P262" i="2"/>
  <c r="X259" i="2"/>
  <c r="X258" i="2"/>
  <c r="BO257" i="2"/>
  <c r="BM257" i="2"/>
  <c r="Y257" i="2"/>
  <c r="P257" i="2"/>
  <c r="X255" i="2"/>
  <c r="X254" i="2"/>
  <c r="BP253" i="2"/>
  <c r="BO253" i="2"/>
  <c r="BM253" i="2"/>
  <c r="Y253" i="2"/>
  <c r="P253" i="2"/>
  <c r="BO252" i="2"/>
  <c r="BN252" i="2"/>
  <c r="BM252" i="2"/>
  <c r="Y252" i="2"/>
  <c r="BP252" i="2" s="1"/>
  <c r="P252" i="2"/>
  <c r="BO251" i="2"/>
  <c r="BM251" i="2"/>
  <c r="Y251" i="2"/>
  <c r="P251" i="2"/>
  <c r="X249" i="2"/>
  <c r="X248" i="2"/>
  <c r="BO247" i="2"/>
  <c r="BN247" i="2"/>
  <c r="BM247" i="2"/>
  <c r="Y247" i="2"/>
  <c r="BP247" i="2" s="1"/>
  <c r="P247" i="2"/>
  <c r="BO246" i="2"/>
  <c r="BM246" i="2"/>
  <c r="Z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P244" i="2"/>
  <c r="BO243" i="2"/>
  <c r="BN243" i="2"/>
  <c r="BM243" i="2"/>
  <c r="Y243" i="2"/>
  <c r="Z243" i="2" s="1"/>
  <c r="P243" i="2"/>
  <c r="BP242" i="2"/>
  <c r="BO242" i="2"/>
  <c r="BM242" i="2"/>
  <c r="Z242" i="2"/>
  <c r="Y242" i="2"/>
  <c r="BN242" i="2" s="1"/>
  <c r="P242" i="2"/>
  <c r="BO241" i="2"/>
  <c r="BM241" i="2"/>
  <c r="Y241" i="2"/>
  <c r="P241" i="2"/>
  <c r="BO240" i="2"/>
  <c r="BM240" i="2"/>
  <c r="Y240" i="2"/>
  <c r="BN240" i="2" s="1"/>
  <c r="P240" i="2"/>
  <c r="BO239" i="2"/>
  <c r="BN239" i="2"/>
  <c r="BM239" i="2"/>
  <c r="Y239" i="2"/>
  <c r="P239" i="2"/>
  <c r="X237" i="2"/>
  <c r="X236" i="2"/>
  <c r="BO235" i="2"/>
  <c r="BM235" i="2"/>
  <c r="Y235" i="2"/>
  <c r="BN235" i="2" s="1"/>
  <c r="P235" i="2"/>
  <c r="BO234" i="2"/>
  <c r="BM234" i="2"/>
  <c r="Y234" i="2"/>
  <c r="BP234" i="2" s="1"/>
  <c r="P234" i="2"/>
  <c r="BO233" i="2"/>
  <c r="BN233" i="2"/>
  <c r="BM233" i="2"/>
  <c r="Y233" i="2"/>
  <c r="Z233" i="2" s="1"/>
  <c r="P233" i="2"/>
  <c r="BO232" i="2"/>
  <c r="BM232" i="2"/>
  <c r="Z232" i="2"/>
  <c r="Y232" i="2"/>
  <c r="BN232" i="2" s="1"/>
  <c r="P232" i="2"/>
  <c r="BO231" i="2"/>
  <c r="BM231" i="2"/>
  <c r="Y231" i="2"/>
  <c r="BP231" i="2" s="1"/>
  <c r="P231" i="2"/>
  <c r="BO230" i="2"/>
  <c r="BN230" i="2"/>
  <c r="BM230" i="2"/>
  <c r="Y230" i="2"/>
  <c r="P230" i="2"/>
  <c r="BO229" i="2"/>
  <c r="BN229" i="2"/>
  <c r="BM229" i="2"/>
  <c r="Y229" i="2"/>
  <c r="BP229" i="2" s="1"/>
  <c r="P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BP226" i="2"/>
  <c r="BO226" i="2"/>
  <c r="BM226" i="2"/>
  <c r="Y226" i="2"/>
  <c r="BN226" i="2" s="1"/>
  <c r="P226" i="2"/>
  <c r="BO225" i="2"/>
  <c r="BM225" i="2"/>
  <c r="Y225" i="2"/>
  <c r="P225" i="2"/>
  <c r="BO224" i="2"/>
  <c r="BM224" i="2"/>
  <c r="Z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Z221" i="2" s="1"/>
  <c r="P221" i="2"/>
  <c r="X219" i="2"/>
  <c r="X218" i="2"/>
  <c r="BO217" i="2"/>
  <c r="BM217" i="2"/>
  <c r="Z217" i="2"/>
  <c r="Z218" i="2" s="1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N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N207" i="2" s="1"/>
  <c r="P207" i="2"/>
  <c r="BO206" i="2"/>
  <c r="BM206" i="2"/>
  <c r="Z206" i="2"/>
  <c r="Y206" i="2"/>
  <c r="BP206" i="2" s="1"/>
  <c r="P206" i="2"/>
  <c r="X202" i="2"/>
  <c r="X201" i="2"/>
  <c r="BO200" i="2"/>
  <c r="BM200" i="2"/>
  <c r="Y200" i="2"/>
  <c r="BP200" i="2" s="1"/>
  <c r="P200" i="2"/>
  <c r="X198" i="2"/>
  <c r="Y197" i="2"/>
  <c r="X197" i="2"/>
  <c r="BO196" i="2"/>
  <c r="BN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BN184" i="2" s="1"/>
  <c r="P184" i="2"/>
  <c r="BO183" i="2"/>
  <c r="BN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BN181" i="2" s="1"/>
  <c r="P181" i="2"/>
  <c r="BP180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X174" i="2"/>
  <c r="X173" i="2"/>
  <c r="BO172" i="2"/>
  <c r="BM172" i="2"/>
  <c r="Y172" i="2"/>
  <c r="P172" i="2"/>
  <c r="BP171" i="2"/>
  <c r="BO171" i="2"/>
  <c r="BM171" i="2"/>
  <c r="Y171" i="2"/>
  <c r="BN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BO165" i="2"/>
  <c r="BN165" i="2"/>
  <c r="BM165" i="2"/>
  <c r="Y165" i="2"/>
  <c r="BP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N153" i="2"/>
  <c r="BM153" i="2"/>
  <c r="Z153" i="2"/>
  <c r="Y153" i="2"/>
  <c r="BP153" i="2" s="1"/>
  <c r="P153" i="2"/>
  <c r="BO152" i="2"/>
  <c r="BM152" i="2"/>
  <c r="Y152" i="2"/>
  <c r="BP152" i="2" s="1"/>
  <c r="P152" i="2"/>
  <c r="BO151" i="2"/>
  <c r="BN151" i="2"/>
  <c r="BM151" i="2"/>
  <c r="Y151" i="2"/>
  <c r="BP151" i="2" s="1"/>
  <c r="P151" i="2"/>
  <c r="BO150" i="2"/>
  <c r="BM150" i="2"/>
  <c r="Y150" i="2"/>
  <c r="Z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Y144" i="2"/>
  <c r="Y146" i="2" s="1"/>
  <c r="P144" i="2"/>
  <c r="X142" i="2"/>
  <c r="X141" i="2"/>
  <c r="BP140" i="2"/>
  <c r="BO140" i="2"/>
  <c r="BN140" i="2"/>
  <c r="BM140" i="2"/>
  <c r="Z140" i="2"/>
  <c r="Y140" i="2"/>
  <c r="P140" i="2"/>
  <c r="BO139" i="2"/>
  <c r="BM139" i="2"/>
  <c r="Y139" i="2"/>
  <c r="Y141" i="2" s="1"/>
  <c r="P139" i="2"/>
  <c r="X137" i="2"/>
  <c r="X136" i="2"/>
  <c r="BO135" i="2"/>
  <c r="BN135" i="2"/>
  <c r="BM135" i="2"/>
  <c r="Y135" i="2"/>
  <c r="P135" i="2"/>
  <c r="BO134" i="2"/>
  <c r="BM134" i="2"/>
  <c r="Y134" i="2"/>
  <c r="Y137" i="2" s="1"/>
  <c r="P134" i="2"/>
  <c r="Y131" i="2"/>
  <c r="X131" i="2"/>
  <c r="Y130" i="2"/>
  <c r="X130" i="2"/>
  <c r="BP129" i="2"/>
  <c r="BO129" i="2"/>
  <c r="BN129" i="2"/>
  <c r="BM129" i="2"/>
  <c r="Z129" i="2"/>
  <c r="Z130" i="2" s="1"/>
  <c r="Y129" i="2"/>
  <c r="P129" i="2"/>
  <c r="X127" i="2"/>
  <c r="X126" i="2"/>
  <c r="BO125" i="2"/>
  <c r="BM125" i="2"/>
  <c r="Z125" i="2"/>
  <c r="Y125" i="2"/>
  <c r="BP125" i="2" s="1"/>
  <c r="P125" i="2"/>
  <c r="BO124" i="2"/>
  <c r="BM124" i="2"/>
  <c r="Y124" i="2"/>
  <c r="BN124" i="2" s="1"/>
  <c r="P124" i="2"/>
  <c r="BP123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P118" i="2"/>
  <c r="BO118" i="2"/>
  <c r="BN118" i="2"/>
  <c r="BM118" i="2"/>
  <c r="Z118" i="2"/>
  <c r="Y118" i="2"/>
  <c r="P118" i="2"/>
  <c r="BO117" i="2"/>
  <c r="BM117" i="2"/>
  <c r="Y117" i="2"/>
  <c r="Y119" i="2" s="1"/>
  <c r="P117" i="2"/>
  <c r="BP116" i="2"/>
  <c r="BO116" i="2"/>
  <c r="BN116" i="2"/>
  <c r="BM116" i="2"/>
  <c r="Z116" i="2"/>
  <c r="Y116" i="2"/>
  <c r="P116" i="2"/>
  <c r="X114" i="2"/>
  <c r="X113" i="2"/>
  <c r="BO112" i="2"/>
  <c r="BM112" i="2"/>
  <c r="Y112" i="2"/>
  <c r="Z112" i="2" s="1"/>
  <c r="P112" i="2"/>
  <c r="BO111" i="2"/>
  <c r="BN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BN107" i="2" s="1"/>
  <c r="P107" i="2"/>
  <c r="BP106" i="2"/>
  <c r="BO106" i="2"/>
  <c r="BN106" i="2"/>
  <c r="BM106" i="2"/>
  <c r="Z106" i="2"/>
  <c r="Y106" i="2"/>
  <c r="P106" i="2"/>
  <c r="BO105" i="2"/>
  <c r="BM105" i="2"/>
  <c r="Y105" i="2"/>
  <c r="BP105" i="2" s="1"/>
  <c r="P105" i="2"/>
  <c r="BP104" i="2"/>
  <c r="BO104" i="2"/>
  <c r="BM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Y98" i="2"/>
  <c r="P98" i="2"/>
  <c r="BO97" i="2"/>
  <c r="BM97" i="2"/>
  <c r="Y97" i="2"/>
  <c r="BN97" i="2" s="1"/>
  <c r="P97" i="2"/>
  <c r="BP96" i="2"/>
  <c r="BO96" i="2"/>
  <c r="BN96" i="2"/>
  <c r="BM96" i="2"/>
  <c r="Z96" i="2"/>
  <c r="Y96" i="2"/>
  <c r="P96" i="2"/>
  <c r="X94" i="2"/>
  <c r="X93" i="2"/>
  <c r="BO92" i="2"/>
  <c r="BM92" i="2"/>
  <c r="Y92" i="2"/>
  <c r="BN92" i="2" s="1"/>
  <c r="P92" i="2"/>
  <c r="BO91" i="2"/>
  <c r="BN91" i="2"/>
  <c r="BM91" i="2"/>
  <c r="Y91" i="2"/>
  <c r="Z91" i="2" s="1"/>
  <c r="P91" i="2"/>
  <c r="BO90" i="2"/>
  <c r="BM90" i="2"/>
  <c r="Y90" i="2"/>
  <c r="Z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N83" i="2"/>
  <c r="BM83" i="2"/>
  <c r="Y83" i="2"/>
  <c r="BP83" i="2" s="1"/>
  <c r="P83" i="2"/>
  <c r="BO82" i="2"/>
  <c r="BM82" i="2"/>
  <c r="Y82" i="2"/>
  <c r="BP82" i="2" s="1"/>
  <c r="P82" i="2"/>
  <c r="BO81" i="2"/>
  <c r="BM81" i="2"/>
  <c r="Y81" i="2"/>
  <c r="Y84" i="2" s="1"/>
  <c r="P81" i="2"/>
  <c r="X79" i="2"/>
  <c r="X78" i="2"/>
  <c r="BO77" i="2"/>
  <c r="BM77" i="2"/>
  <c r="Y77" i="2"/>
  <c r="BP77" i="2" s="1"/>
  <c r="P77" i="2"/>
  <c r="BO76" i="2"/>
  <c r="BM76" i="2"/>
  <c r="Y76" i="2"/>
  <c r="BN76" i="2" s="1"/>
  <c r="P76" i="2"/>
  <c r="X74" i="2"/>
  <c r="X73" i="2"/>
  <c r="BP72" i="2"/>
  <c r="BO72" i="2"/>
  <c r="BN72" i="2"/>
  <c r="BM72" i="2"/>
  <c r="Z72" i="2"/>
  <c r="Y72" i="2"/>
  <c r="P72" i="2"/>
  <c r="BO71" i="2"/>
  <c r="BM71" i="2"/>
  <c r="Y71" i="2"/>
  <c r="BP71" i="2" s="1"/>
  <c r="P71" i="2"/>
  <c r="BP70" i="2"/>
  <c r="BO70" i="2"/>
  <c r="BM70" i="2"/>
  <c r="Y70" i="2"/>
  <c r="BN70" i="2" s="1"/>
  <c r="P70" i="2"/>
  <c r="BO69" i="2"/>
  <c r="BM69" i="2"/>
  <c r="Y69" i="2"/>
  <c r="Z69" i="2" s="1"/>
  <c r="P69" i="2"/>
  <c r="BO68" i="2"/>
  <c r="BM68" i="2"/>
  <c r="Z68" i="2"/>
  <c r="Y68" i="2"/>
  <c r="BP68" i="2" s="1"/>
  <c r="P68" i="2"/>
  <c r="BO67" i="2"/>
  <c r="BM67" i="2"/>
  <c r="Y67" i="2"/>
  <c r="P67" i="2"/>
  <c r="X65" i="2"/>
  <c r="X64" i="2"/>
  <c r="BO63" i="2"/>
  <c r="BM63" i="2"/>
  <c r="Y63" i="2"/>
  <c r="BN63" i="2" s="1"/>
  <c r="P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Z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Y6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Z47" i="2"/>
  <c r="Y47" i="2"/>
  <c r="BP47" i="2" s="1"/>
  <c r="P47" i="2"/>
  <c r="X43" i="2"/>
  <c r="X42" i="2"/>
  <c r="BP41" i="2"/>
  <c r="BO41" i="2"/>
  <c r="BN41" i="2"/>
  <c r="BM41" i="2"/>
  <c r="Z41" i="2"/>
  <c r="Y41" i="2"/>
  <c r="P41" i="2"/>
  <c r="BO40" i="2"/>
  <c r="BM40" i="2"/>
  <c r="Y40" i="2"/>
  <c r="BP40" i="2" s="1"/>
  <c r="P40" i="2"/>
  <c r="BP39" i="2"/>
  <c r="BO39" i="2"/>
  <c r="BN39" i="2"/>
  <c r="BM39" i="2"/>
  <c r="Z39" i="2"/>
  <c r="Y39" i="2"/>
  <c r="P39" i="2"/>
  <c r="BO38" i="2"/>
  <c r="BM38" i="2"/>
  <c r="Y38" i="2"/>
  <c r="BP38" i="2" s="1"/>
  <c r="P38" i="2"/>
  <c r="BP37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P30" i="2"/>
  <c r="BP29" i="2"/>
  <c r="BO29" i="2"/>
  <c r="BN29" i="2"/>
  <c r="BM29" i="2"/>
  <c r="Z29" i="2"/>
  <c r="Y29" i="2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X25" i="2"/>
  <c r="X560" i="2" s="1"/>
  <c r="X24" i="2"/>
  <c r="X564" i="2" s="1"/>
  <c r="BO23" i="2"/>
  <c r="BN23" i="2"/>
  <c r="BM23" i="2"/>
  <c r="Y23" i="2"/>
  <c r="P23" i="2"/>
  <c r="BO22" i="2"/>
  <c r="X562" i="2" s="1"/>
  <c r="BM22" i="2"/>
  <c r="Y22" i="2"/>
  <c r="Y25" i="2" s="1"/>
  <c r="P22" i="2"/>
  <c r="H10" i="2"/>
  <c r="A9" i="2"/>
  <c r="F10" i="2" s="1"/>
  <c r="D7" i="2"/>
  <c r="Q6" i="2"/>
  <c r="P2" i="2"/>
  <c r="BN22" i="2" l="1"/>
  <c r="Y24" i="2"/>
  <c r="BP23" i="2"/>
  <c r="Z28" i="2"/>
  <c r="BP28" i="2"/>
  <c r="C570" i="2"/>
  <c r="BN40" i="2"/>
  <c r="BN55" i="2"/>
  <c r="BP59" i="2"/>
  <c r="Z61" i="2"/>
  <c r="Z63" i="2"/>
  <c r="BP63" i="2"/>
  <c r="Y74" i="2"/>
  <c r="BP69" i="2"/>
  <c r="Z71" i="2"/>
  <c r="Z82" i="2"/>
  <c r="F570" i="2"/>
  <c r="BP89" i="2"/>
  <c r="BN90" i="2"/>
  <c r="BP91" i="2"/>
  <c r="Z97" i="2"/>
  <c r="BP97" i="2"/>
  <c r="Z105" i="2"/>
  <c r="Z107" i="2"/>
  <c r="BP107" i="2"/>
  <c r="BN110" i="2"/>
  <c r="BP111" i="2"/>
  <c r="BN112" i="2"/>
  <c r="BN117" i="2"/>
  <c r="Z122" i="2"/>
  <c r="BP124" i="2"/>
  <c r="Y127" i="2"/>
  <c r="Z139" i="2"/>
  <c r="Z141" i="2" s="1"/>
  <c r="BP139" i="2"/>
  <c r="BN152" i="2"/>
  <c r="Z165" i="2"/>
  <c r="Y174" i="2"/>
  <c r="Z179" i="2"/>
  <c r="Z183" i="2"/>
  <c r="BP191" i="2"/>
  <c r="Y214" i="2"/>
  <c r="BP211" i="2"/>
  <c r="Z211" i="2"/>
  <c r="BP217" i="2"/>
  <c r="Y219" i="2"/>
  <c r="BP232" i="2"/>
  <c r="Z240" i="2"/>
  <c r="Z244" i="2"/>
  <c r="BN244" i="2"/>
  <c r="BP273" i="2"/>
  <c r="Z273" i="2"/>
  <c r="Z277" i="2"/>
  <c r="BN277" i="2"/>
  <c r="Q570" i="2"/>
  <c r="BP337" i="2"/>
  <c r="Z337" i="2"/>
  <c r="BP345" i="2"/>
  <c r="Z371" i="2"/>
  <c r="BN371" i="2"/>
  <c r="Z376" i="2"/>
  <c r="BN376" i="2"/>
  <c r="BN437" i="2"/>
  <c r="Y440" i="2"/>
  <c r="BP437" i="2"/>
  <c r="Z437" i="2"/>
  <c r="Z526" i="2"/>
  <c r="BN526" i="2"/>
  <c r="Y32" i="2"/>
  <c r="Y120" i="2"/>
  <c r="BP134" i="2"/>
  <c r="Z190" i="2"/>
  <c r="BP190" i="2"/>
  <c r="Z200" i="2"/>
  <c r="Z201" i="2" s="1"/>
  <c r="Y201" i="2"/>
  <c r="BN200" i="2"/>
  <c r="Z212" i="2"/>
  <c r="BN212" i="2"/>
  <c r="BP257" i="2"/>
  <c r="Y259" i="2"/>
  <c r="Z257" i="2"/>
  <c r="Z258" i="2" s="1"/>
  <c r="BP275" i="2"/>
  <c r="BP285" i="2"/>
  <c r="Z285" i="2"/>
  <c r="BP290" i="2"/>
  <c r="BN290" i="2"/>
  <c r="BP322" i="2"/>
  <c r="Y324" i="2"/>
  <c r="P570" i="2"/>
  <c r="BP327" i="2"/>
  <c r="Z327" i="2"/>
  <c r="Z331" i="2"/>
  <c r="BN331" i="2"/>
  <c r="BP338" i="2"/>
  <c r="BN392" i="2"/>
  <c r="BP392" i="2"/>
  <c r="Z392" i="2"/>
  <c r="Z481" i="2"/>
  <c r="BN481" i="2"/>
  <c r="Z497" i="2"/>
  <c r="BN497" i="2"/>
  <c r="BP517" i="2"/>
  <c r="Z517" i="2"/>
  <c r="BP551" i="2"/>
  <c r="Y554" i="2"/>
  <c r="BP22" i="2"/>
  <c r="Z31" i="2"/>
  <c r="Z38" i="2"/>
  <c r="Z40" i="2"/>
  <c r="BP48" i="2"/>
  <c r="Z50" i="2"/>
  <c r="Z55" i="2"/>
  <c r="BP55" i="2"/>
  <c r="Y85" i="2"/>
  <c r="BP90" i="2"/>
  <c r="Y100" i="2"/>
  <c r="BP99" i="2"/>
  <c r="Y114" i="2"/>
  <c r="Z110" i="2"/>
  <c r="BP112" i="2"/>
  <c r="Z117" i="2"/>
  <c r="BP117" i="2"/>
  <c r="BN139" i="2"/>
  <c r="Y142" i="2"/>
  <c r="Z152" i="2"/>
  <c r="J570" i="2"/>
  <c r="BP164" i="2"/>
  <c r="Z164" i="2"/>
  <c r="Y168" i="2"/>
  <c r="BP167" i="2"/>
  <c r="BP176" i="2"/>
  <c r="Z176" i="2"/>
  <c r="BP184" i="2"/>
  <c r="BP207" i="2"/>
  <c r="BN211" i="2"/>
  <c r="Z225" i="2"/>
  <c r="BP225" i="2"/>
  <c r="BP239" i="2"/>
  <c r="Z239" i="2"/>
  <c r="Z253" i="2"/>
  <c r="BN253" i="2"/>
  <c r="Z267" i="2"/>
  <c r="Y269" i="2"/>
  <c r="BN267" i="2"/>
  <c r="Z275" i="2"/>
  <c r="Z286" i="2"/>
  <c r="BN286" i="2"/>
  <c r="BP292" i="2"/>
  <c r="BN298" i="2"/>
  <c r="Y300" i="2"/>
  <c r="BP299" i="2"/>
  <c r="Z299" i="2"/>
  <c r="Y312" i="2"/>
  <c r="BP306" i="2"/>
  <c r="Z306" i="2"/>
  <c r="Z310" i="2"/>
  <c r="Z322" i="2"/>
  <c r="Z323" i="2" s="1"/>
  <c r="Y323" i="2"/>
  <c r="BP329" i="2"/>
  <c r="BN337" i="2"/>
  <c r="Z338" i="2"/>
  <c r="S570" i="2"/>
  <c r="Z358" i="2"/>
  <c r="Z367" i="2"/>
  <c r="BN367" i="2"/>
  <c r="Z387" i="2"/>
  <c r="BN387" i="2"/>
  <c r="BN399" i="2"/>
  <c r="BP399" i="2"/>
  <c r="BN445" i="2"/>
  <c r="BP445" i="2"/>
  <c r="BP507" i="2"/>
  <c r="Z507" i="2"/>
  <c r="Z524" i="2"/>
  <c r="BN524" i="2"/>
  <c r="Y531" i="2"/>
  <c r="J9" i="2"/>
  <c r="X561" i="2"/>
  <c r="Y42" i="2"/>
  <c r="Y52" i="2"/>
  <c r="Z119" i="2"/>
  <c r="BN134" i="2"/>
  <c r="Y136" i="2"/>
  <c r="BP135" i="2"/>
  <c r="I570" i="2"/>
  <c r="Z167" i="2"/>
  <c r="BP172" i="2"/>
  <c r="Z172" i="2"/>
  <c r="Z182" i="2"/>
  <c r="Z184" i="2"/>
  <c r="Y194" i="2"/>
  <c r="Y202" i="2"/>
  <c r="Z207" i="2"/>
  <c r="Y237" i="2"/>
  <c r="BN221" i="2"/>
  <c r="BP221" i="2"/>
  <c r="BP230" i="2"/>
  <c r="Z230" i="2"/>
  <c r="Z234" i="2"/>
  <c r="BN234" i="2"/>
  <c r="BP240" i="2"/>
  <c r="BP244" i="2"/>
  <c r="BP262" i="2"/>
  <c r="Z262" i="2"/>
  <c r="BN285" i="2"/>
  <c r="Z292" i="2"/>
  <c r="Y301" i="2"/>
  <c r="Z307" i="2"/>
  <c r="BN307" i="2"/>
  <c r="BN327" i="2"/>
  <c r="Y382" i="2"/>
  <c r="BP375" i="2"/>
  <c r="Z375" i="2"/>
  <c r="Y383" i="2"/>
  <c r="BP380" i="2"/>
  <c r="BN380" i="2"/>
  <c r="U570" i="2"/>
  <c r="Y421" i="2"/>
  <c r="BN418" i="2"/>
  <c r="Y420" i="2"/>
  <c r="BP418" i="2"/>
  <c r="Z418" i="2"/>
  <c r="Z420" i="2" s="1"/>
  <c r="Z472" i="2"/>
  <c r="BN472" i="2"/>
  <c r="Z479" i="2"/>
  <c r="BN479" i="2"/>
  <c r="BP510" i="2"/>
  <c r="BN510" i="2"/>
  <c r="BP455" i="2"/>
  <c r="Y570" i="2"/>
  <c r="AA570" i="2"/>
  <c r="BP505" i="2"/>
  <c r="Y514" i="2"/>
  <c r="BP243" i="2"/>
  <c r="Y255" i="2"/>
  <c r="BP287" i="2"/>
  <c r="BP291" i="2"/>
  <c r="BP308" i="2"/>
  <c r="BP366" i="2"/>
  <c r="BP377" i="2"/>
  <c r="BP381" i="2"/>
  <c r="BP386" i="2"/>
  <c r="Y396" i="2"/>
  <c r="Z400" i="2"/>
  <c r="Z411" i="2"/>
  <c r="Y415" i="2"/>
  <c r="Z424" i="2"/>
  <c r="Z426" i="2"/>
  <c r="W570" i="2"/>
  <c r="Z450" i="2"/>
  <c r="X570" i="2"/>
  <c r="Z462" i="2"/>
  <c r="Y464" i="2"/>
  <c r="Z478" i="2"/>
  <c r="BP478" i="2"/>
  <c r="BP480" i="2"/>
  <c r="Z482" i="2"/>
  <c r="Y484" i="2"/>
  <c r="Z488" i="2"/>
  <c r="Z570" i="2"/>
  <c r="BP509" i="2"/>
  <c r="BP523" i="2"/>
  <c r="BP525" i="2"/>
  <c r="Z527" i="2"/>
  <c r="BP529" i="2"/>
  <c r="Z547" i="2"/>
  <c r="Z548" i="2" s="1"/>
  <c r="Y160" i="2"/>
  <c r="Z192" i="2"/>
  <c r="Z196" i="2"/>
  <c r="Z197" i="2" s="1"/>
  <c r="BP196" i="2"/>
  <c r="Z209" i="2"/>
  <c r="Z227" i="2"/>
  <c r="Z229" i="2"/>
  <c r="BP233" i="2"/>
  <c r="Y248" i="2"/>
  <c r="Z252" i="2"/>
  <c r="BP276" i="2"/>
  <c r="Z283" i="2"/>
  <c r="Z304" i="2"/>
  <c r="BP330" i="2"/>
  <c r="Y341" i="2"/>
  <c r="Z346" i="2"/>
  <c r="Z348" i="2"/>
  <c r="BP360" i="2"/>
  <c r="T570" i="2"/>
  <c r="Z369" i="2"/>
  <c r="Y373" i="2"/>
  <c r="Y390" i="2"/>
  <c r="Z401" i="2"/>
  <c r="BP413" i="2"/>
  <c r="BP419" i="2"/>
  <c r="Z425" i="2"/>
  <c r="Z439" i="2"/>
  <c r="BP449" i="2"/>
  <c r="BN455" i="2"/>
  <c r="Z461" i="2"/>
  <c r="Z463" i="2" s="1"/>
  <c r="BP461" i="2"/>
  <c r="Z470" i="2"/>
  <c r="Y474" i="2"/>
  <c r="BN505" i="2"/>
  <c r="BN508" i="2"/>
  <c r="BN512" i="2"/>
  <c r="BN518" i="2"/>
  <c r="BP535" i="2"/>
  <c r="Y545" i="2"/>
  <c r="X563" i="2"/>
  <c r="BN222" i="2"/>
  <c r="BP76" i="2"/>
  <c r="BP222" i="2"/>
  <c r="Z22" i="2"/>
  <c r="BN48" i="2"/>
  <c r="Y51" i="2"/>
  <c r="BN59" i="2"/>
  <c r="BN69" i="2"/>
  <c r="BP81" i="2"/>
  <c r="BP92" i="2"/>
  <c r="BN123" i="2"/>
  <c r="Y126" i="2"/>
  <c r="Z134" i="2"/>
  <c r="Y147" i="2"/>
  <c r="BP159" i="2"/>
  <c r="Y173" i="2"/>
  <c r="BN180" i="2"/>
  <c r="BN190" i="2"/>
  <c r="Y193" i="2"/>
  <c r="Y218" i="2"/>
  <c r="BN225" i="2"/>
  <c r="BP235" i="2"/>
  <c r="BP245" i="2"/>
  <c r="Y258" i="2"/>
  <c r="BP268" i="2"/>
  <c r="BP278" i="2"/>
  <c r="BP288" i="2"/>
  <c r="BP298" i="2"/>
  <c r="BP309" i="2"/>
  <c r="Y320" i="2"/>
  <c r="BP332" i="2"/>
  <c r="BN344" i="2"/>
  <c r="Y355" i="2"/>
  <c r="BP368" i="2"/>
  <c r="BP378" i="2"/>
  <c r="BP388" i="2"/>
  <c r="BN398" i="2"/>
  <c r="Y409" i="2"/>
  <c r="BN434" i="2"/>
  <c r="BN444" i="2"/>
  <c r="BP456" i="2"/>
  <c r="Y468" i="2"/>
  <c r="BP481" i="2"/>
  <c r="BP506" i="2"/>
  <c r="Y515" i="2"/>
  <c r="BP526" i="2"/>
  <c r="Y553" i="2"/>
  <c r="K570" i="2"/>
  <c r="Y249" i="2"/>
  <c r="Y264" i="2"/>
  <c r="Y452" i="2"/>
  <c r="Y485" i="2"/>
  <c r="Y500" i="2"/>
  <c r="BN519" i="2"/>
  <c r="BN529" i="2"/>
  <c r="BN543" i="2"/>
  <c r="L570" i="2"/>
  <c r="Y33" i="2"/>
  <c r="Z57" i="2"/>
  <c r="Z67" i="2"/>
  <c r="Z77" i="2"/>
  <c r="Y93" i="2"/>
  <c r="Y101" i="2"/>
  <c r="Z144" i="2"/>
  <c r="Z146" i="2" s="1"/>
  <c r="Z155" i="2"/>
  <c r="Y169" i="2"/>
  <c r="Z178" i="2"/>
  <c r="Z223" i="2"/>
  <c r="Y236" i="2"/>
  <c r="Z294" i="2"/>
  <c r="Y333" i="2"/>
  <c r="BP344" i="2"/>
  <c r="Z352" i="2"/>
  <c r="Y389" i="2"/>
  <c r="BP398" i="2"/>
  <c r="Z406" i="2"/>
  <c r="Z432" i="2"/>
  <c r="BP434" i="2"/>
  <c r="BP444" i="2"/>
  <c r="Y457" i="2"/>
  <c r="Y490" i="2"/>
  <c r="Z512" i="2"/>
  <c r="Y537" i="2"/>
  <c r="Y549" i="2"/>
  <c r="M570" i="2"/>
  <c r="O570" i="2"/>
  <c r="Z30" i="2"/>
  <c r="Z32" i="2" s="1"/>
  <c r="BN57" i="2"/>
  <c r="BN67" i="2"/>
  <c r="BN77" i="2"/>
  <c r="Z88" i="2"/>
  <c r="Z98" i="2"/>
  <c r="Z100" i="2" s="1"/>
  <c r="Z109" i="2"/>
  <c r="BN144" i="2"/>
  <c r="BN155" i="2"/>
  <c r="Z166" i="2"/>
  <c r="Z168" i="2" s="1"/>
  <c r="BN178" i="2"/>
  <c r="Z186" i="2"/>
  <c r="Z210" i="2"/>
  <c r="Z213" i="2" s="1"/>
  <c r="BN223" i="2"/>
  <c r="Z231" i="2"/>
  <c r="Z241" i="2"/>
  <c r="Z251" i="2"/>
  <c r="Z254" i="2" s="1"/>
  <c r="Y265" i="2"/>
  <c r="Z274" i="2"/>
  <c r="Z284" i="2"/>
  <c r="BN294" i="2"/>
  <c r="Z305" i="2"/>
  <c r="Z328" i="2"/>
  <c r="Z339" i="2"/>
  <c r="Z340" i="2" s="1"/>
  <c r="BN352" i="2"/>
  <c r="Z394" i="2"/>
  <c r="Z395" i="2" s="1"/>
  <c r="BN406" i="2"/>
  <c r="BN432" i="2"/>
  <c r="Y453" i="2"/>
  <c r="Z487" i="2"/>
  <c r="Z489" i="2" s="1"/>
  <c r="Y501" i="2"/>
  <c r="Z37" i="2"/>
  <c r="Z42" i="2" s="1"/>
  <c r="Z49" i="2"/>
  <c r="Z51" i="2" s="1"/>
  <c r="Z60" i="2"/>
  <c r="Z70" i="2"/>
  <c r="BN82" i="2"/>
  <c r="Y94" i="2"/>
  <c r="Z104" i="2"/>
  <c r="Z124" i="2"/>
  <c r="Z126" i="2" s="1"/>
  <c r="BN150" i="2"/>
  <c r="Y161" i="2"/>
  <c r="Z171" i="2"/>
  <c r="Z173" i="2" s="1"/>
  <c r="Z181" i="2"/>
  <c r="Z191" i="2"/>
  <c r="Z193" i="2" s="1"/>
  <c r="Z226" i="2"/>
  <c r="BN246" i="2"/>
  <c r="Y270" i="2"/>
  <c r="BN279" i="2"/>
  <c r="BN289" i="2"/>
  <c r="BN299" i="2"/>
  <c r="BN310" i="2"/>
  <c r="BN322" i="2"/>
  <c r="Y334" i="2"/>
  <c r="Z345" i="2"/>
  <c r="BN358" i="2"/>
  <c r="Y361" i="2"/>
  <c r="BN369" i="2"/>
  <c r="Y372" i="2"/>
  <c r="BN379" i="2"/>
  <c r="Z399" i="2"/>
  <c r="Z402" i="2" s="1"/>
  <c r="BN411" i="2"/>
  <c r="Y414" i="2"/>
  <c r="Z435" i="2"/>
  <c r="Z445" i="2"/>
  <c r="Y458" i="2"/>
  <c r="BN470" i="2"/>
  <c r="Y473" i="2"/>
  <c r="BN482" i="2"/>
  <c r="Z493" i="2"/>
  <c r="Z494" i="2" s="1"/>
  <c r="BN507" i="2"/>
  <c r="BN517" i="2"/>
  <c r="Y520" i="2"/>
  <c r="BN527" i="2"/>
  <c r="Y530" i="2"/>
  <c r="Z539" i="2"/>
  <c r="Z540" i="2" s="1"/>
  <c r="Y544" i="2"/>
  <c r="Z551" i="2"/>
  <c r="BN109" i="2"/>
  <c r="BP144" i="2"/>
  <c r="BN210" i="2"/>
  <c r="Y213" i="2"/>
  <c r="BN231" i="2"/>
  <c r="BN241" i="2"/>
  <c r="BN251" i="2"/>
  <c r="Y254" i="2"/>
  <c r="BN274" i="2"/>
  <c r="BN284" i="2"/>
  <c r="BN305" i="2"/>
  <c r="BN328" i="2"/>
  <c r="BN339" i="2"/>
  <c r="BP352" i="2"/>
  <c r="BN394" i="2"/>
  <c r="BP432" i="2"/>
  <c r="Y441" i="2"/>
  <c r="BN487" i="2"/>
  <c r="Z498" i="2"/>
  <c r="Z510" i="2"/>
  <c r="Z557" i="2"/>
  <c r="Z558" i="2" s="1"/>
  <c r="R570" i="2"/>
  <c r="BN30" i="2"/>
  <c r="Y43" i="2"/>
  <c r="BP67" i="2"/>
  <c r="BN88" i="2"/>
  <c r="BN98" i="2"/>
  <c r="BN166" i="2"/>
  <c r="BN186" i="2"/>
  <c r="Z23" i="2"/>
  <c r="BN37" i="2"/>
  <c r="Y73" i="2"/>
  <c r="BN104" i="2"/>
  <c r="Z135" i="2"/>
  <c r="BP150" i="2"/>
  <c r="BP358" i="2"/>
  <c r="Y402" i="2"/>
  <c r="BN493" i="2"/>
  <c r="Z505" i="2"/>
  <c r="BN539" i="2"/>
  <c r="BN551" i="2"/>
  <c r="BP30" i="2"/>
  <c r="Y78" i="2"/>
  <c r="BP88" i="2"/>
  <c r="BP98" i="2"/>
  <c r="Y156" i="2"/>
  <c r="BP166" i="2"/>
  <c r="BP210" i="2"/>
  <c r="BP241" i="2"/>
  <c r="BP251" i="2"/>
  <c r="BP274" i="2"/>
  <c r="BP284" i="2"/>
  <c r="Y295" i="2"/>
  <c r="BP305" i="2"/>
  <c r="BP339" i="2"/>
  <c r="Y362" i="2"/>
  <c r="BP394" i="2"/>
  <c r="BP487" i="2"/>
  <c r="BN557" i="2"/>
  <c r="Y280" i="2"/>
  <c r="Y311" i="2"/>
  <c r="Z318" i="2"/>
  <c r="Z319" i="2" s="1"/>
  <c r="Z353" i="2"/>
  <c r="Z407" i="2"/>
  <c r="Z433" i="2"/>
  <c r="Z443" i="2"/>
  <c r="Z446" i="2" s="1"/>
  <c r="Z466" i="2"/>
  <c r="Z467" i="2" s="1"/>
  <c r="BP493" i="2"/>
  <c r="Z513" i="2"/>
  <c r="BP539" i="2"/>
  <c r="B570" i="2"/>
  <c r="F9" i="2"/>
  <c r="Z83" i="2"/>
  <c r="Z151" i="2"/>
  <c r="Y187" i="2"/>
  <c r="Z247" i="2"/>
  <c r="Z290" i="2"/>
  <c r="Y340" i="2"/>
  <c r="Z359" i="2"/>
  <c r="Z361" i="2" s="1"/>
  <c r="Z370" i="2"/>
  <c r="Z380" i="2"/>
  <c r="Y395" i="2"/>
  <c r="Y403" i="2"/>
  <c r="Z412" i="2"/>
  <c r="Z414" i="2" s="1"/>
  <c r="Z471" i="2"/>
  <c r="Z473" i="2" s="1"/>
  <c r="Z483" i="2"/>
  <c r="Z484" i="2" s="1"/>
  <c r="Z508" i="2"/>
  <c r="Z518" i="2"/>
  <c r="Z520" i="2" s="1"/>
  <c r="Z528" i="2"/>
  <c r="Z530" i="2" s="1"/>
  <c r="BP557" i="2"/>
  <c r="V570" i="2"/>
  <c r="H9" i="2"/>
  <c r="BN47" i="2"/>
  <c r="BN58" i="2"/>
  <c r="BN68" i="2"/>
  <c r="Y79" i="2"/>
  <c r="BN122" i="2"/>
  <c r="BN145" i="2"/>
  <c r="Y157" i="2"/>
  <c r="BN179" i="2"/>
  <c r="BN224" i="2"/>
  <c r="BN318" i="2"/>
  <c r="BN353" i="2"/>
  <c r="BN407" i="2"/>
  <c r="BN433" i="2"/>
  <c r="BN443" i="2"/>
  <c r="Y446" i="2"/>
  <c r="BN466" i="2"/>
  <c r="Y494" i="2"/>
  <c r="BN513" i="2"/>
  <c r="Y540" i="2"/>
  <c r="D570" i="2"/>
  <c r="Z552" i="2"/>
  <c r="Y558" i="2"/>
  <c r="E570" i="2"/>
  <c r="Y113" i="2"/>
  <c r="Z293" i="2"/>
  <c r="BP318" i="2"/>
  <c r="Z405" i="2"/>
  <c r="Z408" i="2" s="1"/>
  <c r="BP443" i="2"/>
  <c r="Z451" i="2"/>
  <c r="Z452" i="2" s="1"/>
  <c r="BP466" i="2"/>
  <c r="Z499" i="2"/>
  <c r="Z511" i="2"/>
  <c r="BN535" i="2"/>
  <c r="BN547" i="2"/>
  <c r="A10" i="2"/>
  <c r="BN31" i="2"/>
  <c r="Z56" i="2"/>
  <c r="Z64" i="2" s="1"/>
  <c r="Z76" i="2"/>
  <c r="Z78" i="2" s="1"/>
  <c r="Z154" i="2"/>
  <c r="Z177" i="2"/>
  <c r="Y188" i="2"/>
  <c r="Z263" i="2"/>
  <c r="Z264" i="2" s="1"/>
  <c r="BN38" i="2"/>
  <c r="BN50" i="2"/>
  <c r="BN61" i="2"/>
  <c r="Y64" i="2"/>
  <c r="BN71" i="2"/>
  <c r="Z81" i="2"/>
  <c r="Z92" i="2"/>
  <c r="BN105" i="2"/>
  <c r="BN125" i="2"/>
  <c r="Z159" i="2"/>
  <c r="Z160" i="2" s="1"/>
  <c r="BN172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Y349" i="2"/>
  <c r="Z368" i="2"/>
  <c r="Z372" i="2" s="1"/>
  <c r="Z378" i="2"/>
  <c r="Z382" i="2" s="1"/>
  <c r="Z388" i="2"/>
  <c r="Z389" i="2" s="1"/>
  <c r="BN400" i="2"/>
  <c r="BN424" i="2"/>
  <c r="Y427" i="2"/>
  <c r="BN436" i="2"/>
  <c r="BP483" i="2"/>
  <c r="Y495" i="2"/>
  <c r="BP508" i="2"/>
  <c r="BN552" i="2"/>
  <c r="G570" i="2"/>
  <c r="BN263" i="2"/>
  <c r="BN293" i="2"/>
  <c r="BN405" i="2"/>
  <c r="Y408" i="2"/>
  <c r="BN451" i="2"/>
  <c r="BN499" i="2"/>
  <c r="BN511" i="2"/>
  <c r="BP547" i="2"/>
  <c r="Y559" i="2"/>
  <c r="H570" i="2"/>
  <c r="BN56" i="2"/>
  <c r="BN154" i="2"/>
  <c r="BN177" i="2"/>
  <c r="BN81" i="2"/>
  <c r="Z344" i="2"/>
  <c r="BP424" i="2"/>
  <c r="AB570" i="2"/>
  <c r="Z113" i="2" l="1"/>
  <c r="Z311" i="2"/>
  <c r="Z236" i="2"/>
  <c r="Z553" i="2"/>
  <c r="Y560" i="2"/>
  <c r="Z93" i="2"/>
  <c r="Y562" i="2"/>
  <c r="Y561" i="2"/>
  <c r="Z500" i="2"/>
  <c r="Z295" i="2"/>
  <c r="Z248" i="2"/>
  <c r="Z427" i="2"/>
  <c r="Y564" i="2"/>
  <c r="Z156" i="2"/>
  <c r="Z333" i="2"/>
  <c r="Z280" i="2"/>
  <c r="Z354" i="2"/>
  <c r="Z136" i="2"/>
  <c r="Z84" i="2"/>
  <c r="Z187" i="2"/>
  <c r="Z73" i="2"/>
  <c r="Z349" i="2"/>
  <c r="Z440" i="2"/>
  <c r="Z514" i="2"/>
  <c r="Z24" i="2"/>
  <c r="Y563" i="2" l="1"/>
  <c r="Z565" i="2"/>
</calcChain>
</file>

<file path=xl/sharedStrings.xml><?xml version="1.0" encoding="utf-8"?>
<sst xmlns="http://schemas.openxmlformats.org/spreadsheetml/2006/main" count="4307" uniqueCount="898">
  <si>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</si>
  <si>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</si>
  <si>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</si>
  <si>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</si>
  <si>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</si>
  <si>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</si>
  <si>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</si>
  <si>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</si>
  <si>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</si>
  <si>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</si>
  <si>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</si>
  <si>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</si>
  <si>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</si>
  <si>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</si>
  <si>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</si>
  <si>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</si>
  <si>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</si>
  <si>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</si>
  <si>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</si>
  <si>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</si>
  <si>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</si>
  <si>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</si>
  <si>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</si>
  <si>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</si>
  <si>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</si>
  <si>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</si>
  <si>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</si>
  <si>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</si>
  <si>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</si>
  <si>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</si>
  <si>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</si>
  <si>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</si>
  <si>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</si>
  <si>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</si>
  <si>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</si>
  <si>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</si>
  <si>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</si>
  <si>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</si>
  <si>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</si>
  <si>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</si>
  <si>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</si>
  <si>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</si>
  <si>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</si>
  <si>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</si>
  <si>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</si>
  <si>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</si>
  <si>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</si>
  <si>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</si>
  <si>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</si>
  <si>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</si>
  <si>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</si>
  <si>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</si>
  <si>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</si>
  <si>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</si>
  <si>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</si>
  <si>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</si>
  <si>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</si>
  <si>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</si>
  <si>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</si>
  <si>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</si>
  <si>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</si>
  <si>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</si>
  <si>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</si>
  <si>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</si>
  <si>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</si>
  <si>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</si>
  <si>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</si>
  <si>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</si>
  <si>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</si>
  <si>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</si>
  <si>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</si>
  <si>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</si>
  <si>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</si>
  <si>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</si>
  <si>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</si>
  <si>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</si>
  <si>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</si>
  <si>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</si>
  <si>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</si>
  <si>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</si>
  <si>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</si>
  <si>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</si>
  <si>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</si>
  <si>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</si>
  <si>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</si>
  <si>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</si>
  <si>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</si>
  <si>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</si>
  <si>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</si>
  <si>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</si>
  <si>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</si>
  <si>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</si>
  <si>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</si>
  <si>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</si>
  <si>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</si>
  <si>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</si>
  <si>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</si>
  <si>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</si>
  <si>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</si>
  <si>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</si>
  <si>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</si>
  <si>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</si>
  <si>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</si>
  <si>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</si>
  <si>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</si>
  <si>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</si>
  <si>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</si>
  <si>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</si>
  <si>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</si>
  <si>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</si>
  <si>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</si>
  <si>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</si>
  <si>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</si>
  <si>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</si>
  <si>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</si>
  <si>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</si>
  <si>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</si>
  <si>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</si>
  <si>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</si>
  <si>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</si>
  <si>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</si>
  <si>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</si>
  <si>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</si>
  <si>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</si>
  <si>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</si>
  <si>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</si>
  <si>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</si>
  <si>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</si>
  <si>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</si>
  <si>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</si>
  <si>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</si>
  <si>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</si>
  <si>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</si>
  <si>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</si>
  <si>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</si>
  <si>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</si>
  <si>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</si>
  <si>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</si>
  <si>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</si>
  <si>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</si>
  <si>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</si>
  <si>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</si>
  <si>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</si>
  <si>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</si>
  <si>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</si>
  <si>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</si>
  <si>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</si>
  <si>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</si>
  <si>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</si>
  <si>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</si>
  <si>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</si>
  <si>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</si>
  <si>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</si>
  <si>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</si>
  <si>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</si>
  <si>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</si>
  <si>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</si>
  <si>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</si>
  <si>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</si>
  <si>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</si>
  <si>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</si>
  <si>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</si>
  <si>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</si>
  <si>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</si>
  <si>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</si>
  <si>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</si>
  <si>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</si>
  <si>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</si>
  <si>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</si>
  <si>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</si>
  <si>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</si>
  <si>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</si>
  <si>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</si>
  <si>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</si>
  <si>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</si>
  <si>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</si>
  <si>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</si>
  <si>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</si>
  <si>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</si>
  <si>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</si>
  <si>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</si>
  <si>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</si>
  <si>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</si>
  <si>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</si>
  <si>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</si>
  <si>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</si>
  <si>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</si>
  <si>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</si>
  <si>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</si>
  <si>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</si>
  <si>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</si>
  <si>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</si>
  <si>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</si>
  <si>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</si>
  <si>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</si>
  <si>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</si>
  <si>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</si>
  <si>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</si>
  <si>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</si>
  <si>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</si>
  <si>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</si>
  <si>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</si>
  <si>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</si>
  <si>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</si>
  <si>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</si>
  <si>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</si>
  <si>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</si>
  <si>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</si>
  <si>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</si>
  <si>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</si>
  <si>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</si>
  <si>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</si>
  <si>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</si>
  <si>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</si>
  <si>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</si>
  <si>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</si>
  <si>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</si>
  <si>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</si>
  <si>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</si>
  <si>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</si>
  <si>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</si>
  <si>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</si>
  <si>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</si>
  <si>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</si>
  <si>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</si>
  <si>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</si>
  <si>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</si>
  <si>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</si>
  <si>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</si>
  <si>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</si>
  <si>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</si>
  <si>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</si>
  <si>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</si>
  <si>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</si>
  <si>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</si>
  <si>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</si>
  <si>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</si>
  <si>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</si>
  <si>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</si>
  <si>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</si>
  <si>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</si>
  <si>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</si>
  <si>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</si>
  <si>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</si>
  <si>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</si>
  <si>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</si>
  <si>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</si>
  <si>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</si>
  <si>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</si>
  <si>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</si>
  <si>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</si>
  <si>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</si>
  <si>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</si>
  <si>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</si>
  <si>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</si>
  <si>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</si>
  <si>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</si>
  <si>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</si>
  <si>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</si>
  <si>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</si>
  <si>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</si>
  <si>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</si>
  <si>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</si>
  <si>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</si>
  <si>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</si>
  <si>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</si>
  <si>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</si>
  <si>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</si>
  <si>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</si>
  <si>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</si>
  <si>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</si>
  <si>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</si>
  <si>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</si>
  <si>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</si>
  <si>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</si>
  <si>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</si>
  <si>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</si>
  <si>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</si>
  <si>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</si>
  <si>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</si>
  <si>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</si>
  <si>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</si>
  <si>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</si>
  <si>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</si>
  <si>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</si>
  <si>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</si>
  <si>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</si>
  <si>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</si>
  <si>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</si>
  <si>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</si>
  <si>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</si>
  <si>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</si>
  <si>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</si>
  <si>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</si>
  <si>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</si>
  <si>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</si>
  <si>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</si>
  <si>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</si>
  <si>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</si>
  <si>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</si>
  <si>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</si>
  <si>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</si>
  <si>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</si>
  <si>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</si>
  <si>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</si>
  <si>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</si>
  <si>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</si>
  <si>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</si>
  <si>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</si>
  <si>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</si>
  <si>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</si>
  <si>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</si>
  <si>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</si>
  <si>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</si>
  <si>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</si>
  <si>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</si>
  <si>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</si>
  <si>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</si>
  <si>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</si>
  <si>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</si>
  <si>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</si>
  <si>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</si>
  <si>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</si>
  <si>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</si>
  <si>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</si>
  <si>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</si>
  <si>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</si>
  <si>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</si>
  <si>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</si>
  <si>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</si>
  <si>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</si>
  <si>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</si>
  <si>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</si>
  <si>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</si>
  <si>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</si>
  <si>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</si>
  <si>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</si>
  <si>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</si>
  <si>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</si>
  <si>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</si>
  <si>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</si>
  <si>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</si>
  <si>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</si>
  <si>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</si>
  <si>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</si>
  <si>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</si>
  <si>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</si>
  <si>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</si>
  <si>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</si>
  <si>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</si>
  <si>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</si>
  <si>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</si>
  <si>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</si>
  <si>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</si>
  <si>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</si>
  <si>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</si>
  <si>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</si>
  <si>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</si>
  <si>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</si>
  <si>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</si>
  <si>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</si>
  <si>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</si>
  <si>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</si>
  <si>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</si>
  <si>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</si>
  <si>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</si>
  <si>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</si>
  <si>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</si>
  <si>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</si>
  <si>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</si>
  <si>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</si>
  <si>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</si>
  <si>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</si>
  <si>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</si>
  <si>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</si>
  <si>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</si>
  <si>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</si>
  <si>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</si>
  <si>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</si>
  <si>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</si>
  <si>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</si>
  <si>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</si>
  <si>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</si>
  <si>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</si>
  <si>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</si>
  <si>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</si>
  <si>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</si>
  <si>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</si>
  <si>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</si>
  <si>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</si>
  <si>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</si>
  <si>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</si>
  <si>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</si>
  <si>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</si>
  <si>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</si>
  <si>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</si>
  <si>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</si>
  <si>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</si>
  <si>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</si>
  <si>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</si>
  <si>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</si>
  <si>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</si>
  <si>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</si>
  <si>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</si>
  <si>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</si>
  <si>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</si>
  <si>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</si>
  <si>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</si>
  <si>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</si>
  <si>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</si>
  <si>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</si>
  <si>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</si>
  <si>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</si>
  <si>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</si>
  <si>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</si>
  <si>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</si>
  <si>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</si>
  <si>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</si>
  <si>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</si>
  <si>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</si>
  <si>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</si>
  <si>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</si>
  <si>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</si>
  <si>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</si>
  <si>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</si>
  <si>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</si>
  <si>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</si>
  <si>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</si>
  <si>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</si>
  <si>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</si>
  <si>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</si>
  <si>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</si>
  <si>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</si>
  <si>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</si>
  <si>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</si>
  <si>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</si>
  <si>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</si>
  <si>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</si>
  <si>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</si>
  <si>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</si>
  <si>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</si>
  <si>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</si>
  <si>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</si>
  <si>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</si>
  <si>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</si>
  <si>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</si>
  <si>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</si>
  <si>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</si>
  <si>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</si>
  <si>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</si>
  <si>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</si>
  <si>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</si>
  <si>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</si>
  <si>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</si>
  <si>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</si>
  <si>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</si>
  <si>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</si>
  <si>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</si>
  <si>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</si>
  <si>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</si>
  <si>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</si>
  <si>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</si>
  <si>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</si>
  <si>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</si>
  <si>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</si>
  <si>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</si>
  <si>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</si>
  <si>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</si>
  <si>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</si>
  <si>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</si>
  <si>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</si>
  <si>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</si>
  <si>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</si>
  <si>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</si>
  <si>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</si>
  <si>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</si>
  <si>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</si>
  <si>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</si>
  <si>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</si>
  <si>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</si>
  <si>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</si>
  <si>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</si>
  <si>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</si>
  <si>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</si>
  <si>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</si>
  <si>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</si>
  <si>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</si>
  <si>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</si>
  <si>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</si>
  <si>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</si>
  <si>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</si>
  <si>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</si>
  <si>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</si>
  <si>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</si>
  <si>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</si>
  <si>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</si>
  <si>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</si>
  <si>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</si>
  <si>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</si>
  <si>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</si>
  <si>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</si>
  <si>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</si>
  <si>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</si>
  <si>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</si>
  <si>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</si>
  <si>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</si>
  <si>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</si>
  <si>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</si>
  <si>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</si>
  <si>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</si>
  <si>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</si>
  <si>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</si>
  <si>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</si>
  <si>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</si>
  <si>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</si>
  <si>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</si>
  <si>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</si>
  <si>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</si>
  <si>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</si>
  <si>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</si>
  <si>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</si>
  <si>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</si>
  <si>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</si>
  <si>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</si>
  <si>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</si>
  <si>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</si>
  <si>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</si>
  <si>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</si>
  <si>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</si>
  <si>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</si>
  <si>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</si>
  <si>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</si>
  <si>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</si>
  <si>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</si>
  <si>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</si>
  <si>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</si>
  <si>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</si>
  <si>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</si>
  <si>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</si>
  <si>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</si>
  <si>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</si>
  <si>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</si>
  <si>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</si>
  <si>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</si>
  <si>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</si>
  <si>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</si>
  <si>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</si>
  <si>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</si>
  <si>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</si>
  <si>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</si>
  <si>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</si>
  <si>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</si>
  <si>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</si>
  <si>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</si>
  <si>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</si>
  <si>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</si>
  <si>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</si>
  <si>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</si>
  <si>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</si>
  <si>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</si>
  <si>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</si>
  <si>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</si>
  <si>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</si>
  <si>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</si>
  <si>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</si>
  <si>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</si>
  <si>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</si>
  <si>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</si>
  <si>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</si>
  <si>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</si>
  <si>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</si>
  <si>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</si>
  <si>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</si>
  <si>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</si>
  <si>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</si>
  <si>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</si>
  <si>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</si>
  <si>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</si>
  <si>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</si>
  <si>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</si>
  <si>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</si>
  <si>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</si>
  <si>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</si>
  <si>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</si>
  <si>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</si>
  <si>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</si>
  <si>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</si>
  <si>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</si>
  <si>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</si>
  <si>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</si>
  <si>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</si>
  <si>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</si>
  <si>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</si>
  <si>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</si>
  <si>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</si>
  <si>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</si>
  <si>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</si>
  <si>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</si>
  <si>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</si>
  <si>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</si>
  <si>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</si>
  <si>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</si>
  <si>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</si>
  <si>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</si>
  <si>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</si>
  <si>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</si>
  <si>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</si>
  <si>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</si>
  <si>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</si>
  <si>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</si>
  <si>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</si>
  <si>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</si>
  <si>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</si>
  <si>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</si>
  <si>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</si>
  <si>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</si>
  <si>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</si>
  <si>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</si>
  <si>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</si>
  <si>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</si>
  <si>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</si>
  <si>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</si>
  <si>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</si>
  <si>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</si>
  <si>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</si>
  <si>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</si>
  <si>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</si>
  <si>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</si>
  <si>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</si>
  <si>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</si>
  <si>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</si>
  <si>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</si>
  <si>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</si>
  <si>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</si>
  <si>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</si>
  <si>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</si>
  <si>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</si>
  <si>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</si>
  <si>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</si>
  <si>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</si>
  <si>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</si>
  <si>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</si>
  <si>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</si>
  <si>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</si>
  <si>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</si>
  <si>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</si>
  <si>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</si>
  <si>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</si>
  <si>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</si>
  <si>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</si>
  <si>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</si>
  <si>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</si>
  <si>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</si>
  <si>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</si>
  <si>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</si>
  <si>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</si>
  <si>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</si>
  <si>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</si>
  <si>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</si>
  <si>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</si>
  <si>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</si>
  <si>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</si>
  <si>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</si>
  <si>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</si>
  <si>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</si>
  <si>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</si>
  <si>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</si>
  <si>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</si>
  <si>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</si>
  <si>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</si>
  <si>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</si>
  <si>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</si>
  <si>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</si>
  <si>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</si>
  <si>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</si>
  <si>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</si>
  <si>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</si>
  <si>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</si>
  <si>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</si>
  <si>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</si>
  <si>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</si>
  <si>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</si>
  <si>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</si>
  <si>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</si>
  <si>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</si>
  <si>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</si>
  <si>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</si>
  <si>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</si>
  <si>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</si>
  <si>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</si>
  <si>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</si>
  <si>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</si>
  <si>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</si>
  <si>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</si>
  <si>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</si>
  <si>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</si>
  <si>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</si>
  <si>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</si>
  <si>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</si>
  <si>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</si>
  <si>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</si>
  <si>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</si>
  <si>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</si>
  <si>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</si>
  <si>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</si>
  <si>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</si>
  <si>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</si>
  <si>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</si>
  <si>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</si>
  <si>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</si>
  <si>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</si>
  <si>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</si>
  <si>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</si>
  <si>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</si>
  <si>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</si>
  <si>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</si>
  <si>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</si>
  <si>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</si>
  <si>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</si>
  <si>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</si>
  <si>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</si>
  <si>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</si>
  <si>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</si>
  <si>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</si>
  <si>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</si>
  <si>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</si>
  <si>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</si>
  <si>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</si>
  <si>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</si>
  <si>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</si>
  <si>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</si>
  <si>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</si>
  <si>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</si>
  <si>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</si>
  <si>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</si>
  <si>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</si>
  <si>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</si>
  <si>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</si>
  <si>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</si>
  <si>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</si>
  <si>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</si>
  <si>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</si>
  <si>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</si>
  <si>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</si>
  <si>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</si>
  <si>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</si>
  <si>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</si>
  <si>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</si>
  <si>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</si>
  <si>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</si>
  <si>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</si>
  <si>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</si>
  <si>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</si>
  <si>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</si>
  <si>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</si>
  <si>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</si>
  <si>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</si>
  <si>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</si>
  <si>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</si>
  <si>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</si>
  <si>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</si>
  <si>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</si>
  <si>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</si>
  <si>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</si>
  <si>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</si>
  <si>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</si>
  <si>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</si>
  <si>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</si>
  <si>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</si>
  <si>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</si>
  <si>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</si>
  <si>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</si>
  <si>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</si>
  <si>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</si>
  <si>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</si>
  <si>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</si>
  <si>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</si>
  <si>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</si>
  <si>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</si>
  <si>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</si>
  <si>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</si>
  <si>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</si>
  <si>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</si>
  <si>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</si>
  <si>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</si>
  <si>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</si>
  <si>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</si>
  <si>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</si>
  <si>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</si>
  <si>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</si>
  <si>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</si>
  <si>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</si>
  <si>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</si>
  <si>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</si>
  <si>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</si>
  <si>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</si>
  <si>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</si>
  <si>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</si>
  <si>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</si>
  <si>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</si>
  <si>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</si>
  <si>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</si>
  <si>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</si>
  <si>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</si>
  <si>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</si>
  <si>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</si>
  <si>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</si>
  <si>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</si>
  <si>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</si>
  <si>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</si>
  <si>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</si>
  <si>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</si>
  <si>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</si>
  <si>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</si>
  <si>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</si>
  <si>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</si>
  <si>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</si>
  <si>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</si>
  <si>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</si>
  <si>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</si>
  <si>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</si>
  <si>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</si>
  <si>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</si>
  <si>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</si>
  <si>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</si>
  <si>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</si>
  <si>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</si>
  <si>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</si>
  <si>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</si>
  <si>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</si>
  <si>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</si>
  <si>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</si>
  <si>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</si>
  <si>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</si>
  <si>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</si>
  <si>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</si>
  <si>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</si>
  <si>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</si>
  <si>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</si>
  <si>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</si>
  <si>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</si>
  <si>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</si>
  <si>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</si>
  <si>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</si>
  <si>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</si>
  <si>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</si>
  <si>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</si>
  <si>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</si>
  <si>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</si>
  <si>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</si>
  <si>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</si>
  <si>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</si>
  <si>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</si>
  <si>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</si>
  <si>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</si>
  <si>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</si>
  <si>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</si>
  <si>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</si>
  <si>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</si>
  <si>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</si>
  <si>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</si>
  <si>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</si>
  <si>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</si>
  <si>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</si>
  <si>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</si>
  <si>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</si>
  <si>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</si>
  <si>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</si>
  <si>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</si>
  <si>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</si>
  <si>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</si>
  <si>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</si>
  <si>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</si>
  <si>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</si>
  <si>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</si>
  <si>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Луганская Народная Респ, Комиссара Санюка (Каменнобродский р-н) ул, д. 50,</t>
  </si>
  <si>
    <t>596383_5</t>
  </si>
  <si>
    <t>1</t>
  </si>
  <si>
    <t>НВ, ООО 9001015535, Донецкая Народная Респ, Охотская ул, д. 79А,</t>
  </si>
  <si>
    <t>596383_6</t>
  </si>
  <si>
    <t>2</t>
  </si>
  <si>
    <t>НВ, ООО 9001015535, Донецкая Народная Респ, Мариуполь г, Куприна ул, д. 10,</t>
  </si>
  <si>
    <t>596383_11</t>
  </si>
  <si>
    <t>3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</si>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</sst>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/>
      <c r="I5" s="659"/>
      <c r="J5" s="659"/>
      <c r="K5" s="659"/>
      <c r="L5" s="659"/>
      <c r="M5" s="659"/>
      <c r="N5" s="72"/>
      <c r="P5" s="27" t="s">
        <v>4</v>
      </c>
      <c r="Q5" s="661">
        <v>46293</v>
      </c>
      <c r="R5" s="661"/>
      <c r="T5" s="662" t="s">
        <v>3</v>
      </c>
      <c r="U5" s="663"/>
      <c r="V5" s="664" t="s">
        <v>874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881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725">
        <v>4680115881426</v>
      </c>
      <c r="E57" s="72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725">
        <v>4680115880283</v>
      </c>
      <c r="E58" s="72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725">
        <v>4680115881525</v>
      </c>
      <c r="E59" s="72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725">
        <v>4680115881525</v>
      </c>
      <c r="E60" s="72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25">
        <v>4680115885899</v>
      </c>
      <c r="E61" s="72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7"/>
      <c r="R61" s="727"/>
      <c r="S61" s="727"/>
      <c r="T61" s="72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5">
        <v>4680115881419</v>
      </c>
      <c r="E62" s="72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7"/>
      <c r="R62" s="727"/>
      <c r="S62" s="727"/>
      <c r="T62" s="72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725">
        <v>4680115881419</v>
      </c>
      <c r="E63" s="72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7"/>
      <c r="R63" s="727"/>
      <c r="S63" s="727"/>
      <c r="T63" s="72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3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4"/>
      <c r="P64" s="730" t="s">
        <v>40</v>
      </c>
      <c r="Q64" s="731"/>
      <c r="R64" s="731"/>
      <c r="S64" s="731"/>
      <c r="T64" s="731"/>
      <c r="U64" s="731"/>
      <c r="V64" s="73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33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4"/>
      <c r="P65" s="730" t="s">
        <v>40</v>
      </c>
      <c r="Q65" s="731"/>
      <c r="R65" s="731"/>
      <c r="S65" s="731"/>
      <c r="T65" s="731"/>
      <c r="U65" s="731"/>
      <c r="V65" s="73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4" t="s">
        <v>159</v>
      </c>
      <c r="B66" s="724"/>
      <c r="C66" s="724"/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4"/>
      <c r="W66" s="724"/>
      <c r="X66" s="724"/>
      <c r="Y66" s="724"/>
      <c r="Z66" s="724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5">
        <v>4680115881440</v>
      </c>
      <c r="E67" s="72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725">
        <v>4680115881440</v>
      </c>
      <c r="E68" s="72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7"/>
      <c r="R68" s="727"/>
      <c r="S68" s="727"/>
      <c r="T68" s="72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725">
        <v>4680115885950</v>
      </c>
      <c r="E69" s="72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7"/>
      <c r="R69" s="727"/>
      <c r="S69" s="727"/>
      <c r="T69" s="72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725">
        <v>4680115887688</v>
      </c>
      <c r="E70" s="72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7"/>
      <c r="R70" s="727"/>
      <c r="S70" s="727"/>
      <c r="T70" s="72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4301020296</v>
      </c>
      <c r="D71" s="725">
        <v>4680115881433</v>
      </c>
      <c r="E71" s="72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customHeight="1" x14ac:dyDescent="0.25">
      <c r="A72" s="63" t="s">
        <v>170</v>
      </c>
      <c r="B72" s="63" t="s">
        <v>172</v>
      </c>
      <c r="C72" s="36">
        <v>4301020389</v>
      </c>
      <c r="D72" s="725">
        <v>4680115881433</v>
      </c>
      <c r="E72" s="72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76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">
      <c r="A73" s="733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4"/>
      <c r="P73" s="730" t="s">
        <v>40</v>
      </c>
      <c r="Q73" s="731"/>
      <c r="R73" s="731"/>
      <c r="S73" s="731"/>
      <c r="T73" s="731"/>
      <c r="U73" s="731"/>
      <c r="V73" s="732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customHeight="1" x14ac:dyDescent="0.25">
      <c r="A75" s="724" t="s">
        <v>86</v>
      </c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724"/>
      <c r="S75" s="724"/>
      <c r="T75" s="724"/>
      <c r="U75" s="724"/>
      <c r="V75" s="724"/>
      <c r="W75" s="724"/>
      <c r="X75" s="724"/>
      <c r="Y75" s="724"/>
      <c r="Z75" s="724"/>
      <c r="AA75" s="66"/>
      <c r="AB75" s="66"/>
      <c r="AC75" s="80"/>
    </row>
    <row r="76" spans="1:68" ht="16.5" customHeight="1" x14ac:dyDescent="0.25">
      <c r="A76" s="63" t="s">
        <v>173</v>
      </c>
      <c r="B76" s="63" t="s">
        <v>174</v>
      </c>
      <c r="C76" s="36">
        <v>4301051837</v>
      </c>
      <c r="D76" s="725">
        <v>4680115884311</v>
      </c>
      <c r="E76" s="72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7"/>
      <c r="R76" s="727"/>
      <c r="S76" s="727"/>
      <c r="T76" s="72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176</v>
      </c>
      <c r="B77" s="63" t="s">
        <v>177</v>
      </c>
      <c r="C77" s="36">
        <v>4301052083</v>
      </c>
      <c r="D77" s="725">
        <v>4680115884403</v>
      </c>
      <c r="E77" s="72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733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4"/>
      <c r="P78" s="730" t="s">
        <v>40</v>
      </c>
      <c r="Q78" s="731"/>
      <c r="R78" s="731"/>
      <c r="S78" s="731"/>
      <c r="T78" s="731"/>
      <c r="U78" s="731"/>
      <c r="V78" s="732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733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4"/>
      <c r="P79" s="730" t="s">
        <v>40</v>
      </c>
      <c r="Q79" s="731"/>
      <c r="R79" s="731"/>
      <c r="S79" s="731"/>
      <c r="T79" s="731"/>
      <c r="U79" s="731"/>
      <c r="V79" s="732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724" t="s">
        <v>179</v>
      </c>
      <c r="B80" s="724"/>
      <c r="C80" s="724"/>
      <c r="D80" s="724"/>
      <c r="E80" s="724"/>
      <c r="F80" s="724"/>
      <c r="G80" s="724"/>
      <c r="H80" s="724"/>
      <c r="I80" s="724"/>
      <c r="J80" s="724"/>
      <c r="K80" s="724"/>
      <c r="L80" s="724"/>
      <c r="M80" s="724"/>
      <c r="N80" s="724"/>
      <c r="O80" s="724"/>
      <c r="P80" s="724"/>
      <c r="Q80" s="724"/>
      <c r="R80" s="724"/>
      <c r="S80" s="724"/>
      <c r="T80" s="724"/>
      <c r="U80" s="724"/>
      <c r="V80" s="724"/>
      <c r="W80" s="724"/>
      <c r="X80" s="724"/>
      <c r="Y80" s="724"/>
      <c r="Z80" s="724"/>
      <c r="AA80" s="66"/>
      <c r="AB80" s="66"/>
      <c r="AC80" s="80"/>
    </row>
    <row r="81" spans="1:68" ht="27" customHeight="1" x14ac:dyDescent="0.25">
      <c r="A81" s="63" t="s">
        <v>180</v>
      </c>
      <c r="B81" s="63" t="s">
        <v>181</v>
      </c>
      <c r="C81" s="36">
        <v>4301060455</v>
      </c>
      <c r="D81" s="725">
        <v>4680115881532</v>
      </c>
      <c r="E81" s="72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7"/>
      <c r="R81" s="727"/>
      <c r="S81" s="727"/>
      <c r="T81" s="72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180</v>
      </c>
      <c r="B82" s="63" t="s">
        <v>183</v>
      </c>
      <c r="C82" s="36">
        <v>4301060526</v>
      </c>
      <c r="D82" s="725">
        <v>4680115881532</v>
      </c>
      <c r="E82" s="72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7"/>
      <c r="R82" s="727"/>
      <c r="S82" s="727"/>
      <c r="T82" s="72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185</v>
      </c>
      <c r="C83" s="36">
        <v>4301060527</v>
      </c>
      <c r="D83" s="725">
        <v>4680115881464</v>
      </c>
      <c r="E83" s="72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7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7"/>
      <c r="R83" s="727"/>
      <c r="S83" s="727"/>
      <c r="T83" s="72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33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4"/>
      <c r="P84" s="730" t="s">
        <v>40</v>
      </c>
      <c r="Q84" s="731"/>
      <c r="R84" s="731"/>
      <c r="S84" s="731"/>
      <c r="T84" s="731"/>
      <c r="U84" s="731"/>
      <c r="V84" s="732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733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4"/>
      <c r="P85" s="730" t="s">
        <v>40</v>
      </c>
      <c r="Q85" s="731"/>
      <c r="R85" s="731"/>
      <c r="S85" s="731"/>
      <c r="T85" s="731"/>
      <c r="U85" s="731"/>
      <c r="V85" s="732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customHeight="1" x14ac:dyDescent="0.25">
      <c r="A86" s="723" t="s">
        <v>187</v>
      </c>
      <c r="B86" s="723"/>
      <c r="C86" s="723"/>
      <c r="D86" s="723"/>
      <c r="E86" s="723"/>
      <c r="F86" s="723"/>
      <c r="G86" s="723"/>
      <c r="H86" s="723"/>
      <c r="I86" s="723"/>
      <c r="J86" s="723"/>
      <c r="K86" s="723"/>
      <c r="L86" s="723"/>
      <c r="M86" s="723"/>
      <c r="N86" s="723"/>
      <c r="O86" s="723"/>
      <c r="P86" s="723"/>
      <c r="Q86" s="723"/>
      <c r="R86" s="723"/>
      <c r="S86" s="723"/>
      <c r="T86" s="723"/>
      <c r="U86" s="723"/>
      <c r="V86" s="723"/>
      <c r="W86" s="723"/>
      <c r="X86" s="723"/>
      <c r="Y86" s="723"/>
      <c r="Z86" s="723"/>
      <c r="AA86" s="65"/>
      <c r="AB86" s="65"/>
      <c r="AC86" s="79"/>
    </row>
    <row r="87" spans="1:68" ht="14.25" customHeight="1" x14ac:dyDescent="0.25">
      <c r="A87" s="724" t="s">
        <v>122</v>
      </c>
      <c r="B87" s="724"/>
      <c r="C87" s="724"/>
      <c r="D87" s="724"/>
      <c r="E87" s="724"/>
      <c r="F87" s="724"/>
      <c r="G87" s="724"/>
      <c r="H87" s="724"/>
      <c r="I87" s="724"/>
      <c r="J87" s="724"/>
      <c r="K87" s="724"/>
      <c r="L87" s="724"/>
      <c r="M87" s="724"/>
      <c r="N87" s="724"/>
      <c r="O87" s="724"/>
      <c r="P87" s="724"/>
      <c r="Q87" s="724"/>
      <c r="R87" s="724"/>
      <c r="S87" s="724"/>
      <c r="T87" s="724"/>
      <c r="U87" s="724"/>
      <c r="V87" s="724"/>
      <c r="W87" s="724"/>
      <c r="X87" s="724"/>
      <c r="Y87" s="724"/>
      <c r="Z87" s="724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725">
        <v>4680115881327</v>
      </c>
      <c r="E88" s="72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4301012392</v>
      </c>
      <c r="D89" s="725">
        <v>4680115887732</v>
      </c>
      <c r="E89" s="72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725">
        <v>4680115881518</v>
      </c>
      <c r="E90" s="72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7"/>
      <c r="R90" s="727"/>
      <c r="S90" s="727"/>
      <c r="T90" s="72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196</v>
      </c>
      <c r="C91" s="36">
        <v>4301012252</v>
      </c>
      <c r="D91" s="725">
        <v>4680115881518</v>
      </c>
      <c r="E91" s="72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7"/>
      <c r="R91" s="727"/>
      <c r="S91" s="727"/>
      <c r="T91" s="72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725">
        <v>4680115881303</v>
      </c>
      <c r="E92" s="72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7"/>
      <c r="R92" s="727"/>
      <c r="S92" s="727"/>
      <c r="T92" s="72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733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4"/>
      <c r="P93" s="730" t="s">
        <v>40</v>
      </c>
      <c r="Q93" s="731"/>
      <c r="R93" s="731"/>
      <c r="S93" s="731"/>
      <c r="T93" s="731"/>
      <c r="U93" s="731"/>
      <c r="V93" s="732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">
      <c r="A94" s="733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4"/>
      <c r="P94" s="730" t="s">
        <v>40</v>
      </c>
      <c r="Q94" s="731"/>
      <c r="R94" s="731"/>
      <c r="S94" s="731"/>
      <c r="T94" s="731"/>
      <c r="U94" s="731"/>
      <c r="V94" s="732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customHeight="1" x14ac:dyDescent="0.25">
      <c r="A95" s="724" t="s">
        <v>86</v>
      </c>
      <c r="B95" s="724"/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4"/>
      <c r="U95" s="724"/>
      <c r="V95" s="724"/>
      <c r="W95" s="724"/>
      <c r="X95" s="724"/>
      <c r="Y95" s="724"/>
      <c r="Z95" s="724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5">
        <v>4607091386967</v>
      </c>
      <c r="E96" s="72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202</v>
      </c>
      <c r="B97" s="63" t="s">
        <v>203</v>
      </c>
      <c r="C97" s="36">
        <v>4301052090</v>
      </c>
      <c r="D97" s="725">
        <v>4680115884953</v>
      </c>
      <c r="E97" s="72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5">
        <v>4607091385731</v>
      </c>
      <c r="E98" s="72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207</v>
      </c>
      <c r="B99" s="63" t="s">
        <v>208</v>
      </c>
      <c r="C99" s="36">
        <v>4301052092</v>
      </c>
      <c r="D99" s="725">
        <v>4680115880894</v>
      </c>
      <c r="E99" s="72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7"/>
      <c r="R99" s="727"/>
      <c r="S99" s="727"/>
      <c r="T99" s="72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33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4"/>
      <c r="P101" s="730" t="s">
        <v>40</v>
      </c>
      <c r="Q101" s="731"/>
      <c r="R101" s="731"/>
      <c r="S101" s="731"/>
      <c r="T101" s="731"/>
      <c r="U101" s="731"/>
      <c r="V101" s="73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723" t="s">
        <v>210</v>
      </c>
      <c r="B102" s="723"/>
      <c r="C102" s="723"/>
      <c r="D102" s="723"/>
      <c r="E102" s="723"/>
      <c r="F102" s="723"/>
      <c r="G102" s="723"/>
      <c r="H102" s="723"/>
      <c r="I102" s="723"/>
      <c r="J102" s="723"/>
      <c r="K102" s="723"/>
      <c r="L102" s="723"/>
      <c r="M102" s="723"/>
      <c r="N102" s="723"/>
      <c r="O102" s="723"/>
      <c r="P102" s="723"/>
      <c r="Q102" s="723"/>
      <c r="R102" s="723"/>
      <c r="S102" s="723"/>
      <c r="T102" s="723"/>
      <c r="U102" s="723"/>
      <c r="V102" s="723"/>
      <c r="W102" s="723"/>
      <c r="X102" s="723"/>
      <c r="Y102" s="723"/>
      <c r="Z102" s="723"/>
      <c r="AA102" s="65"/>
      <c r="AB102" s="65"/>
      <c r="AC102" s="79"/>
    </row>
    <row r="103" spans="1:68" ht="14.25" customHeight="1" x14ac:dyDescent="0.25">
      <c r="A103" s="724" t="s">
        <v>122</v>
      </c>
      <c r="B103" s="724"/>
      <c r="C103" s="724"/>
      <c r="D103" s="724"/>
      <c r="E103" s="724"/>
      <c r="F103" s="724"/>
      <c r="G103" s="724"/>
      <c r="H103" s="724"/>
      <c r="I103" s="724"/>
      <c r="J103" s="724"/>
      <c r="K103" s="724"/>
      <c r="L103" s="724"/>
      <c r="M103" s="724"/>
      <c r="N103" s="724"/>
      <c r="O103" s="724"/>
      <c r="P103" s="724"/>
      <c r="Q103" s="724"/>
      <c r="R103" s="724"/>
      <c r="S103" s="724"/>
      <c r="T103" s="724"/>
      <c r="U103" s="724"/>
      <c r="V103" s="724"/>
      <c r="W103" s="724"/>
      <c r="X103" s="724"/>
      <c r="Y103" s="724"/>
      <c r="Z103" s="724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5">
        <v>4680115882133</v>
      </c>
      <c r="E104" s="72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211</v>
      </c>
      <c r="B105" s="63" t="s">
        <v>214</v>
      </c>
      <c r="C105" s="36">
        <v>4301012256</v>
      </c>
      <c r="D105" s="725">
        <v>4680115882133</v>
      </c>
      <c r="E105" s="72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7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219</v>
      </c>
      <c r="B108" s="63" t="s">
        <v>221</v>
      </c>
      <c r="C108" s="36">
        <v>4301012253</v>
      </c>
      <c r="D108" s="725">
        <v>4680115880269</v>
      </c>
      <c r="E108" s="72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224</v>
      </c>
      <c r="B111" s="63" t="s">
        <v>226</v>
      </c>
      <c r="C111" s="36">
        <v>4301012255</v>
      </c>
      <c r="D111" s="725">
        <v>4680115881457</v>
      </c>
      <c r="E111" s="72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7"/>
      <c r="R111" s="727"/>
      <c r="S111" s="727"/>
      <c r="T111" s="72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227</v>
      </c>
      <c r="B112" s="63" t="s">
        <v>228</v>
      </c>
      <c r="C112" s="36">
        <v>4301012366</v>
      </c>
      <c r="D112" s="725">
        <v>4680115889477</v>
      </c>
      <c r="E112" s="7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7"/>
      <c r="R112" s="727"/>
      <c r="S112" s="727"/>
      <c r="T112" s="72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3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4"/>
      <c r="P113" s="730" t="s">
        <v>40</v>
      </c>
      <c r="Q113" s="731"/>
      <c r="R113" s="731"/>
      <c r="S113" s="731"/>
      <c r="T113" s="731"/>
      <c r="U113" s="731"/>
      <c r="V113" s="73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33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4"/>
      <c r="P114" s="730" t="s">
        <v>40</v>
      </c>
      <c r="Q114" s="731"/>
      <c r="R114" s="731"/>
      <c r="S114" s="731"/>
      <c r="T114" s="731"/>
      <c r="U114" s="731"/>
      <c r="V114" s="73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724" t="s">
        <v>159</v>
      </c>
      <c r="B115" s="724"/>
      <c r="C115" s="724"/>
      <c r="D115" s="724"/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4"/>
      <c r="U115" s="724"/>
      <c r="V115" s="724"/>
      <c r="W115" s="724"/>
      <c r="X115" s="724"/>
      <c r="Y115" s="724"/>
      <c r="Z115" s="724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725">
        <v>4680115881488</v>
      </c>
      <c r="E116" s="72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240</v>
      </c>
      <c r="B123" s="63" t="s">
        <v>241</v>
      </c>
      <c r="C123" s="36">
        <v>4301052087</v>
      </c>
      <c r="D123" s="725">
        <v>4607091383256</v>
      </c>
      <c r="E123" s="72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1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5">
        <v>4607091385748</v>
      </c>
      <c r="E124" s="72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725">
        <v>4680115884533</v>
      </c>
      <c r="E125" s="72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3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4"/>
      <c r="P126" s="730" t="s">
        <v>40</v>
      </c>
      <c r="Q126" s="731"/>
      <c r="R126" s="731"/>
      <c r="S126" s="731"/>
      <c r="T126" s="731"/>
      <c r="U126" s="731"/>
      <c r="V126" s="73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4"/>
      <c r="P127" s="730" t="s">
        <v>40</v>
      </c>
      <c r="Q127" s="731"/>
      <c r="R127" s="731"/>
      <c r="S127" s="731"/>
      <c r="T127" s="731"/>
      <c r="U127" s="731"/>
      <c r="V127" s="73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724" t="s">
        <v>179</v>
      </c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4"/>
      <c r="P128" s="724"/>
      <c r="Q128" s="724"/>
      <c r="R128" s="724"/>
      <c r="S128" s="724"/>
      <c r="T128" s="724"/>
      <c r="U128" s="724"/>
      <c r="V128" s="724"/>
      <c r="W128" s="724"/>
      <c r="X128" s="724"/>
      <c r="Y128" s="724"/>
      <c r="Z128" s="724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725">
        <v>4680115880238</v>
      </c>
      <c r="E129" s="72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7"/>
      <c r="R129" s="727"/>
      <c r="S129" s="727"/>
      <c r="T129" s="72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733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4"/>
      <c r="P131" s="730" t="s">
        <v>40</v>
      </c>
      <c r="Q131" s="731"/>
      <c r="R131" s="731"/>
      <c r="S131" s="731"/>
      <c r="T131" s="731"/>
      <c r="U131" s="731"/>
      <c r="V131" s="73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723" t="s">
        <v>250</v>
      </c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3"/>
      <c r="P132" s="723"/>
      <c r="Q132" s="723"/>
      <c r="R132" s="723"/>
      <c r="S132" s="723"/>
      <c r="T132" s="723"/>
      <c r="U132" s="723"/>
      <c r="V132" s="723"/>
      <c r="W132" s="723"/>
      <c r="X132" s="723"/>
      <c r="Y132" s="723"/>
      <c r="Z132" s="723"/>
      <c r="AA132" s="65"/>
      <c r="AB132" s="65"/>
      <c r="AC132" s="79"/>
    </row>
    <row r="133" spans="1:68" ht="14.25" customHeight="1" x14ac:dyDescent="0.25">
      <c r="A133" s="724" t="s">
        <v>122</v>
      </c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4"/>
      <c r="P133" s="724"/>
      <c r="Q133" s="724"/>
      <c r="R133" s="724"/>
      <c r="S133" s="724"/>
      <c r="T133" s="724"/>
      <c r="U133" s="724"/>
      <c r="V133" s="724"/>
      <c r="W133" s="724"/>
      <c r="X133" s="724"/>
      <c r="Y133" s="724"/>
      <c r="Z133" s="724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725">
        <v>4680115882577</v>
      </c>
      <c r="E134" s="72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7"/>
      <c r="R134" s="727"/>
      <c r="S134" s="727"/>
      <c r="T134" s="72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725">
        <v>4680115882577</v>
      </c>
      <c r="E135" s="72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7"/>
      <c r="R135" s="727"/>
      <c r="S135" s="727"/>
      <c r="T135" s="72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33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4"/>
      <c r="P136" s="730" t="s">
        <v>40</v>
      </c>
      <c r="Q136" s="731"/>
      <c r="R136" s="731"/>
      <c r="S136" s="731"/>
      <c r="T136" s="731"/>
      <c r="U136" s="731"/>
      <c r="V136" s="73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33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4"/>
      <c r="P137" s="730" t="s">
        <v>40</v>
      </c>
      <c r="Q137" s="731"/>
      <c r="R137" s="731"/>
      <c r="S137" s="731"/>
      <c r="T137" s="731"/>
      <c r="U137" s="731"/>
      <c r="V137" s="73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724" t="s">
        <v>77</v>
      </c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4"/>
      <c r="P138" s="724"/>
      <c r="Q138" s="724"/>
      <c r="R138" s="724"/>
      <c r="S138" s="724"/>
      <c r="T138" s="724"/>
      <c r="U138" s="724"/>
      <c r="V138" s="724"/>
      <c r="W138" s="724"/>
      <c r="X138" s="724"/>
      <c r="Y138" s="724"/>
      <c r="Z138" s="724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5">
        <v>4680115883444</v>
      </c>
      <c r="E139" s="72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256</v>
      </c>
      <c r="B140" s="63" t="s">
        <v>259</v>
      </c>
      <c r="C140" s="36">
        <v>4301031235</v>
      </c>
      <c r="D140" s="725">
        <v>4680115883444</v>
      </c>
      <c r="E140" s="72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7"/>
      <c r="R140" s="727"/>
      <c r="S140" s="727"/>
      <c r="T140" s="72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733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4"/>
      <c r="P142" s="730" t="s">
        <v>40</v>
      </c>
      <c r="Q142" s="731"/>
      <c r="R142" s="731"/>
      <c r="S142" s="731"/>
      <c r="T142" s="731"/>
      <c r="U142" s="731"/>
      <c r="V142" s="73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724" t="s">
        <v>86</v>
      </c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4"/>
      <c r="P143" s="724"/>
      <c r="Q143" s="724"/>
      <c r="R143" s="724"/>
      <c r="S143" s="724"/>
      <c r="T143" s="724"/>
      <c r="U143" s="724"/>
      <c r="V143" s="724"/>
      <c r="W143" s="724"/>
      <c r="X143" s="724"/>
      <c r="Y143" s="724"/>
      <c r="Z143" s="724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725">
        <v>4680115882584</v>
      </c>
      <c r="E144" s="72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7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260</v>
      </c>
      <c r="B145" s="63" t="s">
        <v>262</v>
      </c>
      <c r="C145" s="36">
        <v>4301051477</v>
      </c>
      <c r="D145" s="725">
        <v>4680115882584</v>
      </c>
      <c r="E145" s="72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7"/>
      <c r="R145" s="727"/>
      <c r="S145" s="727"/>
      <c r="T145" s="72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733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4"/>
      <c r="P147" s="730" t="s">
        <v>40</v>
      </c>
      <c r="Q147" s="731"/>
      <c r="R147" s="731"/>
      <c r="S147" s="731"/>
      <c r="T147" s="731"/>
      <c r="U147" s="731"/>
      <c r="V147" s="7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723" t="s">
        <v>263</v>
      </c>
      <c r="B148" s="723"/>
      <c r="C148" s="723"/>
      <c r="D148" s="723"/>
      <c r="E148" s="723"/>
      <c r="F148" s="723"/>
      <c r="G148" s="723"/>
      <c r="H148" s="723"/>
      <c r="I148" s="723"/>
      <c r="J148" s="723"/>
      <c r="K148" s="723"/>
      <c r="L148" s="723"/>
      <c r="M148" s="723"/>
      <c r="N148" s="723"/>
      <c r="O148" s="723"/>
      <c r="P148" s="723"/>
      <c r="Q148" s="723"/>
      <c r="R148" s="723"/>
      <c r="S148" s="723"/>
      <c r="T148" s="723"/>
      <c r="U148" s="723"/>
      <c r="V148" s="723"/>
      <c r="W148" s="723"/>
      <c r="X148" s="723"/>
      <c r="Y148" s="723"/>
      <c r="Z148" s="723"/>
      <c r="AA148" s="65"/>
      <c r="AB148" s="65"/>
      <c r="AC148" s="79"/>
    </row>
    <row r="149" spans="1:68" ht="14.25" customHeight="1" x14ac:dyDescent="0.25">
      <c r="A149" s="724" t="s">
        <v>86</v>
      </c>
      <c r="B149" s="724"/>
      <c r="C149" s="724"/>
      <c r="D149" s="724"/>
      <c r="E149" s="724"/>
      <c r="F149" s="724"/>
      <c r="G149" s="724"/>
      <c r="H149" s="724"/>
      <c r="I149" s="724"/>
      <c r="J149" s="724"/>
      <c r="K149" s="724"/>
      <c r="L149" s="724"/>
      <c r="M149" s="724"/>
      <c r="N149" s="724"/>
      <c r="O149" s="724"/>
      <c r="P149" s="724"/>
      <c r="Q149" s="724"/>
      <c r="R149" s="724"/>
      <c r="S149" s="724"/>
      <c r="T149" s="724"/>
      <c r="U149" s="724"/>
      <c r="V149" s="724"/>
      <c r="W149" s="724"/>
      <c r="X149" s="724"/>
      <c r="Y149" s="724"/>
      <c r="Z149" s="724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725">
        <v>4680115888203</v>
      </c>
      <c r="E150" s="72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7"/>
      <c r="R150" s="727"/>
      <c r="S150" s="727"/>
      <c r="T150" s="72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725">
        <v>4680115888180</v>
      </c>
      <c r="E151" s="72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7"/>
      <c r="R151" s="727"/>
      <c r="S151" s="727"/>
      <c r="T151" s="72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267</v>
      </c>
      <c r="B152" s="63" t="s">
        <v>270</v>
      </c>
      <c r="C152" s="36">
        <v>4301052252</v>
      </c>
      <c r="D152" s="725">
        <v>4680115888180</v>
      </c>
      <c r="E152" s="72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7"/>
      <c r="R152" s="727"/>
      <c r="S152" s="727"/>
      <c r="T152" s="72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725">
        <v>4680115888197</v>
      </c>
      <c r="E153" s="72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7"/>
      <c r="R153" s="727"/>
      <c r="S153" s="727"/>
      <c r="T153" s="72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725">
        <v>4680115888210</v>
      </c>
      <c r="E154" s="72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274</v>
      </c>
      <c r="B155" s="63" t="s">
        <v>277</v>
      </c>
      <c r="C155" s="36">
        <v>4301052255</v>
      </c>
      <c r="D155" s="725">
        <v>4680115888210</v>
      </c>
      <c r="E155" s="72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733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4"/>
      <c r="P156" s="730" t="s">
        <v>40</v>
      </c>
      <c r="Q156" s="731"/>
      <c r="R156" s="731"/>
      <c r="S156" s="731"/>
      <c r="T156" s="731"/>
      <c r="U156" s="731"/>
      <c r="V156" s="73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4"/>
      <c r="P157" s="730" t="s">
        <v>40</v>
      </c>
      <c r="Q157" s="731"/>
      <c r="R157" s="731"/>
      <c r="S157" s="731"/>
      <c r="T157" s="731"/>
      <c r="U157" s="731"/>
      <c r="V157" s="73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724" t="s">
        <v>278</v>
      </c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4"/>
      <c r="P158" s="724"/>
      <c r="Q158" s="724"/>
      <c r="R158" s="724"/>
      <c r="S158" s="724"/>
      <c r="T158" s="724"/>
      <c r="U158" s="724"/>
      <c r="V158" s="724"/>
      <c r="W158" s="724"/>
      <c r="X158" s="724"/>
      <c r="Y158" s="724"/>
      <c r="Z158" s="724"/>
      <c r="AA158" s="66"/>
      <c r="AB158" s="66"/>
      <c r="AC158" s="80"/>
    </row>
    <row r="159" spans="1:68" ht="27" customHeight="1" x14ac:dyDescent="0.25">
      <c r="A159" s="63" t="s">
        <v>279</v>
      </c>
      <c r="B159" s="63" t="s">
        <v>280</v>
      </c>
      <c r="C159" s="36">
        <v>4301032067</v>
      </c>
      <c r="D159" s="725">
        <v>4680115889132</v>
      </c>
      <c r="E159" s="72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33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4"/>
      <c r="P160" s="730" t="s">
        <v>40</v>
      </c>
      <c r="Q160" s="731"/>
      <c r="R160" s="731"/>
      <c r="S160" s="731"/>
      <c r="T160" s="731"/>
      <c r="U160" s="731"/>
      <c r="V160" s="73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23" t="s">
        <v>120</v>
      </c>
      <c r="B162" s="723"/>
      <c r="C162" s="723"/>
      <c r="D162" s="723"/>
      <c r="E162" s="723"/>
      <c r="F162" s="723"/>
      <c r="G162" s="723"/>
      <c r="H162" s="723"/>
      <c r="I162" s="723"/>
      <c r="J162" s="723"/>
      <c r="K162" s="723"/>
      <c r="L162" s="723"/>
      <c r="M162" s="723"/>
      <c r="N162" s="723"/>
      <c r="O162" s="723"/>
      <c r="P162" s="723"/>
      <c r="Q162" s="723"/>
      <c r="R162" s="723"/>
      <c r="S162" s="723"/>
      <c r="T162" s="723"/>
      <c r="U162" s="723"/>
      <c r="V162" s="723"/>
      <c r="W162" s="723"/>
      <c r="X162" s="723"/>
      <c r="Y162" s="723"/>
      <c r="Z162" s="723"/>
      <c r="AA162" s="65"/>
      <c r="AB162" s="65"/>
      <c r="AC162" s="79"/>
    </row>
    <row r="163" spans="1:68" ht="14.25" customHeight="1" x14ac:dyDescent="0.25">
      <c r="A163" s="724" t="s">
        <v>122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customHeight="1" x14ac:dyDescent="0.25">
      <c r="A164" s="63" t="s">
        <v>285</v>
      </c>
      <c r="B164" s="63" t="s">
        <v>286</v>
      </c>
      <c r="C164" s="36">
        <v>4301012338</v>
      </c>
      <c r="D164" s="725">
        <v>4680115887374</v>
      </c>
      <c r="E164" s="72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288</v>
      </c>
      <c r="B165" s="63" t="s">
        <v>289</v>
      </c>
      <c r="C165" s="36">
        <v>4301011705</v>
      </c>
      <c r="D165" s="725">
        <v>4607091384604</v>
      </c>
      <c r="E165" s="72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7"/>
      <c r="R165" s="727"/>
      <c r="S165" s="727"/>
      <c r="T165" s="72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288</v>
      </c>
      <c r="B166" s="63" t="s">
        <v>291</v>
      </c>
      <c r="C166" s="36">
        <v>4301012258</v>
      </c>
      <c r="D166" s="725">
        <v>4607091384604</v>
      </c>
      <c r="E166" s="72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7"/>
      <c r="R166" s="727"/>
      <c r="S166" s="727"/>
      <c r="T166" s="72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292</v>
      </c>
      <c r="B167" s="63" t="s">
        <v>293</v>
      </c>
      <c r="C167" s="36">
        <v>4301012344</v>
      </c>
      <c r="D167" s="725">
        <v>4680115888876</v>
      </c>
      <c r="E167" s="72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7"/>
      <c r="R167" s="727"/>
      <c r="S167" s="727"/>
      <c r="T167" s="72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33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4"/>
      <c r="P168" s="730" t="s">
        <v>40</v>
      </c>
      <c r="Q168" s="731"/>
      <c r="R168" s="731"/>
      <c r="S168" s="731"/>
      <c r="T168" s="731"/>
      <c r="U168" s="731"/>
      <c r="V168" s="73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4"/>
      <c r="P169" s="730" t="s">
        <v>40</v>
      </c>
      <c r="Q169" s="731"/>
      <c r="R169" s="731"/>
      <c r="S169" s="731"/>
      <c r="T169" s="731"/>
      <c r="U169" s="731"/>
      <c r="V169" s="73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724" t="s">
        <v>159</v>
      </c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4"/>
      <c r="P170" s="724"/>
      <c r="Q170" s="724"/>
      <c r="R170" s="724"/>
      <c r="S170" s="724"/>
      <c r="T170" s="724"/>
      <c r="U170" s="724"/>
      <c r="V170" s="724"/>
      <c r="W170" s="724"/>
      <c r="X170" s="724"/>
      <c r="Y170" s="724"/>
      <c r="Z170" s="724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725">
        <v>4680115887695</v>
      </c>
      <c r="E171" s="72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298</v>
      </c>
      <c r="B172" s="63" t="s">
        <v>299</v>
      </c>
      <c r="C172" s="36">
        <v>4301020439</v>
      </c>
      <c r="D172" s="725">
        <v>4680115889491</v>
      </c>
      <c r="E172" s="72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7"/>
      <c r="R172" s="727"/>
      <c r="S172" s="727"/>
      <c r="T172" s="72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733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4"/>
      <c r="P174" s="730" t="s">
        <v>40</v>
      </c>
      <c r="Q174" s="731"/>
      <c r="R174" s="731"/>
      <c r="S174" s="731"/>
      <c r="T174" s="731"/>
      <c r="U174" s="731"/>
      <c r="V174" s="73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724" t="s">
        <v>77</v>
      </c>
      <c r="B175" s="724"/>
      <c r="C175" s="724"/>
      <c r="D175" s="724"/>
      <c r="E175" s="724"/>
      <c r="F175" s="724"/>
      <c r="G175" s="724"/>
      <c r="H175" s="724"/>
      <c r="I175" s="724"/>
      <c r="J175" s="724"/>
      <c r="K175" s="724"/>
      <c r="L175" s="724"/>
      <c r="M175" s="724"/>
      <c r="N175" s="724"/>
      <c r="O175" s="724"/>
      <c r="P175" s="724"/>
      <c r="Q175" s="724"/>
      <c r="R175" s="724"/>
      <c r="S175" s="724"/>
      <c r="T175" s="724"/>
      <c r="U175" s="724"/>
      <c r="V175" s="724"/>
      <c r="W175" s="724"/>
      <c r="X175" s="724"/>
      <c r="Y175" s="724"/>
      <c r="Z175" s="724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725">
        <v>4680115887428</v>
      </c>
      <c r="E176" s="72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725">
        <v>4680115889170</v>
      </c>
      <c r="E177" s="72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7"/>
      <c r="R177" s="727"/>
      <c r="S177" s="727"/>
      <c r="T177" s="72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725">
        <v>4680115887398</v>
      </c>
      <c r="E178" s="72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7"/>
      <c r="R178" s="727"/>
      <c r="S178" s="727"/>
      <c r="T178" s="72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725">
        <v>4680115887336</v>
      </c>
      <c r="E179" s="72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7"/>
      <c r="R179" s="727"/>
      <c r="S179" s="727"/>
      <c r="T179" s="72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725">
        <v>4680115887787</v>
      </c>
      <c r="E180" s="72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313</v>
      </c>
      <c r="B181" s="63" t="s">
        <v>316</v>
      </c>
      <c r="C181" s="36">
        <v>4301031528</v>
      </c>
      <c r="D181" s="725">
        <v>4680115887787</v>
      </c>
      <c r="E181" s="72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725">
        <v>4680115887503</v>
      </c>
      <c r="E182" s="72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4301031389</v>
      </c>
      <c r="D183" s="725">
        <v>4680115887763</v>
      </c>
      <c r="E183" s="72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725">
        <v>4680115887480</v>
      </c>
      <c r="E184" s="72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324</v>
      </c>
      <c r="B185" s="63" t="s">
        <v>325</v>
      </c>
      <c r="C185" s="36">
        <v>4301031434</v>
      </c>
      <c r="D185" s="725">
        <v>4680115888067</v>
      </c>
      <c r="E185" s="72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725">
        <v>4680115887435</v>
      </c>
      <c r="E186" s="72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733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4"/>
      <c r="P187" s="730" t="s">
        <v>40</v>
      </c>
      <c r="Q187" s="731"/>
      <c r="R187" s="731"/>
      <c r="S187" s="731"/>
      <c r="T187" s="731"/>
      <c r="U187" s="731"/>
      <c r="V187" s="73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733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4"/>
      <c r="P188" s="730" t="s">
        <v>40</v>
      </c>
      <c r="Q188" s="731"/>
      <c r="R188" s="731"/>
      <c r="S188" s="731"/>
      <c r="T188" s="731"/>
      <c r="U188" s="731"/>
      <c r="V188" s="73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724" t="s">
        <v>86</v>
      </c>
      <c r="B189" s="724"/>
      <c r="C189" s="724"/>
      <c r="D189" s="724"/>
      <c r="E189" s="724"/>
      <c r="F189" s="724"/>
      <c r="G189" s="724"/>
      <c r="H189" s="724"/>
      <c r="I189" s="724"/>
      <c r="J189" s="724"/>
      <c r="K189" s="724"/>
      <c r="L189" s="724"/>
      <c r="M189" s="724"/>
      <c r="N189" s="724"/>
      <c r="O189" s="724"/>
      <c r="P189" s="724"/>
      <c r="Q189" s="724"/>
      <c r="R189" s="724"/>
      <c r="S189" s="724"/>
      <c r="T189" s="724"/>
      <c r="U189" s="724"/>
      <c r="V189" s="724"/>
      <c r="W189" s="724"/>
      <c r="X189" s="724"/>
      <c r="Y189" s="724"/>
      <c r="Z189" s="724"/>
      <c r="AA189" s="66"/>
      <c r="AB189" s="66"/>
      <c r="AC189" s="80"/>
    </row>
    <row r="190" spans="1:68" ht="16.5" customHeight="1" x14ac:dyDescent="0.25">
      <c r="A190" s="63" t="s">
        <v>329</v>
      </c>
      <c r="B190" s="63" t="s">
        <v>330</v>
      </c>
      <c r="C190" s="36">
        <v>4301052193</v>
      </c>
      <c r="D190" s="725">
        <v>4680115888395</v>
      </c>
      <c r="E190" s="72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332</v>
      </c>
      <c r="B191" s="63" t="s">
        <v>333</v>
      </c>
      <c r="C191" s="36">
        <v>4301052191</v>
      </c>
      <c r="D191" s="725">
        <v>4680115888371</v>
      </c>
      <c r="E191" s="72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335</v>
      </c>
      <c r="B192" s="63" t="s">
        <v>336</v>
      </c>
      <c r="C192" s="36">
        <v>4301052064</v>
      </c>
      <c r="D192" s="725">
        <v>4680115887459</v>
      </c>
      <c r="E192" s="72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7"/>
      <c r="R192" s="727"/>
      <c r="S192" s="727"/>
      <c r="T192" s="72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4"/>
      <c r="P194" s="730" t="s">
        <v>40</v>
      </c>
      <c r="Q194" s="731"/>
      <c r="R194" s="731"/>
      <c r="S194" s="731"/>
      <c r="T194" s="731"/>
      <c r="U194" s="731"/>
      <c r="V194" s="73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724" t="s">
        <v>278</v>
      </c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4"/>
      <c r="P195" s="724"/>
      <c r="Q195" s="724"/>
      <c r="R195" s="724"/>
      <c r="S195" s="724"/>
      <c r="T195" s="724"/>
      <c r="U195" s="724"/>
      <c r="V195" s="724"/>
      <c r="W195" s="724"/>
      <c r="X195" s="724"/>
      <c r="Y195" s="724"/>
      <c r="Z195" s="724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4301032058</v>
      </c>
      <c r="D196" s="725">
        <v>4680115889026</v>
      </c>
      <c r="E196" s="72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33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4"/>
      <c r="P197" s="730" t="s">
        <v>40</v>
      </c>
      <c r="Q197" s="731"/>
      <c r="R197" s="731"/>
      <c r="S197" s="731"/>
      <c r="T197" s="731"/>
      <c r="U197" s="731"/>
      <c r="V197" s="73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724" t="s">
        <v>342</v>
      </c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4"/>
      <c r="P199" s="724"/>
      <c r="Q199" s="724"/>
      <c r="R199" s="724"/>
      <c r="S199" s="724"/>
      <c r="T199" s="724"/>
      <c r="U199" s="724"/>
      <c r="V199" s="724"/>
      <c r="W199" s="724"/>
      <c r="X199" s="724"/>
      <c r="Y199" s="724"/>
      <c r="Z199" s="724"/>
      <c r="AA199" s="66"/>
      <c r="AB199" s="66"/>
      <c r="AC199" s="80"/>
    </row>
    <row r="200" spans="1:68" ht="27" customHeight="1" x14ac:dyDescent="0.25">
      <c r="A200" s="63" t="s">
        <v>343</v>
      </c>
      <c r="B200" s="63" t="s">
        <v>344</v>
      </c>
      <c r="C200" s="36">
        <v>4301041009</v>
      </c>
      <c r="D200" s="725">
        <v>4680115889033</v>
      </c>
      <c r="E200" s="72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7"/>
      <c r="R200" s="727"/>
      <c r="S200" s="727"/>
      <c r="T200" s="72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33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4"/>
      <c r="P201" s="730" t="s">
        <v>40</v>
      </c>
      <c r="Q201" s="731"/>
      <c r="R201" s="731"/>
      <c r="S201" s="731"/>
      <c r="T201" s="731"/>
      <c r="U201" s="731"/>
      <c r="V201" s="73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22" t="s">
        <v>346</v>
      </c>
      <c r="B203" s="722"/>
      <c r="C203" s="722"/>
      <c r="D203" s="722"/>
      <c r="E203" s="722"/>
      <c r="F203" s="722"/>
      <c r="G203" s="722"/>
      <c r="H203" s="722"/>
      <c r="I203" s="722"/>
      <c r="J203" s="722"/>
      <c r="K203" s="722"/>
      <c r="L203" s="722"/>
      <c r="M203" s="722"/>
      <c r="N203" s="722"/>
      <c r="O203" s="722"/>
      <c r="P203" s="722"/>
      <c r="Q203" s="722"/>
      <c r="R203" s="722"/>
      <c r="S203" s="722"/>
      <c r="T203" s="722"/>
      <c r="U203" s="722"/>
      <c r="V203" s="722"/>
      <c r="W203" s="722"/>
      <c r="X203" s="722"/>
      <c r="Y203" s="722"/>
      <c r="Z203" s="722"/>
      <c r="AA203" s="54"/>
      <c r="AB203" s="54"/>
      <c r="AC203" s="54"/>
    </row>
    <row r="204" spans="1:68" ht="16.5" customHeight="1" x14ac:dyDescent="0.25">
      <c r="A204" s="723" t="s">
        <v>347</v>
      </c>
      <c r="B204" s="723"/>
      <c r="C204" s="723"/>
      <c r="D204" s="723"/>
      <c r="E204" s="723"/>
      <c r="F204" s="723"/>
      <c r="G204" s="723"/>
      <c r="H204" s="723"/>
      <c r="I204" s="723"/>
      <c r="J204" s="723"/>
      <c r="K204" s="723"/>
      <c r="L204" s="723"/>
      <c r="M204" s="723"/>
      <c r="N204" s="723"/>
      <c r="O204" s="723"/>
      <c r="P204" s="723"/>
      <c r="Q204" s="723"/>
      <c r="R204" s="723"/>
      <c r="S204" s="723"/>
      <c r="T204" s="723"/>
      <c r="U204" s="723"/>
      <c r="V204" s="723"/>
      <c r="W204" s="723"/>
      <c r="X204" s="723"/>
      <c r="Y204" s="723"/>
      <c r="Z204" s="723"/>
      <c r="AA204" s="65"/>
      <c r="AB204" s="65"/>
      <c r="AC204" s="79"/>
    </row>
    <row r="205" spans="1:68" ht="14.25" customHeight="1" x14ac:dyDescent="0.25">
      <c r="A205" s="724" t="s">
        <v>122</v>
      </c>
      <c r="B205" s="724"/>
      <c r="C205" s="724"/>
      <c r="D205" s="724"/>
      <c r="E205" s="724"/>
      <c r="F205" s="724"/>
      <c r="G205" s="724"/>
      <c r="H205" s="724"/>
      <c r="I205" s="724"/>
      <c r="J205" s="724"/>
      <c r="K205" s="724"/>
      <c r="L205" s="724"/>
      <c r="M205" s="724"/>
      <c r="N205" s="724"/>
      <c r="O205" s="724"/>
      <c r="P205" s="724"/>
      <c r="Q205" s="724"/>
      <c r="R205" s="724"/>
      <c r="S205" s="724"/>
      <c r="T205" s="724"/>
      <c r="U205" s="724"/>
      <c r="V205" s="724"/>
      <c r="W205" s="724"/>
      <c r="X205" s="724"/>
      <c r="Y205" s="724"/>
      <c r="Z205" s="724"/>
      <c r="AA205" s="66"/>
      <c r="AB205" s="66"/>
      <c r="AC205" s="80"/>
    </row>
    <row r="206" spans="1:68" ht="27" customHeight="1" x14ac:dyDescent="0.25">
      <c r="A206" s="63" t="s">
        <v>348</v>
      </c>
      <c r="B206" s="63" t="s">
        <v>349</v>
      </c>
      <c r="C206" s="36">
        <v>4301011223</v>
      </c>
      <c r="D206" s="725">
        <v>4607091383423</v>
      </c>
      <c r="E206" s="72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7"/>
      <c r="R206" s="727"/>
      <c r="S206" s="727"/>
      <c r="T206" s="72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350</v>
      </c>
      <c r="B207" s="63" t="s">
        <v>351</v>
      </c>
      <c r="C207" s="36">
        <v>4301012340</v>
      </c>
      <c r="D207" s="725">
        <v>4680115888760</v>
      </c>
      <c r="E207" s="72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7"/>
      <c r="R207" s="727"/>
      <c r="S207" s="727"/>
      <c r="T207" s="72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4301012341</v>
      </c>
      <c r="D208" s="725">
        <v>4680115888807</v>
      </c>
      <c r="E208" s="72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7"/>
      <c r="R208" s="727"/>
      <c r="S208" s="727"/>
      <c r="T208" s="72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4301012342</v>
      </c>
      <c r="D209" s="725">
        <v>4680115888852</v>
      </c>
      <c r="E209" s="72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7"/>
      <c r="R209" s="727"/>
      <c r="S209" s="727"/>
      <c r="T209" s="72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359</v>
      </c>
      <c r="B210" s="63" t="s">
        <v>360</v>
      </c>
      <c r="C210" s="36">
        <v>4301012370</v>
      </c>
      <c r="D210" s="725">
        <v>4680115886957</v>
      </c>
      <c r="E210" s="72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7"/>
      <c r="R210" s="727"/>
      <c r="S210" s="727"/>
      <c r="T210" s="72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725">
        <v>4680115885660</v>
      </c>
      <c r="E211" s="72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365</v>
      </c>
      <c r="B212" s="63" t="s">
        <v>366</v>
      </c>
      <c r="C212" s="36">
        <v>4301012369</v>
      </c>
      <c r="D212" s="725">
        <v>4680115886773</v>
      </c>
      <c r="E212" s="72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">
      <c r="A213" s="733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4"/>
      <c r="P213" s="730" t="s">
        <v>40</v>
      </c>
      <c r="Q213" s="731"/>
      <c r="R213" s="731"/>
      <c r="S213" s="731"/>
      <c r="T213" s="731"/>
      <c r="U213" s="731"/>
      <c r="V213" s="73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33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4"/>
      <c r="P214" s="730" t="s">
        <v>40</v>
      </c>
      <c r="Q214" s="731"/>
      <c r="R214" s="731"/>
      <c r="S214" s="731"/>
      <c r="T214" s="731"/>
      <c r="U214" s="731"/>
      <c r="V214" s="73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23" t="s">
        <v>368</v>
      </c>
      <c r="B215" s="723"/>
      <c r="C215" s="723"/>
      <c r="D215" s="723"/>
      <c r="E215" s="723"/>
      <c r="F215" s="723"/>
      <c r="G215" s="723"/>
      <c r="H215" s="723"/>
      <c r="I215" s="723"/>
      <c r="J215" s="723"/>
      <c r="K215" s="723"/>
      <c r="L215" s="723"/>
      <c r="M215" s="723"/>
      <c r="N215" s="723"/>
      <c r="O215" s="723"/>
      <c r="P215" s="723"/>
      <c r="Q215" s="723"/>
      <c r="R215" s="723"/>
      <c r="S215" s="723"/>
      <c r="T215" s="723"/>
      <c r="U215" s="723"/>
      <c r="V215" s="723"/>
      <c r="W215" s="723"/>
      <c r="X215" s="723"/>
      <c r="Y215" s="723"/>
      <c r="Z215" s="723"/>
      <c r="AA215" s="65"/>
      <c r="AB215" s="65"/>
      <c r="AC215" s="79"/>
    </row>
    <row r="216" spans="1:68" ht="14.25" customHeight="1" x14ac:dyDescent="0.25">
      <c r="A216" s="724" t="s">
        <v>159</v>
      </c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4"/>
      <c r="P216" s="724"/>
      <c r="Q216" s="724"/>
      <c r="R216" s="724"/>
      <c r="S216" s="724"/>
      <c r="T216" s="724"/>
      <c r="U216" s="724"/>
      <c r="V216" s="724"/>
      <c r="W216" s="724"/>
      <c r="X216" s="724"/>
      <c r="Y216" s="724"/>
      <c r="Z216" s="724"/>
      <c r="AA216" s="66"/>
      <c r="AB216" s="66"/>
      <c r="AC216" s="80"/>
    </row>
    <row r="217" spans="1:68" ht="27" customHeight="1" x14ac:dyDescent="0.25">
      <c r="A217" s="63" t="s">
        <v>369</v>
      </c>
      <c r="B217" s="63" t="s">
        <v>370</v>
      </c>
      <c r="C217" s="36">
        <v>4301020323</v>
      </c>
      <c r="D217" s="725">
        <v>4680115886223</v>
      </c>
      <c r="E217" s="72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24" t="s">
        <v>77</v>
      </c>
      <c r="B220" s="724"/>
      <c r="C220" s="724"/>
      <c r="D220" s="724"/>
      <c r="E220" s="724"/>
      <c r="F220" s="724"/>
      <c r="G220" s="724"/>
      <c r="H220" s="724"/>
      <c r="I220" s="724"/>
      <c r="J220" s="724"/>
      <c r="K220" s="724"/>
      <c r="L220" s="724"/>
      <c r="M220" s="724"/>
      <c r="N220" s="724"/>
      <c r="O220" s="724"/>
      <c r="P220" s="724"/>
      <c r="Q220" s="724"/>
      <c r="R220" s="724"/>
      <c r="S220" s="724"/>
      <c r="T220" s="724"/>
      <c r="U220" s="724"/>
      <c r="V220" s="724"/>
      <c r="W220" s="724"/>
      <c r="X220" s="724"/>
      <c r="Y220" s="724"/>
      <c r="Z220" s="724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5">
        <v>4680115880993</v>
      </c>
      <c r="E221" s="72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7"/>
      <c r="R221" s="727"/>
      <c r="S221" s="727"/>
      <c r="T221" s="72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5">
        <v>4680115881761</v>
      </c>
      <c r="E222" s="72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5">
        <v>4680115881563</v>
      </c>
      <c r="E223" s="72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7"/>
      <c r="R223" s="727"/>
      <c r="S223" s="727"/>
      <c r="T223" s="72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725">
        <v>4680115887565</v>
      </c>
      <c r="E224" s="72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7"/>
      <c r="R224" s="727"/>
      <c r="S224" s="727"/>
      <c r="T224" s="72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725">
        <v>4680115880986</v>
      </c>
      <c r="E225" s="72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7"/>
      <c r="R225" s="727"/>
      <c r="S225" s="727"/>
      <c r="T225" s="72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386</v>
      </c>
      <c r="B226" s="63" t="s">
        <v>387</v>
      </c>
      <c r="C226" s="36">
        <v>4301031443</v>
      </c>
      <c r="D226" s="725">
        <v>4680115887213</v>
      </c>
      <c r="E226" s="72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725">
        <v>4680115881785</v>
      </c>
      <c r="E227" s="72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391</v>
      </c>
      <c r="B228" s="63" t="s">
        <v>392</v>
      </c>
      <c r="C228" s="36">
        <v>4301031499</v>
      </c>
      <c r="D228" s="725">
        <v>4680115888432</v>
      </c>
      <c r="E228" s="72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394</v>
      </c>
      <c r="B229" s="63" t="s">
        <v>395</v>
      </c>
      <c r="C229" s="36">
        <v>4301031427</v>
      </c>
      <c r="D229" s="725">
        <v>4680115888104</v>
      </c>
      <c r="E229" s="72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397</v>
      </c>
      <c r="B230" s="63" t="s">
        <v>398</v>
      </c>
      <c r="C230" s="36">
        <v>4301031503</v>
      </c>
      <c r="D230" s="725">
        <v>4680115886537</v>
      </c>
      <c r="E230" s="72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725">
        <v>4680115887596</v>
      </c>
      <c r="E231" s="72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725">
        <v>4680115881679</v>
      </c>
      <c r="E232" s="72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4301031158</v>
      </c>
      <c r="D233" s="725">
        <v>4680115880191</v>
      </c>
      <c r="E233" s="72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405</v>
      </c>
      <c r="B234" s="63" t="s">
        <v>407</v>
      </c>
      <c r="C234" s="36">
        <v>4301031531</v>
      </c>
      <c r="D234" s="725">
        <v>4680115880191</v>
      </c>
      <c r="E234" s="72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408</v>
      </c>
      <c r="B235" s="63" t="s">
        <v>409</v>
      </c>
      <c r="C235" s="36">
        <v>4301031245</v>
      </c>
      <c r="D235" s="725">
        <v>4680115883963</v>
      </c>
      <c r="E235" s="72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3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4"/>
      <c r="P236" s="730" t="s">
        <v>40</v>
      </c>
      <c r="Q236" s="731"/>
      <c r="R236" s="731"/>
      <c r="S236" s="731"/>
      <c r="T236" s="731"/>
      <c r="U236" s="731"/>
      <c r="V236" s="73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733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4"/>
      <c r="P237" s="730" t="s">
        <v>40</v>
      </c>
      <c r="Q237" s="731"/>
      <c r="R237" s="731"/>
      <c r="S237" s="731"/>
      <c r="T237" s="731"/>
      <c r="U237" s="731"/>
      <c r="V237" s="73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724" t="s">
        <v>86</v>
      </c>
      <c r="B238" s="724"/>
      <c r="C238" s="724"/>
      <c r="D238" s="724"/>
      <c r="E238" s="724"/>
      <c r="F238" s="724"/>
      <c r="G238" s="724"/>
      <c r="H238" s="724"/>
      <c r="I238" s="724"/>
      <c r="J238" s="724"/>
      <c r="K238" s="724"/>
      <c r="L238" s="724"/>
      <c r="M238" s="724"/>
      <c r="N238" s="724"/>
      <c r="O238" s="724"/>
      <c r="P238" s="724"/>
      <c r="Q238" s="724"/>
      <c r="R238" s="724"/>
      <c r="S238" s="724"/>
      <c r="T238" s="724"/>
      <c r="U238" s="724"/>
      <c r="V238" s="724"/>
      <c r="W238" s="724"/>
      <c r="X238" s="724"/>
      <c r="Y238" s="724"/>
      <c r="Z238" s="724"/>
      <c r="AA238" s="66"/>
      <c r="AB238" s="66"/>
      <c r="AC238" s="80"/>
    </row>
    <row r="239" spans="1:68" ht="16.5" customHeight="1" x14ac:dyDescent="0.25">
      <c r="A239" s="63" t="s">
        <v>411</v>
      </c>
      <c r="B239" s="63" t="s">
        <v>412</v>
      </c>
      <c r="C239" s="36">
        <v>4301052209</v>
      </c>
      <c r="D239" s="725">
        <v>4680115888692</v>
      </c>
      <c r="E239" s="72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411</v>
      </c>
      <c r="B240" s="63" t="s">
        <v>414</v>
      </c>
      <c r="C240" s="36">
        <v>4301052279</v>
      </c>
      <c r="D240" s="725">
        <v>4680115888692</v>
      </c>
      <c r="E240" s="72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7"/>
      <c r="R240" s="727"/>
      <c r="S240" s="727"/>
      <c r="T240" s="72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4301052213</v>
      </c>
      <c r="D241" s="725">
        <v>4680115888722</v>
      </c>
      <c r="E241" s="72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7"/>
      <c r="R241" s="727"/>
      <c r="S241" s="727"/>
      <c r="T241" s="72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416</v>
      </c>
      <c r="B242" s="63" t="s">
        <v>419</v>
      </c>
      <c r="C242" s="36">
        <v>4301052280</v>
      </c>
      <c r="D242" s="725">
        <v>4680115888722</v>
      </c>
      <c r="E242" s="72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7"/>
      <c r="R242" s="727"/>
      <c r="S242" s="727"/>
      <c r="T242" s="72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421</v>
      </c>
      <c r="B243" s="63" t="s">
        <v>422</v>
      </c>
      <c r="C243" s="36">
        <v>4301052177</v>
      </c>
      <c r="D243" s="725">
        <v>4680115888951</v>
      </c>
      <c r="E243" s="72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421</v>
      </c>
      <c r="B244" s="63" t="s">
        <v>424</v>
      </c>
      <c r="C244" s="36">
        <v>4301052276</v>
      </c>
      <c r="D244" s="725">
        <v>4680115888951</v>
      </c>
      <c r="E244" s="72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4301052178</v>
      </c>
      <c r="D245" s="725">
        <v>4680115888975</v>
      </c>
      <c r="E245" s="72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4301052176</v>
      </c>
      <c r="D246" s="725">
        <v>4680115888982</v>
      </c>
      <c r="E246" s="72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428</v>
      </c>
      <c r="B247" s="63" t="s">
        <v>430</v>
      </c>
      <c r="C247" s="36">
        <v>4301052277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724" t="s">
        <v>278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724" t="s">
        <v>439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723" t="s">
        <v>442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24" t="s">
        <v>159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customHeight="1" x14ac:dyDescent="0.25">
      <c r="A267" s="63" t="s">
        <v>448</v>
      </c>
      <c r="B267" s="63" t="s">
        <v>449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451</v>
      </c>
      <c r="B268" s="63" t="s">
        <v>452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486</v>
      </c>
      <c r="B288" s="63" t="s">
        <v>487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491</v>
      </c>
      <c r="B290" s="63" t="s">
        <v>492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724" t="s">
        <v>179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723" t="s">
        <v>510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customHeight="1" x14ac:dyDescent="0.25">
      <c r="A304" s="63" t="s">
        <v>511</v>
      </c>
      <c r="B304" s="63" t="s">
        <v>512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514</v>
      </c>
      <c r="B305" s="63" t="s">
        <v>515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521</v>
      </c>
      <c r="B308" s="63" t="s">
        <v>522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524</v>
      </c>
      <c r="B309" s="63" t="s">
        <v>525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724" t="s">
        <v>159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724" t="s">
        <v>532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24" t="s">
        <v>342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725">
        <v>4680115886681</v>
      </c>
      <c r="E322" s="72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4"/>
      <c r="P323" s="730" t="s">
        <v>40</v>
      </c>
      <c r="Q323" s="731"/>
      <c r="R323" s="731"/>
      <c r="S323" s="731"/>
      <c r="T323" s="731"/>
      <c r="U323" s="731"/>
      <c r="V323" s="732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33"/>
      <c r="B324" s="733"/>
      <c r="C324" s="733"/>
      <c r="D324" s="733"/>
      <c r="E324" s="733"/>
      <c r="F324" s="733"/>
      <c r="G324" s="733"/>
      <c r="H324" s="733"/>
      <c r="I324" s="733"/>
      <c r="J324" s="733"/>
      <c r="K324" s="733"/>
      <c r="L324" s="733"/>
      <c r="M324" s="733"/>
      <c r="N324" s="733"/>
      <c r="O324" s="734"/>
      <c r="P324" s="730" t="s">
        <v>40</v>
      </c>
      <c r="Q324" s="731"/>
      <c r="R324" s="731"/>
      <c r="S324" s="731"/>
      <c r="T324" s="731"/>
      <c r="U324" s="731"/>
      <c r="V324" s="732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customHeight="1" x14ac:dyDescent="0.25">
      <c r="A325" s="723" t="s">
        <v>539</v>
      </c>
      <c r="B325" s="723"/>
      <c r="C325" s="723"/>
      <c r="D325" s="723"/>
      <c r="E325" s="723"/>
      <c r="F325" s="723"/>
      <c r="G325" s="723"/>
      <c r="H325" s="723"/>
      <c r="I325" s="723"/>
      <c r="J325" s="723"/>
      <c r="K325" s="723"/>
      <c r="L325" s="723"/>
      <c r="M325" s="723"/>
      <c r="N325" s="723"/>
      <c r="O325" s="723"/>
      <c r="P325" s="723"/>
      <c r="Q325" s="723"/>
      <c r="R325" s="723"/>
      <c r="S325" s="723"/>
      <c r="T325" s="723"/>
      <c r="U325" s="723"/>
      <c r="V325" s="723"/>
      <c r="W325" s="723"/>
      <c r="X325" s="723"/>
      <c r="Y325" s="723"/>
      <c r="Z325" s="723"/>
      <c r="AA325" s="65"/>
      <c r="AB325" s="65"/>
      <c r="AC325" s="79"/>
    </row>
    <row r="326" spans="1:68" ht="14.25" customHeight="1" x14ac:dyDescent="0.25">
      <c r="A326" s="724" t="s">
        <v>122</v>
      </c>
      <c r="B326" s="724"/>
      <c r="C326" s="724"/>
      <c r="D326" s="724"/>
      <c r="E326" s="724"/>
      <c r="F326" s="724"/>
      <c r="G326" s="724"/>
      <c r="H326" s="724"/>
      <c r="I326" s="724"/>
      <c r="J326" s="724"/>
      <c r="K326" s="724"/>
      <c r="L326" s="724"/>
      <c r="M326" s="724"/>
      <c r="N326" s="724"/>
      <c r="O326" s="724"/>
      <c r="P326" s="724"/>
      <c r="Q326" s="724"/>
      <c r="R326" s="724"/>
      <c r="S326" s="724"/>
      <c r="T326" s="724"/>
      <c r="U326" s="724"/>
      <c r="V326" s="724"/>
      <c r="W326" s="724"/>
      <c r="X326" s="724"/>
      <c r="Y326" s="724"/>
      <c r="Z326" s="724"/>
      <c r="AA326" s="66"/>
      <c r="AB326" s="66"/>
      <c r="AC326" s="80"/>
    </row>
    <row r="327" spans="1:68" ht="27" customHeight="1" x14ac:dyDescent="0.25">
      <c r="A327" s="63" t="s">
        <v>540</v>
      </c>
      <c r="B327" s="63" t="s">
        <v>541</v>
      </c>
      <c r="C327" s="36">
        <v>4301012390</v>
      </c>
      <c r="D327" s="725">
        <v>4680115889637</v>
      </c>
      <c r="E327" s="72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7"/>
      <c r="R327" s="727"/>
      <c r="S327" s="727"/>
      <c r="T327" s="72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customHeight="1" x14ac:dyDescent="0.25">
      <c r="A328" s="63" t="s">
        <v>544</v>
      </c>
      <c r="B328" s="63" t="s">
        <v>545</v>
      </c>
      <c r="C328" s="36">
        <v>4301011855</v>
      </c>
      <c r="D328" s="725">
        <v>4680115885837</v>
      </c>
      <c r="E328" s="72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7"/>
      <c r="R328" s="727"/>
      <c r="S328" s="727"/>
      <c r="T328" s="72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customHeight="1" x14ac:dyDescent="0.25">
      <c r="A329" s="63" t="s">
        <v>547</v>
      </c>
      <c r="B329" s="63" t="s">
        <v>548</v>
      </c>
      <c r="C329" s="36">
        <v>4301012234</v>
      </c>
      <c r="D329" s="725">
        <v>4680115887237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customHeight="1" x14ac:dyDescent="0.25">
      <c r="A330" s="63" t="s">
        <v>550</v>
      </c>
      <c r="B330" s="63" t="s">
        <v>551</v>
      </c>
      <c r="C330" s="36">
        <v>4301011850</v>
      </c>
      <c r="D330" s="725">
        <v>4680115885806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4301011852</v>
      </c>
      <c r="D331" s="725">
        <v>4680115885844</v>
      </c>
      <c r="E331" s="72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customHeight="1" x14ac:dyDescent="0.25">
      <c r="A332" s="63" t="s">
        <v>556</v>
      </c>
      <c r="B332" s="63" t="s">
        <v>557</v>
      </c>
      <c r="C332" s="36">
        <v>4301011851</v>
      </c>
      <c r="D332" s="725">
        <v>4680115885820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x14ac:dyDescent="0.2">
      <c r="A333" s="733"/>
      <c r="B333" s="733"/>
      <c r="C333" s="733"/>
      <c r="D333" s="733"/>
      <c r="E333" s="733"/>
      <c r="F333" s="733"/>
      <c r="G333" s="733"/>
      <c r="H333" s="733"/>
      <c r="I333" s="733"/>
      <c r="J333" s="733"/>
      <c r="K333" s="733"/>
      <c r="L333" s="733"/>
      <c r="M333" s="733"/>
      <c r="N333" s="733"/>
      <c r="O333" s="734"/>
      <c r="P333" s="730" t="s">
        <v>40</v>
      </c>
      <c r="Q333" s="731"/>
      <c r="R333" s="731"/>
      <c r="S333" s="731"/>
      <c r="T333" s="731"/>
      <c r="U333" s="731"/>
      <c r="V333" s="732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customHeight="1" x14ac:dyDescent="0.25">
      <c r="A335" s="723" t="s">
        <v>559</v>
      </c>
      <c r="B335" s="723"/>
      <c r="C335" s="723"/>
      <c r="D335" s="723"/>
      <c r="E335" s="723"/>
      <c r="F335" s="723"/>
      <c r="G335" s="723"/>
      <c r="H335" s="723"/>
      <c r="I335" s="723"/>
      <c r="J335" s="723"/>
      <c r="K335" s="723"/>
      <c r="L335" s="723"/>
      <c r="M335" s="723"/>
      <c r="N335" s="723"/>
      <c r="O335" s="723"/>
      <c r="P335" s="723"/>
      <c r="Q335" s="723"/>
      <c r="R335" s="723"/>
      <c r="S335" s="723"/>
      <c r="T335" s="723"/>
      <c r="U335" s="723"/>
      <c r="V335" s="723"/>
      <c r="W335" s="723"/>
      <c r="X335" s="723"/>
      <c r="Y335" s="723"/>
      <c r="Z335" s="723"/>
      <c r="AA335" s="65"/>
      <c r="AB335" s="65"/>
      <c r="AC335" s="79"/>
    </row>
    <row r="336" spans="1:68" ht="14.25" customHeight="1" x14ac:dyDescent="0.25">
      <c r="A336" s="724" t="s">
        <v>86</v>
      </c>
      <c r="B336" s="724"/>
      <c r="C336" s="724"/>
      <c r="D336" s="724"/>
      <c r="E336" s="724"/>
      <c r="F336" s="724"/>
      <c r="G336" s="724"/>
      <c r="H336" s="724"/>
      <c r="I336" s="724"/>
      <c r="J336" s="724"/>
      <c r="K336" s="724"/>
      <c r="L336" s="724"/>
      <c r="M336" s="724"/>
      <c r="N336" s="724"/>
      <c r="O336" s="724"/>
      <c r="P336" s="724"/>
      <c r="Q336" s="724"/>
      <c r="R336" s="724"/>
      <c r="S336" s="724"/>
      <c r="T336" s="724"/>
      <c r="U336" s="724"/>
      <c r="V336" s="724"/>
      <c r="W336" s="724"/>
      <c r="X336" s="724"/>
      <c r="Y336" s="724"/>
      <c r="Z336" s="724"/>
      <c r="AA336" s="66"/>
      <c r="AB336" s="66"/>
      <c r="AC336" s="80"/>
    </row>
    <row r="337" spans="1:68" ht="27" customHeight="1" x14ac:dyDescent="0.25">
      <c r="A337" s="63" t="s">
        <v>560</v>
      </c>
      <c r="B337" s="63" t="s">
        <v>561</v>
      </c>
      <c r="C337" s="36">
        <v>4301051893</v>
      </c>
      <c r="D337" s="725">
        <v>4680115886186</v>
      </c>
      <c r="E337" s="72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7"/>
      <c r="R337" s="727"/>
      <c r="S337" s="727"/>
      <c r="T337" s="72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563</v>
      </c>
      <c r="B338" s="63" t="s">
        <v>564</v>
      </c>
      <c r="C338" s="36">
        <v>4301051795</v>
      </c>
      <c r="D338" s="725">
        <v>4680115881228</v>
      </c>
      <c r="E338" s="72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90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4301051388</v>
      </c>
      <c r="D339" s="725">
        <v>4680115881211</v>
      </c>
      <c r="E339" s="72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9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">
      <c r="A340" s="733"/>
      <c r="B340" s="733"/>
      <c r="C340" s="733"/>
      <c r="D340" s="733"/>
      <c r="E340" s="733"/>
      <c r="F340" s="733"/>
      <c r="G340" s="733"/>
      <c r="H340" s="733"/>
      <c r="I340" s="733"/>
      <c r="J340" s="733"/>
      <c r="K340" s="733"/>
      <c r="L340" s="733"/>
      <c r="M340" s="733"/>
      <c r="N340" s="733"/>
      <c r="O340" s="734"/>
      <c r="P340" s="730" t="s">
        <v>40</v>
      </c>
      <c r="Q340" s="731"/>
      <c r="R340" s="731"/>
      <c r="S340" s="731"/>
      <c r="T340" s="731"/>
      <c r="U340" s="731"/>
      <c r="V340" s="732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customHeight="1" x14ac:dyDescent="0.25">
      <c r="A342" s="723" t="s">
        <v>568</v>
      </c>
      <c r="B342" s="723"/>
      <c r="C342" s="723"/>
      <c r="D342" s="723"/>
      <c r="E342" s="723"/>
      <c r="F342" s="723"/>
      <c r="G342" s="723"/>
      <c r="H342" s="723"/>
      <c r="I342" s="723"/>
      <c r="J342" s="723"/>
      <c r="K342" s="723"/>
      <c r="L342" s="723"/>
      <c r="M342" s="723"/>
      <c r="N342" s="723"/>
      <c r="O342" s="723"/>
      <c r="P342" s="723"/>
      <c r="Q342" s="723"/>
      <c r="R342" s="723"/>
      <c r="S342" s="723"/>
      <c r="T342" s="723"/>
      <c r="U342" s="723"/>
      <c r="V342" s="723"/>
      <c r="W342" s="723"/>
      <c r="X342" s="723"/>
      <c r="Y342" s="723"/>
      <c r="Z342" s="723"/>
      <c r="AA342" s="65"/>
      <c r="AB342" s="65"/>
      <c r="AC342" s="79"/>
    </row>
    <row r="343" spans="1:68" ht="14.25" customHeight="1" x14ac:dyDescent="0.25">
      <c r="A343" s="724" t="s">
        <v>77</v>
      </c>
      <c r="B343" s="724"/>
      <c r="C343" s="724"/>
      <c r="D343" s="724"/>
      <c r="E343" s="724"/>
      <c r="F343" s="724"/>
      <c r="G343" s="724"/>
      <c r="H343" s="724"/>
      <c r="I343" s="724"/>
      <c r="J343" s="724"/>
      <c r="K343" s="724"/>
      <c r="L343" s="724"/>
      <c r="M343" s="724"/>
      <c r="N343" s="724"/>
      <c r="O343" s="724"/>
      <c r="P343" s="724"/>
      <c r="Q343" s="724"/>
      <c r="R343" s="724"/>
      <c r="S343" s="724"/>
      <c r="T343" s="724"/>
      <c r="U343" s="724"/>
      <c r="V343" s="724"/>
      <c r="W343" s="724"/>
      <c r="X343" s="724"/>
      <c r="Y343" s="724"/>
      <c r="Z343" s="724"/>
      <c r="AA343" s="66"/>
      <c r="AB343" s="66"/>
      <c r="AC343" s="80"/>
    </row>
    <row r="344" spans="1:68" ht="27" customHeight="1" x14ac:dyDescent="0.25">
      <c r="A344" s="63" t="s">
        <v>569</v>
      </c>
      <c r="B344" s="63" t="s">
        <v>570</v>
      </c>
      <c r="C344" s="36">
        <v>4301031445</v>
      </c>
      <c r="D344" s="725">
        <v>4680115888319</v>
      </c>
      <c r="E344" s="72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9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7"/>
      <c r="R344" s="727"/>
      <c r="S344" s="727"/>
      <c r="T344" s="72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571</v>
      </c>
      <c r="B345" s="63" t="s">
        <v>572</v>
      </c>
      <c r="C345" s="36">
        <v>4301031502</v>
      </c>
      <c r="D345" s="725">
        <v>4680115884700</v>
      </c>
      <c r="E345" s="72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574</v>
      </c>
      <c r="B346" s="63" t="s">
        <v>575</v>
      </c>
      <c r="C346" s="36">
        <v>4301031307</v>
      </c>
      <c r="D346" s="725">
        <v>4680115880344</v>
      </c>
      <c r="E346" s="72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4301031501</v>
      </c>
      <c r="D347" s="725">
        <v>4680115886919</v>
      </c>
      <c r="E347" s="72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4301031246</v>
      </c>
      <c r="D348" s="725">
        <v>4680115883970</v>
      </c>
      <c r="E348" s="72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33"/>
      <c r="B349" s="733"/>
      <c r="C349" s="733"/>
      <c r="D349" s="733"/>
      <c r="E349" s="733"/>
      <c r="F349" s="733"/>
      <c r="G349" s="733"/>
      <c r="H349" s="733"/>
      <c r="I349" s="733"/>
      <c r="J349" s="733"/>
      <c r="K349" s="733"/>
      <c r="L349" s="733"/>
      <c r="M349" s="733"/>
      <c r="N349" s="733"/>
      <c r="O349" s="734"/>
      <c r="P349" s="730" t="s">
        <v>40</v>
      </c>
      <c r="Q349" s="731"/>
      <c r="R349" s="731"/>
      <c r="S349" s="731"/>
      <c r="T349" s="731"/>
      <c r="U349" s="731"/>
      <c r="V349" s="732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customHeight="1" x14ac:dyDescent="0.25">
      <c r="A351" s="724" t="s">
        <v>86</v>
      </c>
      <c r="B351" s="724"/>
      <c r="C351" s="724"/>
      <c r="D351" s="724"/>
      <c r="E351" s="724"/>
      <c r="F351" s="724"/>
      <c r="G351" s="724"/>
      <c r="H351" s="724"/>
      <c r="I351" s="724"/>
      <c r="J351" s="724"/>
      <c r="K351" s="724"/>
      <c r="L351" s="724"/>
      <c r="M351" s="724"/>
      <c r="N351" s="724"/>
      <c r="O351" s="724"/>
      <c r="P351" s="724"/>
      <c r="Q351" s="724"/>
      <c r="R351" s="724"/>
      <c r="S351" s="724"/>
      <c r="T351" s="724"/>
      <c r="U351" s="724"/>
      <c r="V351" s="724"/>
      <c r="W351" s="724"/>
      <c r="X351" s="724"/>
      <c r="Y351" s="724"/>
      <c r="Z351" s="724"/>
      <c r="AA351" s="66"/>
      <c r="AB351" s="66"/>
      <c r="AC351" s="80"/>
    </row>
    <row r="352" spans="1:68" ht="27" customHeight="1" x14ac:dyDescent="0.25">
      <c r="A352" s="63" t="s">
        <v>583</v>
      </c>
      <c r="B352" s="63" t="s">
        <v>584</v>
      </c>
      <c r="C352" s="36">
        <v>4301051782</v>
      </c>
      <c r="D352" s="725">
        <v>4680115884618</v>
      </c>
      <c r="E352" s="72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7"/>
      <c r="R352" s="727"/>
      <c r="S352" s="727"/>
      <c r="T352" s="72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586</v>
      </c>
      <c r="B353" s="63" t="s">
        <v>587</v>
      </c>
      <c r="C353" s="36">
        <v>4301052057</v>
      </c>
      <c r="D353" s="725">
        <v>4680115887114</v>
      </c>
      <c r="E353" s="72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33"/>
      <c r="B354" s="733"/>
      <c r="C354" s="733"/>
      <c r="D354" s="733"/>
      <c r="E354" s="733"/>
      <c r="F354" s="733"/>
      <c r="G354" s="733"/>
      <c r="H354" s="733"/>
      <c r="I354" s="733"/>
      <c r="J354" s="733"/>
      <c r="K354" s="733"/>
      <c r="L354" s="733"/>
      <c r="M354" s="733"/>
      <c r="N354" s="733"/>
      <c r="O354" s="734"/>
      <c r="P354" s="730" t="s">
        <v>40</v>
      </c>
      <c r="Q354" s="731"/>
      <c r="R354" s="731"/>
      <c r="S354" s="731"/>
      <c r="T354" s="731"/>
      <c r="U354" s="731"/>
      <c r="V354" s="732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customHeight="1" x14ac:dyDescent="0.25">
      <c r="A356" s="723" t="s">
        <v>589</v>
      </c>
      <c r="B356" s="723"/>
      <c r="C356" s="723"/>
      <c r="D356" s="723"/>
      <c r="E356" s="723"/>
      <c r="F356" s="723"/>
      <c r="G356" s="723"/>
      <c r="H356" s="723"/>
      <c r="I356" s="723"/>
      <c r="J356" s="723"/>
      <c r="K356" s="723"/>
      <c r="L356" s="723"/>
      <c r="M356" s="723"/>
      <c r="N356" s="723"/>
      <c r="O356" s="723"/>
      <c r="P356" s="723"/>
      <c r="Q356" s="723"/>
      <c r="R356" s="723"/>
      <c r="S356" s="723"/>
      <c r="T356" s="723"/>
      <c r="U356" s="723"/>
      <c r="V356" s="723"/>
      <c r="W356" s="723"/>
      <c r="X356" s="723"/>
      <c r="Y356" s="723"/>
      <c r="Z356" s="723"/>
      <c r="AA356" s="65"/>
      <c r="AB356" s="65"/>
      <c r="AC356" s="79"/>
    </row>
    <row r="357" spans="1:68" ht="14.25" customHeight="1" x14ac:dyDescent="0.25">
      <c r="A357" s="724" t="s">
        <v>122</v>
      </c>
      <c r="B357" s="724"/>
      <c r="C357" s="724"/>
      <c r="D357" s="724"/>
      <c r="E357" s="724"/>
      <c r="F357" s="724"/>
      <c r="G357" s="724"/>
      <c r="H357" s="724"/>
      <c r="I357" s="724"/>
      <c r="J357" s="724"/>
      <c r="K357" s="724"/>
      <c r="L357" s="724"/>
      <c r="M357" s="724"/>
      <c r="N357" s="724"/>
      <c r="O357" s="724"/>
      <c r="P357" s="724"/>
      <c r="Q357" s="724"/>
      <c r="R357" s="724"/>
      <c r="S357" s="724"/>
      <c r="T357" s="724"/>
      <c r="U357" s="724"/>
      <c r="V357" s="724"/>
      <c r="W357" s="724"/>
      <c r="X357" s="724"/>
      <c r="Y357" s="724"/>
      <c r="Z357" s="724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4301012324</v>
      </c>
      <c r="D358" s="725">
        <v>4680115887947</v>
      </c>
      <c r="E358" s="72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7"/>
      <c r="R358" s="727"/>
      <c r="S358" s="727"/>
      <c r="T358" s="72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592</v>
      </c>
      <c r="B359" s="63" t="s">
        <v>593</v>
      </c>
      <c r="C359" s="36">
        <v>4301012325</v>
      </c>
      <c r="D359" s="725">
        <v>4680115887978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4301012327</v>
      </c>
      <c r="D360" s="725">
        <v>4680115887992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733"/>
      <c r="B361" s="733"/>
      <c r="C361" s="733"/>
      <c r="D361" s="733"/>
      <c r="E361" s="733"/>
      <c r="F361" s="733"/>
      <c r="G361" s="733"/>
      <c r="H361" s="733"/>
      <c r="I361" s="733"/>
      <c r="J361" s="733"/>
      <c r="K361" s="733"/>
      <c r="L361" s="733"/>
      <c r="M361" s="733"/>
      <c r="N361" s="733"/>
      <c r="O361" s="734"/>
      <c r="P361" s="730" t="s">
        <v>40</v>
      </c>
      <c r="Q361" s="731"/>
      <c r="R361" s="731"/>
      <c r="S361" s="731"/>
      <c r="T361" s="731"/>
      <c r="U361" s="731"/>
      <c r="V361" s="732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customHeight="1" x14ac:dyDescent="0.25">
      <c r="A363" s="723" t="s">
        <v>598</v>
      </c>
      <c r="B363" s="723"/>
      <c r="C363" s="723"/>
      <c r="D363" s="723"/>
      <c r="E363" s="723"/>
      <c r="F363" s="723"/>
      <c r="G363" s="723"/>
      <c r="H363" s="723"/>
      <c r="I363" s="723"/>
      <c r="J363" s="723"/>
      <c r="K363" s="723"/>
      <c r="L363" s="723"/>
      <c r="M363" s="723"/>
      <c r="N363" s="723"/>
      <c r="O363" s="723"/>
      <c r="P363" s="723"/>
      <c r="Q363" s="723"/>
      <c r="R363" s="723"/>
      <c r="S363" s="723"/>
      <c r="T363" s="723"/>
      <c r="U363" s="723"/>
      <c r="V363" s="723"/>
      <c r="W363" s="723"/>
      <c r="X363" s="723"/>
      <c r="Y363" s="723"/>
      <c r="Z363" s="723"/>
      <c r="AA363" s="65"/>
      <c r="AB363" s="65"/>
      <c r="AC363" s="79"/>
    </row>
    <row r="364" spans="1:68" ht="14.25" customHeight="1" x14ac:dyDescent="0.25">
      <c r="A364" s="724" t="s">
        <v>122</v>
      </c>
      <c r="B364" s="724"/>
      <c r="C364" s="724"/>
      <c r="D364" s="724"/>
      <c r="E364" s="724"/>
      <c r="F364" s="724"/>
      <c r="G364" s="724"/>
      <c r="H364" s="724"/>
      <c r="I364" s="724"/>
      <c r="J364" s="724"/>
      <c r="K364" s="724"/>
      <c r="L364" s="724"/>
      <c r="M364" s="724"/>
      <c r="N364" s="724"/>
      <c r="O364" s="724"/>
      <c r="P364" s="724"/>
      <c r="Q364" s="724"/>
      <c r="R364" s="724"/>
      <c r="S364" s="724"/>
      <c r="T364" s="724"/>
      <c r="U364" s="724"/>
      <c r="V364" s="724"/>
      <c r="W364" s="724"/>
      <c r="X364" s="724"/>
      <c r="Y364" s="724"/>
      <c r="Z364" s="724"/>
      <c r="AA364" s="66"/>
      <c r="AB364" s="66"/>
      <c r="AC364" s="80"/>
    </row>
    <row r="365" spans="1:68" ht="27" customHeight="1" x14ac:dyDescent="0.25">
      <c r="A365" s="63" t="s">
        <v>599</v>
      </c>
      <c r="B365" s="63" t="s">
        <v>600</v>
      </c>
      <c r="C365" s="36">
        <v>4301012400</v>
      </c>
      <c r="D365" s="725">
        <v>4680115889880</v>
      </c>
      <c r="E365" s="72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2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7"/>
      <c r="R365" s="727"/>
      <c r="S365" s="727"/>
      <c r="T365" s="72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customHeight="1" x14ac:dyDescent="0.25">
      <c r="A366" s="63" t="s">
        <v>601</v>
      </c>
      <c r="B366" s="63" t="s">
        <v>602</v>
      </c>
      <c r="C366" s="36">
        <v>4301012360</v>
      </c>
      <c r="D366" s="725">
        <v>4680115889293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customHeight="1" x14ac:dyDescent="0.25">
      <c r="A368" s="63" t="s">
        <v>607</v>
      </c>
      <c r="B368" s="63" t="s">
        <v>608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613</v>
      </c>
      <c r="B370" s="63" t="s">
        <v>614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customHeight="1" x14ac:dyDescent="0.25">
      <c r="A375" s="63" t="s">
        <v>618</v>
      </c>
      <c r="B375" s="63" t="s">
        <v>619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customHeight="1" x14ac:dyDescent="0.25">
      <c r="A377" s="63" t="s">
        <v>624</v>
      </c>
      <c r="B377" s="63" t="s">
        <v>625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627</v>
      </c>
      <c r="B378" s="63" t="s">
        <v>628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customHeight="1" x14ac:dyDescent="0.25">
      <c r="A385" s="63" t="s">
        <v>637</v>
      </c>
      <c r="B385" s="63" t="s">
        <v>638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646</v>
      </c>
      <c r="B388" s="63" t="s">
        <v>647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724" t="s">
        <v>179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customHeight="1" x14ac:dyDescent="0.25">
      <c r="A392" s="63" t="s">
        <v>648</v>
      </c>
      <c r="B392" s="63" t="s">
        <v>649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724" t="s">
        <v>278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customHeight="1" x14ac:dyDescent="0.25">
      <c r="A398" s="63" t="s">
        <v>657</v>
      </c>
      <c r="B398" s="63" t="s">
        <v>658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660</v>
      </c>
      <c r="B399" s="63" t="s">
        <v>661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664</v>
      </c>
      <c r="B401" s="63" t="s">
        <v>665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724" t="s">
        <v>666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customHeight="1" x14ac:dyDescent="0.25">
      <c r="A405" s="63" t="s">
        <v>667</v>
      </c>
      <c r="B405" s="63" t="s">
        <v>668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724" t="s">
        <v>675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723" t="s">
        <v>684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customHeight="1" x14ac:dyDescent="0.25">
      <c r="A418" s="63" t="s">
        <v>685</v>
      </c>
      <c r="B418" s="63" t="s">
        <v>686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688</v>
      </c>
      <c r="B419" s="63" t="s">
        <v>689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723" t="s">
        <v>691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customHeight="1" x14ac:dyDescent="0.25">
      <c r="A424" s="63" t="s">
        <v>692</v>
      </c>
      <c r="B424" s="63" t="s">
        <v>693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695</v>
      </c>
      <c r="B425" s="63" t="s">
        <v>696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">
      <c r="A429" s="722" t="s">
        <v>701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customHeight="1" x14ac:dyDescent="0.25">
      <c r="A430" s="723" t="s">
        <v>702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customHeight="1" x14ac:dyDescent="0.25">
      <c r="A432" s="63" t="s">
        <v>703</v>
      </c>
      <c r="B432" s="63" t="s">
        <v>704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706</v>
      </c>
      <c r="B433" s="63" t="s">
        <v>707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customHeight="1" x14ac:dyDescent="0.25">
      <c r="A434" s="63" t="s">
        <v>709</v>
      </c>
      <c r="B434" s="63" t="s">
        <v>710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715</v>
      </c>
      <c r="B436" s="63" t="s">
        <v>716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721</v>
      </c>
      <c r="B438" s="63" t="s">
        <v>722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customHeight="1" x14ac:dyDescent="0.25">
      <c r="A439" s="63" t="s">
        <v>724</v>
      </c>
      <c r="B439" s="63" t="s">
        <v>725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724" t="s">
        <v>159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730</v>
      </c>
      <c r="B444" s="63" t="s">
        <v>731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733</v>
      </c>
      <c r="B445" s="63" t="s">
        <v>734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customHeight="1" x14ac:dyDescent="0.25">
      <c r="A449" s="63" t="s">
        <v>736</v>
      </c>
      <c r="B449" s="63" t="s">
        <v>737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739</v>
      </c>
      <c r="B450" s="63" t="s">
        <v>740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724" t="s">
        <v>179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customHeight="1" x14ac:dyDescent="0.25">
      <c r="A455" s="63" t="s">
        <v>745</v>
      </c>
      <c r="B455" s="63" t="s">
        <v>746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748</v>
      </c>
      <c r="B456" s="63" t="s">
        <v>749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723" t="s">
        <v>751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customHeight="1" x14ac:dyDescent="0.25">
      <c r="A461" s="63" t="s">
        <v>752</v>
      </c>
      <c r="B461" s="63" t="s">
        <v>753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755</v>
      </c>
      <c r="B462" s="63" t="s">
        <v>756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customHeight="1" x14ac:dyDescent="0.25">
      <c r="A466" s="63" t="s">
        <v>757</v>
      </c>
      <c r="B466" s="63" t="s">
        <v>758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763</v>
      </c>
      <c r="B472" s="63" t="s">
        <v>765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722" t="s">
        <v>767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customHeight="1" x14ac:dyDescent="0.25">
      <c r="A476" s="723" t="s">
        <v>768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customHeight="1" x14ac:dyDescent="0.25">
      <c r="A478" s="63" t="s">
        <v>769</v>
      </c>
      <c r="B478" s="63" t="s">
        <v>770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customHeight="1" x14ac:dyDescent="0.25">
      <c r="A479" s="63" t="s">
        <v>772</v>
      </c>
      <c r="B479" s="63" t="s">
        <v>773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777</v>
      </c>
      <c r="B481" s="63" t="s">
        <v>778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780</v>
      </c>
      <c r="B482" s="63" t="s">
        <v>781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customHeight="1" x14ac:dyDescent="0.25">
      <c r="A483" s="63" t="s">
        <v>783</v>
      </c>
      <c r="B483" s="63" t="s">
        <v>784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customHeight="1" x14ac:dyDescent="0.25">
      <c r="A487" s="63" t="s">
        <v>785</v>
      </c>
      <c r="B487" s="63" t="s">
        <v>786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788</v>
      </c>
      <c r="B488" s="63" t="s">
        <v>789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723" t="s">
        <v>791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customHeight="1" x14ac:dyDescent="0.25">
      <c r="A492" s="724" t="s">
        <v>159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customHeight="1" x14ac:dyDescent="0.25">
      <c r="A493" s="63" t="s">
        <v>792</v>
      </c>
      <c r="B493" s="63" t="s">
        <v>793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">
      <c r="A502" s="722" t="s">
        <v>803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customHeight="1" x14ac:dyDescent="0.25">
      <c r="A503" s="723" t="s">
        <v>803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customHeight="1" x14ac:dyDescent="0.25">
      <c r="A505" s="63" t="s">
        <v>804</v>
      </c>
      <c r="B505" s="63" t="s">
        <v>805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customHeight="1" x14ac:dyDescent="0.25">
      <c r="A506" s="63" t="s">
        <v>806</v>
      </c>
      <c r="B506" s="63" t="s">
        <v>807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customHeight="1" x14ac:dyDescent="0.25">
      <c r="A507" s="63" t="s">
        <v>809</v>
      </c>
      <c r="B507" s="63" t="s">
        <v>810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customHeight="1" x14ac:dyDescent="0.25">
      <c r="A509" s="63" t="s">
        <v>815</v>
      </c>
      <c r="B509" s="63" t="s">
        <v>816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818</v>
      </c>
      <c r="B510" s="63" t="s">
        <v>819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825</v>
      </c>
      <c r="B513" s="63" t="s">
        <v>826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724" t="s">
        <v>159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827</v>
      </c>
      <c r="B517" s="63" t="s">
        <v>828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830</v>
      </c>
      <c r="B518" s="63" t="s">
        <v>831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832</v>
      </c>
      <c r="B519" s="63" t="s">
        <v>833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customHeight="1" x14ac:dyDescent="0.25">
      <c r="A523" s="63" t="s">
        <v>834</v>
      </c>
      <c r="B523" s="63" t="s">
        <v>835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837</v>
      </c>
      <c r="B524" s="63" t="s">
        <v>838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845</v>
      </c>
      <c r="B528" s="63" t="s">
        <v>847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849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">
      <c r="A532" s="722" t="s">
        <v>850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customHeight="1" x14ac:dyDescent="0.25">
      <c r="A533" s="723" t="s">
        <v>850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customHeight="1" x14ac:dyDescent="0.25">
      <c r="A535" s="63" t="s">
        <v>851</v>
      </c>
      <c r="B535" s="63" t="s">
        <v>852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724" t="s">
        <v>159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customHeight="1" x14ac:dyDescent="0.25">
      <c r="A539" s="63" t="s">
        <v>854</v>
      </c>
      <c r="B539" s="63" t="s">
        <v>855</v>
      </c>
      <c r="C539" s="36">
        <v>4301020444</v>
      </c>
      <c r="D539" s="725">
        <v>4680115889781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90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729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customHeight="1" x14ac:dyDescent="0.25">
      <c r="A543" s="63" t="s">
        <v>856</v>
      </c>
      <c r="B543" s="63" t="s">
        <v>857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858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customHeight="1" x14ac:dyDescent="0.25">
      <c r="A547" s="63" t="s">
        <v>859</v>
      </c>
      <c r="B547" s="63" t="s">
        <v>860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861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24" t="s">
        <v>179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customHeight="1" x14ac:dyDescent="0.25">
      <c r="A551" s="63" t="s">
        <v>862</v>
      </c>
      <c r="B551" s="63" t="s">
        <v>863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864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customHeight="1" x14ac:dyDescent="0.25">
      <c r="A552" s="63" t="s">
        <v>865</v>
      </c>
      <c r="B552" s="63" t="s">
        <v>866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customHeight="1" x14ac:dyDescent="0.25">
      <c r="A555" s="723" t="s">
        <v>868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customHeight="1" x14ac:dyDescent="0.25">
      <c r="A556" s="724" t="s">
        <v>159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customHeight="1" x14ac:dyDescent="0.25">
      <c r="A557" s="63" t="s">
        <v>869</v>
      </c>
      <c r="B557" s="63" t="s">
        <v>870</v>
      </c>
      <c r="C557" s="36">
        <v>4301020441</v>
      </c>
      <c r="D557" s="725">
        <v>4680115889798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871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0</v>
      </c>
      <c r="Y560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0</v>
      </c>
      <c r="Y561" s="43">
        <f>IFERROR(SUM(BN22:BN557),"0")</f>
        <v>0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0</v>
      </c>
      <c r="Y562" s="44">
        <f>ROUNDUP(SUM(BP22:BP557),0)</f>
        <v>0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0</v>
      </c>
      <c r="Y563" s="43">
        <f>GrossWeightTotalR+PalletQtyTotalR*25</f>
        <v>0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0</v>
      </c>
      <c r="Y564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0</v>
      </c>
      <c r="Z564" s="42"/>
      <c r="AA564" s="67"/>
      <c r="AB564" s="67"/>
      <c r="AC564" s="67"/>
    </row>
    <row r="565" spans="1:32" ht="14.25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548+Z553+Z558,"0")</f>
        <v>0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3" t="s">
        <v>120</v>
      </c>
      <c r="E567" s="1013" t="s">
        <v>120</v>
      </c>
      <c r="F567" s="1013" t="s">
        <v>120</v>
      </c>
      <c r="G567" s="1013" t="s">
        <v>120</v>
      </c>
      <c r="H567" s="1013" t="s">
        <v>120</v>
      </c>
      <c r="I567" s="1013" t="s">
        <v>120</v>
      </c>
      <c r="J567" s="1013" t="s">
        <v>120</v>
      </c>
      <c r="K567" s="1013" t="s">
        <v>346</v>
      </c>
      <c r="L567" s="1013" t="s">
        <v>346</v>
      </c>
      <c r="M567" s="1013" t="s">
        <v>346</v>
      </c>
      <c r="N567" s="1022"/>
      <c r="O567" s="1013" t="s">
        <v>346</v>
      </c>
      <c r="P567" s="1013" t="s">
        <v>346</v>
      </c>
      <c r="Q567" s="1013" t="s">
        <v>346</v>
      </c>
      <c r="R567" s="1013" t="s">
        <v>346</v>
      </c>
      <c r="S567" s="1013" t="s">
        <v>346</v>
      </c>
      <c r="T567" s="1013" t="s">
        <v>346</v>
      </c>
      <c r="U567" s="1013" t="s">
        <v>346</v>
      </c>
      <c r="V567" s="1013" t="s">
        <v>346</v>
      </c>
      <c r="W567" s="1013" t="s">
        <v>701</v>
      </c>
      <c r="X567" s="1013" t="s">
        <v>701</v>
      </c>
      <c r="Y567" s="1013" t="s">
        <v>767</v>
      </c>
      <c r="Z567" s="1013" t="s">
        <v>767</v>
      </c>
      <c r="AA567" s="85" t="s">
        <v>803</v>
      </c>
      <c r="AB567" s="1013" t="s">
        <v>850</v>
      </c>
      <c r="AC567" s="1013" t="s">
        <v>850</v>
      </c>
      <c r="AF567" s="1"/>
    </row>
    <row r="568" spans="1:32" ht="14.25" customHeight="1" thickTop="1" x14ac:dyDescent="0.2">
      <c r="A568" s="1023" t="s">
        <v>10</v>
      </c>
      <c r="B568" s="1013" t="s">
        <v>76</v>
      </c>
      <c r="C568" s="1013" t="s">
        <v>104</v>
      </c>
      <c r="D568" s="1013" t="s">
        <v>121</v>
      </c>
      <c r="E568" s="1013" t="s">
        <v>137</v>
      </c>
      <c r="F568" s="1013" t="s">
        <v>187</v>
      </c>
      <c r="G568" s="1013" t="s">
        <v>210</v>
      </c>
      <c r="H568" s="1013" t="s">
        <v>250</v>
      </c>
      <c r="I568" s="1013" t="s">
        <v>263</v>
      </c>
      <c r="J568" s="1013" t="s">
        <v>120</v>
      </c>
      <c r="K568" s="1013" t="s">
        <v>347</v>
      </c>
      <c r="L568" s="1013" t="s">
        <v>368</v>
      </c>
      <c r="M568" s="1013" t="s">
        <v>442</v>
      </c>
      <c r="N568" s="1"/>
      <c r="O568" s="1013" t="s">
        <v>510</v>
      </c>
      <c r="P568" s="1013" t="s">
        <v>539</v>
      </c>
      <c r="Q568" s="1013" t="s">
        <v>559</v>
      </c>
      <c r="R568" s="1013" t="s">
        <v>568</v>
      </c>
      <c r="S568" s="1013" t="s">
        <v>589</v>
      </c>
      <c r="T568" s="1013" t="s">
        <v>598</v>
      </c>
      <c r="U568" s="1013" t="s">
        <v>684</v>
      </c>
      <c r="V568" s="1013" t="s">
        <v>691</v>
      </c>
      <c r="W568" s="1013" t="s">
        <v>702</v>
      </c>
      <c r="X568" s="1013" t="s">
        <v>751</v>
      </c>
      <c r="Y568" s="1013" t="s">
        <v>768</v>
      </c>
      <c r="Z568" s="1013" t="s">
        <v>791</v>
      </c>
      <c r="AA568" s="1013" t="s">
        <v>803</v>
      </c>
      <c r="AB568" s="1013" t="s">
        <v>850</v>
      </c>
      <c r="AC568" s="1013" t="s">
        <v>868</v>
      </c>
      <c r="AF568" s="1"/>
    </row>
    <row r="569" spans="1:32" ht="13.5" thickBot="1" x14ac:dyDescent="0.25">
      <c r="A569" s="1024"/>
      <c r="B569" s="1013"/>
      <c r="C569" s="1013"/>
      <c r="D569" s="1013"/>
      <c r="E569" s="1013"/>
      <c r="F569" s="1013"/>
      <c r="G569" s="1013"/>
      <c r="H569" s="1013"/>
      <c r="I569" s="1013"/>
      <c r="J569" s="1013"/>
      <c r="K569" s="1013"/>
      <c r="L569" s="1013"/>
      <c r="M569" s="1013"/>
      <c r="N569" s="1"/>
      <c r="O569" s="1013"/>
      <c r="P569" s="1013"/>
      <c r="Q569" s="1013"/>
      <c r="R569" s="1013"/>
      <c r="S569" s="1013"/>
      <c r="T569" s="1013"/>
      <c r="U569" s="1013"/>
      <c r="V569" s="1013"/>
      <c r="W569" s="1013"/>
      <c r="X569" s="1013"/>
      <c r="Y569" s="1013"/>
      <c r="Z569" s="1013"/>
      <c r="AA569" s="1013"/>
      <c r="AB569" s="1013"/>
      <c r="AC569" s="1013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70" s="52">
        <f>IFERROR(Y88*1,"0")+IFERROR(Y89*1,"0")+IFERROR(Y90*1,"0")+IFERROR(Y91*1,"0")+IFERROR(Y92*1,"0")+IFERROR(Y96*1,"0")+IFERROR(Y97*1,"0")+IFERROR(Y98*1,"0")+IFERROR(Y99*1,"0")</f>
        <v>0</v>
      </c>
      <c r="G570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0" s="52">
        <f>IFERROR(Y134*1,"0")+IFERROR(Y135*1,"0")+IFERROR(Y139*1,"0")+IFERROR(Y140*1,"0")+IFERROR(Y144*1,"0")+IFERROR(Y145*1,"0")</f>
        <v>0</v>
      </c>
      <c r="I570" s="52">
        <f>IFERROR(Y150*1,"0")+IFERROR(Y151*1,"0")+IFERROR(Y152*1,"0")+IFERROR(Y153*1,"0")+IFERROR(Y154*1,"0")+IFERROR(Y155*1,"0")+IFERROR(Y159*1,"0")</f>
        <v>0</v>
      </c>
      <c r="J570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0" s="52">
        <f>IFERROR(Y206*1,"0")+IFERROR(Y207*1,"0")+IFERROR(Y208*1,"0")+IFERROR(Y209*1,"0")+IFERROR(Y210*1,"0")+IFERROR(Y211*1,"0")+IFERROR(Y212*1,"0")</f>
        <v>0</v>
      </c>
      <c r="L570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</f>
        <v>0</v>
      </c>
      <c r="P570" s="52">
        <f>IFERROR(Y327*1,"0")+IFERROR(Y328*1,"0")+IFERROR(Y329*1,"0")+IFERROR(Y330*1,"0")+IFERROR(Y331*1,"0")+IFERROR(Y332*1,"0")</f>
        <v>0</v>
      </c>
      <c r="Q570" s="52">
        <f>IFERROR(Y337*1,"0")+IFERROR(Y338*1,"0")+IFERROR(Y339*1,"0")</f>
        <v>0</v>
      </c>
      <c r="R570" s="52">
        <f>IFERROR(Y344*1,"0")+IFERROR(Y345*1,"0")+IFERROR(Y346*1,"0")+IFERROR(Y347*1,"0")+IFERROR(Y348*1,"0")+IFERROR(Y352*1,"0")+IFERROR(Y353*1,"0")</f>
        <v>0</v>
      </c>
      <c r="S570" s="52">
        <f>IFERROR(Y358*1,"0")+IFERROR(Y359*1,"0")+IFERROR(Y360*1,"0")</f>
        <v>0</v>
      </c>
      <c r="T570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DNOu7XZxsVG0xL4cMPE6Lje+xfp/Mz6V4N2D3Idiv9QsuFD3PdLf/zSCe3OodEao6heG2zfZz6y8TSCD/9kEog==" saltValue="6trWteSAdr3u0r3WGRMM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V568:V569"/>
    <mergeCell ref="W568:W569"/>
    <mergeCell ref="X568:X569"/>
    <mergeCell ref="Y568:Y569"/>
    <mergeCell ref="Z568:Z569"/>
    <mergeCell ref="AA568:AA569"/>
    <mergeCell ref="AB568:AB569"/>
    <mergeCell ref="AC568:AC569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P553:V553"/>
    <mergeCell ref="A553:O554"/>
    <mergeCell ref="P554:V554"/>
    <mergeCell ref="A555:Z555"/>
    <mergeCell ref="A556:Z556"/>
    <mergeCell ref="D557:E557"/>
    <mergeCell ref="P557:T557"/>
    <mergeCell ref="S568:S569"/>
    <mergeCell ref="T568:T569"/>
    <mergeCell ref="U568:U569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AijI93HPPdsO6GgP4QSs7ptbj03sC/b7Xz7das5/8Ivq+NzYh5KJgVxq0NdzsXlTaHcRABcwVWvr9qhHza3CQQ==" saltValue="PKt71JT52nQZHQbsMmV4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1182</vt:i4>
      </vt:variant>
    </vt:vector>
  </HeadingPairs>
  <TitlesOfParts>
    <vt:vector size="11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