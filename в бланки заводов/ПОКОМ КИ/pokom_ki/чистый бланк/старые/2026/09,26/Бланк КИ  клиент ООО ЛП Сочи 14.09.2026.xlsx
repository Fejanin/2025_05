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A9B44B3-6D5C-42C9-AB50-5337DF4F2FF2}" xr6:coauthVersionLast="47" xr6:coauthVersionMax="47" xr10:uidLastSave="{00000000-0000-0000-0000-000000000000}"/>
  <bookViews>
    <workbookView xWindow="-165" yWindow="15" windowWidth="23595" windowHeight="1545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Z555" i="2"/>
  <c r="Y555" i="2"/>
  <c r="BN555" i="2" s="1"/>
  <c r="BO554" i="2"/>
  <c r="BN554" i="2"/>
  <c r="BM554" i="2"/>
  <c r="Y554" i="2"/>
  <c r="AC568" i="2" s="1"/>
  <c r="P554" i="2"/>
  <c r="X551" i="2"/>
  <c r="X550" i="2"/>
  <c r="BO549" i="2"/>
  <c r="BM549" i="2"/>
  <c r="Y549" i="2"/>
  <c r="BN549" i="2" s="1"/>
  <c r="P549" i="2"/>
  <c r="BO548" i="2"/>
  <c r="BN548" i="2"/>
  <c r="BM548" i="2"/>
  <c r="Y548" i="2"/>
  <c r="Z548" i="2" s="1"/>
  <c r="P548" i="2"/>
  <c r="Y546" i="2"/>
  <c r="X546" i="2"/>
  <c r="X545" i="2"/>
  <c r="BO544" i="2"/>
  <c r="BN544" i="2"/>
  <c r="BM544" i="2"/>
  <c r="Y544" i="2"/>
  <c r="Y545" i="2" s="1"/>
  <c r="P544" i="2"/>
  <c r="Y542" i="2"/>
  <c r="X542" i="2"/>
  <c r="X541" i="2"/>
  <c r="BO540" i="2"/>
  <c r="BM540" i="2"/>
  <c r="Y540" i="2"/>
  <c r="Y541" i="2" s="1"/>
  <c r="P540" i="2"/>
  <c r="X538" i="2"/>
  <c r="X537" i="2"/>
  <c r="BO536" i="2"/>
  <c r="BN536" i="2"/>
  <c r="BM536" i="2"/>
  <c r="Y536" i="2"/>
  <c r="Z536" i="2" s="1"/>
  <c r="Z537" i="2" s="1"/>
  <c r="P536" i="2"/>
  <c r="Y534" i="2"/>
  <c r="X534" i="2"/>
  <c r="X533" i="2"/>
  <c r="BO532" i="2"/>
  <c r="BN532" i="2"/>
  <c r="BM532" i="2"/>
  <c r="Y532" i="2"/>
  <c r="P532" i="2"/>
  <c r="X528" i="2"/>
  <c r="X527" i="2"/>
  <c r="BO526" i="2"/>
  <c r="BM526" i="2"/>
  <c r="Y526" i="2"/>
  <c r="BP526" i="2" s="1"/>
  <c r="P526" i="2"/>
  <c r="BO525" i="2"/>
  <c r="BN525" i="2"/>
  <c r="BM525" i="2"/>
  <c r="Y525" i="2"/>
  <c r="BP525" i="2" s="1"/>
  <c r="P525" i="2"/>
  <c r="BP524" i="2"/>
  <c r="BO524" i="2"/>
  <c r="BM524" i="2"/>
  <c r="Y524" i="2"/>
  <c r="BN524" i="2" s="1"/>
  <c r="P524" i="2"/>
  <c r="BO523" i="2"/>
  <c r="BM523" i="2"/>
  <c r="Y523" i="2"/>
  <c r="BP523" i="2" s="1"/>
  <c r="P523" i="2"/>
  <c r="BO522" i="2"/>
  <c r="BM522" i="2"/>
  <c r="Y522" i="2"/>
  <c r="P522" i="2"/>
  <c r="BO521" i="2"/>
  <c r="BN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Z509" i="2"/>
  <c r="Y509" i="2"/>
  <c r="BN509" i="2" s="1"/>
  <c r="P509" i="2"/>
  <c r="BO508" i="2"/>
  <c r="BN508" i="2"/>
  <c r="BM508" i="2"/>
  <c r="Y508" i="2"/>
  <c r="BP508" i="2" s="1"/>
  <c r="P508" i="2"/>
  <c r="BP507" i="2"/>
  <c r="BO507" i="2"/>
  <c r="BM507" i="2"/>
  <c r="Z507" i="2"/>
  <c r="Y507" i="2"/>
  <c r="BN507" i="2" s="1"/>
  <c r="P507" i="2"/>
  <c r="BO506" i="2"/>
  <c r="BM506" i="2"/>
  <c r="Y506" i="2"/>
  <c r="BP506" i="2" s="1"/>
  <c r="P506" i="2"/>
  <c r="BO505" i="2"/>
  <c r="BN505" i="2"/>
  <c r="BM505" i="2"/>
  <c r="Y505" i="2"/>
  <c r="BP505" i="2" s="1"/>
  <c r="P505" i="2"/>
  <c r="BP504" i="2"/>
  <c r="BO504" i="2"/>
  <c r="BM504" i="2"/>
  <c r="Y504" i="2"/>
  <c r="BN504" i="2" s="1"/>
  <c r="P504" i="2"/>
  <c r="BO503" i="2"/>
  <c r="BM503" i="2"/>
  <c r="Y503" i="2"/>
  <c r="P503" i="2"/>
  <c r="BO502" i="2"/>
  <c r="BM502" i="2"/>
  <c r="Z502" i="2"/>
  <c r="Y502" i="2"/>
  <c r="P502" i="2"/>
  <c r="X498" i="2"/>
  <c r="X497" i="2"/>
  <c r="BO496" i="2"/>
  <c r="BM496" i="2"/>
  <c r="Y496" i="2"/>
  <c r="P496" i="2"/>
  <c r="BO495" i="2"/>
  <c r="BN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P485" i="2"/>
  <c r="BO485" i="2"/>
  <c r="BM485" i="2"/>
  <c r="Y485" i="2"/>
  <c r="P485" i="2"/>
  <c r="BO484" i="2"/>
  <c r="BN484" i="2"/>
  <c r="BM484" i="2"/>
  <c r="Y484" i="2"/>
  <c r="Y487" i="2" s="1"/>
  <c r="P484" i="2"/>
  <c r="X482" i="2"/>
  <c r="X481" i="2"/>
  <c r="BO480" i="2"/>
  <c r="BN480" i="2"/>
  <c r="BM480" i="2"/>
  <c r="Y480" i="2"/>
  <c r="BP480" i="2" s="1"/>
  <c r="P480" i="2"/>
  <c r="BP479" i="2"/>
  <c r="BO479" i="2"/>
  <c r="BM479" i="2"/>
  <c r="Y479" i="2"/>
  <c r="BN479" i="2" s="1"/>
  <c r="P479" i="2"/>
  <c r="BO478" i="2"/>
  <c r="BM478" i="2"/>
  <c r="Y478" i="2"/>
  <c r="P478" i="2"/>
  <c r="BO477" i="2"/>
  <c r="BM477" i="2"/>
  <c r="Z477" i="2"/>
  <c r="Y477" i="2"/>
  <c r="P477" i="2"/>
  <c r="BO476" i="2"/>
  <c r="BM476" i="2"/>
  <c r="Y476" i="2"/>
  <c r="Z476" i="2" s="1"/>
  <c r="P476" i="2"/>
  <c r="BO475" i="2"/>
  <c r="BN475" i="2"/>
  <c r="BM475" i="2"/>
  <c r="Y475" i="2"/>
  <c r="P475" i="2"/>
  <c r="X471" i="2"/>
  <c r="X470" i="2"/>
  <c r="BO469" i="2"/>
  <c r="BM469" i="2"/>
  <c r="Y469" i="2"/>
  <c r="P469" i="2"/>
  <c r="BO468" i="2"/>
  <c r="BN468" i="2"/>
  <c r="BM468" i="2"/>
  <c r="Y468" i="2"/>
  <c r="BP468" i="2" s="1"/>
  <c r="P468" i="2"/>
  <c r="BP467" i="2"/>
  <c r="BO467" i="2"/>
  <c r="BM467" i="2"/>
  <c r="Y467" i="2"/>
  <c r="P467" i="2"/>
  <c r="X465" i="2"/>
  <c r="X464" i="2"/>
  <c r="BO463" i="2"/>
  <c r="BM463" i="2"/>
  <c r="Y463" i="2"/>
  <c r="Y465" i="2" s="1"/>
  <c r="P463" i="2"/>
  <c r="X461" i="2"/>
  <c r="X460" i="2"/>
  <c r="BP459" i="2"/>
  <c r="BO459" i="2"/>
  <c r="BN459" i="2"/>
  <c r="BM459" i="2"/>
  <c r="Z459" i="2"/>
  <c r="Y459" i="2"/>
  <c r="P459" i="2"/>
  <c r="BO458" i="2"/>
  <c r="BM458" i="2"/>
  <c r="Y458" i="2"/>
  <c r="P458" i="2"/>
  <c r="X455" i="2"/>
  <c r="X454" i="2"/>
  <c r="BO453" i="2"/>
  <c r="BN453" i="2"/>
  <c r="BM453" i="2"/>
  <c r="Y453" i="2"/>
  <c r="BP453" i="2" s="1"/>
  <c r="P453" i="2"/>
  <c r="BO452" i="2"/>
  <c r="BM452" i="2"/>
  <c r="Y452" i="2"/>
  <c r="P452" i="2"/>
  <c r="X450" i="2"/>
  <c r="X449" i="2"/>
  <c r="BO448" i="2"/>
  <c r="BN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N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Z433" i="2"/>
  <c r="Y433" i="2"/>
  <c r="BN433" i="2" s="1"/>
  <c r="P433" i="2"/>
  <c r="BO432" i="2"/>
  <c r="BN432" i="2"/>
  <c r="BM432" i="2"/>
  <c r="Y432" i="2"/>
  <c r="P432" i="2"/>
  <c r="BO431" i="2"/>
  <c r="BM431" i="2"/>
  <c r="Y431" i="2"/>
  <c r="P431" i="2"/>
  <c r="BO430" i="2"/>
  <c r="BM430" i="2"/>
  <c r="Y430" i="2"/>
  <c r="BP430" i="2" s="1"/>
  <c r="P430" i="2"/>
  <c r="BP429" i="2"/>
  <c r="BO429" i="2"/>
  <c r="BM429" i="2"/>
  <c r="Z429" i="2"/>
  <c r="Y429" i="2"/>
  <c r="BN429" i="2" s="1"/>
  <c r="P429" i="2"/>
  <c r="X425" i="2"/>
  <c r="X424" i="2"/>
  <c r="BO423" i="2"/>
  <c r="BM423" i="2"/>
  <c r="Y423" i="2"/>
  <c r="P423" i="2"/>
  <c r="BO422" i="2"/>
  <c r="BM422" i="2"/>
  <c r="Y422" i="2"/>
  <c r="BP422" i="2" s="1"/>
  <c r="P422" i="2"/>
  <c r="BO421" i="2"/>
  <c r="BM421" i="2"/>
  <c r="Z421" i="2"/>
  <c r="Y421" i="2"/>
  <c r="BP421" i="2" s="1"/>
  <c r="P421" i="2"/>
  <c r="X418" i="2"/>
  <c r="X417" i="2"/>
  <c r="BP416" i="2"/>
  <c r="BO416" i="2"/>
  <c r="BM416" i="2"/>
  <c r="Y416" i="2"/>
  <c r="P416" i="2"/>
  <c r="BO415" i="2"/>
  <c r="BN415" i="2"/>
  <c r="BM415" i="2"/>
  <c r="Y415" i="2"/>
  <c r="Z415" i="2" s="1"/>
  <c r="P415" i="2"/>
  <c r="Y412" i="2"/>
  <c r="X412" i="2"/>
  <c r="X411" i="2"/>
  <c r="BO410" i="2"/>
  <c r="BM410" i="2"/>
  <c r="Y410" i="2"/>
  <c r="BP410" i="2" s="1"/>
  <c r="P410" i="2"/>
  <c r="BO409" i="2"/>
  <c r="BN409" i="2"/>
  <c r="BM409" i="2"/>
  <c r="Y409" i="2"/>
  <c r="BP409" i="2" s="1"/>
  <c r="P409" i="2"/>
  <c r="BP408" i="2"/>
  <c r="BO408" i="2"/>
  <c r="BM408" i="2"/>
  <c r="Y408" i="2"/>
  <c r="Y411" i="2" s="1"/>
  <c r="P408" i="2"/>
  <c r="X406" i="2"/>
  <c r="X405" i="2"/>
  <c r="BO404" i="2"/>
  <c r="BM404" i="2"/>
  <c r="Y404" i="2"/>
  <c r="BP404" i="2" s="1"/>
  <c r="P404" i="2"/>
  <c r="BP403" i="2"/>
  <c r="BO403" i="2"/>
  <c r="BM403" i="2"/>
  <c r="Z403" i="2"/>
  <c r="Y403" i="2"/>
  <c r="BN403" i="2" s="1"/>
  <c r="P403" i="2"/>
  <c r="BO402" i="2"/>
  <c r="BN402" i="2"/>
  <c r="BM402" i="2"/>
  <c r="Y402" i="2"/>
  <c r="P402" i="2"/>
  <c r="X400" i="2"/>
  <c r="X399" i="2"/>
  <c r="BO398" i="2"/>
  <c r="BM398" i="2"/>
  <c r="Y398" i="2"/>
  <c r="BP398" i="2" s="1"/>
  <c r="P398" i="2"/>
  <c r="BO397" i="2"/>
  <c r="BM397" i="2"/>
  <c r="Z397" i="2"/>
  <c r="Y397" i="2"/>
  <c r="BN397" i="2" s="1"/>
  <c r="P397" i="2"/>
  <c r="BO396" i="2"/>
  <c r="BM396" i="2"/>
  <c r="Y396" i="2"/>
  <c r="P396" i="2"/>
  <c r="BO395" i="2"/>
  <c r="BM395" i="2"/>
  <c r="Y395" i="2"/>
  <c r="P395" i="2"/>
  <c r="X393" i="2"/>
  <c r="X392" i="2"/>
  <c r="BO391" i="2"/>
  <c r="BN391" i="2"/>
  <c r="BM391" i="2"/>
  <c r="Y391" i="2"/>
  <c r="BP391" i="2" s="1"/>
  <c r="P391" i="2"/>
  <c r="BP390" i="2"/>
  <c r="BO390" i="2"/>
  <c r="BN390" i="2"/>
  <c r="BM390" i="2"/>
  <c r="Z390" i="2"/>
  <c r="Y390" i="2"/>
  <c r="P390" i="2"/>
  <c r="BO389" i="2"/>
  <c r="BM389" i="2"/>
  <c r="Y389" i="2"/>
  <c r="P389" i="2"/>
  <c r="X387" i="2"/>
  <c r="X386" i="2"/>
  <c r="BO385" i="2"/>
  <c r="BN385" i="2"/>
  <c r="BM385" i="2"/>
  <c r="Y385" i="2"/>
  <c r="BP385" i="2" s="1"/>
  <c r="P385" i="2"/>
  <c r="BO384" i="2"/>
  <c r="BM384" i="2"/>
  <c r="Y384" i="2"/>
  <c r="P384" i="2"/>
  <c r="BO383" i="2"/>
  <c r="BM383" i="2"/>
  <c r="Y383" i="2"/>
  <c r="Z383" i="2" s="1"/>
  <c r="P383" i="2"/>
  <c r="BO382" i="2"/>
  <c r="BN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BN376" i="2" s="1"/>
  <c r="P376" i="2"/>
  <c r="BO375" i="2"/>
  <c r="BN375" i="2"/>
  <c r="BM375" i="2"/>
  <c r="Y375" i="2"/>
  <c r="BP375" i="2" s="1"/>
  <c r="P375" i="2"/>
  <c r="BO374" i="2"/>
  <c r="BM374" i="2"/>
  <c r="Y374" i="2"/>
  <c r="Z374" i="2" s="1"/>
  <c r="P374" i="2"/>
  <c r="BO373" i="2"/>
  <c r="BN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P368" i="2" s="1"/>
  <c r="P368" i="2"/>
  <c r="BO367" i="2"/>
  <c r="BN367" i="2"/>
  <c r="BM367" i="2"/>
  <c r="Y367" i="2"/>
  <c r="BP367" i="2" s="1"/>
  <c r="P367" i="2"/>
  <c r="BP366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P364" i="2"/>
  <c r="BO363" i="2"/>
  <c r="BN363" i="2"/>
  <c r="BM363" i="2"/>
  <c r="Y363" i="2"/>
  <c r="BP363" i="2" s="1"/>
  <c r="P363" i="2"/>
  <c r="Y360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N356" i="2"/>
  <c r="BM356" i="2"/>
  <c r="Y356" i="2"/>
  <c r="BP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Z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BN342" i="2" s="1"/>
  <c r="P342" i="2"/>
  <c r="X339" i="2"/>
  <c r="X338" i="2"/>
  <c r="BO337" i="2"/>
  <c r="BN337" i="2"/>
  <c r="BM337" i="2"/>
  <c r="Y337" i="2"/>
  <c r="P337" i="2"/>
  <c r="BO336" i="2"/>
  <c r="BM336" i="2"/>
  <c r="Y336" i="2"/>
  <c r="P336" i="2"/>
  <c r="BO335" i="2"/>
  <c r="BN335" i="2"/>
  <c r="BM335" i="2"/>
  <c r="Y335" i="2"/>
  <c r="P335" i="2"/>
  <c r="X332" i="2"/>
  <c r="X331" i="2"/>
  <c r="BP330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N327" i="2"/>
  <c r="BM327" i="2"/>
  <c r="Y327" i="2"/>
  <c r="Z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6" i="2" s="1"/>
  <c r="P315" i="2"/>
  <c r="X313" i="2"/>
  <c r="X312" i="2"/>
  <c r="BO311" i="2"/>
  <c r="BN311" i="2"/>
  <c r="BM311" i="2"/>
  <c r="Y311" i="2"/>
  <c r="Y312" i="2" s="1"/>
  <c r="P311" i="2"/>
  <c r="X309" i="2"/>
  <c r="X308" i="2"/>
  <c r="BO307" i="2"/>
  <c r="BM307" i="2"/>
  <c r="Y307" i="2"/>
  <c r="BN307" i="2" s="1"/>
  <c r="P307" i="2"/>
  <c r="BO306" i="2"/>
  <c r="BN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BO303" i="2"/>
  <c r="BN303" i="2"/>
  <c r="BM303" i="2"/>
  <c r="Y303" i="2"/>
  <c r="Z303" i="2" s="1"/>
  <c r="P303" i="2"/>
  <c r="BP302" i="2"/>
  <c r="BO302" i="2"/>
  <c r="BM302" i="2"/>
  <c r="Z302" i="2"/>
  <c r="Y302" i="2"/>
  <c r="BN302" i="2" s="1"/>
  <c r="P302" i="2"/>
  <c r="BO301" i="2"/>
  <c r="BM301" i="2"/>
  <c r="Y301" i="2"/>
  <c r="P301" i="2"/>
  <c r="X298" i="2"/>
  <c r="X297" i="2"/>
  <c r="BO296" i="2"/>
  <c r="BM296" i="2"/>
  <c r="Y296" i="2"/>
  <c r="P296" i="2"/>
  <c r="BO295" i="2"/>
  <c r="BN295" i="2"/>
  <c r="BM295" i="2"/>
  <c r="Y295" i="2"/>
  <c r="BP295" i="2" s="1"/>
  <c r="P295" i="2"/>
  <c r="X293" i="2"/>
  <c r="X292" i="2"/>
  <c r="BO291" i="2"/>
  <c r="BN291" i="2"/>
  <c r="BM291" i="2"/>
  <c r="Y291" i="2"/>
  <c r="BP291" i="2" s="1"/>
  <c r="P291" i="2"/>
  <c r="BO290" i="2"/>
  <c r="BM290" i="2"/>
  <c r="Y290" i="2"/>
  <c r="P290" i="2"/>
  <c r="BP289" i="2"/>
  <c r="BO289" i="2"/>
  <c r="BN289" i="2"/>
  <c r="BM289" i="2"/>
  <c r="Z289" i="2"/>
  <c r="Y289" i="2"/>
  <c r="P289" i="2"/>
  <c r="BO288" i="2"/>
  <c r="BM288" i="2"/>
  <c r="Y288" i="2"/>
  <c r="P288" i="2"/>
  <c r="BO287" i="2"/>
  <c r="BN287" i="2"/>
  <c r="BM287" i="2"/>
  <c r="Y287" i="2"/>
  <c r="BP287" i="2" s="1"/>
  <c r="P287" i="2"/>
  <c r="BP286" i="2"/>
  <c r="BO286" i="2"/>
  <c r="BM286" i="2"/>
  <c r="Y286" i="2"/>
  <c r="BN286" i="2" s="1"/>
  <c r="P286" i="2"/>
  <c r="BO285" i="2"/>
  <c r="BM285" i="2"/>
  <c r="Y285" i="2"/>
  <c r="P285" i="2"/>
  <c r="BO284" i="2"/>
  <c r="BM284" i="2"/>
  <c r="Z284" i="2"/>
  <c r="Y284" i="2"/>
  <c r="P284" i="2"/>
  <c r="BO283" i="2"/>
  <c r="BM283" i="2"/>
  <c r="Y283" i="2"/>
  <c r="Z283" i="2" s="1"/>
  <c r="P283" i="2"/>
  <c r="BO282" i="2"/>
  <c r="BN282" i="2"/>
  <c r="BM282" i="2"/>
  <c r="Y282" i="2"/>
  <c r="Z282" i="2" s="1"/>
  <c r="P282" i="2"/>
  <c r="BO281" i="2"/>
  <c r="BM281" i="2"/>
  <c r="Y281" i="2"/>
  <c r="P281" i="2"/>
  <c r="BO280" i="2"/>
  <c r="BN280" i="2"/>
  <c r="BM280" i="2"/>
  <c r="Y280" i="2"/>
  <c r="BP280" i="2" s="1"/>
  <c r="P280" i="2"/>
  <c r="X278" i="2"/>
  <c r="X277" i="2"/>
  <c r="BP276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P274" i="2"/>
  <c r="BO273" i="2"/>
  <c r="BN273" i="2"/>
  <c r="BM273" i="2"/>
  <c r="Y273" i="2"/>
  <c r="Z273" i="2" s="1"/>
  <c r="P273" i="2"/>
  <c r="BP272" i="2"/>
  <c r="BO272" i="2"/>
  <c r="BM272" i="2"/>
  <c r="Y272" i="2"/>
  <c r="P272" i="2"/>
  <c r="BO271" i="2"/>
  <c r="BN271" i="2"/>
  <c r="BM271" i="2"/>
  <c r="Y271" i="2"/>
  <c r="BP271" i="2" s="1"/>
  <c r="P271" i="2"/>
  <c r="BO270" i="2"/>
  <c r="BN270" i="2"/>
  <c r="BM270" i="2"/>
  <c r="Y270" i="2"/>
  <c r="BP270" i="2" s="1"/>
  <c r="P270" i="2"/>
  <c r="BO269" i="2"/>
  <c r="BM269" i="2"/>
  <c r="Y269" i="2"/>
  <c r="Y278" i="2" s="1"/>
  <c r="P269" i="2"/>
  <c r="X267" i="2"/>
  <c r="X266" i="2"/>
  <c r="BO265" i="2"/>
  <c r="BN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N260" i="2"/>
  <c r="BM260" i="2"/>
  <c r="Y260" i="2"/>
  <c r="P260" i="2"/>
  <c r="BO259" i="2"/>
  <c r="BM259" i="2"/>
  <c r="Y259" i="2"/>
  <c r="P259" i="2"/>
  <c r="X256" i="2"/>
  <c r="X255" i="2"/>
  <c r="BP254" i="2"/>
  <c r="BO254" i="2"/>
  <c r="BM254" i="2"/>
  <c r="Z254" i="2"/>
  <c r="Z255" i="2" s="1"/>
  <c r="Y254" i="2"/>
  <c r="Y256" i="2" s="1"/>
  <c r="P254" i="2"/>
  <c r="X252" i="2"/>
  <c r="X251" i="2"/>
  <c r="BO250" i="2"/>
  <c r="BM250" i="2"/>
  <c r="Y250" i="2"/>
  <c r="Z250" i="2" s="1"/>
  <c r="P250" i="2"/>
  <c r="BO249" i="2"/>
  <c r="BN249" i="2"/>
  <c r="BM249" i="2"/>
  <c r="Y249" i="2"/>
  <c r="Z249" i="2" s="1"/>
  <c r="P249" i="2"/>
  <c r="BO248" i="2"/>
  <c r="BM248" i="2"/>
  <c r="Y248" i="2"/>
  <c r="P248" i="2"/>
  <c r="X246" i="2"/>
  <c r="X245" i="2"/>
  <c r="BO244" i="2"/>
  <c r="BM244" i="2"/>
  <c r="Y244" i="2"/>
  <c r="BP244" i="2" s="1"/>
  <c r="P244" i="2"/>
  <c r="BO243" i="2"/>
  <c r="BM243" i="2"/>
  <c r="Y243" i="2"/>
  <c r="P243" i="2"/>
  <c r="BO242" i="2"/>
  <c r="BN242" i="2"/>
  <c r="BM242" i="2"/>
  <c r="Y242" i="2"/>
  <c r="BP242" i="2" s="1"/>
  <c r="P242" i="2"/>
  <c r="BO241" i="2"/>
  <c r="BM241" i="2"/>
  <c r="Y241" i="2"/>
  <c r="P241" i="2"/>
  <c r="BO240" i="2"/>
  <c r="BM240" i="2"/>
  <c r="Y240" i="2"/>
  <c r="Z240" i="2" s="1"/>
  <c r="P240" i="2"/>
  <c r="BO239" i="2"/>
  <c r="BN239" i="2"/>
  <c r="BM239" i="2"/>
  <c r="Y239" i="2"/>
  <c r="Z239" i="2" s="1"/>
  <c r="P239" i="2"/>
  <c r="BO238" i="2"/>
  <c r="BM238" i="2"/>
  <c r="Y238" i="2"/>
  <c r="P238" i="2"/>
  <c r="BO237" i="2"/>
  <c r="BN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N230" i="2"/>
  <c r="BM230" i="2"/>
  <c r="Y230" i="2"/>
  <c r="Z230" i="2" s="1"/>
  <c r="P230" i="2"/>
  <c r="BP229" i="2"/>
  <c r="BO229" i="2"/>
  <c r="BM229" i="2"/>
  <c r="Y229" i="2"/>
  <c r="P229" i="2"/>
  <c r="BO228" i="2"/>
  <c r="BN228" i="2"/>
  <c r="BM228" i="2"/>
  <c r="Y228" i="2"/>
  <c r="BP228" i="2" s="1"/>
  <c r="P228" i="2"/>
  <c r="BP227" i="2"/>
  <c r="BO227" i="2"/>
  <c r="BN227" i="2"/>
  <c r="BM227" i="2"/>
  <c r="Z227" i="2"/>
  <c r="Y227" i="2"/>
  <c r="P227" i="2"/>
  <c r="BO226" i="2"/>
  <c r="BM226" i="2"/>
  <c r="Y226" i="2"/>
  <c r="BN226" i="2" s="1"/>
  <c r="P226" i="2"/>
  <c r="BO225" i="2"/>
  <c r="BM225" i="2"/>
  <c r="Y225" i="2"/>
  <c r="P225" i="2"/>
  <c r="BO224" i="2"/>
  <c r="BN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N220" i="2"/>
  <c r="BM220" i="2"/>
  <c r="Y220" i="2"/>
  <c r="BP220" i="2" s="1"/>
  <c r="P220" i="2"/>
  <c r="BO219" i="2"/>
  <c r="BM219" i="2"/>
  <c r="Y219" i="2"/>
  <c r="P219" i="2"/>
  <c r="BP218" i="2"/>
  <c r="BO218" i="2"/>
  <c r="BN218" i="2"/>
  <c r="BM218" i="2"/>
  <c r="Z218" i="2"/>
  <c r="Y218" i="2"/>
  <c r="P218" i="2"/>
  <c r="X216" i="2"/>
  <c r="X215" i="2"/>
  <c r="BO214" i="2"/>
  <c r="BN214" i="2"/>
  <c r="BM214" i="2"/>
  <c r="Y214" i="2"/>
  <c r="Y216" i="2" s="1"/>
  <c r="P214" i="2"/>
  <c r="X211" i="2"/>
  <c r="X210" i="2"/>
  <c r="BO209" i="2"/>
  <c r="BM209" i="2"/>
  <c r="Y209" i="2"/>
  <c r="Z209" i="2" s="1"/>
  <c r="P209" i="2"/>
  <c r="BO208" i="2"/>
  <c r="BN208" i="2"/>
  <c r="BM208" i="2"/>
  <c r="Y208" i="2"/>
  <c r="Z208" i="2" s="1"/>
  <c r="P208" i="2"/>
  <c r="BO207" i="2"/>
  <c r="BM207" i="2"/>
  <c r="Y207" i="2"/>
  <c r="P207" i="2"/>
  <c r="BO206" i="2"/>
  <c r="BN206" i="2"/>
  <c r="BM206" i="2"/>
  <c r="Y206" i="2"/>
  <c r="BP206" i="2" s="1"/>
  <c r="P206" i="2"/>
  <c r="BO205" i="2"/>
  <c r="BM205" i="2"/>
  <c r="Y205" i="2"/>
  <c r="P205" i="2"/>
  <c r="BO204" i="2"/>
  <c r="BM204" i="2"/>
  <c r="Z204" i="2"/>
  <c r="Y204" i="2"/>
  <c r="BP204" i="2" s="1"/>
  <c r="P204" i="2"/>
  <c r="BO203" i="2"/>
  <c r="BM203" i="2"/>
  <c r="Y203" i="2"/>
  <c r="P203" i="2"/>
  <c r="X199" i="2"/>
  <c r="Y198" i="2"/>
  <c r="X198" i="2"/>
  <c r="BO197" i="2"/>
  <c r="BN197" i="2"/>
  <c r="BM197" i="2"/>
  <c r="Y197" i="2"/>
  <c r="Z197" i="2" s="1"/>
  <c r="Z198" i="2" s="1"/>
  <c r="P197" i="2"/>
  <c r="Y195" i="2"/>
  <c r="X195" i="2"/>
  <c r="X194" i="2"/>
  <c r="BP193" i="2"/>
  <c r="BO193" i="2"/>
  <c r="BM193" i="2"/>
  <c r="Z193" i="2"/>
  <c r="Z194" i="2" s="1"/>
  <c r="Y193" i="2"/>
  <c r="Y194" i="2" s="1"/>
  <c r="P193" i="2"/>
  <c r="X191" i="2"/>
  <c r="X190" i="2"/>
  <c r="BO189" i="2"/>
  <c r="BN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N183" i="2"/>
  <c r="BM183" i="2"/>
  <c r="Y183" i="2"/>
  <c r="BP183" i="2" s="1"/>
  <c r="P183" i="2"/>
  <c r="BP182" i="2"/>
  <c r="BO182" i="2"/>
  <c r="BN182" i="2"/>
  <c r="BM182" i="2"/>
  <c r="Z182" i="2"/>
  <c r="Y182" i="2"/>
  <c r="P182" i="2"/>
  <c r="BO181" i="2"/>
  <c r="BM181" i="2"/>
  <c r="Y181" i="2"/>
  <c r="P181" i="2"/>
  <c r="BO180" i="2"/>
  <c r="BM180" i="2"/>
  <c r="Z180" i="2"/>
  <c r="Y180" i="2"/>
  <c r="BP180" i="2" s="1"/>
  <c r="P180" i="2"/>
  <c r="BO179" i="2"/>
  <c r="BM179" i="2"/>
  <c r="Z179" i="2"/>
  <c r="Y179" i="2"/>
  <c r="BN179" i="2" s="1"/>
  <c r="P179" i="2"/>
  <c r="BO178" i="2"/>
  <c r="BN178" i="2"/>
  <c r="BM178" i="2"/>
  <c r="Y178" i="2"/>
  <c r="P178" i="2"/>
  <c r="BO177" i="2"/>
  <c r="BM177" i="2"/>
  <c r="Z177" i="2"/>
  <c r="Y177" i="2"/>
  <c r="P177" i="2"/>
  <c r="BO176" i="2"/>
  <c r="BM176" i="2"/>
  <c r="Y176" i="2"/>
  <c r="P176" i="2"/>
  <c r="BO175" i="2"/>
  <c r="BM175" i="2"/>
  <c r="Z175" i="2"/>
  <c r="Y175" i="2"/>
  <c r="BN175" i="2" s="1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P167" i="2"/>
  <c r="X165" i="2"/>
  <c r="X164" i="2"/>
  <c r="BP163" i="2"/>
  <c r="BO163" i="2"/>
  <c r="BN163" i="2"/>
  <c r="BM163" i="2"/>
  <c r="Z163" i="2"/>
  <c r="Y163" i="2"/>
  <c r="P163" i="2"/>
  <c r="BO162" i="2"/>
  <c r="BM162" i="2"/>
  <c r="Y162" i="2"/>
  <c r="BP162" i="2" s="1"/>
  <c r="P162" i="2"/>
  <c r="BO161" i="2"/>
  <c r="BM161" i="2"/>
  <c r="Y161" i="2"/>
  <c r="P161" i="2"/>
  <c r="X158" i="2"/>
  <c r="X157" i="2"/>
  <c r="BO156" i="2"/>
  <c r="BN156" i="2"/>
  <c r="BM156" i="2"/>
  <c r="Y156" i="2"/>
  <c r="Y158" i="2" s="1"/>
  <c r="P156" i="2"/>
  <c r="X154" i="2"/>
  <c r="X153" i="2"/>
  <c r="BO152" i="2"/>
  <c r="BM152" i="2"/>
  <c r="Y152" i="2"/>
  <c r="BP152" i="2" s="1"/>
  <c r="P152" i="2"/>
  <c r="BO151" i="2"/>
  <c r="BM151" i="2"/>
  <c r="Y151" i="2"/>
  <c r="P151" i="2"/>
  <c r="BP150" i="2"/>
  <c r="BO150" i="2"/>
  <c r="BN150" i="2"/>
  <c r="BM150" i="2"/>
  <c r="Z150" i="2"/>
  <c r="Y150" i="2"/>
  <c r="P150" i="2"/>
  <c r="BO149" i="2"/>
  <c r="BM149" i="2"/>
  <c r="Y149" i="2"/>
  <c r="P149" i="2"/>
  <c r="BO148" i="2"/>
  <c r="BN148" i="2"/>
  <c r="BM148" i="2"/>
  <c r="Y148" i="2"/>
  <c r="BP148" i="2" s="1"/>
  <c r="P148" i="2"/>
  <c r="BP147" i="2"/>
  <c r="BO147" i="2"/>
  <c r="BM147" i="2"/>
  <c r="Y147" i="2"/>
  <c r="BN147" i="2" s="1"/>
  <c r="P147" i="2"/>
  <c r="X144" i="2"/>
  <c r="X143" i="2"/>
  <c r="BO142" i="2"/>
  <c r="BM142" i="2"/>
  <c r="Y142" i="2"/>
  <c r="Y143" i="2" s="1"/>
  <c r="P142" i="2"/>
  <c r="BP141" i="2"/>
  <c r="BO141" i="2"/>
  <c r="BN141" i="2"/>
  <c r="BM141" i="2"/>
  <c r="Z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P132" i="2"/>
  <c r="BP131" i="2"/>
  <c r="BO131" i="2"/>
  <c r="BM131" i="2"/>
  <c r="Y131" i="2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BN122" i="2" s="1"/>
  <c r="P122" i="2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P119" i="2"/>
  <c r="X117" i="2"/>
  <c r="X116" i="2"/>
  <c r="BP115" i="2"/>
  <c r="BO115" i="2"/>
  <c r="BN115" i="2"/>
  <c r="BM115" i="2"/>
  <c r="Z115" i="2"/>
  <c r="Y115" i="2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P111" i="2"/>
  <c r="X109" i="2"/>
  <c r="X108" i="2"/>
  <c r="BO107" i="2"/>
  <c r="BM107" i="2"/>
  <c r="Y107" i="2"/>
  <c r="Z107" i="2" s="1"/>
  <c r="P107" i="2"/>
  <c r="BP106" i="2"/>
  <c r="BO106" i="2"/>
  <c r="BN106" i="2"/>
  <c r="BM106" i="2"/>
  <c r="Z106" i="2"/>
  <c r="Y106" i="2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P97" i="2"/>
  <c r="BO97" i="2"/>
  <c r="BM97" i="2"/>
  <c r="Y97" i="2"/>
  <c r="BN97" i="2" s="1"/>
  <c r="P97" i="2"/>
  <c r="BO96" i="2"/>
  <c r="BN96" i="2"/>
  <c r="BM96" i="2"/>
  <c r="Y96" i="2"/>
  <c r="Z96" i="2" s="1"/>
  <c r="P96" i="2"/>
  <c r="BO95" i="2"/>
  <c r="BM95" i="2"/>
  <c r="Y95" i="2"/>
  <c r="BN95" i="2" s="1"/>
  <c r="P95" i="2"/>
  <c r="BO94" i="2"/>
  <c r="BN94" i="2"/>
  <c r="BM94" i="2"/>
  <c r="Y94" i="2"/>
  <c r="Y98" i="2" s="1"/>
  <c r="P94" i="2"/>
  <c r="X92" i="2"/>
  <c r="X91" i="2"/>
  <c r="BP90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BN87" i="2" s="1"/>
  <c r="P87" i="2"/>
  <c r="BO86" i="2"/>
  <c r="BN86" i="2"/>
  <c r="BM86" i="2"/>
  <c r="Y86" i="2"/>
  <c r="Z86" i="2" s="1"/>
  <c r="P86" i="2"/>
  <c r="BP85" i="2"/>
  <c r="BO85" i="2"/>
  <c r="BN85" i="2"/>
  <c r="BM85" i="2"/>
  <c r="Z85" i="2"/>
  <c r="Y85" i="2"/>
  <c r="Y92" i="2" s="1"/>
  <c r="P85" i="2"/>
  <c r="X82" i="2"/>
  <c r="Y81" i="2"/>
  <c r="X81" i="2"/>
  <c r="BO80" i="2"/>
  <c r="BN80" i="2"/>
  <c r="BM80" i="2"/>
  <c r="Y80" i="2"/>
  <c r="BP80" i="2" s="1"/>
  <c r="P80" i="2"/>
  <c r="BP79" i="2"/>
  <c r="BO79" i="2"/>
  <c r="BM79" i="2"/>
  <c r="Y79" i="2"/>
  <c r="BN79" i="2" s="1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Z73" i="2" s="1"/>
  <c r="P73" i="2"/>
  <c r="BP72" i="2"/>
  <c r="BO72" i="2"/>
  <c r="BN72" i="2"/>
  <c r="BM72" i="2"/>
  <c r="Z72" i="2"/>
  <c r="Y72" i="2"/>
  <c r="Y75" i="2" s="1"/>
  <c r="P72" i="2"/>
  <c r="X70" i="2"/>
  <c r="X69" i="2"/>
  <c r="BO68" i="2"/>
  <c r="BM68" i="2"/>
  <c r="Z68" i="2"/>
  <c r="Y68" i="2"/>
  <c r="BN68" i="2" s="1"/>
  <c r="P68" i="2"/>
  <c r="BO67" i="2"/>
  <c r="BM67" i="2"/>
  <c r="Y67" i="2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N61" i="2"/>
  <c r="BM61" i="2"/>
  <c r="Y61" i="2"/>
  <c r="BP61" i="2" s="1"/>
  <c r="P61" i="2"/>
  <c r="BO60" i="2"/>
  <c r="BM60" i="2"/>
  <c r="Y60" i="2"/>
  <c r="BN60" i="2" s="1"/>
  <c r="P60" i="2"/>
  <c r="BO59" i="2"/>
  <c r="BM59" i="2"/>
  <c r="Z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Z56" i="2" s="1"/>
  <c r="P56" i="2"/>
  <c r="BO55" i="2"/>
  <c r="BM55" i="2"/>
  <c r="Y55" i="2"/>
  <c r="BP55" i="2" s="1"/>
  <c r="P55" i="2"/>
  <c r="X52" i="2"/>
  <c r="X51" i="2"/>
  <c r="BO50" i="2"/>
  <c r="BN50" i="2"/>
  <c r="BM50" i="2"/>
  <c r="Y50" i="2"/>
  <c r="BP50" i="2" s="1"/>
  <c r="P50" i="2"/>
  <c r="BO49" i="2"/>
  <c r="BM49" i="2"/>
  <c r="Y49" i="2"/>
  <c r="BN49" i="2" s="1"/>
  <c r="P49" i="2"/>
  <c r="BO48" i="2"/>
  <c r="BM48" i="2"/>
  <c r="Z48" i="2"/>
  <c r="Y48" i="2"/>
  <c r="BP48" i="2" s="1"/>
  <c r="P48" i="2"/>
  <c r="BO47" i="2"/>
  <c r="BM47" i="2"/>
  <c r="Y47" i="2"/>
  <c r="Y52" i="2" s="1"/>
  <c r="P47" i="2"/>
  <c r="X43" i="2"/>
  <c r="X42" i="2"/>
  <c r="BO41" i="2"/>
  <c r="BM41" i="2"/>
  <c r="Y41" i="2"/>
  <c r="BN41" i="2" s="1"/>
  <c r="P41" i="2"/>
  <c r="BO40" i="2"/>
  <c r="BN40" i="2"/>
  <c r="BM40" i="2"/>
  <c r="Y40" i="2"/>
  <c r="Z40" i="2" s="1"/>
  <c r="P40" i="2"/>
  <c r="BP39" i="2"/>
  <c r="BO39" i="2"/>
  <c r="BM39" i="2"/>
  <c r="Z39" i="2"/>
  <c r="Y39" i="2"/>
  <c r="BN39" i="2" s="1"/>
  <c r="P39" i="2"/>
  <c r="BO38" i="2"/>
  <c r="BM38" i="2"/>
  <c r="Y38" i="2"/>
  <c r="BN38" i="2" s="1"/>
  <c r="P38" i="2"/>
  <c r="BO37" i="2"/>
  <c r="BM37" i="2"/>
  <c r="Y37" i="2"/>
  <c r="Z37" i="2" s="1"/>
  <c r="P37" i="2"/>
  <c r="X33" i="2"/>
  <c r="X32" i="2"/>
  <c r="BO31" i="2"/>
  <c r="BN31" i="2"/>
  <c r="BM31" i="2"/>
  <c r="Y31" i="2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N28" i="2"/>
  <c r="BM28" i="2"/>
  <c r="Y28" i="2"/>
  <c r="Z28" i="2" s="1"/>
  <c r="P28" i="2"/>
  <c r="BP27" i="2"/>
  <c r="BO27" i="2"/>
  <c r="BN27" i="2"/>
  <c r="BM27" i="2"/>
  <c r="Z27" i="2"/>
  <c r="Y27" i="2"/>
  <c r="P27" i="2"/>
  <c r="X25" i="2"/>
  <c r="X24" i="2"/>
  <c r="BO23" i="2"/>
  <c r="BN23" i="2"/>
  <c r="BM23" i="2"/>
  <c r="Y23" i="2"/>
  <c r="BP23" i="2" s="1"/>
  <c r="P23" i="2"/>
  <c r="BO22" i="2"/>
  <c r="BM22" i="2"/>
  <c r="Y22" i="2"/>
  <c r="Z22" i="2" s="1"/>
  <c r="P22" i="2"/>
  <c r="H10" i="2"/>
  <c r="A9" i="2"/>
  <c r="F9" i="2" s="1"/>
  <c r="D7" i="2"/>
  <c r="Q6" i="2"/>
  <c r="P2" i="2"/>
  <c r="J9" i="2" l="1"/>
  <c r="BP22" i="2"/>
  <c r="BP47" i="2"/>
  <c r="BP58" i="2"/>
  <c r="BN243" i="2"/>
  <c r="BP243" i="2"/>
  <c r="A10" i="2"/>
  <c r="BP28" i="2"/>
  <c r="Z38" i="2"/>
  <c r="BP38" i="2"/>
  <c r="Y42" i="2"/>
  <c r="Z47" i="2"/>
  <c r="BN48" i="2"/>
  <c r="Z58" i="2"/>
  <c r="BN59" i="2"/>
  <c r="BN73" i="2"/>
  <c r="Z74" i="2"/>
  <c r="BP74" i="2"/>
  <c r="Z95" i="2"/>
  <c r="BP95" i="2"/>
  <c r="Z103" i="2"/>
  <c r="BN105" i="2"/>
  <c r="Z112" i="2"/>
  <c r="BN113" i="2"/>
  <c r="Z114" i="2"/>
  <c r="BN126" i="2"/>
  <c r="Y127" i="2"/>
  <c r="Z136" i="2"/>
  <c r="Z138" i="2" s="1"/>
  <c r="BN152" i="2"/>
  <c r="BN162" i="2"/>
  <c r="Z173" i="2"/>
  <c r="BP173" i="2"/>
  <c r="BP225" i="2"/>
  <c r="BN225" i="2"/>
  <c r="Z225" i="2"/>
  <c r="Z229" i="2"/>
  <c r="BN229" i="2"/>
  <c r="BN259" i="2"/>
  <c r="BP259" i="2"/>
  <c r="Z259" i="2"/>
  <c r="Z272" i="2"/>
  <c r="BN272" i="2"/>
  <c r="BP285" i="2"/>
  <c r="BN285" i="2"/>
  <c r="BP320" i="2"/>
  <c r="BN320" i="2"/>
  <c r="BN336" i="2"/>
  <c r="BP336" i="2"/>
  <c r="Z336" i="2"/>
  <c r="BN346" i="2"/>
  <c r="BP346" i="2"/>
  <c r="Z346" i="2"/>
  <c r="BP446" i="2"/>
  <c r="Y450" i="2"/>
  <c r="BN447" i="2"/>
  <c r="BP447" i="2"/>
  <c r="Z447" i="2"/>
  <c r="Y486" i="2"/>
  <c r="BN485" i="2"/>
  <c r="BP522" i="2"/>
  <c r="Z522" i="2"/>
  <c r="Y99" i="2"/>
  <c r="BP107" i="2"/>
  <c r="BP112" i="2"/>
  <c r="BN301" i="2"/>
  <c r="BP301" i="2"/>
  <c r="Z301" i="2"/>
  <c r="BP478" i="2"/>
  <c r="BN478" i="2"/>
  <c r="BN22" i="2"/>
  <c r="BP40" i="2"/>
  <c r="Z50" i="2"/>
  <c r="Z61" i="2"/>
  <c r="BP86" i="2"/>
  <c r="Z94" i="2"/>
  <c r="BP94" i="2"/>
  <c r="BP102" i="2"/>
  <c r="BN107" i="2"/>
  <c r="BP122" i="2"/>
  <c r="BP137" i="2"/>
  <c r="Y153" i="2"/>
  <c r="BN181" i="2"/>
  <c r="Z181" i="2"/>
  <c r="BN207" i="2"/>
  <c r="BP207" i="2"/>
  <c r="Z207" i="2"/>
  <c r="BN238" i="2"/>
  <c r="BP238" i="2"/>
  <c r="Z238" i="2"/>
  <c r="Y251" i="2"/>
  <c r="BN248" i="2"/>
  <c r="Y252" i="2"/>
  <c r="BP248" i="2"/>
  <c r="Z248" i="2"/>
  <c r="Z251" i="2" s="1"/>
  <c r="BN296" i="2"/>
  <c r="BP296" i="2"/>
  <c r="BN358" i="2"/>
  <c r="BP358" i="2"/>
  <c r="Z358" i="2"/>
  <c r="BP365" i="2"/>
  <c r="BN365" i="2"/>
  <c r="Z416" i="2"/>
  <c r="Z417" i="2" s="1"/>
  <c r="BN416" i="2"/>
  <c r="Y418" i="2"/>
  <c r="BP503" i="2"/>
  <c r="BN503" i="2"/>
  <c r="Y511" i="2"/>
  <c r="Y517" i="2"/>
  <c r="Y518" i="2"/>
  <c r="BP514" i="2"/>
  <c r="BN203" i="2"/>
  <c r="BP203" i="2"/>
  <c r="Z203" i="2"/>
  <c r="BP377" i="2"/>
  <c r="BN377" i="2"/>
  <c r="BP469" i="2"/>
  <c r="Y471" i="2"/>
  <c r="Y24" i="2"/>
  <c r="BP41" i="2"/>
  <c r="BP49" i="2"/>
  <c r="BP60" i="2"/>
  <c r="BP68" i="2"/>
  <c r="BP87" i="2"/>
  <c r="BP96" i="2"/>
  <c r="BN103" i="2"/>
  <c r="Z105" i="2"/>
  <c r="Z113" i="2"/>
  <c r="Z122" i="2"/>
  <c r="Z126" i="2"/>
  <c r="Z127" i="2" s="1"/>
  <c r="BP126" i="2"/>
  <c r="BN136" i="2"/>
  <c r="Y144" i="2"/>
  <c r="Z152" i="2"/>
  <c r="Z162" i="2"/>
  <c r="BP175" i="2"/>
  <c r="BP179" i="2"/>
  <c r="BP275" i="2"/>
  <c r="BN275" i="2"/>
  <c r="BN281" i="2"/>
  <c r="BP281" i="2"/>
  <c r="Z281" i="2"/>
  <c r="Z304" i="2"/>
  <c r="BN304" i="2"/>
  <c r="Z326" i="2"/>
  <c r="BN326" i="2"/>
  <c r="BP496" i="2"/>
  <c r="BN496" i="2"/>
  <c r="Y210" i="2"/>
  <c r="BP209" i="2"/>
  <c r="BP240" i="2"/>
  <c r="BP250" i="2"/>
  <c r="BP283" i="2"/>
  <c r="Q568" i="2"/>
  <c r="BP343" i="2"/>
  <c r="BP372" i="2"/>
  <c r="BP383" i="2"/>
  <c r="BP476" i="2"/>
  <c r="BP490" i="2"/>
  <c r="Y498" i="2"/>
  <c r="Y527" i="2"/>
  <c r="BP520" i="2"/>
  <c r="BP549" i="2"/>
  <c r="BN180" i="2"/>
  <c r="Z183" i="2"/>
  <c r="BN193" i="2"/>
  <c r="BP197" i="2"/>
  <c r="Y199" i="2"/>
  <c r="BN204" i="2"/>
  <c r="Z206" i="2"/>
  <c r="Z214" i="2"/>
  <c r="Z215" i="2" s="1"/>
  <c r="BP214" i="2"/>
  <c r="Z220" i="2"/>
  <c r="Z224" i="2"/>
  <c r="Z228" i="2"/>
  <c r="BP230" i="2"/>
  <c r="Z237" i="2"/>
  <c r="BN254" i="2"/>
  <c r="Z271" i="2"/>
  <c r="BP273" i="2"/>
  <c r="Z280" i="2"/>
  <c r="Y292" i="2"/>
  <c r="Y298" i="2"/>
  <c r="BP303" i="2"/>
  <c r="Y309" i="2"/>
  <c r="BP307" i="2"/>
  <c r="Y313" i="2"/>
  <c r="BP319" i="2"/>
  <c r="BP327" i="2"/>
  <c r="Z335" i="2"/>
  <c r="BP335" i="2"/>
  <c r="Y339" i="2"/>
  <c r="Z343" i="2"/>
  <c r="BP376" i="2"/>
  <c r="Z391" i="2"/>
  <c r="BP397" i="2"/>
  <c r="Y406" i="2"/>
  <c r="Y405" i="2"/>
  <c r="BP415" i="2"/>
  <c r="Y417" i="2"/>
  <c r="Z436" i="2"/>
  <c r="Y470" i="2"/>
  <c r="Z484" i="2"/>
  <c r="BP484" i="2"/>
  <c r="Z495" i="2"/>
  <c r="AB568" i="2"/>
  <c r="BP532" i="2"/>
  <c r="BP544" i="2"/>
  <c r="Z549" i="2"/>
  <c r="Z550" i="2" s="1"/>
  <c r="Z554" i="2"/>
  <c r="Z556" i="2" s="1"/>
  <c r="BP554" i="2"/>
  <c r="S568" i="2"/>
  <c r="Z189" i="2"/>
  <c r="BP208" i="2"/>
  <c r="BN209" i="2"/>
  <c r="BN232" i="2"/>
  <c r="BP239" i="2"/>
  <c r="BN240" i="2"/>
  <c r="BN244" i="2"/>
  <c r="BP249" i="2"/>
  <c r="BN250" i="2"/>
  <c r="Z270" i="2"/>
  <c r="BP282" i="2"/>
  <c r="BN283" i="2"/>
  <c r="Z291" i="2"/>
  <c r="Z311" i="2"/>
  <c r="Z312" i="2" s="1"/>
  <c r="BP311" i="2"/>
  <c r="Y322" i="2"/>
  <c r="BN329" i="2"/>
  <c r="Y338" i="2"/>
  <c r="BP337" i="2"/>
  <c r="BP373" i="2"/>
  <c r="BN383" i="2"/>
  <c r="BP433" i="2"/>
  <c r="Y464" i="2"/>
  <c r="Y568" i="2"/>
  <c r="BP475" i="2"/>
  <c r="BN476" i="2"/>
  <c r="Y481" i="2"/>
  <c r="BN490" i="2"/>
  <c r="AA568" i="2"/>
  <c r="BP509" i="2"/>
  <c r="BN515" i="2"/>
  <c r="BN520" i="2"/>
  <c r="BN523" i="2"/>
  <c r="BP536" i="2"/>
  <c r="BP548" i="2"/>
  <c r="BP555" i="2"/>
  <c r="U568" i="2"/>
  <c r="BP177" i="2"/>
  <c r="BN177" i="2"/>
  <c r="Y234" i="2"/>
  <c r="Y246" i="2"/>
  <c r="BN236" i="2"/>
  <c r="Y332" i="2"/>
  <c r="BP328" i="2"/>
  <c r="Y331" i="2"/>
  <c r="BN328" i="2"/>
  <c r="BP350" i="2"/>
  <c r="BN350" i="2"/>
  <c r="Z350" i="2"/>
  <c r="Z352" i="2" s="1"/>
  <c r="Y425" i="2"/>
  <c r="V568" i="2"/>
  <c r="BP423" i="2"/>
  <c r="Z423" i="2"/>
  <c r="BN423" i="2"/>
  <c r="BP431" i="2"/>
  <c r="Z431" i="2"/>
  <c r="BN431" i="2"/>
  <c r="Z111" i="2"/>
  <c r="Y116" i="2"/>
  <c r="BP111" i="2"/>
  <c r="Y133" i="2"/>
  <c r="BP132" i="2"/>
  <c r="BN132" i="2"/>
  <c r="Z168" i="2"/>
  <c r="BP168" i="2"/>
  <c r="BP221" i="2"/>
  <c r="BN221" i="2"/>
  <c r="Z221" i="2"/>
  <c r="BP364" i="2"/>
  <c r="BN364" i="2"/>
  <c r="BP435" i="2"/>
  <c r="Z435" i="2"/>
  <c r="BN435" i="2"/>
  <c r="Z132" i="2"/>
  <c r="BP174" i="2"/>
  <c r="Z174" i="2"/>
  <c r="BP345" i="2"/>
  <c r="BN345" i="2"/>
  <c r="Z364" i="2"/>
  <c r="Y393" i="2"/>
  <c r="BP389" i="2"/>
  <c r="Y392" i="2"/>
  <c r="BN389" i="2"/>
  <c r="Z389" i="2"/>
  <c r="Z392" i="2" s="1"/>
  <c r="BP441" i="2"/>
  <c r="Z441" i="2"/>
  <c r="BN441" i="2"/>
  <c r="Z67" i="2"/>
  <c r="BP67" i="2"/>
  <c r="F568" i="2"/>
  <c r="BN111" i="2"/>
  <c r="BP120" i="2"/>
  <c r="BN120" i="2"/>
  <c r="BN168" i="2"/>
  <c r="BP274" i="2"/>
  <c r="BN274" i="2"/>
  <c r="Y293" i="2"/>
  <c r="Z345" i="2"/>
  <c r="Y62" i="2"/>
  <c r="E568" i="2"/>
  <c r="BN55" i="2"/>
  <c r="Z55" i="2"/>
  <c r="BP88" i="2"/>
  <c r="Y91" i="2"/>
  <c r="BN88" i="2"/>
  <c r="Z88" i="2"/>
  <c r="BP114" i="2"/>
  <c r="Z120" i="2"/>
  <c r="BN174" i="2"/>
  <c r="BP236" i="2"/>
  <c r="Z274" i="2"/>
  <c r="Z342" i="2"/>
  <c r="Y347" i="2"/>
  <c r="R568" i="2"/>
  <c r="BP342" i="2"/>
  <c r="BP351" i="2"/>
  <c r="Z351" i="2"/>
  <c r="BN351" i="2"/>
  <c r="BP395" i="2"/>
  <c r="Z395" i="2"/>
  <c r="BN395" i="2"/>
  <c r="Y400" i="2"/>
  <c r="Z432" i="2"/>
  <c r="BP432" i="2"/>
  <c r="Y82" i="2"/>
  <c r="BP78" i="2"/>
  <c r="Z78" i="2"/>
  <c r="X559" i="2"/>
  <c r="BP31" i="2"/>
  <c r="Z31" i="2"/>
  <c r="Z49" i="2"/>
  <c r="Z51" i="2" s="1"/>
  <c r="BN67" i="2"/>
  <c r="BP73" i="2"/>
  <c r="Y76" i="2"/>
  <c r="BN78" i="2"/>
  <c r="Z178" i="2"/>
  <c r="BP178" i="2"/>
  <c r="BP222" i="2"/>
  <c r="BN222" i="2"/>
  <c r="Y261" i="2"/>
  <c r="BP260" i="2"/>
  <c r="Z260" i="2"/>
  <c r="Z261" i="2" s="1"/>
  <c r="M568" i="2"/>
  <c r="BP374" i="2"/>
  <c r="Y380" i="2"/>
  <c r="BN374" i="2"/>
  <c r="Y399" i="2"/>
  <c r="X560" i="2"/>
  <c r="BP151" i="2"/>
  <c r="Z151" i="2"/>
  <c r="BP231" i="2"/>
  <c r="BN231" i="2"/>
  <c r="BP290" i="2"/>
  <c r="Z290" i="2"/>
  <c r="BP305" i="2"/>
  <c r="BN305" i="2"/>
  <c r="O568" i="2"/>
  <c r="Y308" i="2"/>
  <c r="Z442" i="2"/>
  <c r="BP442" i="2"/>
  <c r="Y233" i="2"/>
  <c r="BP219" i="2"/>
  <c r="Z219" i="2"/>
  <c r="L568" i="2"/>
  <c r="BN269" i="2"/>
  <c r="Y277" i="2"/>
  <c r="Z305" i="2"/>
  <c r="Y437" i="2"/>
  <c r="Z269" i="2"/>
  <c r="BN290" i="2"/>
  <c r="Y352" i="2"/>
  <c r="Y386" i="2"/>
  <c r="BP384" i="2"/>
  <c r="BN384" i="2"/>
  <c r="Z396" i="2"/>
  <c r="BP396" i="2"/>
  <c r="Y424" i="2"/>
  <c r="BN442" i="2"/>
  <c r="Y460" i="2"/>
  <c r="X568" i="2"/>
  <c r="BP458" i="2"/>
  <c r="BN458" i="2"/>
  <c r="Z458" i="2"/>
  <c r="Z460" i="2" s="1"/>
  <c r="Y461" i="2"/>
  <c r="Y109" i="2"/>
  <c r="Y108" i="2"/>
  <c r="BN104" i="2"/>
  <c r="BP172" i="2"/>
  <c r="BN172" i="2"/>
  <c r="Z172" i="2"/>
  <c r="Y185" i="2"/>
  <c r="Y184" i="2"/>
  <c r="BP181" i="2"/>
  <c r="Y191" i="2"/>
  <c r="BP187" i="2"/>
  <c r="Y190" i="2"/>
  <c r="BN187" i="2"/>
  <c r="Y211" i="2"/>
  <c r="BN205" i="2"/>
  <c r="K568" i="2"/>
  <c r="BN219" i="2"/>
  <c r="Y370" i="2"/>
  <c r="Z384" i="2"/>
  <c r="Z486" i="2"/>
  <c r="Y134" i="2"/>
  <c r="Y51" i="2"/>
  <c r="Z104" i="2"/>
  <c r="J568" i="2"/>
  <c r="Y165" i="2"/>
  <c r="Y164" i="2"/>
  <c r="BN161" i="2"/>
  <c r="Z187" i="2"/>
  <c r="Z205" i="2"/>
  <c r="Z223" i="2"/>
  <c r="BP223" i="2"/>
  <c r="Y353" i="2"/>
  <c r="BN396" i="2"/>
  <c r="Y70" i="2"/>
  <c r="Y69" i="2"/>
  <c r="BN65" i="2"/>
  <c r="Z65" i="2"/>
  <c r="Z161" i="2"/>
  <c r="Z164" i="2" s="1"/>
  <c r="Z226" i="2"/>
  <c r="Y262" i="2"/>
  <c r="BP269" i="2"/>
  <c r="BP284" i="2"/>
  <c r="BN284" i="2"/>
  <c r="Y379" i="2"/>
  <c r="BN151" i="2"/>
  <c r="Y32" i="2"/>
  <c r="BN223" i="2"/>
  <c r="Y63" i="2"/>
  <c r="X562" i="2"/>
  <c r="Z57" i="2"/>
  <c r="BP57" i="2"/>
  <c r="Z60" i="2"/>
  <c r="BP104" i="2"/>
  <c r="BP142" i="2"/>
  <c r="BN142" i="2"/>
  <c r="Z142" i="2"/>
  <c r="Z143" i="2" s="1"/>
  <c r="BP149" i="2"/>
  <c r="BN149" i="2"/>
  <c r="Z149" i="2"/>
  <c r="BP205" i="2"/>
  <c r="Y267" i="2"/>
  <c r="Y266" i="2"/>
  <c r="BP264" i="2"/>
  <c r="BN264" i="2"/>
  <c r="BP288" i="2"/>
  <c r="BN288" i="2"/>
  <c r="Z288" i="2"/>
  <c r="Y369" i="2"/>
  <c r="BP56" i="2"/>
  <c r="BN56" i="2"/>
  <c r="Z121" i="2"/>
  <c r="BP121" i="2"/>
  <c r="H568" i="2"/>
  <c r="BP161" i="2"/>
  <c r="BP167" i="2"/>
  <c r="BN167" i="2"/>
  <c r="Y170" i="2"/>
  <c r="Y169" i="2"/>
  <c r="BP176" i="2"/>
  <c r="BN176" i="2"/>
  <c r="Z176" i="2"/>
  <c r="Z188" i="2"/>
  <c r="BP188" i="2"/>
  <c r="BP226" i="2"/>
  <c r="BP241" i="2"/>
  <c r="BN241" i="2"/>
  <c r="Y387" i="2"/>
  <c r="Y438" i="2"/>
  <c r="Y455" i="2"/>
  <c r="Y454" i="2"/>
  <c r="BP452" i="2"/>
  <c r="BN452" i="2"/>
  <c r="BP89" i="2"/>
  <c r="Z89" i="2"/>
  <c r="C568" i="2"/>
  <c r="BN37" i="2"/>
  <c r="Y43" i="2"/>
  <c r="F10" i="2"/>
  <c r="H9" i="2"/>
  <c r="X558" i="2"/>
  <c r="BP37" i="2"/>
  <c r="BN57" i="2"/>
  <c r="G568" i="2"/>
  <c r="Y117" i="2"/>
  <c r="Y139" i="2"/>
  <c r="Y138" i="2"/>
  <c r="BN137" i="2"/>
  <c r="Z167" i="2"/>
  <c r="Z169" i="2" s="1"/>
  <c r="Z241" i="2"/>
  <c r="Z452" i="2"/>
  <c r="BP66" i="2"/>
  <c r="BN66" i="2"/>
  <c r="Z108" i="2"/>
  <c r="BN188" i="2"/>
  <c r="Y245" i="2"/>
  <c r="Y348" i="2"/>
  <c r="Y444" i="2"/>
  <c r="Y33" i="2"/>
  <c r="BP30" i="2"/>
  <c r="BN30" i="2"/>
  <c r="Z66" i="2"/>
  <c r="Z75" i="2"/>
  <c r="Y124" i="2"/>
  <c r="Y123" i="2"/>
  <c r="BP119" i="2"/>
  <c r="BN119" i="2"/>
  <c r="Z119" i="2"/>
  <c r="Y317" i="2"/>
  <c r="BP315" i="2"/>
  <c r="BN315" i="2"/>
  <c r="Z315" i="2"/>
  <c r="Z316" i="2" s="1"/>
  <c r="Y528" i="2"/>
  <c r="Y297" i="2"/>
  <c r="Z404" i="2"/>
  <c r="Z430" i="2"/>
  <c r="Z440" i="2"/>
  <c r="Z443" i="2" s="1"/>
  <c r="Z463" i="2"/>
  <c r="Z464" i="2" s="1"/>
  <c r="BN477" i="2"/>
  <c r="BN502" i="2"/>
  <c r="Z510" i="2"/>
  <c r="BN522" i="2"/>
  <c r="Z23" i="2"/>
  <c r="Z24" i="2" s="1"/>
  <c r="Z80" i="2"/>
  <c r="Z148" i="2"/>
  <c r="Z244" i="2"/>
  <c r="Z287" i="2"/>
  <c r="Z320" i="2"/>
  <c r="Z356" i="2"/>
  <c r="Z367" i="2"/>
  <c r="Z377" i="2"/>
  <c r="Z409" i="2"/>
  <c r="Z468" i="2"/>
  <c r="Z480" i="2"/>
  <c r="Z505" i="2"/>
  <c r="Z515" i="2"/>
  <c r="Z525" i="2"/>
  <c r="P568" i="2"/>
  <c r="Y154" i="2"/>
  <c r="Z337" i="2"/>
  <c r="Z338" i="2" s="1"/>
  <c r="Z372" i="2"/>
  <c r="Z382" i="2"/>
  <c r="BN404" i="2"/>
  <c r="BN430" i="2"/>
  <c r="BN440" i="2"/>
  <c r="Y443" i="2"/>
  <c r="BN463" i="2"/>
  <c r="Z475" i="2"/>
  <c r="BP477" i="2"/>
  <c r="Z485" i="2"/>
  <c r="Y491" i="2"/>
  <c r="BP502" i="2"/>
  <c r="BN510" i="2"/>
  <c r="Z520" i="2"/>
  <c r="Z532" i="2"/>
  <c r="Z533" i="2" s="1"/>
  <c r="Y537" i="2"/>
  <c r="Z544" i="2"/>
  <c r="Z545" i="2" s="1"/>
  <c r="Y359" i="2"/>
  <c r="Z402" i="2"/>
  <c r="BP440" i="2"/>
  <c r="Z448" i="2"/>
  <c r="BP463" i="2"/>
  <c r="Z496" i="2"/>
  <c r="Z508" i="2"/>
  <c r="BN47" i="2"/>
  <c r="BN102" i="2"/>
  <c r="Z156" i="2"/>
  <c r="Z157" i="2" s="1"/>
  <c r="Z232" i="2"/>
  <c r="Z242" i="2"/>
  <c r="Z265" i="2"/>
  <c r="Z266" i="2" s="1"/>
  <c r="Z275" i="2"/>
  <c r="Z285" i="2"/>
  <c r="Z292" i="2" s="1"/>
  <c r="Z295" i="2"/>
  <c r="Z306" i="2"/>
  <c r="Z329" i="2"/>
  <c r="Z365" i="2"/>
  <c r="Z375" i="2"/>
  <c r="Z385" i="2"/>
  <c r="BN421" i="2"/>
  <c r="Z453" i="2"/>
  <c r="Z478" i="2"/>
  <c r="Y492" i="2"/>
  <c r="Z503" i="2"/>
  <c r="Z523" i="2"/>
  <c r="Y538" i="2"/>
  <c r="T568" i="2"/>
  <c r="B568" i="2"/>
  <c r="Z321" i="2"/>
  <c r="Z357" i="2"/>
  <c r="Z368" i="2"/>
  <c r="Z378" i="2"/>
  <c r="BP402" i="2"/>
  <c r="Z410" i="2"/>
  <c r="Z446" i="2"/>
  <c r="Z449" i="2" s="1"/>
  <c r="Z469" i="2"/>
  <c r="Z494" i="2"/>
  <c r="Z506" i="2"/>
  <c r="Z516" i="2"/>
  <c r="Z526" i="2"/>
  <c r="Y533" i="2"/>
  <c r="Z540" i="2"/>
  <c r="Z541" i="2" s="1"/>
  <c r="D568" i="2"/>
  <c r="W568" i="2"/>
  <c r="Z29" i="2"/>
  <c r="Z32" i="2" s="1"/>
  <c r="Z41" i="2"/>
  <c r="Z42" i="2" s="1"/>
  <c r="Z87" i="2"/>
  <c r="Z91" i="2" s="1"/>
  <c r="Z97" i="2"/>
  <c r="Z98" i="2" s="1"/>
  <c r="Z131" i="2"/>
  <c r="Z133" i="2" s="1"/>
  <c r="BP156" i="2"/>
  <c r="Y215" i="2"/>
  <c r="Y255" i="2"/>
  <c r="Z363" i="2"/>
  <c r="Y512" i="2"/>
  <c r="Z521" i="2"/>
  <c r="Y550" i="2"/>
  <c r="Y556" i="2"/>
  <c r="Y25" i="2"/>
  <c r="BN321" i="2"/>
  <c r="BN357" i="2"/>
  <c r="BN368" i="2"/>
  <c r="BN378" i="2"/>
  <c r="Z398" i="2"/>
  <c r="BN410" i="2"/>
  <c r="Z422" i="2"/>
  <c r="Z424" i="2" s="1"/>
  <c r="Z434" i="2"/>
  <c r="BN446" i="2"/>
  <c r="Y449" i="2"/>
  <c r="BN469" i="2"/>
  <c r="Y482" i="2"/>
  <c r="BN494" i="2"/>
  <c r="Y497" i="2"/>
  <c r="BN506" i="2"/>
  <c r="BN516" i="2"/>
  <c r="BN526" i="2"/>
  <c r="BN540" i="2"/>
  <c r="BN29" i="2"/>
  <c r="Y559" i="2" s="1"/>
  <c r="BN131" i="2"/>
  <c r="Y157" i="2"/>
  <c r="Z568" i="2"/>
  <c r="Z79" i="2"/>
  <c r="Z90" i="2"/>
  <c r="Z147" i="2"/>
  <c r="Z153" i="2" s="1"/>
  <c r="Z243" i="2"/>
  <c r="Z276" i="2"/>
  <c r="Z286" i="2"/>
  <c r="Z296" i="2"/>
  <c r="Z307" i="2"/>
  <c r="Z319" i="2"/>
  <c r="Z322" i="2" s="1"/>
  <c r="Z330" i="2"/>
  <c r="BN344" i="2"/>
  <c r="Z366" i="2"/>
  <c r="Z376" i="2"/>
  <c r="BN398" i="2"/>
  <c r="Z408" i="2"/>
  <c r="BN422" i="2"/>
  <c r="BN434" i="2"/>
  <c r="Z467" i="2"/>
  <c r="Z479" i="2"/>
  <c r="BP494" i="2"/>
  <c r="Z504" i="2"/>
  <c r="Z514" i="2"/>
  <c r="Z524" i="2"/>
  <c r="BP540" i="2"/>
  <c r="Y551" i="2"/>
  <c r="Y557" i="2"/>
  <c r="I568" i="2"/>
  <c r="BN319" i="2"/>
  <c r="BN408" i="2"/>
  <c r="BN467" i="2"/>
  <c r="BN514" i="2"/>
  <c r="Y560" i="2" l="1"/>
  <c r="Y561" i="2" s="1"/>
  <c r="Z511" i="2"/>
  <c r="Z331" i="2"/>
  <c r="Z308" i="2"/>
  <c r="Z233" i="2"/>
  <c r="Z245" i="2"/>
  <c r="Y562" i="2"/>
  <c r="Z210" i="2"/>
  <c r="Z116" i="2"/>
  <c r="Z277" i="2"/>
  <c r="Z69" i="2"/>
  <c r="Z347" i="2"/>
  <c r="X561" i="2"/>
  <c r="Z81" i="2"/>
  <c r="Z369" i="2"/>
  <c r="Z527" i="2"/>
  <c r="Z190" i="2"/>
  <c r="Z411" i="2"/>
  <c r="Z517" i="2"/>
  <c r="Z297" i="2"/>
  <c r="Y558" i="2"/>
  <c r="Z399" i="2"/>
  <c r="Z481" i="2"/>
  <c r="Z184" i="2"/>
  <c r="Z470" i="2"/>
  <c r="Z359" i="2"/>
  <c r="Z386" i="2"/>
  <c r="Z123" i="2"/>
  <c r="Z62" i="2"/>
  <c r="Z437" i="2"/>
  <c r="Z497" i="2"/>
  <c r="Z454" i="2"/>
  <c r="Z405" i="2"/>
  <c r="Z379" i="2"/>
  <c r="Z563" i="2" l="1"/>
</calcChain>
</file>

<file path=xl/sharedStrings.xml><?xml version="1.0" encoding="utf-8"?>
<sst xmlns="http://schemas.openxmlformats.org/spreadsheetml/2006/main" count="4282" uniqueCount="899">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</sst>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8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/>
      <c r="I5" s="995"/>
      <c r="J5" s="995"/>
      <c r="K5" s="995"/>
      <c r="L5" s="995"/>
      <c r="M5" s="995"/>
      <c r="N5" s="72"/>
      <c r="P5" s="27" t="s">
        <v>4</v>
      </c>
      <c r="Q5" s="997">
        <v>46282</v>
      </c>
      <c r="R5" s="997"/>
      <c r="T5" s="998" t="s">
        <v>3</v>
      </c>
      <c r="U5" s="999"/>
      <c r="V5" s="1000" t="s">
        <v>875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 t="s">
        <v>882</v>
      </c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Четверг</v>
      </c>
      <c r="R6" s="1003"/>
      <c r="T6" s="1004" t="s">
        <v>5</v>
      </c>
      <c r="U6" s="1005"/>
      <c r="V6" s="1006" t="s">
        <v>70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 t="str">
        <f>IFERROR(VLOOKUP(DeliveryAddress,Table,3,0),1)</f>
        <v>3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0.41666666666666669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72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73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74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75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customHeight="1" x14ac:dyDescent="0.2">
      <c r="A19" s="682" t="s">
        <v>76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54"/>
      <c r="AB19" s="54"/>
      <c r="AC19" s="54"/>
    </row>
    <row r="20" spans="1:68" ht="16.5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82" t="s">
        <v>45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54"/>
      <c r="AB34" s="54"/>
      <c r="AC34" s="54"/>
    </row>
    <row r="35" spans="1:68" ht="16.5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3">
        <v>4680115888272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3">
        <v>4680115888364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82" t="s">
        <v>120</v>
      </c>
      <c r="B44" s="682"/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682"/>
      <c r="R44" s="682"/>
      <c r="S44" s="682"/>
      <c r="T44" s="682"/>
      <c r="U44" s="682"/>
      <c r="V44" s="682"/>
      <c r="W44" s="682"/>
      <c r="X44" s="682"/>
      <c r="Y44" s="682"/>
      <c r="Z44" s="682"/>
      <c r="AA44" s="54"/>
      <c r="AB44" s="54"/>
      <c r="AC44" s="54"/>
    </row>
    <row r="45" spans="1:68" ht="16.5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3">
        <v>4607091385670</v>
      </c>
      <c r="E47" s="65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3">
        <v>4680115887725</v>
      </c>
      <c r="E48" s="65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3">
        <v>4607091385687</v>
      </c>
      <c r="E49" s="65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3">
        <v>4680115882539</v>
      </c>
      <c r="E50" s="65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53">
        <v>4680115885882</v>
      </c>
      <c r="E55" s="65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3">
        <v>4680115881426</v>
      </c>
      <c r="E56" s="65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53">
        <v>4680115880283</v>
      </c>
      <c r="E57" s="65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3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53">
        <v>4680115881525</v>
      </c>
      <c r="E58" s="65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147</v>
      </c>
      <c r="B59" s="63" t="s">
        <v>150</v>
      </c>
      <c r="C59" s="36">
        <v>4301012159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152</v>
      </c>
      <c r="B60" s="63" t="s">
        <v>153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660"/>
      <c r="B62" s="660"/>
      <c r="C62" s="660"/>
      <c r="D62" s="660"/>
      <c r="E62" s="660"/>
      <c r="F62" s="660"/>
      <c r="G62" s="660"/>
      <c r="H62" s="660"/>
      <c r="I62" s="660"/>
      <c r="J62" s="660"/>
      <c r="K62" s="660"/>
      <c r="L62" s="660"/>
      <c r="M62" s="660"/>
      <c r="N62" s="660"/>
      <c r="O62" s="661"/>
      <c r="P62" s="657" t="s">
        <v>40</v>
      </c>
      <c r="Q62" s="658"/>
      <c r="R62" s="658"/>
      <c r="S62" s="658"/>
      <c r="T62" s="658"/>
      <c r="U62" s="658"/>
      <c r="V62" s="659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660"/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1"/>
      <c r="P63" s="657" t="s">
        <v>40</v>
      </c>
      <c r="Q63" s="658"/>
      <c r="R63" s="658"/>
      <c r="S63" s="658"/>
      <c r="T63" s="658"/>
      <c r="U63" s="658"/>
      <c r="V63" s="659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customHeight="1" x14ac:dyDescent="0.25">
      <c r="A64" s="667" t="s">
        <v>157</v>
      </c>
      <c r="B64" s="667"/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163</v>
      </c>
      <c r="B67" s="63" t="s">
        <v>164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60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660"/>
      <c r="M69" s="660"/>
      <c r="N69" s="660"/>
      <c r="O69" s="661"/>
      <c r="P69" s="657" t="s">
        <v>40</v>
      </c>
      <c r="Q69" s="658"/>
      <c r="R69" s="658"/>
      <c r="S69" s="658"/>
      <c r="T69" s="658"/>
      <c r="U69" s="658"/>
      <c r="V69" s="659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60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1"/>
      <c r="P70" s="657" t="s">
        <v>40</v>
      </c>
      <c r="Q70" s="658"/>
      <c r="R70" s="658"/>
      <c r="S70" s="658"/>
      <c r="T70" s="658"/>
      <c r="U70" s="658"/>
      <c r="V70" s="659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67" t="s">
        <v>86</v>
      </c>
      <c r="B71" s="667"/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"/>
      <c r="AB71" s="66"/>
      <c r="AC71" s="80"/>
    </row>
    <row r="72" spans="1:68" ht="16.5" customHeight="1" x14ac:dyDescent="0.25">
      <c r="A72" s="63" t="s">
        <v>168</v>
      </c>
      <c r="B72" s="63" t="s">
        <v>169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171</v>
      </c>
      <c r="B73" s="63" t="s">
        <v>172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171</v>
      </c>
      <c r="B74" s="63" t="s">
        <v>174</v>
      </c>
      <c r="C74" s="36">
        <v>4301052083</v>
      </c>
      <c r="D74" s="653">
        <v>4680115884403</v>
      </c>
      <c r="E74" s="65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5"/>
      <c r="R74" s="655"/>
      <c r="S74" s="655"/>
      <c r="T74" s="65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60"/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1"/>
      <c r="P75" s="657" t="s">
        <v>40</v>
      </c>
      <c r="Q75" s="658"/>
      <c r="R75" s="658"/>
      <c r="S75" s="658"/>
      <c r="T75" s="658"/>
      <c r="U75" s="658"/>
      <c r="V75" s="659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60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1"/>
      <c r="P76" s="657" t="s">
        <v>40</v>
      </c>
      <c r="Q76" s="658"/>
      <c r="R76" s="658"/>
      <c r="S76" s="658"/>
      <c r="T76" s="658"/>
      <c r="U76" s="658"/>
      <c r="V76" s="659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customHeight="1" x14ac:dyDescent="0.25">
      <c r="A77" s="667" t="s">
        <v>175</v>
      </c>
      <c r="B77" s="667"/>
      <c r="C77" s="667"/>
      <c r="D77" s="667"/>
      <c r="E77" s="667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  <c r="Z77" s="667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3">
        <v>4680115881532</v>
      </c>
      <c r="E78" s="65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176</v>
      </c>
      <c r="B79" s="63" t="s">
        <v>179</v>
      </c>
      <c r="C79" s="36">
        <v>4301060526</v>
      </c>
      <c r="D79" s="653">
        <v>4680115881532</v>
      </c>
      <c r="E79" s="65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5"/>
      <c r="R79" s="655"/>
      <c r="S79" s="655"/>
      <c r="T79" s="65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180</v>
      </c>
      <c r="B80" s="63" t="s">
        <v>181</v>
      </c>
      <c r="C80" s="36">
        <v>4301060527</v>
      </c>
      <c r="D80" s="653">
        <v>4680115881464</v>
      </c>
      <c r="E80" s="65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5"/>
      <c r="R80" s="655"/>
      <c r="S80" s="655"/>
      <c r="T80" s="65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0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660"/>
      <c r="N81" s="660"/>
      <c r="O81" s="661"/>
      <c r="P81" s="657" t="s">
        <v>40</v>
      </c>
      <c r="Q81" s="658"/>
      <c r="R81" s="658"/>
      <c r="S81" s="658"/>
      <c r="T81" s="658"/>
      <c r="U81" s="658"/>
      <c r="V81" s="659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  <c r="M82" s="660"/>
      <c r="N82" s="660"/>
      <c r="O82" s="661"/>
      <c r="P82" s="657" t="s">
        <v>40</v>
      </c>
      <c r="Q82" s="658"/>
      <c r="R82" s="658"/>
      <c r="S82" s="658"/>
      <c r="T82" s="658"/>
      <c r="U82" s="658"/>
      <c r="V82" s="659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customHeight="1" x14ac:dyDescent="0.25">
      <c r="A83" s="671" t="s">
        <v>183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3">
        <v>4680115881327</v>
      </c>
      <c r="E85" s="65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ref="Y85:Y90" si="5"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0</v>
      </c>
      <c r="BN85" s="78">
        <f t="shared" ref="BN85:BN90" si="7">IFERROR(Y85*I85/H85,"0")</f>
        <v>0</v>
      </c>
      <c r="BO85" s="78">
        <f t="shared" ref="BO85:BO90" si="8">IFERROR(1/J85*(X85/H85),"0")</f>
        <v>0</v>
      </c>
      <c r="BP85" s="78">
        <f t="shared" ref="BP85:BP90" si="9">IFERROR(1/J85*(Y85/H85),"0")</f>
        <v>0</v>
      </c>
    </row>
    <row r="86" spans="1:68" ht="27" customHeight="1" x14ac:dyDescent="0.25">
      <c r="A86" s="63" t="s">
        <v>187</v>
      </c>
      <c r="B86" s="63" t="s">
        <v>188</v>
      </c>
      <c r="C86" s="36">
        <v>4301011261</v>
      </c>
      <c r="D86" s="653">
        <v>4680115887732</v>
      </c>
      <c r="E86" s="65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customHeight="1" x14ac:dyDescent="0.25">
      <c r="A87" s="63" t="s">
        <v>187</v>
      </c>
      <c r="B87" s="63" t="s">
        <v>190</v>
      </c>
      <c r="C87" s="36">
        <v>4301012392</v>
      </c>
      <c r="D87" s="653">
        <v>4680115887732</v>
      </c>
      <c r="E87" s="65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5"/>
      <c r="R87" s="655"/>
      <c r="S87" s="655"/>
      <c r="T87" s="656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53">
        <v>4680115881518</v>
      </c>
      <c r="E88" s="65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5"/>
      <c r="R88" s="655"/>
      <c r="S88" s="655"/>
      <c r="T88" s="656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53">
        <v>4680115881303</v>
      </c>
      <c r="E89" s="65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193</v>
      </c>
      <c r="B90" s="63" t="s">
        <v>195</v>
      </c>
      <c r="C90" s="36">
        <v>4301012250</v>
      </c>
      <c r="D90" s="653">
        <v>4680115881303</v>
      </c>
      <c r="E90" s="65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60"/>
      <c r="B91" s="660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660"/>
      <c r="N91" s="660"/>
      <c r="O91" s="661"/>
      <c r="P91" s="657" t="s">
        <v>40</v>
      </c>
      <c r="Q91" s="658"/>
      <c r="R91" s="658"/>
      <c r="S91" s="658"/>
      <c r="T91" s="658"/>
      <c r="U91" s="658"/>
      <c r="V91" s="659"/>
      <c r="W91" s="42" t="s">
        <v>39</v>
      </c>
      <c r="X91" s="43">
        <f>IFERROR(X85/H85,"0")+IFERROR(X86/H86,"0")+IFERROR(X87/H87,"0")+IFERROR(X88/H88,"0")+IFERROR(X89/H89,"0")+IFERROR(X90/H90,"0")</f>
        <v>0</v>
      </c>
      <c r="Y91" s="43">
        <f>IFERROR(Y85/H85,"0")+IFERROR(Y86/H86,"0")+IFERROR(Y87/H87,"0")+IFERROR(Y88/H88,"0")+IFERROR(Y89/H89,"0")+IFERROR(Y90/H90,"0")</f>
        <v>0</v>
      </c>
      <c r="Z91" s="43">
        <f>IFERROR(IF(Z85="",0,Z85),"0")+IFERROR(IF(Z86="",0,Z86),"0")+IFERROR(IF(Z87="",0,Z87),"0")+IFERROR(IF(Z88="",0,Z88),"0")+IFERROR(IF(Z89="",0,Z89),"0")+IFERROR(IF(Z90="",0,Z90),"0")</f>
        <v>0</v>
      </c>
      <c r="AA91" s="67"/>
      <c r="AB91" s="67"/>
      <c r="AC91" s="67"/>
    </row>
    <row r="92" spans="1:68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0</v>
      </c>
      <c r="X92" s="43">
        <f>IFERROR(SUM(X85:X90),"0")</f>
        <v>0</v>
      </c>
      <c r="Y92" s="43">
        <f>IFERROR(SUM(Y85:Y90),"0")</f>
        <v>0</v>
      </c>
      <c r="Z92" s="42"/>
      <c r="AA92" s="67"/>
      <c r="AB92" s="67"/>
      <c r="AC92" s="67"/>
    </row>
    <row r="93" spans="1:68" ht="14.25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6"/>
      <c r="AB93" s="66"/>
      <c r="AC93" s="80"/>
    </row>
    <row r="94" spans="1:68" ht="27" customHeight="1" x14ac:dyDescent="0.25">
      <c r="A94" s="63" t="s">
        <v>196</v>
      </c>
      <c r="B94" s="63" t="s">
        <v>197</v>
      </c>
      <c r="C94" s="36">
        <v>4301052101</v>
      </c>
      <c r="D94" s="653">
        <v>4607091386967</v>
      </c>
      <c r="E94" s="65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4301052090</v>
      </c>
      <c r="D95" s="653">
        <v>4680115884953</v>
      </c>
      <c r="E95" s="65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5"/>
      <c r="R95" s="655"/>
      <c r="S95" s="655"/>
      <c r="T95" s="65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4301052094</v>
      </c>
      <c r="D96" s="653">
        <v>4607091385731</v>
      </c>
      <c r="E96" s="65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5"/>
      <c r="R96" s="655"/>
      <c r="S96" s="655"/>
      <c r="T96" s="65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204</v>
      </c>
      <c r="B97" s="63" t="s">
        <v>205</v>
      </c>
      <c r="C97" s="36">
        <v>4301052092</v>
      </c>
      <c r="D97" s="653">
        <v>4680115880894</v>
      </c>
      <c r="E97" s="65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5"/>
      <c r="R97" s="655"/>
      <c r="S97" s="655"/>
      <c r="T97" s="65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60"/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1"/>
      <c r="P98" s="657" t="s">
        <v>40</v>
      </c>
      <c r="Q98" s="658"/>
      <c r="R98" s="658"/>
      <c r="S98" s="658"/>
      <c r="T98" s="658"/>
      <c r="U98" s="658"/>
      <c r="V98" s="659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customHeight="1" x14ac:dyDescent="0.25">
      <c r="A100" s="671" t="s">
        <v>207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customHeight="1" x14ac:dyDescent="0.25">
      <c r="A101" s="667" t="s">
        <v>122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6"/>
      <c r="AB101" s="66"/>
      <c r="AC101" s="80"/>
    </row>
    <row r="102" spans="1:68" ht="37.5" customHeight="1" x14ac:dyDescent="0.25">
      <c r="A102" s="63" t="s">
        <v>208</v>
      </c>
      <c r="B102" s="63" t="s">
        <v>209</v>
      </c>
      <c r="C102" s="36">
        <v>4301011514</v>
      </c>
      <c r="D102" s="653">
        <v>4680115882133</v>
      </c>
      <c r="E102" s="65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customHeight="1" x14ac:dyDescent="0.25">
      <c r="A103" s="63" t="s">
        <v>211</v>
      </c>
      <c r="B103" s="63" t="s">
        <v>212</v>
      </c>
      <c r="C103" s="36">
        <v>4301012379</v>
      </c>
      <c r="D103" s="653">
        <v>4680115887718</v>
      </c>
      <c r="E103" s="653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4301011417</v>
      </c>
      <c r="D104" s="653">
        <v>4680115880269</v>
      </c>
      <c r="E104" s="653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4301012254</v>
      </c>
      <c r="D105" s="653">
        <v>4680115880429</v>
      </c>
      <c r="E105" s="653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5"/>
      <c r="R105" s="655"/>
      <c r="S105" s="655"/>
      <c r="T105" s="65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4301011462</v>
      </c>
      <c r="D106" s="653">
        <v>4680115881457</v>
      </c>
      <c r="E106" s="653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219</v>
      </c>
      <c r="B107" s="63" t="s">
        <v>221</v>
      </c>
      <c r="C107" s="36">
        <v>4301012255</v>
      </c>
      <c r="D107" s="653">
        <v>4680115881457</v>
      </c>
      <c r="E107" s="65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1"/>
      <c r="P108" s="657" t="s">
        <v>40</v>
      </c>
      <c r="Q108" s="658"/>
      <c r="R108" s="658"/>
      <c r="S108" s="658"/>
      <c r="T108" s="658"/>
      <c r="U108" s="658"/>
      <c r="V108" s="659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x14ac:dyDescent="0.2">
      <c r="A109" s="660"/>
      <c r="B109" s="660"/>
      <c r="C109" s="660"/>
      <c r="D109" s="660"/>
      <c r="E109" s="660"/>
      <c r="F109" s="660"/>
      <c r="G109" s="660"/>
      <c r="H109" s="660"/>
      <c r="I109" s="660"/>
      <c r="J109" s="660"/>
      <c r="K109" s="660"/>
      <c r="L109" s="660"/>
      <c r="M109" s="660"/>
      <c r="N109" s="660"/>
      <c r="O109" s="661"/>
      <c r="P109" s="657" t="s">
        <v>40</v>
      </c>
      <c r="Q109" s="658"/>
      <c r="R109" s="658"/>
      <c r="S109" s="658"/>
      <c r="T109" s="658"/>
      <c r="U109" s="658"/>
      <c r="V109" s="659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customHeight="1" x14ac:dyDescent="0.25">
      <c r="A110" s="667" t="s">
        <v>157</v>
      </c>
      <c r="B110" s="667"/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  <c r="Z110" s="667"/>
      <c r="AA110" s="66"/>
      <c r="AB110" s="66"/>
      <c r="AC110" s="80"/>
    </row>
    <row r="111" spans="1:68" ht="27" customHeight="1" x14ac:dyDescent="0.25">
      <c r="A111" s="63" t="s">
        <v>222</v>
      </c>
      <c r="B111" s="63" t="s">
        <v>223</v>
      </c>
      <c r="C111" s="36">
        <v>4301020391</v>
      </c>
      <c r="D111" s="653">
        <v>4680115881488</v>
      </c>
      <c r="E111" s="65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225</v>
      </c>
      <c r="B112" s="63" t="s">
        <v>226</v>
      </c>
      <c r="C112" s="36">
        <v>4301020186</v>
      </c>
      <c r="D112" s="653">
        <v>4680115887664</v>
      </c>
      <c r="E112" s="65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225</v>
      </c>
      <c r="B113" s="63" t="s">
        <v>229</v>
      </c>
      <c r="C113" s="36">
        <v>4301020430</v>
      </c>
      <c r="D113" s="653">
        <v>4680115887664</v>
      </c>
      <c r="E113" s="653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89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5"/>
      <c r="R113" s="655"/>
      <c r="S113" s="655"/>
      <c r="T113" s="65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4301020393</v>
      </c>
      <c r="D114" s="653">
        <v>4680115882775</v>
      </c>
      <c r="E114" s="653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5"/>
      <c r="R114" s="655"/>
      <c r="S114" s="655"/>
      <c r="T114" s="65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232</v>
      </c>
      <c r="B115" s="63" t="s">
        <v>233</v>
      </c>
      <c r="C115" s="36">
        <v>4301020392</v>
      </c>
      <c r="D115" s="653">
        <v>4680115880658</v>
      </c>
      <c r="E115" s="653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5"/>
      <c r="R115" s="655"/>
      <c r="S115" s="655"/>
      <c r="T115" s="65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60"/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1"/>
      <c r="P116" s="657" t="s">
        <v>40</v>
      </c>
      <c r="Q116" s="658"/>
      <c r="R116" s="658"/>
      <c r="S116" s="658"/>
      <c r="T116" s="658"/>
      <c r="U116" s="658"/>
      <c r="V116" s="659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60"/>
      <c r="B117" s="660"/>
      <c r="C117" s="660"/>
      <c r="D117" s="660"/>
      <c r="E117" s="660"/>
      <c r="F117" s="660"/>
      <c r="G117" s="660"/>
      <c r="H117" s="660"/>
      <c r="I117" s="660"/>
      <c r="J117" s="660"/>
      <c r="K117" s="660"/>
      <c r="L117" s="660"/>
      <c r="M117" s="660"/>
      <c r="N117" s="660"/>
      <c r="O117" s="661"/>
      <c r="P117" s="657" t="s">
        <v>40</v>
      </c>
      <c r="Q117" s="658"/>
      <c r="R117" s="658"/>
      <c r="S117" s="658"/>
      <c r="T117" s="658"/>
      <c r="U117" s="658"/>
      <c r="V117" s="659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customHeight="1" x14ac:dyDescent="0.25">
      <c r="A118" s="667" t="s">
        <v>86</v>
      </c>
      <c r="B118" s="667"/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653">
        <v>4607091385168</v>
      </c>
      <c r="E119" s="653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237</v>
      </c>
      <c r="B120" s="63" t="s">
        <v>238</v>
      </c>
      <c r="C120" s="36">
        <v>4301052087</v>
      </c>
      <c r="D120" s="653">
        <v>4607091383256</v>
      </c>
      <c r="E120" s="653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9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5"/>
      <c r="R120" s="655"/>
      <c r="S120" s="655"/>
      <c r="T120" s="65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239</v>
      </c>
      <c r="B121" s="63" t="s">
        <v>240</v>
      </c>
      <c r="C121" s="36">
        <v>4301052086</v>
      </c>
      <c r="D121" s="653">
        <v>4607091385748</v>
      </c>
      <c r="E121" s="653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5"/>
      <c r="R121" s="655"/>
      <c r="S121" s="655"/>
      <c r="T121" s="65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customHeight="1" x14ac:dyDescent="0.25">
      <c r="A122" s="63" t="s">
        <v>241</v>
      </c>
      <c r="B122" s="63" t="s">
        <v>242</v>
      </c>
      <c r="C122" s="36">
        <v>4301052085</v>
      </c>
      <c r="D122" s="653">
        <v>4680115884533</v>
      </c>
      <c r="E122" s="653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5"/>
      <c r="R122" s="655"/>
      <c r="S122" s="655"/>
      <c r="T122" s="65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60"/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1"/>
      <c r="P123" s="657" t="s">
        <v>40</v>
      </c>
      <c r="Q123" s="658"/>
      <c r="R123" s="658"/>
      <c r="S123" s="658"/>
      <c r="T123" s="658"/>
      <c r="U123" s="658"/>
      <c r="V123" s="659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x14ac:dyDescent="0.2">
      <c r="A124" s="660"/>
      <c r="B124" s="660"/>
      <c r="C124" s="660"/>
      <c r="D124" s="660"/>
      <c r="E124" s="660"/>
      <c r="F124" s="660"/>
      <c r="G124" s="660"/>
      <c r="H124" s="660"/>
      <c r="I124" s="660"/>
      <c r="J124" s="660"/>
      <c r="K124" s="660"/>
      <c r="L124" s="660"/>
      <c r="M124" s="660"/>
      <c r="N124" s="660"/>
      <c r="O124" s="661"/>
      <c r="P124" s="657" t="s">
        <v>40</v>
      </c>
      <c r="Q124" s="658"/>
      <c r="R124" s="658"/>
      <c r="S124" s="658"/>
      <c r="T124" s="658"/>
      <c r="U124" s="658"/>
      <c r="V124" s="659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customHeight="1" x14ac:dyDescent="0.25">
      <c r="A125" s="667" t="s">
        <v>175</v>
      </c>
      <c r="B125" s="667"/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"/>
      <c r="AB125" s="66"/>
      <c r="AC125" s="80"/>
    </row>
    <row r="126" spans="1:68" ht="16.5" customHeight="1" x14ac:dyDescent="0.25">
      <c r="A126" s="63" t="s">
        <v>244</v>
      </c>
      <c r="B126" s="63" t="s">
        <v>245</v>
      </c>
      <c r="C126" s="36">
        <v>4301060525</v>
      </c>
      <c r="D126" s="653">
        <v>4680115880238</v>
      </c>
      <c r="E126" s="653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9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customHeight="1" x14ac:dyDescent="0.25">
      <c r="A129" s="671" t="s">
        <v>247</v>
      </c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5"/>
      <c r="AB129" s="65"/>
      <c r="AC129" s="79"/>
    </row>
    <row r="130" spans="1:68" ht="14.25" customHeight="1" x14ac:dyDescent="0.25">
      <c r="A130" s="667" t="s">
        <v>122</v>
      </c>
      <c r="B130" s="667"/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  <c r="Z130" s="667"/>
      <c r="AA130" s="66"/>
      <c r="AB130" s="66"/>
      <c r="AC130" s="80"/>
    </row>
    <row r="131" spans="1:68" ht="27" customHeight="1" x14ac:dyDescent="0.25">
      <c r="A131" s="63" t="s">
        <v>248</v>
      </c>
      <c r="B131" s="63" t="s">
        <v>249</v>
      </c>
      <c r="C131" s="36">
        <v>4301011562</v>
      </c>
      <c r="D131" s="653">
        <v>4680115882577</v>
      </c>
      <c r="E131" s="65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5"/>
      <c r="R131" s="655"/>
      <c r="S131" s="655"/>
      <c r="T131" s="65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248</v>
      </c>
      <c r="B132" s="63" t="s">
        <v>252</v>
      </c>
      <c r="C132" s="36">
        <v>4301011564</v>
      </c>
      <c r="D132" s="653">
        <v>4680115882577</v>
      </c>
      <c r="E132" s="653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5"/>
      <c r="R132" s="655"/>
      <c r="S132" s="655"/>
      <c r="T132" s="65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60"/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1"/>
      <c r="P133" s="657" t="s">
        <v>40</v>
      </c>
      <c r="Q133" s="658"/>
      <c r="R133" s="658"/>
      <c r="S133" s="658"/>
      <c r="T133" s="658"/>
      <c r="U133" s="658"/>
      <c r="V133" s="65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1"/>
      <c r="P134" s="657" t="s">
        <v>40</v>
      </c>
      <c r="Q134" s="658"/>
      <c r="R134" s="658"/>
      <c r="S134" s="658"/>
      <c r="T134" s="658"/>
      <c r="U134" s="658"/>
      <c r="V134" s="65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67" t="s">
        <v>77</v>
      </c>
      <c r="B135" s="667"/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"/>
      <c r="AB135" s="66"/>
      <c r="AC135" s="80"/>
    </row>
    <row r="136" spans="1:68" ht="27" customHeight="1" x14ac:dyDescent="0.25">
      <c r="A136" s="63" t="s">
        <v>253</v>
      </c>
      <c r="B136" s="63" t="s">
        <v>254</v>
      </c>
      <c r="C136" s="36">
        <v>4301031234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253</v>
      </c>
      <c r="B137" s="63" t="s">
        <v>256</v>
      </c>
      <c r="C137" s="36">
        <v>4301031235</v>
      </c>
      <c r="D137" s="653">
        <v>4680115883444</v>
      </c>
      <c r="E137" s="65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60"/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1"/>
      <c r="P139" s="657" t="s">
        <v>40</v>
      </c>
      <c r="Q139" s="658"/>
      <c r="R139" s="658"/>
      <c r="S139" s="658"/>
      <c r="T139" s="658"/>
      <c r="U139" s="658"/>
      <c r="V139" s="65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67" t="s">
        <v>86</v>
      </c>
      <c r="B140" s="667"/>
      <c r="C140" s="667"/>
      <c r="D140" s="667"/>
      <c r="E140" s="667"/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  <c r="Z140" s="667"/>
      <c r="AA140" s="66"/>
      <c r="AB140" s="66"/>
      <c r="AC140" s="80"/>
    </row>
    <row r="141" spans="1:68" ht="16.5" customHeight="1" x14ac:dyDescent="0.25">
      <c r="A141" s="63" t="s">
        <v>257</v>
      </c>
      <c r="B141" s="63" t="s">
        <v>258</v>
      </c>
      <c r="C141" s="36">
        <v>4301051476</v>
      </c>
      <c r="D141" s="653">
        <v>4680115882584</v>
      </c>
      <c r="E141" s="65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257</v>
      </c>
      <c r="B142" s="63" t="s">
        <v>259</v>
      </c>
      <c r="C142" s="36">
        <v>4301051477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60"/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1"/>
      <c r="P144" s="657" t="s">
        <v>40</v>
      </c>
      <c r="Q144" s="658"/>
      <c r="R144" s="658"/>
      <c r="S144" s="658"/>
      <c r="T144" s="658"/>
      <c r="U144" s="658"/>
      <c r="V144" s="65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customHeight="1" x14ac:dyDescent="0.25">
      <c r="A145" s="671" t="s">
        <v>260</v>
      </c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5"/>
      <c r="AB145" s="65"/>
      <c r="AC145" s="79"/>
    </row>
    <row r="146" spans="1:68" ht="14.25" customHeight="1" x14ac:dyDescent="0.25">
      <c r="A146" s="667" t="s">
        <v>86</v>
      </c>
      <c r="B146" s="667"/>
      <c r="C146" s="667"/>
      <c r="D146" s="667"/>
      <c r="E146" s="667"/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  <c r="Z146" s="667"/>
      <c r="AA146" s="66"/>
      <c r="AB146" s="66"/>
      <c r="AC146" s="80"/>
    </row>
    <row r="147" spans="1:68" ht="27" customHeight="1" x14ac:dyDescent="0.25">
      <c r="A147" s="63" t="s">
        <v>261</v>
      </c>
      <c r="B147" s="63" t="s">
        <v>262</v>
      </c>
      <c r="C147" s="36">
        <v>4301052254</v>
      </c>
      <c r="D147" s="653">
        <v>4680115888203</v>
      </c>
      <c r="E147" s="653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5"/>
      <c r="R147" s="655"/>
      <c r="S147" s="655"/>
      <c r="T147" s="656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customHeight="1" x14ac:dyDescent="0.25">
      <c r="A148" s="63" t="s">
        <v>264</v>
      </c>
      <c r="B148" s="63" t="s">
        <v>265</v>
      </c>
      <c r="C148" s="36">
        <v>4301052172</v>
      </c>
      <c r="D148" s="653">
        <v>4680115888180</v>
      </c>
      <c r="E148" s="653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customHeight="1" x14ac:dyDescent="0.25">
      <c r="A149" s="63" t="s">
        <v>264</v>
      </c>
      <c r="B149" s="63" t="s">
        <v>267</v>
      </c>
      <c r="C149" s="36">
        <v>4301052252</v>
      </c>
      <c r="D149" s="653">
        <v>4680115888180</v>
      </c>
      <c r="E149" s="65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customHeight="1" x14ac:dyDescent="0.25">
      <c r="A150" s="63" t="s">
        <v>268</v>
      </c>
      <c r="B150" s="63" t="s">
        <v>269</v>
      </c>
      <c r="C150" s="36">
        <v>4301052253</v>
      </c>
      <c r="D150" s="653">
        <v>4680115888197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customHeight="1" x14ac:dyDescent="0.25">
      <c r="A151" s="63" t="s">
        <v>271</v>
      </c>
      <c r="B151" s="63" t="s">
        <v>272</v>
      </c>
      <c r="C151" s="36">
        <v>4301052175</v>
      </c>
      <c r="D151" s="653">
        <v>4680115888210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customHeight="1" x14ac:dyDescent="0.25">
      <c r="A152" s="63" t="s">
        <v>271</v>
      </c>
      <c r="B152" s="63" t="s">
        <v>274</v>
      </c>
      <c r="C152" s="36">
        <v>4301052255</v>
      </c>
      <c r="D152" s="653">
        <v>4680115888210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x14ac:dyDescent="0.2">
      <c r="A153" s="660"/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1"/>
      <c r="P153" s="657" t="s">
        <v>40</v>
      </c>
      <c r="Q153" s="658"/>
      <c r="R153" s="658"/>
      <c r="S153" s="658"/>
      <c r="T153" s="658"/>
      <c r="U153" s="658"/>
      <c r="V153" s="65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660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660"/>
      <c r="N154" s="660"/>
      <c r="O154" s="661"/>
      <c r="P154" s="657" t="s">
        <v>40</v>
      </c>
      <c r="Q154" s="658"/>
      <c r="R154" s="658"/>
      <c r="S154" s="658"/>
      <c r="T154" s="658"/>
      <c r="U154" s="658"/>
      <c r="V154" s="65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667" t="s">
        <v>275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6"/>
      <c r="AB155" s="66"/>
      <c r="AC155" s="80"/>
    </row>
    <row r="156" spans="1:68" ht="27" customHeight="1" x14ac:dyDescent="0.25">
      <c r="A156" s="63" t="s">
        <v>276</v>
      </c>
      <c r="B156" s="63" t="s">
        <v>277</v>
      </c>
      <c r="C156" s="36">
        <v>4301032067</v>
      </c>
      <c r="D156" s="653">
        <v>4680115889132</v>
      </c>
      <c r="E156" s="653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7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5"/>
      <c r="R156" s="655"/>
      <c r="S156" s="655"/>
      <c r="T156" s="656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customHeight="1" x14ac:dyDescent="0.25">
      <c r="A159" s="671" t="s">
        <v>120</v>
      </c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5"/>
      <c r="AB159" s="65"/>
      <c r="AC159" s="79"/>
    </row>
    <row r="160" spans="1:68" ht="14.25" customHeight="1" x14ac:dyDescent="0.25">
      <c r="A160" s="667" t="s">
        <v>122</v>
      </c>
      <c r="B160" s="667"/>
      <c r="C160" s="667"/>
      <c r="D160" s="667"/>
      <c r="E160" s="667"/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  <c r="Z160" s="667"/>
      <c r="AA160" s="66"/>
      <c r="AB160" s="66"/>
      <c r="AC160" s="80"/>
    </row>
    <row r="161" spans="1:68" ht="27" customHeight="1" x14ac:dyDescent="0.25">
      <c r="A161" s="63" t="s">
        <v>282</v>
      </c>
      <c r="B161" s="63" t="s">
        <v>283</v>
      </c>
      <c r="C161" s="36">
        <v>4301012338</v>
      </c>
      <c r="D161" s="653">
        <v>4680115887374</v>
      </c>
      <c r="E161" s="653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7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5"/>
      <c r="R161" s="655"/>
      <c r="S161" s="655"/>
      <c r="T161" s="656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customHeight="1" x14ac:dyDescent="0.25">
      <c r="A162" s="63" t="s">
        <v>285</v>
      </c>
      <c r="B162" s="63" t="s">
        <v>286</v>
      </c>
      <c r="C162" s="36">
        <v>4301011705</v>
      </c>
      <c r="D162" s="653">
        <v>4607091384604</v>
      </c>
      <c r="E162" s="653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5"/>
      <c r="R162" s="655"/>
      <c r="S162" s="655"/>
      <c r="T162" s="65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customHeight="1" x14ac:dyDescent="0.25">
      <c r="A163" s="63" t="s">
        <v>288</v>
      </c>
      <c r="B163" s="63" t="s">
        <v>289</v>
      </c>
      <c r="C163" s="36">
        <v>4301012344</v>
      </c>
      <c r="D163" s="653">
        <v>4680115888876</v>
      </c>
      <c r="E163" s="653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60"/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1"/>
      <c r="P164" s="657" t="s">
        <v>40</v>
      </c>
      <c r="Q164" s="658"/>
      <c r="R164" s="658"/>
      <c r="S164" s="658"/>
      <c r="T164" s="658"/>
      <c r="U164" s="658"/>
      <c r="V164" s="659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x14ac:dyDescent="0.2">
      <c r="A165" s="660"/>
      <c r="B165" s="660"/>
      <c r="C165" s="660"/>
      <c r="D165" s="660"/>
      <c r="E165" s="660"/>
      <c r="F165" s="660"/>
      <c r="G165" s="660"/>
      <c r="H165" s="660"/>
      <c r="I165" s="660"/>
      <c r="J165" s="660"/>
      <c r="K165" s="660"/>
      <c r="L165" s="660"/>
      <c r="M165" s="660"/>
      <c r="N165" s="660"/>
      <c r="O165" s="661"/>
      <c r="P165" s="657" t="s">
        <v>40</v>
      </c>
      <c r="Q165" s="658"/>
      <c r="R165" s="658"/>
      <c r="S165" s="658"/>
      <c r="T165" s="658"/>
      <c r="U165" s="658"/>
      <c r="V165" s="659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customHeight="1" x14ac:dyDescent="0.25">
      <c r="A166" s="667" t="s">
        <v>157</v>
      </c>
      <c r="B166" s="667"/>
      <c r="C166" s="667"/>
      <c r="D166" s="667"/>
      <c r="E166" s="667"/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  <c r="Z166" s="667"/>
      <c r="AA166" s="66"/>
      <c r="AB166" s="66"/>
      <c r="AC166" s="80"/>
    </row>
    <row r="167" spans="1:68" ht="16.5" customHeight="1" x14ac:dyDescent="0.25">
      <c r="A167" s="63" t="s">
        <v>291</v>
      </c>
      <c r="B167" s="63" t="s">
        <v>292</v>
      </c>
      <c r="C167" s="36">
        <v>4301020410</v>
      </c>
      <c r="D167" s="653">
        <v>4680115887695</v>
      </c>
      <c r="E167" s="653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5"/>
      <c r="R167" s="655"/>
      <c r="S167" s="655"/>
      <c r="T167" s="65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customHeight="1" x14ac:dyDescent="0.25">
      <c r="A168" s="63" t="s">
        <v>294</v>
      </c>
      <c r="B168" s="63" t="s">
        <v>295</v>
      </c>
      <c r="C168" s="36">
        <v>4301020439</v>
      </c>
      <c r="D168" s="653">
        <v>4680115889491</v>
      </c>
      <c r="E168" s="653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5"/>
      <c r="R168" s="655"/>
      <c r="S168" s="655"/>
      <c r="T168" s="65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customHeight="1" x14ac:dyDescent="0.25">
      <c r="A171" s="667" t="s">
        <v>77</v>
      </c>
      <c r="B171" s="667"/>
      <c r="C171" s="667"/>
      <c r="D171" s="667"/>
      <c r="E171" s="667"/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  <c r="Z171" s="667"/>
      <c r="AA171" s="66"/>
      <c r="AB171" s="66"/>
      <c r="AC171" s="80"/>
    </row>
    <row r="172" spans="1:68" ht="27" customHeight="1" x14ac:dyDescent="0.25">
      <c r="A172" s="63" t="s">
        <v>297</v>
      </c>
      <c r="B172" s="63" t="s">
        <v>298</v>
      </c>
      <c r="C172" s="36">
        <v>4301031496</v>
      </c>
      <c r="D172" s="653">
        <v>4680115887428</v>
      </c>
      <c r="E172" s="653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7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5"/>
      <c r="R172" s="655"/>
      <c r="S172" s="655"/>
      <c r="T172" s="65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customHeight="1" x14ac:dyDescent="0.25">
      <c r="A173" s="63" t="s">
        <v>300</v>
      </c>
      <c r="B173" s="63" t="s">
        <v>301</v>
      </c>
      <c r="C173" s="36">
        <v>4301031509</v>
      </c>
      <c r="D173" s="653">
        <v>4680115889170</v>
      </c>
      <c r="E173" s="653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5"/>
      <c r="R173" s="655"/>
      <c r="S173" s="655"/>
      <c r="T173" s="65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4301031498</v>
      </c>
      <c r="D174" s="653">
        <v>4680115887398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303</v>
      </c>
      <c r="B175" s="63" t="s">
        <v>306</v>
      </c>
      <c r="C175" s="36">
        <v>4301031522</v>
      </c>
      <c r="D175" s="653">
        <v>4680115887398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4301031520</v>
      </c>
      <c r="D176" s="653">
        <v>4680115887336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customHeight="1" x14ac:dyDescent="0.25">
      <c r="A177" s="63" t="s">
        <v>311</v>
      </c>
      <c r="B177" s="63" t="s">
        <v>312</v>
      </c>
      <c r="C177" s="36">
        <v>4301032049</v>
      </c>
      <c r="D177" s="653">
        <v>4680115887787</v>
      </c>
      <c r="E177" s="653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customHeight="1" x14ac:dyDescent="0.25">
      <c r="A178" s="63" t="s">
        <v>311</v>
      </c>
      <c r="B178" s="63" t="s">
        <v>314</v>
      </c>
      <c r="C178" s="36">
        <v>4301031528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315</v>
      </c>
      <c r="B179" s="63" t="s">
        <v>316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customHeight="1" x14ac:dyDescent="0.25">
      <c r="A181" s="63" t="s">
        <v>320</v>
      </c>
      <c r="B181" s="63" t="s">
        <v>321</v>
      </c>
      <c r="C181" s="36">
        <v>4301031521</v>
      </c>
      <c r="D181" s="653">
        <v>4680115887480</v>
      </c>
      <c r="E181" s="65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7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4301031434</v>
      </c>
      <c r="D182" s="653">
        <v>4680115888067</v>
      </c>
      <c r="E182" s="653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325</v>
      </c>
      <c r="B183" s="63" t="s">
        <v>326</v>
      </c>
      <c r="C183" s="36">
        <v>4301031519</v>
      </c>
      <c r="D183" s="653">
        <v>4680115887435</v>
      </c>
      <c r="E183" s="65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x14ac:dyDescent="0.2">
      <c r="A184" s="660"/>
      <c r="B184" s="660"/>
      <c r="C184" s="660"/>
      <c r="D184" s="660"/>
      <c r="E184" s="660"/>
      <c r="F184" s="660"/>
      <c r="G184" s="660"/>
      <c r="H184" s="660"/>
      <c r="I184" s="660"/>
      <c r="J184" s="660"/>
      <c r="K184" s="660"/>
      <c r="L184" s="660"/>
      <c r="M184" s="660"/>
      <c r="N184" s="660"/>
      <c r="O184" s="661"/>
      <c r="P184" s="657" t="s">
        <v>40</v>
      </c>
      <c r="Q184" s="658"/>
      <c r="R184" s="658"/>
      <c r="S184" s="658"/>
      <c r="T184" s="658"/>
      <c r="U184" s="658"/>
      <c r="V184" s="659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60"/>
      <c r="B185" s="660"/>
      <c r="C185" s="660"/>
      <c r="D185" s="660"/>
      <c r="E185" s="660"/>
      <c r="F185" s="660"/>
      <c r="G185" s="660"/>
      <c r="H185" s="660"/>
      <c r="I185" s="660"/>
      <c r="J185" s="660"/>
      <c r="K185" s="660"/>
      <c r="L185" s="660"/>
      <c r="M185" s="660"/>
      <c r="N185" s="660"/>
      <c r="O185" s="661"/>
      <c r="P185" s="657" t="s">
        <v>40</v>
      </c>
      <c r="Q185" s="658"/>
      <c r="R185" s="658"/>
      <c r="S185" s="658"/>
      <c r="T185" s="658"/>
      <c r="U185" s="658"/>
      <c r="V185" s="659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customHeight="1" x14ac:dyDescent="0.25">
      <c r="A186" s="667" t="s">
        <v>86</v>
      </c>
      <c r="B186" s="667"/>
      <c r="C186" s="667"/>
      <c r="D186" s="667"/>
      <c r="E186" s="667"/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  <c r="Z186" s="667"/>
      <c r="AA186" s="66"/>
      <c r="AB186" s="66"/>
      <c r="AC186" s="80"/>
    </row>
    <row r="187" spans="1:68" ht="16.5" customHeight="1" x14ac:dyDescent="0.25">
      <c r="A187" s="63" t="s">
        <v>327</v>
      </c>
      <c r="B187" s="63" t="s">
        <v>328</v>
      </c>
      <c r="C187" s="36">
        <v>4301052193</v>
      </c>
      <c r="D187" s="653">
        <v>4680115888395</v>
      </c>
      <c r="E187" s="653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5"/>
      <c r="R187" s="655"/>
      <c r="S187" s="655"/>
      <c r="T187" s="65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customHeight="1" x14ac:dyDescent="0.25">
      <c r="A188" s="63" t="s">
        <v>330</v>
      </c>
      <c r="B188" s="63" t="s">
        <v>331</v>
      </c>
      <c r="C188" s="36">
        <v>4301052191</v>
      </c>
      <c r="D188" s="653">
        <v>4680115888371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333</v>
      </c>
      <c r="B189" s="63" t="s">
        <v>334</v>
      </c>
      <c r="C189" s="36">
        <v>4301052064</v>
      </c>
      <c r="D189" s="653">
        <v>4680115887459</v>
      </c>
      <c r="E189" s="653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60"/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1"/>
      <c r="P190" s="657" t="s">
        <v>40</v>
      </c>
      <c r="Q190" s="658"/>
      <c r="R190" s="658"/>
      <c r="S190" s="658"/>
      <c r="T190" s="658"/>
      <c r="U190" s="658"/>
      <c r="V190" s="659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x14ac:dyDescent="0.2">
      <c r="A191" s="660"/>
      <c r="B191" s="660"/>
      <c r="C191" s="660"/>
      <c r="D191" s="660"/>
      <c r="E191" s="660"/>
      <c r="F191" s="660"/>
      <c r="G191" s="660"/>
      <c r="H191" s="660"/>
      <c r="I191" s="660"/>
      <c r="J191" s="660"/>
      <c r="K191" s="660"/>
      <c r="L191" s="660"/>
      <c r="M191" s="660"/>
      <c r="N191" s="660"/>
      <c r="O191" s="661"/>
      <c r="P191" s="657" t="s">
        <v>40</v>
      </c>
      <c r="Q191" s="658"/>
      <c r="R191" s="658"/>
      <c r="S191" s="658"/>
      <c r="T191" s="658"/>
      <c r="U191" s="658"/>
      <c r="V191" s="659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customHeight="1" x14ac:dyDescent="0.25">
      <c r="A192" s="667" t="s">
        <v>275</v>
      </c>
      <c r="B192" s="667"/>
      <c r="C192" s="667"/>
      <c r="D192" s="667"/>
      <c r="E192" s="667"/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  <c r="Z192" s="667"/>
      <c r="AA192" s="66"/>
      <c r="AB192" s="66"/>
      <c r="AC192" s="80"/>
    </row>
    <row r="193" spans="1:68" ht="16.5" customHeight="1" x14ac:dyDescent="0.25">
      <c r="A193" s="63" t="s">
        <v>336</v>
      </c>
      <c r="B193" s="63" t="s">
        <v>337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customHeight="1" x14ac:dyDescent="0.25">
      <c r="A196" s="667" t="s">
        <v>340</v>
      </c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  <c r="Z196" s="667"/>
      <c r="AA196" s="66"/>
      <c r="AB196" s="66"/>
      <c r="AC196" s="80"/>
    </row>
    <row r="197" spans="1:68" ht="27" customHeight="1" x14ac:dyDescent="0.25">
      <c r="A197" s="63" t="s">
        <v>341</v>
      </c>
      <c r="B197" s="63" t="s">
        <v>342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customHeight="1" x14ac:dyDescent="0.2">
      <c r="A200" s="682" t="s">
        <v>344</v>
      </c>
      <c r="B200" s="682"/>
      <c r="C200" s="682"/>
      <c r="D200" s="682"/>
      <c r="E200" s="682"/>
      <c r="F200" s="682"/>
      <c r="G200" s="682"/>
      <c r="H200" s="682"/>
      <c r="I200" s="682"/>
      <c r="J200" s="682"/>
      <c r="K200" s="682"/>
      <c r="L200" s="682"/>
      <c r="M200" s="682"/>
      <c r="N200" s="682"/>
      <c r="O200" s="682"/>
      <c r="P200" s="682"/>
      <c r="Q200" s="682"/>
      <c r="R200" s="682"/>
      <c r="S200" s="682"/>
      <c r="T200" s="682"/>
      <c r="U200" s="682"/>
      <c r="V200" s="682"/>
      <c r="W200" s="682"/>
      <c r="X200" s="682"/>
      <c r="Y200" s="682"/>
      <c r="Z200" s="682"/>
      <c r="AA200" s="54"/>
      <c r="AB200" s="54"/>
      <c r="AC200" s="54"/>
    </row>
    <row r="201" spans="1:68" ht="16.5" customHeight="1" x14ac:dyDescent="0.25">
      <c r="A201" s="671" t="s">
        <v>345</v>
      </c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5"/>
      <c r="AB201" s="65"/>
      <c r="AC201" s="79"/>
    </row>
    <row r="202" spans="1:68" ht="14.25" customHeight="1" x14ac:dyDescent="0.25">
      <c r="A202" s="667" t="s">
        <v>122</v>
      </c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  <c r="Z202" s="667"/>
      <c r="AA202" s="66"/>
      <c r="AB202" s="66"/>
      <c r="AC202" s="80"/>
    </row>
    <row r="203" spans="1:68" ht="27" customHeight="1" x14ac:dyDescent="0.25">
      <c r="A203" s="63" t="s">
        <v>346</v>
      </c>
      <c r="B203" s="63" t="s">
        <v>347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customHeight="1" x14ac:dyDescent="0.25">
      <c r="A204" s="63" t="s">
        <v>348</v>
      </c>
      <c r="B204" s="63" t="s">
        <v>349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customHeight="1" x14ac:dyDescent="0.25">
      <c r="A205" s="63" t="s">
        <v>351</v>
      </c>
      <c r="B205" s="63" t="s">
        <v>352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customHeight="1" x14ac:dyDescent="0.25">
      <c r="A206" s="63" t="s">
        <v>354</v>
      </c>
      <c r="B206" s="63" t="s">
        <v>355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customHeight="1" x14ac:dyDescent="0.25">
      <c r="A207" s="63" t="s">
        <v>357</v>
      </c>
      <c r="B207" s="63" t="s">
        <v>358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x14ac:dyDescent="0.2">
      <c r="A210" s="660"/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1"/>
      <c r="P210" s="657" t="s">
        <v>40</v>
      </c>
      <c r="Q210" s="658"/>
      <c r="R210" s="658"/>
      <c r="S210" s="658"/>
      <c r="T210" s="658"/>
      <c r="U210" s="658"/>
      <c r="V210" s="659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60"/>
      <c r="B211" s="660"/>
      <c r="C211" s="660"/>
      <c r="D211" s="660"/>
      <c r="E211" s="660"/>
      <c r="F211" s="660"/>
      <c r="G211" s="660"/>
      <c r="H211" s="660"/>
      <c r="I211" s="660"/>
      <c r="J211" s="660"/>
      <c r="K211" s="660"/>
      <c r="L211" s="660"/>
      <c r="M211" s="660"/>
      <c r="N211" s="660"/>
      <c r="O211" s="661"/>
      <c r="P211" s="657" t="s">
        <v>40</v>
      </c>
      <c r="Q211" s="658"/>
      <c r="R211" s="658"/>
      <c r="S211" s="658"/>
      <c r="T211" s="658"/>
      <c r="U211" s="658"/>
      <c r="V211" s="659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customHeight="1" x14ac:dyDescent="0.25">
      <c r="A212" s="671" t="s">
        <v>366</v>
      </c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5"/>
      <c r="AB212" s="65"/>
      <c r="AC212" s="79"/>
    </row>
    <row r="213" spans="1:68" ht="14.25" customHeight="1" x14ac:dyDescent="0.25">
      <c r="A213" s="667" t="s">
        <v>157</v>
      </c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6"/>
      <c r="AB213" s="66"/>
      <c r="AC213" s="80"/>
    </row>
    <row r="214" spans="1:68" ht="27" customHeight="1" x14ac:dyDescent="0.25">
      <c r="A214" s="63" t="s">
        <v>367</v>
      </c>
      <c r="B214" s="63" t="s">
        <v>368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x14ac:dyDescent="0.2">
      <c r="A216" s="660"/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1"/>
      <c r="P216" s="657" t="s">
        <v>40</v>
      </c>
      <c r="Q216" s="658"/>
      <c r="R216" s="658"/>
      <c r="S216" s="658"/>
      <c r="T216" s="658"/>
      <c r="U216" s="658"/>
      <c r="V216" s="65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customHeight="1" x14ac:dyDescent="0.25">
      <c r="A217" s="667" t="s">
        <v>77</v>
      </c>
      <c r="B217" s="667"/>
      <c r="C217" s="667"/>
      <c r="D217" s="667"/>
      <c r="E217" s="667"/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  <c r="Z217" s="667"/>
      <c r="AA217" s="66"/>
      <c r="AB217" s="66"/>
      <c r="AC217" s="80"/>
    </row>
    <row r="218" spans="1:68" ht="27" customHeight="1" x14ac:dyDescent="0.25">
      <c r="A218" s="63" t="s">
        <v>370</v>
      </c>
      <c r="B218" s="63" t="s">
        <v>371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customHeight="1" x14ac:dyDescent="0.25">
      <c r="A219" s="63" t="s">
        <v>373</v>
      </c>
      <c r="B219" s="63" t="s">
        <v>374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customHeight="1" x14ac:dyDescent="0.25">
      <c r="A221" s="63" t="s">
        <v>379</v>
      </c>
      <c r="B221" s="63" t="s">
        <v>380</v>
      </c>
      <c r="C221" s="36">
        <v>4301031447</v>
      </c>
      <c r="D221" s="653">
        <v>4680115887565</v>
      </c>
      <c r="E221" s="653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4301031199</v>
      </c>
      <c r="D222" s="653">
        <v>4680115880986</v>
      </c>
      <c r="E222" s="653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384</v>
      </c>
      <c r="B223" s="63" t="s">
        <v>385</v>
      </c>
      <c r="C223" s="36">
        <v>4301031443</v>
      </c>
      <c r="D223" s="653">
        <v>4680115887213</v>
      </c>
      <c r="E223" s="65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4301031205</v>
      </c>
      <c r="D224" s="653">
        <v>4680115881785</v>
      </c>
      <c r="E224" s="65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389</v>
      </c>
      <c r="B225" s="63" t="s">
        <v>390</v>
      </c>
      <c r="C225" s="36">
        <v>4301031499</v>
      </c>
      <c r="D225" s="653">
        <v>4680115888432</v>
      </c>
      <c r="E225" s="653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392</v>
      </c>
      <c r="B226" s="63" t="s">
        <v>393</v>
      </c>
      <c r="C226" s="36">
        <v>4301031427</v>
      </c>
      <c r="D226" s="653">
        <v>4680115888104</v>
      </c>
      <c r="E226" s="653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395</v>
      </c>
      <c r="B227" s="63" t="s">
        <v>396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customHeight="1" x14ac:dyDescent="0.25">
      <c r="A229" s="63" t="s">
        <v>401</v>
      </c>
      <c r="B229" s="63" t="s">
        <v>402</v>
      </c>
      <c r="C229" s="36">
        <v>4301031202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4301031158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403</v>
      </c>
      <c r="B231" s="63" t="s">
        <v>405</v>
      </c>
      <c r="C231" s="36">
        <v>4301031531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660"/>
      <c r="B233" s="660"/>
      <c r="C233" s="660"/>
      <c r="D233" s="660"/>
      <c r="E233" s="660"/>
      <c r="F233" s="660"/>
      <c r="G233" s="660"/>
      <c r="H233" s="660"/>
      <c r="I233" s="660"/>
      <c r="J233" s="660"/>
      <c r="K233" s="660"/>
      <c r="L233" s="660"/>
      <c r="M233" s="660"/>
      <c r="N233" s="660"/>
      <c r="O233" s="661"/>
      <c r="P233" s="657" t="s">
        <v>40</v>
      </c>
      <c r="Q233" s="658"/>
      <c r="R233" s="658"/>
      <c r="S233" s="658"/>
      <c r="T233" s="658"/>
      <c r="U233" s="658"/>
      <c r="V233" s="659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660"/>
      <c r="B234" s="660"/>
      <c r="C234" s="660"/>
      <c r="D234" s="660"/>
      <c r="E234" s="660"/>
      <c r="F234" s="660"/>
      <c r="G234" s="660"/>
      <c r="H234" s="660"/>
      <c r="I234" s="660"/>
      <c r="J234" s="660"/>
      <c r="K234" s="660"/>
      <c r="L234" s="660"/>
      <c r="M234" s="660"/>
      <c r="N234" s="660"/>
      <c r="O234" s="661"/>
      <c r="P234" s="657" t="s">
        <v>40</v>
      </c>
      <c r="Q234" s="658"/>
      <c r="R234" s="658"/>
      <c r="S234" s="658"/>
      <c r="T234" s="658"/>
      <c r="U234" s="658"/>
      <c r="V234" s="659"/>
      <c r="W234" s="42" t="s">
        <v>0</v>
      </c>
      <c r="X234" s="43">
        <f>IFERROR(SUM(X218:X232),"0")</f>
        <v>0</v>
      </c>
      <c r="Y234" s="43">
        <f>IFERROR(SUM(Y218:Y232),"0")</f>
        <v>0</v>
      </c>
      <c r="Z234" s="42"/>
      <c r="AA234" s="67"/>
      <c r="AB234" s="67"/>
      <c r="AC234" s="67"/>
    </row>
    <row r="235" spans="1:68" ht="14.25" customHeight="1" x14ac:dyDescent="0.25">
      <c r="A235" s="667" t="s">
        <v>86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6"/>
      <c r="AB235" s="66"/>
      <c r="AC235" s="80"/>
    </row>
    <row r="236" spans="1:68" ht="16.5" customHeight="1" x14ac:dyDescent="0.25">
      <c r="A236" s="63" t="s">
        <v>409</v>
      </c>
      <c r="B236" s="63" t="s">
        <v>410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customHeight="1" x14ac:dyDescent="0.25">
      <c r="A237" s="63" t="s">
        <v>409</v>
      </c>
      <c r="B237" s="63" t="s">
        <v>412</v>
      </c>
      <c r="C237" s="36">
        <v>4301052279</v>
      </c>
      <c r="D237" s="653">
        <v>4680115888692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2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customHeight="1" x14ac:dyDescent="0.25">
      <c r="A238" s="63" t="s">
        <v>414</v>
      </c>
      <c r="B238" s="63" t="s">
        <v>415</v>
      </c>
      <c r="C238" s="36">
        <v>4301052213</v>
      </c>
      <c r="D238" s="653">
        <v>4680115888722</v>
      </c>
      <c r="E238" s="65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customHeight="1" x14ac:dyDescent="0.25">
      <c r="A239" s="63" t="s">
        <v>414</v>
      </c>
      <c r="B239" s="63" t="s">
        <v>417</v>
      </c>
      <c r="C239" s="36">
        <v>4301052280</v>
      </c>
      <c r="D239" s="653">
        <v>4680115888722</v>
      </c>
      <c r="E239" s="65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customHeight="1" x14ac:dyDescent="0.25">
      <c r="A240" s="63" t="s">
        <v>419</v>
      </c>
      <c r="B240" s="63" t="s">
        <v>420</v>
      </c>
      <c r="C240" s="36">
        <v>4301052177</v>
      </c>
      <c r="D240" s="653">
        <v>4680115888951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customHeight="1" x14ac:dyDescent="0.25">
      <c r="A241" s="63" t="s">
        <v>419</v>
      </c>
      <c r="B241" s="63" t="s">
        <v>422</v>
      </c>
      <c r="C241" s="36">
        <v>4301052276</v>
      </c>
      <c r="D241" s="653">
        <v>4680115888951</v>
      </c>
      <c r="E241" s="653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5"/>
      <c r="R241" s="655"/>
      <c r="S241" s="655"/>
      <c r="T241" s="65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customHeight="1" x14ac:dyDescent="0.25">
      <c r="A242" s="63" t="s">
        <v>423</v>
      </c>
      <c r="B242" s="63" t="s">
        <v>424</v>
      </c>
      <c r="C242" s="36">
        <v>4301052178</v>
      </c>
      <c r="D242" s="653">
        <v>4680115888975</v>
      </c>
      <c r="E242" s="653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5"/>
      <c r="R242" s="655"/>
      <c r="S242" s="655"/>
      <c r="T242" s="65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customHeight="1" x14ac:dyDescent="0.25">
      <c r="A243" s="63" t="s">
        <v>426</v>
      </c>
      <c r="B243" s="63" t="s">
        <v>427</v>
      </c>
      <c r="C243" s="36">
        <v>4301052176</v>
      </c>
      <c r="D243" s="653">
        <v>4680115888982</v>
      </c>
      <c r="E243" s="65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customHeight="1" x14ac:dyDescent="0.25">
      <c r="A244" s="63" t="s">
        <v>426</v>
      </c>
      <c r="B244" s="63" t="s">
        <v>428</v>
      </c>
      <c r="C244" s="36">
        <v>4301052277</v>
      </c>
      <c r="D244" s="653">
        <v>4680115888982</v>
      </c>
      <c r="E244" s="65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x14ac:dyDescent="0.2">
      <c r="A245" s="660"/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1"/>
      <c r="P245" s="657" t="s">
        <v>40</v>
      </c>
      <c r="Q245" s="658"/>
      <c r="R245" s="658"/>
      <c r="S245" s="658"/>
      <c r="T245" s="658"/>
      <c r="U245" s="658"/>
      <c r="V245" s="659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660"/>
      <c r="B246" s="660"/>
      <c r="C246" s="660"/>
      <c r="D246" s="660"/>
      <c r="E246" s="660"/>
      <c r="F246" s="660"/>
      <c r="G246" s="660"/>
      <c r="H246" s="660"/>
      <c r="I246" s="660"/>
      <c r="J246" s="660"/>
      <c r="K246" s="660"/>
      <c r="L246" s="660"/>
      <c r="M246" s="660"/>
      <c r="N246" s="660"/>
      <c r="O246" s="661"/>
      <c r="P246" s="657" t="s">
        <v>40</v>
      </c>
      <c r="Q246" s="658"/>
      <c r="R246" s="658"/>
      <c r="S246" s="658"/>
      <c r="T246" s="658"/>
      <c r="U246" s="658"/>
      <c r="V246" s="659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customHeight="1" x14ac:dyDescent="0.25">
      <c r="A247" s="667" t="s">
        <v>275</v>
      </c>
      <c r="B247" s="667"/>
      <c r="C247" s="667"/>
      <c r="D247" s="667"/>
      <c r="E247" s="667"/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  <c r="Z247" s="667"/>
      <c r="AA247" s="66"/>
      <c r="AB247" s="66"/>
      <c r="AC247" s="80"/>
    </row>
    <row r="248" spans="1:68" ht="27" customHeight="1" x14ac:dyDescent="0.25">
      <c r="A248" s="63" t="s">
        <v>429</v>
      </c>
      <c r="B248" s="63" t="s">
        <v>430</v>
      </c>
      <c r="C248" s="36">
        <v>4301032053</v>
      </c>
      <c r="D248" s="653">
        <v>4680115886780</v>
      </c>
      <c r="E248" s="65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5"/>
      <c r="R248" s="655"/>
      <c r="S248" s="655"/>
      <c r="T248" s="65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432</v>
      </c>
      <c r="B249" s="63" t="s">
        <v>433</v>
      </c>
      <c r="C249" s="36">
        <v>4301032051</v>
      </c>
      <c r="D249" s="653">
        <v>4680115886742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435</v>
      </c>
      <c r="B250" s="63" t="s">
        <v>436</v>
      </c>
      <c r="C250" s="36">
        <v>4301032052</v>
      </c>
      <c r="D250" s="653">
        <v>4680115886766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60"/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1"/>
      <c r="P251" s="657" t="s">
        <v>40</v>
      </c>
      <c r="Q251" s="658"/>
      <c r="R251" s="658"/>
      <c r="S251" s="658"/>
      <c r="T251" s="658"/>
      <c r="U251" s="658"/>
      <c r="V251" s="659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60"/>
      <c r="B252" s="660"/>
      <c r="C252" s="660"/>
      <c r="D252" s="660"/>
      <c r="E252" s="660"/>
      <c r="F252" s="660"/>
      <c r="G252" s="660"/>
      <c r="H252" s="660"/>
      <c r="I252" s="660"/>
      <c r="J252" s="660"/>
      <c r="K252" s="660"/>
      <c r="L252" s="660"/>
      <c r="M252" s="660"/>
      <c r="N252" s="660"/>
      <c r="O252" s="661"/>
      <c r="P252" s="657" t="s">
        <v>40</v>
      </c>
      <c r="Q252" s="658"/>
      <c r="R252" s="658"/>
      <c r="S252" s="658"/>
      <c r="T252" s="658"/>
      <c r="U252" s="658"/>
      <c r="V252" s="659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667" t="s">
        <v>437</v>
      </c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"/>
      <c r="AB253" s="66"/>
      <c r="AC253" s="80"/>
    </row>
    <row r="254" spans="1:68" ht="27" customHeight="1" x14ac:dyDescent="0.25">
      <c r="A254" s="63" t="s">
        <v>438</v>
      </c>
      <c r="B254" s="63" t="s">
        <v>439</v>
      </c>
      <c r="C254" s="36">
        <v>4301170013</v>
      </c>
      <c r="D254" s="653">
        <v>4680115886797</v>
      </c>
      <c r="E254" s="653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671" t="s">
        <v>440</v>
      </c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5"/>
      <c r="AB257" s="65"/>
      <c r="AC257" s="79"/>
    </row>
    <row r="258" spans="1:68" ht="14.25" customHeight="1" x14ac:dyDescent="0.25">
      <c r="A258" s="667" t="s">
        <v>122</v>
      </c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  <c r="Z258" s="667"/>
      <c r="AA258" s="66"/>
      <c r="AB258" s="66"/>
      <c r="AC258" s="80"/>
    </row>
    <row r="259" spans="1:68" ht="27" customHeight="1" x14ac:dyDescent="0.25">
      <c r="A259" s="63" t="s">
        <v>441</v>
      </c>
      <c r="B259" s="63" t="s">
        <v>442</v>
      </c>
      <c r="C259" s="36">
        <v>4301011450</v>
      </c>
      <c r="D259" s="653">
        <v>4680115881402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444</v>
      </c>
      <c r="B260" s="63" t="s">
        <v>445</v>
      </c>
      <c r="C260" s="36">
        <v>4301011768</v>
      </c>
      <c r="D260" s="653">
        <v>4680115881396</v>
      </c>
      <c r="E260" s="653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60"/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1"/>
      <c r="P261" s="657" t="s">
        <v>40</v>
      </c>
      <c r="Q261" s="658"/>
      <c r="R261" s="658"/>
      <c r="S261" s="658"/>
      <c r="T261" s="658"/>
      <c r="U261" s="658"/>
      <c r="V261" s="65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60"/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1"/>
      <c r="P262" s="657" t="s">
        <v>40</v>
      </c>
      <c r="Q262" s="658"/>
      <c r="R262" s="658"/>
      <c r="S262" s="658"/>
      <c r="T262" s="658"/>
      <c r="U262" s="658"/>
      <c r="V262" s="65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67" t="s">
        <v>157</v>
      </c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  <c r="Z263" s="667"/>
      <c r="AA263" s="66"/>
      <c r="AB263" s="66"/>
      <c r="AC263" s="80"/>
    </row>
    <row r="264" spans="1:68" ht="16.5" customHeight="1" x14ac:dyDescent="0.25">
      <c r="A264" s="63" t="s">
        <v>446</v>
      </c>
      <c r="B264" s="63" t="s">
        <v>447</v>
      </c>
      <c r="C264" s="36">
        <v>4301020261</v>
      </c>
      <c r="D264" s="653">
        <v>4680115882935</v>
      </c>
      <c r="E264" s="65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449</v>
      </c>
      <c r="B265" s="63" t="s">
        <v>450</v>
      </c>
      <c r="C265" s="36">
        <v>4301020220</v>
      </c>
      <c r="D265" s="653">
        <v>4680115880764</v>
      </c>
      <c r="E265" s="653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660"/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1"/>
      <c r="P267" s="657" t="s">
        <v>40</v>
      </c>
      <c r="Q267" s="658"/>
      <c r="R267" s="658"/>
      <c r="S267" s="658"/>
      <c r="T267" s="658"/>
      <c r="U267" s="658"/>
      <c r="V267" s="659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667" t="s">
        <v>77</v>
      </c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  <c r="Z268" s="667"/>
      <c r="AA268" s="66"/>
      <c r="AB268" s="66"/>
      <c r="AC268" s="80"/>
    </row>
    <row r="269" spans="1:68" ht="27" customHeight="1" x14ac:dyDescent="0.25">
      <c r="A269" s="63" t="s">
        <v>451</v>
      </c>
      <c r="B269" s="63" t="s">
        <v>452</v>
      </c>
      <c r="C269" s="36">
        <v>4301031224</v>
      </c>
      <c r="D269" s="653">
        <v>4680115882683</v>
      </c>
      <c r="E269" s="65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customHeight="1" x14ac:dyDescent="0.25">
      <c r="A270" s="63" t="s">
        <v>454</v>
      </c>
      <c r="B270" s="63" t="s">
        <v>455</v>
      </c>
      <c r="C270" s="36">
        <v>4301031230</v>
      </c>
      <c r="D270" s="653">
        <v>4680115882690</v>
      </c>
      <c r="E270" s="65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customHeight="1" x14ac:dyDescent="0.25">
      <c r="A271" s="63" t="s">
        <v>457</v>
      </c>
      <c r="B271" s="63" t="s">
        <v>458</v>
      </c>
      <c r="C271" s="36">
        <v>4301031220</v>
      </c>
      <c r="D271" s="653">
        <v>4680115882669</v>
      </c>
      <c r="E271" s="65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460</v>
      </c>
      <c r="B272" s="63" t="s">
        <v>461</v>
      </c>
      <c r="C272" s="36">
        <v>4301031221</v>
      </c>
      <c r="D272" s="653">
        <v>4680115882676</v>
      </c>
      <c r="E272" s="65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customHeight="1" x14ac:dyDescent="0.25">
      <c r="A273" s="63" t="s">
        <v>463</v>
      </c>
      <c r="B273" s="63" t="s">
        <v>464</v>
      </c>
      <c r="C273" s="36">
        <v>4301031223</v>
      </c>
      <c r="D273" s="653">
        <v>4680115884014</v>
      </c>
      <c r="E273" s="653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5"/>
      <c r="R273" s="655"/>
      <c r="S273" s="655"/>
      <c r="T273" s="65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465</v>
      </c>
      <c r="B274" s="63" t="s">
        <v>466</v>
      </c>
      <c r="C274" s="36">
        <v>4301031222</v>
      </c>
      <c r="D274" s="653">
        <v>4680115884007</v>
      </c>
      <c r="E274" s="65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5"/>
      <c r="R274" s="655"/>
      <c r="S274" s="655"/>
      <c r="T274" s="65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467</v>
      </c>
      <c r="B275" s="63" t="s">
        <v>468</v>
      </c>
      <c r="C275" s="36">
        <v>4301031229</v>
      </c>
      <c r="D275" s="653">
        <v>4680115884038</v>
      </c>
      <c r="E275" s="653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469</v>
      </c>
      <c r="B276" s="63" t="s">
        <v>470</v>
      </c>
      <c r="C276" s="36">
        <v>4301031225</v>
      </c>
      <c r="D276" s="653">
        <v>4680115884021</v>
      </c>
      <c r="E276" s="65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x14ac:dyDescent="0.2">
      <c r="A277" s="660"/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1"/>
      <c r="P277" s="657" t="s">
        <v>40</v>
      </c>
      <c r="Q277" s="658"/>
      <c r="R277" s="658"/>
      <c r="S277" s="658"/>
      <c r="T277" s="658"/>
      <c r="U277" s="658"/>
      <c r="V277" s="659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60"/>
      <c r="B278" s="660"/>
      <c r="C278" s="660"/>
      <c r="D278" s="660"/>
      <c r="E278" s="660"/>
      <c r="F278" s="660"/>
      <c r="G278" s="660"/>
      <c r="H278" s="660"/>
      <c r="I278" s="660"/>
      <c r="J278" s="660"/>
      <c r="K278" s="660"/>
      <c r="L278" s="660"/>
      <c r="M278" s="660"/>
      <c r="N278" s="660"/>
      <c r="O278" s="661"/>
      <c r="P278" s="657" t="s">
        <v>40</v>
      </c>
      <c r="Q278" s="658"/>
      <c r="R278" s="658"/>
      <c r="S278" s="658"/>
      <c r="T278" s="658"/>
      <c r="U278" s="658"/>
      <c r="V278" s="659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667" t="s">
        <v>86</v>
      </c>
      <c r="B279" s="667"/>
      <c r="C279" s="667"/>
      <c r="D279" s="667"/>
      <c r="E279" s="667"/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  <c r="Z279" s="667"/>
      <c r="AA279" s="66"/>
      <c r="AB279" s="66"/>
      <c r="AC279" s="80"/>
    </row>
    <row r="280" spans="1:68" ht="27" customHeight="1" x14ac:dyDescent="0.25">
      <c r="A280" s="63" t="s">
        <v>471</v>
      </c>
      <c r="B280" s="63" t="s">
        <v>472</v>
      </c>
      <c r="C280" s="36">
        <v>4301051408</v>
      </c>
      <c r="D280" s="653">
        <v>4680115881594</v>
      </c>
      <c r="E280" s="653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customHeight="1" x14ac:dyDescent="0.25">
      <c r="A281" s="63" t="s">
        <v>474</v>
      </c>
      <c r="B281" s="63" t="s">
        <v>475</v>
      </c>
      <c r="C281" s="36">
        <v>4301051411</v>
      </c>
      <c r="D281" s="653">
        <v>4680115881617</v>
      </c>
      <c r="E281" s="653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customHeight="1" x14ac:dyDescent="0.25">
      <c r="A282" s="63" t="s">
        <v>477</v>
      </c>
      <c r="B282" s="63" t="s">
        <v>478</v>
      </c>
      <c r="C282" s="36">
        <v>4301051656</v>
      </c>
      <c r="D282" s="653">
        <v>4680115880573</v>
      </c>
      <c r="E282" s="653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4301051407</v>
      </c>
      <c r="D283" s="653">
        <v>4680115882195</v>
      </c>
      <c r="E283" s="653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customHeight="1" x14ac:dyDescent="0.25">
      <c r="A284" s="63" t="s">
        <v>482</v>
      </c>
      <c r="B284" s="63" t="s">
        <v>483</v>
      </c>
      <c r="C284" s="36">
        <v>4301051752</v>
      </c>
      <c r="D284" s="653">
        <v>4680115882607</v>
      </c>
      <c r="E284" s="653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484</v>
      </c>
      <c r="B285" s="63" t="s">
        <v>485</v>
      </c>
      <c r="C285" s="36">
        <v>4301052143</v>
      </c>
      <c r="D285" s="653">
        <v>4680115882607</v>
      </c>
      <c r="E285" s="653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487</v>
      </c>
      <c r="B286" s="63" t="s">
        <v>488</v>
      </c>
      <c r="C286" s="36">
        <v>4301051666</v>
      </c>
      <c r="D286" s="653">
        <v>4680115880092</v>
      </c>
      <c r="E286" s="65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489</v>
      </c>
      <c r="B287" s="63" t="s">
        <v>490</v>
      </c>
      <c r="C287" s="36">
        <v>4301052214</v>
      </c>
      <c r="D287" s="653">
        <v>4680115889064</v>
      </c>
      <c r="E287" s="653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491</v>
      </c>
      <c r="B288" s="63" t="s">
        <v>492</v>
      </c>
      <c r="C288" s="36">
        <v>4301051668</v>
      </c>
      <c r="D288" s="653">
        <v>4680115880221</v>
      </c>
      <c r="E288" s="65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5"/>
      <c r="R288" s="655"/>
      <c r="S288" s="655"/>
      <c r="T288" s="65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4301051945</v>
      </c>
      <c r="D289" s="653">
        <v>4680115880504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496</v>
      </c>
      <c r="B290" s="63" t="s">
        <v>497</v>
      </c>
      <c r="C290" s="36">
        <v>4301051410</v>
      </c>
      <c r="D290" s="653">
        <v>4680115882164</v>
      </c>
      <c r="E290" s="653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499</v>
      </c>
      <c r="B291" s="63" t="s">
        <v>500</v>
      </c>
      <c r="C291" s="36">
        <v>4301052180</v>
      </c>
      <c r="D291" s="653">
        <v>4680115888340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660"/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1"/>
      <c r="P292" s="657" t="s">
        <v>40</v>
      </c>
      <c r="Q292" s="658"/>
      <c r="R292" s="658"/>
      <c r="S292" s="658"/>
      <c r="T292" s="658"/>
      <c r="U292" s="658"/>
      <c r="V292" s="659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660"/>
      <c r="B293" s="660"/>
      <c r="C293" s="660"/>
      <c r="D293" s="660"/>
      <c r="E293" s="660"/>
      <c r="F293" s="660"/>
      <c r="G293" s="660"/>
      <c r="H293" s="660"/>
      <c r="I293" s="660"/>
      <c r="J293" s="660"/>
      <c r="K293" s="660"/>
      <c r="L293" s="660"/>
      <c r="M293" s="660"/>
      <c r="N293" s="660"/>
      <c r="O293" s="661"/>
      <c r="P293" s="657" t="s">
        <v>40</v>
      </c>
      <c r="Q293" s="658"/>
      <c r="R293" s="658"/>
      <c r="S293" s="658"/>
      <c r="T293" s="658"/>
      <c r="U293" s="658"/>
      <c r="V293" s="659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667" t="s">
        <v>175</v>
      </c>
      <c r="B294" s="667"/>
      <c r="C294" s="667"/>
      <c r="D294" s="667"/>
      <c r="E294" s="667"/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  <c r="Z294" s="667"/>
      <c r="AA294" s="66"/>
      <c r="AB294" s="66"/>
      <c r="AC294" s="80"/>
    </row>
    <row r="295" spans="1:68" ht="27" customHeight="1" x14ac:dyDescent="0.25">
      <c r="A295" s="63" t="s">
        <v>502</v>
      </c>
      <c r="B295" s="63" t="s">
        <v>503</v>
      </c>
      <c r="C295" s="36">
        <v>4301060463</v>
      </c>
      <c r="D295" s="653">
        <v>4680115880818</v>
      </c>
      <c r="E295" s="65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505</v>
      </c>
      <c r="B296" s="63" t="s">
        <v>506</v>
      </c>
      <c r="C296" s="36">
        <v>4301060389</v>
      </c>
      <c r="D296" s="653">
        <v>4680115880801</v>
      </c>
      <c r="E296" s="65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660"/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1"/>
      <c r="P298" s="657" t="s">
        <v>40</v>
      </c>
      <c r="Q298" s="658"/>
      <c r="R298" s="658"/>
      <c r="S298" s="658"/>
      <c r="T298" s="658"/>
      <c r="U298" s="658"/>
      <c r="V298" s="659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671" t="s">
        <v>508</v>
      </c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5"/>
      <c r="AB299" s="65"/>
      <c r="AC299" s="79"/>
    </row>
    <row r="300" spans="1:68" ht="14.25" customHeight="1" x14ac:dyDescent="0.25">
      <c r="A300" s="667" t="s">
        <v>122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6"/>
      <c r="AB300" s="66"/>
      <c r="AC300" s="80"/>
    </row>
    <row r="301" spans="1:68" ht="27" customHeight="1" x14ac:dyDescent="0.25">
      <c r="A301" s="63" t="s">
        <v>509</v>
      </c>
      <c r="B301" s="63" t="s">
        <v>510</v>
      </c>
      <c r="C301" s="36">
        <v>4301011826</v>
      </c>
      <c r="D301" s="653">
        <v>4680115884137</v>
      </c>
      <c r="E301" s="65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customHeight="1" x14ac:dyDescent="0.25">
      <c r="A302" s="63" t="s">
        <v>512</v>
      </c>
      <c r="B302" s="63" t="s">
        <v>513</v>
      </c>
      <c r="C302" s="36">
        <v>4301011724</v>
      </c>
      <c r="D302" s="653">
        <v>4680115884236</v>
      </c>
      <c r="E302" s="653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customHeight="1" x14ac:dyDescent="0.25">
      <c r="A303" s="63" t="s">
        <v>515</v>
      </c>
      <c r="B303" s="63" t="s">
        <v>516</v>
      </c>
      <c r="C303" s="36">
        <v>4301011721</v>
      </c>
      <c r="D303" s="653">
        <v>4680115884175</v>
      </c>
      <c r="E303" s="65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customHeight="1" x14ac:dyDescent="0.25">
      <c r="A304" s="63" t="s">
        <v>517</v>
      </c>
      <c r="B304" s="63" t="s">
        <v>518</v>
      </c>
      <c r="C304" s="36">
        <v>4301011824</v>
      </c>
      <c r="D304" s="653">
        <v>4680115884144</v>
      </c>
      <c r="E304" s="653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5"/>
      <c r="R304" s="655"/>
      <c r="S304" s="655"/>
      <c r="T304" s="65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customHeight="1" x14ac:dyDescent="0.25">
      <c r="A305" s="63" t="s">
        <v>519</v>
      </c>
      <c r="B305" s="63" t="s">
        <v>520</v>
      </c>
      <c r="C305" s="36">
        <v>4301012149</v>
      </c>
      <c r="D305" s="653">
        <v>4680115886551</v>
      </c>
      <c r="E305" s="65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522</v>
      </c>
      <c r="B306" s="63" t="s">
        <v>523</v>
      </c>
      <c r="C306" s="36">
        <v>4301012228</v>
      </c>
      <c r="D306" s="653">
        <v>4680115887282</v>
      </c>
      <c r="E306" s="653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5"/>
      <c r="R306" s="655"/>
      <c r="S306" s="655"/>
      <c r="T306" s="65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525</v>
      </c>
      <c r="B307" s="63" t="s">
        <v>526</v>
      </c>
      <c r="C307" s="36">
        <v>4301011722</v>
      </c>
      <c r="D307" s="653">
        <v>4680115884205</v>
      </c>
      <c r="E307" s="65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x14ac:dyDescent="0.2">
      <c r="A308" s="660"/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1"/>
      <c r="P308" s="657" t="s">
        <v>40</v>
      </c>
      <c r="Q308" s="658"/>
      <c r="R308" s="658"/>
      <c r="S308" s="658"/>
      <c r="T308" s="658"/>
      <c r="U308" s="658"/>
      <c r="V308" s="659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60"/>
      <c r="B309" s="660"/>
      <c r="C309" s="660"/>
      <c r="D309" s="660"/>
      <c r="E309" s="660"/>
      <c r="F309" s="660"/>
      <c r="G309" s="660"/>
      <c r="H309" s="660"/>
      <c r="I309" s="660"/>
      <c r="J309" s="660"/>
      <c r="K309" s="660"/>
      <c r="L309" s="660"/>
      <c r="M309" s="660"/>
      <c r="N309" s="660"/>
      <c r="O309" s="661"/>
      <c r="P309" s="657" t="s">
        <v>40</v>
      </c>
      <c r="Q309" s="658"/>
      <c r="R309" s="658"/>
      <c r="S309" s="658"/>
      <c r="T309" s="658"/>
      <c r="U309" s="658"/>
      <c r="V309" s="659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667" t="s">
        <v>157</v>
      </c>
      <c r="B310" s="667"/>
      <c r="C310" s="667"/>
      <c r="D310" s="667"/>
      <c r="E310" s="667"/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  <c r="Z310" s="667"/>
      <c r="AA310" s="66"/>
      <c r="AB310" s="66"/>
      <c r="AC310" s="80"/>
    </row>
    <row r="311" spans="1:68" ht="27" customHeight="1" x14ac:dyDescent="0.25">
      <c r="A311" s="63" t="s">
        <v>527</v>
      </c>
      <c r="B311" s="63" t="s">
        <v>528</v>
      </c>
      <c r="C311" s="36">
        <v>4301020377</v>
      </c>
      <c r="D311" s="653">
        <v>4680115885981</v>
      </c>
      <c r="E311" s="653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67" t="s">
        <v>530</v>
      </c>
      <c r="B314" s="667"/>
      <c r="C314" s="667"/>
      <c r="D314" s="667"/>
      <c r="E314" s="667"/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  <c r="Z314" s="667"/>
      <c r="AA314" s="66"/>
      <c r="AB314" s="66"/>
      <c r="AC314" s="80"/>
    </row>
    <row r="315" spans="1:68" ht="27" customHeight="1" x14ac:dyDescent="0.25">
      <c r="A315" s="63" t="s">
        <v>531</v>
      </c>
      <c r="B315" s="63" t="s">
        <v>532</v>
      </c>
      <c r="C315" s="36">
        <v>4301040362</v>
      </c>
      <c r="D315" s="653">
        <v>4680115886803</v>
      </c>
      <c r="E315" s="653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7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667" t="s">
        <v>340</v>
      </c>
      <c r="B318" s="667"/>
      <c r="C318" s="667"/>
      <c r="D318" s="667"/>
      <c r="E318" s="667"/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  <c r="Z318" s="667"/>
      <c r="AA318" s="66"/>
      <c r="AB318" s="66"/>
      <c r="AC318" s="80"/>
    </row>
    <row r="319" spans="1:68" ht="27" customHeight="1" x14ac:dyDescent="0.25">
      <c r="A319" s="63" t="s">
        <v>534</v>
      </c>
      <c r="B319" s="63" t="s">
        <v>535</v>
      </c>
      <c r="C319" s="36">
        <v>4301041004</v>
      </c>
      <c r="D319" s="653">
        <v>4680115886704</v>
      </c>
      <c r="E319" s="653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5"/>
      <c r="R319" s="655"/>
      <c r="S319" s="655"/>
      <c r="T319" s="65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537</v>
      </c>
      <c r="B320" s="63" t="s">
        <v>538</v>
      </c>
      <c r="C320" s="36">
        <v>4301041008</v>
      </c>
      <c r="D320" s="653">
        <v>4680115886681</v>
      </c>
      <c r="E320" s="653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5"/>
      <c r="R320" s="655"/>
      <c r="S320" s="655"/>
      <c r="T320" s="656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539</v>
      </c>
      <c r="B321" s="63" t="s">
        <v>540</v>
      </c>
      <c r="C321" s="36">
        <v>4301041007</v>
      </c>
      <c r="D321" s="653">
        <v>4680115886735</v>
      </c>
      <c r="E321" s="653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60"/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1"/>
      <c r="P322" s="657" t="s">
        <v>40</v>
      </c>
      <c r="Q322" s="658"/>
      <c r="R322" s="658"/>
      <c r="S322" s="658"/>
      <c r="T322" s="658"/>
      <c r="U322" s="658"/>
      <c r="V322" s="659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60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7" t="s">
        <v>40</v>
      </c>
      <c r="Q323" s="658"/>
      <c r="R323" s="658"/>
      <c r="S323" s="658"/>
      <c r="T323" s="658"/>
      <c r="U323" s="658"/>
      <c r="V323" s="659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71" t="s">
        <v>541</v>
      </c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5"/>
      <c r="AB324" s="65"/>
      <c r="AC324" s="79"/>
    </row>
    <row r="325" spans="1:68" ht="14.25" customHeight="1" x14ac:dyDescent="0.25">
      <c r="A325" s="667" t="s">
        <v>122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6"/>
      <c r="AB325" s="66"/>
      <c r="AC325" s="80"/>
    </row>
    <row r="326" spans="1:68" ht="27" customHeight="1" x14ac:dyDescent="0.25">
      <c r="A326" s="63" t="s">
        <v>542</v>
      </c>
      <c r="B326" s="63" t="s">
        <v>543</v>
      </c>
      <c r="C326" s="36">
        <v>4301011855</v>
      </c>
      <c r="D326" s="653">
        <v>4680115885837</v>
      </c>
      <c r="E326" s="65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545</v>
      </c>
      <c r="B327" s="63" t="s">
        <v>546</v>
      </c>
      <c r="C327" s="36">
        <v>4301012234</v>
      </c>
      <c r="D327" s="653">
        <v>4680115887237</v>
      </c>
      <c r="E327" s="65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548</v>
      </c>
      <c r="B328" s="63" t="s">
        <v>549</v>
      </c>
      <c r="C328" s="36">
        <v>4301011850</v>
      </c>
      <c r="D328" s="653">
        <v>4680115885806</v>
      </c>
      <c r="E328" s="65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5"/>
      <c r="R328" s="655"/>
      <c r="S328" s="655"/>
      <c r="T328" s="65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551</v>
      </c>
      <c r="B329" s="63" t="s">
        <v>552</v>
      </c>
      <c r="C329" s="36">
        <v>4301011852</v>
      </c>
      <c r="D329" s="653">
        <v>4680115885844</v>
      </c>
      <c r="E329" s="653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7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5"/>
      <c r="R329" s="655"/>
      <c r="S329" s="655"/>
      <c r="T329" s="65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554</v>
      </c>
      <c r="B330" s="63" t="s">
        <v>555</v>
      </c>
      <c r="C330" s="36">
        <v>4301011851</v>
      </c>
      <c r="D330" s="653">
        <v>4680115885820</v>
      </c>
      <c r="E330" s="65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5"/>
      <c r="R330" s="655"/>
      <c r="S330" s="655"/>
      <c r="T330" s="65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60"/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1"/>
      <c r="P331" s="657" t="s">
        <v>40</v>
      </c>
      <c r="Q331" s="658"/>
      <c r="R331" s="658"/>
      <c r="S331" s="658"/>
      <c r="T331" s="658"/>
      <c r="U331" s="658"/>
      <c r="V331" s="659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60"/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1"/>
      <c r="P332" s="657" t="s">
        <v>40</v>
      </c>
      <c r="Q332" s="658"/>
      <c r="R332" s="658"/>
      <c r="S332" s="658"/>
      <c r="T332" s="658"/>
      <c r="U332" s="658"/>
      <c r="V332" s="659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671" t="s">
        <v>557</v>
      </c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5"/>
      <c r="AB333" s="65"/>
      <c r="AC333" s="79"/>
    </row>
    <row r="334" spans="1:68" ht="14.25" customHeight="1" x14ac:dyDescent="0.25">
      <c r="A334" s="667" t="s">
        <v>86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6"/>
      <c r="AB334" s="66"/>
      <c r="AC334" s="80"/>
    </row>
    <row r="335" spans="1:68" ht="27" customHeight="1" x14ac:dyDescent="0.25">
      <c r="A335" s="63" t="s">
        <v>558</v>
      </c>
      <c r="B335" s="63" t="s">
        <v>559</v>
      </c>
      <c r="C335" s="36">
        <v>4301051893</v>
      </c>
      <c r="D335" s="653">
        <v>4680115886186</v>
      </c>
      <c r="E335" s="653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5"/>
      <c r="R335" s="655"/>
      <c r="S335" s="655"/>
      <c r="T335" s="65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561</v>
      </c>
      <c r="B336" s="63" t="s">
        <v>562</v>
      </c>
      <c r="C336" s="36">
        <v>4301051795</v>
      </c>
      <c r="D336" s="653">
        <v>4680115881228</v>
      </c>
      <c r="E336" s="653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5"/>
      <c r="R336" s="655"/>
      <c r="S336" s="655"/>
      <c r="T336" s="65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564</v>
      </c>
      <c r="B337" s="63" t="s">
        <v>565</v>
      </c>
      <c r="C337" s="36">
        <v>4301051388</v>
      </c>
      <c r="D337" s="653">
        <v>4680115881211</v>
      </c>
      <c r="E337" s="653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5"/>
      <c r="R337" s="655"/>
      <c r="S337" s="655"/>
      <c r="T337" s="65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0"/>
      <c r="B338" s="660"/>
      <c r="C338" s="660"/>
      <c r="D338" s="660"/>
      <c r="E338" s="660"/>
      <c r="F338" s="660"/>
      <c r="G338" s="660"/>
      <c r="H338" s="660"/>
      <c r="I338" s="660"/>
      <c r="J338" s="660"/>
      <c r="K338" s="660"/>
      <c r="L338" s="660"/>
      <c r="M338" s="660"/>
      <c r="N338" s="660"/>
      <c r="O338" s="661"/>
      <c r="P338" s="657" t="s">
        <v>40</v>
      </c>
      <c r="Q338" s="658"/>
      <c r="R338" s="658"/>
      <c r="S338" s="658"/>
      <c r="T338" s="658"/>
      <c r="U338" s="658"/>
      <c r="V338" s="659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60"/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1"/>
      <c r="P339" s="657" t="s">
        <v>40</v>
      </c>
      <c r="Q339" s="658"/>
      <c r="R339" s="658"/>
      <c r="S339" s="658"/>
      <c r="T339" s="658"/>
      <c r="U339" s="658"/>
      <c r="V339" s="659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71" t="s">
        <v>566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customHeight="1" x14ac:dyDescent="0.25">
      <c r="A341" s="667" t="s">
        <v>77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6"/>
      <c r="AB341" s="66"/>
      <c r="AC341" s="80"/>
    </row>
    <row r="342" spans="1:68" ht="27" customHeight="1" x14ac:dyDescent="0.25">
      <c r="A342" s="63" t="s">
        <v>567</v>
      </c>
      <c r="B342" s="63" t="s">
        <v>568</v>
      </c>
      <c r="C342" s="36">
        <v>4301031445</v>
      </c>
      <c r="D342" s="653">
        <v>4680115888319</v>
      </c>
      <c r="E342" s="653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569</v>
      </c>
      <c r="B343" s="63" t="s">
        <v>570</v>
      </c>
      <c r="C343" s="36">
        <v>4301031502</v>
      </c>
      <c r="D343" s="653">
        <v>4680115884700</v>
      </c>
      <c r="E343" s="653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5"/>
      <c r="R343" s="655"/>
      <c r="S343" s="655"/>
      <c r="T343" s="65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572</v>
      </c>
      <c r="B344" s="63" t="s">
        <v>573</v>
      </c>
      <c r="C344" s="36">
        <v>4301031307</v>
      </c>
      <c r="D344" s="653">
        <v>4680115880344</v>
      </c>
      <c r="E344" s="653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5"/>
      <c r="R344" s="655"/>
      <c r="S344" s="655"/>
      <c r="T344" s="65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575</v>
      </c>
      <c r="B345" s="63" t="s">
        <v>576</v>
      </c>
      <c r="C345" s="36">
        <v>4301031501</v>
      </c>
      <c r="D345" s="653">
        <v>4680115886919</v>
      </c>
      <c r="E345" s="653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5"/>
      <c r="R345" s="655"/>
      <c r="S345" s="655"/>
      <c r="T345" s="65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4301031246</v>
      </c>
      <c r="D346" s="653">
        <v>4680115883970</v>
      </c>
      <c r="E346" s="653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60"/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1"/>
      <c r="P347" s="657" t="s">
        <v>40</v>
      </c>
      <c r="Q347" s="658"/>
      <c r="R347" s="658"/>
      <c r="S347" s="658"/>
      <c r="T347" s="658"/>
      <c r="U347" s="658"/>
      <c r="V347" s="659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60"/>
      <c r="B348" s="660"/>
      <c r="C348" s="660"/>
      <c r="D348" s="660"/>
      <c r="E348" s="660"/>
      <c r="F348" s="660"/>
      <c r="G348" s="660"/>
      <c r="H348" s="660"/>
      <c r="I348" s="660"/>
      <c r="J348" s="660"/>
      <c r="K348" s="660"/>
      <c r="L348" s="660"/>
      <c r="M348" s="660"/>
      <c r="N348" s="660"/>
      <c r="O348" s="661"/>
      <c r="P348" s="657" t="s">
        <v>40</v>
      </c>
      <c r="Q348" s="658"/>
      <c r="R348" s="658"/>
      <c r="S348" s="658"/>
      <c r="T348" s="658"/>
      <c r="U348" s="658"/>
      <c r="V348" s="659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667" t="s">
        <v>86</v>
      </c>
      <c r="B349" s="667"/>
      <c r="C349" s="667"/>
      <c r="D349" s="667"/>
      <c r="E349" s="667"/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  <c r="Z349" s="667"/>
      <c r="AA349" s="66"/>
      <c r="AB349" s="66"/>
      <c r="AC349" s="80"/>
    </row>
    <row r="350" spans="1:68" ht="27" customHeight="1" x14ac:dyDescent="0.25">
      <c r="A350" s="63" t="s">
        <v>581</v>
      </c>
      <c r="B350" s="63" t="s">
        <v>582</v>
      </c>
      <c r="C350" s="36">
        <v>4301051782</v>
      </c>
      <c r="D350" s="653">
        <v>4680115884618</v>
      </c>
      <c r="E350" s="653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7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5"/>
      <c r="R350" s="655"/>
      <c r="S350" s="655"/>
      <c r="T350" s="65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584</v>
      </c>
      <c r="B351" s="63" t="s">
        <v>585</v>
      </c>
      <c r="C351" s="36">
        <v>4301052057</v>
      </c>
      <c r="D351" s="653">
        <v>4680115887114</v>
      </c>
      <c r="E351" s="653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5"/>
      <c r="R351" s="655"/>
      <c r="S351" s="655"/>
      <c r="T351" s="65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60"/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1"/>
      <c r="P352" s="657" t="s">
        <v>40</v>
      </c>
      <c r="Q352" s="658"/>
      <c r="R352" s="658"/>
      <c r="S352" s="658"/>
      <c r="T352" s="658"/>
      <c r="U352" s="658"/>
      <c r="V352" s="659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660"/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1"/>
      <c r="P353" s="657" t="s">
        <v>40</v>
      </c>
      <c r="Q353" s="658"/>
      <c r="R353" s="658"/>
      <c r="S353" s="658"/>
      <c r="T353" s="658"/>
      <c r="U353" s="658"/>
      <c r="V353" s="659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671" t="s">
        <v>587</v>
      </c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5"/>
      <c r="AB354" s="65"/>
      <c r="AC354" s="79"/>
    </row>
    <row r="355" spans="1:68" ht="14.25" customHeight="1" x14ac:dyDescent="0.25">
      <c r="A355" s="667" t="s">
        <v>122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6"/>
      <c r="AB355" s="66"/>
      <c r="AC355" s="80"/>
    </row>
    <row r="356" spans="1:68" ht="27" customHeight="1" x14ac:dyDescent="0.25">
      <c r="A356" s="63" t="s">
        <v>588</v>
      </c>
      <c r="B356" s="63" t="s">
        <v>589</v>
      </c>
      <c r="C356" s="36">
        <v>4301012324</v>
      </c>
      <c r="D356" s="653">
        <v>4680115887947</v>
      </c>
      <c r="E356" s="65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5"/>
      <c r="R356" s="655"/>
      <c r="S356" s="655"/>
      <c r="T356" s="65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590</v>
      </c>
      <c r="B357" s="63" t="s">
        <v>591</v>
      </c>
      <c r="C357" s="36">
        <v>4301012325</v>
      </c>
      <c r="D357" s="653">
        <v>4680115887978</v>
      </c>
      <c r="E357" s="65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593</v>
      </c>
      <c r="B358" s="63" t="s">
        <v>594</v>
      </c>
      <c r="C358" s="36">
        <v>4301012327</v>
      </c>
      <c r="D358" s="653">
        <v>4680115887992</v>
      </c>
      <c r="E358" s="65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5"/>
      <c r="R358" s="655"/>
      <c r="S358" s="655"/>
      <c r="T358" s="65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60"/>
      <c r="B359" s="660"/>
      <c r="C359" s="660"/>
      <c r="D359" s="660"/>
      <c r="E359" s="660"/>
      <c r="F359" s="660"/>
      <c r="G359" s="660"/>
      <c r="H359" s="660"/>
      <c r="I359" s="660"/>
      <c r="J359" s="660"/>
      <c r="K359" s="660"/>
      <c r="L359" s="660"/>
      <c r="M359" s="660"/>
      <c r="N359" s="660"/>
      <c r="O359" s="661"/>
      <c r="P359" s="657" t="s">
        <v>40</v>
      </c>
      <c r="Q359" s="658"/>
      <c r="R359" s="658"/>
      <c r="S359" s="658"/>
      <c r="T359" s="658"/>
      <c r="U359" s="658"/>
      <c r="V359" s="659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60"/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1"/>
      <c r="P360" s="657" t="s">
        <v>40</v>
      </c>
      <c r="Q360" s="658"/>
      <c r="R360" s="658"/>
      <c r="S360" s="658"/>
      <c r="T360" s="658"/>
      <c r="U360" s="658"/>
      <c r="V360" s="659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71" t="s">
        <v>596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6"/>
      <c r="AB362" s="66"/>
      <c r="AC362" s="80"/>
    </row>
    <row r="363" spans="1:68" ht="27" customHeight="1" x14ac:dyDescent="0.25">
      <c r="A363" s="63" t="s">
        <v>597</v>
      </c>
      <c r="B363" s="63" t="s">
        <v>598</v>
      </c>
      <c r="C363" s="36">
        <v>4301012360</v>
      </c>
      <c r="D363" s="653">
        <v>4680115889293</v>
      </c>
      <c r="E363" s="65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customHeight="1" x14ac:dyDescent="0.25">
      <c r="A364" s="63" t="s">
        <v>600</v>
      </c>
      <c r="B364" s="63" t="s">
        <v>601</v>
      </c>
      <c r="C364" s="36">
        <v>4301012235</v>
      </c>
      <c r="D364" s="653">
        <v>4680115887190</v>
      </c>
      <c r="E364" s="65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customHeight="1" x14ac:dyDescent="0.25">
      <c r="A365" s="63" t="s">
        <v>603</v>
      </c>
      <c r="B365" s="63" t="s">
        <v>604</v>
      </c>
      <c r="C365" s="36">
        <v>4301012233</v>
      </c>
      <c r="D365" s="653">
        <v>4680115887138</v>
      </c>
      <c r="E365" s="65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5"/>
      <c r="R365" s="655"/>
      <c r="S365" s="655"/>
      <c r="T365" s="65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606</v>
      </c>
      <c r="B366" s="63" t="s">
        <v>607</v>
      </c>
      <c r="C366" s="36">
        <v>4301012016</v>
      </c>
      <c r="D366" s="653">
        <v>4680115885554</v>
      </c>
      <c r="E366" s="65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5"/>
      <c r="R366" s="655"/>
      <c r="S366" s="655"/>
      <c r="T366" s="65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customHeight="1" x14ac:dyDescent="0.25">
      <c r="A367" s="63" t="s">
        <v>609</v>
      </c>
      <c r="B367" s="63" t="s">
        <v>610</v>
      </c>
      <c r="C367" s="36">
        <v>4301012236</v>
      </c>
      <c r="D367" s="653">
        <v>4680115887220</v>
      </c>
      <c r="E367" s="653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5"/>
      <c r="R367" s="655"/>
      <c r="S367" s="655"/>
      <c r="T367" s="65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611</v>
      </c>
      <c r="B368" s="63" t="s">
        <v>612</v>
      </c>
      <c r="C368" s="36">
        <v>4301011859</v>
      </c>
      <c r="D368" s="653">
        <v>4680115885608</v>
      </c>
      <c r="E368" s="65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60"/>
      <c r="B369" s="660"/>
      <c r="C369" s="660"/>
      <c r="D369" s="660"/>
      <c r="E369" s="660"/>
      <c r="F369" s="660"/>
      <c r="G369" s="660"/>
      <c r="H369" s="660"/>
      <c r="I369" s="660"/>
      <c r="J369" s="660"/>
      <c r="K369" s="660"/>
      <c r="L369" s="660"/>
      <c r="M369" s="660"/>
      <c r="N369" s="660"/>
      <c r="O369" s="661"/>
      <c r="P369" s="657" t="s">
        <v>40</v>
      </c>
      <c r="Q369" s="658"/>
      <c r="R369" s="658"/>
      <c r="S369" s="658"/>
      <c r="T369" s="658"/>
      <c r="U369" s="658"/>
      <c r="V369" s="659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60"/>
      <c r="B370" s="660"/>
      <c r="C370" s="660"/>
      <c r="D370" s="660"/>
      <c r="E370" s="660"/>
      <c r="F370" s="660"/>
      <c r="G370" s="660"/>
      <c r="H370" s="660"/>
      <c r="I370" s="660"/>
      <c r="J370" s="660"/>
      <c r="K370" s="660"/>
      <c r="L370" s="660"/>
      <c r="M370" s="660"/>
      <c r="N370" s="660"/>
      <c r="O370" s="661"/>
      <c r="P370" s="657" t="s">
        <v>40</v>
      </c>
      <c r="Q370" s="658"/>
      <c r="R370" s="658"/>
      <c r="S370" s="658"/>
      <c r="T370" s="658"/>
      <c r="U370" s="658"/>
      <c r="V370" s="659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667" t="s">
        <v>77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6"/>
      <c r="AB371" s="66"/>
      <c r="AC371" s="80"/>
    </row>
    <row r="372" spans="1:68" ht="27" customHeight="1" x14ac:dyDescent="0.25">
      <c r="A372" s="63" t="s">
        <v>614</v>
      </c>
      <c r="B372" s="63" t="s">
        <v>615</v>
      </c>
      <c r="C372" s="36">
        <v>4301030878</v>
      </c>
      <c r="D372" s="653">
        <v>4607091387193</v>
      </c>
      <c r="E372" s="653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customHeight="1" x14ac:dyDescent="0.25">
      <c r="A373" s="63" t="s">
        <v>617</v>
      </c>
      <c r="B373" s="63" t="s">
        <v>618</v>
      </c>
      <c r="C373" s="36">
        <v>4301031153</v>
      </c>
      <c r="D373" s="653">
        <v>4607091387230</v>
      </c>
      <c r="E373" s="65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customHeight="1" x14ac:dyDescent="0.25">
      <c r="A374" s="63" t="s">
        <v>620</v>
      </c>
      <c r="B374" s="63" t="s">
        <v>621</v>
      </c>
      <c r="C374" s="36">
        <v>4301031154</v>
      </c>
      <c r="D374" s="653">
        <v>4607091387292</v>
      </c>
      <c r="E374" s="65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customHeight="1" x14ac:dyDescent="0.25">
      <c r="A375" s="63" t="s">
        <v>623</v>
      </c>
      <c r="B375" s="63" t="s">
        <v>624</v>
      </c>
      <c r="C375" s="36">
        <v>4301031152</v>
      </c>
      <c r="D375" s="653">
        <v>4607091387285</v>
      </c>
      <c r="E375" s="653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customHeight="1" x14ac:dyDescent="0.25">
      <c r="A376" s="63" t="s">
        <v>625</v>
      </c>
      <c r="B376" s="63" t="s">
        <v>626</v>
      </c>
      <c r="C376" s="36">
        <v>4301031305</v>
      </c>
      <c r="D376" s="653">
        <v>4607091389845</v>
      </c>
      <c r="E376" s="653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5"/>
      <c r="R376" s="655"/>
      <c r="S376" s="655"/>
      <c r="T376" s="65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customHeight="1" x14ac:dyDescent="0.25">
      <c r="A377" s="63" t="s">
        <v>628</v>
      </c>
      <c r="B377" s="63" t="s">
        <v>629</v>
      </c>
      <c r="C377" s="36">
        <v>4301031460</v>
      </c>
      <c r="D377" s="653">
        <v>4680115887442</v>
      </c>
      <c r="E377" s="65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5"/>
      <c r="R377" s="655"/>
      <c r="S377" s="655"/>
      <c r="T377" s="65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630</v>
      </c>
      <c r="B378" s="63" t="s">
        <v>631</v>
      </c>
      <c r="C378" s="36">
        <v>4301031066</v>
      </c>
      <c r="D378" s="653">
        <v>4607091383836</v>
      </c>
      <c r="E378" s="653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x14ac:dyDescent="0.2">
      <c r="A379" s="660"/>
      <c r="B379" s="660"/>
      <c r="C379" s="660"/>
      <c r="D379" s="660"/>
      <c r="E379" s="660"/>
      <c r="F379" s="660"/>
      <c r="G379" s="660"/>
      <c r="H379" s="660"/>
      <c r="I379" s="660"/>
      <c r="J379" s="660"/>
      <c r="K379" s="660"/>
      <c r="L379" s="660"/>
      <c r="M379" s="660"/>
      <c r="N379" s="660"/>
      <c r="O379" s="661"/>
      <c r="P379" s="657" t="s">
        <v>40</v>
      </c>
      <c r="Q379" s="658"/>
      <c r="R379" s="658"/>
      <c r="S379" s="658"/>
      <c r="T379" s="658"/>
      <c r="U379" s="658"/>
      <c r="V379" s="659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660"/>
      <c r="B380" s="660"/>
      <c r="C380" s="660"/>
      <c r="D380" s="660"/>
      <c r="E380" s="660"/>
      <c r="F380" s="660"/>
      <c r="G380" s="660"/>
      <c r="H380" s="660"/>
      <c r="I380" s="660"/>
      <c r="J380" s="660"/>
      <c r="K380" s="660"/>
      <c r="L380" s="660"/>
      <c r="M380" s="660"/>
      <c r="N380" s="660"/>
      <c r="O380" s="661"/>
      <c r="P380" s="657" t="s">
        <v>40</v>
      </c>
      <c r="Q380" s="658"/>
      <c r="R380" s="658"/>
      <c r="S380" s="658"/>
      <c r="T380" s="658"/>
      <c r="U380" s="658"/>
      <c r="V380" s="659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667" t="s">
        <v>86</v>
      </c>
      <c r="B381" s="667"/>
      <c r="C381" s="667"/>
      <c r="D381" s="667"/>
      <c r="E381" s="667"/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  <c r="Z381" s="667"/>
      <c r="AA381" s="66"/>
      <c r="AB381" s="66"/>
      <c r="AC381" s="80"/>
    </row>
    <row r="382" spans="1:68" ht="27" customHeight="1" x14ac:dyDescent="0.25">
      <c r="A382" s="63" t="s">
        <v>633</v>
      </c>
      <c r="B382" s="63" t="s">
        <v>634</v>
      </c>
      <c r="C382" s="36">
        <v>4301051100</v>
      </c>
      <c r="D382" s="653">
        <v>4607091387766</v>
      </c>
      <c r="E382" s="653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636</v>
      </c>
      <c r="B383" s="63" t="s">
        <v>637</v>
      </c>
      <c r="C383" s="36">
        <v>4301051818</v>
      </c>
      <c r="D383" s="653">
        <v>4607091387957</v>
      </c>
      <c r="E383" s="653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639</v>
      </c>
      <c r="B384" s="63" t="s">
        <v>640</v>
      </c>
      <c r="C384" s="36">
        <v>4301051819</v>
      </c>
      <c r="D384" s="653">
        <v>4607091387964</v>
      </c>
      <c r="E384" s="653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642</v>
      </c>
      <c r="B385" s="63" t="s">
        <v>643</v>
      </c>
      <c r="C385" s="36">
        <v>4301051734</v>
      </c>
      <c r="D385" s="653">
        <v>4680115884588</v>
      </c>
      <c r="E385" s="653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60"/>
      <c r="B386" s="660"/>
      <c r="C386" s="660"/>
      <c r="D386" s="660"/>
      <c r="E386" s="660"/>
      <c r="F386" s="660"/>
      <c r="G386" s="660"/>
      <c r="H386" s="660"/>
      <c r="I386" s="660"/>
      <c r="J386" s="660"/>
      <c r="K386" s="660"/>
      <c r="L386" s="660"/>
      <c r="M386" s="660"/>
      <c r="N386" s="660"/>
      <c r="O386" s="661"/>
      <c r="P386" s="657" t="s">
        <v>40</v>
      </c>
      <c r="Q386" s="658"/>
      <c r="R386" s="658"/>
      <c r="S386" s="658"/>
      <c r="T386" s="658"/>
      <c r="U386" s="658"/>
      <c r="V386" s="659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60"/>
      <c r="B387" s="660"/>
      <c r="C387" s="660"/>
      <c r="D387" s="660"/>
      <c r="E387" s="660"/>
      <c r="F387" s="660"/>
      <c r="G387" s="660"/>
      <c r="H387" s="660"/>
      <c r="I387" s="660"/>
      <c r="J387" s="660"/>
      <c r="K387" s="660"/>
      <c r="L387" s="660"/>
      <c r="M387" s="660"/>
      <c r="N387" s="660"/>
      <c r="O387" s="661"/>
      <c r="P387" s="657" t="s">
        <v>40</v>
      </c>
      <c r="Q387" s="658"/>
      <c r="R387" s="658"/>
      <c r="S387" s="658"/>
      <c r="T387" s="658"/>
      <c r="U387" s="658"/>
      <c r="V387" s="659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667" t="s">
        <v>175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6"/>
      <c r="AB388" s="66"/>
      <c r="AC388" s="80"/>
    </row>
    <row r="389" spans="1:68" ht="27" customHeight="1" x14ac:dyDescent="0.25">
      <c r="A389" s="63" t="s">
        <v>644</v>
      </c>
      <c r="B389" s="63" t="s">
        <v>645</v>
      </c>
      <c r="C389" s="36">
        <v>4301060387</v>
      </c>
      <c r="D389" s="653">
        <v>4607091380880</v>
      </c>
      <c r="E389" s="653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7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4301060406</v>
      </c>
      <c r="D390" s="653">
        <v>4607091384482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7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650</v>
      </c>
      <c r="B391" s="63" t="s">
        <v>651</v>
      </c>
      <c r="C391" s="36">
        <v>4301060484</v>
      </c>
      <c r="D391" s="653">
        <v>4607091380897</v>
      </c>
      <c r="E391" s="65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7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660"/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1"/>
      <c r="P392" s="657" t="s">
        <v>40</v>
      </c>
      <c r="Q392" s="658"/>
      <c r="R392" s="658"/>
      <c r="S392" s="658"/>
      <c r="T392" s="658"/>
      <c r="U392" s="658"/>
      <c r="V392" s="659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660"/>
      <c r="B393" s="660"/>
      <c r="C393" s="660"/>
      <c r="D393" s="660"/>
      <c r="E393" s="660"/>
      <c r="F393" s="660"/>
      <c r="G393" s="660"/>
      <c r="H393" s="660"/>
      <c r="I393" s="660"/>
      <c r="J393" s="660"/>
      <c r="K393" s="660"/>
      <c r="L393" s="660"/>
      <c r="M393" s="660"/>
      <c r="N393" s="660"/>
      <c r="O393" s="661"/>
      <c r="P393" s="657" t="s">
        <v>40</v>
      </c>
      <c r="Q393" s="658"/>
      <c r="R393" s="658"/>
      <c r="S393" s="658"/>
      <c r="T393" s="658"/>
      <c r="U393" s="658"/>
      <c r="V393" s="659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25">
      <c r="A394" s="667" t="s">
        <v>275</v>
      </c>
      <c r="B394" s="667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6"/>
      <c r="AB394" s="66"/>
      <c r="AC394" s="80"/>
    </row>
    <row r="395" spans="1:68" ht="27" customHeight="1" x14ac:dyDescent="0.25">
      <c r="A395" s="63" t="s">
        <v>653</v>
      </c>
      <c r="B395" s="63" t="s">
        <v>654</v>
      </c>
      <c r="C395" s="36">
        <v>4301030235</v>
      </c>
      <c r="D395" s="653">
        <v>4607091388381</v>
      </c>
      <c r="E395" s="653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5"/>
      <c r="R395" s="655"/>
      <c r="S395" s="655"/>
      <c r="T395" s="65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656</v>
      </c>
      <c r="B396" s="63" t="s">
        <v>657</v>
      </c>
      <c r="C396" s="36">
        <v>4301030232</v>
      </c>
      <c r="D396" s="653">
        <v>4607091388374</v>
      </c>
      <c r="E396" s="653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7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658</v>
      </c>
      <c r="B397" s="63" t="s">
        <v>659</v>
      </c>
      <c r="C397" s="36">
        <v>4301032015</v>
      </c>
      <c r="D397" s="653">
        <v>4607091383102</v>
      </c>
      <c r="E397" s="653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660</v>
      </c>
      <c r="B398" s="63" t="s">
        <v>661</v>
      </c>
      <c r="C398" s="36">
        <v>4301030233</v>
      </c>
      <c r="D398" s="653">
        <v>4607091388404</v>
      </c>
      <c r="E398" s="653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0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1"/>
      <c r="P399" s="657" t="s">
        <v>40</v>
      </c>
      <c r="Q399" s="658"/>
      <c r="R399" s="658"/>
      <c r="S399" s="658"/>
      <c r="T399" s="658"/>
      <c r="U399" s="658"/>
      <c r="V399" s="659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60"/>
      <c r="B400" s="660"/>
      <c r="C400" s="660"/>
      <c r="D400" s="660"/>
      <c r="E400" s="660"/>
      <c r="F400" s="660"/>
      <c r="G400" s="660"/>
      <c r="H400" s="660"/>
      <c r="I400" s="660"/>
      <c r="J400" s="660"/>
      <c r="K400" s="660"/>
      <c r="L400" s="660"/>
      <c r="M400" s="660"/>
      <c r="N400" s="660"/>
      <c r="O400" s="661"/>
      <c r="P400" s="657" t="s">
        <v>40</v>
      </c>
      <c r="Q400" s="658"/>
      <c r="R400" s="658"/>
      <c r="S400" s="658"/>
      <c r="T400" s="658"/>
      <c r="U400" s="658"/>
      <c r="V400" s="659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667" t="s">
        <v>662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6"/>
      <c r="AB401" s="66"/>
      <c r="AC401" s="80"/>
    </row>
    <row r="402" spans="1:68" ht="16.5" customHeight="1" x14ac:dyDescent="0.25">
      <c r="A402" s="63" t="s">
        <v>663</v>
      </c>
      <c r="B402" s="63" t="s">
        <v>664</v>
      </c>
      <c r="C402" s="36">
        <v>4301180007</v>
      </c>
      <c r="D402" s="653">
        <v>4680115881808</v>
      </c>
      <c r="E402" s="653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73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667</v>
      </c>
      <c r="B403" s="63" t="s">
        <v>668</v>
      </c>
      <c r="C403" s="36">
        <v>4301180006</v>
      </c>
      <c r="D403" s="653">
        <v>4680115881822</v>
      </c>
      <c r="E403" s="653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7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669</v>
      </c>
      <c r="B404" s="63" t="s">
        <v>670</v>
      </c>
      <c r="C404" s="36">
        <v>4301180001</v>
      </c>
      <c r="D404" s="653">
        <v>4680115880016</v>
      </c>
      <c r="E404" s="65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7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60"/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1"/>
      <c r="P405" s="657" t="s">
        <v>40</v>
      </c>
      <c r="Q405" s="658"/>
      <c r="R405" s="658"/>
      <c r="S405" s="658"/>
      <c r="T405" s="658"/>
      <c r="U405" s="658"/>
      <c r="V405" s="659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660"/>
      <c r="B406" s="660"/>
      <c r="C406" s="660"/>
      <c r="D406" s="660"/>
      <c r="E406" s="660"/>
      <c r="F406" s="660"/>
      <c r="G406" s="660"/>
      <c r="H406" s="660"/>
      <c r="I406" s="660"/>
      <c r="J406" s="660"/>
      <c r="K406" s="660"/>
      <c r="L406" s="660"/>
      <c r="M406" s="660"/>
      <c r="N406" s="660"/>
      <c r="O406" s="661"/>
      <c r="P406" s="657" t="s">
        <v>40</v>
      </c>
      <c r="Q406" s="658"/>
      <c r="R406" s="658"/>
      <c r="S406" s="658"/>
      <c r="T406" s="658"/>
      <c r="U406" s="658"/>
      <c r="V406" s="659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667" t="s">
        <v>671</v>
      </c>
      <c r="B407" s="667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6"/>
      <c r="AB407" s="66"/>
      <c r="AC407" s="80"/>
    </row>
    <row r="408" spans="1:68" ht="27" customHeight="1" x14ac:dyDescent="0.25">
      <c r="A408" s="63" t="s">
        <v>672</v>
      </c>
      <c r="B408" s="63" t="s">
        <v>673</v>
      </c>
      <c r="C408" s="36">
        <v>4301220003</v>
      </c>
      <c r="D408" s="653">
        <v>4680115888678</v>
      </c>
      <c r="E408" s="653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7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5"/>
      <c r="R408" s="655"/>
      <c r="S408" s="655"/>
      <c r="T408" s="656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675</v>
      </c>
      <c r="B409" s="63" t="s">
        <v>676</v>
      </c>
      <c r="C409" s="36">
        <v>4301220001</v>
      </c>
      <c r="D409" s="653">
        <v>4680115888654</v>
      </c>
      <c r="E409" s="653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73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678</v>
      </c>
      <c r="B410" s="63" t="s">
        <v>679</v>
      </c>
      <c r="C410" s="36">
        <v>4301220002</v>
      </c>
      <c r="D410" s="653">
        <v>4680115888753</v>
      </c>
      <c r="E410" s="65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74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60"/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1"/>
      <c r="P411" s="657" t="s">
        <v>40</v>
      </c>
      <c r="Q411" s="658"/>
      <c r="R411" s="658"/>
      <c r="S411" s="658"/>
      <c r="T411" s="658"/>
      <c r="U411" s="658"/>
      <c r="V411" s="65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60"/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1"/>
      <c r="P412" s="657" t="s">
        <v>40</v>
      </c>
      <c r="Q412" s="658"/>
      <c r="R412" s="658"/>
      <c r="S412" s="658"/>
      <c r="T412" s="658"/>
      <c r="U412" s="658"/>
      <c r="V412" s="65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671" t="s">
        <v>680</v>
      </c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5"/>
      <c r="AB413" s="65"/>
      <c r="AC413" s="79"/>
    </row>
    <row r="414" spans="1:68" ht="14.25" customHeight="1" x14ac:dyDescent="0.25">
      <c r="A414" s="667" t="s">
        <v>86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6"/>
      <c r="AB414" s="66"/>
      <c r="AC414" s="80"/>
    </row>
    <row r="415" spans="1:68" ht="16.5" customHeight="1" x14ac:dyDescent="0.25">
      <c r="A415" s="63" t="s">
        <v>681</v>
      </c>
      <c r="B415" s="63" t="s">
        <v>682</v>
      </c>
      <c r="C415" s="36">
        <v>4301052235</v>
      </c>
      <c r="D415" s="653">
        <v>4680115889415</v>
      </c>
      <c r="E415" s="653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7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customHeight="1" x14ac:dyDescent="0.25">
      <c r="A416" s="63" t="s">
        <v>684</v>
      </c>
      <c r="B416" s="63" t="s">
        <v>685</v>
      </c>
      <c r="C416" s="36">
        <v>4301052236</v>
      </c>
      <c r="D416" s="653">
        <v>4680115889422</v>
      </c>
      <c r="E416" s="653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7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60"/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1"/>
      <c r="P417" s="657" t="s">
        <v>40</v>
      </c>
      <c r="Q417" s="658"/>
      <c r="R417" s="658"/>
      <c r="S417" s="658"/>
      <c r="T417" s="658"/>
      <c r="U417" s="658"/>
      <c r="V417" s="659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x14ac:dyDescent="0.2">
      <c r="A418" s="660"/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1"/>
      <c r="P418" s="657" t="s">
        <v>40</v>
      </c>
      <c r="Q418" s="658"/>
      <c r="R418" s="658"/>
      <c r="S418" s="658"/>
      <c r="T418" s="658"/>
      <c r="U418" s="658"/>
      <c r="V418" s="659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customHeight="1" x14ac:dyDescent="0.25">
      <c r="A419" s="671" t="s">
        <v>687</v>
      </c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5"/>
      <c r="AB419" s="65"/>
      <c r="AC419" s="79"/>
    </row>
    <row r="420" spans="1:68" ht="14.25" customHeight="1" x14ac:dyDescent="0.25">
      <c r="A420" s="667" t="s">
        <v>86</v>
      </c>
      <c r="B420" s="667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6"/>
      <c r="AB420" s="66"/>
      <c r="AC420" s="80"/>
    </row>
    <row r="421" spans="1:68" ht="27" customHeight="1" x14ac:dyDescent="0.25">
      <c r="A421" s="63" t="s">
        <v>688</v>
      </c>
      <c r="B421" s="63" t="s">
        <v>689</v>
      </c>
      <c r="C421" s="36">
        <v>4301051489</v>
      </c>
      <c r="D421" s="653">
        <v>4607091387919</v>
      </c>
      <c r="E421" s="653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5"/>
      <c r="R421" s="655"/>
      <c r="S421" s="655"/>
      <c r="T421" s="65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customHeight="1" x14ac:dyDescent="0.25">
      <c r="A422" s="63" t="s">
        <v>691</v>
      </c>
      <c r="B422" s="63" t="s">
        <v>692</v>
      </c>
      <c r="C422" s="36">
        <v>4301051461</v>
      </c>
      <c r="D422" s="653">
        <v>4680115883604</v>
      </c>
      <c r="E422" s="653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customHeight="1" x14ac:dyDescent="0.25">
      <c r="A423" s="63" t="s">
        <v>694</v>
      </c>
      <c r="B423" s="63" t="s">
        <v>695</v>
      </c>
      <c r="C423" s="36">
        <v>4301051864</v>
      </c>
      <c r="D423" s="653">
        <v>4680115883567</v>
      </c>
      <c r="E423" s="653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7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60"/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1"/>
      <c r="P424" s="657" t="s">
        <v>40</v>
      </c>
      <c r="Q424" s="658"/>
      <c r="R424" s="658"/>
      <c r="S424" s="658"/>
      <c r="T424" s="658"/>
      <c r="U424" s="658"/>
      <c r="V424" s="659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x14ac:dyDescent="0.2">
      <c r="A425" s="660"/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1"/>
      <c r="P425" s="657" t="s">
        <v>40</v>
      </c>
      <c r="Q425" s="658"/>
      <c r="R425" s="658"/>
      <c r="S425" s="658"/>
      <c r="T425" s="658"/>
      <c r="U425" s="658"/>
      <c r="V425" s="659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customHeight="1" x14ac:dyDescent="0.2">
      <c r="A426" s="682" t="s">
        <v>697</v>
      </c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  <c r="Z426" s="682"/>
      <c r="AA426" s="54"/>
      <c r="AB426" s="54"/>
      <c r="AC426" s="54"/>
    </row>
    <row r="427" spans="1:68" ht="16.5" customHeight="1" x14ac:dyDescent="0.25">
      <c r="A427" s="671" t="s">
        <v>698</v>
      </c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5"/>
      <c r="AB427" s="65"/>
      <c r="AC427" s="79"/>
    </row>
    <row r="428" spans="1:68" ht="14.25" customHeight="1" x14ac:dyDescent="0.25">
      <c r="A428" s="667" t="s">
        <v>122</v>
      </c>
      <c r="B428" s="667"/>
      <c r="C428" s="667"/>
      <c r="D428" s="667"/>
      <c r="E428" s="667"/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  <c r="Z428" s="667"/>
      <c r="AA428" s="66"/>
      <c r="AB428" s="66"/>
      <c r="AC428" s="80"/>
    </row>
    <row r="429" spans="1:68" ht="27" customHeight="1" x14ac:dyDescent="0.25">
      <c r="A429" s="63" t="s">
        <v>699</v>
      </c>
      <c r="B429" s="63" t="s">
        <v>700</v>
      </c>
      <c r="C429" s="36">
        <v>4301012332</v>
      </c>
      <c r="D429" s="653">
        <v>4680115888401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7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653">
        <v>4680115884847</v>
      </c>
      <c r="E430" s="65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653">
        <v>4680115884854</v>
      </c>
      <c r="E431" s="65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653">
        <v>4680115884830</v>
      </c>
      <c r="E432" s="65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customHeight="1" x14ac:dyDescent="0.25">
      <c r="A433" s="63" t="s">
        <v>711</v>
      </c>
      <c r="B433" s="63" t="s">
        <v>712</v>
      </c>
      <c r="C433" s="36">
        <v>4301012356</v>
      </c>
      <c r="D433" s="653">
        <v>4680115889231</v>
      </c>
      <c r="E433" s="65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5"/>
      <c r="R433" s="655"/>
      <c r="S433" s="655"/>
      <c r="T433" s="65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4301011433</v>
      </c>
      <c r="D434" s="653">
        <v>4680115882638</v>
      </c>
      <c r="E434" s="653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5"/>
      <c r="R434" s="655"/>
      <c r="S434" s="655"/>
      <c r="T434" s="65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4301011952</v>
      </c>
      <c r="D435" s="653">
        <v>4680115884922</v>
      </c>
      <c r="E435" s="653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5"/>
      <c r="R435" s="655"/>
      <c r="S435" s="655"/>
      <c r="T435" s="65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customHeight="1" x14ac:dyDescent="0.25">
      <c r="A436" s="63" t="s">
        <v>720</v>
      </c>
      <c r="B436" s="63" t="s">
        <v>721</v>
      </c>
      <c r="C436" s="36">
        <v>4301011868</v>
      </c>
      <c r="D436" s="653">
        <v>4680115884861</v>
      </c>
      <c r="E436" s="653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660"/>
      <c r="B437" s="660"/>
      <c r="C437" s="660"/>
      <c r="D437" s="660"/>
      <c r="E437" s="660"/>
      <c r="F437" s="660"/>
      <c r="G437" s="660"/>
      <c r="H437" s="660"/>
      <c r="I437" s="660"/>
      <c r="J437" s="660"/>
      <c r="K437" s="660"/>
      <c r="L437" s="660"/>
      <c r="M437" s="660"/>
      <c r="N437" s="660"/>
      <c r="O437" s="661"/>
      <c r="P437" s="657" t="s">
        <v>40</v>
      </c>
      <c r="Q437" s="658"/>
      <c r="R437" s="658"/>
      <c r="S437" s="658"/>
      <c r="T437" s="658"/>
      <c r="U437" s="658"/>
      <c r="V437" s="659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0</v>
      </c>
      <c r="Y437" s="43">
        <f>IFERROR(Y429/H429,"0")+IFERROR(Y430/H430,"0")+IFERROR(Y431/H431,"0")+IFERROR(Y432/H432,"0")+IFERROR(Y433/H433,"0")+IFERROR(Y434/H434,"0")+IFERROR(Y435/H435,"0")+IFERROR(Y436/H436,"0")</f>
        <v>0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60"/>
      <c r="B438" s="660"/>
      <c r="C438" s="660"/>
      <c r="D438" s="660"/>
      <c r="E438" s="660"/>
      <c r="F438" s="660"/>
      <c r="G438" s="660"/>
      <c r="H438" s="660"/>
      <c r="I438" s="660"/>
      <c r="J438" s="660"/>
      <c r="K438" s="660"/>
      <c r="L438" s="660"/>
      <c r="M438" s="660"/>
      <c r="N438" s="660"/>
      <c r="O438" s="661"/>
      <c r="P438" s="657" t="s">
        <v>40</v>
      </c>
      <c r="Q438" s="658"/>
      <c r="R438" s="658"/>
      <c r="S438" s="658"/>
      <c r="T438" s="658"/>
      <c r="U438" s="658"/>
      <c r="V438" s="659"/>
      <c r="W438" s="42" t="s">
        <v>0</v>
      </c>
      <c r="X438" s="43">
        <f>IFERROR(SUM(X429:X436),"0")</f>
        <v>0</v>
      </c>
      <c r="Y438" s="43">
        <f>IFERROR(SUM(Y429:Y436),"0")</f>
        <v>0</v>
      </c>
      <c r="Z438" s="42"/>
      <c r="AA438" s="67"/>
      <c r="AB438" s="67"/>
      <c r="AC438" s="67"/>
    </row>
    <row r="439" spans="1:68" ht="14.25" customHeight="1" x14ac:dyDescent="0.25">
      <c r="A439" s="667" t="s">
        <v>157</v>
      </c>
      <c r="B439" s="667"/>
      <c r="C439" s="667"/>
      <c r="D439" s="667"/>
      <c r="E439" s="667"/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  <c r="Z439" s="667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653">
        <v>4607091383980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7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726</v>
      </c>
      <c r="B441" s="63" t="s">
        <v>727</v>
      </c>
      <c r="C441" s="36">
        <v>4301020355</v>
      </c>
      <c r="D441" s="653">
        <v>4680115888425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7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729</v>
      </c>
      <c r="B442" s="63" t="s">
        <v>730</v>
      </c>
      <c r="C442" s="36">
        <v>4301020179</v>
      </c>
      <c r="D442" s="653">
        <v>4607091384178</v>
      </c>
      <c r="E442" s="653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60"/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1"/>
      <c r="P443" s="657" t="s">
        <v>40</v>
      </c>
      <c r="Q443" s="658"/>
      <c r="R443" s="658"/>
      <c r="S443" s="658"/>
      <c r="T443" s="658"/>
      <c r="U443" s="658"/>
      <c r="V443" s="659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60"/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1"/>
      <c r="P444" s="657" t="s">
        <v>40</v>
      </c>
      <c r="Q444" s="658"/>
      <c r="R444" s="658"/>
      <c r="S444" s="658"/>
      <c r="T444" s="658"/>
      <c r="U444" s="658"/>
      <c r="V444" s="659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67" t="s">
        <v>86</v>
      </c>
      <c r="B445" s="667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6"/>
      <c r="AB445" s="66"/>
      <c r="AC445" s="80"/>
    </row>
    <row r="446" spans="1:68" ht="27" customHeight="1" x14ac:dyDescent="0.25">
      <c r="A446" s="63" t="s">
        <v>732</v>
      </c>
      <c r="B446" s="63" t="s">
        <v>733</v>
      </c>
      <c r="C446" s="36">
        <v>4301051903</v>
      </c>
      <c r="D446" s="653">
        <v>4607091383928</v>
      </c>
      <c r="E446" s="653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5"/>
      <c r="R446" s="655"/>
      <c r="S446" s="655"/>
      <c r="T446" s="656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735</v>
      </c>
      <c r="B447" s="63" t="s">
        <v>736</v>
      </c>
      <c r="C447" s="36">
        <v>4301051897</v>
      </c>
      <c r="D447" s="653">
        <v>4607091384260</v>
      </c>
      <c r="E447" s="653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7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5"/>
      <c r="R447" s="655"/>
      <c r="S447" s="655"/>
      <c r="T447" s="65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738</v>
      </c>
      <c r="B448" s="63" t="s">
        <v>739</v>
      </c>
      <c r="C448" s="36">
        <v>4301052220</v>
      </c>
      <c r="D448" s="653">
        <v>4680115889538</v>
      </c>
      <c r="E448" s="653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71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660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1"/>
      <c r="P449" s="657" t="s">
        <v>40</v>
      </c>
      <c r="Q449" s="658"/>
      <c r="R449" s="658"/>
      <c r="S449" s="658"/>
      <c r="T449" s="658"/>
      <c r="U449" s="658"/>
      <c r="V449" s="659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x14ac:dyDescent="0.2">
      <c r="A450" s="660"/>
      <c r="B450" s="660"/>
      <c r="C450" s="660"/>
      <c r="D450" s="660"/>
      <c r="E450" s="660"/>
      <c r="F450" s="660"/>
      <c r="G450" s="660"/>
      <c r="H450" s="660"/>
      <c r="I450" s="660"/>
      <c r="J450" s="660"/>
      <c r="K450" s="660"/>
      <c r="L450" s="660"/>
      <c r="M450" s="660"/>
      <c r="N450" s="660"/>
      <c r="O450" s="661"/>
      <c r="P450" s="657" t="s">
        <v>40</v>
      </c>
      <c r="Q450" s="658"/>
      <c r="R450" s="658"/>
      <c r="S450" s="658"/>
      <c r="T450" s="658"/>
      <c r="U450" s="658"/>
      <c r="V450" s="659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customHeight="1" x14ac:dyDescent="0.25">
      <c r="A451" s="667" t="s">
        <v>175</v>
      </c>
      <c r="B451" s="667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6"/>
      <c r="AB451" s="66"/>
      <c r="AC451" s="80"/>
    </row>
    <row r="452" spans="1:68" ht="27" customHeight="1" x14ac:dyDescent="0.25">
      <c r="A452" s="63" t="s">
        <v>741</v>
      </c>
      <c r="B452" s="63" t="s">
        <v>742</v>
      </c>
      <c r="C452" s="36">
        <v>4301060537</v>
      </c>
      <c r="D452" s="653">
        <v>4680115889545</v>
      </c>
      <c r="E452" s="653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5"/>
      <c r="R452" s="655"/>
      <c r="S452" s="655"/>
      <c r="T452" s="656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customHeight="1" x14ac:dyDescent="0.25">
      <c r="A453" s="63" t="s">
        <v>744</v>
      </c>
      <c r="B453" s="63" t="s">
        <v>745</v>
      </c>
      <c r="C453" s="36">
        <v>4301060524</v>
      </c>
      <c r="D453" s="653">
        <v>4607091384673</v>
      </c>
      <c r="E453" s="653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5"/>
      <c r="R453" s="655"/>
      <c r="S453" s="655"/>
      <c r="T453" s="65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660"/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1"/>
      <c r="P455" s="657" t="s">
        <v>40</v>
      </c>
      <c r="Q455" s="658"/>
      <c r="R455" s="658"/>
      <c r="S455" s="658"/>
      <c r="T455" s="658"/>
      <c r="U455" s="658"/>
      <c r="V455" s="659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customHeight="1" x14ac:dyDescent="0.25">
      <c r="A456" s="671" t="s">
        <v>747</v>
      </c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5"/>
      <c r="AB456" s="65"/>
      <c r="AC456" s="79"/>
    </row>
    <row r="457" spans="1:68" ht="14.25" customHeight="1" x14ac:dyDescent="0.25">
      <c r="A457" s="667" t="s">
        <v>122</v>
      </c>
      <c r="B457" s="667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6"/>
      <c r="AB457" s="66"/>
      <c r="AC457" s="80"/>
    </row>
    <row r="458" spans="1:68" ht="27" customHeight="1" x14ac:dyDescent="0.25">
      <c r="A458" s="63" t="s">
        <v>748</v>
      </c>
      <c r="B458" s="63" t="s">
        <v>749</v>
      </c>
      <c r="C458" s="36">
        <v>4301011875</v>
      </c>
      <c r="D458" s="653">
        <v>4680115884885</v>
      </c>
      <c r="E458" s="653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7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5"/>
      <c r="R458" s="655"/>
      <c r="S458" s="655"/>
      <c r="T458" s="65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customHeight="1" x14ac:dyDescent="0.25">
      <c r="A459" s="63" t="s">
        <v>751</v>
      </c>
      <c r="B459" s="63" t="s">
        <v>752</v>
      </c>
      <c r="C459" s="36">
        <v>4301011871</v>
      </c>
      <c r="D459" s="653">
        <v>4680115884908</v>
      </c>
      <c r="E459" s="653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7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60"/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1"/>
      <c r="P460" s="657" t="s">
        <v>40</v>
      </c>
      <c r="Q460" s="658"/>
      <c r="R460" s="658"/>
      <c r="S460" s="658"/>
      <c r="T460" s="658"/>
      <c r="U460" s="658"/>
      <c r="V460" s="65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x14ac:dyDescent="0.2">
      <c r="A461" s="660"/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1"/>
      <c r="P461" s="657" t="s">
        <v>40</v>
      </c>
      <c r="Q461" s="658"/>
      <c r="R461" s="658"/>
      <c r="S461" s="658"/>
      <c r="T461" s="658"/>
      <c r="U461" s="658"/>
      <c r="V461" s="65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6"/>
      <c r="AB462" s="66"/>
      <c r="AC462" s="80"/>
    </row>
    <row r="463" spans="1:68" ht="27" customHeight="1" x14ac:dyDescent="0.25">
      <c r="A463" s="63" t="s">
        <v>753</v>
      </c>
      <c r="B463" s="63" t="s">
        <v>754</v>
      </c>
      <c r="C463" s="36">
        <v>4301031457</v>
      </c>
      <c r="D463" s="653">
        <v>4607091384802</v>
      </c>
      <c r="E463" s="653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customHeight="1" x14ac:dyDescent="0.25">
      <c r="A466" s="667" t="s">
        <v>86</v>
      </c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  <c r="Z466" s="667"/>
      <c r="AA466" s="66"/>
      <c r="AB466" s="66"/>
      <c r="AC466" s="80"/>
    </row>
    <row r="467" spans="1:68" ht="27" customHeight="1" x14ac:dyDescent="0.25">
      <c r="A467" s="63" t="s">
        <v>756</v>
      </c>
      <c r="B467" s="63" t="s">
        <v>757</v>
      </c>
      <c r="C467" s="36">
        <v>4301051899</v>
      </c>
      <c r="D467" s="653">
        <v>4607091384246</v>
      </c>
      <c r="E467" s="653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759</v>
      </c>
      <c r="B468" s="63" t="s">
        <v>760</v>
      </c>
      <c r="C468" s="36">
        <v>4301051660</v>
      </c>
      <c r="D468" s="653">
        <v>4607091384253</v>
      </c>
      <c r="E468" s="653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759</v>
      </c>
      <c r="B469" s="63" t="s">
        <v>761</v>
      </c>
      <c r="C469" s="36">
        <v>4301052069</v>
      </c>
      <c r="D469" s="653">
        <v>4607091384253</v>
      </c>
      <c r="E469" s="653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7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5"/>
      <c r="R469" s="655"/>
      <c r="S469" s="655"/>
      <c r="T469" s="65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60"/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1"/>
      <c r="P470" s="657" t="s">
        <v>40</v>
      </c>
      <c r="Q470" s="658"/>
      <c r="R470" s="658"/>
      <c r="S470" s="658"/>
      <c r="T470" s="658"/>
      <c r="U470" s="658"/>
      <c r="V470" s="659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x14ac:dyDescent="0.2">
      <c r="A471" s="660"/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1"/>
      <c r="P471" s="657" t="s">
        <v>40</v>
      </c>
      <c r="Q471" s="658"/>
      <c r="R471" s="658"/>
      <c r="S471" s="658"/>
      <c r="T471" s="658"/>
      <c r="U471" s="658"/>
      <c r="V471" s="659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customHeight="1" x14ac:dyDescent="0.2">
      <c r="A472" s="682" t="s">
        <v>763</v>
      </c>
      <c r="B472" s="682"/>
      <c r="C472" s="682"/>
      <c r="D472" s="682"/>
      <c r="E472" s="682"/>
      <c r="F472" s="682"/>
      <c r="G472" s="682"/>
      <c r="H472" s="682"/>
      <c r="I472" s="682"/>
      <c r="J472" s="682"/>
      <c r="K472" s="682"/>
      <c r="L472" s="682"/>
      <c r="M472" s="682"/>
      <c r="N472" s="682"/>
      <c r="O472" s="682"/>
      <c r="P472" s="682"/>
      <c r="Q472" s="682"/>
      <c r="R472" s="682"/>
      <c r="S472" s="682"/>
      <c r="T472" s="682"/>
      <c r="U472" s="682"/>
      <c r="V472" s="682"/>
      <c r="W472" s="682"/>
      <c r="X472" s="682"/>
      <c r="Y472" s="682"/>
      <c r="Z472" s="682"/>
      <c r="AA472" s="54"/>
      <c r="AB472" s="54"/>
      <c r="AC472" s="54"/>
    </row>
    <row r="473" spans="1:68" ht="16.5" customHeight="1" x14ac:dyDescent="0.25">
      <c r="A473" s="671" t="s">
        <v>764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"/>
      <c r="AB473" s="65"/>
      <c r="AC473" s="79"/>
    </row>
    <row r="474" spans="1:68" ht="14.25" customHeight="1" x14ac:dyDescent="0.25">
      <c r="A474" s="667" t="s">
        <v>77</v>
      </c>
      <c r="B474" s="667"/>
      <c r="C474" s="667"/>
      <c r="D474" s="667"/>
      <c r="E474" s="667"/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  <c r="Z474" s="667"/>
      <c r="AA474" s="66"/>
      <c r="AB474" s="66"/>
      <c r="AC474" s="80"/>
    </row>
    <row r="475" spans="1:68" ht="27" customHeight="1" x14ac:dyDescent="0.25">
      <c r="A475" s="63" t="s">
        <v>765</v>
      </c>
      <c r="B475" s="63" t="s">
        <v>766</v>
      </c>
      <c r="C475" s="36">
        <v>4301031405</v>
      </c>
      <c r="D475" s="653">
        <v>4680115886100</v>
      </c>
      <c r="E475" s="653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customHeight="1" x14ac:dyDescent="0.25">
      <c r="A476" s="63" t="s">
        <v>768</v>
      </c>
      <c r="B476" s="63" t="s">
        <v>769</v>
      </c>
      <c r="C476" s="36">
        <v>4301031402</v>
      </c>
      <c r="D476" s="653">
        <v>4680115886124</v>
      </c>
      <c r="E476" s="653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customHeight="1" x14ac:dyDescent="0.25">
      <c r="A477" s="63" t="s">
        <v>771</v>
      </c>
      <c r="B477" s="63" t="s">
        <v>772</v>
      </c>
      <c r="C477" s="36">
        <v>4301031362</v>
      </c>
      <c r="D477" s="653">
        <v>4607091384338</v>
      </c>
      <c r="E477" s="65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customHeight="1" x14ac:dyDescent="0.25">
      <c r="A478" s="63" t="s">
        <v>773</v>
      </c>
      <c r="B478" s="63" t="s">
        <v>774</v>
      </c>
      <c r="C478" s="36">
        <v>4301031364</v>
      </c>
      <c r="D478" s="653">
        <v>4680115883161</v>
      </c>
      <c r="E478" s="653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customHeight="1" x14ac:dyDescent="0.25">
      <c r="A479" s="63" t="s">
        <v>776</v>
      </c>
      <c r="B479" s="63" t="s">
        <v>777</v>
      </c>
      <c r="C479" s="36">
        <v>4301031358</v>
      </c>
      <c r="D479" s="653">
        <v>4607091389531</v>
      </c>
      <c r="E479" s="65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5"/>
      <c r="R479" s="655"/>
      <c r="S479" s="655"/>
      <c r="T479" s="65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customHeight="1" x14ac:dyDescent="0.25">
      <c r="A480" s="63" t="s">
        <v>779</v>
      </c>
      <c r="B480" s="63" t="s">
        <v>780</v>
      </c>
      <c r="C480" s="36">
        <v>4301031360</v>
      </c>
      <c r="D480" s="653">
        <v>4607091384345</v>
      </c>
      <c r="E480" s="65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x14ac:dyDescent="0.2">
      <c r="A481" s="660"/>
      <c r="B481" s="660"/>
      <c r="C481" s="660"/>
      <c r="D481" s="660"/>
      <c r="E481" s="660"/>
      <c r="F481" s="660"/>
      <c r="G481" s="660"/>
      <c r="H481" s="660"/>
      <c r="I481" s="660"/>
      <c r="J481" s="660"/>
      <c r="K481" s="660"/>
      <c r="L481" s="660"/>
      <c r="M481" s="660"/>
      <c r="N481" s="660"/>
      <c r="O481" s="661"/>
      <c r="P481" s="657" t="s">
        <v>40</v>
      </c>
      <c r="Q481" s="658"/>
      <c r="R481" s="658"/>
      <c r="S481" s="658"/>
      <c r="T481" s="658"/>
      <c r="U481" s="658"/>
      <c r="V481" s="659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x14ac:dyDescent="0.2">
      <c r="A482" s="660"/>
      <c r="B482" s="660"/>
      <c r="C482" s="660"/>
      <c r="D482" s="660"/>
      <c r="E482" s="660"/>
      <c r="F482" s="660"/>
      <c r="G482" s="660"/>
      <c r="H482" s="660"/>
      <c r="I482" s="660"/>
      <c r="J482" s="660"/>
      <c r="K482" s="660"/>
      <c r="L482" s="660"/>
      <c r="M482" s="660"/>
      <c r="N482" s="660"/>
      <c r="O482" s="661"/>
      <c r="P482" s="657" t="s">
        <v>40</v>
      </c>
      <c r="Q482" s="658"/>
      <c r="R482" s="658"/>
      <c r="S482" s="658"/>
      <c r="T482" s="658"/>
      <c r="U482" s="658"/>
      <c r="V482" s="659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customHeight="1" x14ac:dyDescent="0.25">
      <c r="A483" s="667" t="s">
        <v>86</v>
      </c>
      <c r="B483" s="667"/>
      <c r="C483" s="667"/>
      <c r="D483" s="667"/>
      <c r="E483" s="667"/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  <c r="Z483" s="667"/>
      <c r="AA483" s="66"/>
      <c r="AB483" s="66"/>
      <c r="AC483" s="80"/>
    </row>
    <row r="484" spans="1:68" ht="27" customHeight="1" x14ac:dyDescent="0.25">
      <c r="A484" s="63" t="s">
        <v>781</v>
      </c>
      <c r="B484" s="63" t="s">
        <v>782</v>
      </c>
      <c r="C484" s="36">
        <v>4301051284</v>
      </c>
      <c r="D484" s="653">
        <v>4607091384352</v>
      </c>
      <c r="E484" s="653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784</v>
      </c>
      <c r="B485" s="63" t="s">
        <v>785</v>
      </c>
      <c r="C485" s="36">
        <v>4301051431</v>
      </c>
      <c r="D485" s="653">
        <v>4607091389654</v>
      </c>
      <c r="E485" s="653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660"/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1"/>
      <c r="P487" s="657" t="s">
        <v>40</v>
      </c>
      <c r="Q487" s="658"/>
      <c r="R487" s="658"/>
      <c r="S487" s="658"/>
      <c r="T487" s="658"/>
      <c r="U487" s="658"/>
      <c r="V487" s="65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671" t="s">
        <v>787</v>
      </c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5"/>
      <c r="AB488" s="65"/>
      <c r="AC488" s="79"/>
    </row>
    <row r="489" spans="1:68" ht="14.25" customHeight="1" x14ac:dyDescent="0.25">
      <c r="A489" s="667" t="s">
        <v>157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6"/>
      <c r="AB489" s="66"/>
      <c r="AC489" s="80"/>
    </row>
    <row r="490" spans="1:68" ht="27" customHeight="1" x14ac:dyDescent="0.25">
      <c r="A490" s="63" t="s">
        <v>788</v>
      </c>
      <c r="B490" s="63" t="s">
        <v>789</v>
      </c>
      <c r="C490" s="36">
        <v>4301020416</v>
      </c>
      <c r="D490" s="653">
        <v>4680115885240</v>
      </c>
      <c r="E490" s="653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6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660"/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1"/>
      <c r="P492" s="657" t="s">
        <v>40</v>
      </c>
      <c r="Q492" s="658"/>
      <c r="R492" s="658"/>
      <c r="S492" s="658"/>
      <c r="T492" s="658"/>
      <c r="U492" s="658"/>
      <c r="V492" s="65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customHeight="1" x14ac:dyDescent="0.25">
      <c r="A493" s="667" t="s">
        <v>77</v>
      </c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  <c r="Z493" s="667"/>
      <c r="AA493" s="66"/>
      <c r="AB493" s="66"/>
      <c r="AC493" s="80"/>
    </row>
    <row r="494" spans="1:68" ht="27" customHeight="1" x14ac:dyDescent="0.25">
      <c r="A494" s="63" t="s">
        <v>791</v>
      </c>
      <c r="B494" s="63" t="s">
        <v>792</v>
      </c>
      <c r="C494" s="36">
        <v>4301031407</v>
      </c>
      <c r="D494" s="653">
        <v>4680115886094</v>
      </c>
      <c r="E494" s="653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6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5"/>
      <c r="R494" s="655"/>
      <c r="S494" s="655"/>
      <c r="T494" s="65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customHeight="1" x14ac:dyDescent="0.25">
      <c r="A495" s="63" t="s">
        <v>794</v>
      </c>
      <c r="B495" s="63" t="s">
        <v>795</v>
      </c>
      <c r="C495" s="36">
        <v>4301031373</v>
      </c>
      <c r="D495" s="653">
        <v>4680115880771</v>
      </c>
      <c r="E495" s="653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5"/>
      <c r="R495" s="655"/>
      <c r="S495" s="655"/>
      <c r="T495" s="656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customHeight="1" x14ac:dyDescent="0.25">
      <c r="A496" s="63" t="s">
        <v>797</v>
      </c>
      <c r="B496" s="63" t="s">
        <v>798</v>
      </c>
      <c r="C496" s="36">
        <v>4301031359</v>
      </c>
      <c r="D496" s="653">
        <v>4607091389500</v>
      </c>
      <c r="E496" s="653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5"/>
      <c r="R496" s="655"/>
      <c r="S496" s="655"/>
      <c r="T496" s="65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x14ac:dyDescent="0.2">
      <c r="A497" s="660"/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1"/>
      <c r="P497" s="657" t="s">
        <v>40</v>
      </c>
      <c r="Q497" s="658"/>
      <c r="R497" s="658"/>
      <c r="S497" s="658"/>
      <c r="T497" s="658"/>
      <c r="U497" s="658"/>
      <c r="V497" s="659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x14ac:dyDescent="0.2">
      <c r="A498" s="660"/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1"/>
      <c r="P498" s="657" t="s">
        <v>40</v>
      </c>
      <c r="Q498" s="658"/>
      <c r="R498" s="658"/>
      <c r="S498" s="658"/>
      <c r="T498" s="658"/>
      <c r="U498" s="658"/>
      <c r="V498" s="659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customHeight="1" x14ac:dyDescent="0.2">
      <c r="A499" s="682" t="s">
        <v>799</v>
      </c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2"/>
      <c r="P499" s="682"/>
      <c r="Q499" s="682"/>
      <c r="R499" s="682"/>
      <c r="S499" s="682"/>
      <c r="T499" s="682"/>
      <c r="U499" s="682"/>
      <c r="V499" s="682"/>
      <c r="W499" s="682"/>
      <c r="X499" s="682"/>
      <c r="Y499" s="682"/>
      <c r="Z499" s="682"/>
      <c r="AA499" s="54"/>
      <c r="AB499" s="54"/>
      <c r="AC499" s="54"/>
    </row>
    <row r="500" spans="1:68" ht="16.5" customHeight="1" x14ac:dyDescent="0.25">
      <c r="A500" s="671" t="s">
        <v>799</v>
      </c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5"/>
      <c r="AB500" s="65"/>
      <c r="AC500" s="79"/>
    </row>
    <row r="501" spans="1:68" ht="14.25" customHeight="1" x14ac:dyDescent="0.25">
      <c r="A501" s="667" t="s">
        <v>122</v>
      </c>
      <c r="B501" s="667"/>
      <c r="C501" s="667"/>
      <c r="D501" s="667"/>
      <c r="E501" s="667"/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  <c r="Z501" s="667"/>
      <c r="AA501" s="66"/>
      <c r="AB501" s="66"/>
      <c r="AC501" s="80"/>
    </row>
    <row r="502" spans="1:68" ht="27" customHeight="1" x14ac:dyDescent="0.25">
      <c r="A502" s="63" t="s">
        <v>800</v>
      </c>
      <c r="B502" s="63" t="s">
        <v>801</v>
      </c>
      <c r="C502" s="36">
        <v>4301011769</v>
      </c>
      <c r="D502" s="653">
        <v>4607091389067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6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customHeight="1" x14ac:dyDescent="0.25">
      <c r="A503" s="63" t="s">
        <v>802</v>
      </c>
      <c r="B503" s="63" t="s">
        <v>803</v>
      </c>
      <c r="C503" s="36">
        <v>4301012380</v>
      </c>
      <c r="D503" s="653">
        <v>4680115889576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805</v>
      </c>
      <c r="B504" s="63" t="s">
        <v>806</v>
      </c>
      <c r="C504" s="36">
        <v>4301011961</v>
      </c>
      <c r="D504" s="653">
        <v>4680115885271</v>
      </c>
      <c r="E504" s="65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4301011369</v>
      </c>
      <c r="D505" s="653">
        <v>4680115885226</v>
      </c>
      <c r="E505" s="65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customHeight="1" x14ac:dyDescent="0.25">
      <c r="A506" s="63" t="s">
        <v>811</v>
      </c>
      <c r="B506" s="63" t="s">
        <v>812</v>
      </c>
      <c r="C506" s="36">
        <v>4301011797</v>
      </c>
      <c r="D506" s="653">
        <v>4680115884502</v>
      </c>
      <c r="E506" s="65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653">
        <v>4607091389104</v>
      </c>
      <c r="E507" s="65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5"/>
      <c r="R507" s="655"/>
      <c r="S507" s="655"/>
      <c r="T507" s="65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817</v>
      </c>
      <c r="B508" s="63" t="s">
        <v>818</v>
      </c>
      <c r="C508" s="36">
        <v>4301012125</v>
      </c>
      <c r="D508" s="653">
        <v>4680115886391</v>
      </c>
      <c r="E508" s="653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6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5"/>
      <c r="R508" s="655"/>
      <c r="S508" s="655"/>
      <c r="T508" s="65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819</v>
      </c>
      <c r="B509" s="63" t="s">
        <v>820</v>
      </c>
      <c r="C509" s="36">
        <v>4301012048</v>
      </c>
      <c r="D509" s="653">
        <v>4680115880603</v>
      </c>
      <c r="E509" s="653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6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5"/>
      <c r="R509" s="655"/>
      <c r="S509" s="655"/>
      <c r="T509" s="65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821</v>
      </c>
      <c r="B510" s="63" t="s">
        <v>822</v>
      </c>
      <c r="C510" s="36">
        <v>4301012034</v>
      </c>
      <c r="D510" s="653">
        <v>4607091389982</v>
      </c>
      <c r="E510" s="653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6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660"/>
      <c r="B511" s="660"/>
      <c r="C511" s="660"/>
      <c r="D511" s="660"/>
      <c r="E511" s="660"/>
      <c r="F511" s="660"/>
      <c r="G511" s="660"/>
      <c r="H511" s="660"/>
      <c r="I511" s="660"/>
      <c r="J511" s="660"/>
      <c r="K511" s="660"/>
      <c r="L511" s="660"/>
      <c r="M511" s="660"/>
      <c r="N511" s="660"/>
      <c r="O511" s="661"/>
      <c r="P511" s="657" t="s">
        <v>40</v>
      </c>
      <c r="Q511" s="658"/>
      <c r="R511" s="658"/>
      <c r="S511" s="658"/>
      <c r="T511" s="658"/>
      <c r="U511" s="658"/>
      <c r="V511" s="659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0</v>
      </c>
      <c r="Y511" s="43">
        <f>IFERROR(Y502/H502,"0")+IFERROR(Y503/H503,"0")+IFERROR(Y504/H504,"0")+IFERROR(Y505/H505,"0")+IFERROR(Y506/H506,"0")+IFERROR(Y507/H507,"0")+IFERROR(Y508/H508,"0")+IFERROR(Y509/H509,"0")+IFERROR(Y510/H510,"0")</f>
        <v>0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660"/>
      <c r="B512" s="660"/>
      <c r="C512" s="660"/>
      <c r="D512" s="660"/>
      <c r="E512" s="660"/>
      <c r="F512" s="660"/>
      <c r="G512" s="660"/>
      <c r="H512" s="660"/>
      <c r="I512" s="660"/>
      <c r="J512" s="660"/>
      <c r="K512" s="660"/>
      <c r="L512" s="660"/>
      <c r="M512" s="660"/>
      <c r="N512" s="660"/>
      <c r="O512" s="661"/>
      <c r="P512" s="657" t="s">
        <v>40</v>
      </c>
      <c r="Q512" s="658"/>
      <c r="R512" s="658"/>
      <c r="S512" s="658"/>
      <c r="T512" s="658"/>
      <c r="U512" s="658"/>
      <c r="V512" s="659"/>
      <c r="W512" s="42" t="s">
        <v>0</v>
      </c>
      <c r="X512" s="43">
        <f>IFERROR(SUM(X502:X510),"0")</f>
        <v>0</v>
      </c>
      <c r="Y512" s="43">
        <f>IFERROR(SUM(Y502:Y510),"0")</f>
        <v>0</v>
      </c>
      <c r="Z512" s="42"/>
      <c r="AA512" s="67"/>
      <c r="AB512" s="67"/>
      <c r="AC512" s="67"/>
    </row>
    <row r="513" spans="1:68" ht="14.25" customHeight="1" x14ac:dyDescent="0.25">
      <c r="A513" s="667" t="s">
        <v>157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653">
        <v>4607091388930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t="16.5" customHeight="1" x14ac:dyDescent="0.25">
      <c r="A515" s="63" t="s">
        <v>826</v>
      </c>
      <c r="B515" s="63" t="s">
        <v>827</v>
      </c>
      <c r="C515" s="36">
        <v>4301020374</v>
      </c>
      <c r="D515" s="653">
        <v>4680115886407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6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customHeight="1" x14ac:dyDescent="0.25">
      <c r="A516" s="63" t="s">
        <v>828</v>
      </c>
      <c r="B516" s="63" t="s">
        <v>829</v>
      </c>
      <c r="C516" s="36">
        <v>4301020385</v>
      </c>
      <c r="D516" s="653">
        <v>4680115880054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6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60"/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1"/>
      <c r="P517" s="657" t="s">
        <v>40</v>
      </c>
      <c r="Q517" s="658"/>
      <c r="R517" s="658"/>
      <c r="S517" s="658"/>
      <c r="T517" s="658"/>
      <c r="U517" s="658"/>
      <c r="V517" s="659"/>
      <c r="W517" s="42" t="s">
        <v>39</v>
      </c>
      <c r="X517" s="43">
        <f>IFERROR(X514/H514,"0")+IFERROR(X515/H515,"0")+IFERROR(X516/H516,"0")</f>
        <v>0</v>
      </c>
      <c r="Y517" s="43">
        <f>IFERROR(Y514/H514,"0")+IFERROR(Y515/H515,"0")+IFERROR(Y516/H516,"0")</f>
        <v>0</v>
      </c>
      <c r="Z517" s="43">
        <f>IFERROR(IF(Z514="",0,Z514),"0")+IFERROR(IF(Z515="",0,Z515),"0")+IFERROR(IF(Z516="",0,Z516),"0")</f>
        <v>0</v>
      </c>
      <c r="AA517" s="67"/>
      <c r="AB517" s="67"/>
      <c r="AC517" s="67"/>
    </row>
    <row r="518" spans="1:68" x14ac:dyDescent="0.2">
      <c r="A518" s="660"/>
      <c r="B518" s="660"/>
      <c r="C518" s="660"/>
      <c r="D518" s="660"/>
      <c r="E518" s="660"/>
      <c r="F518" s="660"/>
      <c r="G518" s="660"/>
      <c r="H518" s="660"/>
      <c r="I518" s="660"/>
      <c r="J518" s="660"/>
      <c r="K518" s="660"/>
      <c r="L518" s="660"/>
      <c r="M518" s="660"/>
      <c r="N518" s="660"/>
      <c r="O518" s="661"/>
      <c r="P518" s="657" t="s">
        <v>40</v>
      </c>
      <c r="Q518" s="658"/>
      <c r="R518" s="658"/>
      <c r="S518" s="658"/>
      <c r="T518" s="658"/>
      <c r="U518" s="658"/>
      <c r="V518" s="659"/>
      <c r="W518" s="42" t="s">
        <v>0</v>
      </c>
      <c r="X518" s="43">
        <f>IFERROR(SUM(X514:X516),"0")</f>
        <v>0</v>
      </c>
      <c r="Y518" s="43">
        <f>IFERROR(SUM(Y514:Y516),"0")</f>
        <v>0</v>
      </c>
      <c r="Z518" s="42"/>
      <c r="AA518" s="67"/>
      <c r="AB518" s="67"/>
      <c r="AC518" s="67"/>
    </row>
    <row r="519" spans="1:68" ht="14.25" customHeight="1" x14ac:dyDescent="0.25">
      <c r="A519" s="667" t="s">
        <v>77</v>
      </c>
      <c r="B519" s="667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4301031349</v>
      </c>
      <c r="D520" s="653">
        <v>4680115883116</v>
      </c>
      <c r="E520" s="653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6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customHeight="1" x14ac:dyDescent="0.25">
      <c r="A521" s="63" t="s">
        <v>833</v>
      </c>
      <c r="B521" s="63" t="s">
        <v>834</v>
      </c>
      <c r="C521" s="36">
        <v>4301031350</v>
      </c>
      <c r="D521" s="653">
        <v>4680115883093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653">
        <v>4680115883109</v>
      </c>
      <c r="E522" s="65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67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customHeight="1" x14ac:dyDescent="0.25">
      <c r="A523" s="63" t="s">
        <v>839</v>
      </c>
      <c r="B523" s="63" t="s">
        <v>840</v>
      </c>
      <c r="C523" s="36">
        <v>4301031419</v>
      </c>
      <c r="D523" s="653">
        <v>4680115882072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7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customHeight="1" x14ac:dyDescent="0.25">
      <c r="A524" s="63" t="s">
        <v>841</v>
      </c>
      <c r="B524" s="63" t="s">
        <v>842</v>
      </c>
      <c r="C524" s="36">
        <v>4301031352</v>
      </c>
      <c r="D524" s="653">
        <v>4680115882102</v>
      </c>
      <c r="E524" s="653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5"/>
      <c r="R524" s="655"/>
      <c r="S524" s="655"/>
      <c r="T524" s="65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customHeight="1" x14ac:dyDescent="0.25">
      <c r="A525" s="63" t="s">
        <v>841</v>
      </c>
      <c r="B525" s="63" t="s">
        <v>843</v>
      </c>
      <c r="C525" s="36">
        <v>4301031418</v>
      </c>
      <c r="D525" s="653">
        <v>4680115882102</v>
      </c>
      <c r="E525" s="653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6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5"/>
      <c r="R525" s="655"/>
      <c r="S525" s="655"/>
      <c r="T525" s="65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customHeight="1" x14ac:dyDescent="0.25">
      <c r="A526" s="63" t="s">
        <v>844</v>
      </c>
      <c r="B526" s="63" t="s">
        <v>845</v>
      </c>
      <c r="C526" s="36">
        <v>4301031417</v>
      </c>
      <c r="D526" s="653">
        <v>4680115882096</v>
      </c>
      <c r="E526" s="653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5"/>
      <c r="R526" s="655"/>
      <c r="S526" s="655"/>
      <c r="T526" s="65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x14ac:dyDescent="0.2">
      <c r="A527" s="660"/>
      <c r="B527" s="660"/>
      <c r="C527" s="660"/>
      <c r="D527" s="660"/>
      <c r="E527" s="660"/>
      <c r="F527" s="660"/>
      <c r="G527" s="660"/>
      <c r="H527" s="660"/>
      <c r="I527" s="660"/>
      <c r="J527" s="660"/>
      <c r="K527" s="660"/>
      <c r="L527" s="660"/>
      <c r="M527" s="660"/>
      <c r="N527" s="660"/>
      <c r="O527" s="661"/>
      <c r="P527" s="657" t="s">
        <v>40</v>
      </c>
      <c r="Q527" s="658"/>
      <c r="R527" s="658"/>
      <c r="S527" s="658"/>
      <c r="T527" s="658"/>
      <c r="U527" s="658"/>
      <c r="V527" s="659"/>
      <c r="W527" s="42" t="s">
        <v>39</v>
      </c>
      <c r="X527" s="43">
        <f>IFERROR(X520/H520,"0")+IFERROR(X521/H521,"0")+IFERROR(X522/H522,"0")+IFERROR(X523/H523,"0")+IFERROR(X524/H524,"0")+IFERROR(X525/H525,"0")+IFERROR(X526/H526,"0")</f>
        <v>0</v>
      </c>
      <c r="Y527" s="43">
        <f>IFERROR(Y520/H520,"0")+IFERROR(Y521/H521,"0")+IFERROR(Y522/H522,"0")+IFERROR(Y523/H523,"0")+IFERROR(Y524/H524,"0")+IFERROR(Y525/H525,"0")+IFERROR(Y526/H526,"0")</f>
        <v>0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7"/>
      <c r="AB527" s="67"/>
      <c r="AC527" s="67"/>
    </row>
    <row r="528" spans="1:68" x14ac:dyDescent="0.2">
      <c r="A528" s="660"/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1"/>
      <c r="P528" s="657" t="s">
        <v>40</v>
      </c>
      <c r="Q528" s="658"/>
      <c r="R528" s="658"/>
      <c r="S528" s="658"/>
      <c r="T528" s="658"/>
      <c r="U528" s="658"/>
      <c r="V528" s="659"/>
      <c r="W528" s="42" t="s">
        <v>0</v>
      </c>
      <c r="X528" s="43">
        <f>IFERROR(SUM(X520:X526),"0")</f>
        <v>0</v>
      </c>
      <c r="Y528" s="43">
        <f>IFERROR(SUM(Y520:Y526),"0")</f>
        <v>0</v>
      </c>
      <c r="Z528" s="42"/>
      <c r="AA528" s="67"/>
      <c r="AB528" s="67"/>
      <c r="AC528" s="67"/>
    </row>
    <row r="529" spans="1:68" ht="27.75" customHeight="1" x14ac:dyDescent="0.2">
      <c r="A529" s="682" t="s">
        <v>846</v>
      </c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  <c r="Z529" s="682"/>
      <c r="AA529" s="54"/>
      <c r="AB529" s="54"/>
      <c r="AC529" s="54"/>
    </row>
    <row r="530" spans="1:68" ht="16.5" customHeight="1" x14ac:dyDescent="0.25">
      <c r="A530" s="671" t="s">
        <v>846</v>
      </c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5"/>
      <c r="AB530" s="65"/>
      <c r="AC530" s="79"/>
    </row>
    <row r="531" spans="1:68" ht="14.25" customHeight="1" x14ac:dyDescent="0.25">
      <c r="A531" s="667" t="s">
        <v>122</v>
      </c>
      <c r="B531" s="667"/>
      <c r="C531" s="667"/>
      <c r="D531" s="667"/>
      <c r="E531" s="667"/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  <c r="Z531" s="667"/>
      <c r="AA531" s="66"/>
      <c r="AB531" s="66"/>
      <c r="AC531" s="80"/>
    </row>
    <row r="532" spans="1:68" ht="27" customHeight="1" x14ac:dyDescent="0.25">
      <c r="A532" s="63" t="s">
        <v>847</v>
      </c>
      <c r="B532" s="63" t="s">
        <v>848</v>
      </c>
      <c r="C532" s="36">
        <v>4301011584</v>
      </c>
      <c r="D532" s="653">
        <v>4640242180564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x14ac:dyDescent="0.2">
      <c r="A533" s="660"/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1"/>
      <c r="P533" s="657" t="s">
        <v>40</v>
      </c>
      <c r="Q533" s="658"/>
      <c r="R533" s="658"/>
      <c r="S533" s="658"/>
      <c r="T533" s="658"/>
      <c r="U533" s="658"/>
      <c r="V533" s="659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x14ac:dyDescent="0.2">
      <c r="A534" s="660"/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1"/>
      <c r="P534" s="657" t="s">
        <v>40</v>
      </c>
      <c r="Q534" s="658"/>
      <c r="R534" s="658"/>
      <c r="S534" s="658"/>
      <c r="T534" s="658"/>
      <c r="U534" s="658"/>
      <c r="V534" s="659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customHeight="1" x14ac:dyDescent="0.25">
      <c r="A535" s="667" t="s">
        <v>157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66"/>
      <c r="AB535" s="66"/>
      <c r="AC535" s="80"/>
    </row>
    <row r="536" spans="1:68" ht="27" customHeight="1" x14ac:dyDescent="0.25">
      <c r="A536" s="63" t="s">
        <v>850</v>
      </c>
      <c r="B536" s="63" t="s">
        <v>851</v>
      </c>
      <c r="C536" s="36">
        <v>4301020400</v>
      </c>
      <c r="D536" s="653">
        <v>4640242180519</v>
      </c>
      <c r="E536" s="653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customHeight="1" x14ac:dyDescent="0.25">
      <c r="A539" s="667" t="s">
        <v>77</v>
      </c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  <c r="Z539" s="667"/>
      <c r="AA539" s="66"/>
      <c r="AB539" s="66"/>
      <c r="AC539" s="80"/>
    </row>
    <row r="540" spans="1:68" ht="27" customHeight="1" x14ac:dyDescent="0.25">
      <c r="A540" s="63" t="s">
        <v>853</v>
      </c>
      <c r="B540" s="63" t="s">
        <v>854</v>
      </c>
      <c r="C540" s="36">
        <v>4301031500</v>
      </c>
      <c r="D540" s="653">
        <v>4640242180595</v>
      </c>
      <c r="E540" s="653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25">
      <c r="A543" s="667" t="s">
        <v>86</v>
      </c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  <c r="Z543" s="667"/>
      <c r="AA543" s="66"/>
      <c r="AB543" s="66"/>
      <c r="AC543" s="80"/>
    </row>
    <row r="544" spans="1:68" ht="27" customHeight="1" x14ac:dyDescent="0.25">
      <c r="A544" s="63" t="s">
        <v>856</v>
      </c>
      <c r="B544" s="63" t="s">
        <v>857</v>
      </c>
      <c r="C544" s="36">
        <v>4301052043</v>
      </c>
      <c r="D544" s="653">
        <v>4640242180533</v>
      </c>
      <c r="E544" s="653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6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customHeight="1" x14ac:dyDescent="0.25">
      <c r="A547" s="667" t="s">
        <v>175</v>
      </c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  <c r="Z547" s="667"/>
      <c r="AA547" s="66"/>
      <c r="AB547" s="66"/>
      <c r="AC547" s="80"/>
    </row>
    <row r="548" spans="1:68" ht="27" customHeight="1" x14ac:dyDescent="0.25">
      <c r="A548" s="63" t="s">
        <v>859</v>
      </c>
      <c r="B548" s="63" t="s">
        <v>860</v>
      </c>
      <c r="C548" s="36">
        <v>4301060535</v>
      </c>
      <c r="D548" s="653">
        <v>4640242180120</v>
      </c>
      <c r="E548" s="65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5"/>
      <c r="R548" s="655"/>
      <c r="S548" s="655"/>
      <c r="T548" s="65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customHeight="1" x14ac:dyDescent="0.25">
      <c r="A549" s="63" t="s">
        <v>862</v>
      </c>
      <c r="B549" s="63" t="s">
        <v>863</v>
      </c>
      <c r="C549" s="36">
        <v>4301060536</v>
      </c>
      <c r="D549" s="653">
        <v>4640242180137</v>
      </c>
      <c r="E549" s="653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6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5"/>
      <c r="R549" s="655"/>
      <c r="S549" s="655"/>
      <c r="T549" s="656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x14ac:dyDescent="0.2">
      <c r="A551" s="660"/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1"/>
      <c r="P551" s="657" t="s">
        <v>40</v>
      </c>
      <c r="Q551" s="658"/>
      <c r="R551" s="658"/>
      <c r="S551" s="658"/>
      <c r="T551" s="658"/>
      <c r="U551" s="658"/>
      <c r="V551" s="659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customHeight="1" x14ac:dyDescent="0.25">
      <c r="A552" s="671" t="s">
        <v>865</v>
      </c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5"/>
      <c r="AB552" s="65"/>
      <c r="AC552" s="79"/>
    </row>
    <row r="553" spans="1:68" ht="14.25" customHeight="1" x14ac:dyDescent="0.25">
      <c r="A553" s="667" t="s">
        <v>157</v>
      </c>
      <c r="B553" s="667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6"/>
      <c r="AB553" s="66"/>
      <c r="AC553" s="80"/>
    </row>
    <row r="554" spans="1:68" ht="27" customHeight="1" x14ac:dyDescent="0.25">
      <c r="A554" s="63" t="s">
        <v>866</v>
      </c>
      <c r="B554" s="63" t="s">
        <v>867</v>
      </c>
      <c r="C554" s="36">
        <v>4301020428</v>
      </c>
      <c r="D554" s="653">
        <v>4640242180090</v>
      </c>
      <c r="E554" s="653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5"/>
      <c r="R554" s="655"/>
      <c r="S554" s="655"/>
      <c r="T554" s="656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customHeight="1" x14ac:dyDescent="0.25">
      <c r="A555" s="63" t="s">
        <v>869</v>
      </c>
      <c r="B555" s="63" t="s">
        <v>870</v>
      </c>
      <c r="C555" s="36">
        <v>4301020441</v>
      </c>
      <c r="D555" s="653">
        <v>4680115889798</v>
      </c>
      <c r="E555" s="653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654" t="s">
        <v>871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x14ac:dyDescent="0.2">
      <c r="A556" s="660"/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1"/>
      <c r="P556" s="657" t="s">
        <v>40</v>
      </c>
      <c r="Q556" s="658"/>
      <c r="R556" s="658"/>
      <c r="S556" s="658"/>
      <c r="T556" s="658"/>
      <c r="U556" s="658"/>
      <c r="V556" s="65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x14ac:dyDescent="0.2">
      <c r="A557" s="660"/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1"/>
      <c r="P557" s="657" t="s">
        <v>40</v>
      </c>
      <c r="Q557" s="658"/>
      <c r="R557" s="658"/>
      <c r="S557" s="658"/>
      <c r="T557" s="658"/>
      <c r="U557" s="658"/>
      <c r="V557" s="65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660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5"/>
      <c r="P558" s="662" t="s">
        <v>33</v>
      </c>
      <c r="Q558" s="663"/>
      <c r="R558" s="663"/>
      <c r="S558" s="663"/>
      <c r="T558" s="663"/>
      <c r="U558" s="663"/>
      <c r="V558" s="664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0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0</v>
      </c>
      <c r="Z558" s="42"/>
      <c r="AA558" s="67"/>
      <c r="AB558" s="67"/>
      <c r="AC558" s="67"/>
    </row>
    <row r="559" spans="1:68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5"/>
      <c r="P559" s="662" t="s">
        <v>34</v>
      </c>
      <c r="Q559" s="663"/>
      <c r="R559" s="663"/>
      <c r="S559" s="663"/>
      <c r="T559" s="663"/>
      <c r="U559" s="663"/>
      <c r="V559" s="664"/>
      <c r="W559" s="42" t="s">
        <v>0</v>
      </c>
      <c r="X559" s="43">
        <f>IFERROR(SUM(BM22:BM555),"0")</f>
        <v>0</v>
      </c>
      <c r="Y559" s="43">
        <f>IFERROR(SUM(BN22:BN555),"0")</f>
        <v>0</v>
      </c>
      <c r="Z559" s="42"/>
      <c r="AA559" s="67"/>
      <c r="AB559" s="67"/>
      <c r="AC559" s="67"/>
    </row>
    <row r="560" spans="1:68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5"/>
      <c r="P560" s="662" t="s">
        <v>35</v>
      </c>
      <c r="Q560" s="663"/>
      <c r="R560" s="663"/>
      <c r="S560" s="663"/>
      <c r="T560" s="663"/>
      <c r="U560" s="663"/>
      <c r="V560" s="664"/>
      <c r="W560" s="42" t="s">
        <v>20</v>
      </c>
      <c r="X560" s="44">
        <f>ROUNDUP(SUM(BO22:BO555),0)</f>
        <v>0</v>
      </c>
      <c r="Y560" s="44">
        <f>ROUNDUP(SUM(BP22:BP555),0)</f>
        <v>0</v>
      </c>
      <c r="Z560" s="42"/>
      <c r="AA560" s="67"/>
      <c r="AB560" s="67"/>
      <c r="AC560" s="67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36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GrossWeightTotal+PalletQtyTotal*25</f>
        <v>0</v>
      </c>
      <c r="Y561" s="43">
        <f>GrossWeightTotalR+PalletQtyTotalR*25</f>
        <v>0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37</v>
      </c>
      <c r="Q562" s="663"/>
      <c r="R562" s="663"/>
      <c r="S562" s="663"/>
      <c r="T562" s="663"/>
      <c r="U562" s="663"/>
      <c r="V562" s="664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0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0</v>
      </c>
      <c r="Z562" s="42"/>
      <c r="AA562" s="67"/>
      <c r="AB562" s="67"/>
      <c r="AC562" s="67"/>
    </row>
    <row r="563" spans="1:32" ht="14.25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38</v>
      </c>
      <c r="Q563" s="663"/>
      <c r="R563" s="663"/>
      <c r="S563" s="663"/>
      <c r="T563" s="663"/>
      <c r="U563" s="663"/>
      <c r="V563" s="664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0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650" t="s">
        <v>120</v>
      </c>
      <c r="E565" s="650" t="s">
        <v>120</v>
      </c>
      <c r="F565" s="650" t="s">
        <v>120</v>
      </c>
      <c r="G565" s="650" t="s">
        <v>120</v>
      </c>
      <c r="H565" s="650" t="s">
        <v>120</v>
      </c>
      <c r="I565" s="650" t="s">
        <v>120</v>
      </c>
      <c r="J565" s="650" t="s">
        <v>120</v>
      </c>
      <c r="K565" s="650" t="s">
        <v>344</v>
      </c>
      <c r="L565" s="650" t="s">
        <v>344</v>
      </c>
      <c r="M565" s="650" t="s">
        <v>344</v>
      </c>
      <c r="N565" s="666"/>
      <c r="O565" s="650" t="s">
        <v>344</v>
      </c>
      <c r="P565" s="650" t="s">
        <v>344</v>
      </c>
      <c r="Q565" s="650" t="s">
        <v>344</v>
      </c>
      <c r="R565" s="650" t="s">
        <v>344</v>
      </c>
      <c r="S565" s="650" t="s">
        <v>344</v>
      </c>
      <c r="T565" s="650" t="s">
        <v>344</v>
      </c>
      <c r="U565" s="650" t="s">
        <v>344</v>
      </c>
      <c r="V565" s="650" t="s">
        <v>344</v>
      </c>
      <c r="W565" s="650" t="s">
        <v>697</v>
      </c>
      <c r="X565" s="650" t="s">
        <v>697</v>
      </c>
      <c r="Y565" s="650" t="s">
        <v>763</v>
      </c>
      <c r="Z565" s="650" t="s">
        <v>763</v>
      </c>
      <c r="AA565" s="85" t="s">
        <v>799</v>
      </c>
      <c r="AB565" s="650" t="s">
        <v>846</v>
      </c>
      <c r="AC565" s="650" t="s">
        <v>846</v>
      </c>
      <c r="AF565" s="1"/>
    </row>
    <row r="566" spans="1:32" ht="14.25" customHeight="1" thickTop="1" x14ac:dyDescent="0.2">
      <c r="A566" s="651" t="s">
        <v>10</v>
      </c>
      <c r="B566" s="650" t="s">
        <v>76</v>
      </c>
      <c r="C566" s="650" t="s">
        <v>104</v>
      </c>
      <c r="D566" s="650" t="s">
        <v>121</v>
      </c>
      <c r="E566" s="650" t="s">
        <v>137</v>
      </c>
      <c r="F566" s="650" t="s">
        <v>183</v>
      </c>
      <c r="G566" s="650" t="s">
        <v>207</v>
      </c>
      <c r="H566" s="650" t="s">
        <v>247</v>
      </c>
      <c r="I566" s="650" t="s">
        <v>260</v>
      </c>
      <c r="J566" s="650" t="s">
        <v>120</v>
      </c>
      <c r="K566" s="650" t="s">
        <v>345</v>
      </c>
      <c r="L566" s="650" t="s">
        <v>366</v>
      </c>
      <c r="M566" s="650" t="s">
        <v>440</v>
      </c>
      <c r="N566" s="1"/>
      <c r="O566" s="650" t="s">
        <v>508</v>
      </c>
      <c r="P566" s="650" t="s">
        <v>541</v>
      </c>
      <c r="Q566" s="650" t="s">
        <v>557</v>
      </c>
      <c r="R566" s="650" t="s">
        <v>566</v>
      </c>
      <c r="S566" s="650" t="s">
        <v>587</v>
      </c>
      <c r="T566" s="650" t="s">
        <v>596</v>
      </c>
      <c r="U566" s="650" t="s">
        <v>680</v>
      </c>
      <c r="V566" s="650" t="s">
        <v>687</v>
      </c>
      <c r="W566" s="650" t="s">
        <v>698</v>
      </c>
      <c r="X566" s="650" t="s">
        <v>747</v>
      </c>
      <c r="Y566" s="650" t="s">
        <v>764</v>
      </c>
      <c r="Z566" s="650" t="s">
        <v>787</v>
      </c>
      <c r="AA566" s="650" t="s">
        <v>799</v>
      </c>
      <c r="AB566" s="650" t="s">
        <v>846</v>
      </c>
      <c r="AC566" s="650" t="s">
        <v>865</v>
      </c>
      <c r="AF566" s="1"/>
    </row>
    <row r="567" spans="1:32" ht="13.5" thickBot="1" x14ac:dyDescent="0.25">
      <c r="A567" s="652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0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0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2">
        <f>IFERROR(Y532*1,"0")+IFERROR(Y536*1,"0")+IFERROR(Y540*1,"0")+IFERROR(Y544*1,"0")+IFERROR(Y548*1,"0")+IFERROR(Y549*1,"0")</f>
        <v>0</v>
      </c>
      <c r="AC568" s="52">
        <f>IFERROR(Y554*1,"0")+IFERROR(Y555*1,"0")</f>
        <v>0</v>
      </c>
      <c r="AF568" s="1"/>
    </row>
  </sheetData>
  <sheetProtection algorithmName="SHA-512" hashValue="wBCMApqsjMlwwSppTiXbbAyqDEKGgahPqJOJwzQYtLi6V+FuWlSznwumpUC/AQKcUu/S1N+s4561lKq6+a6Snw==" saltValue="6w9IpDUZLvOvK+YESxa8Z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Qx25jajWNY+dH4V0aKMae6nFzFxcd8ChuTBJFc76d6VQNDvht1+zM9so6oJ/gsQ0OP0bQJnMuDE4LhBq6D/7ow==" saltValue="fasmiMp4nBeLSBFZhMiMd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1174</vt:i4>
      </vt:variant>
    </vt:vector>
  </HeadingPairs>
  <TitlesOfParts>
    <vt:vector size="117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2026-09-10T13:00:37Z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