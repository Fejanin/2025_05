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FE1D300A-F224-4F76-8F3E-EEF66E4EE80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P557" i="2"/>
  <c r="Y554" i="2"/>
  <c r="X554" i="2"/>
  <c r="X553" i="2"/>
  <c r="BP552" i="2"/>
  <c r="BO552" i="2"/>
  <c r="BM552" i="2"/>
  <c r="Y552" i="2"/>
  <c r="BN552" i="2" s="1"/>
  <c r="P552" i="2"/>
  <c r="BO551" i="2"/>
  <c r="BM551" i="2"/>
  <c r="Y551" i="2"/>
  <c r="P551" i="2"/>
  <c r="Y549" i="2"/>
  <c r="X549" i="2"/>
  <c r="X548" i="2"/>
  <c r="BO547" i="2"/>
  <c r="BM547" i="2"/>
  <c r="Y547" i="2"/>
  <c r="Y548" i="2" s="1"/>
  <c r="P547" i="2"/>
  <c r="X545" i="2"/>
  <c r="Y544" i="2"/>
  <c r="X544" i="2"/>
  <c r="BO543" i="2"/>
  <c r="BN543" i="2"/>
  <c r="BM543" i="2"/>
  <c r="Y543" i="2"/>
  <c r="Z543" i="2" s="1"/>
  <c r="Z544" i="2" s="1"/>
  <c r="P543" i="2"/>
  <c r="X541" i="2"/>
  <c r="X540" i="2"/>
  <c r="BO539" i="2"/>
  <c r="BM539" i="2"/>
  <c r="Z539" i="2"/>
  <c r="Z540" i="2" s="1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N526" i="2"/>
  <c r="BM526" i="2"/>
  <c r="Y526" i="2"/>
  <c r="Z526" i="2" s="1"/>
  <c r="P526" i="2"/>
  <c r="BO525" i="2"/>
  <c r="BM525" i="2"/>
  <c r="Y525" i="2"/>
  <c r="P525" i="2"/>
  <c r="BP524" i="2"/>
  <c r="BO524" i="2"/>
  <c r="BN524" i="2"/>
  <c r="BM524" i="2"/>
  <c r="Z524" i="2"/>
  <c r="Y524" i="2"/>
  <c r="P524" i="2"/>
  <c r="BO523" i="2"/>
  <c r="BM523" i="2"/>
  <c r="Y523" i="2"/>
  <c r="BP523" i="2" s="1"/>
  <c r="P523" i="2"/>
  <c r="X521" i="2"/>
  <c r="Y520" i="2"/>
  <c r="X520" i="2"/>
  <c r="BO519" i="2"/>
  <c r="BN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N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N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P506" i="2"/>
  <c r="BO506" i="2"/>
  <c r="BM506" i="2"/>
  <c r="Y506" i="2"/>
  <c r="P506" i="2"/>
  <c r="BO505" i="2"/>
  <c r="BM505" i="2"/>
  <c r="Y505" i="2"/>
  <c r="P505" i="2"/>
  <c r="X501" i="2"/>
  <c r="X500" i="2"/>
  <c r="BO499" i="2"/>
  <c r="BM499" i="2"/>
  <c r="Y499" i="2"/>
  <c r="BP499" i="2" s="1"/>
  <c r="P499" i="2"/>
  <c r="BO498" i="2"/>
  <c r="BM498" i="2"/>
  <c r="Y498" i="2"/>
  <c r="Y500" i="2" s="1"/>
  <c r="P498" i="2"/>
  <c r="BO497" i="2"/>
  <c r="BN497" i="2"/>
  <c r="BM497" i="2"/>
  <c r="Y497" i="2"/>
  <c r="Z497" i="2" s="1"/>
  <c r="P497" i="2"/>
  <c r="X495" i="2"/>
  <c r="X494" i="2"/>
  <c r="BO493" i="2"/>
  <c r="BM493" i="2"/>
  <c r="Y493" i="2"/>
  <c r="P493" i="2"/>
  <c r="X490" i="2"/>
  <c r="X489" i="2"/>
  <c r="BO488" i="2"/>
  <c r="BM488" i="2"/>
  <c r="Y488" i="2"/>
  <c r="BP488" i="2" s="1"/>
  <c r="P488" i="2"/>
  <c r="BO487" i="2"/>
  <c r="BM487" i="2"/>
  <c r="Y487" i="2"/>
  <c r="Y490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Z481" i="2" s="1"/>
  <c r="P481" i="2"/>
  <c r="BO480" i="2"/>
  <c r="BM480" i="2"/>
  <c r="Y480" i="2"/>
  <c r="P480" i="2"/>
  <c r="BO479" i="2"/>
  <c r="BN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Z472" i="2" s="1"/>
  <c r="P472" i="2"/>
  <c r="BO471" i="2"/>
  <c r="BM471" i="2"/>
  <c r="Y471" i="2"/>
  <c r="BP471" i="2" s="1"/>
  <c r="P471" i="2"/>
  <c r="BO470" i="2"/>
  <c r="BM470" i="2"/>
  <c r="Y470" i="2"/>
  <c r="Y473" i="2" s="1"/>
  <c r="P470" i="2"/>
  <c r="X468" i="2"/>
  <c r="X467" i="2"/>
  <c r="BO466" i="2"/>
  <c r="BM466" i="2"/>
  <c r="Y466" i="2"/>
  <c r="P466" i="2"/>
  <c r="X464" i="2"/>
  <c r="Y463" i="2"/>
  <c r="X463" i="2"/>
  <c r="BO462" i="2"/>
  <c r="BN462" i="2"/>
  <c r="BM462" i="2"/>
  <c r="Y462" i="2"/>
  <c r="Z462" i="2" s="1"/>
  <c r="P462" i="2"/>
  <c r="BO461" i="2"/>
  <c r="BM461" i="2"/>
  <c r="Y461" i="2"/>
  <c r="P461" i="2"/>
  <c r="X458" i="2"/>
  <c r="X457" i="2"/>
  <c r="BO456" i="2"/>
  <c r="BN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Z445" i="2" s="1"/>
  <c r="P445" i="2"/>
  <c r="BO444" i="2"/>
  <c r="BN444" i="2"/>
  <c r="BM444" i="2"/>
  <c r="Y444" i="2"/>
  <c r="BP444" i="2" s="1"/>
  <c r="P444" i="2"/>
  <c r="BO443" i="2"/>
  <c r="BM443" i="2"/>
  <c r="Y443" i="2"/>
  <c r="P443" i="2"/>
  <c r="X441" i="2"/>
  <c r="X440" i="2"/>
  <c r="BP439" i="2"/>
  <c r="BO439" i="2"/>
  <c r="BM439" i="2"/>
  <c r="Y439" i="2"/>
  <c r="P439" i="2"/>
  <c r="BO438" i="2"/>
  <c r="BM438" i="2"/>
  <c r="Y438" i="2"/>
  <c r="BP438" i="2" s="1"/>
  <c r="P438" i="2"/>
  <c r="BO437" i="2"/>
  <c r="BN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N434" i="2"/>
  <c r="BM434" i="2"/>
  <c r="Y434" i="2"/>
  <c r="BP434" i="2" s="1"/>
  <c r="P434" i="2"/>
  <c r="BO433" i="2"/>
  <c r="BN433" i="2"/>
  <c r="BM433" i="2"/>
  <c r="Z433" i="2"/>
  <c r="Y433" i="2"/>
  <c r="BP433" i="2" s="1"/>
  <c r="P433" i="2"/>
  <c r="BO432" i="2"/>
  <c r="BM432" i="2"/>
  <c r="Y432" i="2"/>
  <c r="Z432" i="2" s="1"/>
  <c r="P432" i="2"/>
  <c r="X428" i="2"/>
  <c r="X427" i="2"/>
  <c r="BO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P424" i="2"/>
  <c r="X421" i="2"/>
  <c r="Y420" i="2"/>
  <c r="X420" i="2"/>
  <c r="BO419" i="2"/>
  <c r="BN419" i="2"/>
  <c r="BM419" i="2"/>
  <c r="Y419" i="2"/>
  <c r="BP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Y414" i="2" s="1"/>
  <c r="P411" i="2"/>
  <c r="X409" i="2"/>
  <c r="X408" i="2"/>
  <c r="BO407" i="2"/>
  <c r="BN407" i="2"/>
  <c r="BM407" i="2"/>
  <c r="Y407" i="2"/>
  <c r="BP407" i="2" s="1"/>
  <c r="P407" i="2"/>
  <c r="BO406" i="2"/>
  <c r="BM406" i="2"/>
  <c r="Y406" i="2"/>
  <c r="P406" i="2"/>
  <c r="BO405" i="2"/>
  <c r="BM405" i="2"/>
  <c r="Y405" i="2"/>
  <c r="BP405" i="2" s="1"/>
  <c r="P405" i="2"/>
  <c r="X403" i="2"/>
  <c r="X402" i="2"/>
  <c r="BO401" i="2"/>
  <c r="BM401" i="2"/>
  <c r="Y401" i="2"/>
  <c r="P401" i="2"/>
  <c r="BP400" i="2"/>
  <c r="BO400" i="2"/>
  <c r="BM400" i="2"/>
  <c r="Y400" i="2"/>
  <c r="BN400" i="2" s="1"/>
  <c r="P400" i="2"/>
  <c r="BO399" i="2"/>
  <c r="BM399" i="2"/>
  <c r="Y399" i="2"/>
  <c r="Z399" i="2" s="1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BP394" i="2" s="1"/>
  <c r="P394" i="2"/>
  <c r="BO393" i="2"/>
  <c r="BN393" i="2"/>
  <c r="BM393" i="2"/>
  <c r="Y393" i="2"/>
  <c r="Z393" i="2" s="1"/>
  <c r="P393" i="2"/>
  <c r="BO392" i="2"/>
  <c r="BM392" i="2"/>
  <c r="Y392" i="2"/>
  <c r="P392" i="2"/>
  <c r="X390" i="2"/>
  <c r="X389" i="2"/>
  <c r="BO388" i="2"/>
  <c r="BM388" i="2"/>
  <c r="Y388" i="2"/>
  <c r="Z388" i="2" s="1"/>
  <c r="P388" i="2"/>
  <c r="BO387" i="2"/>
  <c r="BM387" i="2"/>
  <c r="Y387" i="2"/>
  <c r="Y390" i="2" s="1"/>
  <c r="P387" i="2"/>
  <c r="BO386" i="2"/>
  <c r="BN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N378" i="2"/>
  <c r="BM378" i="2"/>
  <c r="Y378" i="2"/>
  <c r="Z378" i="2" s="1"/>
  <c r="P378" i="2"/>
  <c r="BO377" i="2"/>
  <c r="BM377" i="2"/>
  <c r="Y377" i="2"/>
  <c r="P377" i="2"/>
  <c r="BP376" i="2"/>
  <c r="BO376" i="2"/>
  <c r="BN376" i="2"/>
  <c r="BM376" i="2"/>
  <c r="Z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N366" i="2"/>
  <c r="BM366" i="2"/>
  <c r="Y366" i="2"/>
  <c r="BP366" i="2" s="1"/>
  <c r="P366" i="2"/>
  <c r="BO365" i="2"/>
  <c r="BM365" i="2"/>
  <c r="Y365" i="2"/>
  <c r="BP365" i="2" s="1"/>
  <c r="P365" i="2"/>
  <c r="X362" i="2"/>
  <c r="X361" i="2"/>
  <c r="BO360" i="2"/>
  <c r="BM360" i="2"/>
  <c r="Y360" i="2"/>
  <c r="BP360" i="2" s="1"/>
  <c r="P360" i="2"/>
  <c r="BO359" i="2"/>
  <c r="BM359" i="2"/>
  <c r="Y359" i="2"/>
  <c r="BP359" i="2" s="1"/>
  <c r="P359" i="2"/>
  <c r="BO358" i="2"/>
  <c r="BN358" i="2"/>
  <c r="BM358" i="2"/>
  <c r="Y358" i="2"/>
  <c r="Z358" i="2" s="1"/>
  <c r="P358" i="2"/>
  <c r="X355" i="2"/>
  <c r="X354" i="2"/>
  <c r="BO353" i="2"/>
  <c r="BN353" i="2"/>
  <c r="BM353" i="2"/>
  <c r="Y353" i="2"/>
  <c r="BP353" i="2" s="1"/>
  <c r="P353" i="2"/>
  <c r="BO352" i="2"/>
  <c r="BM352" i="2"/>
  <c r="Y352" i="2"/>
  <c r="Z352" i="2" s="1"/>
  <c r="P352" i="2"/>
  <c r="X350" i="2"/>
  <c r="X349" i="2"/>
  <c r="BO348" i="2"/>
  <c r="BM348" i="2"/>
  <c r="Y348" i="2"/>
  <c r="P348" i="2"/>
  <c r="BP347" i="2"/>
  <c r="BO347" i="2"/>
  <c r="BN347" i="2"/>
  <c r="BM347" i="2"/>
  <c r="Z347" i="2"/>
  <c r="Y347" i="2"/>
  <c r="P347" i="2"/>
  <c r="BP346" i="2"/>
  <c r="BO346" i="2"/>
  <c r="BM346" i="2"/>
  <c r="Y346" i="2"/>
  <c r="BN346" i="2" s="1"/>
  <c r="P346" i="2"/>
  <c r="BO345" i="2"/>
  <c r="BM345" i="2"/>
  <c r="Y345" i="2"/>
  <c r="P345" i="2"/>
  <c r="BO344" i="2"/>
  <c r="BN344" i="2"/>
  <c r="BM344" i="2"/>
  <c r="Y344" i="2"/>
  <c r="BP344" i="2" s="1"/>
  <c r="P344" i="2"/>
  <c r="X341" i="2"/>
  <c r="X340" i="2"/>
  <c r="BO339" i="2"/>
  <c r="BM339" i="2"/>
  <c r="Y339" i="2"/>
  <c r="BP339" i="2" s="1"/>
  <c r="P339" i="2"/>
  <c r="BO338" i="2"/>
  <c r="BM338" i="2"/>
  <c r="Y338" i="2"/>
  <c r="Z338" i="2" s="1"/>
  <c r="P338" i="2"/>
  <c r="BO337" i="2"/>
  <c r="BM337" i="2"/>
  <c r="Y337" i="2"/>
  <c r="P337" i="2"/>
  <c r="X334" i="2"/>
  <c r="X333" i="2"/>
  <c r="BO332" i="2"/>
  <c r="BN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Z328" i="2"/>
  <c r="Y328" i="2"/>
  <c r="P328" i="2"/>
  <c r="BO327" i="2"/>
  <c r="BM327" i="2"/>
  <c r="Y327" i="2"/>
  <c r="Z327" i="2" s="1"/>
  <c r="P327" i="2"/>
  <c r="X324" i="2"/>
  <c r="X323" i="2"/>
  <c r="BO322" i="2"/>
  <c r="BM322" i="2"/>
  <c r="Y322" i="2"/>
  <c r="BP322" i="2" s="1"/>
  <c r="P322" i="2"/>
  <c r="X320" i="2"/>
  <c r="X319" i="2"/>
  <c r="BO318" i="2"/>
  <c r="BM318" i="2"/>
  <c r="Z318" i="2"/>
  <c r="Z319" i="2" s="1"/>
  <c r="Y318" i="2"/>
  <c r="Y319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N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N304" i="2"/>
  <c r="BM304" i="2"/>
  <c r="Y304" i="2"/>
  <c r="Z304" i="2" s="1"/>
  <c r="P304" i="2"/>
  <c r="X301" i="2"/>
  <c r="X300" i="2"/>
  <c r="BO299" i="2"/>
  <c r="BM299" i="2"/>
  <c r="Y299" i="2"/>
  <c r="P299" i="2"/>
  <c r="BP298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BO291" i="2"/>
  <c r="BN291" i="2"/>
  <c r="BM291" i="2"/>
  <c r="Y291" i="2"/>
  <c r="Z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BP287" i="2" s="1"/>
  <c r="P287" i="2"/>
  <c r="BP286" i="2"/>
  <c r="BO286" i="2"/>
  <c r="BN286" i="2"/>
  <c r="BM286" i="2"/>
  <c r="Z286" i="2"/>
  <c r="Y286" i="2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Z283" i="2" s="1"/>
  <c r="P283" i="2"/>
  <c r="X281" i="2"/>
  <c r="X280" i="2"/>
  <c r="BP279" i="2"/>
  <c r="BO279" i="2"/>
  <c r="BM279" i="2"/>
  <c r="Y279" i="2"/>
  <c r="BN279" i="2" s="1"/>
  <c r="P279" i="2"/>
  <c r="BP278" i="2"/>
  <c r="BO278" i="2"/>
  <c r="BM278" i="2"/>
  <c r="Y278" i="2"/>
  <c r="P278" i="2"/>
  <c r="BO277" i="2"/>
  <c r="BM277" i="2"/>
  <c r="Z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N273" i="2"/>
  <c r="BM273" i="2"/>
  <c r="Y273" i="2"/>
  <c r="Z273" i="2" s="1"/>
  <c r="P273" i="2"/>
  <c r="BO272" i="2"/>
  <c r="BM272" i="2"/>
  <c r="Y272" i="2"/>
  <c r="P272" i="2"/>
  <c r="Y270" i="2"/>
  <c r="X270" i="2"/>
  <c r="X269" i="2"/>
  <c r="BP268" i="2"/>
  <c r="BO268" i="2"/>
  <c r="BM268" i="2"/>
  <c r="Y268" i="2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Z262" i="2"/>
  <c r="Y262" i="2"/>
  <c r="P262" i="2"/>
  <c r="Y259" i="2"/>
  <c r="X259" i="2"/>
  <c r="X258" i="2"/>
  <c r="BP257" i="2"/>
  <c r="BO257" i="2"/>
  <c r="BM257" i="2"/>
  <c r="Y257" i="2"/>
  <c r="BN257" i="2" s="1"/>
  <c r="P257" i="2"/>
  <c r="Y255" i="2"/>
  <c r="X255" i="2"/>
  <c r="X254" i="2"/>
  <c r="BP253" i="2"/>
  <c r="BO253" i="2"/>
  <c r="BM253" i="2"/>
  <c r="Z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P247" i="2"/>
  <c r="BO246" i="2"/>
  <c r="BN246" i="2"/>
  <c r="BM246" i="2"/>
  <c r="Y246" i="2"/>
  <c r="BP246" i="2" s="1"/>
  <c r="P246" i="2"/>
  <c r="BP245" i="2"/>
  <c r="BO245" i="2"/>
  <c r="BM245" i="2"/>
  <c r="Y245" i="2"/>
  <c r="P245" i="2"/>
  <c r="BO244" i="2"/>
  <c r="BM244" i="2"/>
  <c r="Z244" i="2"/>
  <c r="Y244" i="2"/>
  <c r="BP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N240" i="2"/>
  <c r="BM240" i="2"/>
  <c r="Y240" i="2"/>
  <c r="Z240" i="2" s="1"/>
  <c r="P240" i="2"/>
  <c r="BO239" i="2"/>
  <c r="BM239" i="2"/>
  <c r="Y239" i="2"/>
  <c r="P239" i="2"/>
  <c r="X237" i="2"/>
  <c r="X236" i="2"/>
  <c r="BO235" i="2"/>
  <c r="BN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M233" i="2"/>
  <c r="Z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P230" i="2"/>
  <c r="BO230" i="2"/>
  <c r="BM230" i="2"/>
  <c r="Y230" i="2"/>
  <c r="P230" i="2"/>
  <c r="BO229" i="2"/>
  <c r="BM229" i="2"/>
  <c r="Y229" i="2"/>
  <c r="P229" i="2"/>
  <c r="BO228" i="2"/>
  <c r="BN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N225" i="2"/>
  <c r="BM225" i="2"/>
  <c r="Y225" i="2"/>
  <c r="BP225" i="2" s="1"/>
  <c r="P225" i="2"/>
  <c r="BO224" i="2"/>
  <c r="BM224" i="2"/>
  <c r="Z224" i="2"/>
  <c r="Y224" i="2"/>
  <c r="P224" i="2"/>
  <c r="BO223" i="2"/>
  <c r="BM223" i="2"/>
  <c r="Z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BP217" i="2" s="1"/>
  <c r="P217" i="2"/>
  <c r="X214" i="2"/>
  <c r="X213" i="2"/>
  <c r="BP212" i="2"/>
  <c r="BO212" i="2"/>
  <c r="BM212" i="2"/>
  <c r="Z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P209" i="2"/>
  <c r="BO209" i="2"/>
  <c r="BM209" i="2"/>
  <c r="Y209" i="2"/>
  <c r="P209" i="2"/>
  <c r="BO208" i="2"/>
  <c r="BM208" i="2"/>
  <c r="Y208" i="2"/>
  <c r="P208" i="2"/>
  <c r="BO207" i="2"/>
  <c r="BN207" i="2"/>
  <c r="BM207" i="2"/>
  <c r="Y207" i="2"/>
  <c r="BP207" i="2" s="1"/>
  <c r="P207" i="2"/>
  <c r="BP206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N192" i="2" s="1"/>
  <c r="P192" i="2"/>
  <c r="BO191" i="2"/>
  <c r="BM191" i="2"/>
  <c r="Y191" i="2"/>
  <c r="P191" i="2"/>
  <c r="BO190" i="2"/>
  <c r="BN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N185" i="2"/>
  <c r="BM185" i="2"/>
  <c r="Y185" i="2"/>
  <c r="Z185" i="2" s="1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P181" i="2" s="1"/>
  <c r="P181" i="2"/>
  <c r="BP180" i="2"/>
  <c r="BO180" i="2"/>
  <c r="BN180" i="2"/>
  <c r="BM180" i="2"/>
  <c r="Z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Z176" i="2"/>
  <c r="Y176" i="2"/>
  <c r="P176" i="2"/>
  <c r="X174" i="2"/>
  <c r="X173" i="2"/>
  <c r="BO172" i="2"/>
  <c r="BM172" i="2"/>
  <c r="Y172" i="2"/>
  <c r="P172" i="2"/>
  <c r="BO171" i="2"/>
  <c r="BN171" i="2"/>
  <c r="BM171" i="2"/>
  <c r="Z171" i="2"/>
  <c r="Y171" i="2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N165" i="2"/>
  <c r="BM165" i="2"/>
  <c r="Y165" i="2"/>
  <c r="Z165" i="2" s="1"/>
  <c r="P165" i="2"/>
  <c r="BO164" i="2"/>
  <c r="BM164" i="2"/>
  <c r="Y164" i="2"/>
  <c r="P164" i="2"/>
  <c r="Y161" i="2"/>
  <c r="X161" i="2"/>
  <c r="X160" i="2"/>
  <c r="BO159" i="2"/>
  <c r="BM159" i="2"/>
  <c r="Y159" i="2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P150" i="2" s="1"/>
  <c r="P150" i="2"/>
  <c r="X147" i="2"/>
  <c r="X146" i="2"/>
  <c r="BO145" i="2"/>
  <c r="BN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Z139" i="2"/>
  <c r="Y139" i="2"/>
  <c r="BN139" i="2" s="1"/>
  <c r="P139" i="2"/>
  <c r="X137" i="2"/>
  <c r="X136" i="2"/>
  <c r="BO135" i="2"/>
  <c r="BM135" i="2"/>
  <c r="Z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P125" i="2"/>
  <c r="BO125" i="2"/>
  <c r="BM125" i="2"/>
  <c r="Y125" i="2"/>
  <c r="BN125" i="2" s="1"/>
  <c r="P125" i="2"/>
  <c r="BO124" i="2"/>
  <c r="BM124" i="2"/>
  <c r="Y124" i="2"/>
  <c r="P124" i="2"/>
  <c r="BP123" i="2"/>
  <c r="BO123" i="2"/>
  <c r="BM123" i="2"/>
  <c r="Z123" i="2"/>
  <c r="Y123" i="2"/>
  <c r="BN123" i="2" s="1"/>
  <c r="P123" i="2"/>
  <c r="BO122" i="2"/>
  <c r="BM122" i="2"/>
  <c r="Y122" i="2"/>
  <c r="BN122" i="2" s="1"/>
  <c r="P122" i="2"/>
  <c r="X120" i="2"/>
  <c r="X119" i="2"/>
  <c r="BP118" i="2"/>
  <c r="BO118" i="2"/>
  <c r="BM118" i="2"/>
  <c r="Y118" i="2"/>
  <c r="P118" i="2"/>
  <c r="BO117" i="2"/>
  <c r="BM117" i="2"/>
  <c r="Y117" i="2"/>
  <c r="P117" i="2"/>
  <c r="BO116" i="2"/>
  <c r="BM116" i="2"/>
  <c r="Y116" i="2"/>
  <c r="BN116" i="2" s="1"/>
  <c r="P116" i="2"/>
  <c r="X114" i="2"/>
  <c r="X113" i="2"/>
  <c r="BO112" i="2"/>
  <c r="BM112" i="2"/>
  <c r="Y112" i="2"/>
  <c r="BP112" i="2" s="1"/>
  <c r="P112" i="2"/>
  <c r="BO111" i="2"/>
  <c r="BN111" i="2"/>
  <c r="BM111" i="2"/>
  <c r="Y111" i="2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P105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N97" i="2"/>
  <c r="BM97" i="2"/>
  <c r="Y97" i="2"/>
  <c r="Z97" i="2" s="1"/>
  <c r="P97" i="2"/>
  <c r="BO96" i="2"/>
  <c r="BM96" i="2"/>
  <c r="Y96" i="2"/>
  <c r="Y101" i="2" s="1"/>
  <c r="P96" i="2"/>
  <c r="X94" i="2"/>
  <c r="X93" i="2"/>
  <c r="BO92" i="2"/>
  <c r="BN92" i="2"/>
  <c r="BM92" i="2"/>
  <c r="Y92" i="2"/>
  <c r="Z92" i="2" s="1"/>
  <c r="P92" i="2"/>
  <c r="BO91" i="2"/>
  <c r="BN91" i="2"/>
  <c r="BM91" i="2"/>
  <c r="Z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P83" i="2"/>
  <c r="BO82" i="2"/>
  <c r="BM82" i="2"/>
  <c r="Z82" i="2"/>
  <c r="Y82" i="2"/>
  <c r="P82" i="2"/>
  <c r="BO81" i="2"/>
  <c r="BN81" i="2"/>
  <c r="BM81" i="2"/>
  <c r="Y81" i="2"/>
  <c r="Z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Z72" i="2"/>
  <c r="Y72" i="2"/>
  <c r="BP72" i="2" s="1"/>
  <c r="P72" i="2"/>
  <c r="BO71" i="2"/>
  <c r="BM71" i="2"/>
  <c r="Y71" i="2"/>
  <c r="BN71" i="2" s="1"/>
  <c r="P71" i="2"/>
  <c r="BO70" i="2"/>
  <c r="BM70" i="2"/>
  <c r="Y70" i="2"/>
  <c r="Z70" i="2" s="1"/>
  <c r="P70" i="2"/>
  <c r="BP69" i="2"/>
  <c r="BO69" i="2"/>
  <c r="BN69" i="2"/>
  <c r="BM69" i="2"/>
  <c r="Z69" i="2"/>
  <c r="Y69" i="2"/>
  <c r="P69" i="2"/>
  <c r="BO68" i="2"/>
  <c r="BN68" i="2"/>
  <c r="BM68" i="2"/>
  <c r="Z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P63" i="2"/>
  <c r="BP62" i="2"/>
  <c r="BO62" i="2"/>
  <c r="BN62" i="2"/>
  <c r="BM62" i="2"/>
  <c r="Z62" i="2"/>
  <c r="Y62" i="2"/>
  <c r="P62" i="2"/>
  <c r="BO61" i="2"/>
  <c r="BM61" i="2"/>
  <c r="Y61" i="2"/>
  <c r="BN61" i="2" s="1"/>
  <c r="P61" i="2"/>
  <c r="BO60" i="2"/>
  <c r="BM60" i="2"/>
  <c r="Y60" i="2"/>
  <c r="BP60" i="2" s="1"/>
  <c r="P60" i="2"/>
  <c r="BP59" i="2"/>
  <c r="BO59" i="2"/>
  <c r="BN59" i="2"/>
  <c r="BM59" i="2"/>
  <c r="Z59" i="2"/>
  <c r="Y59" i="2"/>
  <c r="P59" i="2"/>
  <c r="BO58" i="2"/>
  <c r="BN58" i="2"/>
  <c r="BM58" i="2"/>
  <c r="Z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P49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P40" i="2"/>
  <c r="BO39" i="2"/>
  <c r="BN39" i="2"/>
  <c r="BM39" i="2"/>
  <c r="Y39" i="2"/>
  <c r="Z39" i="2" s="1"/>
  <c r="P39" i="2"/>
  <c r="BP38" i="2"/>
  <c r="BO38" i="2"/>
  <c r="BM38" i="2"/>
  <c r="Y38" i="2"/>
  <c r="BN38" i="2" s="1"/>
  <c r="P38" i="2"/>
  <c r="BO37" i="2"/>
  <c r="BM37" i="2"/>
  <c r="Y37" i="2"/>
  <c r="Z37" i="2" s="1"/>
  <c r="P37" i="2"/>
  <c r="Y33" i="2"/>
  <c r="X33" i="2"/>
  <c r="X32" i="2"/>
  <c r="X564" i="2" s="1"/>
  <c r="BO31" i="2"/>
  <c r="BM31" i="2"/>
  <c r="Y31" i="2"/>
  <c r="BP31" i="2" s="1"/>
  <c r="P31" i="2"/>
  <c r="BO30" i="2"/>
  <c r="BN30" i="2"/>
  <c r="BM30" i="2"/>
  <c r="Z30" i="2"/>
  <c r="Y30" i="2"/>
  <c r="BP30" i="2" s="1"/>
  <c r="P30" i="2"/>
  <c r="BO29" i="2"/>
  <c r="BN29" i="2"/>
  <c r="BM29" i="2"/>
  <c r="Y29" i="2"/>
  <c r="Z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P22" i="2"/>
  <c r="BO22" i="2"/>
  <c r="BN22" i="2"/>
  <c r="BM22" i="2"/>
  <c r="Z22" i="2"/>
  <c r="Y22" i="2"/>
  <c r="P22" i="2"/>
  <c r="H10" i="2"/>
  <c r="A9" i="2"/>
  <c r="D7" i="2"/>
  <c r="Q6" i="2"/>
  <c r="P2" i="2"/>
  <c r="Z24" i="2" l="1"/>
  <c r="BP39" i="2"/>
  <c r="BN41" i="2"/>
  <c r="BN70" i="2"/>
  <c r="Y94" i="2"/>
  <c r="BP97" i="2"/>
  <c r="Z159" i="2"/>
  <c r="Z160" i="2" s="1"/>
  <c r="Y160" i="2"/>
  <c r="BN159" i="2"/>
  <c r="BP179" i="2"/>
  <c r="BN179" i="2"/>
  <c r="Y219" i="2"/>
  <c r="Y249" i="2"/>
  <c r="Y264" i="2"/>
  <c r="BN276" i="2"/>
  <c r="BP276" i="2"/>
  <c r="Z276" i="2"/>
  <c r="Z314" i="2"/>
  <c r="Z315" i="2" s="1"/>
  <c r="Y315" i="2"/>
  <c r="BN314" i="2"/>
  <c r="Y316" i="2"/>
  <c r="BN345" i="2"/>
  <c r="Z345" i="2"/>
  <c r="Y428" i="2"/>
  <c r="BP424" i="2"/>
  <c r="Y467" i="2"/>
  <c r="Y468" i="2"/>
  <c r="BN466" i="2"/>
  <c r="Z466" i="2"/>
  <c r="Z467" i="2" s="1"/>
  <c r="Z529" i="2"/>
  <c r="BN529" i="2"/>
  <c r="BN23" i="2"/>
  <c r="Y25" i="2"/>
  <c r="BN47" i="2"/>
  <c r="Z48" i="2"/>
  <c r="BP48" i="2"/>
  <c r="Y51" i="2"/>
  <c r="BP61" i="2"/>
  <c r="Y85" i="2"/>
  <c r="Z88" i="2"/>
  <c r="BN90" i="2"/>
  <c r="Y93" i="2"/>
  <c r="BN106" i="2"/>
  <c r="BP108" i="2"/>
  <c r="Z112" i="2"/>
  <c r="BN172" i="2"/>
  <c r="BP172" i="2"/>
  <c r="Z179" i="2"/>
  <c r="Y194" i="2"/>
  <c r="Z191" i="2"/>
  <c r="Z209" i="2"/>
  <c r="BN209" i="2"/>
  <c r="Z245" i="2"/>
  <c r="BN245" i="2"/>
  <c r="Z278" i="2"/>
  <c r="BN278" i="2"/>
  <c r="Z298" i="2"/>
  <c r="Y300" i="2"/>
  <c r="BN298" i="2"/>
  <c r="BN307" i="2"/>
  <c r="BP307" i="2"/>
  <c r="Z307" i="2"/>
  <c r="BN401" i="2"/>
  <c r="BP401" i="2"/>
  <c r="Z401" i="2"/>
  <c r="Z449" i="2"/>
  <c r="BN449" i="2"/>
  <c r="BP41" i="2"/>
  <c r="BP70" i="2"/>
  <c r="BP122" i="2"/>
  <c r="Z122" i="2"/>
  <c r="H570" i="2"/>
  <c r="BN134" i="2"/>
  <c r="Y137" i="2"/>
  <c r="BP134" i="2"/>
  <c r="Y202" i="2"/>
  <c r="BP200" i="2"/>
  <c r="Z200" i="2"/>
  <c r="Z201" i="2" s="1"/>
  <c r="BN217" i="2"/>
  <c r="Y218" i="2"/>
  <c r="BP243" i="2"/>
  <c r="BN294" i="2"/>
  <c r="Z294" i="2"/>
  <c r="Y324" i="2"/>
  <c r="Y323" i="2"/>
  <c r="BN322" i="2"/>
  <c r="BN330" i="2"/>
  <c r="BP330" i="2"/>
  <c r="Z330" i="2"/>
  <c r="Z360" i="2"/>
  <c r="BN360" i="2"/>
  <c r="Z368" i="2"/>
  <c r="BN368" i="2"/>
  <c r="BN436" i="2"/>
  <c r="BP436" i="2"/>
  <c r="Y447" i="2"/>
  <c r="BN443" i="2"/>
  <c r="Z443" i="2"/>
  <c r="Y24" i="2"/>
  <c r="X562" i="2"/>
  <c r="Y32" i="2"/>
  <c r="BP29" i="2"/>
  <c r="Z47" i="2"/>
  <c r="BP50" i="2"/>
  <c r="Y52" i="2"/>
  <c r="BP71" i="2"/>
  <c r="BP81" i="2"/>
  <c r="BN88" i="2"/>
  <c r="Z90" i="2"/>
  <c r="BP92" i="2"/>
  <c r="Z106" i="2"/>
  <c r="BN108" i="2"/>
  <c r="BP109" i="2"/>
  <c r="BN109" i="2"/>
  <c r="BP111" i="2"/>
  <c r="Z111" i="2"/>
  <c r="Z118" i="2"/>
  <c r="BN118" i="2"/>
  <c r="Z134" i="2"/>
  <c r="Z136" i="2" s="1"/>
  <c r="Z144" i="2"/>
  <c r="Z146" i="2" s="1"/>
  <c r="BP145" i="2"/>
  <c r="Z145" i="2"/>
  <c r="BP159" i="2"/>
  <c r="BP182" i="2"/>
  <c r="BN191" i="2"/>
  <c r="Y201" i="2"/>
  <c r="BN206" i="2"/>
  <c r="Y213" i="2"/>
  <c r="BP224" i="2"/>
  <c r="BN224" i="2"/>
  <c r="Z230" i="2"/>
  <c r="BN230" i="2"/>
  <c r="Z243" i="2"/>
  <c r="Y265" i="2"/>
  <c r="BP267" i="2"/>
  <c r="Y269" i="2"/>
  <c r="Z268" i="2"/>
  <c r="BN268" i="2"/>
  <c r="BP314" i="2"/>
  <c r="Z371" i="2"/>
  <c r="BN371" i="2"/>
  <c r="Z439" i="2"/>
  <c r="BN439" i="2"/>
  <c r="Y453" i="2"/>
  <c r="Z506" i="2"/>
  <c r="BN506" i="2"/>
  <c r="BP529" i="2"/>
  <c r="Y536" i="2"/>
  <c r="Y537" i="2"/>
  <c r="BP283" i="2"/>
  <c r="BP327" i="2"/>
  <c r="Y333" i="2"/>
  <c r="BP338" i="2"/>
  <c r="BP388" i="2"/>
  <c r="Y409" i="2"/>
  <c r="BP472" i="2"/>
  <c r="BP481" i="2"/>
  <c r="BP116" i="2"/>
  <c r="Y119" i="2"/>
  <c r="Y126" i="2"/>
  <c r="BN135" i="2"/>
  <c r="BP165" i="2"/>
  <c r="Y174" i="2"/>
  <c r="BP185" i="2"/>
  <c r="BP192" i="2"/>
  <c r="BP235" i="2"/>
  <c r="BP240" i="2"/>
  <c r="Y254" i="2"/>
  <c r="BP273" i="2"/>
  <c r="BP291" i="2"/>
  <c r="Y301" i="2"/>
  <c r="BP304" i="2"/>
  <c r="Z310" i="2"/>
  <c r="BN318" i="2"/>
  <c r="Y320" i="2"/>
  <c r="Z344" i="2"/>
  <c r="Z353" i="2"/>
  <c r="Z354" i="2" s="1"/>
  <c r="Y361" i="2"/>
  <c r="Z366" i="2"/>
  <c r="BP369" i="2"/>
  <c r="BP378" i="2"/>
  <c r="Z419" i="2"/>
  <c r="Y421" i="2"/>
  <c r="Z425" i="2"/>
  <c r="Z434" i="2"/>
  <c r="Z437" i="2"/>
  <c r="BP456" i="2"/>
  <c r="X570" i="2"/>
  <c r="BP462" i="2"/>
  <c r="Y464" i="2"/>
  <c r="BP497" i="2"/>
  <c r="Y501" i="2"/>
  <c r="BP519" i="2"/>
  <c r="BP526" i="2"/>
  <c r="BP543" i="2"/>
  <c r="Z190" i="2"/>
  <c r="Z207" i="2"/>
  <c r="Z225" i="2"/>
  <c r="Z228" i="2"/>
  <c r="Z251" i="2"/>
  <c r="Y258" i="2"/>
  <c r="BN283" i="2"/>
  <c r="Z287" i="2"/>
  <c r="BP288" i="2"/>
  <c r="BN289" i="2"/>
  <c r="Z299" i="2"/>
  <c r="BP309" i="2"/>
  <c r="BN327" i="2"/>
  <c r="BP332" i="2"/>
  <c r="Y334" i="2"/>
  <c r="BN338" i="2"/>
  <c r="Z369" i="2"/>
  <c r="Z386" i="2"/>
  <c r="BN388" i="2"/>
  <c r="Y389" i="2"/>
  <c r="BP393" i="2"/>
  <c r="BN406" i="2"/>
  <c r="Z407" i="2"/>
  <c r="Z444" i="2"/>
  <c r="BN472" i="2"/>
  <c r="Z479" i="2"/>
  <c r="BN481" i="2"/>
  <c r="Z507" i="2"/>
  <c r="BP509" i="2"/>
  <c r="Z513" i="2"/>
  <c r="U570" i="2"/>
  <c r="Y127" i="2"/>
  <c r="BP153" i="2"/>
  <c r="BN153" i="2"/>
  <c r="BP221" i="2"/>
  <c r="BN221" i="2"/>
  <c r="L570" i="2"/>
  <c r="Y237" i="2"/>
  <c r="Y350" i="2"/>
  <c r="Y349" i="2"/>
  <c r="R570" i="2"/>
  <c r="Y403" i="2"/>
  <c r="BP399" i="2"/>
  <c r="Y402" i="2"/>
  <c r="BN399" i="2"/>
  <c r="BP348" i="2"/>
  <c r="BN348" i="2"/>
  <c r="Z348" i="2"/>
  <c r="BP510" i="2"/>
  <c r="BN510" i="2"/>
  <c r="C570" i="2"/>
  <c r="Y114" i="2"/>
  <c r="Y131" i="2"/>
  <c r="BP129" i="2"/>
  <c r="Y130" i="2"/>
  <c r="BN129" i="2"/>
  <c r="Z150" i="2"/>
  <c r="BN239" i="2"/>
  <c r="BP239" i="2"/>
  <c r="Z239" i="2"/>
  <c r="Z367" i="2"/>
  <c r="Z379" i="2"/>
  <c r="W570" i="2"/>
  <c r="Y484" i="2"/>
  <c r="BP480" i="2"/>
  <c r="BN480" i="2"/>
  <c r="Z480" i="2"/>
  <c r="Z570" i="2"/>
  <c r="Y495" i="2"/>
  <c r="BP493" i="2"/>
  <c r="Y494" i="2"/>
  <c r="BN493" i="2"/>
  <c r="BN525" i="2"/>
  <c r="BP525" i="2"/>
  <c r="Z525" i="2"/>
  <c r="Y280" i="2"/>
  <c r="Z493" i="2"/>
  <c r="Z494" i="2" s="1"/>
  <c r="AB570" i="2"/>
  <c r="Y541" i="2"/>
  <c r="Y540" i="2"/>
  <c r="BP539" i="2"/>
  <c r="BN539" i="2"/>
  <c r="Y415" i="2"/>
  <c r="BP411" i="2"/>
  <c r="Z57" i="2"/>
  <c r="Y79" i="2"/>
  <c r="Y78" i="2"/>
  <c r="Z104" i="2"/>
  <c r="BP107" i="2"/>
  <c r="BN107" i="2"/>
  <c r="Z107" i="2"/>
  <c r="Z124" i="2"/>
  <c r="BN150" i="2"/>
  <c r="Z186" i="2"/>
  <c r="Z234" i="2"/>
  <c r="Z274" i="2"/>
  <c r="BP292" i="2"/>
  <c r="BN292" i="2"/>
  <c r="Z339" i="2"/>
  <c r="BN367" i="2"/>
  <c r="BN379" i="2"/>
  <c r="Z394" i="2"/>
  <c r="Z411" i="2"/>
  <c r="Z414" i="2" s="1"/>
  <c r="BP435" i="2"/>
  <c r="BN435" i="2"/>
  <c r="BN455" i="2"/>
  <c r="BP455" i="2"/>
  <c r="Z455" i="2"/>
  <c r="Z457" i="2" s="1"/>
  <c r="Z116" i="2"/>
  <c r="BN144" i="2"/>
  <c r="Z166" i="2"/>
  <c r="BP171" i="2"/>
  <c r="Z183" i="2"/>
  <c r="BP191" i="2"/>
  <c r="Z210" i="2"/>
  <c r="Z231" i="2"/>
  <c r="BN251" i="2"/>
  <c r="BN277" i="2"/>
  <c r="Z292" i="2"/>
  <c r="BN310" i="2"/>
  <c r="BP345" i="2"/>
  <c r="Y362" i="2"/>
  <c r="S570" i="2"/>
  <c r="BN432" i="2"/>
  <c r="Z435" i="2"/>
  <c r="Y485" i="2"/>
  <c r="AC570" i="2"/>
  <c r="Y559" i="2"/>
  <c r="Y558" i="2"/>
  <c r="BP557" i="2"/>
  <c r="BN557" i="2"/>
  <c r="J9" i="2"/>
  <c r="F10" i="2"/>
  <c r="H9" i="2"/>
  <c r="A10" i="2"/>
  <c r="F9" i="2"/>
  <c r="BN57" i="2"/>
  <c r="Z60" i="2"/>
  <c r="BN63" i="2"/>
  <c r="BP63" i="2"/>
  <c r="Z63" i="2"/>
  <c r="BN104" i="2"/>
  <c r="Y120" i="2"/>
  <c r="BN124" i="2"/>
  <c r="BN186" i="2"/>
  <c r="Y214" i="2"/>
  <c r="BN234" i="2"/>
  <c r="Z246" i="2"/>
  <c r="BN274" i="2"/>
  <c r="Z289" i="2"/>
  <c r="BN339" i="2"/>
  <c r="BN394" i="2"/>
  <c r="Z406" i="2"/>
  <c r="BN411" i="2"/>
  <c r="BN507" i="2"/>
  <c r="Z557" i="2"/>
  <c r="Z558" i="2" s="1"/>
  <c r="BN82" i="2"/>
  <c r="BP37" i="2"/>
  <c r="Y142" i="2"/>
  <c r="Y141" i="2"/>
  <c r="BP144" i="2"/>
  <c r="BN166" i="2"/>
  <c r="BN183" i="2"/>
  <c r="BN210" i="2"/>
  <c r="BN231" i="2"/>
  <c r="Y354" i="2"/>
  <c r="Y355" i="2"/>
  <c r="BP432" i="2"/>
  <c r="Y474" i="2"/>
  <c r="BP470" i="2"/>
  <c r="Y489" i="2"/>
  <c r="BP487" i="2"/>
  <c r="Y521" i="2"/>
  <c r="BP517" i="2"/>
  <c r="BN77" i="2"/>
  <c r="BP82" i="2"/>
  <c r="Z27" i="2"/>
  <c r="BN60" i="2"/>
  <c r="Z98" i="2"/>
  <c r="BP124" i="2"/>
  <c r="Z151" i="2"/>
  <c r="BP151" i="2"/>
  <c r="BN151" i="2"/>
  <c r="BP450" i="2"/>
  <c r="BN450" i="2"/>
  <c r="Z470" i="2"/>
  <c r="Z487" i="2"/>
  <c r="Z517" i="2"/>
  <c r="Z178" i="2"/>
  <c r="Y312" i="2"/>
  <c r="BP305" i="2"/>
  <c r="O570" i="2"/>
  <c r="Z308" i="2"/>
  <c r="Y311" i="2"/>
  <c r="BP377" i="2"/>
  <c r="BN377" i="2"/>
  <c r="Z377" i="2"/>
  <c r="BP551" i="2"/>
  <c r="BN551" i="2"/>
  <c r="Y553" i="2"/>
  <c r="BP40" i="2"/>
  <c r="BN40" i="2"/>
  <c r="Z40" i="2"/>
  <c r="BN37" i="2"/>
  <c r="BP77" i="2"/>
  <c r="Z155" i="2"/>
  <c r="Z305" i="2"/>
  <c r="BN352" i="2"/>
  <c r="BP358" i="2"/>
  <c r="BP371" i="2"/>
  <c r="BP406" i="2"/>
  <c r="BN470" i="2"/>
  <c r="BN487" i="2"/>
  <c r="BN517" i="2"/>
  <c r="Y530" i="2"/>
  <c r="Z551" i="2"/>
  <c r="BN272" i="2"/>
  <c r="Y281" i="2"/>
  <c r="BP272" i="2"/>
  <c r="Z272" i="2"/>
  <c r="BN308" i="2"/>
  <c r="Y341" i="2"/>
  <c r="BP337" i="2"/>
  <c r="Y340" i="2"/>
  <c r="BN337" i="2"/>
  <c r="Z337" i="2"/>
  <c r="Q570" i="2"/>
  <c r="Y396" i="2"/>
  <c r="AA570" i="2"/>
  <c r="Y514" i="2"/>
  <c r="BN505" i="2"/>
  <c r="BP505" i="2"/>
  <c r="Z505" i="2"/>
  <c r="Y515" i="2"/>
  <c r="Z512" i="2"/>
  <c r="BN72" i="2"/>
  <c r="BP117" i="2"/>
  <c r="BN117" i="2"/>
  <c r="Z117" i="2"/>
  <c r="Y65" i="2"/>
  <c r="Y64" i="2"/>
  <c r="E570" i="2"/>
  <c r="BP55" i="2"/>
  <c r="BN55" i="2"/>
  <c r="BP139" i="2"/>
  <c r="BN155" i="2"/>
  <c r="J570" i="2"/>
  <c r="Y168" i="2"/>
  <c r="BN164" i="2"/>
  <c r="BP164" i="2"/>
  <c r="Z164" i="2"/>
  <c r="Y173" i="2"/>
  <c r="Y193" i="2"/>
  <c r="BN208" i="2"/>
  <c r="BP208" i="2"/>
  <c r="Z208" i="2"/>
  <c r="BN223" i="2"/>
  <c r="Z226" i="2"/>
  <c r="BN229" i="2"/>
  <c r="BP229" i="2"/>
  <c r="Z229" i="2"/>
  <c r="BP247" i="2"/>
  <c r="BN247" i="2"/>
  <c r="Z247" i="2"/>
  <c r="Y296" i="2"/>
  <c r="Y295" i="2"/>
  <c r="BP284" i="2"/>
  <c r="BP290" i="2"/>
  <c r="BN290" i="2"/>
  <c r="Z290" i="2"/>
  <c r="BN305" i="2"/>
  <c r="BP352" i="2"/>
  <c r="Y372" i="2"/>
  <c r="BP178" i="2"/>
  <c r="BN181" i="2"/>
  <c r="Z241" i="2"/>
  <c r="Z267" i="2"/>
  <c r="Z269" i="2" s="1"/>
  <c r="Z284" i="2"/>
  <c r="BP328" i="2"/>
  <c r="P570" i="2"/>
  <c r="Z331" i="2"/>
  <c r="BN381" i="2"/>
  <c r="Y440" i="2"/>
  <c r="Y446" i="2"/>
  <c r="BP445" i="2"/>
  <c r="BN445" i="2"/>
  <c r="Z482" i="2"/>
  <c r="BN512" i="2"/>
  <c r="Z527" i="2"/>
  <c r="BN28" i="2"/>
  <c r="BP28" i="2"/>
  <c r="Z28" i="2"/>
  <c r="Z49" i="2"/>
  <c r="BN140" i="2"/>
  <c r="BP140" i="2"/>
  <c r="Z140" i="2"/>
  <c r="Z141" i="2" s="1"/>
  <c r="BN152" i="2"/>
  <c r="BN226" i="2"/>
  <c r="BN244" i="2"/>
  <c r="BN287" i="2"/>
  <c r="BN299" i="2"/>
  <c r="BN387" i="2"/>
  <c r="BP387" i="2"/>
  <c r="Z387" i="2"/>
  <c r="Y457" i="2"/>
  <c r="BN27" i="2"/>
  <c r="BN98" i="2"/>
  <c r="Z181" i="2"/>
  <c r="BN184" i="2"/>
  <c r="BP184" i="2"/>
  <c r="Z184" i="2"/>
  <c r="BP27" i="2"/>
  <c r="Y74" i="2"/>
  <c r="Z55" i="2"/>
  <c r="Y84" i="2"/>
  <c r="BN67" i="2"/>
  <c r="Y73" i="2"/>
  <c r="Y100" i="2"/>
  <c r="BP96" i="2"/>
  <c r="BN96" i="2"/>
  <c r="Z96" i="2"/>
  <c r="Z109" i="2"/>
  <c r="Y236" i="2"/>
  <c r="BN241" i="2"/>
  <c r="BN267" i="2"/>
  <c r="Z279" i="2"/>
  <c r="BN284" i="2"/>
  <c r="BN331" i="2"/>
  <c r="BP381" i="2"/>
  <c r="BN413" i="2"/>
  <c r="BN482" i="2"/>
  <c r="BP498" i="2"/>
  <c r="BN498" i="2"/>
  <c r="BN527" i="2"/>
  <c r="I570" i="2"/>
  <c r="Y157" i="2"/>
  <c r="Y156" i="2"/>
  <c r="X561" i="2"/>
  <c r="X563" i="2" s="1"/>
  <c r="Y42" i="2"/>
  <c r="Z67" i="2"/>
  <c r="B570" i="2"/>
  <c r="BP23" i="2"/>
  <c r="Y43" i="2"/>
  <c r="BN112" i="2"/>
  <c r="BP152" i="2"/>
  <c r="Y169" i="2"/>
  <c r="Y248" i="2"/>
  <c r="BP262" i="2"/>
  <c r="BN262" i="2"/>
  <c r="M570" i="2"/>
  <c r="BP299" i="2"/>
  <c r="Z322" i="2"/>
  <c r="Z323" i="2" s="1"/>
  <c r="BN328" i="2"/>
  <c r="Y441" i="2"/>
  <c r="Z498" i="2"/>
  <c r="G570" i="2"/>
  <c r="Y113" i="2"/>
  <c r="BP83" i="2"/>
  <c r="BN83" i="2"/>
  <c r="Z83" i="2"/>
  <c r="Z84" i="2" s="1"/>
  <c r="X560" i="2"/>
  <c r="F570" i="2"/>
  <c r="BP88" i="2"/>
  <c r="Y147" i="2"/>
  <c r="Y187" i="2"/>
  <c r="Y188" i="2"/>
  <c r="BP176" i="2"/>
  <c r="BN176" i="2"/>
  <c r="Y198" i="2"/>
  <c r="Y197" i="2"/>
  <c r="BP196" i="2"/>
  <c r="BN196" i="2"/>
  <c r="Y382" i="2"/>
  <c r="BP413" i="2"/>
  <c r="Y452" i="2"/>
  <c r="Y458" i="2"/>
  <c r="K570" i="2"/>
  <c r="Y373" i="2"/>
  <c r="Y383" i="2"/>
  <c r="Z392" i="2"/>
  <c r="Z395" i="2" s="1"/>
  <c r="Z426" i="2"/>
  <c r="Z438" i="2"/>
  <c r="Z440" i="2" s="1"/>
  <c r="Z461" i="2"/>
  <c r="Z463" i="2" s="1"/>
  <c r="Y531" i="2"/>
  <c r="Y545" i="2"/>
  <c r="T570" i="2"/>
  <c r="Z359" i="2"/>
  <c r="Z361" i="2" s="1"/>
  <c r="Z370" i="2"/>
  <c r="Z380" i="2"/>
  <c r="BN392" i="2"/>
  <c r="Z412" i="2"/>
  <c r="BN426" i="2"/>
  <c r="BN438" i="2"/>
  <c r="BN461" i="2"/>
  <c r="Z471" i="2"/>
  <c r="Z483" i="2"/>
  <c r="Z508" i="2"/>
  <c r="Z518" i="2"/>
  <c r="Z528" i="2"/>
  <c r="V570" i="2"/>
  <c r="Z99" i="2"/>
  <c r="Z110" i="2"/>
  <c r="Z167" i="2"/>
  <c r="Z211" i="2"/>
  <c r="Z232" i="2"/>
  <c r="Z242" i="2"/>
  <c r="Z252" i="2"/>
  <c r="Z254" i="2" s="1"/>
  <c r="Z275" i="2"/>
  <c r="Z285" i="2"/>
  <c r="Z306" i="2"/>
  <c r="Z329" i="2"/>
  <c r="Z333" i="2" s="1"/>
  <c r="Z365" i="2"/>
  <c r="Z372" i="2" s="1"/>
  <c r="Z375" i="2"/>
  <c r="Z382" i="2" s="1"/>
  <c r="Z385" i="2"/>
  <c r="Z389" i="2" s="1"/>
  <c r="Z418" i="2"/>
  <c r="Z420" i="2" s="1"/>
  <c r="Z478" i="2"/>
  <c r="Z488" i="2"/>
  <c r="Z523" i="2"/>
  <c r="Z530" i="2" s="1"/>
  <c r="Z535" i="2"/>
  <c r="Z536" i="2" s="1"/>
  <c r="Z547" i="2"/>
  <c r="Z548" i="2" s="1"/>
  <c r="D570" i="2"/>
  <c r="Z89" i="2"/>
  <c r="Z93" i="2" s="1"/>
  <c r="Z71" i="2"/>
  <c r="Z105" i="2"/>
  <c r="Z125" i="2"/>
  <c r="Z126" i="2" s="1"/>
  <c r="Z172" i="2"/>
  <c r="Z173" i="2" s="1"/>
  <c r="Z182" i="2"/>
  <c r="Z192" i="2"/>
  <c r="Z193" i="2" s="1"/>
  <c r="Z206" i="2"/>
  <c r="Z217" i="2"/>
  <c r="Z218" i="2" s="1"/>
  <c r="Z227" i="2"/>
  <c r="Z257" i="2"/>
  <c r="Z258" i="2" s="1"/>
  <c r="Z346" i="2"/>
  <c r="Z349" i="2" s="1"/>
  <c r="BN359" i="2"/>
  <c r="BN370" i="2"/>
  <c r="BN380" i="2"/>
  <c r="BP392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2" i="2"/>
  <c r="Y395" i="2"/>
  <c r="Z38" i="2"/>
  <c r="Z42" i="2" s="1"/>
  <c r="Z50" i="2"/>
  <c r="Z61" i="2"/>
  <c r="BN89" i="2"/>
  <c r="BN99" i="2"/>
  <c r="BN110" i="2"/>
  <c r="Y136" i="2"/>
  <c r="Z154" i="2"/>
  <c r="BN167" i="2"/>
  <c r="Z177" i="2"/>
  <c r="Z187" i="2" s="1"/>
  <c r="BN211" i="2"/>
  <c r="Z222" i="2"/>
  <c r="BN232" i="2"/>
  <c r="BN242" i="2"/>
  <c r="BN252" i="2"/>
  <c r="Z263" i="2"/>
  <c r="Z264" i="2" s="1"/>
  <c r="BN275" i="2"/>
  <c r="BN285" i="2"/>
  <c r="Z293" i="2"/>
  <c r="BN306" i="2"/>
  <c r="BP318" i="2"/>
  <c r="BN329" i="2"/>
  <c r="BN365" i="2"/>
  <c r="BN375" i="2"/>
  <c r="BN385" i="2"/>
  <c r="Z405" i="2"/>
  <c r="Z408" i="2" s="1"/>
  <c r="BN418" i="2"/>
  <c r="BP443" i="2"/>
  <c r="Z451" i="2"/>
  <c r="Z452" i="2" s="1"/>
  <c r="BP466" i="2"/>
  <c r="BN478" i="2"/>
  <c r="BN488" i="2"/>
  <c r="Z499" i="2"/>
  <c r="Z500" i="2" s="1"/>
  <c r="Z511" i="2"/>
  <c r="BN523" i="2"/>
  <c r="BN535" i="2"/>
  <c r="BN547" i="2"/>
  <c r="Y570" i="2"/>
  <c r="Z31" i="2"/>
  <c r="BN31" i="2"/>
  <c r="Z56" i="2"/>
  <c r="Z76" i="2"/>
  <c r="Z78" i="2" s="1"/>
  <c r="BN424" i="2"/>
  <c r="Y427" i="2"/>
  <c r="BN56" i="2"/>
  <c r="BN76" i="2"/>
  <c r="BN154" i="2"/>
  <c r="BN177" i="2"/>
  <c r="BN222" i="2"/>
  <c r="BN263" i="2"/>
  <c r="BN293" i="2"/>
  <c r="BN405" i="2"/>
  <c r="Y408" i="2"/>
  <c r="BN451" i="2"/>
  <c r="BN499" i="2"/>
  <c r="BN511" i="2"/>
  <c r="BP535" i="2"/>
  <c r="BP547" i="2"/>
  <c r="Z311" i="2" l="1"/>
  <c r="Z295" i="2"/>
  <c r="Z340" i="2"/>
  <c r="Z473" i="2"/>
  <c r="Z446" i="2"/>
  <c r="Y562" i="2"/>
  <c r="Z236" i="2"/>
  <c r="Z484" i="2"/>
  <c r="Z73" i="2"/>
  <c r="Z51" i="2"/>
  <c r="Y564" i="2"/>
  <c r="Z32" i="2"/>
  <c r="Y561" i="2"/>
  <c r="Y563" i="2" s="1"/>
  <c r="Y560" i="2"/>
  <c r="Z113" i="2"/>
  <c r="Z300" i="2"/>
  <c r="Z64" i="2"/>
  <c r="Z520" i="2"/>
  <c r="Z489" i="2"/>
  <c r="Z248" i="2"/>
  <c r="Z100" i="2"/>
  <c r="Z168" i="2"/>
  <c r="Z553" i="2"/>
  <c r="Z156" i="2"/>
  <c r="Z514" i="2"/>
  <c r="Z119" i="2"/>
  <c r="Z280" i="2"/>
  <c r="Z213" i="2"/>
  <c r="Z565" i="2" l="1"/>
</calcChain>
</file>

<file path=xl/sharedStrings.xml><?xml version="1.0" encoding="utf-8"?>
<sst xmlns="http://schemas.openxmlformats.org/spreadsheetml/2006/main" count="4292" uniqueCount="890">
  <si>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</si>
  <si>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</si>
  <si>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</si>
  <si>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</si>
  <si>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</si>
  <si>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</si>
  <si>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</si>
  <si>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</si>
  <si>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</si>
  <si>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</si>
  <si>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</si>
  <si>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</si>
  <si>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</si>
  <si>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</si>
  <si>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</si>
  <si>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</si>
  <si>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</si>
  <si>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</si>
  <si>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</si>
  <si>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</si>
  <si>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</si>
  <si>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</si>
  <si>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</si>
  <si>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</si>
  <si>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</si>
  <si>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</si>
  <si>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</si>
  <si>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</si>
  <si>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</si>
  <si>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</si>
  <si>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</si>
  <si>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</si>
  <si>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</si>
  <si>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</si>
  <si>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</si>
  <si>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</si>
  <si>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</si>
  <si>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</si>
  <si>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</si>
  <si>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</si>
  <si>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</si>
  <si>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</si>
  <si>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</si>
  <si>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</si>
  <si>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</si>
  <si>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</si>
  <si>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</si>
  <si>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</si>
  <si>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</si>
  <si>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</si>
  <si>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</si>
  <si>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</si>
  <si>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</si>
  <si>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</si>
  <si>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</si>
  <si>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</si>
  <si>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</si>
  <si>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</si>
  <si>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</si>
  <si>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</si>
  <si>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</si>
  <si>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</si>
  <si>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</si>
  <si>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</si>
  <si>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</si>
  <si>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</si>
  <si>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</si>
  <si>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</si>
  <si>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</si>
  <si>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23.09.2026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</si>
  <si>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</si>
  <si>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</si>
  <si>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</si>
  <si>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</si>
  <si>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</si>
  <si>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</si>
  <si>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Мариуполь г, Куприна ул, д. 10,</t>
  </si>
  <si>
    <t>287537Российская Федерация, Донецкая Народная Респ, Мариуполь г, Куприна ул, д. 10,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</si>
  <si>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</si>
  <si>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</si>
  <si>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</si>
  <si>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</si>
  <si>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</si>
  <si>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</si>
  <si>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</si>
  <si>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</si>
  <si>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</si>
  <si>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</si>
  <si>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</si>
  <si>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</si>
  <si>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</si>
  <si>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</si>
  <si>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</si>
  <si>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</si>
  <si>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</si>
  <si>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</si>
  <si>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</si>
  <si>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</si>
  <si>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</si>
  <si>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</si>
  <si>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</si>
  <si>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</si>
  <si>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</si>
  <si>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</si>
  <si>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</si>
  <si>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</si>
  <si>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</si>
  <si>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</si>
  <si>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</si>
  <si>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</si>
  <si>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</si>
  <si>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</si>
  <si>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</si>
  <si>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</si>
  <si>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</si>
  <si>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</si>
  <si>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</si>
  <si>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</si>
  <si>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</si>
  <si>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</si>
  <si>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</si>
  <si>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</si>
  <si>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</si>
  <si>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</si>
  <si>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</si>
  <si>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</si>
  <si>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</si>
  <si>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</si>
  <si>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</si>
  <si>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</si>
  <si>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</si>
  <si>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</si>
  <si>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</si>
  <si>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</si>
  <si>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</si>
  <si>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</si>
  <si>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</si>
  <si>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</si>
  <si>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</si>
  <si>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</si>
  <si>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</si>
  <si>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</si>
  <si>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</si>
  <si>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</si>
  <si>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</si>
  <si>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</si>
  <si>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</si>
  <si>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</si>
  <si>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</si>
  <si>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</si>
  <si>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</si>
  <si>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</si>
  <si>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</si>
  <si>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</si>
  <si>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</si>
  <si>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</si>
  <si>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</si>
  <si>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</si>
  <si>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</si>
  <si>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</si>
  <si>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</si>
  <si>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</si>
  <si>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</si>
  <si>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</si>
  <si>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</si>
  <si>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</si>
  <si>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</si>
  <si>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</si>
  <si>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</si>
  <si>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</si>
  <si>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</si>
  <si>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</si>
  <si>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</si>
  <si>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</si>
  <si>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</si>
  <si>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</si>
  <si>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</si>
  <si>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</si>
  <si>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</si>
  <si>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</si>
  <si>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</si>
  <si>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</si>
  <si>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</si>
  <si>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</si>
  <si>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</si>
  <si>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</si>
  <si>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</si>
  <si>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</si>
  <si>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</si>
  <si>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</si>
  <si>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</si>
  <si>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</si>
  <si>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</si>
  <si>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</si>
  <si>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</si>
  <si>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</si>
  <si>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</si>
  <si>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</si>
  <si>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</si>
  <si>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</si>
  <si>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</si>
  <si>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</si>
  <si>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</si>
  <si>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</si>
  <si>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</si>
  <si>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</si>
  <si>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</si>
  <si>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</si>
  <si>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</si>
  <si>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</si>
  <si>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</si>
  <si>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</si>
  <si>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</si>
  <si>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</si>
  <si>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</si>
  <si>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</si>
  <si>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</si>
  <si>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</si>
  <si>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</si>
  <si>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</si>
  <si>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</si>
  <si>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</si>
  <si>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</si>
  <si>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</si>
  <si>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</si>
  <si>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</si>
  <si>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</si>
  <si>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</si>
  <si>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</si>
  <si>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</si>
  <si>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</si>
  <si>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</si>
  <si>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</si>
  <si>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</si>
  <si>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</si>
  <si>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</si>
  <si>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</si>
  <si>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</si>
  <si>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</si>
  <si>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</si>
  <si>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</si>
  <si>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</si>
  <si>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</si>
  <si>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</si>
  <si>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</si>
  <si>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</si>
  <si>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</si>
  <si>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</si>
  <si>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</si>
  <si>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</si>
  <si>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</si>
  <si>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</si>
  <si>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</si>
  <si>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</si>
  <si>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</si>
  <si>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</si>
  <si>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</si>
  <si>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</si>
  <si>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</si>
  <si>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</si>
  <si>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</si>
  <si>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</si>
  <si>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</si>
  <si>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</si>
  <si>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</si>
  <si>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</si>
  <si>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</si>
  <si>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</si>
  <si>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</si>
  <si>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</si>
  <si>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</si>
  <si>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</si>
  <si>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</si>
  <si>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</si>
  <si>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</si>
  <si>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</si>
  <si>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</si>
  <si>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</si>
  <si>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</si>
  <si>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</si>
  <si>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</si>
  <si>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</si>
  <si>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</si>
  <si>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</si>
  <si>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</si>
  <si>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</si>
  <si>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</si>
  <si>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</si>
  <si>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</si>
  <si>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</si>
  <si>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</si>
  <si>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</si>
  <si>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</si>
  <si>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</si>
  <si>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</si>
  <si>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</si>
  <si>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</si>
  <si>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</si>
  <si>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</si>
  <si>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</si>
  <si>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</si>
  <si>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</si>
  <si>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</si>
  <si>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</si>
  <si>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</si>
  <si>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</si>
  <si>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</si>
  <si>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</si>
  <si>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</si>
  <si>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</si>
  <si>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</si>
  <si>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</si>
  <si>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</si>
  <si>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</si>
  <si>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</si>
  <si>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</si>
  <si>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</si>
  <si>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</si>
  <si>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</si>
  <si>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</si>
  <si>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</si>
  <si>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</si>
  <si>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</si>
  <si>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</si>
  <si>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</si>
  <si>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</si>
  <si>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</si>
  <si>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</si>
  <si>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</si>
  <si>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</si>
  <si>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</si>
  <si>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</si>
  <si>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</si>
  <si>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</si>
  <si>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</si>
  <si>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</si>
  <si>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</si>
  <si>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</si>
  <si>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</si>
  <si>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</si>
  <si>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</si>
  <si>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</si>
  <si>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</si>
  <si>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</si>
  <si>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</si>
  <si>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</si>
  <si>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</si>
  <si>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</si>
  <si>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</si>
  <si>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</si>
  <si>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</si>
  <si>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</si>
  <si>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</si>
  <si>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</si>
  <si>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</si>
  <si>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</si>
  <si>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</si>
  <si>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</si>
  <si>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</si>
  <si>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</si>
  <si>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</si>
  <si>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</si>
  <si>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</si>
  <si>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</si>
  <si>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</si>
  <si>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</si>
  <si>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</si>
  <si>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</si>
  <si>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</si>
  <si>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</si>
  <si>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</si>
  <si>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</si>
  <si>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</si>
  <si>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</si>
  <si>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</si>
  <si>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</si>
  <si>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</si>
  <si>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</si>
  <si>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</si>
  <si>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</si>
  <si>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</si>
  <si>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</si>
  <si>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</si>
  <si>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</si>
  <si>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</si>
  <si>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</si>
  <si>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</si>
  <si>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</si>
  <si>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</si>
  <si>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</si>
  <si>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</si>
  <si>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</si>
  <si>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</si>
  <si>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</si>
  <si>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</si>
  <si>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</si>
  <si>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</si>
  <si>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</si>
  <si>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</si>
  <si>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</si>
  <si>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</si>
  <si>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</si>
  <si>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</si>
  <si>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</si>
  <si>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</si>
  <si>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</si>
  <si>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</si>
  <si>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</si>
  <si>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</si>
  <si>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</si>
  <si>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</si>
  <si>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</si>
  <si>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</si>
  <si>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</si>
  <si>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</si>
  <si>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</si>
  <si>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</si>
  <si>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</si>
  <si>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</si>
  <si>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</si>
  <si>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</si>
  <si>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</si>
  <si>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</si>
  <si>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</si>
  <si>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</si>
  <si>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</si>
  <si>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</si>
  <si>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</si>
  <si>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</si>
  <si>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</si>
  <si>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</si>
  <si>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</si>
  <si>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</si>
  <si>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</si>
  <si>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</si>
  <si>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</si>
  <si>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</si>
  <si>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</si>
  <si>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</si>
  <si>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</si>
  <si>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</si>
  <si>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</si>
  <si>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</si>
  <si>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</si>
  <si>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</si>
  <si>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</si>
  <si>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</si>
  <si>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</si>
  <si>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</si>
  <si>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</si>
  <si>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</si>
  <si>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</si>
  <si>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</si>
  <si>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</si>
  <si>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</si>
  <si>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</si>
  <si>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</si>
  <si>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</si>
  <si>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</si>
  <si>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</si>
  <si>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</si>
  <si>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</si>
  <si>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</si>
  <si>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</si>
  <si>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</si>
  <si>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</si>
  <si>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</si>
  <si>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</si>
  <si>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</si>
  <si>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</si>
  <si>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</si>
  <si>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</si>
  <si>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</si>
  <si>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</si>
  <si>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</si>
  <si>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</si>
  <si>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</si>
  <si>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</si>
  <si>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</si>
  <si>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</si>
  <si>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</si>
  <si>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</si>
  <si>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</si>
  <si>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</si>
  <si>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</si>
  <si>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</si>
  <si>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</si>
  <si>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</si>
  <si>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</si>
  <si>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</si>
  <si>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</si>
  <si>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</si>
  <si>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</si>
  <si>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</si>
  <si>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</si>
  <si>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</si>
  <si>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</si>
  <si>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</si>
  <si>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</si>
  <si>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</si>
  <si>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</si>
  <si>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</si>
  <si>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</si>
  <si>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</si>
  <si>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</si>
  <si>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</si>
  <si>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</si>
  <si>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</si>
  <si>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</si>
  <si>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</si>
  <si>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</si>
  <si>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</si>
  <si>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</si>
  <si>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</si>
  <si>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</si>
  <si>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</si>
  <si>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</si>
  <si>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</si>
  <si>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</si>
  <si>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</si>
  <si>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</si>
  <si>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</si>
  <si>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</si>
  <si>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</si>
  <si>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</si>
  <si>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</si>
  <si>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</si>
  <si>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</si>
  <si>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</si>
  <si>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</si>
  <si>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</si>
  <si>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</si>
  <si>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</si>
  <si>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</si>
  <si>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</si>
  <si>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</si>
  <si>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</si>
  <si>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</si>
  <si>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</si>
  <si>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</si>
  <si>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</si>
  <si>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</si>
  <si>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</si>
  <si>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</si>
  <si>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</si>
  <si>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</si>
  <si>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</si>
  <si>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</si>
  <si>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</si>
  <si>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</si>
  <si>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</si>
  <si>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</si>
  <si>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</si>
  <si>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</si>
  <si>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</si>
  <si>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</si>
  <si>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</si>
  <si>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</si>
  <si>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</si>
  <si>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</si>
  <si>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</si>
  <si>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</si>
  <si>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</si>
  <si>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</si>
  <si>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</si>
  <si>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</si>
  <si>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</si>
  <si>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</si>
  <si>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</si>
  <si>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</si>
  <si>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</si>
  <si>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</si>
  <si>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</si>
  <si>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</si>
  <si>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</si>
  <si>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</si>
  <si>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</si>
  <si>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</si>
  <si>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</si>
  <si>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</si>
  <si>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</si>
  <si>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</si>
  <si>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</si>
  <si>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</si>
  <si>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</si>
  <si>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</si>
  <si>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</si>
  <si>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</si>
  <si>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</si>
  <si>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</si>
  <si>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</si>
  <si>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</si>
  <si>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</si>
  <si>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</si>
  <si>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</si>
  <si>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</si>
  <si>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</si>
  <si>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</si>
  <si>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</si>
  <si>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</si>
  <si>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</si>
  <si>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</si>
  <si>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</si>
  <si>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</si>
  <si>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</si>
  <si>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</si>
  <si>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</si>
  <si>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</si>
  <si>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</si>
  <si>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</si>
  <si>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</si>
  <si>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</si>
  <si>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</si>
  <si>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</si>
  <si>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</si>
  <si>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</si>
  <si>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</si>
  <si>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</si>
  <si>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</si>
  <si>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</si>
  <si>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</si>
  <si>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</si>
  <si>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</si>
  <si>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</si>
  <si>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</si>
  <si>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</si>
  <si>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</si>
  <si>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</si>
  <si>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</si>
  <si>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</si>
  <si>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</si>
  <si>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</si>
  <si>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</si>
  <si>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</si>
  <si>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</si>
  <si>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</si>
  <si>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</si>
  <si>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</si>
  <si>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</si>
  <si>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</si>
  <si>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</si>
  <si>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</si>
  <si>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</si>
  <si>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</si>
  <si>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</si>
  <si>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</si>
  <si>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</si>
  <si>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</si>
  <si>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</si>
  <si>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</si>
  <si>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</si>
  <si>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</si>
  <si>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</si>
  <si>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</si>
  <si>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</si>
  <si>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</si>
  <si>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</si>
  <si>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</si>
  <si>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</si>
  <si>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</si>
  <si>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</si>
  <si>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</si>
  <si>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</si>
  <si>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</si>
  <si>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</si>
  <si>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</si>
  <si>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</si>
  <si>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</si>
  <si>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</si>
  <si>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</si>
  <si>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</si>
  <si>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</si>
  <si>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</si>
  <si>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</si>
  <si>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</si>
  <si>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</si>
  <si>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</si>
  <si>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</si>
  <si>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</si>
  <si>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</si>
  <si>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</si>
  <si>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</si>
  <si>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</si>
  <si>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</si>
  <si>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</si>
  <si>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</si>
  <si>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</si>
  <si>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</si>
  <si>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</si>
  <si>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</si>
  <si>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</si>
  <si>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</si>
  <si>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</si>
  <si>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</si>
  <si>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</si>
  <si>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</si>
  <si>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</si>
  <si>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</si>
  <si>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</si>
  <si>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</si>
  <si>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</si>
  <si>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</si>
  <si>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</si>
  <si>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</si>
  <si>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</si>
  <si>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</si>
  <si>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</si>
  <si>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</si>
  <si>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</si>
  <si>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</si>
  <si>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</si>
  <si>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</si>
  <si>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</si>
  <si>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</si>
  <si>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</si>
  <si>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</si>
  <si>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</si>
  <si>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</si>
  <si>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</si>
  <si>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</si>
  <si>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</si>
  <si>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</si>
  <si>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</si>
  <si>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</si>
  <si>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</si>
  <si>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</si>
  <si>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</si>
  <si>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</si>
  <si>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</si>
  <si>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</si>
  <si>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</si>
  <si>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</si>
  <si>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</si>
  <si>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</si>
  <si>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</si>
  <si>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</si>
  <si>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</si>
  <si>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</si>
  <si>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</si>
  <si>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</si>
  <si>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</si>
  <si>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</si>
  <si>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</si>
  <si>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</si>
  <si>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</si>
  <si>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</si>
  <si>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</si>
  <si>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</si>
  <si>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</si>
  <si>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</si>
  <si>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</si>
  <si>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</si>
  <si>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</si>
  <si>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</si>
  <si>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</si>
  <si>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</si>
  <si>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</si>
  <si>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</si>
  <si>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</si>
  <si>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</si>
  <si>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</si>
  <si>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</si>
  <si>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</si>
  <si>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</si>
  <si>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</si>
  <si>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</si>
  <si>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</si>
  <si>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</si>
  <si>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</si>
  <si>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</si>
  <si>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</si>
  <si>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</si>
  <si>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</si>
  <si>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</si>
  <si>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</si>
  <si>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</si>
  <si>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</si>
  <si>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</si>
  <si>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</si>
  <si>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</si>
  <si>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</si>
  <si>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</si>
  <si>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</si>
  <si>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</si>
  <si>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</si>
  <si>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</si>
  <si>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</si>
  <si>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</si>
  <si>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</si>
  <si>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</si>
  <si>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</si>
  <si>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</si>
  <si>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</si>
  <si>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</si>
  <si>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</si>
  <si>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</si>
  <si>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</si>
  <si>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</si>
  <si>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</si>
  <si>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</si>
  <si>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</si>
  <si>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</si>
  <si>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</si>
  <si>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</si>
  <si>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</si>
  <si>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</si>
  <si>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</si>
  <si>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</si>
  <si>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</si>
  <si>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</si>
  <si>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</si>
  <si>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</si>
  <si>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</si>
  <si>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</si>
  <si>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</si>
  <si>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</si>
  <si>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</si>
  <si>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</si>
  <si>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</si>
  <si>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</si>
  <si>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</si>
  <si>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</si>
  <si>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</si>
  <si>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</si>
  <si>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</si>
  <si>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</si>
  <si>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</si>
  <si>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</si>
  <si>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</si>
  <si>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</si>
  <si>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</si>
  <si>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</si>
  <si>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</si>
  <si>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</si>
  <si>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</si>
  <si>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</si>
  <si>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</si>
  <si>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</si>
  <si>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</si>
  <si>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</si>
  <si>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</si>
  <si>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</si>
  <si>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</si>
  <si>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</si>
  <si>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</si>
  <si>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</si>
  <si>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</si>
  <si>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</si>
  <si>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</si>
  <si>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</si>
  <si>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</si>
  <si>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</si>
  <si>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</si>
  <si>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</si>
  <si>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</si>
  <si>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</si>
  <si>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</si>
  <si>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</si>
  <si>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</si>
  <si>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</si>
  <si>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</si>
  <si>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</si>
  <si>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</si>
  <si>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</si>
  <si>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</si>
  <si>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</si>
  <si>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</si>
  <si>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</si>
  <si>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</si>
  <si>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</si>
  <si>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</si>
  <si>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</si>
  <si>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</si>
  <si>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</si>
  <si>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</si>
  <si>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</si>
  <si>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</si>
  <si>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596383_11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</si>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</sst>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/>
      <c r="I5" s="659"/>
      <c r="J5" s="659"/>
      <c r="K5" s="659"/>
      <c r="L5" s="659"/>
      <c r="M5" s="659"/>
      <c r="N5" s="72"/>
      <c r="P5" s="27" t="s">
        <v>4</v>
      </c>
      <c r="Q5" s="661">
        <v>46291</v>
      </c>
      <c r="R5" s="661"/>
      <c r="T5" s="662" t="s">
        <v>3</v>
      </c>
      <c r="U5" s="663"/>
      <c r="V5" s="664" t="s">
        <v>876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76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Суббота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 t="s">
        <v>77</v>
      </c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customHeight="1" x14ac:dyDescent="0.2">
      <c r="A19" s="722" t="s">
        <v>78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customHeight="1" x14ac:dyDescent="0.25">
      <c r="A20" s="723" t="s">
        <v>78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customHeight="1" x14ac:dyDescent="0.25">
      <c r="A21" s="724" t="s">
        <v>79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customHeight="1" x14ac:dyDescent="0.25">
      <c r="A22" s="63" t="s">
        <v>80</v>
      </c>
      <c r="B22" s="63" t="s">
        <v>81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84</v>
      </c>
      <c r="L22" s="37" t="s">
        <v>46</v>
      </c>
      <c r="M22" s="38" t="s">
        <v>83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82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84</v>
      </c>
      <c r="L23" s="37" t="s">
        <v>46</v>
      </c>
      <c r="M23" s="38" t="s">
        <v>83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87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4" t="s">
        <v>88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93</v>
      </c>
      <c r="L27" s="37" t="s">
        <v>46</v>
      </c>
      <c r="M27" s="38" t="s">
        <v>92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91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93</v>
      </c>
      <c r="L28" s="37" t="s">
        <v>46</v>
      </c>
      <c r="M28" s="38" t="s">
        <v>92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91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93</v>
      </c>
      <c r="L29" s="37" t="s">
        <v>46</v>
      </c>
      <c r="M29" s="38" t="s">
        <v>99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98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93</v>
      </c>
      <c r="L30" s="37" t="s">
        <v>46</v>
      </c>
      <c r="M30" s="38" t="s">
        <v>99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102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93</v>
      </c>
      <c r="L31" s="37" t="s">
        <v>46</v>
      </c>
      <c r="M31" s="38" t="s">
        <v>92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105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customHeight="1" x14ac:dyDescent="0.25">
      <c r="A35" s="723" t="s">
        <v>106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customHeight="1" x14ac:dyDescent="0.25">
      <c r="A36" s="724" t="s">
        <v>88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customHeight="1" x14ac:dyDescent="0.25">
      <c r="A37" s="63" t="s">
        <v>107</v>
      </c>
      <c r="B37" s="63" t="s">
        <v>108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93</v>
      </c>
      <c r="L37" s="37" t="s">
        <v>46</v>
      </c>
      <c r="M37" s="38" t="s">
        <v>99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110</v>
      </c>
      <c r="B38" s="63" t="s">
        <v>111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93</v>
      </c>
      <c r="L38" s="37" t="s">
        <v>46</v>
      </c>
      <c r="M38" s="38" t="s">
        <v>92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93</v>
      </c>
      <c r="L39" s="37" t="s">
        <v>46</v>
      </c>
      <c r="M39" s="38" t="s">
        <v>92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116</v>
      </c>
      <c r="B40" s="63" t="s">
        <v>117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93</v>
      </c>
      <c r="L40" s="37" t="s">
        <v>46</v>
      </c>
      <c r="M40" s="38" t="s">
        <v>92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93</v>
      </c>
      <c r="L41" s="37" t="s">
        <v>46</v>
      </c>
      <c r="M41" s="38" t="s">
        <v>92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2" t="s">
        <v>122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customHeight="1" x14ac:dyDescent="0.25">
      <c r="A45" s="723" t="s">
        <v>123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customHeight="1" x14ac:dyDescent="0.25">
      <c r="A46" s="724" t="s">
        <v>124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130</v>
      </c>
      <c r="B48" s="63" t="s">
        <v>131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133</v>
      </c>
      <c r="L48" s="37" t="s">
        <v>46</v>
      </c>
      <c r="M48" s="38" t="s">
        <v>83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136</v>
      </c>
      <c r="L49" s="37" t="s">
        <v>46</v>
      </c>
      <c r="M49" s="38" t="s">
        <v>92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137</v>
      </c>
      <c r="B50" s="63" t="s">
        <v>138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136</v>
      </c>
      <c r="L50" s="37" t="s">
        <v>46</v>
      </c>
      <c r="M50" s="38" t="s">
        <v>92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3" t="s">
        <v>139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customHeight="1" x14ac:dyDescent="0.25">
      <c r="A54" s="724" t="s">
        <v>124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customHeight="1" x14ac:dyDescent="0.25">
      <c r="A55" s="63" t="s">
        <v>140</v>
      </c>
      <c r="B55" s="63" t="s">
        <v>141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142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145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146</v>
      </c>
      <c r="C57" s="36">
        <v>4301012162</v>
      </c>
      <c r="D57" s="725">
        <v>4680115881426</v>
      </c>
      <c r="E57" s="72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75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147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148</v>
      </c>
      <c r="B58" s="63" t="s">
        <v>149</v>
      </c>
      <c r="C58" s="36">
        <v>4301012259</v>
      </c>
      <c r="D58" s="725">
        <v>4680115880283</v>
      </c>
      <c r="E58" s="72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136</v>
      </c>
      <c r="L58" s="37" t="s">
        <v>46</v>
      </c>
      <c r="M58" s="38" t="s">
        <v>128</v>
      </c>
      <c r="N58" s="38"/>
      <c r="O58" s="37">
        <v>45</v>
      </c>
      <c r="P58" s="7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150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151</v>
      </c>
      <c r="B59" s="63" t="s">
        <v>152</v>
      </c>
      <c r="C59" s="36">
        <v>4301011806</v>
      </c>
      <c r="D59" s="725">
        <v>4680115881525</v>
      </c>
      <c r="E59" s="72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136</v>
      </c>
      <c r="L59" s="37" t="s">
        <v>46</v>
      </c>
      <c r="M59" s="38" t="s">
        <v>128</v>
      </c>
      <c r="N59" s="38"/>
      <c r="O59" s="37">
        <v>50</v>
      </c>
      <c r="P59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153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151</v>
      </c>
      <c r="B60" s="63" t="s">
        <v>154</v>
      </c>
      <c r="C60" s="36">
        <v>4301012159</v>
      </c>
      <c r="D60" s="725">
        <v>4680115881525</v>
      </c>
      <c r="E60" s="72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136</v>
      </c>
      <c r="L60" s="37" t="s">
        <v>46</v>
      </c>
      <c r="M60" s="38" t="s">
        <v>128</v>
      </c>
      <c r="N60" s="38"/>
      <c r="O60" s="37">
        <v>50</v>
      </c>
      <c r="P60" s="7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155</v>
      </c>
      <c r="B61" s="63" t="s">
        <v>156</v>
      </c>
      <c r="C61" s="36">
        <v>4301012165</v>
      </c>
      <c r="D61" s="725">
        <v>4680115885899</v>
      </c>
      <c r="E61" s="72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93</v>
      </c>
      <c r="L61" s="37" t="s">
        <v>46</v>
      </c>
      <c r="M61" s="38" t="s">
        <v>128</v>
      </c>
      <c r="N61" s="38"/>
      <c r="O61" s="37">
        <v>50</v>
      </c>
      <c r="P61" s="7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7"/>
      <c r="R61" s="727"/>
      <c r="S61" s="727"/>
      <c r="T61" s="72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157</v>
      </c>
      <c r="B62" s="63" t="s">
        <v>158</v>
      </c>
      <c r="C62" s="36">
        <v>4301011801</v>
      </c>
      <c r="D62" s="725">
        <v>4680115881419</v>
      </c>
      <c r="E62" s="72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136</v>
      </c>
      <c r="L62" s="37" t="s">
        <v>46</v>
      </c>
      <c r="M62" s="38" t="s">
        <v>128</v>
      </c>
      <c r="N62" s="38"/>
      <c r="O62" s="37">
        <v>50</v>
      </c>
      <c r="P62" s="7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7"/>
      <c r="R62" s="727"/>
      <c r="S62" s="727"/>
      <c r="T62" s="72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159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160</v>
      </c>
      <c r="C63" s="36">
        <v>4301012158</v>
      </c>
      <c r="D63" s="725">
        <v>4680115881419</v>
      </c>
      <c r="E63" s="72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136</v>
      </c>
      <c r="L63" s="37" t="s">
        <v>46</v>
      </c>
      <c r="M63" s="38" t="s">
        <v>128</v>
      </c>
      <c r="N63" s="38"/>
      <c r="O63" s="37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7"/>
      <c r="R63" s="727"/>
      <c r="S63" s="727"/>
      <c r="T63" s="72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147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4"/>
      <c r="P64" s="730" t="s">
        <v>40</v>
      </c>
      <c r="Q64" s="731"/>
      <c r="R64" s="731"/>
      <c r="S64" s="731"/>
      <c r="T64" s="731"/>
      <c r="U64" s="731"/>
      <c r="V64" s="73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3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4"/>
      <c r="P65" s="730" t="s">
        <v>40</v>
      </c>
      <c r="Q65" s="731"/>
      <c r="R65" s="731"/>
      <c r="S65" s="731"/>
      <c r="T65" s="731"/>
      <c r="U65" s="731"/>
      <c r="V65" s="73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4" t="s">
        <v>161</v>
      </c>
      <c r="B66" s="724"/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4"/>
      <c r="W66" s="724"/>
      <c r="X66" s="724"/>
      <c r="Y66" s="724"/>
      <c r="Z66" s="724"/>
      <c r="AA66" s="66"/>
      <c r="AB66" s="66"/>
      <c r="AC66" s="80"/>
    </row>
    <row r="67" spans="1:68" ht="16.5" customHeight="1" x14ac:dyDescent="0.25">
      <c r="A67" s="63" t="s">
        <v>162</v>
      </c>
      <c r="B67" s="63" t="s">
        <v>163</v>
      </c>
      <c r="C67" s="36">
        <v>4301020298</v>
      </c>
      <c r="D67" s="725">
        <v>4680115881440</v>
      </c>
      <c r="E67" s="72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129</v>
      </c>
      <c r="L67" s="37" t="s">
        <v>46</v>
      </c>
      <c r="M67" s="38" t="s">
        <v>128</v>
      </c>
      <c r="N67" s="38"/>
      <c r="O67" s="37">
        <v>50</v>
      </c>
      <c r="P67" s="7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customHeight="1" x14ac:dyDescent="0.25">
      <c r="A68" s="63" t="s">
        <v>162</v>
      </c>
      <c r="B68" s="63" t="s">
        <v>165</v>
      </c>
      <c r="C68" s="36">
        <v>4301020390</v>
      </c>
      <c r="D68" s="725">
        <v>4680115881440</v>
      </c>
      <c r="E68" s="72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129</v>
      </c>
      <c r="L68" s="37" t="s">
        <v>46</v>
      </c>
      <c r="M68" s="38" t="s">
        <v>128</v>
      </c>
      <c r="N68" s="38"/>
      <c r="O68" s="37">
        <v>50</v>
      </c>
      <c r="P68" s="75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7"/>
      <c r="R68" s="727"/>
      <c r="S68" s="727"/>
      <c r="T68" s="72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customHeight="1" x14ac:dyDescent="0.25">
      <c r="A69" s="63" t="s">
        <v>167</v>
      </c>
      <c r="B69" s="63" t="s">
        <v>168</v>
      </c>
      <c r="C69" s="36">
        <v>4301020358</v>
      </c>
      <c r="D69" s="725">
        <v>4680115885950</v>
      </c>
      <c r="E69" s="72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93</v>
      </c>
      <c r="L69" s="37" t="s">
        <v>46</v>
      </c>
      <c r="M69" s="38" t="s">
        <v>92</v>
      </c>
      <c r="N69" s="38"/>
      <c r="O69" s="37">
        <v>50</v>
      </c>
      <c r="P69" s="7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7"/>
      <c r="R69" s="727"/>
      <c r="S69" s="727"/>
      <c r="T69" s="72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customHeight="1" x14ac:dyDescent="0.25">
      <c r="A70" s="63" t="s">
        <v>169</v>
      </c>
      <c r="B70" s="63" t="s">
        <v>170</v>
      </c>
      <c r="C70" s="36">
        <v>4301020371</v>
      </c>
      <c r="D70" s="725">
        <v>4680115887688</v>
      </c>
      <c r="E70" s="72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133</v>
      </c>
      <c r="L70" s="37" t="s">
        <v>46</v>
      </c>
      <c r="M70" s="38" t="s">
        <v>83</v>
      </c>
      <c r="N70" s="38"/>
      <c r="O70" s="37">
        <v>30</v>
      </c>
      <c r="P70" s="7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7"/>
      <c r="R70" s="727"/>
      <c r="S70" s="727"/>
      <c r="T70" s="72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171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172</v>
      </c>
      <c r="B71" s="63" t="s">
        <v>173</v>
      </c>
      <c r="C71" s="36">
        <v>4301020296</v>
      </c>
      <c r="D71" s="725">
        <v>4680115881433</v>
      </c>
      <c r="E71" s="72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93</v>
      </c>
      <c r="L71" s="37" t="s">
        <v>46</v>
      </c>
      <c r="M71" s="38" t="s">
        <v>128</v>
      </c>
      <c r="N71" s="38"/>
      <c r="O71" s="37">
        <v>50</v>
      </c>
      <c r="P71" s="7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customHeight="1" x14ac:dyDescent="0.25">
      <c r="A72" s="63" t="s">
        <v>172</v>
      </c>
      <c r="B72" s="63" t="s">
        <v>174</v>
      </c>
      <c r="C72" s="36">
        <v>4301020389</v>
      </c>
      <c r="D72" s="725">
        <v>4680115881433</v>
      </c>
      <c r="E72" s="72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93</v>
      </c>
      <c r="L72" s="37" t="s">
        <v>46</v>
      </c>
      <c r="M72" s="38" t="s">
        <v>128</v>
      </c>
      <c r="N72" s="38"/>
      <c r="O72" s="37">
        <v>50</v>
      </c>
      <c r="P72" s="76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166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">
      <c r="A73" s="733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4"/>
      <c r="P73" s="730" t="s">
        <v>40</v>
      </c>
      <c r="Q73" s="731"/>
      <c r="R73" s="731"/>
      <c r="S73" s="731"/>
      <c r="T73" s="731"/>
      <c r="U73" s="731"/>
      <c r="V73" s="732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customHeight="1" x14ac:dyDescent="0.25">
      <c r="A75" s="724" t="s">
        <v>88</v>
      </c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4"/>
      <c r="T75" s="724"/>
      <c r="U75" s="724"/>
      <c r="V75" s="724"/>
      <c r="W75" s="724"/>
      <c r="X75" s="724"/>
      <c r="Y75" s="724"/>
      <c r="Z75" s="724"/>
      <c r="AA75" s="66"/>
      <c r="AB75" s="66"/>
      <c r="AC75" s="80"/>
    </row>
    <row r="76" spans="1:68" ht="16.5" customHeight="1" x14ac:dyDescent="0.25">
      <c r="A76" s="63" t="s">
        <v>175</v>
      </c>
      <c r="B76" s="63" t="s">
        <v>176</v>
      </c>
      <c r="C76" s="36">
        <v>4301051837</v>
      </c>
      <c r="D76" s="725">
        <v>4680115884311</v>
      </c>
      <c r="E76" s="72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93</v>
      </c>
      <c r="L76" s="37" t="s">
        <v>46</v>
      </c>
      <c r="M76" s="38" t="s">
        <v>92</v>
      </c>
      <c r="N76" s="38"/>
      <c r="O76" s="37">
        <v>40</v>
      </c>
      <c r="P76" s="7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7"/>
      <c r="R76" s="727"/>
      <c r="S76" s="727"/>
      <c r="T76" s="72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178</v>
      </c>
      <c r="B77" s="63" t="s">
        <v>179</v>
      </c>
      <c r="C77" s="36">
        <v>4301052083</v>
      </c>
      <c r="D77" s="725">
        <v>4680115884403</v>
      </c>
      <c r="E77" s="72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93</v>
      </c>
      <c r="L77" s="37" t="s">
        <v>46</v>
      </c>
      <c r="M77" s="38" t="s">
        <v>92</v>
      </c>
      <c r="N77" s="38"/>
      <c r="O77" s="37">
        <v>40</v>
      </c>
      <c r="P77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180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733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4"/>
      <c r="P78" s="730" t="s">
        <v>40</v>
      </c>
      <c r="Q78" s="731"/>
      <c r="R78" s="731"/>
      <c r="S78" s="731"/>
      <c r="T78" s="731"/>
      <c r="U78" s="731"/>
      <c r="V78" s="732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733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4"/>
      <c r="P79" s="730" t="s">
        <v>40</v>
      </c>
      <c r="Q79" s="731"/>
      <c r="R79" s="731"/>
      <c r="S79" s="731"/>
      <c r="T79" s="731"/>
      <c r="U79" s="731"/>
      <c r="V79" s="732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724" t="s">
        <v>181</v>
      </c>
      <c r="B80" s="724"/>
      <c r="C80" s="724"/>
      <c r="D80" s="724"/>
      <c r="E80" s="724"/>
      <c r="F80" s="724"/>
      <c r="G80" s="724"/>
      <c r="H80" s="724"/>
      <c r="I80" s="724"/>
      <c r="J80" s="724"/>
      <c r="K80" s="724"/>
      <c r="L80" s="724"/>
      <c r="M80" s="724"/>
      <c r="N80" s="724"/>
      <c r="O80" s="724"/>
      <c r="P80" s="724"/>
      <c r="Q80" s="724"/>
      <c r="R80" s="724"/>
      <c r="S80" s="724"/>
      <c r="T80" s="724"/>
      <c r="U80" s="724"/>
      <c r="V80" s="724"/>
      <c r="W80" s="724"/>
      <c r="X80" s="724"/>
      <c r="Y80" s="724"/>
      <c r="Z80" s="724"/>
      <c r="AA80" s="66"/>
      <c r="AB80" s="66"/>
      <c r="AC80" s="80"/>
    </row>
    <row r="81" spans="1:68" ht="27" customHeight="1" x14ac:dyDescent="0.25">
      <c r="A81" s="63" t="s">
        <v>182</v>
      </c>
      <c r="B81" s="63" t="s">
        <v>183</v>
      </c>
      <c r="C81" s="36">
        <v>4301060455</v>
      </c>
      <c r="D81" s="725">
        <v>4680115881532</v>
      </c>
      <c r="E81" s="72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129</v>
      </c>
      <c r="L81" s="37" t="s">
        <v>46</v>
      </c>
      <c r="M81" s="38" t="s">
        <v>99</v>
      </c>
      <c r="N81" s="38"/>
      <c r="O81" s="37">
        <v>30</v>
      </c>
      <c r="P81" s="7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7"/>
      <c r="R81" s="727"/>
      <c r="S81" s="727"/>
      <c r="T81" s="72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184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182</v>
      </c>
      <c r="B82" s="63" t="s">
        <v>185</v>
      </c>
      <c r="C82" s="36">
        <v>4301060526</v>
      </c>
      <c r="D82" s="725">
        <v>4680115881532</v>
      </c>
      <c r="E82" s="72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129</v>
      </c>
      <c r="L82" s="37" t="s">
        <v>46</v>
      </c>
      <c r="M82" s="38" t="s">
        <v>99</v>
      </c>
      <c r="N82" s="38"/>
      <c r="O82" s="37">
        <v>30</v>
      </c>
      <c r="P82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7"/>
      <c r="R82" s="727"/>
      <c r="S82" s="727"/>
      <c r="T82" s="72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186</v>
      </c>
      <c r="B83" s="63" t="s">
        <v>187</v>
      </c>
      <c r="C83" s="36">
        <v>4301060527</v>
      </c>
      <c r="D83" s="725">
        <v>4680115881464</v>
      </c>
      <c r="E83" s="72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136</v>
      </c>
      <c r="L83" s="37" t="s">
        <v>46</v>
      </c>
      <c r="M83" s="38" t="s">
        <v>92</v>
      </c>
      <c r="N83" s="38"/>
      <c r="O83" s="37">
        <v>30</v>
      </c>
      <c r="P83" s="7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7"/>
      <c r="R83" s="727"/>
      <c r="S83" s="727"/>
      <c r="T83" s="72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188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33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4"/>
      <c r="P84" s="730" t="s">
        <v>40</v>
      </c>
      <c r="Q84" s="731"/>
      <c r="R84" s="731"/>
      <c r="S84" s="731"/>
      <c r="T84" s="731"/>
      <c r="U84" s="731"/>
      <c r="V84" s="732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733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4"/>
      <c r="P85" s="730" t="s">
        <v>40</v>
      </c>
      <c r="Q85" s="731"/>
      <c r="R85" s="731"/>
      <c r="S85" s="731"/>
      <c r="T85" s="731"/>
      <c r="U85" s="731"/>
      <c r="V85" s="732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customHeight="1" x14ac:dyDescent="0.25">
      <c r="A86" s="723" t="s">
        <v>189</v>
      </c>
      <c r="B86" s="723"/>
      <c r="C86" s="723"/>
      <c r="D86" s="723"/>
      <c r="E86" s="723"/>
      <c r="F86" s="723"/>
      <c r="G86" s="723"/>
      <c r="H86" s="723"/>
      <c r="I86" s="723"/>
      <c r="J86" s="723"/>
      <c r="K86" s="723"/>
      <c r="L86" s="723"/>
      <c r="M86" s="723"/>
      <c r="N86" s="723"/>
      <c r="O86" s="723"/>
      <c r="P86" s="723"/>
      <c r="Q86" s="723"/>
      <c r="R86" s="723"/>
      <c r="S86" s="723"/>
      <c r="T86" s="723"/>
      <c r="U86" s="723"/>
      <c r="V86" s="723"/>
      <c r="W86" s="723"/>
      <c r="X86" s="723"/>
      <c r="Y86" s="723"/>
      <c r="Z86" s="723"/>
      <c r="AA86" s="65"/>
      <c r="AB86" s="65"/>
      <c r="AC86" s="79"/>
    </row>
    <row r="87" spans="1:68" ht="14.25" customHeight="1" x14ac:dyDescent="0.25">
      <c r="A87" s="724" t="s">
        <v>124</v>
      </c>
      <c r="B87" s="724"/>
      <c r="C87" s="724"/>
      <c r="D87" s="724"/>
      <c r="E87" s="724"/>
      <c r="F87" s="724"/>
      <c r="G87" s="724"/>
      <c r="H87" s="724"/>
      <c r="I87" s="724"/>
      <c r="J87" s="724"/>
      <c r="K87" s="724"/>
      <c r="L87" s="724"/>
      <c r="M87" s="724"/>
      <c r="N87" s="724"/>
      <c r="O87" s="724"/>
      <c r="P87" s="724"/>
      <c r="Q87" s="724"/>
      <c r="R87" s="724"/>
      <c r="S87" s="724"/>
      <c r="T87" s="724"/>
      <c r="U87" s="724"/>
      <c r="V87" s="724"/>
      <c r="W87" s="724"/>
      <c r="X87" s="724"/>
      <c r="Y87" s="724"/>
      <c r="Z87" s="724"/>
      <c r="AA87" s="66"/>
      <c r="AB87" s="66"/>
      <c r="AC87" s="80"/>
    </row>
    <row r="88" spans="1:68" ht="27" customHeight="1" x14ac:dyDescent="0.25">
      <c r="A88" s="63" t="s">
        <v>190</v>
      </c>
      <c r="B88" s="63" t="s">
        <v>191</v>
      </c>
      <c r="C88" s="36">
        <v>4301011468</v>
      </c>
      <c r="D88" s="725">
        <v>4680115881327</v>
      </c>
      <c r="E88" s="72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129</v>
      </c>
      <c r="L88" s="37" t="s">
        <v>46</v>
      </c>
      <c r="M88" s="38" t="s">
        <v>99</v>
      </c>
      <c r="N88" s="38"/>
      <c r="O88" s="37">
        <v>50</v>
      </c>
      <c r="P88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4301012392</v>
      </c>
      <c r="D89" s="725">
        <v>4680115887732</v>
      </c>
      <c r="E89" s="72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133</v>
      </c>
      <c r="L89" s="37" t="s">
        <v>46</v>
      </c>
      <c r="M89" s="38" t="s">
        <v>83</v>
      </c>
      <c r="N89" s="38"/>
      <c r="O89" s="37">
        <v>30</v>
      </c>
      <c r="P89" s="7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4301011476</v>
      </c>
      <c r="D90" s="725">
        <v>4680115881518</v>
      </c>
      <c r="E90" s="72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136</v>
      </c>
      <c r="L90" s="37" t="s">
        <v>46</v>
      </c>
      <c r="M90" s="38" t="s">
        <v>92</v>
      </c>
      <c r="N90" s="38"/>
      <c r="O90" s="37">
        <v>50</v>
      </c>
      <c r="P90" s="7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7"/>
      <c r="R90" s="727"/>
      <c r="S90" s="727"/>
      <c r="T90" s="72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192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198</v>
      </c>
      <c r="C91" s="36">
        <v>4301012252</v>
      </c>
      <c r="D91" s="725">
        <v>4680115881518</v>
      </c>
      <c r="E91" s="72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136</v>
      </c>
      <c r="L91" s="37" t="s">
        <v>46</v>
      </c>
      <c r="M91" s="38" t="s">
        <v>128</v>
      </c>
      <c r="N91" s="38"/>
      <c r="O91" s="37">
        <v>50</v>
      </c>
      <c r="P91" s="77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7"/>
      <c r="R91" s="727"/>
      <c r="S91" s="727"/>
      <c r="T91" s="72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192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4301012250</v>
      </c>
      <c r="D92" s="725">
        <v>4680115881303</v>
      </c>
      <c r="E92" s="72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136</v>
      </c>
      <c r="L92" s="37" t="s">
        <v>46</v>
      </c>
      <c r="M92" s="38" t="s">
        <v>128</v>
      </c>
      <c r="N92" s="38"/>
      <c r="O92" s="37">
        <v>50</v>
      </c>
      <c r="P92" s="77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7"/>
      <c r="R92" s="727"/>
      <c r="S92" s="727"/>
      <c r="T92" s="72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192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733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4"/>
      <c r="P93" s="730" t="s">
        <v>40</v>
      </c>
      <c r="Q93" s="731"/>
      <c r="R93" s="731"/>
      <c r="S93" s="731"/>
      <c r="T93" s="731"/>
      <c r="U93" s="731"/>
      <c r="V93" s="732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">
      <c r="A94" s="733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4"/>
      <c r="P94" s="730" t="s">
        <v>40</v>
      </c>
      <c r="Q94" s="731"/>
      <c r="R94" s="731"/>
      <c r="S94" s="731"/>
      <c r="T94" s="731"/>
      <c r="U94" s="731"/>
      <c r="V94" s="732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customHeight="1" x14ac:dyDescent="0.25">
      <c r="A95" s="724" t="s">
        <v>88</v>
      </c>
      <c r="B95" s="724"/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/>
      <c r="V95" s="724"/>
      <c r="W95" s="724"/>
      <c r="X95" s="724"/>
      <c r="Y95" s="724"/>
      <c r="Z95" s="724"/>
      <c r="AA95" s="66"/>
      <c r="AB95" s="66"/>
      <c r="AC95" s="80"/>
    </row>
    <row r="96" spans="1:68" ht="27" customHeight="1" x14ac:dyDescent="0.25">
      <c r="A96" s="63" t="s">
        <v>201</v>
      </c>
      <c r="B96" s="63" t="s">
        <v>202</v>
      </c>
      <c r="C96" s="36">
        <v>4301052101</v>
      </c>
      <c r="D96" s="725">
        <v>4607091386967</v>
      </c>
      <c r="E96" s="72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129</v>
      </c>
      <c r="L96" s="37" t="s">
        <v>46</v>
      </c>
      <c r="M96" s="38" t="s">
        <v>99</v>
      </c>
      <c r="N96" s="38"/>
      <c r="O96" s="37">
        <v>45</v>
      </c>
      <c r="P96" s="7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4301052090</v>
      </c>
      <c r="D97" s="725">
        <v>4680115884953</v>
      </c>
      <c r="E97" s="72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93</v>
      </c>
      <c r="L97" s="37" t="s">
        <v>46</v>
      </c>
      <c r="M97" s="38" t="s">
        <v>92</v>
      </c>
      <c r="N97" s="38"/>
      <c r="O97" s="37">
        <v>45</v>
      </c>
      <c r="P97" s="7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207</v>
      </c>
      <c r="B98" s="63" t="s">
        <v>208</v>
      </c>
      <c r="C98" s="36">
        <v>4301052094</v>
      </c>
      <c r="D98" s="725">
        <v>4607091385731</v>
      </c>
      <c r="E98" s="72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93</v>
      </c>
      <c r="L98" s="37" t="s">
        <v>46</v>
      </c>
      <c r="M98" s="38" t="s">
        <v>99</v>
      </c>
      <c r="N98" s="38"/>
      <c r="O98" s="37">
        <v>45</v>
      </c>
      <c r="P98" s="7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203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25">
        <v>4680115880894</v>
      </c>
      <c r="E99" s="72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93</v>
      </c>
      <c r="L99" s="37" t="s">
        <v>46</v>
      </c>
      <c r="M99" s="38" t="s">
        <v>92</v>
      </c>
      <c r="N99" s="38"/>
      <c r="O99" s="37">
        <v>45</v>
      </c>
      <c r="P99" s="77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7"/>
      <c r="R99" s="727"/>
      <c r="S99" s="727"/>
      <c r="T99" s="72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33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4"/>
      <c r="P101" s="730" t="s">
        <v>40</v>
      </c>
      <c r="Q101" s="731"/>
      <c r="R101" s="731"/>
      <c r="S101" s="731"/>
      <c r="T101" s="731"/>
      <c r="U101" s="731"/>
      <c r="V101" s="73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723" t="s">
        <v>212</v>
      </c>
      <c r="B102" s="723"/>
      <c r="C102" s="723"/>
      <c r="D102" s="723"/>
      <c r="E102" s="723"/>
      <c r="F102" s="723"/>
      <c r="G102" s="723"/>
      <c r="H102" s="723"/>
      <c r="I102" s="723"/>
      <c r="J102" s="723"/>
      <c r="K102" s="723"/>
      <c r="L102" s="723"/>
      <c r="M102" s="723"/>
      <c r="N102" s="723"/>
      <c r="O102" s="723"/>
      <c r="P102" s="723"/>
      <c r="Q102" s="723"/>
      <c r="R102" s="723"/>
      <c r="S102" s="723"/>
      <c r="T102" s="723"/>
      <c r="U102" s="723"/>
      <c r="V102" s="723"/>
      <c r="W102" s="723"/>
      <c r="X102" s="723"/>
      <c r="Y102" s="723"/>
      <c r="Z102" s="723"/>
      <c r="AA102" s="65"/>
      <c r="AB102" s="65"/>
      <c r="AC102" s="79"/>
    </row>
    <row r="103" spans="1:68" ht="14.25" customHeight="1" x14ac:dyDescent="0.25">
      <c r="A103" s="724" t="s">
        <v>124</v>
      </c>
      <c r="B103" s="724"/>
      <c r="C103" s="724"/>
      <c r="D103" s="724"/>
      <c r="E103" s="724"/>
      <c r="F103" s="724"/>
      <c r="G103" s="724"/>
      <c r="H103" s="724"/>
      <c r="I103" s="724"/>
      <c r="J103" s="724"/>
      <c r="K103" s="724"/>
      <c r="L103" s="724"/>
      <c r="M103" s="724"/>
      <c r="N103" s="724"/>
      <c r="O103" s="724"/>
      <c r="P103" s="724"/>
      <c r="Q103" s="724"/>
      <c r="R103" s="724"/>
      <c r="S103" s="724"/>
      <c r="T103" s="724"/>
      <c r="U103" s="724"/>
      <c r="V103" s="724"/>
      <c r="W103" s="724"/>
      <c r="X103" s="724"/>
      <c r="Y103" s="724"/>
      <c r="Z103" s="724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25">
        <v>4680115882133</v>
      </c>
      <c r="E104" s="72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129</v>
      </c>
      <c r="L104" s="37" t="s">
        <v>46</v>
      </c>
      <c r="M104" s="38" t="s">
        <v>128</v>
      </c>
      <c r="N104" s="38"/>
      <c r="O104" s="37">
        <v>50</v>
      </c>
      <c r="P104" s="7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4301012256</v>
      </c>
      <c r="D105" s="725">
        <v>4680115882133</v>
      </c>
      <c r="E105" s="72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129</v>
      </c>
      <c r="L105" s="37" t="s">
        <v>46</v>
      </c>
      <c r="M105" s="38" t="s">
        <v>128</v>
      </c>
      <c r="N105" s="38"/>
      <c r="O105" s="37">
        <v>50</v>
      </c>
      <c r="P105" s="77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218</v>
      </c>
      <c r="B106" s="63" t="s">
        <v>219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133</v>
      </c>
      <c r="L106" s="37" t="s">
        <v>46</v>
      </c>
      <c r="M106" s="38" t="s">
        <v>83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220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136</v>
      </c>
      <c r="L107" s="37" t="s">
        <v>46</v>
      </c>
      <c r="M107" s="38" t="s">
        <v>92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215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223</v>
      </c>
      <c r="C108" s="36">
        <v>4301012253</v>
      </c>
      <c r="D108" s="725">
        <v>4680115880269</v>
      </c>
      <c r="E108" s="72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136</v>
      </c>
      <c r="L108" s="37" t="s">
        <v>46</v>
      </c>
      <c r="M108" s="38" t="s">
        <v>128</v>
      </c>
      <c r="N108" s="38"/>
      <c r="O108" s="37">
        <v>50</v>
      </c>
      <c r="P108" s="78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217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136</v>
      </c>
      <c r="L109" s="37" t="s">
        <v>46</v>
      </c>
      <c r="M109" s="38" t="s">
        <v>128</v>
      </c>
      <c r="N109" s="38"/>
      <c r="O109" s="37">
        <v>50</v>
      </c>
      <c r="P109" s="78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217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226</v>
      </c>
      <c r="B110" s="63" t="s">
        <v>227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136</v>
      </c>
      <c r="L110" s="37" t="s">
        <v>46</v>
      </c>
      <c r="M110" s="38" t="s">
        <v>92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215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226</v>
      </c>
      <c r="B111" s="63" t="s">
        <v>228</v>
      </c>
      <c r="C111" s="36">
        <v>4301012255</v>
      </c>
      <c r="D111" s="725">
        <v>4680115881457</v>
      </c>
      <c r="E111" s="72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136</v>
      </c>
      <c r="L111" s="37" t="s">
        <v>46</v>
      </c>
      <c r="M111" s="38" t="s">
        <v>128</v>
      </c>
      <c r="N111" s="38"/>
      <c r="O111" s="37">
        <v>50</v>
      </c>
      <c r="P111" s="7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7"/>
      <c r="R111" s="727"/>
      <c r="S111" s="727"/>
      <c r="T111" s="72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217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229</v>
      </c>
      <c r="B112" s="63" t="s">
        <v>230</v>
      </c>
      <c r="C112" s="36">
        <v>4301012366</v>
      </c>
      <c r="D112" s="725">
        <v>4680115889477</v>
      </c>
      <c r="E112" s="7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93</v>
      </c>
      <c r="L112" s="37" t="s">
        <v>46</v>
      </c>
      <c r="M112" s="38" t="s">
        <v>128</v>
      </c>
      <c r="N112" s="38"/>
      <c r="O112" s="37">
        <v>55</v>
      </c>
      <c r="P112" s="7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7"/>
      <c r="R112" s="727"/>
      <c r="S112" s="727"/>
      <c r="T112" s="72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231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3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4"/>
      <c r="P113" s="730" t="s">
        <v>40</v>
      </c>
      <c r="Q113" s="731"/>
      <c r="R113" s="731"/>
      <c r="S113" s="731"/>
      <c r="T113" s="731"/>
      <c r="U113" s="731"/>
      <c r="V113" s="73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33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4"/>
      <c r="P114" s="730" t="s">
        <v>40</v>
      </c>
      <c r="Q114" s="731"/>
      <c r="R114" s="731"/>
      <c r="S114" s="731"/>
      <c r="T114" s="731"/>
      <c r="U114" s="731"/>
      <c r="V114" s="73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724" t="s">
        <v>161</v>
      </c>
      <c r="B115" s="724"/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4"/>
      <c r="W115" s="724"/>
      <c r="X115" s="724"/>
      <c r="Y115" s="724"/>
      <c r="Z115" s="724"/>
      <c r="AA115" s="66"/>
      <c r="AB115" s="66"/>
      <c r="AC115" s="80"/>
    </row>
    <row r="116" spans="1:68" ht="27" customHeight="1" x14ac:dyDescent="0.25">
      <c r="A116" s="63" t="s">
        <v>232</v>
      </c>
      <c r="B116" s="63" t="s">
        <v>233</v>
      </c>
      <c r="C116" s="36">
        <v>4301020391</v>
      </c>
      <c r="D116" s="725">
        <v>4680115881488</v>
      </c>
      <c r="E116" s="72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129</v>
      </c>
      <c r="L116" s="37" t="s">
        <v>46</v>
      </c>
      <c r="M116" s="38" t="s">
        <v>128</v>
      </c>
      <c r="N116" s="38"/>
      <c r="O116" s="37">
        <v>55</v>
      </c>
      <c r="P116" s="7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84</v>
      </c>
      <c r="L117" s="37" t="s">
        <v>46</v>
      </c>
      <c r="M117" s="38" t="s">
        <v>128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93</v>
      </c>
      <c r="L118" s="37" t="s">
        <v>46</v>
      </c>
      <c r="M118" s="38" t="s">
        <v>128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234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724" t="s">
        <v>88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4301052088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129</v>
      </c>
      <c r="L122" s="37" t="s">
        <v>46</v>
      </c>
      <c r="M122" s="38" t="s">
        <v>92</v>
      </c>
      <c r="N122" s="38"/>
      <c r="O122" s="37">
        <v>45</v>
      </c>
      <c r="P122" s="79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242</v>
      </c>
      <c r="B123" s="63" t="s">
        <v>243</v>
      </c>
      <c r="C123" s="36">
        <v>4301052087</v>
      </c>
      <c r="D123" s="725">
        <v>4607091383256</v>
      </c>
      <c r="E123" s="72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93</v>
      </c>
      <c r="L123" s="37" t="s">
        <v>46</v>
      </c>
      <c r="M123" s="38" t="s">
        <v>92</v>
      </c>
      <c r="N123" s="38"/>
      <c r="O123" s="37">
        <v>45</v>
      </c>
      <c r="P123" s="791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4301052086</v>
      </c>
      <c r="D124" s="725">
        <v>4607091385748</v>
      </c>
      <c r="E124" s="72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93</v>
      </c>
      <c r="L124" s="37" t="s">
        <v>46</v>
      </c>
      <c r="M124" s="38" t="s">
        <v>92</v>
      </c>
      <c r="N124" s="38"/>
      <c r="O124" s="37">
        <v>45</v>
      </c>
      <c r="P124" s="79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246</v>
      </c>
      <c r="B125" s="63" t="s">
        <v>247</v>
      </c>
      <c r="C125" s="36">
        <v>4301052085</v>
      </c>
      <c r="D125" s="725">
        <v>4680115884533</v>
      </c>
      <c r="E125" s="72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93</v>
      </c>
      <c r="L125" s="37" t="s">
        <v>46</v>
      </c>
      <c r="M125" s="38" t="s">
        <v>92</v>
      </c>
      <c r="N125" s="38"/>
      <c r="O125" s="37">
        <v>45</v>
      </c>
      <c r="P125" s="79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248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3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4"/>
      <c r="P126" s="730" t="s">
        <v>40</v>
      </c>
      <c r="Q126" s="731"/>
      <c r="R126" s="731"/>
      <c r="S126" s="731"/>
      <c r="T126" s="731"/>
      <c r="U126" s="731"/>
      <c r="V126" s="73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4"/>
      <c r="P127" s="730" t="s">
        <v>40</v>
      </c>
      <c r="Q127" s="731"/>
      <c r="R127" s="731"/>
      <c r="S127" s="731"/>
      <c r="T127" s="731"/>
      <c r="U127" s="731"/>
      <c r="V127" s="73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724" t="s">
        <v>181</v>
      </c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4"/>
      <c r="P128" s="724"/>
      <c r="Q128" s="724"/>
      <c r="R128" s="724"/>
      <c r="S128" s="724"/>
      <c r="T128" s="724"/>
      <c r="U128" s="724"/>
      <c r="V128" s="724"/>
      <c r="W128" s="724"/>
      <c r="X128" s="724"/>
      <c r="Y128" s="724"/>
      <c r="Z128" s="724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4301060525</v>
      </c>
      <c r="D129" s="725">
        <v>4680115880238</v>
      </c>
      <c r="E129" s="72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93</v>
      </c>
      <c r="L129" s="37" t="s">
        <v>46</v>
      </c>
      <c r="M129" s="38" t="s">
        <v>92</v>
      </c>
      <c r="N129" s="38"/>
      <c r="O129" s="37">
        <v>40</v>
      </c>
      <c r="P129" s="79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7"/>
      <c r="R129" s="727"/>
      <c r="S129" s="727"/>
      <c r="T129" s="72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251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733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4"/>
      <c r="P131" s="730" t="s">
        <v>40</v>
      </c>
      <c r="Q131" s="731"/>
      <c r="R131" s="731"/>
      <c r="S131" s="731"/>
      <c r="T131" s="731"/>
      <c r="U131" s="731"/>
      <c r="V131" s="73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723" t="s">
        <v>252</v>
      </c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3"/>
      <c r="P132" s="723"/>
      <c r="Q132" s="723"/>
      <c r="R132" s="723"/>
      <c r="S132" s="723"/>
      <c r="T132" s="723"/>
      <c r="U132" s="723"/>
      <c r="V132" s="723"/>
      <c r="W132" s="723"/>
      <c r="X132" s="723"/>
      <c r="Y132" s="723"/>
      <c r="Z132" s="723"/>
      <c r="AA132" s="65"/>
      <c r="AB132" s="65"/>
      <c r="AC132" s="79"/>
    </row>
    <row r="133" spans="1:68" ht="14.25" customHeight="1" x14ac:dyDescent="0.25">
      <c r="A133" s="724" t="s">
        <v>124</v>
      </c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4"/>
      <c r="P133" s="724"/>
      <c r="Q133" s="724"/>
      <c r="R133" s="724"/>
      <c r="S133" s="724"/>
      <c r="T133" s="724"/>
      <c r="U133" s="724"/>
      <c r="V133" s="724"/>
      <c r="W133" s="724"/>
      <c r="X133" s="724"/>
      <c r="Y133" s="724"/>
      <c r="Z133" s="724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725">
        <v>4680115882577</v>
      </c>
      <c r="E134" s="72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93</v>
      </c>
      <c r="L134" s="37" t="s">
        <v>46</v>
      </c>
      <c r="M134" s="38" t="s">
        <v>256</v>
      </c>
      <c r="N134" s="38"/>
      <c r="O134" s="37">
        <v>90</v>
      </c>
      <c r="P134" s="79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7"/>
      <c r="R134" s="727"/>
      <c r="S134" s="727"/>
      <c r="T134" s="72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255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257</v>
      </c>
      <c r="C135" s="36">
        <v>4301011564</v>
      </c>
      <c r="D135" s="725">
        <v>4680115882577</v>
      </c>
      <c r="E135" s="72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93</v>
      </c>
      <c r="L135" s="37" t="s">
        <v>46</v>
      </c>
      <c r="M135" s="38" t="s">
        <v>256</v>
      </c>
      <c r="N135" s="38"/>
      <c r="O135" s="37">
        <v>90</v>
      </c>
      <c r="P13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7"/>
      <c r="R135" s="727"/>
      <c r="S135" s="727"/>
      <c r="T135" s="72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255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33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4"/>
      <c r="P136" s="730" t="s">
        <v>40</v>
      </c>
      <c r="Q136" s="731"/>
      <c r="R136" s="731"/>
      <c r="S136" s="731"/>
      <c r="T136" s="731"/>
      <c r="U136" s="731"/>
      <c r="V136" s="73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33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4"/>
      <c r="P137" s="730" t="s">
        <v>40</v>
      </c>
      <c r="Q137" s="731"/>
      <c r="R137" s="731"/>
      <c r="S137" s="731"/>
      <c r="T137" s="731"/>
      <c r="U137" s="731"/>
      <c r="V137" s="73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724" t="s">
        <v>79</v>
      </c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4"/>
      <c r="P138" s="724"/>
      <c r="Q138" s="724"/>
      <c r="R138" s="724"/>
      <c r="S138" s="724"/>
      <c r="T138" s="724"/>
      <c r="U138" s="724"/>
      <c r="V138" s="724"/>
      <c r="W138" s="724"/>
      <c r="X138" s="724"/>
      <c r="Y138" s="724"/>
      <c r="Z138" s="724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725">
        <v>4680115883444</v>
      </c>
      <c r="E139" s="72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93</v>
      </c>
      <c r="L139" s="37" t="s">
        <v>46</v>
      </c>
      <c r="M139" s="38" t="s">
        <v>256</v>
      </c>
      <c r="N139" s="38"/>
      <c r="O139" s="37">
        <v>90</v>
      </c>
      <c r="P139" s="7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260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725">
        <v>4680115883444</v>
      </c>
      <c r="E140" s="72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93</v>
      </c>
      <c r="L140" s="37" t="s">
        <v>46</v>
      </c>
      <c r="M140" s="38" t="s">
        <v>256</v>
      </c>
      <c r="N140" s="38"/>
      <c r="O140" s="37">
        <v>90</v>
      </c>
      <c r="P14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7"/>
      <c r="R140" s="727"/>
      <c r="S140" s="727"/>
      <c r="T140" s="72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260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733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4"/>
      <c r="P142" s="730" t="s">
        <v>40</v>
      </c>
      <c r="Q142" s="731"/>
      <c r="R142" s="731"/>
      <c r="S142" s="731"/>
      <c r="T142" s="731"/>
      <c r="U142" s="731"/>
      <c r="V142" s="73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724" t="s">
        <v>88</v>
      </c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4"/>
      <c r="P143" s="724"/>
      <c r="Q143" s="724"/>
      <c r="R143" s="724"/>
      <c r="S143" s="724"/>
      <c r="T143" s="724"/>
      <c r="U143" s="724"/>
      <c r="V143" s="724"/>
      <c r="W143" s="724"/>
      <c r="X143" s="724"/>
      <c r="Y143" s="724"/>
      <c r="Z143" s="724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725">
        <v>4680115882584</v>
      </c>
      <c r="E144" s="72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93</v>
      </c>
      <c r="L144" s="37" t="s">
        <v>46</v>
      </c>
      <c r="M144" s="38" t="s">
        <v>256</v>
      </c>
      <c r="N144" s="38"/>
      <c r="O144" s="37">
        <v>60</v>
      </c>
      <c r="P144" s="7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255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725">
        <v>4680115882584</v>
      </c>
      <c r="E145" s="72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93</v>
      </c>
      <c r="L145" s="37" t="s">
        <v>46</v>
      </c>
      <c r="M145" s="38" t="s">
        <v>256</v>
      </c>
      <c r="N145" s="38"/>
      <c r="O145" s="37">
        <v>60</v>
      </c>
      <c r="P145" s="8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7"/>
      <c r="R145" s="727"/>
      <c r="S145" s="727"/>
      <c r="T145" s="72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255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733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4"/>
      <c r="P147" s="730" t="s">
        <v>40</v>
      </c>
      <c r="Q147" s="731"/>
      <c r="R147" s="731"/>
      <c r="S147" s="731"/>
      <c r="T147" s="731"/>
      <c r="U147" s="731"/>
      <c r="V147" s="7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723" t="s">
        <v>265</v>
      </c>
      <c r="B148" s="723"/>
      <c r="C148" s="723"/>
      <c r="D148" s="723"/>
      <c r="E148" s="723"/>
      <c r="F148" s="723"/>
      <c r="G148" s="723"/>
      <c r="H148" s="723"/>
      <c r="I148" s="723"/>
      <c r="J148" s="723"/>
      <c r="K148" s="723"/>
      <c r="L148" s="723"/>
      <c r="M148" s="723"/>
      <c r="N148" s="723"/>
      <c r="O148" s="723"/>
      <c r="P148" s="723"/>
      <c r="Q148" s="723"/>
      <c r="R148" s="723"/>
      <c r="S148" s="723"/>
      <c r="T148" s="723"/>
      <c r="U148" s="723"/>
      <c r="V148" s="723"/>
      <c r="W148" s="723"/>
      <c r="X148" s="723"/>
      <c r="Y148" s="723"/>
      <c r="Z148" s="723"/>
      <c r="AA148" s="65"/>
      <c r="AB148" s="65"/>
      <c r="AC148" s="79"/>
    </row>
    <row r="149" spans="1:68" ht="14.25" customHeight="1" x14ac:dyDescent="0.25">
      <c r="A149" s="724" t="s">
        <v>88</v>
      </c>
      <c r="B149" s="724"/>
      <c r="C149" s="724"/>
      <c r="D149" s="724"/>
      <c r="E149" s="724"/>
      <c r="F149" s="724"/>
      <c r="G149" s="724"/>
      <c r="H149" s="724"/>
      <c r="I149" s="724"/>
      <c r="J149" s="724"/>
      <c r="K149" s="724"/>
      <c r="L149" s="724"/>
      <c r="M149" s="724"/>
      <c r="N149" s="724"/>
      <c r="O149" s="724"/>
      <c r="P149" s="724"/>
      <c r="Q149" s="724"/>
      <c r="R149" s="724"/>
      <c r="S149" s="724"/>
      <c r="T149" s="724"/>
      <c r="U149" s="724"/>
      <c r="V149" s="724"/>
      <c r="W149" s="724"/>
      <c r="X149" s="724"/>
      <c r="Y149" s="724"/>
      <c r="Z149" s="724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4301052254</v>
      </c>
      <c r="D150" s="725">
        <v>4680115888203</v>
      </c>
      <c r="E150" s="72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93</v>
      </c>
      <c r="L150" s="37" t="s">
        <v>46</v>
      </c>
      <c r="M150" s="38" t="s">
        <v>99</v>
      </c>
      <c r="N150" s="38"/>
      <c r="O150" s="37">
        <v>40</v>
      </c>
      <c r="P150" s="80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7"/>
      <c r="R150" s="727"/>
      <c r="S150" s="727"/>
      <c r="T150" s="72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725">
        <v>4680115888180</v>
      </c>
      <c r="E151" s="72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93</v>
      </c>
      <c r="L151" s="37" t="s">
        <v>46</v>
      </c>
      <c r="M151" s="38" t="s">
        <v>99</v>
      </c>
      <c r="N151" s="38"/>
      <c r="O151" s="37">
        <v>40</v>
      </c>
      <c r="P151" s="80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7"/>
      <c r="R151" s="727"/>
      <c r="S151" s="727"/>
      <c r="T151" s="72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271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269</v>
      </c>
      <c r="B152" s="63" t="s">
        <v>272</v>
      </c>
      <c r="C152" s="36">
        <v>4301052252</v>
      </c>
      <c r="D152" s="725">
        <v>4680115888180</v>
      </c>
      <c r="E152" s="72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93</v>
      </c>
      <c r="L152" s="37" t="s">
        <v>46</v>
      </c>
      <c r="M152" s="38" t="s">
        <v>99</v>
      </c>
      <c r="N152" s="38"/>
      <c r="O152" s="37">
        <v>40</v>
      </c>
      <c r="P152" s="80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7"/>
      <c r="R152" s="727"/>
      <c r="S152" s="727"/>
      <c r="T152" s="72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271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4301052253</v>
      </c>
      <c r="D153" s="725">
        <v>4680115888197</v>
      </c>
      <c r="E153" s="72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93</v>
      </c>
      <c r="L153" s="37" t="s">
        <v>46</v>
      </c>
      <c r="M153" s="38" t="s">
        <v>99</v>
      </c>
      <c r="N153" s="38"/>
      <c r="O153" s="37">
        <v>40</v>
      </c>
      <c r="P153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7"/>
      <c r="R153" s="727"/>
      <c r="S153" s="727"/>
      <c r="T153" s="72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276</v>
      </c>
      <c r="B154" s="63" t="s">
        <v>277</v>
      </c>
      <c r="C154" s="36">
        <v>4301052175</v>
      </c>
      <c r="D154" s="725">
        <v>4680115888210</v>
      </c>
      <c r="E154" s="72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93</v>
      </c>
      <c r="L154" s="37" t="s">
        <v>46</v>
      </c>
      <c r="M154" s="38" t="s">
        <v>99</v>
      </c>
      <c r="N154" s="38"/>
      <c r="O154" s="37">
        <v>40</v>
      </c>
      <c r="P154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278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276</v>
      </c>
      <c r="B155" s="63" t="s">
        <v>279</v>
      </c>
      <c r="C155" s="36">
        <v>4301052255</v>
      </c>
      <c r="D155" s="725">
        <v>4680115888210</v>
      </c>
      <c r="E155" s="72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93</v>
      </c>
      <c r="L155" s="37" t="s">
        <v>46</v>
      </c>
      <c r="M155" s="38" t="s">
        <v>99</v>
      </c>
      <c r="N155" s="38"/>
      <c r="O155" s="37">
        <v>40</v>
      </c>
      <c r="P155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33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4"/>
      <c r="P156" s="730" t="s">
        <v>40</v>
      </c>
      <c r="Q156" s="731"/>
      <c r="R156" s="731"/>
      <c r="S156" s="731"/>
      <c r="T156" s="731"/>
      <c r="U156" s="731"/>
      <c r="V156" s="73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4"/>
      <c r="P157" s="730" t="s">
        <v>40</v>
      </c>
      <c r="Q157" s="731"/>
      <c r="R157" s="731"/>
      <c r="S157" s="731"/>
      <c r="T157" s="731"/>
      <c r="U157" s="731"/>
      <c r="V157" s="73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724" t="s">
        <v>280</v>
      </c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4"/>
      <c r="P158" s="724"/>
      <c r="Q158" s="724"/>
      <c r="R158" s="724"/>
      <c r="S158" s="724"/>
      <c r="T158" s="724"/>
      <c r="U158" s="724"/>
      <c r="V158" s="724"/>
      <c r="W158" s="724"/>
      <c r="X158" s="724"/>
      <c r="Y158" s="724"/>
      <c r="Z158" s="724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4301032067</v>
      </c>
      <c r="D159" s="725">
        <v>4680115889132</v>
      </c>
      <c r="E159" s="72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286</v>
      </c>
      <c r="L159" s="37" t="s">
        <v>46</v>
      </c>
      <c r="M159" s="38" t="s">
        <v>285</v>
      </c>
      <c r="N159" s="38"/>
      <c r="O159" s="37">
        <v>120</v>
      </c>
      <c r="P159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283</v>
      </c>
      <c r="AG159" s="78"/>
      <c r="AJ159" s="84" t="s">
        <v>46</v>
      </c>
      <c r="AK159" s="84">
        <v>0</v>
      </c>
      <c r="BB159" s="235" t="s">
        <v>284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33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4"/>
      <c r="P160" s="730" t="s">
        <v>40</v>
      </c>
      <c r="Q160" s="731"/>
      <c r="R160" s="731"/>
      <c r="S160" s="731"/>
      <c r="T160" s="731"/>
      <c r="U160" s="731"/>
      <c r="V160" s="73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23" t="s">
        <v>122</v>
      </c>
      <c r="B162" s="723"/>
      <c r="C162" s="723"/>
      <c r="D162" s="723"/>
      <c r="E162" s="723"/>
      <c r="F162" s="723"/>
      <c r="G162" s="723"/>
      <c r="H162" s="723"/>
      <c r="I162" s="723"/>
      <c r="J162" s="723"/>
      <c r="K162" s="723"/>
      <c r="L162" s="723"/>
      <c r="M162" s="723"/>
      <c r="N162" s="723"/>
      <c r="O162" s="723"/>
      <c r="P162" s="723"/>
      <c r="Q162" s="723"/>
      <c r="R162" s="723"/>
      <c r="S162" s="723"/>
      <c r="T162" s="723"/>
      <c r="U162" s="723"/>
      <c r="V162" s="723"/>
      <c r="W162" s="723"/>
      <c r="X162" s="723"/>
      <c r="Y162" s="723"/>
      <c r="Z162" s="723"/>
      <c r="AA162" s="65"/>
      <c r="AB162" s="65"/>
      <c r="AC162" s="79"/>
    </row>
    <row r="163" spans="1:68" ht="14.25" customHeight="1" x14ac:dyDescent="0.25">
      <c r="A163" s="724" t="s">
        <v>124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customHeight="1" x14ac:dyDescent="0.25">
      <c r="A164" s="63" t="s">
        <v>287</v>
      </c>
      <c r="B164" s="63" t="s">
        <v>288</v>
      </c>
      <c r="C164" s="36">
        <v>4301012338</v>
      </c>
      <c r="D164" s="725">
        <v>4680115887374</v>
      </c>
      <c r="E164" s="72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129</v>
      </c>
      <c r="L164" s="37" t="s">
        <v>46</v>
      </c>
      <c r="M164" s="38" t="s">
        <v>128</v>
      </c>
      <c r="N164" s="38"/>
      <c r="O164" s="37">
        <v>55</v>
      </c>
      <c r="P164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290</v>
      </c>
      <c r="B165" s="63" t="s">
        <v>291</v>
      </c>
      <c r="C165" s="36">
        <v>4301011705</v>
      </c>
      <c r="D165" s="725">
        <v>4607091384604</v>
      </c>
      <c r="E165" s="72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136</v>
      </c>
      <c r="L165" s="37" t="s">
        <v>46</v>
      </c>
      <c r="M165" s="38" t="s">
        <v>128</v>
      </c>
      <c r="N165" s="38"/>
      <c r="O165" s="37">
        <v>50</v>
      </c>
      <c r="P165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7"/>
      <c r="R165" s="727"/>
      <c r="S165" s="727"/>
      <c r="T165" s="72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292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290</v>
      </c>
      <c r="B166" s="63" t="s">
        <v>293</v>
      </c>
      <c r="C166" s="36">
        <v>4301012258</v>
      </c>
      <c r="D166" s="725">
        <v>4607091384604</v>
      </c>
      <c r="E166" s="72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136</v>
      </c>
      <c r="L166" s="37" t="s">
        <v>46</v>
      </c>
      <c r="M166" s="38" t="s">
        <v>128</v>
      </c>
      <c r="N166" s="38"/>
      <c r="O166" s="37">
        <v>50</v>
      </c>
      <c r="P166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7"/>
      <c r="R166" s="727"/>
      <c r="S166" s="727"/>
      <c r="T166" s="72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292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294</v>
      </c>
      <c r="B167" s="63" t="s">
        <v>295</v>
      </c>
      <c r="C167" s="36">
        <v>4301012344</v>
      </c>
      <c r="D167" s="725">
        <v>4680115888876</v>
      </c>
      <c r="E167" s="72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93</v>
      </c>
      <c r="L167" s="37" t="s">
        <v>46</v>
      </c>
      <c r="M167" s="38" t="s">
        <v>92</v>
      </c>
      <c r="N167" s="38"/>
      <c r="O167" s="37">
        <v>55</v>
      </c>
      <c r="P167" s="81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7"/>
      <c r="R167" s="727"/>
      <c r="S167" s="727"/>
      <c r="T167" s="72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296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33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4"/>
      <c r="P168" s="730" t="s">
        <v>40</v>
      </c>
      <c r="Q168" s="731"/>
      <c r="R168" s="731"/>
      <c r="S168" s="731"/>
      <c r="T168" s="731"/>
      <c r="U168" s="731"/>
      <c r="V168" s="73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4"/>
      <c r="P169" s="730" t="s">
        <v>40</v>
      </c>
      <c r="Q169" s="731"/>
      <c r="R169" s="731"/>
      <c r="S169" s="731"/>
      <c r="T169" s="731"/>
      <c r="U169" s="731"/>
      <c r="V169" s="73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724" t="s">
        <v>161</v>
      </c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4"/>
      <c r="P170" s="724"/>
      <c r="Q170" s="724"/>
      <c r="R170" s="724"/>
      <c r="S170" s="724"/>
      <c r="T170" s="724"/>
      <c r="U170" s="724"/>
      <c r="V170" s="724"/>
      <c r="W170" s="724"/>
      <c r="X170" s="724"/>
      <c r="Y170" s="724"/>
      <c r="Z170" s="724"/>
      <c r="AA170" s="66"/>
      <c r="AB170" s="66"/>
      <c r="AC170" s="80"/>
    </row>
    <row r="171" spans="1:68" ht="16.5" customHeight="1" x14ac:dyDescent="0.25">
      <c r="A171" s="63" t="s">
        <v>297</v>
      </c>
      <c r="B171" s="63" t="s">
        <v>298</v>
      </c>
      <c r="C171" s="36">
        <v>4301020410</v>
      </c>
      <c r="D171" s="725">
        <v>4680115887695</v>
      </c>
      <c r="E171" s="72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84</v>
      </c>
      <c r="L171" s="37" t="s">
        <v>46</v>
      </c>
      <c r="M171" s="38" t="s">
        <v>83</v>
      </c>
      <c r="N171" s="38"/>
      <c r="O171" s="37">
        <v>30</v>
      </c>
      <c r="P171" s="8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300</v>
      </c>
      <c r="B172" s="63" t="s">
        <v>301</v>
      </c>
      <c r="C172" s="36">
        <v>4301020439</v>
      </c>
      <c r="D172" s="725">
        <v>4680115889491</v>
      </c>
      <c r="E172" s="72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84</v>
      </c>
      <c r="L172" s="37" t="s">
        <v>46</v>
      </c>
      <c r="M172" s="38" t="s">
        <v>128</v>
      </c>
      <c r="N172" s="38"/>
      <c r="O172" s="37">
        <v>55</v>
      </c>
      <c r="P172" s="81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7"/>
      <c r="R172" s="727"/>
      <c r="S172" s="727"/>
      <c r="T172" s="72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302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733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4"/>
      <c r="P174" s="730" t="s">
        <v>40</v>
      </c>
      <c r="Q174" s="731"/>
      <c r="R174" s="731"/>
      <c r="S174" s="731"/>
      <c r="T174" s="731"/>
      <c r="U174" s="731"/>
      <c r="V174" s="73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724" t="s">
        <v>79</v>
      </c>
      <c r="B175" s="724"/>
      <c r="C175" s="724"/>
      <c r="D175" s="724"/>
      <c r="E175" s="724"/>
      <c r="F175" s="724"/>
      <c r="G175" s="724"/>
      <c r="H175" s="724"/>
      <c r="I175" s="724"/>
      <c r="J175" s="724"/>
      <c r="K175" s="724"/>
      <c r="L175" s="724"/>
      <c r="M175" s="724"/>
      <c r="N175" s="724"/>
      <c r="O175" s="724"/>
      <c r="P175" s="724"/>
      <c r="Q175" s="724"/>
      <c r="R175" s="724"/>
      <c r="S175" s="724"/>
      <c r="T175" s="724"/>
      <c r="U175" s="724"/>
      <c r="V175" s="724"/>
      <c r="W175" s="724"/>
      <c r="X175" s="724"/>
      <c r="Y175" s="724"/>
      <c r="Z175" s="724"/>
      <c r="AA175" s="66"/>
      <c r="AB175" s="66"/>
      <c r="AC175" s="80"/>
    </row>
    <row r="176" spans="1:68" ht="27" customHeight="1" x14ac:dyDescent="0.25">
      <c r="A176" s="63" t="s">
        <v>303</v>
      </c>
      <c r="B176" s="63" t="s">
        <v>304</v>
      </c>
      <c r="C176" s="36">
        <v>4301031496</v>
      </c>
      <c r="D176" s="725">
        <v>4680115887428</v>
      </c>
      <c r="E176" s="72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136</v>
      </c>
      <c r="L176" s="37" t="s">
        <v>46</v>
      </c>
      <c r="M176" s="38" t="s">
        <v>83</v>
      </c>
      <c r="N176" s="38"/>
      <c r="O176" s="37">
        <v>40</v>
      </c>
      <c r="P176" s="81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4301031509</v>
      </c>
      <c r="D177" s="725">
        <v>4680115889170</v>
      </c>
      <c r="E177" s="72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136</v>
      </c>
      <c r="L177" s="37" t="s">
        <v>46</v>
      </c>
      <c r="M177" s="38" t="s">
        <v>83</v>
      </c>
      <c r="N177" s="38"/>
      <c r="O177" s="37">
        <v>45</v>
      </c>
      <c r="P177" s="81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7"/>
      <c r="R177" s="727"/>
      <c r="S177" s="727"/>
      <c r="T177" s="72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309</v>
      </c>
      <c r="B178" s="63" t="s">
        <v>310</v>
      </c>
      <c r="C178" s="36">
        <v>4301031522</v>
      </c>
      <c r="D178" s="725">
        <v>4680115887398</v>
      </c>
      <c r="E178" s="72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136</v>
      </c>
      <c r="L178" s="37" t="s">
        <v>46</v>
      </c>
      <c r="M178" s="38" t="s">
        <v>83</v>
      </c>
      <c r="N178" s="38"/>
      <c r="O178" s="37">
        <v>45</v>
      </c>
      <c r="P178" s="81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7"/>
      <c r="R178" s="727"/>
      <c r="S178" s="727"/>
      <c r="T178" s="72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312</v>
      </c>
      <c r="B179" s="63" t="s">
        <v>313</v>
      </c>
      <c r="C179" s="36">
        <v>4301031520</v>
      </c>
      <c r="D179" s="725">
        <v>4680115887336</v>
      </c>
      <c r="E179" s="72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136</v>
      </c>
      <c r="L179" s="37" t="s">
        <v>46</v>
      </c>
      <c r="M179" s="38" t="s">
        <v>83</v>
      </c>
      <c r="N179" s="38"/>
      <c r="O179" s="37">
        <v>45</v>
      </c>
      <c r="P179" s="81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7"/>
      <c r="R179" s="727"/>
      <c r="S179" s="727"/>
      <c r="T179" s="72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4301032049</v>
      </c>
      <c r="D180" s="725">
        <v>4680115887787</v>
      </c>
      <c r="E180" s="72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133</v>
      </c>
      <c r="L180" s="37" t="s">
        <v>46</v>
      </c>
      <c r="M180" s="38" t="s">
        <v>83</v>
      </c>
      <c r="N180" s="38"/>
      <c r="O180" s="37">
        <v>45</v>
      </c>
      <c r="P180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317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315</v>
      </c>
      <c r="B181" s="63" t="s">
        <v>318</v>
      </c>
      <c r="C181" s="36">
        <v>4301031528</v>
      </c>
      <c r="D181" s="725">
        <v>4680115887787</v>
      </c>
      <c r="E181" s="72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133</v>
      </c>
      <c r="L181" s="37" t="s">
        <v>46</v>
      </c>
      <c r="M181" s="38" t="s">
        <v>83</v>
      </c>
      <c r="N181" s="38"/>
      <c r="O181" s="37">
        <v>45</v>
      </c>
      <c r="P181" s="81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4301031448</v>
      </c>
      <c r="D182" s="725">
        <v>4680115887503</v>
      </c>
      <c r="E182" s="72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84</v>
      </c>
      <c r="L182" s="37" t="s">
        <v>46</v>
      </c>
      <c r="M182" s="38" t="s">
        <v>83</v>
      </c>
      <c r="N182" s="38"/>
      <c r="O182" s="37">
        <v>40</v>
      </c>
      <c r="P18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305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4301031389</v>
      </c>
      <c r="D183" s="725">
        <v>4680115887763</v>
      </c>
      <c r="E183" s="72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133</v>
      </c>
      <c r="L183" s="37" t="s">
        <v>46</v>
      </c>
      <c r="M183" s="38" t="s">
        <v>83</v>
      </c>
      <c r="N183" s="38"/>
      <c r="O183" s="37">
        <v>45</v>
      </c>
      <c r="P18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323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4301031521</v>
      </c>
      <c r="D184" s="725">
        <v>4680115887480</v>
      </c>
      <c r="E184" s="72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84</v>
      </c>
      <c r="L184" s="37" t="s">
        <v>46</v>
      </c>
      <c r="M184" s="38" t="s">
        <v>83</v>
      </c>
      <c r="N184" s="38"/>
      <c r="O184" s="37">
        <v>45</v>
      </c>
      <c r="P184" s="82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311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4301031434</v>
      </c>
      <c r="D185" s="725">
        <v>4680115888067</v>
      </c>
      <c r="E185" s="72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133</v>
      </c>
      <c r="L185" s="37" t="s">
        <v>46</v>
      </c>
      <c r="M185" s="38" t="s">
        <v>83</v>
      </c>
      <c r="N185" s="38"/>
      <c r="O185" s="37">
        <v>45</v>
      </c>
      <c r="P185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329</v>
      </c>
      <c r="B186" s="63" t="s">
        <v>330</v>
      </c>
      <c r="C186" s="36">
        <v>4301031519</v>
      </c>
      <c r="D186" s="725">
        <v>4680115887435</v>
      </c>
      <c r="E186" s="72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84</v>
      </c>
      <c r="L186" s="37" t="s">
        <v>46</v>
      </c>
      <c r="M186" s="38" t="s">
        <v>83</v>
      </c>
      <c r="N186" s="38"/>
      <c r="O186" s="37">
        <v>45</v>
      </c>
      <c r="P186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314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733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4"/>
      <c r="P187" s="730" t="s">
        <v>40</v>
      </c>
      <c r="Q187" s="731"/>
      <c r="R187" s="731"/>
      <c r="S187" s="731"/>
      <c r="T187" s="731"/>
      <c r="U187" s="731"/>
      <c r="V187" s="73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733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4"/>
      <c r="P188" s="730" t="s">
        <v>40</v>
      </c>
      <c r="Q188" s="731"/>
      <c r="R188" s="731"/>
      <c r="S188" s="731"/>
      <c r="T188" s="731"/>
      <c r="U188" s="731"/>
      <c r="V188" s="73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724" t="s">
        <v>88</v>
      </c>
      <c r="B189" s="724"/>
      <c r="C189" s="724"/>
      <c r="D189" s="724"/>
      <c r="E189" s="724"/>
      <c r="F189" s="724"/>
      <c r="G189" s="724"/>
      <c r="H189" s="724"/>
      <c r="I189" s="724"/>
      <c r="J189" s="724"/>
      <c r="K189" s="724"/>
      <c r="L189" s="724"/>
      <c r="M189" s="724"/>
      <c r="N189" s="724"/>
      <c r="O189" s="724"/>
      <c r="P189" s="724"/>
      <c r="Q189" s="724"/>
      <c r="R189" s="724"/>
      <c r="S189" s="724"/>
      <c r="T189" s="724"/>
      <c r="U189" s="724"/>
      <c r="V189" s="724"/>
      <c r="W189" s="724"/>
      <c r="X189" s="724"/>
      <c r="Y189" s="724"/>
      <c r="Z189" s="724"/>
      <c r="AA189" s="66"/>
      <c r="AB189" s="66"/>
      <c r="AC189" s="80"/>
    </row>
    <row r="190" spans="1:68" ht="16.5" customHeight="1" x14ac:dyDescent="0.25">
      <c r="A190" s="63" t="s">
        <v>331</v>
      </c>
      <c r="B190" s="63" t="s">
        <v>332</v>
      </c>
      <c r="C190" s="36">
        <v>4301052193</v>
      </c>
      <c r="D190" s="725">
        <v>4680115888395</v>
      </c>
      <c r="E190" s="72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93</v>
      </c>
      <c r="L190" s="37" t="s">
        <v>46</v>
      </c>
      <c r="M190" s="38" t="s">
        <v>99</v>
      </c>
      <c r="N190" s="38"/>
      <c r="O190" s="37">
        <v>40</v>
      </c>
      <c r="P190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334</v>
      </c>
      <c r="B191" s="63" t="s">
        <v>335</v>
      </c>
      <c r="C191" s="36">
        <v>4301052191</v>
      </c>
      <c r="D191" s="725">
        <v>4680115888371</v>
      </c>
      <c r="E191" s="72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93</v>
      </c>
      <c r="L191" s="37" t="s">
        <v>46</v>
      </c>
      <c r="M191" s="38" t="s">
        <v>99</v>
      </c>
      <c r="N191" s="38"/>
      <c r="O191" s="37">
        <v>40</v>
      </c>
      <c r="P191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337</v>
      </c>
      <c r="B192" s="63" t="s">
        <v>338</v>
      </c>
      <c r="C192" s="36">
        <v>4301052064</v>
      </c>
      <c r="D192" s="725">
        <v>4680115887459</v>
      </c>
      <c r="E192" s="72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93</v>
      </c>
      <c r="L192" s="37" t="s">
        <v>46</v>
      </c>
      <c r="M192" s="38" t="s">
        <v>92</v>
      </c>
      <c r="N192" s="38"/>
      <c r="O192" s="37">
        <v>45</v>
      </c>
      <c r="P192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7"/>
      <c r="R192" s="727"/>
      <c r="S192" s="727"/>
      <c r="T192" s="72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339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4"/>
      <c r="P194" s="730" t="s">
        <v>40</v>
      </c>
      <c r="Q194" s="731"/>
      <c r="R194" s="731"/>
      <c r="S194" s="731"/>
      <c r="T194" s="731"/>
      <c r="U194" s="731"/>
      <c r="V194" s="73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724" t="s">
        <v>280</v>
      </c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4"/>
      <c r="P195" s="724"/>
      <c r="Q195" s="724"/>
      <c r="R195" s="724"/>
      <c r="S195" s="724"/>
      <c r="T195" s="724"/>
      <c r="U195" s="724"/>
      <c r="V195" s="724"/>
      <c r="W195" s="724"/>
      <c r="X195" s="724"/>
      <c r="Y195" s="724"/>
      <c r="Z195" s="724"/>
      <c r="AA195" s="66"/>
      <c r="AB195" s="66"/>
      <c r="AC195" s="80"/>
    </row>
    <row r="196" spans="1:68" ht="16.5" customHeight="1" x14ac:dyDescent="0.25">
      <c r="A196" s="63" t="s">
        <v>340</v>
      </c>
      <c r="B196" s="63" t="s">
        <v>341</v>
      </c>
      <c r="C196" s="36">
        <v>4301032058</v>
      </c>
      <c r="D196" s="725">
        <v>4680115889026</v>
      </c>
      <c r="E196" s="72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343</v>
      </c>
      <c r="L196" s="37" t="s">
        <v>46</v>
      </c>
      <c r="M196" s="38" t="s">
        <v>285</v>
      </c>
      <c r="N196" s="38"/>
      <c r="O196" s="37">
        <v>60</v>
      </c>
      <c r="P196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342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33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4"/>
      <c r="P197" s="730" t="s">
        <v>40</v>
      </c>
      <c r="Q197" s="731"/>
      <c r="R197" s="731"/>
      <c r="S197" s="731"/>
      <c r="T197" s="731"/>
      <c r="U197" s="731"/>
      <c r="V197" s="73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724" t="s">
        <v>344</v>
      </c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4"/>
      <c r="P199" s="724"/>
      <c r="Q199" s="724"/>
      <c r="R199" s="724"/>
      <c r="S199" s="724"/>
      <c r="T199" s="724"/>
      <c r="U199" s="724"/>
      <c r="V199" s="724"/>
      <c r="W199" s="724"/>
      <c r="X199" s="724"/>
      <c r="Y199" s="724"/>
      <c r="Z199" s="724"/>
      <c r="AA199" s="66"/>
      <c r="AB199" s="66"/>
      <c r="AC199" s="80"/>
    </row>
    <row r="200" spans="1:68" ht="27" customHeight="1" x14ac:dyDescent="0.25">
      <c r="A200" s="63" t="s">
        <v>345</v>
      </c>
      <c r="B200" s="63" t="s">
        <v>346</v>
      </c>
      <c r="C200" s="36">
        <v>4301041009</v>
      </c>
      <c r="D200" s="725">
        <v>4680115889033</v>
      </c>
      <c r="E200" s="72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343</v>
      </c>
      <c r="L200" s="37" t="s">
        <v>46</v>
      </c>
      <c r="M200" s="38" t="s">
        <v>285</v>
      </c>
      <c r="N200" s="38"/>
      <c r="O200" s="37">
        <v>60</v>
      </c>
      <c r="P200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7"/>
      <c r="R200" s="727"/>
      <c r="S200" s="727"/>
      <c r="T200" s="72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347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33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4"/>
      <c r="P201" s="730" t="s">
        <v>40</v>
      </c>
      <c r="Q201" s="731"/>
      <c r="R201" s="731"/>
      <c r="S201" s="731"/>
      <c r="T201" s="731"/>
      <c r="U201" s="731"/>
      <c r="V201" s="73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22" t="s">
        <v>348</v>
      </c>
      <c r="B203" s="722"/>
      <c r="C203" s="722"/>
      <c r="D203" s="722"/>
      <c r="E203" s="722"/>
      <c r="F203" s="722"/>
      <c r="G203" s="722"/>
      <c r="H203" s="722"/>
      <c r="I203" s="722"/>
      <c r="J203" s="722"/>
      <c r="K203" s="722"/>
      <c r="L203" s="722"/>
      <c r="M203" s="722"/>
      <c r="N203" s="722"/>
      <c r="O203" s="722"/>
      <c r="P203" s="722"/>
      <c r="Q203" s="722"/>
      <c r="R203" s="722"/>
      <c r="S203" s="722"/>
      <c r="T203" s="722"/>
      <c r="U203" s="722"/>
      <c r="V203" s="722"/>
      <c r="W203" s="722"/>
      <c r="X203" s="722"/>
      <c r="Y203" s="722"/>
      <c r="Z203" s="722"/>
      <c r="AA203" s="54"/>
      <c r="AB203" s="54"/>
      <c r="AC203" s="54"/>
    </row>
    <row r="204" spans="1:68" ht="16.5" customHeight="1" x14ac:dyDescent="0.25">
      <c r="A204" s="723" t="s">
        <v>349</v>
      </c>
      <c r="B204" s="723"/>
      <c r="C204" s="723"/>
      <c r="D204" s="723"/>
      <c r="E204" s="723"/>
      <c r="F204" s="723"/>
      <c r="G204" s="723"/>
      <c r="H204" s="723"/>
      <c r="I204" s="723"/>
      <c r="J204" s="723"/>
      <c r="K204" s="723"/>
      <c r="L204" s="723"/>
      <c r="M204" s="723"/>
      <c r="N204" s="723"/>
      <c r="O204" s="723"/>
      <c r="P204" s="723"/>
      <c r="Q204" s="723"/>
      <c r="R204" s="723"/>
      <c r="S204" s="723"/>
      <c r="T204" s="723"/>
      <c r="U204" s="723"/>
      <c r="V204" s="723"/>
      <c r="W204" s="723"/>
      <c r="X204" s="723"/>
      <c r="Y204" s="723"/>
      <c r="Z204" s="723"/>
      <c r="AA204" s="65"/>
      <c r="AB204" s="65"/>
      <c r="AC204" s="79"/>
    </row>
    <row r="205" spans="1:68" ht="14.25" customHeight="1" x14ac:dyDescent="0.25">
      <c r="A205" s="724" t="s">
        <v>124</v>
      </c>
      <c r="B205" s="724"/>
      <c r="C205" s="724"/>
      <c r="D205" s="724"/>
      <c r="E205" s="724"/>
      <c r="F205" s="724"/>
      <c r="G205" s="724"/>
      <c r="H205" s="724"/>
      <c r="I205" s="724"/>
      <c r="J205" s="724"/>
      <c r="K205" s="724"/>
      <c r="L205" s="724"/>
      <c r="M205" s="724"/>
      <c r="N205" s="724"/>
      <c r="O205" s="724"/>
      <c r="P205" s="724"/>
      <c r="Q205" s="724"/>
      <c r="R205" s="724"/>
      <c r="S205" s="724"/>
      <c r="T205" s="724"/>
      <c r="U205" s="724"/>
      <c r="V205" s="724"/>
      <c r="W205" s="724"/>
      <c r="X205" s="724"/>
      <c r="Y205" s="724"/>
      <c r="Z205" s="724"/>
      <c r="AA205" s="66"/>
      <c r="AB205" s="66"/>
      <c r="AC205" s="80"/>
    </row>
    <row r="206" spans="1:68" ht="27" customHeight="1" x14ac:dyDescent="0.25">
      <c r="A206" s="63" t="s">
        <v>350</v>
      </c>
      <c r="B206" s="63" t="s">
        <v>351</v>
      </c>
      <c r="C206" s="36">
        <v>4301011223</v>
      </c>
      <c r="D206" s="725">
        <v>4607091383423</v>
      </c>
      <c r="E206" s="72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129</v>
      </c>
      <c r="L206" s="37" t="s">
        <v>46</v>
      </c>
      <c r="M206" s="38" t="s">
        <v>92</v>
      </c>
      <c r="N206" s="38"/>
      <c r="O206" s="37">
        <v>35</v>
      </c>
      <c r="P206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7"/>
      <c r="R206" s="727"/>
      <c r="S206" s="727"/>
      <c r="T206" s="72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127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4301012340</v>
      </c>
      <c r="D207" s="725">
        <v>4680115888760</v>
      </c>
      <c r="E207" s="72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129</v>
      </c>
      <c r="L207" s="37" t="s">
        <v>46</v>
      </c>
      <c r="M207" s="38" t="s">
        <v>92</v>
      </c>
      <c r="N207" s="38"/>
      <c r="O207" s="37">
        <v>35</v>
      </c>
      <c r="P207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7"/>
      <c r="R207" s="727"/>
      <c r="S207" s="727"/>
      <c r="T207" s="72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4301012341</v>
      </c>
      <c r="D208" s="725">
        <v>4680115888807</v>
      </c>
      <c r="E208" s="72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129</v>
      </c>
      <c r="L208" s="37" t="s">
        <v>46</v>
      </c>
      <c r="M208" s="38" t="s">
        <v>92</v>
      </c>
      <c r="N208" s="38"/>
      <c r="O208" s="37">
        <v>35</v>
      </c>
      <c r="P208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7"/>
      <c r="R208" s="727"/>
      <c r="S208" s="727"/>
      <c r="T208" s="72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4301012342</v>
      </c>
      <c r="D209" s="725">
        <v>4680115888852</v>
      </c>
      <c r="E209" s="72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129</v>
      </c>
      <c r="L209" s="37" t="s">
        <v>46</v>
      </c>
      <c r="M209" s="38" t="s">
        <v>92</v>
      </c>
      <c r="N209" s="38"/>
      <c r="O209" s="37">
        <v>35</v>
      </c>
      <c r="P209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7"/>
      <c r="R209" s="727"/>
      <c r="S209" s="727"/>
      <c r="T209" s="72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361</v>
      </c>
      <c r="B210" s="63" t="s">
        <v>362</v>
      </c>
      <c r="C210" s="36">
        <v>4301012370</v>
      </c>
      <c r="D210" s="725">
        <v>4680115886957</v>
      </c>
      <c r="E210" s="72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129</v>
      </c>
      <c r="L210" s="37" t="s">
        <v>46</v>
      </c>
      <c r="M210" s="38" t="s">
        <v>92</v>
      </c>
      <c r="N210" s="38"/>
      <c r="O210" s="37">
        <v>35</v>
      </c>
      <c r="P210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7"/>
      <c r="R210" s="727"/>
      <c r="S210" s="727"/>
      <c r="T210" s="72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364</v>
      </c>
      <c r="B211" s="63" t="s">
        <v>365</v>
      </c>
      <c r="C211" s="36">
        <v>4301012098</v>
      </c>
      <c r="D211" s="725">
        <v>4680115885660</v>
      </c>
      <c r="E211" s="72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129</v>
      </c>
      <c r="L211" s="37" t="s">
        <v>46</v>
      </c>
      <c r="M211" s="38" t="s">
        <v>92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4301012369</v>
      </c>
      <c r="D212" s="725">
        <v>4680115886773</v>
      </c>
      <c r="E212" s="72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129</v>
      </c>
      <c r="L212" s="37" t="s">
        <v>46</v>
      </c>
      <c r="M212" s="38" t="s">
        <v>92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">
      <c r="A213" s="733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4"/>
      <c r="P213" s="730" t="s">
        <v>40</v>
      </c>
      <c r="Q213" s="731"/>
      <c r="R213" s="731"/>
      <c r="S213" s="731"/>
      <c r="T213" s="731"/>
      <c r="U213" s="731"/>
      <c r="V213" s="73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33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4"/>
      <c r="P214" s="730" t="s">
        <v>40</v>
      </c>
      <c r="Q214" s="731"/>
      <c r="R214" s="731"/>
      <c r="S214" s="731"/>
      <c r="T214" s="731"/>
      <c r="U214" s="731"/>
      <c r="V214" s="73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23" t="s">
        <v>370</v>
      </c>
      <c r="B215" s="723"/>
      <c r="C215" s="723"/>
      <c r="D215" s="723"/>
      <c r="E215" s="723"/>
      <c r="F215" s="723"/>
      <c r="G215" s="723"/>
      <c r="H215" s="723"/>
      <c r="I215" s="723"/>
      <c r="J215" s="723"/>
      <c r="K215" s="723"/>
      <c r="L215" s="723"/>
      <c r="M215" s="723"/>
      <c r="N215" s="723"/>
      <c r="O215" s="723"/>
      <c r="P215" s="723"/>
      <c r="Q215" s="723"/>
      <c r="R215" s="723"/>
      <c r="S215" s="723"/>
      <c r="T215" s="723"/>
      <c r="U215" s="723"/>
      <c r="V215" s="723"/>
      <c r="W215" s="723"/>
      <c r="X215" s="723"/>
      <c r="Y215" s="723"/>
      <c r="Z215" s="723"/>
      <c r="AA215" s="65"/>
      <c r="AB215" s="65"/>
      <c r="AC215" s="79"/>
    </row>
    <row r="216" spans="1:68" ht="14.25" customHeight="1" x14ac:dyDescent="0.25">
      <c r="A216" s="724" t="s">
        <v>161</v>
      </c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4"/>
      <c r="P216" s="724"/>
      <c r="Q216" s="724"/>
      <c r="R216" s="724"/>
      <c r="S216" s="724"/>
      <c r="T216" s="724"/>
      <c r="U216" s="724"/>
      <c r="V216" s="724"/>
      <c r="W216" s="724"/>
      <c r="X216" s="724"/>
      <c r="Y216" s="724"/>
      <c r="Z216" s="724"/>
      <c r="AA216" s="66"/>
      <c r="AB216" s="66"/>
      <c r="AC216" s="80"/>
    </row>
    <row r="217" spans="1:68" ht="27" customHeight="1" x14ac:dyDescent="0.25">
      <c r="A217" s="63" t="s">
        <v>371</v>
      </c>
      <c r="B217" s="63" t="s">
        <v>372</v>
      </c>
      <c r="C217" s="36">
        <v>4301020323</v>
      </c>
      <c r="D217" s="725">
        <v>4680115886223</v>
      </c>
      <c r="E217" s="72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84</v>
      </c>
      <c r="L217" s="37" t="s">
        <v>46</v>
      </c>
      <c r="M217" s="38" t="s">
        <v>83</v>
      </c>
      <c r="N217" s="38"/>
      <c r="O217" s="37">
        <v>40</v>
      </c>
      <c r="P217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373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24" t="s">
        <v>79</v>
      </c>
      <c r="B220" s="724"/>
      <c r="C220" s="724"/>
      <c r="D220" s="724"/>
      <c r="E220" s="724"/>
      <c r="F220" s="724"/>
      <c r="G220" s="724"/>
      <c r="H220" s="724"/>
      <c r="I220" s="724"/>
      <c r="J220" s="724"/>
      <c r="K220" s="724"/>
      <c r="L220" s="724"/>
      <c r="M220" s="724"/>
      <c r="N220" s="724"/>
      <c r="O220" s="724"/>
      <c r="P220" s="724"/>
      <c r="Q220" s="724"/>
      <c r="R220" s="724"/>
      <c r="S220" s="724"/>
      <c r="T220" s="724"/>
      <c r="U220" s="724"/>
      <c r="V220" s="724"/>
      <c r="W220" s="724"/>
      <c r="X220" s="724"/>
      <c r="Y220" s="724"/>
      <c r="Z220" s="724"/>
      <c r="AA220" s="66"/>
      <c r="AB220" s="66"/>
      <c r="AC220" s="80"/>
    </row>
    <row r="221" spans="1:68" ht="27" customHeight="1" x14ac:dyDescent="0.25">
      <c r="A221" s="63" t="s">
        <v>374</v>
      </c>
      <c r="B221" s="63" t="s">
        <v>375</v>
      </c>
      <c r="C221" s="36">
        <v>4301031191</v>
      </c>
      <c r="D221" s="725">
        <v>4680115880993</v>
      </c>
      <c r="E221" s="72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136</v>
      </c>
      <c r="L221" s="37" t="s">
        <v>46</v>
      </c>
      <c r="M221" s="38" t="s">
        <v>83</v>
      </c>
      <c r="N221" s="38"/>
      <c r="O221" s="37">
        <v>40</v>
      </c>
      <c r="P221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7"/>
      <c r="R221" s="727"/>
      <c r="S221" s="727"/>
      <c r="T221" s="72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4301031204</v>
      </c>
      <c r="D222" s="725">
        <v>4680115881761</v>
      </c>
      <c r="E222" s="72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136</v>
      </c>
      <c r="L222" s="37" t="s">
        <v>46</v>
      </c>
      <c r="M222" s="38" t="s">
        <v>83</v>
      </c>
      <c r="N222" s="38"/>
      <c r="O222" s="37">
        <v>40</v>
      </c>
      <c r="P222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4301031201</v>
      </c>
      <c r="D223" s="725">
        <v>4680115881563</v>
      </c>
      <c r="E223" s="72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136</v>
      </c>
      <c r="L223" s="37" t="s">
        <v>46</v>
      </c>
      <c r="M223" s="38" t="s">
        <v>83</v>
      </c>
      <c r="N223" s="38"/>
      <c r="O223" s="37">
        <v>40</v>
      </c>
      <c r="P223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7"/>
      <c r="R223" s="727"/>
      <c r="S223" s="727"/>
      <c r="T223" s="72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383</v>
      </c>
      <c r="B224" s="63" t="s">
        <v>384</v>
      </c>
      <c r="C224" s="36">
        <v>4301031447</v>
      </c>
      <c r="D224" s="725">
        <v>4680115887565</v>
      </c>
      <c r="E224" s="72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84</v>
      </c>
      <c r="L224" s="37" t="s">
        <v>46</v>
      </c>
      <c r="M224" s="38" t="s">
        <v>83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7"/>
      <c r="R224" s="727"/>
      <c r="S224" s="727"/>
      <c r="T224" s="72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386</v>
      </c>
      <c r="B225" s="63" t="s">
        <v>387</v>
      </c>
      <c r="C225" s="36">
        <v>4301031199</v>
      </c>
      <c r="D225" s="725">
        <v>4680115880986</v>
      </c>
      <c r="E225" s="72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84</v>
      </c>
      <c r="L225" s="37" t="s">
        <v>46</v>
      </c>
      <c r="M225" s="38" t="s">
        <v>83</v>
      </c>
      <c r="N225" s="38"/>
      <c r="O225" s="37">
        <v>40</v>
      </c>
      <c r="P225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7"/>
      <c r="R225" s="727"/>
      <c r="S225" s="727"/>
      <c r="T225" s="72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376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4301031443</v>
      </c>
      <c r="D226" s="725">
        <v>4680115887213</v>
      </c>
      <c r="E226" s="72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84</v>
      </c>
      <c r="L226" s="37" t="s">
        <v>46</v>
      </c>
      <c r="M226" s="38" t="s">
        <v>83</v>
      </c>
      <c r="N226" s="38"/>
      <c r="O226" s="37">
        <v>45</v>
      </c>
      <c r="P226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390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391</v>
      </c>
      <c r="B227" s="63" t="s">
        <v>392</v>
      </c>
      <c r="C227" s="36">
        <v>4301031205</v>
      </c>
      <c r="D227" s="725">
        <v>4680115881785</v>
      </c>
      <c r="E227" s="72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84</v>
      </c>
      <c r="L227" s="37" t="s">
        <v>46</v>
      </c>
      <c r="M227" s="38" t="s">
        <v>83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379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393</v>
      </c>
      <c r="B228" s="63" t="s">
        <v>394</v>
      </c>
      <c r="C228" s="36">
        <v>4301031499</v>
      </c>
      <c r="D228" s="725">
        <v>4680115888432</v>
      </c>
      <c r="E228" s="72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84</v>
      </c>
      <c r="L228" s="37" t="s">
        <v>46</v>
      </c>
      <c r="M228" s="38" t="s">
        <v>83</v>
      </c>
      <c r="N228" s="38"/>
      <c r="O228" s="37">
        <v>45</v>
      </c>
      <c r="P228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396</v>
      </c>
      <c r="B229" s="63" t="s">
        <v>397</v>
      </c>
      <c r="C229" s="36">
        <v>4301031427</v>
      </c>
      <c r="D229" s="725">
        <v>4680115888104</v>
      </c>
      <c r="E229" s="72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84</v>
      </c>
      <c r="L229" s="37" t="s">
        <v>46</v>
      </c>
      <c r="M229" s="38" t="s">
        <v>83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4301031503</v>
      </c>
      <c r="D230" s="725">
        <v>4680115886537</v>
      </c>
      <c r="E230" s="72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84</v>
      </c>
      <c r="L230" s="37" t="s">
        <v>46</v>
      </c>
      <c r="M230" s="38" t="s">
        <v>83</v>
      </c>
      <c r="N230" s="38"/>
      <c r="O230" s="37">
        <v>45</v>
      </c>
      <c r="P230" s="8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4301031279</v>
      </c>
      <c r="D231" s="725">
        <v>4680115887596</v>
      </c>
      <c r="E231" s="72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133</v>
      </c>
      <c r="L231" s="37" t="s">
        <v>46</v>
      </c>
      <c r="M231" s="38" t="s">
        <v>83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405</v>
      </c>
      <c r="B232" s="63" t="s">
        <v>406</v>
      </c>
      <c r="C232" s="36">
        <v>4301031530</v>
      </c>
      <c r="D232" s="725">
        <v>4680115881679</v>
      </c>
      <c r="E232" s="72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84</v>
      </c>
      <c r="L232" s="37" t="s">
        <v>46</v>
      </c>
      <c r="M232" s="38" t="s">
        <v>83</v>
      </c>
      <c r="N232" s="38"/>
      <c r="O232" s="37">
        <v>45</v>
      </c>
      <c r="P232" s="84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382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407</v>
      </c>
      <c r="B233" s="63" t="s">
        <v>408</v>
      </c>
      <c r="C233" s="36">
        <v>4301031158</v>
      </c>
      <c r="D233" s="725">
        <v>4680115880191</v>
      </c>
      <c r="E233" s="72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93</v>
      </c>
      <c r="L233" s="37" t="s">
        <v>46</v>
      </c>
      <c r="M233" s="38" t="s">
        <v>83</v>
      </c>
      <c r="N233" s="38"/>
      <c r="O233" s="37">
        <v>40</v>
      </c>
      <c r="P233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382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407</v>
      </c>
      <c r="B234" s="63" t="s">
        <v>409</v>
      </c>
      <c r="C234" s="36">
        <v>4301031531</v>
      </c>
      <c r="D234" s="725">
        <v>4680115880191</v>
      </c>
      <c r="E234" s="72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93</v>
      </c>
      <c r="L234" s="37" t="s">
        <v>46</v>
      </c>
      <c r="M234" s="38" t="s">
        <v>83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382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4301031245</v>
      </c>
      <c r="D235" s="725">
        <v>4680115883963</v>
      </c>
      <c r="E235" s="72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84</v>
      </c>
      <c r="L235" s="37" t="s">
        <v>46</v>
      </c>
      <c r="M235" s="38" t="s">
        <v>83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3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4"/>
      <c r="P236" s="730" t="s">
        <v>40</v>
      </c>
      <c r="Q236" s="731"/>
      <c r="R236" s="731"/>
      <c r="S236" s="731"/>
      <c r="T236" s="731"/>
      <c r="U236" s="731"/>
      <c r="V236" s="73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733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4"/>
      <c r="P237" s="730" t="s">
        <v>40</v>
      </c>
      <c r="Q237" s="731"/>
      <c r="R237" s="731"/>
      <c r="S237" s="731"/>
      <c r="T237" s="731"/>
      <c r="U237" s="731"/>
      <c r="V237" s="73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724" t="s">
        <v>88</v>
      </c>
      <c r="B238" s="724"/>
      <c r="C238" s="724"/>
      <c r="D238" s="724"/>
      <c r="E238" s="724"/>
      <c r="F238" s="724"/>
      <c r="G238" s="724"/>
      <c r="H238" s="724"/>
      <c r="I238" s="724"/>
      <c r="J238" s="724"/>
      <c r="K238" s="724"/>
      <c r="L238" s="724"/>
      <c r="M238" s="724"/>
      <c r="N238" s="724"/>
      <c r="O238" s="724"/>
      <c r="P238" s="724"/>
      <c r="Q238" s="724"/>
      <c r="R238" s="724"/>
      <c r="S238" s="724"/>
      <c r="T238" s="724"/>
      <c r="U238" s="724"/>
      <c r="V238" s="724"/>
      <c r="W238" s="724"/>
      <c r="X238" s="724"/>
      <c r="Y238" s="724"/>
      <c r="Z238" s="724"/>
      <c r="AA238" s="66"/>
      <c r="AB238" s="66"/>
      <c r="AC238" s="80"/>
    </row>
    <row r="239" spans="1:68" ht="16.5" customHeight="1" x14ac:dyDescent="0.25">
      <c r="A239" s="63" t="s">
        <v>413</v>
      </c>
      <c r="B239" s="63" t="s">
        <v>414</v>
      </c>
      <c r="C239" s="36">
        <v>4301052209</v>
      </c>
      <c r="D239" s="725">
        <v>4680115888692</v>
      </c>
      <c r="E239" s="72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129</v>
      </c>
      <c r="L239" s="37" t="s">
        <v>46</v>
      </c>
      <c r="M239" s="38" t="s">
        <v>99</v>
      </c>
      <c r="N239" s="38"/>
      <c r="O239" s="37">
        <v>35</v>
      </c>
      <c r="P239" s="85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415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413</v>
      </c>
      <c r="B240" s="63" t="s">
        <v>416</v>
      </c>
      <c r="C240" s="36">
        <v>4301052279</v>
      </c>
      <c r="D240" s="725">
        <v>4680115888692</v>
      </c>
      <c r="E240" s="72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129</v>
      </c>
      <c r="L240" s="37" t="s">
        <v>46</v>
      </c>
      <c r="M240" s="38" t="s">
        <v>99</v>
      </c>
      <c r="N240" s="38"/>
      <c r="O240" s="37">
        <v>40</v>
      </c>
      <c r="P240" s="85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7"/>
      <c r="R240" s="727"/>
      <c r="S240" s="727"/>
      <c r="T240" s="72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418</v>
      </c>
      <c r="B241" s="63" t="s">
        <v>419</v>
      </c>
      <c r="C241" s="36">
        <v>4301052213</v>
      </c>
      <c r="D241" s="725">
        <v>4680115888722</v>
      </c>
      <c r="E241" s="72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129</v>
      </c>
      <c r="L241" s="37" t="s">
        <v>46</v>
      </c>
      <c r="M241" s="38" t="s">
        <v>99</v>
      </c>
      <c r="N241" s="38"/>
      <c r="O241" s="37">
        <v>35</v>
      </c>
      <c r="P241" s="85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7"/>
      <c r="R241" s="727"/>
      <c r="S241" s="727"/>
      <c r="T241" s="72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418</v>
      </c>
      <c r="B242" s="63" t="s">
        <v>421</v>
      </c>
      <c r="C242" s="36">
        <v>4301052280</v>
      </c>
      <c r="D242" s="725">
        <v>4680115888722</v>
      </c>
      <c r="E242" s="72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129</v>
      </c>
      <c r="L242" s="37" t="s">
        <v>46</v>
      </c>
      <c r="M242" s="38" t="s">
        <v>99</v>
      </c>
      <c r="N242" s="38"/>
      <c r="O242" s="37">
        <v>40</v>
      </c>
      <c r="P242" s="85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7"/>
      <c r="R242" s="727"/>
      <c r="S242" s="727"/>
      <c r="T242" s="72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423</v>
      </c>
      <c r="B243" s="63" t="s">
        <v>424</v>
      </c>
      <c r="C243" s="36">
        <v>4301052177</v>
      </c>
      <c r="D243" s="725">
        <v>4680115888951</v>
      </c>
      <c r="E243" s="72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136</v>
      </c>
      <c r="L243" s="37" t="s">
        <v>46</v>
      </c>
      <c r="M243" s="38" t="s">
        <v>99</v>
      </c>
      <c r="N243" s="38"/>
      <c r="O243" s="37">
        <v>35</v>
      </c>
      <c r="P243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423</v>
      </c>
      <c r="B244" s="63" t="s">
        <v>426</v>
      </c>
      <c r="C244" s="36">
        <v>4301052276</v>
      </c>
      <c r="D244" s="725">
        <v>4680115888951</v>
      </c>
      <c r="E244" s="72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136</v>
      </c>
      <c r="L244" s="37" t="s">
        <v>46</v>
      </c>
      <c r="M244" s="38" t="s">
        <v>99</v>
      </c>
      <c r="N244" s="38"/>
      <c r="O244" s="37">
        <v>40</v>
      </c>
      <c r="P244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417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427</v>
      </c>
      <c r="B245" s="63" t="s">
        <v>428</v>
      </c>
      <c r="C245" s="36">
        <v>4301052178</v>
      </c>
      <c r="D245" s="725">
        <v>4680115888975</v>
      </c>
      <c r="E245" s="72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136</v>
      </c>
      <c r="L245" s="37" t="s">
        <v>46</v>
      </c>
      <c r="M245" s="38" t="s">
        <v>99</v>
      </c>
      <c r="N245" s="38"/>
      <c r="O245" s="37">
        <v>35</v>
      </c>
      <c r="P245" s="85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429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430</v>
      </c>
      <c r="B246" s="63" t="s">
        <v>431</v>
      </c>
      <c r="C246" s="36">
        <v>4301052176</v>
      </c>
      <c r="D246" s="725">
        <v>4680115888982</v>
      </c>
      <c r="E246" s="72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136</v>
      </c>
      <c r="L246" s="37" t="s">
        <v>46</v>
      </c>
      <c r="M246" s="38" t="s">
        <v>99</v>
      </c>
      <c r="N246" s="38"/>
      <c r="O246" s="37">
        <v>35</v>
      </c>
      <c r="P246" s="86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420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430</v>
      </c>
      <c r="B247" s="63" t="s">
        <v>432</v>
      </c>
      <c r="C247" s="36">
        <v>4301052277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136</v>
      </c>
      <c r="L247" s="37" t="s">
        <v>46</v>
      </c>
      <c r="M247" s="38" t="s">
        <v>99</v>
      </c>
      <c r="N247" s="38"/>
      <c r="O247" s="37">
        <v>40</v>
      </c>
      <c r="P247" s="86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724" t="s">
        <v>280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customHeight="1" x14ac:dyDescent="0.25">
      <c r="A251" s="63" t="s">
        <v>433</v>
      </c>
      <c r="B251" s="63" t="s">
        <v>434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285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436</v>
      </c>
      <c r="B252" s="63" t="s">
        <v>437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343</v>
      </c>
      <c r="L252" s="37" t="s">
        <v>46</v>
      </c>
      <c r="M252" s="38" t="s">
        <v>285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439</v>
      </c>
      <c r="B253" s="63" t="s">
        <v>440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343</v>
      </c>
      <c r="L253" s="37" t="s">
        <v>46</v>
      </c>
      <c r="M253" s="38" t="s">
        <v>285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438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724" t="s">
        <v>441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customHeight="1" x14ac:dyDescent="0.25">
      <c r="A257" s="63" t="s">
        <v>442</v>
      </c>
      <c r="B257" s="63" t="s">
        <v>443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343</v>
      </c>
      <c r="L257" s="37" t="s">
        <v>46</v>
      </c>
      <c r="M257" s="38" t="s">
        <v>285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438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723" t="s">
        <v>444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customHeight="1" x14ac:dyDescent="0.25">
      <c r="A261" s="724" t="s">
        <v>124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customHeight="1" x14ac:dyDescent="0.25">
      <c r="A262" s="63" t="s">
        <v>445</v>
      </c>
      <c r="B262" s="63" t="s">
        <v>446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129</v>
      </c>
      <c r="L262" s="37" t="s">
        <v>46</v>
      </c>
      <c r="M262" s="38" t="s">
        <v>128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447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93</v>
      </c>
      <c r="L263" s="37" t="s">
        <v>46</v>
      </c>
      <c r="M263" s="38" t="s">
        <v>128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447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24" t="s">
        <v>161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customHeight="1" x14ac:dyDescent="0.25">
      <c r="A267" s="63" t="s">
        <v>450</v>
      </c>
      <c r="B267" s="63" t="s">
        <v>451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129</v>
      </c>
      <c r="L267" s="37" t="s">
        <v>46</v>
      </c>
      <c r="M267" s="38" t="s">
        <v>128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452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453</v>
      </c>
      <c r="B268" s="63" t="s">
        <v>454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93</v>
      </c>
      <c r="L268" s="37" t="s">
        <v>46</v>
      </c>
      <c r="M268" s="38" t="s">
        <v>128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452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724" t="s">
        <v>79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455</v>
      </c>
      <c r="B272" s="63" t="s">
        <v>456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136</v>
      </c>
      <c r="L272" s="37" t="s">
        <v>46</v>
      </c>
      <c r="M272" s="38" t="s">
        <v>83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136</v>
      </c>
      <c r="L273" s="37" t="s">
        <v>46</v>
      </c>
      <c r="M273" s="38" t="s">
        <v>83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136</v>
      </c>
      <c r="L274" s="37" t="s">
        <v>46</v>
      </c>
      <c r="M274" s="38" t="s">
        <v>83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136</v>
      </c>
      <c r="L275" s="37" t="s">
        <v>46</v>
      </c>
      <c r="M275" s="38" t="s">
        <v>83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467</v>
      </c>
      <c r="B276" s="63" t="s">
        <v>468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84</v>
      </c>
      <c r="L276" s="37" t="s">
        <v>46</v>
      </c>
      <c r="M276" s="38" t="s">
        <v>83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469</v>
      </c>
      <c r="B277" s="63" t="s">
        <v>470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84</v>
      </c>
      <c r="L277" s="37" t="s">
        <v>46</v>
      </c>
      <c r="M277" s="38" t="s">
        <v>83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471</v>
      </c>
      <c r="B278" s="63" t="s">
        <v>472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84</v>
      </c>
      <c r="L278" s="37" t="s">
        <v>46</v>
      </c>
      <c r="M278" s="38" t="s">
        <v>83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473</v>
      </c>
      <c r="B279" s="63" t="s">
        <v>474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84</v>
      </c>
      <c r="L279" s="37" t="s">
        <v>46</v>
      </c>
      <c r="M279" s="38" t="s">
        <v>83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724" t="s">
        <v>88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customHeight="1" x14ac:dyDescent="0.25">
      <c r="A283" s="63" t="s">
        <v>475</v>
      </c>
      <c r="B283" s="63" t="s">
        <v>476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129</v>
      </c>
      <c r="L283" s="37" t="s">
        <v>46</v>
      </c>
      <c r="M283" s="38" t="s">
        <v>92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478</v>
      </c>
      <c r="B284" s="63" t="s">
        <v>479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129</v>
      </c>
      <c r="L284" s="37" t="s">
        <v>46</v>
      </c>
      <c r="M284" s="38" t="s">
        <v>92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481</v>
      </c>
      <c r="B285" s="63" t="s">
        <v>482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129</v>
      </c>
      <c r="L285" s="37" t="s">
        <v>46</v>
      </c>
      <c r="M285" s="38" t="s">
        <v>92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484</v>
      </c>
      <c r="B286" s="63" t="s">
        <v>485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93</v>
      </c>
      <c r="L286" s="37" t="s">
        <v>46</v>
      </c>
      <c r="M286" s="38" t="s">
        <v>92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477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486</v>
      </c>
      <c r="B287" s="63" t="s">
        <v>487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93</v>
      </c>
      <c r="L287" s="37" t="s">
        <v>46</v>
      </c>
      <c r="M287" s="38" t="s">
        <v>99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483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136</v>
      </c>
      <c r="L288" s="37" t="s">
        <v>46</v>
      </c>
      <c r="M288" s="38" t="s">
        <v>92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490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491</v>
      </c>
      <c r="B289" s="63" t="s">
        <v>492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93</v>
      </c>
      <c r="L289" s="37" t="s">
        <v>46</v>
      </c>
      <c r="M289" s="38" t="s">
        <v>92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483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493</v>
      </c>
      <c r="B290" s="63" t="s">
        <v>494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129</v>
      </c>
      <c r="L290" s="37" t="s">
        <v>46</v>
      </c>
      <c r="M290" s="38" t="s">
        <v>92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490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495</v>
      </c>
      <c r="B291" s="63" t="s">
        <v>496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93</v>
      </c>
      <c r="L291" s="37" t="s">
        <v>46</v>
      </c>
      <c r="M291" s="38" t="s">
        <v>92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483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93</v>
      </c>
      <c r="L292" s="37" t="s">
        <v>46</v>
      </c>
      <c r="M292" s="38" t="s">
        <v>99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93</v>
      </c>
      <c r="L293" s="37" t="s">
        <v>46</v>
      </c>
      <c r="M293" s="38" t="s">
        <v>92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93</v>
      </c>
      <c r="L294" s="37" t="s">
        <v>46</v>
      </c>
      <c r="M294" s="38" t="s">
        <v>92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724" t="s">
        <v>181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customHeight="1" x14ac:dyDescent="0.25">
      <c r="A298" s="63" t="s">
        <v>506</v>
      </c>
      <c r="B298" s="63" t="s">
        <v>507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93</v>
      </c>
      <c r="L298" s="37" t="s">
        <v>46</v>
      </c>
      <c r="M298" s="38" t="s">
        <v>99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93</v>
      </c>
      <c r="L299" s="37" t="s">
        <v>46</v>
      </c>
      <c r="M299" s="38" t="s">
        <v>92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723" t="s">
        <v>512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customHeight="1" x14ac:dyDescent="0.25">
      <c r="A303" s="724" t="s">
        <v>124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customHeight="1" x14ac:dyDescent="0.25">
      <c r="A304" s="63" t="s">
        <v>513</v>
      </c>
      <c r="B304" s="63" t="s">
        <v>514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129</v>
      </c>
      <c r="L304" s="37" t="s">
        <v>46</v>
      </c>
      <c r="M304" s="38" t="s">
        <v>128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516</v>
      </c>
      <c r="B305" s="63" t="s">
        <v>517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129</v>
      </c>
      <c r="L305" s="37" t="s">
        <v>46</v>
      </c>
      <c r="M305" s="38" t="s">
        <v>128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519</v>
      </c>
      <c r="B306" s="63" t="s">
        <v>520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129</v>
      </c>
      <c r="L306" s="37" t="s">
        <v>46</v>
      </c>
      <c r="M306" s="38" t="s">
        <v>128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366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521</v>
      </c>
      <c r="B307" s="63" t="s">
        <v>522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136</v>
      </c>
      <c r="L307" s="37" t="s">
        <v>46</v>
      </c>
      <c r="M307" s="38" t="s">
        <v>128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515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523</v>
      </c>
      <c r="B308" s="63" t="s">
        <v>524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136</v>
      </c>
      <c r="L308" s="37" t="s">
        <v>46</v>
      </c>
      <c r="M308" s="38" t="s">
        <v>128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93</v>
      </c>
      <c r="L309" s="37" t="s">
        <v>46</v>
      </c>
      <c r="M309" s="38" t="s">
        <v>128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529</v>
      </c>
      <c r="B310" s="63" t="s">
        <v>530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136</v>
      </c>
      <c r="L310" s="37" t="s">
        <v>46</v>
      </c>
      <c r="M310" s="38" t="s">
        <v>128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366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724" t="s">
        <v>161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customHeight="1" x14ac:dyDescent="0.25">
      <c r="A314" s="63" t="s">
        <v>531</v>
      </c>
      <c r="B314" s="63" t="s">
        <v>532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84</v>
      </c>
      <c r="L314" s="37" t="s">
        <v>46</v>
      </c>
      <c r="M314" s="38" t="s">
        <v>92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533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724" t="s">
        <v>534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customHeight="1" x14ac:dyDescent="0.25">
      <c r="A318" s="63" t="s">
        <v>535</v>
      </c>
      <c r="B318" s="63" t="s">
        <v>536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343</v>
      </c>
      <c r="L318" s="37" t="s">
        <v>46</v>
      </c>
      <c r="M318" s="38" t="s">
        <v>285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537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24" t="s">
        <v>344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4301041008</v>
      </c>
      <c r="D322" s="725">
        <v>4680115886681</v>
      </c>
      <c r="E322" s="72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343</v>
      </c>
      <c r="L322" s="37" t="s">
        <v>46</v>
      </c>
      <c r="M322" s="38" t="s">
        <v>285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540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4"/>
      <c r="P323" s="730" t="s">
        <v>40</v>
      </c>
      <c r="Q323" s="731"/>
      <c r="R323" s="731"/>
      <c r="S323" s="731"/>
      <c r="T323" s="731"/>
      <c r="U323" s="731"/>
      <c r="V323" s="732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33"/>
      <c r="B324" s="733"/>
      <c r="C324" s="733"/>
      <c r="D324" s="733"/>
      <c r="E324" s="733"/>
      <c r="F324" s="733"/>
      <c r="G324" s="733"/>
      <c r="H324" s="733"/>
      <c r="I324" s="733"/>
      <c r="J324" s="733"/>
      <c r="K324" s="733"/>
      <c r="L324" s="733"/>
      <c r="M324" s="733"/>
      <c r="N324" s="733"/>
      <c r="O324" s="734"/>
      <c r="P324" s="730" t="s">
        <v>40</v>
      </c>
      <c r="Q324" s="731"/>
      <c r="R324" s="731"/>
      <c r="S324" s="731"/>
      <c r="T324" s="731"/>
      <c r="U324" s="731"/>
      <c r="V324" s="732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customHeight="1" x14ac:dyDescent="0.25">
      <c r="A325" s="723" t="s">
        <v>541</v>
      </c>
      <c r="B325" s="723"/>
      <c r="C325" s="723"/>
      <c r="D325" s="723"/>
      <c r="E325" s="723"/>
      <c r="F325" s="723"/>
      <c r="G325" s="723"/>
      <c r="H325" s="723"/>
      <c r="I325" s="723"/>
      <c r="J325" s="723"/>
      <c r="K325" s="723"/>
      <c r="L325" s="723"/>
      <c r="M325" s="723"/>
      <c r="N325" s="723"/>
      <c r="O325" s="723"/>
      <c r="P325" s="723"/>
      <c r="Q325" s="723"/>
      <c r="R325" s="723"/>
      <c r="S325" s="723"/>
      <c r="T325" s="723"/>
      <c r="U325" s="723"/>
      <c r="V325" s="723"/>
      <c r="W325" s="723"/>
      <c r="X325" s="723"/>
      <c r="Y325" s="723"/>
      <c r="Z325" s="723"/>
      <c r="AA325" s="65"/>
      <c r="AB325" s="65"/>
      <c r="AC325" s="79"/>
    </row>
    <row r="326" spans="1:68" ht="14.25" customHeight="1" x14ac:dyDescent="0.25">
      <c r="A326" s="724" t="s">
        <v>124</v>
      </c>
      <c r="B326" s="724"/>
      <c r="C326" s="724"/>
      <c r="D326" s="724"/>
      <c r="E326" s="724"/>
      <c r="F326" s="724"/>
      <c r="G326" s="724"/>
      <c r="H326" s="724"/>
      <c r="I326" s="724"/>
      <c r="J326" s="724"/>
      <c r="K326" s="724"/>
      <c r="L326" s="724"/>
      <c r="M326" s="724"/>
      <c r="N326" s="724"/>
      <c r="O326" s="724"/>
      <c r="P326" s="724"/>
      <c r="Q326" s="724"/>
      <c r="R326" s="724"/>
      <c r="S326" s="724"/>
      <c r="T326" s="724"/>
      <c r="U326" s="724"/>
      <c r="V326" s="724"/>
      <c r="W326" s="724"/>
      <c r="X326" s="724"/>
      <c r="Y326" s="724"/>
      <c r="Z326" s="724"/>
      <c r="AA326" s="66"/>
      <c r="AB326" s="66"/>
      <c r="AC326" s="80"/>
    </row>
    <row r="327" spans="1:68" ht="27" customHeight="1" x14ac:dyDescent="0.25">
      <c r="A327" s="63" t="s">
        <v>542</v>
      </c>
      <c r="B327" s="63" t="s">
        <v>543</v>
      </c>
      <c r="C327" s="36">
        <v>4301012390</v>
      </c>
      <c r="D327" s="725">
        <v>4680115889637</v>
      </c>
      <c r="E327" s="72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129</v>
      </c>
      <c r="L327" s="37" t="s">
        <v>46</v>
      </c>
      <c r="M327" s="38" t="s">
        <v>128</v>
      </c>
      <c r="N327" s="38"/>
      <c r="O327" s="37">
        <v>55</v>
      </c>
      <c r="P327" s="90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7"/>
      <c r="R327" s="727"/>
      <c r="S327" s="727"/>
      <c r="T327" s="72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545</v>
      </c>
      <c r="AC327" s="424" t="s">
        <v>544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customHeight="1" x14ac:dyDescent="0.25">
      <c r="A328" s="63" t="s">
        <v>546</v>
      </c>
      <c r="B328" s="63" t="s">
        <v>547</v>
      </c>
      <c r="C328" s="36">
        <v>4301011855</v>
      </c>
      <c r="D328" s="725">
        <v>4680115885837</v>
      </c>
      <c r="E328" s="72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129</v>
      </c>
      <c r="L328" s="37" t="s">
        <v>46</v>
      </c>
      <c r="M328" s="38" t="s">
        <v>128</v>
      </c>
      <c r="N328" s="38"/>
      <c r="O328" s="37">
        <v>55</v>
      </c>
      <c r="P328" s="9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7"/>
      <c r="R328" s="727"/>
      <c r="S328" s="727"/>
      <c r="T328" s="72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customHeight="1" x14ac:dyDescent="0.25">
      <c r="A329" s="63" t="s">
        <v>549</v>
      </c>
      <c r="B329" s="63" t="s">
        <v>550</v>
      </c>
      <c r="C329" s="36">
        <v>4301012234</v>
      </c>
      <c r="D329" s="725">
        <v>4680115887237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129</v>
      </c>
      <c r="L329" s="37" t="s">
        <v>46</v>
      </c>
      <c r="M329" s="38" t="s">
        <v>128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552</v>
      </c>
      <c r="B330" s="63" t="s">
        <v>553</v>
      </c>
      <c r="C330" s="36">
        <v>4301011850</v>
      </c>
      <c r="D330" s="725">
        <v>4680115885806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129</v>
      </c>
      <c r="L330" s="37" t="s">
        <v>46</v>
      </c>
      <c r="M330" s="38" t="s">
        <v>128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555</v>
      </c>
      <c r="B331" s="63" t="s">
        <v>556</v>
      </c>
      <c r="C331" s="36">
        <v>4301011852</v>
      </c>
      <c r="D331" s="725">
        <v>4680115885844</v>
      </c>
      <c r="E331" s="72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136</v>
      </c>
      <c r="L331" s="37" t="s">
        <v>46</v>
      </c>
      <c r="M331" s="38" t="s">
        <v>128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customHeight="1" x14ac:dyDescent="0.25">
      <c r="A332" s="63" t="s">
        <v>558</v>
      </c>
      <c r="B332" s="63" t="s">
        <v>559</v>
      </c>
      <c r="C332" s="36">
        <v>4301011851</v>
      </c>
      <c r="D332" s="725">
        <v>4680115885820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136</v>
      </c>
      <c r="L332" s="37" t="s">
        <v>46</v>
      </c>
      <c r="M332" s="38" t="s">
        <v>128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">
      <c r="A333" s="733"/>
      <c r="B333" s="733"/>
      <c r="C333" s="733"/>
      <c r="D333" s="733"/>
      <c r="E333" s="733"/>
      <c r="F333" s="733"/>
      <c r="G333" s="733"/>
      <c r="H333" s="733"/>
      <c r="I333" s="733"/>
      <c r="J333" s="733"/>
      <c r="K333" s="733"/>
      <c r="L333" s="733"/>
      <c r="M333" s="733"/>
      <c r="N333" s="733"/>
      <c r="O333" s="734"/>
      <c r="P333" s="730" t="s">
        <v>40</v>
      </c>
      <c r="Q333" s="731"/>
      <c r="R333" s="731"/>
      <c r="S333" s="731"/>
      <c r="T333" s="731"/>
      <c r="U333" s="731"/>
      <c r="V333" s="732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customHeight="1" x14ac:dyDescent="0.25">
      <c r="A335" s="723" t="s">
        <v>561</v>
      </c>
      <c r="B335" s="723"/>
      <c r="C335" s="723"/>
      <c r="D335" s="723"/>
      <c r="E335" s="723"/>
      <c r="F335" s="723"/>
      <c r="G335" s="723"/>
      <c r="H335" s="723"/>
      <c r="I335" s="723"/>
      <c r="J335" s="723"/>
      <c r="K335" s="723"/>
      <c r="L335" s="723"/>
      <c r="M335" s="723"/>
      <c r="N335" s="723"/>
      <c r="O335" s="723"/>
      <c r="P335" s="723"/>
      <c r="Q335" s="723"/>
      <c r="R335" s="723"/>
      <c r="S335" s="723"/>
      <c r="T335" s="723"/>
      <c r="U335" s="723"/>
      <c r="V335" s="723"/>
      <c r="W335" s="723"/>
      <c r="X335" s="723"/>
      <c r="Y335" s="723"/>
      <c r="Z335" s="723"/>
      <c r="AA335" s="65"/>
      <c r="AB335" s="65"/>
      <c r="AC335" s="79"/>
    </row>
    <row r="336" spans="1:68" ht="14.25" customHeight="1" x14ac:dyDescent="0.25">
      <c r="A336" s="724" t="s">
        <v>88</v>
      </c>
      <c r="B336" s="724"/>
      <c r="C336" s="724"/>
      <c r="D336" s="724"/>
      <c r="E336" s="724"/>
      <c r="F336" s="724"/>
      <c r="G336" s="724"/>
      <c r="H336" s="724"/>
      <c r="I336" s="724"/>
      <c r="J336" s="724"/>
      <c r="K336" s="724"/>
      <c r="L336" s="724"/>
      <c r="M336" s="724"/>
      <c r="N336" s="724"/>
      <c r="O336" s="724"/>
      <c r="P336" s="724"/>
      <c r="Q336" s="724"/>
      <c r="R336" s="724"/>
      <c r="S336" s="724"/>
      <c r="T336" s="724"/>
      <c r="U336" s="724"/>
      <c r="V336" s="724"/>
      <c r="W336" s="724"/>
      <c r="X336" s="724"/>
      <c r="Y336" s="724"/>
      <c r="Z336" s="724"/>
      <c r="AA336" s="66"/>
      <c r="AB336" s="66"/>
      <c r="AC336" s="80"/>
    </row>
    <row r="337" spans="1:68" ht="27" customHeight="1" x14ac:dyDescent="0.25">
      <c r="A337" s="63" t="s">
        <v>562</v>
      </c>
      <c r="B337" s="63" t="s">
        <v>563</v>
      </c>
      <c r="C337" s="36">
        <v>4301051893</v>
      </c>
      <c r="D337" s="725">
        <v>4680115886186</v>
      </c>
      <c r="E337" s="72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93</v>
      </c>
      <c r="L337" s="37" t="s">
        <v>46</v>
      </c>
      <c r="M337" s="38" t="s">
        <v>92</v>
      </c>
      <c r="N337" s="38"/>
      <c r="O337" s="37">
        <v>45</v>
      </c>
      <c r="P337" s="90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7"/>
      <c r="R337" s="727"/>
      <c r="S337" s="727"/>
      <c r="T337" s="72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4301051795</v>
      </c>
      <c r="D338" s="725">
        <v>4680115881228</v>
      </c>
      <c r="E338" s="72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93</v>
      </c>
      <c r="L338" s="37" t="s">
        <v>46</v>
      </c>
      <c r="M338" s="38" t="s">
        <v>99</v>
      </c>
      <c r="N338" s="38"/>
      <c r="O338" s="37">
        <v>40</v>
      </c>
      <c r="P338" s="90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568</v>
      </c>
      <c r="B339" s="63" t="s">
        <v>569</v>
      </c>
      <c r="C339" s="36">
        <v>4301051388</v>
      </c>
      <c r="D339" s="725">
        <v>4680115881211</v>
      </c>
      <c r="E339" s="72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93</v>
      </c>
      <c r="L339" s="37" t="s">
        <v>46</v>
      </c>
      <c r="M339" s="38" t="s">
        <v>92</v>
      </c>
      <c r="N339" s="38"/>
      <c r="O339" s="37">
        <v>45</v>
      </c>
      <c r="P339" s="9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564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733"/>
      <c r="B340" s="733"/>
      <c r="C340" s="733"/>
      <c r="D340" s="733"/>
      <c r="E340" s="733"/>
      <c r="F340" s="733"/>
      <c r="G340" s="733"/>
      <c r="H340" s="733"/>
      <c r="I340" s="733"/>
      <c r="J340" s="733"/>
      <c r="K340" s="733"/>
      <c r="L340" s="733"/>
      <c r="M340" s="733"/>
      <c r="N340" s="733"/>
      <c r="O340" s="734"/>
      <c r="P340" s="730" t="s">
        <v>40</v>
      </c>
      <c r="Q340" s="731"/>
      <c r="R340" s="731"/>
      <c r="S340" s="731"/>
      <c r="T340" s="731"/>
      <c r="U340" s="731"/>
      <c r="V340" s="732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customHeight="1" x14ac:dyDescent="0.25">
      <c r="A342" s="723" t="s">
        <v>570</v>
      </c>
      <c r="B342" s="723"/>
      <c r="C342" s="723"/>
      <c r="D342" s="723"/>
      <c r="E342" s="723"/>
      <c r="F342" s="723"/>
      <c r="G342" s="723"/>
      <c r="H342" s="723"/>
      <c r="I342" s="723"/>
      <c r="J342" s="723"/>
      <c r="K342" s="723"/>
      <c r="L342" s="723"/>
      <c r="M342" s="723"/>
      <c r="N342" s="723"/>
      <c r="O342" s="723"/>
      <c r="P342" s="723"/>
      <c r="Q342" s="723"/>
      <c r="R342" s="723"/>
      <c r="S342" s="723"/>
      <c r="T342" s="723"/>
      <c r="U342" s="723"/>
      <c r="V342" s="723"/>
      <c r="W342" s="723"/>
      <c r="X342" s="723"/>
      <c r="Y342" s="723"/>
      <c r="Z342" s="723"/>
      <c r="AA342" s="65"/>
      <c r="AB342" s="65"/>
      <c r="AC342" s="79"/>
    </row>
    <row r="343" spans="1:68" ht="14.25" customHeight="1" x14ac:dyDescent="0.25">
      <c r="A343" s="724" t="s">
        <v>79</v>
      </c>
      <c r="B343" s="724"/>
      <c r="C343" s="724"/>
      <c r="D343" s="724"/>
      <c r="E343" s="724"/>
      <c r="F343" s="724"/>
      <c r="G343" s="724"/>
      <c r="H343" s="724"/>
      <c r="I343" s="724"/>
      <c r="J343" s="724"/>
      <c r="K343" s="724"/>
      <c r="L343" s="724"/>
      <c r="M343" s="724"/>
      <c r="N343" s="724"/>
      <c r="O343" s="724"/>
      <c r="P343" s="724"/>
      <c r="Q343" s="724"/>
      <c r="R343" s="724"/>
      <c r="S343" s="724"/>
      <c r="T343" s="724"/>
      <c r="U343" s="724"/>
      <c r="V343" s="724"/>
      <c r="W343" s="724"/>
      <c r="X343" s="724"/>
      <c r="Y343" s="724"/>
      <c r="Z343" s="724"/>
      <c r="AA343" s="66"/>
      <c r="AB343" s="66"/>
      <c r="AC343" s="80"/>
    </row>
    <row r="344" spans="1:68" ht="27" customHeight="1" x14ac:dyDescent="0.25">
      <c r="A344" s="63" t="s">
        <v>571</v>
      </c>
      <c r="B344" s="63" t="s">
        <v>572</v>
      </c>
      <c r="C344" s="36">
        <v>4301031445</v>
      </c>
      <c r="D344" s="725">
        <v>4680115888319</v>
      </c>
      <c r="E344" s="72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84</v>
      </c>
      <c r="L344" s="37" t="s">
        <v>46</v>
      </c>
      <c r="M344" s="38" t="s">
        <v>83</v>
      </c>
      <c r="N344" s="38"/>
      <c r="O344" s="37">
        <v>45</v>
      </c>
      <c r="P344" s="9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7"/>
      <c r="R344" s="727"/>
      <c r="S344" s="727"/>
      <c r="T344" s="72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398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573</v>
      </c>
      <c r="B345" s="63" t="s">
        <v>574</v>
      </c>
      <c r="C345" s="36">
        <v>4301031502</v>
      </c>
      <c r="D345" s="725">
        <v>4680115884700</v>
      </c>
      <c r="E345" s="72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84</v>
      </c>
      <c r="L345" s="37" t="s">
        <v>46</v>
      </c>
      <c r="M345" s="38" t="s">
        <v>83</v>
      </c>
      <c r="N345" s="38"/>
      <c r="O345" s="37">
        <v>40</v>
      </c>
      <c r="P345" s="9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576</v>
      </c>
      <c r="B346" s="63" t="s">
        <v>577</v>
      </c>
      <c r="C346" s="36">
        <v>4301031307</v>
      </c>
      <c r="D346" s="725">
        <v>4680115880344</v>
      </c>
      <c r="E346" s="72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84</v>
      </c>
      <c r="L346" s="37" t="s">
        <v>46</v>
      </c>
      <c r="M346" s="38" t="s">
        <v>83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579</v>
      </c>
      <c r="B347" s="63" t="s">
        <v>580</v>
      </c>
      <c r="C347" s="36">
        <v>4301031501</v>
      </c>
      <c r="D347" s="725">
        <v>4680115886919</v>
      </c>
      <c r="E347" s="72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93</v>
      </c>
      <c r="L347" s="37" t="s">
        <v>46</v>
      </c>
      <c r="M347" s="38" t="s">
        <v>83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582</v>
      </c>
      <c r="B348" s="63" t="s">
        <v>583</v>
      </c>
      <c r="C348" s="36">
        <v>4301031246</v>
      </c>
      <c r="D348" s="725">
        <v>4680115883970</v>
      </c>
      <c r="E348" s="72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84</v>
      </c>
      <c r="L348" s="37" t="s">
        <v>46</v>
      </c>
      <c r="M348" s="38" t="s">
        <v>83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33"/>
      <c r="B349" s="733"/>
      <c r="C349" s="733"/>
      <c r="D349" s="733"/>
      <c r="E349" s="733"/>
      <c r="F349" s="733"/>
      <c r="G349" s="733"/>
      <c r="H349" s="733"/>
      <c r="I349" s="733"/>
      <c r="J349" s="733"/>
      <c r="K349" s="733"/>
      <c r="L349" s="733"/>
      <c r="M349" s="733"/>
      <c r="N349" s="733"/>
      <c r="O349" s="734"/>
      <c r="P349" s="730" t="s">
        <v>40</v>
      </c>
      <c r="Q349" s="731"/>
      <c r="R349" s="731"/>
      <c r="S349" s="731"/>
      <c r="T349" s="731"/>
      <c r="U349" s="731"/>
      <c r="V349" s="732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customHeight="1" x14ac:dyDescent="0.25">
      <c r="A351" s="724" t="s">
        <v>88</v>
      </c>
      <c r="B351" s="724"/>
      <c r="C351" s="724"/>
      <c r="D351" s="724"/>
      <c r="E351" s="724"/>
      <c r="F351" s="724"/>
      <c r="G351" s="724"/>
      <c r="H351" s="724"/>
      <c r="I351" s="724"/>
      <c r="J351" s="724"/>
      <c r="K351" s="724"/>
      <c r="L351" s="724"/>
      <c r="M351" s="724"/>
      <c r="N351" s="724"/>
      <c r="O351" s="724"/>
      <c r="P351" s="724"/>
      <c r="Q351" s="724"/>
      <c r="R351" s="724"/>
      <c r="S351" s="724"/>
      <c r="T351" s="724"/>
      <c r="U351" s="724"/>
      <c r="V351" s="724"/>
      <c r="W351" s="724"/>
      <c r="X351" s="724"/>
      <c r="Y351" s="724"/>
      <c r="Z351" s="724"/>
      <c r="AA351" s="66"/>
      <c r="AB351" s="66"/>
      <c r="AC351" s="80"/>
    </row>
    <row r="352" spans="1:68" ht="27" customHeight="1" x14ac:dyDescent="0.25">
      <c r="A352" s="63" t="s">
        <v>585</v>
      </c>
      <c r="B352" s="63" t="s">
        <v>586</v>
      </c>
      <c r="C352" s="36">
        <v>4301051782</v>
      </c>
      <c r="D352" s="725">
        <v>4680115884618</v>
      </c>
      <c r="E352" s="72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136</v>
      </c>
      <c r="L352" s="37" t="s">
        <v>46</v>
      </c>
      <c r="M352" s="38" t="s">
        <v>92</v>
      </c>
      <c r="N352" s="38"/>
      <c r="O352" s="37">
        <v>45</v>
      </c>
      <c r="P352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7"/>
      <c r="R352" s="727"/>
      <c r="S352" s="727"/>
      <c r="T352" s="72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4301052057</v>
      </c>
      <c r="D353" s="725">
        <v>4680115887114</v>
      </c>
      <c r="E353" s="72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136</v>
      </c>
      <c r="L353" s="37" t="s">
        <v>46</v>
      </c>
      <c r="M353" s="38" t="s">
        <v>92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33"/>
      <c r="B354" s="733"/>
      <c r="C354" s="733"/>
      <c r="D354" s="733"/>
      <c r="E354" s="733"/>
      <c r="F354" s="733"/>
      <c r="G354" s="733"/>
      <c r="H354" s="733"/>
      <c r="I354" s="733"/>
      <c r="J354" s="733"/>
      <c r="K354" s="733"/>
      <c r="L354" s="733"/>
      <c r="M354" s="733"/>
      <c r="N354" s="733"/>
      <c r="O354" s="734"/>
      <c r="P354" s="730" t="s">
        <v>40</v>
      </c>
      <c r="Q354" s="731"/>
      <c r="R354" s="731"/>
      <c r="S354" s="731"/>
      <c r="T354" s="731"/>
      <c r="U354" s="731"/>
      <c r="V354" s="732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customHeight="1" x14ac:dyDescent="0.25">
      <c r="A356" s="723" t="s">
        <v>591</v>
      </c>
      <c r="B356" s="723"/>
      <c r="C356" s="723"/>
      <c r="D356" s="723"/>
      <c r="E356" s="723"/>
      <c r="F356" s="723"/>
      <c r="G356" s="723"/>
      <c r="H356" s="723"/>
      <c r="I356" s="723"/>
      <c r="J356" s="723"/>
      <c r="K356" s="723"/>
      <c r="L356" s="723"/>
      <c r="M356" s="723"/>
      <c r="N356" s="723"/>
      <c r="O356" s="723"/>
      <c r="P356" s="723"/>
      <c r="Q356" s="723"/>
      <c r="R356" s="723"/>
      <c r="S356" s="723"/>
      <c r="T356" s="723"/>
      <c r="U356" s="723"/>
      <c r="V356" s="723"/>
      <c r="W356" s="723"/>
      <c r="X356" s="723"/>
      <c r="Y356" s="723"/>
      <c r="Z356" s="723"/>
      <c r="AA356" s="65"/>
      <c r="AB356" s="65"/>
      <c r="AC356" s="79"/>
    </row>
    <row r="357" spans="1:68" ht="14.25" customHeight="1" x14ac:dyDescent="0.25">
      <c r="A357" s="724" t="s">
        <v>124</v>
      </c>
      <c r="B357" s="724"/>
      <c r="C357" s="724"/>
      <c r="D357" s="724"/>
      <c r="E357" s="724"/>
      <c r="F357" s="724"/>
      <c r="G357" s="724"/>
      <c r="H357" s="724"/>
      <c r="I357" s="724"/>
      <c r="J357" s="724"/>
      <c r="K357" s="724"/>
      <c r="L357" s="724"/>
      <c r="M357" s="724"/>
      <c r="N357" s="724"/>
      <c r="O357" s="724"/>
      <c r="P357" s="724"/>
      <c r="Q357" s="724"/>
      <c r="R357" s="724"/>
      <c r="S357" s="724"/>
      <c r="T357" s="724"/>
      <c r="U357" s="724"/>
      <c r="V357" s="724"/>
      <c r="W357" s="724"/>
      <c r="X357" s="724"/>
      <c r="Y357" s="724"/>
      <c r="Z357" s="724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4301012324</v>
      </c>
      <c r="D358" s="725">
        <v>4680115887947</v>
      </c>
      <c r="E358" s="72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129</v>
      </c>
      <c r="L358" s="37" t="s">
        <v>46</v>
      </c>
      <c r="M358" s="38" t="s">
        <v>92</v>
      </c>
      <c r="N358" s="38"/>
      <c r="O358" s="37">
        <v>60</v>
      </c>
      <c r="P358" s="91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7"/>
      <c r="R358" s="727"/>
      <c r="S358" s="727"/>
      <c r="T358" s="72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357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4301012325</v>
      </c>
      <c r="D359" s="725">
        <v>4680115887978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129</v>
      </c>
      <c r="L359" s="37" t="s">
        <v>46</v>
      </c>
      <c r="M359" s="38" t="s">
        <v>92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597</v>
      </c>
      <c r="B360" s="63" t="s">
        <v>598</v>
      </c>
      <c r="C360" s="36">
        <v>4301012327</v>
      </c>
      <c r="D360" s="725">
        <v>4680115887992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92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733"/>
      <c r="B361" s="733"/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  <c r="O361" s="734"/>
      <c r="P361" s="730" t="s">
        <v>40</v>
      </c>
      <c r="Q361" s="731"/>
      <c r="R361" s="731"/>
      <c r="S361" s="731"/>
      <c r="T361" s="731"/>
      <c r="U361" s="731"/>
      <c r="V361" s="732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customHeight="1" x14ac:dyDescent="0.25">
      <c r="A363" s="723" t="s">
        <v>600</v>
      </c>
      <c r="B363" s="723"/>
      <c r="C363" s="723"/>
      <c r="D363" s="723"/>
      <c r="E363" s="723"/>
      <c r="F363" s="723"/>
      <c r="G363" s="723"/>
      <c r="H363" s="723"/>
      <c r="I363" s="723"/>
      <c r="J363" s="723"/>
      <c r="K363" s="723"/>
      <c r="L363" s="723"/>
      <c r="M363" s="723"/>
      <c r="N363" s="723"/>
      <c r="O363" s="723"/>
      <c r="P363" s="723"/>
      <c r="Q363" s="723"/>
      <c r="R363" s="723"/>
      <c r="S363" s="723"/>
      <c r="T363" s="723"/>
      <c r="U363" s="723"/>
      <c r="V363" s="723"/>
      <c r="W363" s="723"/>
      <c r="X363" s="723"/>
      <c r="Y363" s="723"/>
      <c r="Z363" s="723"/>
      <c r="AA363" s="65"/>
      <c r="AB363" s="65"/>
      <c r="AC363" s="79"/>
    </row>
    <row r="364" spans="1:68" ht="14.25" customHeight="1" x14ac:dyDescent="0.25">
      <c r="A364" s="724" t="s">
        <v>124</v>
      </c>
      <c r="B364" s="724"/>
      <c r="C364" s="724"/>
      <c r="D364" s="724"/>
      <c r="E364" s="724"/>
      <c r="F364" s="724"/>
      <c r="G364" s="724"/>
      <c r="H364" s="724"/>
      <c r="I364" s="724"/>
      <c r="J364" s="724"/>
      <c r="K364" s="724"/>
      <c r="L364" s="724"/>
      <c r="M364" s="724"/>
      <c r="N364" s="724"/>
      <c r="O364" s="724"/>
      <c r="P364" s="724"/>
      <c r="Q364" s="724"/>
      <c r="R364" s="724"/>
      <c r="S364" s="724"/>
      <c r="T364" s="724"/>
      <c r="U364" s="724"/>
      <c r="V364" s="724"/>
      <c r="W364" s="724"/>
      <c r="X364" s="724"/>
      <c r="Y364" s="724"/>
      <c r="Z364" s="724"/>
      <c r="AA364" s="66"/>
      <c r="AB364" s="66"/>
      <c r="AC364" s="80"/>
    </row>
    <row r="365" spans="1:68" ht="27" customHeight="1" x14ac:dyDescent="0.25">
      <c r="A365" s="63" t="s">
        <v>601</v>
      </c>
      <c r="B365" s="63" t="s">
        <v>602</v>
      </c>
      <c r="C365" s="36">
        <v>4301012400</v>
      </c>
      <c r="D365" s="725">
        <v>4680115889880</v>
      </c>
      <c r="E365" s="72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129</v>
      </c>
      <c r="L365" s="37" t="s">
        <v>46</v>
      </c>
      <c r="M365" s="38" t="s">
        <v>128</v>
      </c>
      <c r="N365" s="38"/>
      <c r="O365" s="37">
        <v>55</v>
      </c>
      <c r="P365" s="92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7"/>
      <c r="R365" s="727"/>
      <c r="S365" s="727"/>
      <c r="T365" s="72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545</v>
      </c>
      <c r="AC365" s="462" t="s">
        <v>525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4301012360</v>
      </c>
      <c r="D366" s="725">
        <v>4680115889293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129</v>
      </c>
      <c r="L366" s="37" t="s">
        <v>46</v>
      </c>
      <c r="M366" s="38" t="s">
        <v>128</v>
      </c>
      <c r="N366" s="38"/>
      <c r="O366" s="37">
        <v>55</v>
      </c>
      <c r="P366" s="92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customHeight="1" x14ac:dyDescent="0.25">
      <c r="A368" s="63" t="s">
        <v>609</v>
      </c>
      <c r="B368" s="63" t="s">
        <v>610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92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136</v>
      </c>
      <c r="L370" s="37" t="s">
        <v>46</v>
      </c>
      <c r="M370" s="38" t="s">
        <v>128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608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617</v>
      </c>
      <c r="B371" s="63" t="s">
        <v>618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136</v>
      </c>
      <c r="L371" s="37" t="s">
        <v>46</v>
      </c>
      <c r="M371" s="38" t="s">
        <v>128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customHeight="1" x14ac:dyDescent="0.25">
      <c r="A374" s="724" t="s">
        <v>79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136</v>
      </c>
      <c r="L375" s="37" t="s">
        <v>46</v>
      </c>
      <c r="M375" s="38" t="s">
        <v>83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136</v>
      </c>
      <c r="L376" s="37" t="s">
        <v>46</v>
      </c>
      <c r="M376" s="38" t="s">
        <v>83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136</v>
      </c>
      <c r="L377" s="37" t="s">
        <v>46</v>
      </c>
      <c r="M377" s="38" t="s">
        <v>83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629</v>
      </c>
      <c r="B378" s="63" t="s">
        <v>630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84</v>
      </c>
      <c r="L378" s="37" t="s">
        <v>46</v>
      </c>
      <c r="M378" s="38" t="s">
        <v>83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625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84</v>
      </c>
      <c r="L379" s="37" t="s">
        <v>46</v>
      </c>
      <c r="M379" s="38" t="s">
        <v>83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633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136</v>
      </c>
      <c r="L380" s="37" t="s">
        <v>46</v>
      </c>
      <c r="M380" s="38" t="s">
        <v>83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628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636</v>
      </c>
      <c r="B381" s="63" t="s">
        <v>637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93</v>
      </c>
      <c r="L381" s="37" t="s">
        <v>46</v>
      </c>
      <c r="M381" s="38" t="s">
        <v>83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638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724" t="s">
        <v>88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639</v>
      </c>
      <c r="B385" s="63" t="s">
        <v>640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129</v>
      </c>
      <c r="L385" s="37" t="s">
        <v>46</v>
      </c>
      <c r="M385" s="38" t="s">
        <v>92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642</v>
      </c>
      <c r="B386" s="63" t="s">
        <v>643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129</v>
      </c>
      <c r="L386" s="37" t="s">
        <v>46</v>
      </c>
      <c r="M386" s="38" t="s">
        <v>92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129</v>
      </c>
      <c r="L387" s="37" t="s">
        <v>46</v>
      </c>
      <c r="M387" s="38" t="s">
        <v>92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648</v>
      </c>
      <c r="B388" s="63" t="s">
        <v>649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93</v>
      </c>
      <c r="L388" s="37" t="s">
        <v>46</v>
      </c>
      <c r="M388" s="38" t="s">
        <v>92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724" t="s">
        <v>181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customHeight="1" x14ac:dyDescent="0.25">
      <c r="A392" s="63" t="s">
        <v>650</v>
      </c>
      <c r="B392" s="63" t="s">
        <v>651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129</v>
      </c>
      <c r="L392" s="37" t="s">
        <v>46</v>
      </c>
      <c r="M392" s="38" t="s">
        <v>92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653</v>
      </c>
      <c r="B393" s="63" t="s">
        <v>654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129</v>
      </c>
      <c r="L393" s="37" t="s">
        <v>46</v>
      </c>
      <c r="M393" s="38" t="s">
        <v>92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99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724" t="s">
        <v>280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136</v>
      </c>
      <c r="L398" s="37" t="s">
        <v>46</v>
      </c>
      <c r="M398" s="38" t="s">
        <v>256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136</v>
      </c>
      <c r="L399" s="37" t="s">
        <v>46</v>
      </c>
      <c r="M399" s="38" t="s">
        <v>256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664</v>
      </c>
      <c r="B400" s="63" t="s">
        <v>665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93</v>
      </c>
      <c r="L400" s="37" t="s">
        <v>46</v>
      </c>
      <c r="M400" s="38" t="s">
        <v>256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666</v>
      </c>
      <c r="B401" s="63" t="s">
        <v>667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93</v>
      </c>
      <c r="L401" s="37" t="s">
        <v>46</v>
      </c>
      <c r="M401" s="38" t="s">
        <v>256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724" t="s">
        <v>668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669</v>
      </c>
      <c r="B405" s="63" t="s">
        <v>670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93</v>
      </c>
      <c r="L405" s="37" t="s">
        <v>46</v>
      </c>
      <c r="M405" s="38" t="s">
        <v>672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673</v>
      </c>
      <c r="B406" s="63" t="s">
        <v>674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93</v>
      </c>
      <c r="L406" s="37" t="s">
        <v>46</v>
      </c>
      <c r="M406" s="38" t="s">
        <v>672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675</v>
      </c>
      <c r="B407" s="63" t="s">
        <v>676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93</v>
      </c>
      <c r="L407" s="37" t="s">
        <v>46</v>
      </c>
      <c r="M407" s="38" t="s">
        <v>672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724" t="s">
        <v>677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customHeight="1" x14ac:dyDescent="0.25">
      <c r="A411" s="63" t="s">
        <v>678</v>
      </c>
      <c r="B411" s="63" t="s">
        <v>679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93</v>
      </c>
      <c r="L411" s="37" t="s">
        <v>46</v>
      </c>
      <c r="M411" s="38" t="s">
        <v>672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681</v>
      </c>
      <c r="B412" s="63" t="s">
        <v>682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136</v>
      </c>
      <c r="L412" s="37" t="s">
        <v>46</v>
      </c>
      <c r="M412" s="38" t="s">
        <v>672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684</v>
      </c>
      <c r="B413" s="63" t="s">
        <v>685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93</v>
      </c>
      <c r="L413" s="37" t="s">
        <v>46</v>
      </c>
      <c r="M413" s="38" t="s">
        <v>672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680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723" t="s">
        <v>686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customHeight="1" x14ac:dyDescent="0.25">
      <c r="A417" s="724" t="s">
        <v>88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customHeight="1" x14ac:dyDescent="0.25">
      <c r="A418" s="63" t="s">
        <v>687</v>
      </c>
      <c r="B418" s="63" t="s">
        <v>688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129</v>
      </c>
      <c r="L418" s="37" t="s">
        <v>46</v>
      </c>
      <c r="M418" s="38" t="s">
        <v>92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690</v>
      </c>
      <c r="B419" s="63" t="s">
        <v>691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129</v>
      </c>
      <c r="L419" s="37" t="s">
        <v>46</v>
      </c>
      <c r="M419" s="38" t="s">
        <v>92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723" t="s">
        <v>693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customHeight="1" x14ac:dyDescent="0.25">
      <c r="A423" s="724" t="s">
        <v>88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customHeight="1" x14ac:dyDescent="0.25">
      <c r="A424" s="63" t="s">
        <v>694</v>
      </c>
      <c r="B424" s="63" t="s">
        <v>695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129</v>
      </c>
      <c r="L424" s="37" t="s">
        <v>46</v>
      </c>
      <c r="M424" s="38" t="s">
        <v>99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697</v>
      </c>
      <c r="B425" s="63" t="s">
        <v>698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93</v>
      </c>
      <c r="L425" s="37" t="s">
        <v>46</v>
      </c>
      <c r="M425" s="38" t="s">
        <v>92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700</v>
      </c>
      <c r="B426" s="63" t="s">
        <v>701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93</v>
      </c>
      <c r="L426" s="37" t="s">
        <v>46</v>
      </c>
      <c r="M426" s="38" t="s">
        <v>99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722" t="s">
        <v>703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customHeight="1" x14ac:dyDescent="0.25">
      <c r="A430" s="723" t="s">
        <v>704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customHeight="1" x14ac:dyDescent="0.25">
      <c r="A431" s="724" t="s">
        <v>124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customHeight="1" x14ac:dyDescent="0.25">
      <c r="A432" s="63" t="s">
        <v>705</v>
      </c>
      <c r="B432" s="63" t="s">
        <v>706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129</v>
      </c>
      <c r="L432" s="37" t="s">
        <v>46</v>
      </c>
      <c r="M432" s="38" t="s">
        <v>99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708</v>
      </c>
      <c r="B433" s="63" t="s">
        <v>709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129</v>
      </c>
      <c r="L433" s="37" t="s">
        <v>46</v>
      </c>
      <c r="M433" s="38" t="s">
        <v>83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129</v>
      </c>
      <c r="L434" s="37" t="s">
        <v>46</v>
      </c>
      <c r="M434" s="38" t="s">
        <v>128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129</v>
      </c>
      <c r="L435" s="37" t="s">
        <v>46</v>
      </c>
      <c r="M435" s="38" t="s">
        <v>83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99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136</v>
      </c>
      <c r="L437" s="37" t="s">
        <v>46</v>
      </c>
      <c r="M437" s="38" t="s">
        <v>128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723</v>
      </c>
      <c r="B438" s="63" t="s">
        <v>724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136</v>
      </c>
      <c r="L438" s="37" t="s">
        <v>46</v>
      </c>
      <c r="M438" s="38" t="s">
        <v>83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726</v>
      </c>
      <c r="B439" s="63" t="s">
        <v>727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136</v>
      </c>
      <c r="L439" s="37" t="s">
        <v>46</v>
      </c>
      <c r="M439" s="38" t="s">
        <v>83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724" t="s">
        <v>161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729</v>
      </c>
      <c r="B443" s="63" t="s">
        <v>730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129</v>
      </c>
      <c r="L443" s="37" t="s">
        <v>46</v>
      </c>
      <c r="M443" s="38" t="s">
        <v>128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129</v>
      </c>
      <c r="L444" s="37" t="s">
        <v>46</v>
      </c>
      <c r="M444" s="38" t="s">
        <v>128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735</v>
      </c>
      <c r="B445" s="63" t="s">
        <v>736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136</v>
      </c>
      <c r="L445" s="37" t="s">
        <v>46</v>
      </c>
      <c r="M445" s="38" t="s">
        <v>128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24" t="s">
        <v>88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customHeight="1" x14ac:dyDescent="0.25">
      <c r="A449" s="63" t="s">
        <v>738</v>
      </c>
      <c r="B449" s="63" t="s">
        <v>739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129</v>
      </c>
      <c r="L449" s="37" t="s">
        <v>46</v>
      </c>
      <c r="M449" s="38" t="s">
        <v>92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741</v>
      </c>
      <c r="B450" s="63" t="s">
        <v>742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129</v>
      </c>
      <c r="L450" s="37" t="s">
        <v>46</v>
      </c>
      <c r="M450" s="38" t="s">
        <v>92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744</v>
      </c>
      <c r="B451" s="63" t="s">
        <v>745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129</v>
      </c>
      <c r="L451" s="37" t="s">
        <v>46</v>
      </c>
      <c r="M451" s="38" t="s">
        <v>92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724" t="s">
        <v>181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customHeight="1" x14ac:dyDescent="0.25">
      <c r="A455" s="63" t="s">
        <v>747</v>
      </c>
      <c r="B455" s="63" t="s">
        <v>748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129</v>
      </c>
      <c r="L455" s="37" t="s">
        <v>46</v>
      </c>
      <c r="M455" s="38" t="s">
        <v>92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750</v>
      </c>
      <c r="B456" s="63" t="s">
        <v>751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129</v>
      </c>
      <c r="L456" s="37" t="s">
        <v>46</v>
      </c>
      <c r="M456" s="38" t="s">
        <v>92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723" t="s">
        <v>753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customHeight="1" x14ac:dyDescent="0.25">
      <c r="A460" s="724" t="s">
        <v>124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customHeight="1" x14ac:dyDescent="0.25">
      <c r="A461" s="63" t="s">
        <v>754</v>
      </c>
      <c r="B461" s="63" t="s">
        <v>755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129</v>
      </c>
      <c r="L461" s="37" t="s">
        <v>46</v>
      </c>
      <c r="M461" s="38" t="s">
        <v>83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757</v>
      </c>
      <c r="B462" s="63" t="s">
        <v>758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136</v>
      </c>
      <c r="L462" s="37" t="s">
        <v>46</v>
      </c>
      <c r="M462" s="38" t="s">
        <v>83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724" t="s">
        <v>79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customHeight="1" x14ac:dyDescent="0.25">
      <c r="A466" s="63" t="s">
        <v>759</v>
      </c>
      <c r="B466" s="63" t="s">
        <v>760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136</v>
      </c>
      <c r="L466" s="37" t="s">
        <v>46</v>
      </c>
      <c r="M466" s="38" t="s">
        <v>83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761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724" t="s">
        <v>88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762</v>
      </c>
      <c r="B470" s="63" t="s">
        <v>763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129</v>
      </c>
      <c r="L470" s="37" t="s">
        <v>46</v>
      </c>
      <c r="M470" s="38" t="s">
        <v>92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765</v>
      </c>
      <c r="B471" s="63" t="s">
        <v>766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93</v>
      </c>
      <c r="L471" s="37" t="s">
        <v>46</v>
      </c>
      <c r="M471" s="38" t="s">
        <v>92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765</v>
      </c>
      <c r="B472" s="63" t="s">
        <v>767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93</v>
      </c>
      <c r="L472" s="37" t="s">
        <v>46</v>
      </c>
      <c r="M472" s="38" t="s">
        <v>92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768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722" t="s">
        <v>769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customHeight="1" x14ac:dyDescent="0.25">
      <c r="A476" s="723" t="s">
        <v>770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customHeight="1" x14ac:dyDescent="0.25">
      <c r="A477" s="724" t="s">
        <v>79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136</v>
      </c>
      <c r="L478" s="37" t="s">
        <v>46</v>
      </c>
      <c r="M478" s="38" t="s">
        <v>83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136</v>
      </c>
      <c r="L479" s="37" t="s">
        <v>46</v>
      </c>
      <c r="M479" s="38" t="s">
        <v>83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84</v>
      </c>
      <c r="L480" s="37" t="s">
        <v>46</v>
      </c>
      <c r="M480" s="38" t="s">
        <v>83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773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84</v>
      </c>
      <c r="L481" s="37" t="s">
        <v>46</v>
      </c>
      <c r="M481" s="38" t="s">
        <v>83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782</v>
      </c>
      <c r="B482" s="63" t="s">
        <v>783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84</v>
      </c>
      <c r="L482" s="37" t="s">
        <v>46</v>
      </c>
      <c r="M482" s="38" t="s">
        <v>83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customHeight="1" x14ac:dyDescent="0.25">
      <c r="A483" s="63" t="s">
        <v>785</v>
      </c>
      <c r="B483" s="63" t="s">
        <v>786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84</v>
      </c>
      <c r="L483" s="37" t="s">
        <v>46</v>
      </c>
      <c r="M483" s="38" t="s">
        <v>83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781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724" t="s">
        <v>88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customHeight="1" x14ac:dyDescent="0.25">
      <c r="A487" s="63" t="s">
        <v>787</v>
      </c>
      <c r="B487" s="63" t="s">
        <v>788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136</v>
      </c>
      <c r="L487" s="37" t="s">
        <v>46</v>
      </c>
      <c r="M487" s="38" t="s">
        <v>92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790</v>
      </c>
      <c r="B488" s="63" t="s">
        <v>791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93</v>
      </c>
      <c r="L488" s="37" t="s">
        <v>46</v>
      </c>
      <c r="M488" s="38" t="s">
        <v>92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723" t="s">
        <v>793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customHeight="1" x14ac:dyDescent="0.25">
      <c r="A492" s="724" t="s">
        <v>161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customHeight="1" x14ac:dyDescent="0.25">
      <c r="A493" s="63" t="s">
        <v>794</v>
      </c>
      <c r="B493" s="63" t="s">
        <v>795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93</v>
      </c>
      <c r="L493" s="37" t="s">
        <v>46</v>
      </c>
      <c r="M493" s="38" t="s">
        <v>83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796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724" t="s">
        <v>79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customHeight="1" x14ac:dyDescent="0.25">
      <c r="A497" s="63" t="s">
        <v>797</v>
      </c>
      <c r="B497" s="63" t="s">
        <v>798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136</v>
      </c>
      <c r="L497" s="37" t="s">
        <v>46</v>
      </c>
      <c r="M497" s="38" t="s">
        <v>83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84</v>
      </c>
      <c r="L498" s="37" t="s">
        <v>46</v>
      </c>
      <c r="M498" s="38" t="s">
        <v>83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84</v>
      </c>
      <c r="L499" s="37" t="s">
        <v>46</v>
      </c>
      <c r="M499" s="38" t="s">
        <v>83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722" t="s">
        <v>805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customHeight="1" x14ac:dyDescent="0.25">
      <c r="A503" s="723" t="s">
        <v>805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customHeight="1" x14ac:dyDescent="0.25">
      <c r="A504" s="724" t="s">
        <v>124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129</v>
      </c>
      <c r="L505" s="37" t="s">
        <v>46</v>
      </c>
      <c r="M505" s="38" t="s">
        <v>92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127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customHeight="1" x14ac:dyDescent="0.25">
      <c r="A506" s="63" t="s">
        <v>808</v>
      </c>
      <c r="B506" s="63" t="s">
        <v>809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129</v>
      </c>
      <c r="L506" s="37" t="s">
        <v>46</v>
      </c>
      <c r="M506" s="38" t="s">
        <v>128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129</v>
      </c>
      <c r="L507" s="37" t="s">
        <v>46</v>
      </c>
      <c r="M507" s="38" t="s">
        <v>128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814</v>
      </c>
      <c r="B508" s="63" t="s">
        <v>815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128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customHeight="1" x14ac:dyDescent="0.25">
      <c r="A509" s="63" t="s">
        <v>817</v>
      </c>
      <c r="B509" s="63" t="s">
        <v>818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92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820</v>
      </c>
      <c r="B510" s="63" t="s">
        <v>821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823</v>
      </c>
      <c r="B511" s="63" t="s">
        <v>824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93</v>
      </c>
      <c r="L511" s="37" t="s">
        <v>46</v>
      </c>
      <c r="M511" s="38" t="s">
        <v>92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127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825</v>
      </c>
      <c r="B512" s="63" t="s">
        <v>826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136</v>
      </c>
      <c r="L512" s="37" t="s">
        <v>46</v>
      </c>
      <c r="M512" s="38" t="s">
        <v>92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127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827</v>
      </c>
      <c r="B513" s="63" t="s">
        <v>828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136</v>
      </c>
      <c r="L513" s="37" t="s">
        <v>46</v>
      </c>
      <c r="M513" s="38" t="s">
        <v>128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822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724" t="s">
        <v>161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829</v>
      </c>
      <c r="B517" s="63" t="s">
        <v>830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129</v>
      </c>
      <c r="L517" s="37" t="s">
        <v>46</v>
      </c>
      <c r="M517" s="38" t="s">
        <v>92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832</v>
      </c>
      <c r="B518" s="63" t="s">
        <v>833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93</v>
      </c>
      <c r="L518" s="37" t="s">
        <v>46</v>
      </c>
      <c r="M518" s="38" t="s">
        <v>128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834</v>
      </c>
      <c r="B519" s="63" t="s">
        <v>835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136</v>
      </c>
      <c r="L519" s="37" t="s">
        <v>46</v>
      </c>
      <c r="M519" s="38" t="s">
        <v>128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724" t="s">
        <v>79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836</v>
      </c>
      <c r="B523" s="63" t="s">
        <v>837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129</v>
      </c>
      <c r="L523" s="37" t="s">
        <v>46</v>
      </c>
      <c r="M523" s="38" t="s">
        <v>128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839</v>
      </c>
      <c r="B524" s="63" t="s">
        <v>840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129</v>
      </c>
      <c r="L524" s="37" t="s">
        <v>46</v>
      </c>
      <c r="M524" s="38" t="s">
        <v>83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842</v>
      </c>
      <c r="B525" s="63" t="s">
        <v>843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83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845</v>
      </c>
      <c r="B526" s="63" t="s">
        <v>846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136</v>
      </c>
      <c r="L526" s="37" t="s">
        <v>46</v>
      </c>
      <c r="M526" s="38" t="s">
        <v>128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847</v>
      </c>
      <c r="B527" s="63" t="s">
        <v>848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136</v>
      </c>
      <c r="L527" s="37" t="s">
        <v>46</v>
      </c>
      <c r="M527" s="38" t="s">
        <v>83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847</v>
      </c>
      <c r="B528" s="63" t="s">
        <v>849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136</v>
      </c>
      <c r="L528" s="37" t="s">
        <v>46</v>
      </c>
      <c r="M528" s="38" t="s">
        <v>83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850</v>
      </c>
      <c r="B529" s="63" t="s">
        <v>851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136</v>
      </c>
      <c r="L529" s="37" t="s">
        <v>46</v>
      </c>
      <c r="M529" s="38" t="s">
        <v>83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722" t="s">
        <v>852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customHeight="1" x14ac:dyDescent="0.25">
      <c r="A533" s="723" t="s">
        <v>852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customHeight="1" x14ac:dyDescent="0.25">
      <c r="A534" s="724" t="s">
        <v>124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customHeight="1" x14ac:dyDescent="0.25">
      <c r="A535" s="63" t="s">
        <v>853</v>
      </c>
      <c r="B535" s="63" t="s">
        <v>854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129</v>
      </c>
      <c r="L535" s="37" t="s">
        <v>46</v>
      </c>
      <c r="M535" s="38" t="s">
        <v>128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855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24" t="s">
        <v>161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customHeight="1" x14ac:dyDescent="0.25">
      <c r="A539" s="63" t="s">
        <v>856</v>
      </c>
      <c r="B539" s="63" t="s">
        <v>857</v>
      </c>
      <c r="C539" s="36">
        <v>4301020444</v>
      </c>
      <c r="D539" s="725">
        <v>4680115889781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129</v>
      </c>
      <c r="L539" s="37" t="s">
        <v>46</v>
      </c>
      <c r="M539" s="38" t="s">
        <v>92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731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24" t="s">
        <v>79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customHeight="1" x14ac:dyDescent="0.25">
      <c r="A543" s="63" t="s">
        <v>858</v>
      </c>
      <c r="B543" s="63" t="s">
        <v>859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136</v>
      </c>
      <c r="L543" s="37" t="s">
        <v>46</v>
      </c>
      <c r="M543" s="38" t="s">
        <v>83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860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24" t="s">
        <v>88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customHeight="1" x14ac:dyDescent="0.25">
      <c r="A547" s="63" t="s">
        <v>861</v>
      </c>
      <c r="B547" s="63" t="s">
        <v>862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129</v>
      </c>
      <c r="L547" s="37" t="s">
        <v>46</v>
      </c>
      <c r="M547" s="38" t="s">
        <v>92</v>
      </c>
      <c r="N547" s="38"/>
      <c r="O547" s="37">
        <v>45</v>
      </c>
      <c r="P547" s="10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863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24" t="s">
        <v>181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customHeight="1" x14ac:dyDescent="0.25">
      <c r="A551" s="63" t="s">
        <v>864</v>
      </c>
      <c r="B551" s="63" t="s">
        <v>865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129</v>
      </c>
      <c r="L551" s="37" t="s">
        <v>46</v>
      </c>
      <c r="M551" s="38" t="s">
        <v>92</v>
      </c>
      <c r="N551" s="38"/>
      <c r="O551" s="37">
        <v>40</v>
      </c>
      <c r="P551" s="10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customHeight="1" x14ac:dyDescent="0.25">
      <c r="A552" s="63" t="s">
        <v>867</v>
      </c>
      <c r="B552" s="63" t="s">
        <v>868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129</v>
      </c>
      <c r="L552" s="37" t="s">
        <v>46</v>
      </c>
      <c r="M552" s="38" t="s">
        <v>92</v>
      </c>
      <c r="N552" s="38"/>
      <c r="O552" s="37">
        <v>40</v>
      </c>
      <c r="P552" s="10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customHeight="1" x14ac:dyDescent="0.25">
      <c r="A555" s="723" t="s">
        <v>870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customHeight="1" x14ac:dyDescent="0.25">
      <c r="A556" s="724" t="s">
        <v>161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customHeight="1" x14ac:dyDescent="0.25">
      <c r="A557" s="63" t="s">
        <v>871</v>
      </c>
      <c r="B557" s="63" t="s">
        <v>872</v>
      </c>
      <c r="C557" s="36">
        <v>4301020441</v>
      </c>
      <c r="D557" s="725">
        <v>4680115889798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129</v>
      </c>
      <c r="L557" s="37" t="s">
        <v>46</v>
      </c>
      <c r="M557" s="38" t="s">
        <v>128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873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0</v>
      </c>
      <c r="Y560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0</v>
      </c>
      <c r="Y561" s="43">
        <f>IFERROR(SUM(BN22:BN557),"0")</f>
        <v>0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0</v>
      </c>
      <c r="Y562" s="44">
        <f>ROUNDUP(SUM(BP22:BP557),0)</f>
        <v>0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0</v>
      </c>
      <c r="Y563" s="43">
        <f>GrossWeightTotalR+PalletQtyTotalR*25</f>
        <v>0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0</v>
      </c>
      <c r="Y564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0</v>
      </c>
      <c r="Z564" s="42"/>
      <c r="AA564" s="67"/>
      <c r="AB564" s="67"/>
      <c r="AC564" s="67"/>
    </row>
    <row r="565" spans="1:32" ht="14.25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0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78</v>
      </c>
      <c r="C567" s="85" t="s">
        <v>45</v>
      </c>
      <c r="D567" s="1013" t="s">
        <v>122</v>
      </c>
      <c r="E567" s="1013" t="s">
        <v>122</v>
      </c>
      <c r="F567" s="1013" t="s">
        <v>122</v>
      </c>
      <c r="G567" s="1013" t="s">
        <v>122</v>
      </c>
      <c r="H567" s="1013" t="s">
        <v>122</v>
      </c>
      <c r="I567" s="1013" t="s">
        <v>122</v>
      </c>
      <c r="J567" s="1013" t="s">
        <v>122</v>
      </c>
      <c r="K567" s="1013" t="s">
        <v>348</v>
      </c>
      <c r="L567" s="1013" t="s">
        <v>348</v>
      </c>
      <c r="M567" s="1013" t="s">
        <v>348</v>
      </c>
      <c r="N567" s="1022"/>
      <c r="O567" s="1013" t="s">
        <v>348</v>
      </c>
      <c r="P567" s="1013" t="s">
        <v>348</v>
      </c>
      <c r="Q567" s="1013" t="s">
        <v>348</v>
      </c>
      <c r="R567" s="1013" t="s">
        <v>348</v>
      </c>
      <c r="S567" s="1013" t="s">
        <v>348</v>
      </c>
      <c r="T567" s="1013" t="s">
        <v>348</v>
      </c>
      <c r="U567" s="1013" t="s">
        <v>348</v>
      </c>
      <c r="V567" s="1013" t="s">
        <v>348</v>
      </c>
      <c r="W567" s="1013" t="s">
        <v>703</v>
      </c>
      <c r="X567" s="1013" t="s">
        <v>703</v>
      </c>
      <c r="Y567" s="1013" t="s">
        <v>769</v>
      </c>
      <c r="Z567" s="1013" t="s">
        <v>769</v>
      </c>
      <c r="AA567" s="85" t="s">
        <v>805</v>
      </c>
      <c r="AB567" s="1013" t="s">
        <v>852</v>
      </c>
      <c r="AC567" s="1013" t="s">
        <v>852</v>
      </c>
      <c r="AF567" s="1"/>
    </row>
    <row r="568" spans="1:32" ht="14.25" customHeight="1" thickTop="1" x14ac:dyDescent="0.2">
      <c r="A568" s="1023" t="s">
        <v>10</v>
      </c>
      <c r="B568" s="1013" t="s">
        <v>78</v>
      </c>
      <c r="C568" s="1013" t="s">
        <v>106</v>
      </c>
      <c r="D568" s="1013" t="s">
        <v>123</v>
      </c>
      <c r="E568" s="1013" t="s">
        <v>139</v>
      </c>
      <c r="F568" s="1013" t="s">
        <v>189</v>
      </c>
      <c r="G568" s="1013" t="s">
        <v>212</v>
      </c>
      <c r="H568" s="1013" t="s">
        <v>252</v>
      </c>
      <c r="I568" s="1013" t="s">
        <v>265</v>
      </c>
      <c r="J568" s="1013" t="s">
        <v>122</v>
      </c>
      <c r="K568" s="1013" t="s">
        <v>349</v>
      </c>
      <c r="L568" s="1013" t="s">
        <v>370</v>
      </c>
      <c r="M568" s="1013" t="s">
        <v>444</v>
      </c>
      <c r="N568" s="1"/>
      <c r="O568" s="1013" t="s">
        <v>512</v>
      </c>
      <c r="P568" s="1013" t="s">
        <v>541</v>
      </c>
      <c r="Q568" s="1013" t="s">
        <v>561</v>
      </c>
      <c r="R568" s="1013" t="s">
        <v>570</v>
      </c>
      <c r="S568" s="1013" t="s">
        <v>591</v>
      </c>
      <c r="T568" s="1013" t="s">
        <v>600</v>
      </c>
      <c r="U568" s="1013" t="s">
        <v>686</v>
      </c>
      <c r="V568" s="1013" t="s">
        <v>693</v>
      </c>
      <c r="W568" s="1013" t="s">
        <v>704</v>
      </c>
      <c r="X568" s="1013" t="s">
        <v>753</v>
      </c>
      <c r="Y568" s="1013" t="s">
        <v>770</v>
      </c>
      <c r="Z568" s="1013" t="s">
        <v>793</v>
      </c>
      <c r="AA568" s="1013" t="s">
        <v>805</v>
      </c>
      <c r="AB568" s="1013" t="s">
        <v>852</v>
      </c>
      <c r="AC568" s="1013" t="s">
        <v>870</v>
      </c>
      <c r="AF568" s="1"/>
    </row>
    <row r="569" spans="1:32" ht="13.5" thickBot="1" x14ac:dyDescent="0.25">
      <c r="A569" s="1024"/>
      <c r="B569" s="1013"/>
      <c r="C569" s="1013"/>
      <c r="D569" s="1013"/>
      <c r="E569" s="1013"/>
      <c r="F569" s="1013"/>
      <c r="G569" s="1013"/>
      <c r="H569" s="1013"/>
      <c r="I569" s="1013"/>
      <c r="J569" s="1013"/>
      <c r="K569" s="1013"/>
      <c r="L569" s="1013"/>
      <c r="M569" s="1013"/>
      <c r="N569" s="1"/>
      <c r="O569" s="1013"/>
      <c r="P569" s="1013"/>
      <c r="Q569" s="1013"/>
      <c r="R569" s="1013"/>
      <c r="S569" s="1013"/>
      <c r="T569" s="1013"/>
      <c r="U569" s="1013"/>
      <c r="V569" s="1013"/>
      <c r="W569" s="1013"/>
      <c r="X569" s="1013"/>
      <c r="Y569" s="1013"/>
      <c r="Z569" s="1013"/>
      <c r="AA569" s="1013"/>
      <c r="AB569" s="1013"/>
      <c r="AC569" s="1013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70" s="52">
        <f>IFERROR(Y88*1,"0")+IFERROR(Y89*1,"0")+IFERROR(Y90*1,"0")+IFERROR(Y91*1,"0")+IFERROR(Y92*1,"0")+IFERROR(Y96*1,"0")+IFERROR(Y97*1,"0")+IFERROR(Y98*1,"0")+IFERROR(Y99*1,"0")</f>
        <v>0</v>
      </c>
      <c r="G570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0" s="52">
        <f>IFERROR(Y134*1,"0")+IFERROR(Y135*1,"0")+IFERROR(Y139*1,"0")+IFERROR(Y140*1,"0")+IFERROR(Y144*1,"0")+IFERROR(Y145*1,"0")</f>
        <v>0</v>
      </c>
      <c r="I570" s="52">
        <f>IFERROR(Y150*1,"0")+IFERROR(Y151*1,"0")+IFERROR(Y152*1,"0")+IFERROR(Y153*1,"0")+IFERROR(Y154*1,"0")+IFERROR(Y155*1,"0")+IFERROR(Y159*1,"0")</f>
        <v>0</v>
      </c>
      <c r="J570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0" s="52">
        <f>IFERROR(Y206*1,"0")+IFERROR(Y207*1,"0")+IFERROR(Y208*1,"0")+IFERROR(Y209*1,"0")+IFERROR(Y210*1,"0")+IFERROR(Y211*1,"0")+IFERROR(Y212*1,"0")</f>
        <v>0</v>
      </c>
      <c r="L570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</f>
        <v>0</v>
      </c>
      <c r="P570" s="52">
        <f>IFERROR(Y327*1,"0")+IFERROR(Y328*1,"0")+IFERROR(Y329*1,"0")+IFERROR(Y330*1,"0")+IFERROR(Y331*1,"0")+IFERROR(Y332*1,"0")</f>
        <v>0</v>
      </c>
      <c r="Q570" s="52">
        <f>IFERROR(Y337*1,"0")+IFERROR(Y338*1,"0")+IFERROR(Y339*1,"0")</f>
        <v>0</v>
      </c>
      <c r="R570" s="52">
        <f>IFERROR(Y344*1,"0")+IFERROR(Y345*1,"0")+IFERROR(Y346*1,"0")+IFERROR(Y347*1,"0")+IFERROR(Y348*1,"0")+IFERROR(Y352*1,"0")+IFERROR(Y353*1,"0")</f>
        <v>0</v>
      </c>
      <c r="S570" s="52">
        <f>IFERROR(Y358*1,"0")+IFERROR(Y359*1,"0")+IFERROR(Y360*1,"0")</f>
        <v>0</v>
      </c>
      <c r="T570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hmiN1MgyOGVHmtG2xKNEFE+zOBF2jGqoMdPzF9mHRQokwbCIzBp0g4xetgA/HWr8ySa5jKpmODRW9y40s5+8ZA==" saltValue="uf/u2BpUwCaqBSDc98zP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V568:V569"/>
    <mergeCell ref="W568:W569"/>
    <mergeCell ref="X568:X569"/>
    <mergeCell ref="Y568:Y569"/>
    <mergeCell ref="Z568:Z569"/>
    <mergeCell ref="AA568:AA569"/>
    <mergeCell ref="AB568:AB569"/>
    <mergeCell ref="AC568:AC569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P553:V553"/>
    <mergeCell ref="A553:O554"/>
    <mergeCell ref="P554:V554"/>
    <mergeCell ref="A555:Z555"/>
    <mergeCell ref="A556:Z556"/>
    <mergeCell ref="D557:E557"/>
    <mergeCell ref="P557:T557"/>
    <mergeCell ref="S568:S569"/>
    <mergeCell ref="T568:T569"/>
    <mergeCell ref="U568:U569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76</v>
      </c>
      <c r="C6" s="53" t="s">
        <v>877</v>
      </c>
      <c r="D6" s="53" t="s">
        <v>878</v>
      </c>
      <c r="E6" s="53" t="s">
        <v>46</v>
      </c>
    </row>
    <row r="8" spans="2:8" x14ac:dyDescent="0.2">
      <c r="B8" s="53" t="s">
        <v>77</v>
      </c>
      <c r="C8" s="53" t="s">
        <v>877</v>
      </c>
      <c r="D8" s="53" t="s">
        <v>46</v>
      </c>
      <c r="E8" s="53" t="s">
        <v>46</v>
      </c>
    </row>
    <row r="10" spans="2:8" x14ac:dyDescent="0.2">
      <c r="B10" s="53" t="s">
        <v>879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880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881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</sheetData>
  <sheetProtection algorithmName="SHA-512" hashValue="0IjZwa190SyMQWFyWmYTvt6+JTNEiaGVaQrkPrisq8QcnlKUu853grbSf+s4bVYnnUz3hdA6BANccmLhXqpLhg==" saltValue="Hgt5eor6y7s1eN6hRoz4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1178</vt:i4>
      </vt:variant>
    </vt:vector>
  </HeadingPairs>
  <TitlesOfParts>
    <vt:vector size="11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