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788F7AD5-68A7-4948-954E-1795E081807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P530" i="2"/>
  <c r="BO530" i="2"/>
  <c r="BM530" i="2"/>
  <c r="Y530" i="2"/>
  <c r="BN530" i="2" s="1"/>
  <c r="P530" i="2"/>
  <c r="BO529" i="2"/>
  <c r="BM529" i="2"/>
  <c r="Y529" i="2"/>
  <c r="P529" i="2"/>
  <c r="BO528" i="2"/>
  <c r="BN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P520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N515" i="2"/>
  <c r="BM515" i="2"/>
  <c r="Y515" i="2"/>
  <c r="BP515" i="2" s="1"/>
  <c r="P515" i="2"/>
  <c r="BP514" i="2"/>
  <c r="BO514" i="2"/>
  <c r="BM514" i="2"/>
  <c r="Y514" i="2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P510" i="2"/>
  <c r="BO510" i="2"/>
  <c r="BM510" i="2"/>
  <c r="Y510" i="2"/>
  <c r="BN510" i="2" s="1"/>
  <c r="P510" i="2"/>
  <c r="BO509" i="2"/>
  <c r="BM509" i="2"/>
  <c r="Y509" i="2"/>
  <c r="Z509" i="2" s="1"/>
  <c r="P509" i="2"/>
  <c r="BO508" i="2"/>
  <c r="BN508" i="2"/>
  <c r="BM508" i="2"/>
  <c r="Y508" i="2"/>
  <c r="P508" i="2"/>
  <c r="Y504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N483" i="2"/>
  <c r="BM483" i="2"/>
  <c r="Y483" i="2"/>
  <c r="BP483" i="2" s="1"/>
  <c r="P483" i="2"/>
  <c r="BP482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P473" i="2"/>
  <c r="BO473" i="2"/>
  <c r="BM473" i="2"/>
  <c r="Y473" i="2"/>
  <c r="Y477" i="2" s="1"/>
  <c r="P473" i="2"/>
  <c r="X471" i="2"/>
  <c r="X470" i="2"/>
  <c r="BO469" i="2"/>
  <c r="BN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X573" i="2" s="1"/>
  <c r="P464" i="2"/>
  <c r="X461" i="2"/>
  <c r="X460" i="2"/>
  <c r="BO459" i="2"/>
  <c r="BN459" i="2"/>
  <c r="BM459" i="2"/>
  <c r="Y459" i="2"/>
  <c r="Z459" i="2" s="1"/>
  <c r="P459" i="2"/>
  <c r="BP458" i="2"/>
  <c r="BO458" i="2"/>
  <c r="BN458" i="2"/>
  <c r="BM458" i="2"/>
  <c r="Z458" i="2"/>
  <c r="Z460" i="2" s="1"/>
  <c r="Y458" i="2"/>
  <c r="P458" i="2"/>
  <c r="X456" i="2"/>
  <c r="X455" i="2"/>
  <c r="BO454" i="2"/>
  <c r="BM454" i="2"/>
  <c r="Y454" i="2"/>
  <c r="BN454" i="2" s="1"/>
  <c r="P454" i="2"/>
  <c r="BP453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P446" i="2"/>
  <c r="X444" i="2"/>
  <c r="X443" i="2"/>
  <c r="BP442" i="2"/>
  <c r="BO442" i="2"/>
  <c r="BM442" i="2"/>
  <c r="Y442" i="2"/>
  <c r="P442" i="2"/>
  <c r="BO441" i="2"/>
  <c r="BM441" i="2"/>
  <c r="Y441" i="2"/>
  <c r="BP441" i="2" s="1"/>
  <c r="P441" i="2"/>
  <c r="BO440" i="2"/>
  <c r="BN440" i="2"/>
  <c r="BM440" i="2"/>
  <c r="Y440" i="2"/>
  <c r="BP440" i="2" s="1"/>
  <c r="P440" i="2"/>
  <c r="BO439" i="2"/>
  <c r="BM439" i="2"/>
  <c r="Y439" i="2"/>
  <c r="P439" i="2"/>
  <c r="BO438" i="2"/>
  <c r="BN438" i="2"/>
  <c r="BM438" i="2"/>
  <c r="Y438" i="2"/>
  <c r="BP438" i="2" s="1"/>
  <c r="P438" i="2"/>
  <c r="BO437" i="2"/>
  <c r="BM437" i="2"/>
  <c r="Y437" i="2"/>
  <c r="P437" i="2"/>
  <c r="BO436" i="2"/>
  <c r="BN436" i="2"/>
  <c r="BM436" i="2"/>
  <c r="Y436" i="2"/>
  <c r="BP436" i="2" s="1"/>
  <c r="P436" i="2"/>
  <c r="BO435" i="2"/>
  <c r="BN435" i="2"/>
  <c r="BM435" i="2"/>
  <c r="Z435" i="2"/>
  <c r="Y435" i="2"/>
  <c r="P435" i="2"/>
  <c r="X431" i="2"/>
  <c r="X430" i="2"/>
  <c r="BO429" i="2"/>
  <c r="BM429" i="2"/>
  <c r="Y429" i="2"/>
  <c r="P429" i="2"/>
  <c r="BO428" i="2"/>
  <c r="BN428" i="2"/>
  <c r="BM428" i="2"/>
  <c r="Y428" i="2"/>
  <c r="BP428" i="2" s="1"/>
  <c r="P428" i="2"/>
  <c r="BP427" i="2"/>
  <c r="BO427" i="2"/>
  <c r="BM427" i="2"/>
  <c r="Y427" i="2"/>
  <c r="Y430" i="2" s="1"/>
  <c r="P427" i="2"/>
  <c r="X424" i="2"/>
  <c r="X423" i="2"/>
  <c r="BP422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P414" i="2"/>
  <c r="BO414" i="2"/>
  <c r="BM414" i="2"/>
  <c r="Y414" i="2"/>
  <c r="Y418" i="2" s="1"/>
  <c r="P414" i="2"/>
  <c r="X412" i="2"/>
  <c r="X411" i="2"/>
  <c r="BO410" i="2"/>
  <c r="BN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Y411" i="2" s="1"/>
  <c r="P408" i="2"/>
  <c r="X406" i="2"/>
  <c r="X405" i="2"/>
  <c r="BP404" i="2"/>
  <c r="BO404" i="2"/>
  <c r="BM404" i="2"/>
  <c r="Z404" i="2"/>
  <c r="Y404" i="2"/>
  <c r="BN404" i="2" s="1"/>
  <c r="P404" i="2"/>
  <c r="BP403" i="2"/>
  <c r="BO403" i="2"/>
  <c r="BM403" i="2"/>
  <c r="Y403" i="2"/>
  <c r="BN403" i="2" s="1"/>
  <c r="P403" i="2"/>
  <c r="BO402" i="2"/>
  <c r="BM402" i="2"/>
  <c r="Y402" i="2"/>
  <c r="Y406" i="2" s="1"/>
  <c r="P402" i="2"/>
  <c r="BO401" i="2"/>
  <c r="BN401" i="2"/>
  <c r="BM401" i="2"/>
  <c r="Y401" i="2"/>
  <c r="BP401" i="2" s="1"/>
  <c r="P401" i="2"/>
  <c r="X399" i="2"/>
  <c r="X398" i="2"/>
  <c r="BO397" i="2"/>
  <c r="BM397" i="2"/>
  <c r="Z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N391" i="2"/>
  <c r="BM391" i="2"/>
  <c r="Y391" i="2"/>
  <c r="Z391" i="2" s="1"/>
  <c r="P391" i="2"/>
  <c r="BP390" i="2"/>
  <c r="BO390" i="2"/>
  <c r="BN390" i="2"/>
  <c r="BM390" i="2"/>
  <c r="Z390" i="2"/>
  <c r="Y390" i="2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P382" i="2"/>
  <c r="BO382" i="2"/>
  <c r="BM382" i="2"/>
  <c r="Y382" i="2"/>
  <c r="BN382" i="2" s="1"/>
  <c r="P382" i="2"/>
  <c r="BO381" i="2"/>
  <c r="BM381" i="2"/>
  <c r="Y381" i="2"/>
  <c r="Z381" i="2" s="1"/>
  <c r="P381" i="2"/>
  <c r="BO380" i="2"/>
  <c r="BN380" i="2"/>
  <c r="BM380" i="2"/>
  <c r="Y380" i="2"/>
  <c r="BP380" i="2" s="1"/>
  <c r="P380" i="2"/>
  <c r="BP379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N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N357" i="2"/>
  <c r="BM357" i="2"/>
  <c r="Y357" i="2"/>
  <c r="BP357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N350" i="2"/>
  <c r="BM350" i="2"/>
  <c r="Y350" i="2"/>
  <c r="BP350" i="2" s="1"/>
  <c r="P350" i="2"/>
  <c r="BP349" i="2"/>
  <c r="BO349" i="2"/>
  <c r="BM349" i="2"/>
  <c r="Y349" i="2"/>
  <c r="BN349" i="2" s="1"/>
  <c r="P349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N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Y323" i="2"/>
  <c r="X323" i="2"/>
  <c r="BO322" i="2"/>
  <c r="BN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N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P302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N297" i="2"/>
  <c r="BM297" i="2"/>
  <c r="Y297" i="2"/>
  <c r="BP297" i="2" s="1"/>
  <c r="P297" i="2"/>
  <c r="BO296" i="2"/>
  <c r="BM296" i="2"/>
  <c r="Y296" i="2"/>
  <c r="BP296" i="2" s="1"/>
  <c r="P296" i="2"/>
  <c r="BP295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BO290" i="2"/>
  <c r="BN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Z287" i="2"/>
  <c r="Y287" i="2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N281" i="2"/>
  <c r="BM281" i="2"/>
  <c r="Y281" i="2"/>
  <c r="Z281" i="2" s="1"/>
  <c r="P281" i="2"/>
  <c r="BP280" i="2"/>
  <c r="BO280" i="2"/>
  <c r="BM280" i="2"/>
  <c r="Z280" i="2"/>
  <c r="Y280" i="2"/>
  <c r="BN280" i="2" s="1"/>
  <c r="P280" i="2"/>
  <c r="BP279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Z277" i="2"/>
  <c r="Y277" i="2"/>
  <c r="BN277" i="2" s="1"/>
  <c r="P277" i="2"/>
  <c r="BO276" i="2"/>
  <c r="BN276" i="2"/>
  <c r="BM276" i="2"/>
  <c r="Y276" i="2"/>
  <c r="Z276" i="2" s="1"/>
  <c r="P276" i="2"/>
  <c r="X274" i="2"/>
  <c r="X273" i="2"/>
  <c r="BP272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N267" i="2"/>
  <c r="BM267" i="2"/>
  <c r="Y267" i="2"/>
  <c r="BP267" i="2" s="1"/>
  <c r="P267" i="2"/>
  <c r="BO266" i="2"/>
  <c r="BM266" i="2"/>
  <c r="Y266" i="2"/>
  <c r="BP266" i="2" s="1"/>
  <c r="P266" i="2"/>
  <c r="Y263" i="2"/>
  <c r="X263" i="2"/>
  <c r="Y262" i="2"/>
  <c r="X262" i="2"/>
  <c r="BP261" i="2"/>
  <c r="BO261" i="2"/>
  <c r="BN261" i="2"/>
  <c r="BM261" i="2"/>
  <c r="Z261" i="2"/>
  <c r="Z262" i="2" s="1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P249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P242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P233" i="2"/>
  <c r="BO233" i="2"/>
  <c r="BM233" i="2"/>
  <c r="Y233" i="2"/>
  <c r="P233" i="2"/>
  <c r="BO232" i="2"/>
  <c r="BM232" i="2"/>
  <c r="Y232" i="2"/>
  <c r="BP232" i="2" s="1"/>
  <c r="P232" i="2"/>
  <c r="BO231" i="2"/>
  <c r="BN231" i="2"/>
  <c r="BM231" i="2"/>
  <c r="Y231" i="2"/>
  <c r="P231" i="2"/>
  <c r="BO230" i="2"/>
  <c r="BM230" i="2"/>
  <c r="Z230" i="2"/>
  <c r="Y230" i="2"/>
  <c r="BN230" i="2" s="1"/>
  <c r="P230" i="2"/>
  <c r="Y228" i="2"/>
  <c r="X228" i="2"/>
  <c r="X227" i="2"/>
  <c r="BP226" i="2"/>
  <c r="BO226" i="2"/>
  <c r="BM226" i="2"/>
  <c r="Y226" i="2"/>
  <c r="Y227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N217" i="2"/>
  <c r="BM217" i="2"/>
  <c r="Y217" i="2"/>
  <c r="Z217" i="2" s="1"/>
  <c r="P217" i="2"/>
  <c r="BP216" i="2"/>
  <c r="BO216" i="2"/>
  <c r="BN216" i="2"/>
  <c r="BM216" i="2"/>
  <c r="Z216" i="2"/>
  <c r="Y216" i="2"/>
  <c r="P216" i="2"/>
  <c r="BP215" i="2"/>
  <c r="BO215" i="2"/>
  <c r="BM215" i="2"/>
  <c r="Y215" i="2"/>
  <c r="P215" i="2"/>
  <c r="X211" i="2"/>
  <c r="X210" i="2"/>
  <c r="BP209" i="2"/>
  <c r="BO209" i="2"/>
  <c r="BM209" i="2"/>
  <c r="Y209" i="2"/>
  <c r="Y211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N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P189" i="2"/>
  <c r="BO189" i="2"/>
  <c r="BM189" i="2"/>
  <c r="Y189" i="2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N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N178" i="2"/>
  <c r="BM178" i="2"/>
  <c r="Y178" i="2"/>
  <c r="P178" i="2"/>
  <c r="BO177" i="2"/>
  <c r="BM177" i="2"/>
  <c r="Z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Z171" i="2"/>
  <c r="Y171" i="2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Z162" i="2"/>
  <c r="Y162" i="2"/>
  <c r="BN162" i="2" s="1"/>
  <c r="P162" i="2"/>
  <c r="BO161" i="2"/>
  <c r="BN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Y153" i="2" s="1"/>
  <c r="P151" i="2"/>
  <c r="BP150" i="2"/>
  <c r="BO150" i="2"/>
  <c r="BN150" i="2"/>
  <c r="BM150" i="2"/>
  <c r="Z150" i="2"/>
  <c r="Y150" i="2"/>
  <c r="P150" i="2"/>
  <c r="X148" i="2"/>
  <c r="X147" i="2"/>
  <c r="BO146" i="2"/>
  <c r="BN146" i="2"/>
  <c r="BM146" i="2"/>
  <c r="Y146" i="2"/>
  <c r="P146" i="2"/>
  <c r="BO145" i="2"/>
  <c r="BM145" i="2"/>
  <c r="Y145" i="2"/>
  <c r="BN145" i="2" s="1"/>
  <c r="P145" i="2"/>
  <c r="X143" i="2"/>
  <c r="X142" i="2"/>
  <c r="BO141" i="2"/>
  <c r="BN141" i="2"/>
  <c r="BM141" i="2"/>
  <c r="Y141" i="2"/>
  <c r="Z141" i="2" s="1"/>
  <c r="P141" i="2"/>
  <c r="BP140" i="2"/>
  <c r="BO140" i="2"/>
  <c r="BM140" i="2"/>
  <c r="Z140" i="2"/>
  <c r="Z142" i="2" s="1"/>
  <c r="Y140" i="2"/>
  <c r="BN140" i="2" s="1"/>
  <c r="P140" i="2"/>
  <c r="Y137" i="2"/>
  <c r="X137" i="2"/>
  <c r="X136" i="2"/>
  <c r="BP135" i="2"/>
  <c r="BO135" i="2"/>
  <c r="BM135" i="2"/>
  <c r="Y135" i="2"/>
  <c r="BN135" i="2" s="1"/>
  <c r="BO134" i="2"/>
  <c r="BM134" i="2"/>
  <c r="Y134" i="2"/>
  <c r="P134" i="2"/>
  <c r="X132" i="2"/>
  <c r="X131" i="2"/>
  <c r="BP130" i="2"/>
  <c r="BO130" i="2"/>
  <c r="BM130" i="2"/>
  <c r="Y130" i="2"/>
  <c r="BN130" i="2" s="1"/>
  <c r="BP129" i="2"/>
  <c r="BO129" i="2"/>
  <c r="BM129" i="2"/>
  <c r="Z129" i="2"/>
  <c r="Y129" i="2"/>
  <c r="BN129" i="2" s="1"/>
  <c r="P129" i="2"/>
  <c r="BO128" i="2"/>
  <c r="BM128" i="2"/>
  <c r="Y128" i="2"/>
  <c r="BP128" i="2" s="1"/>
  <c r="BO127" i="2"/>
  <c r="BM127" i="2"/>
  <c r="Z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N117" i="2"/>
  <c r="BM117" i="2"/>
  <c r="Y117" i="2"/>
  <c r="Z117" i="2" s="1"/>
  <c r="P117" i="2"/>
  <c r="BO116" i="2"/>
  <c r="BM116" i="2"/>
  <c r="Z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Z108" i="2"/>
  <c r="Y108" i="2"/>
  <c r="BN108" i="2" s="1"/>
  <c r="P108" i="2"/>
  <c r="BO107" i="2"/>
  <c r="BN107" i="2"/>
  <c r="BM107" i="2"/>
  <c r="Y107" i="2"/>
  <c r="P107" i="2"/>
  <c r="BO106" i="2"/>
  <c r="BM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Y104" i="2"/>
  <c r="Y113" i="2" s="1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P89" i="2"/>
  <c r="BO89" i="2"/>
  <c r="BM89" i="2"/>
  <c r="Y89" i="2"/>
  <c r="P89" i="2"/>
  <c r="BO88" i="2"/>
  <c r="BM88" i="2"/>
  <c r="Y88" i="2"/>
  <c r="P88" i="2"/>
  <c r="BO87" i="2"/>
  <c r="BM87" i="2"/>
  <c r="Y87" i="2"/>
  <c r="BO86" i="2"/>
  <c r="BM86" i="2"/>
  <c r="Z86" i="2"/>
  <c r="Y86" i="2"/>
  <c r="BN86" i="2" s="1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P73" i="2"/>
  <c r="BO73" i="2"/>
  <c r="BM73" i="2"/>
  <c r="Y73" i="2"/>
  <c r="P73" i="2"/>
  <c r="BO72" i="2"/>
  <c r="BM72" i="2"/>
  <c r="Y72" i="2"/>
  <c r="P72" i="2"/>
  <c r="BO71" i="2"/>
  <c r="BM71" i="2"/>
  <c r="Z71" i="2"/>
  <c r="Y71" i="2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N59" i="2"/>
  <c r="BM59" i="2"/>
  <c r="Y59" i="2"/>
  <c r="BP59" i="2" s="1"/>
  <c r="P59" i="2"/>
  <c r="BO58" i="2"/>
  <c r="BM58" i="2"/>
  <c r="Y58" i="2"/>
  <c r="BP58" i="2" s="1"/>
  <c r="P58" i="2"/>
  <c r="BO57" i="2"/>
  <c r="BN57" i="2"/>
  <c r="BM57" i="2"/>
  <c r="Y57" i="2"/>
  <c r="Z57" i="2" s="1"/>
  <c r="P57" i="2"/>
  <c r="BP56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N40" i="2"/>
  <c r="BM40" i="2"/>
  <c r="Y40" i="2"/>
  <c r="BP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N27" i="2"/>
  <c r="BM27" i="2"/>
  <c r="Y27" i="2"/>
  <c r="BP27" i="2" s="1"/>
  <c r="P27" i="2"/>
  <c r="X25" i="2"/>
  <c r="X24" i="2"/>
  <c r="X567" i="2" s="1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X565" i="2" l="1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Z179" i="2"/>
  <c r="BP178" i="2"/>
  <c r="Z178" i="2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Z359" i="2" s="1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Z375" i="2" s="1"/>
  <c r="BP374" i="2"/>
  <c r="Z382" i="2"/>
  <c r="BP384" i="2"/>
  <c r="Z414" i="2"/>
  <c r="Z417" i="2" s="1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1" i="2" s="1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Z366" i="2" s="1"/>
  <c r="BN397" i="2"/>
  <c r="Y423" i="2"/>
  <c r="BP435" i="2"/>
  <c r="Y444" i="2"/>
  <c r="Z453" i="2"/>
  <c r="Z455" i="2" s="1"/>
  <c r="Y467" i="2"/>
  <c r="BN490" i="2"/>
  <c r="Z501" i="2"/>
  <c r="Z503" i="2" s="1"/>
  <c r="Z513" i="2"/>
  <c r="Z560" i="2"/>
  <c r="Z561" i="2" s="1"/>
  <c r="R573" i="2"/>
  <c r="BN542" i="2"/>
  <c r="BN554" i="2"/>
  <c r="S573" i="2"/>
  <c r="Z29" i="2"/>
  <c r="Z32" i="2" s="1"/>
  <c r="Z41" i="2"/>
  <c r="Z42" i="2" s="1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52" i="2" s="1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15" i="2" s="1"/>
  <c r="Z343" i="2"/>
  <c r="Z345" i="2" s="1"/>
  <c r="Y359" i="2"/>
  <c r="Z378" i="2"/>
  <c r="Z388" i="2"/>
  <c r="Z392" i="2" s="1"/>
  <c r="Z421" i="2"/>
  <c r="Z423" i="2" s="1"/>
  <c r="Z481" i="2"/>
  <c r="Z487" i="2" s="1"/>
  <c r="Z491" i="2"/>
  <c r="Z492" i="2" s="1"/>
  <c r="Y497" i="2"/>
  <c r="Z526" i="2"/>
  <c r="Z533" i="2" s="1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Z405" i="2" s="1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31" i="2" s="1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Z268" i="2" s="1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Y564" i="2" l="1"/>
  <c r="Z523" i="2"/>
  <c r="Z163" i="2"/>
  <c r="Y563" i="2"/>
  <c r="Z411" i="2"/>
  <c r="Y565" i="2"/>
  <c r="Z517" i="2"/>
  <c r="Z244" i="2"/>
  <c r="Z112" i="2"/>
  <c r="Y566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Z568" i="2" l="1"/>
</calcChain>
</file>

<file path=xl/sharedStrings.xml><?xml version="1.0" encoding="utf-8"?>
<sst xmlns="http://schemas.openxmlformats.org/spreadsheetml/2006/main" count="4391" uniqueCount="927">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</sst>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0" t="s">
        <v>26</v>
      </c>
      <c r="E1" s="660"/>
      <c r="F1" s="660"/>
      <c r="G1" s="14" t="s">
        <v>67</v>
      </c>
      <c r="H1" s="660" t="s">
        <v>47</v>
      </c>
      <c r="I1" s="660"/>
      <c r="J1" s="660"/>
      <c r="K1" s="660"/>
      <c r="L1" s="660"/>
      <c r="M1" s="660"/>
      <c r="N1" s="660"/>
      <c r="O1" s="660"/>
      <c r="P1" s="660"/>
      <c r="Q1" s="660"/>
      <c r="R1" s="661" t="s">
        <v>68</v>
      </c>
      <c r="S1" s="662"/>
      <c r="T1" s="6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3"/>
      <c r="Q3" s="663"/>
      <c r="R3" s="663"/>
      <c r="S3" s="663"/>
      <c r="T3" s="663"/>
      <c r="U3" s="663"/>
      <c r="V3" s="663"/>
      <c r="W3" s="6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4" t="s">
        <v>8</v>
      </c>
      <c r="B5" s="664"/>
      <c r="C5" s="664"/>
      <c r="D5" s="665"/>
      <c r="E5" s="665"/>
      <c r="F5" s="666" t="s">
        <v>14</v>
      </c>
      <c r="G5" s="666"/>
      <c r="H5" s="665"/>
      <c r="I5" s="665"/>
      <c r="J5" s="665"/>
      <c r="K5" s="665"/>
      <c r="L5" s="665"/>
      <c r="M5" s="665"/>
      <c r="N5" s="72"/>
      <c r="P5" s="27" t="s">
        <v>4</v>
      </c>
      <c r="Q5" s="667">
        <v>46272</v>
      </c>
      <c r="R5" s="667"/>
      <c r="T5" s="668" t="s">
        <v>3</v>
      </c>
      <c r="U5" s="669"/>
      <c r="V5" s="670" t="s">
        <v>887</v>
      </c>
      <c r="W5" s="671"/>
      <c r="AB5" s="59"/>
      <c r="AC5" s="59"/>
      <c r="AD5" s="59"/>
      <c r="AE5" s="59"/>
    </row>
    <row r="6" spans="1:32" s="17" customFormat="1" ht="24" customHeight="1" x14ac:dyDescent="0.2">
      <c r="A6" s="664" t="s">
        <v>1</v>
      </c>
      <c r="B6" s="664"/>
      <c r="C6" s="664"/>
      <c r="D6" s="672"/>
      <c r="E6" s="672"/>
      <c r="F6" s="672"/>
      <c r="G6" s="672"/>
      <c r="H6" s="672"/>
      <c r="I6" s="672"/>
      <c r="J6" s="672"/>
      <c r="K6" s="672"/>
      <c r="L6" s="672"/>
      <c r="M6" s="672"/>
      <c r="N6" s="73"/>
      <c r="P6" s="27" t="s">
        <v>27</v>
      </c>
      <c r="Q6" s="673" t="str">
        <f>IF(Q5=0," ",CHOOSE(WEEKDAY(Q5,2),"Понедельник","Вторник","Среда","Четверг","Пятница","Суббота","Воскресенье"))</f>
        <v>Понедельник</v>
      </c>
      <c r="R6" s="673"/>
      <c r="T6" s="674" t="s">
        <v>5</v>
      </c>
      <c r="U6" s="675"/>
      <c r="V6" s="676" t="s">
        <v>70</v>
      </c>
      <c r="W6" s="67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2">
        <f>IFERROR(VLOOKUP(DeliveryAddress,Table,3,0),1)</f>
        <v>1</v>
      </c>
      <c r="E7" s="683"/>
      <c r="F7" s="683"/>
      <c r="G7" s="683"/>
      <c r="H7" s="683"/>
      <c r="I7" s="683"/>
      <c r="J7" s="683"/>
      <c r="K7" s="683"/>
      <c r="L7" s="683"/>
      <c r="M7" s="684"/>
      <c r="N7" s="74"/>
      <c r="P7" s="29"/>
      <c r="Q7" s="48"/>
      <c r="R7" s="48"/>
      <c r="T7" s="674"/>
      <c r="U7" s="675"/>
      <c r="V7" s="678"/>
      <c r="W7" s="679"/>
      <c r="AB7" s="59"/>
      <c r="AC7" s="59"/>
      <c r="AD7" s="59"/>
      <c r="AE7" s="59"/>
    </row>
    <row r="8" spans="1:32" s="17" customFormat="1" ht="25.5" customHeight="1" x14ac:dyDescent="0.2">
      <c r="A8" s="685" t="s">
        <v>58</v>
      </c>
      <c r="B8" s="685"/>
      <c r="C8" s="685"/>
      <c r="D8" s="686"/>
      <c r="E8" s="686"/>
      <c r="F8" s="686"/>
      <c r="G8" s="686"/>
      <c r="H8" s="686"/>
      <c r="I8" s="686"/>
      <c r="J8" s="686"/>
      <c r="K8" s="686"/>
      <c r="L8" s="686"/>
      <c r="M8" s="686"/>
      <c r="N8" s="75"/>
      <c r="P8" s="27" t="s">
        <v>11</v>
      </c>
      <c r="Q8" s="687">
        <v>0.41666666666666669</v>
      </c>
      <c r="R8" s="688"/>
      <c r="T8" s="674"/>
      <c r="U8" s="675"/>
      <c r="V8" s="678"/>
      <c r="W8" s="679"/>
      <c r="AB8" s="59"/>
      <c r="AC8" s="59"/>
      <c r="AD8" s="59"/>
      <c r="AE8" s="59"/>
    </row>
    <row r="9" spans="1:32" s="17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9"/>
      <c r="C9" s="689"/>
      <c r="D9" s="690" t="s">
        <v>46</v>
      </c>
      <c r="E9" s="691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9"/>
      <c r="H9" s="692" t="str">
        <f>IF(AND($A$9="Тип доверенности/получателя при получении в адресе перегруза:",$D$9="Разовая доверенность"),"Введите ФИО","")</f>
        <v/>
      </c>
      <c r="I9" s="692"/>
      <c r="J9" s="69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2"/>
      <c r="L9" s="692"/>
      <c r="M9" s="692"/>
      <c r="N9" s="70"/>
      <c r="P9" s="31" t="s">
        <v>15</v>
      </c>
      <c r="Q9" s="693"/>
      <c r="R9" s="693"/>
      <c r="T9" s="674"/>
      <c r="U9" s="675"/>
      <c r="V9" s="680"/>
      <c r="W9" s="68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9"/>
      <c r="C10" s="689"/>
      <c r="D10" s="690"/>
      <c r="E10" s="691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9"/>
      <c r="H10" s="694" t="str">
        <f>IFERROR(VLOOKUP($D$10,Proxy,2,FALSE),"")</f>
        <v/>
      </c>
      <c r="I10" s="694"/>
      <c r="J10" s="694"/>
      <c r="K10" s="694"/>
      <c r="L10" s="694"/>
      <c r="M10" s="694"/>
      <c r="N10" s="71"/>
      <c r="P10" s="31" t="s">
        <v>32</v>
      </c>
      <c r="Q10" s="695"/>
      <c r="R10" s="695"/>
      <c r="U10" s="29" t="s">
        <v>12</v>
      </c>
      <c r="V10" s="696" t="s">
        <v>71</v>
      </c>
      <c r="W10" s="69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8"/>
      <c r="R11" s="698"/>
      <c r="U11" s="29" t="s">
        <v>28</v>
      </c>
      <c r="V11" s="699" t="s">
        <v>55</v>
      </c>
      <c r="W11" s="69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0" t="s">
        <v>72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0"/>
      <c r="N12" s="76"/>
      <c r="P12" s="27" t="s">
        <v>30</v>
      </c>
      <c r="Q12" s="687"/>
      <c r="R12" s="687"/>
      <c r="S12" s="28"/>
      <c r="T12"/>
      <c r="U12" s="29" t="s">
        <v>46</v>
      </c>
      <c r="V12" s="701"/>
      <c r="W12" s="701"/>
      <c r="X12"/>
      <c r="AB12" s="59"/>
      <c r="AC12" s="59"/>
      <c r="AD12" s="59"/>
      <c r="AE12" s="59"/>
    </row>
    <row r="13" spans="1:32" s="17" customFormat="1" ht="23.25" customHeight="1" x14ac:dyDescent="0.2">
      <c r="A13" s="700" t="s">
        <v>73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0"/>
      <c r="N13" s="76"/>
      <c r="O13" s="31"/>
      <c r="P13" s="31" t="s">
        <v>31</v>
      </c>
      <c r="Q13" s="699"/>
      <c r="R13" s="69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0" t="s">
        <v>74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2" t="s">
        <v>75</v>
      </c>
      <c r="B15" s="702"/>
      <c r="C15" s="702"/>
      <c r="D15" s="702"/>
      <c r="E15" s="702"/>
      <c r="F15" s="702"/>
      <c r="G15" s="702"/>
      <c r="H15" s="702"/>
      <c r="I15" s="702"/>
      <c r="J15" s="702"/>
      <c r="K15" s="702"/>
      <c r="L15" s="702"/>
      <c r="M15" s="702"/>
      <c r="N15" s="77"/>
      <c r="O15"/>
      <c r="P15" s="703" t="s">
        <v>61</v>
      </c>
      <c r="Q15" s="703"/>
      <c r="R15" s="703"/>
      <c r="S15" s="703"/>
      <c r="T15" s="70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4"/>
      <c r="Q16" s="704"/>
      <c r="R16" s="704"/>
      <c r="S16" s="704"/>
      <c r="T16" s="70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7" t="s">
        <v>59</v>
      </c>
      <c r="B17" s="707" t="s">
        <v>49</v>
      </c>
      <c r="C17" s="709" t="s">
        <v>48</v>
      </c>
      <c r="D17" s="711" t="s">
        <v>50</v>
      </c>
      <c r="E17" s="712"/>
      <c r="F17" s="707" t="s">
        <v>21</v>
      </c>
      <c r="G17" s="707" t="s">
        <v>24</v>
      </c>
      <c r="H17" s="707" t="s">
        <v>22</v>
      </c>
      <c r="I17" s="707" t="s">
        <v>23</v>
      </c>
      <c r="J17" s="707" t="s">
        <v>16</v>
      </c>
      <c r="K17" s="707" t="s">
        <v>66</v>
      </c>
      <c r="L17" s="707" t="s">
        <v>64</v>
      </c>
      <c r="M17" s="707" t="s">
        <v>2</v>
      </c>
      <c r="N17" s="707" t="s">
        <v>63</v>
      </c>
      <c r="O17" s="707" t="s">
        <v>25</v>
      </c>
      <c r="P17" s="711" t="s">
        <v>17</v>
      </c>
      <c r="Q17" s="715"/>
      <c r="R17" s="715"/>
      <c r="S17" s="715"/>
      <c r="T17" s="712"/>
      <c r="U17" s="705" t="s">
        <v>56</v>
      </c>
      <c r="V17" s="706"/>
      <c r="W17" s="707" t="s">
        <v>6</v>
      </c>
      <c r="X17" s="707" t="s">
        <v>41</v>
      </c>
      <c r="Y17" s="717" t="s">
        <v>54</v>
      </c>
      <c r="Z17" s="719" t="s">
        <v>18</v>
      </c>
      <c r="AA17" s="721" t="s">
        <v>60</v>
      </c>
      <c r="AB17" s="721" t="s">
        <v>19</v>
      </c>
      <c r="AC17" s="721" t="s">
        <v>65</v>
      </c>
      <c r="AD17" s="723" t="s">
        <v>57</v>
      </c>
      <c r="AE17" s="724"/>
      <c r="AF17" s="725"/>
      <c r="AG17" s="82"/>
      <c r="BD17" s="81" t="s">
        <v>62</v>
      </c>
    </row>
    <row r="18" spans="1:68" ht="14.25" customHeight="1" x14ac:dyDescent="0.2">
      <c r="A18" s="708"/>
      <c r="B18" s="708"/>
      <c r="C18" s="710"/>
      <c r="D18" s="713"/>
      <c r="E18" s="71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13"/>
      <c r="Q18" s="716"/>
      <c r="R18" s="716"/>
      <c r="S18" s="716"/>
      <c r="T18" s="714"/>
      <c r="U18" s="83" t="s">
        <v>44</v>
      </c>
      <c r="V18" s="83" t="s">
        <v>43</v>
      </c>
      <c r="W18" s="708"/>
      <c r="X18" s="708"/>
      <c r="Y18" s="718"/>
      <c r="Z18" s="720"/>
      <c r="AA18" s="722"/>
      <c r="AB18" s="722"/>
      <c r="AC18" s="722"/>
      <c r="AD18" s="726"/>
      <c r="AE18" s="727"/>
      <c r="AF18" s="728"/>
      <c r="AG18" s="82"/>
      <c r="BD18" s="81"/>
    </row>
    <row r="19" spans="1:68" ht="27.75" customHeight="1" x14ac:dyDescent="0.2">
      <c r="A19" s="729" t="s">
        <v>76</v>
      </c>
      <c r="B19" s="729"/>
      <c r="C19" s="729"/>
      <c r="D19" s="729"/>
      <c r="E19" s="729"/>
      <c r="F19" s="729"/>
      <c r="G19" s="729"/>
      <c r="H19" s="729"/>
      <c r="I19" s="729"/>
      <c r="J19" s="729"/>
      <c r="K19" s="729"/>
      <c r="L19" s="729"/>
      <c r="M19" s="729"/>
      <c r="N19" s="729"/>
      <c r="O19" s="729"/>
      <c r="P19" s="729"/>
      <c r="Q19" s="729"/>
      <c r="R19" s="729"/>
      <c r="S19" s="729"/>
      <c r="T19" s="729"/>
      <c r="U19" s="729"/>
      <c r="V19" s="729"/>
      <c r="W19" s="729"/>
      <c r="X19" s="729"/>
      <c r="Y19" s="729"/>
      <c r="Z19" s="729"/>
      <c r="AA19" s="54"/>
      <c r="AB19" s="54"/>
      <c r="AC19" s="54"/>
    </row>
    <row r="20" spans="1:68" ht="16.5" customHeight="1" x14ac:dyDescent="0.25">
      <c r="A20" s="730" t="s">
        <v>76</v>
      </c>
      <c r="B20" s="730"/>
      <c r="C20" s="730"/>
      <c r="D20" s="730"/>
      <c r="E20" s="730"/>
      <c r="F20" s="730"/>
      <c r="G20" s="730"/>
      <c r="H20" s="730"/>
      <c r="I20" s="730"/>
      <c r="J20" s="730"/>
      <c r="K20" s="730"/>
      <c r="L20" s="730"/>
      <c r="M20" s="730"/>
      <c r="N20" s="730"/>
      <c r="O20" s="730"/>
      <c r="P20" s="730"/>
      <c r="Q20" s="730"/>
      <c r="R20" s="730"/>
      <c r="S20" s="730"/>
      <c r="T20" s="730"/>
      <c r="U20" s="730"/>
      <c r="V20" s="730"/>
      <c r="W20" s="730"/>
      <c r="X20" s="730"/>
      <c r="Y20" s="730"/>
      <c r="Z20" s="730"/>
      <c r="AA20" s="65"/>
      <c r="AB20" s="65"/>
      <c r="AC20" s="79"/>
    </row>
    <row r="21" spans="1:68" ht="14.25" customHeight="1" x14ac:dyDescent="0.25">
      <c r="A21" s="731" t="s">
        <v>77</v>
      </c>
      <c r="B21" s="731"/>
      <c r="C21" s="731"/>
      <c r="D21" s="731"/>
      <c r="E21" s="731"/>
      <c r="F21" s="731"/>
      <c r="G21" s="731"/>
      <c r="H21" s="731"/>
      <c r="I21" s="731"/>
      <c r="J21" s="731"/>
      <c r="K21" s="731"/>
      <c r="L21" s="731"/>
      <c r="M21" s="731"/>
      <c r="N21" s="731"/>
      <c r="O21" s="731"/>
      <c r="P21" s="731"/>
      <c r="Q21" s="731"/>
      <c r="R21" s="731"/>
      <c r="S21" s="731"/>
      <c r="T21" s="731"/>
      <c r="U21" s="731"/>
      <c r="V21" s="731"/>
      <c r="W21" s="731"/>
      <c r="X21" s="731"/>
      <c r="Y21" s="731"/>
      <c r="Z21" s="731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32">
        <v>4680115886643</v>
      </c>
      <c r="E22" s="732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4"/>
      <c r="R22" s="734"/>
      <c r="S22" s="734"/>
      <c r="T22" s="735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32">
        <v>4680115889071</v>
      </c>
      <c r="E23" s="732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4"/>
      <c r="R23" s="734"/>
      <c r="S23" s="734"/>
      <c r="T23" s="735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40"/>
      <c r="B24" s="740"/>
      <c r="C24" s="740"/>
      <c r="D24" s="740"/>
      <c r="E24" s="740"/>
      <c r="F24" s="740"/>
      <c r="G24" s="740"/>
      <c r="H24" s="740"/>
      <c r="I24" s="740"/>
      <c r="J24" s="740"/>
      <c r="K24" s="740"/>
      <c r="L24" s="740"/>
      <c r="M24" s="740"/>
      <c r="N24" s="740"/>
      <c r="O24" s="741"/>
      <c r="P24" s="737" t="s">
        <v>40</v>
      </c>
      <c r="Q24" s="738"/>
      <c r="R24" s="738"/>
      <c r="S24" s="738"/>
      <c r="T24" s="738"/>
      <c r="U24" s="738"/>
      <c r="V24" s="73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40"/>
      <c r="B25" s="740"/>
      <c r="C25" s="740"/>
      <c r="D25" s="740"/>
      <c r="E25" s="740"/>
      <c r="F25" s="740"/>
      <c r="G25" s="740"/>
      <c r="H25" s="740"/>
      <c r="I25" s="740"/>
      <c r="J25" s="740"/>
      <c r="K25" s="740"/>
      <c r="L25" s="740"/>
      <c r="M25" s="740"/>
      <c r="N25" s="740"/>
      <c r="O25" s="741"/>
      <c r="P25" s="737" t="s">
        <v>40</v>
      </c>
      <c r="Q25" s="738"/>
      <c r="R25" s="738"/>
      <c r="S25" s="738"/>
      <c r="T25" s="738"/>
      <c r="U25" s="738"/>
      <c r="V25" s="73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31" t="s">
        <v>86</v>
      </c>
      <c r="B26" s="731"/>
      <c r="C26" s="731"/>
      <c r="D26" s="731"/>
      <c r="E26" s="731"/>
      <c r="F26" s="731"/>
      <c r="G26" s="731"/>
      <c r="H26" s="731"/>
      <c r="I26" s="731"/>
      <c r="J26" s="731"/>
      <c r="K26" s="731"/>
      <c r="L26" s="731"/>
      <c r="M26" s="731"/>
      <c r="N26" s="731"/>
      <c r="O26" s="731"/>
      <c r="P26" s="731"/>
      <c r="Q26" s="731"/>
      <c r="R26" s="731"/>
      <c r="S26" s="731"/>
      <c r="T26" s="731"/>
      <c r="U26" s="731"/>
      <c r="V26" s="731"/>
      <c r="W26" s="731"/>
      <c r="X26" s="731"/>
      <c r="Y26" s="731"/>
      <c r="Z26" s="731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32">
        <v>4680115885912</v>
      </c>
      <c r="E27" s="732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4"/>
      <c r="R27" s="734"/>
      <c r="S27" s="734"/>
      <c r="T27" s="735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32">
        <v>4607091388237</v>
      </c>
      <c r="E28" s="732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4"/>
      <c r="R28" s="734"/>
      <c r="S28" s="734"/>
      <c r="T28" s="735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32">
        <v>4680115887350</v>
      </c>
      <c r="E29" s="732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4"/>
      <c r="R29" s="734"/>
      <c r="S29" s="734"/>
      <c r="T29" s="735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32">
        <v>4680115885905</v>
      </c>
      <c r="E30" s="732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4"/>
      <c r="R30" s="734"/>
      <c r="S30" s="734"/>
      <c r="T30" s="735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32">
        <v>4680115887619</v>
      </c>
      <c r="E31" s="732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4"/>
      <c r="R31" s="734"/>
      <c r="S31" s="734"/>
      <c r="T31" s="735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40"/>
      <c r="B32" s="740"/>
      <c r="C32" s="740"/>
      <c r="D32" s="740"/>
      <c r="E32" s="740"/>
      <c r="F32" s="740"/>
      <c r="G32" s="740"/>
      <c r="H32" s="740"/>
      <c r="I32" s="740"/>
      <c r="J32" s="740"/>
      <c r="K32" s="740"/>
      <c r="L32" s="740"/>
      <c r="M32" s="740"/>
      <c r="N32" s="740"/>
      <c r="O32" s="741"/>
      <c r="P32" s="737" t="s">
        <v>40</v>
      </c>
      <c r="Q32" s="738"/>
      <c r="R32" s="738"/>
      <c r="S32" s="738"/>
      <c r="T32" s="738"/>
      <c r="U32" s="738"/>
      <c r="V32" s="73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40"/>
      <c r="B33" s="740"/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0"/>
      <c r="O33" s="741"/>
      <c r="P33" s="737" t="s">
        <v>40</v>
      </c>
      <c r="Q33" s="738"/>
      <c r="R33" s="738"/>
      <c r="S33" s="738"/>
      <c r="T33" s="738"/>
      <c r="U33" s="738"/>
      <c r="V33" s="73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9" t="s">
        <v>45</v>
      </c>
      <c r="B34" s="729"/>
      <c r="C34" s="729"/>
      <c r="D34" s="729"/>
      <c r="E34" s="729"/>
      <c r="F34" s="729"/>
      <c r="G34" s="729"/>
      <c r="H34" s="729"/>
      <c r="I34" s="729"/>
      <c r="J34" s="729"/>
      <c r="K34" s="729"/>
      <c r="L34" s="729"/>
      <c r="M34" s="729"/>
      <c r="N34" s="729"/>
      <c r="O34" s="729"/>
      <c r="P34" s="729"/>
      <c r="Q34" s="729"/>
      <c r="R34" s="729"/>
      <c r="S34" s="729"/>
      <c r="T34" s="729"/>
      <c r="U34" s="729"/>
      <c r="V34" s="729"/>
      <c r="W34" s="729"/>
      <c r="X34" s="729"/>
      <c r="Y34" s="729"/>
      <c r="Z34" s="729"/>
      <c r="AA34" s="54"/>
      <c r="AB34" s="54"/>
      <c r="AC34" s="54"/>
    </row>
    <row r="35" spans="1:68" ht="16.5" customHeight="1" x14ac:dyDescent="0.25">
      <c r="A35" s="730" t="s">
        <v>104</v>
      </c>
      <c r="B35" s="730"/>
      <c r="C35" s="730"/>
      <c r="D35" s="730"/>
      <c r="E35" s="730"/>
      <c r="F35" s="730"/>
      <c r="G35" s="730"/>
      <c r="H35" s="730"/>
      <c r="I35" s="730"/>
      <c r="J35" s="730"/>
      <c r="K35" s="730"/>
      <c r="L35" s="730"/>
      <c r="M35" s="730"/>
      <c r="N35" s="730"/>
      <c r="O35" s="730"/>
      <c r="P35" s="730"/>
      <c r="Q35" s="730"/>
      <c r="R35" s="730"/>
      <c r="S35" s="730"/>
      <c r="T35" s="730"/>
      <c r="U35" s="730"/>
      <c r="V35" s="730"/>
      <c r="W35" s="730"/>
      <c r="X35" s="730"/>
      <c r="Y35" s="730"/>
      <c r="Z35" s="730"/>
      <c r="AA35" s="65"/>
      <c r="AB35" s="65"/>
      <c r="AC35" s="79"/>
    </row>
    <row r="36" spans="1:68" ht="14.25" customHeight="1" x14ac:dyDescent="0.25">
      <c r="A36" s="731" t="s">
        <v>86</v>
      </c>
      <c r="B36" s="731"/>
      <c r="C36" s="731"/>
      <c r="D36" s="731"/>
      <c r="E36" s="731"/>
      <c r="F36" s="731"/>
      <c r="G36" s="731"/>
      <c r="H36" s="731"/>
      <c r="I36" s="731"/>
      <c r="J36" s="731"/>
      <c r="K36" s="731"/>
      <c r="L36" s="731"/>
      <c r="M36" s="731"/>
      <c r="N36" s="731"/>
      <c r="O36" s="731"/>
      <c r="P36" s="731"/>
      <c r="Q36" s="731"/>
      <c r="R36" s="731"/>
      <c r="S36" s="731"/>
      <c r="T36" s="731"/>
      <c r="U36" s="731"/>
      <c r="V36" s="731"/>
      <c r="W36" s="731"/>
      <c r="X36" s="731"/>
      <c r="Y36" s="731"/>
      <c r="Z36" s="731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32">
        <v>4680115889354</v>
      </c>
      <c r="E37" s="732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4"/>
      <c r="R37" s="734"/>
      <c r="S37" s="734"/>
      <c r="T37" s="735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32">
        <v>4680115888463</v>
      </c>
      <c r="E38" s="732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4"/>
      <c r="R38" s="734"/>
      <c r="S38" s="734"/>
      <c r="T38" s="735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32">
        <v>4680115889590</v>
      </c>
      <c r="E39" s="732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4"/>
      <c r="R39" s="734"/>
      <c r="S39" s="734"/>
      <c r="T39" s="735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32">
        <v>4680115888272</v>
      </c>
      <c r="E40" s="732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4"/>
      <c r="R40" s="734"/>
      <c r="S40" s="734"/>
      <c r="T40" s="735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32">
        <v>4680115888364</v>
      </c>
      <c r="E41" s="732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4"/>
      <c r="R41" s="734"/>
      <c r="S41" s="734"/>
      <c r="T41" s="735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40"/>
      <c r="B42" s="740"/>
      <c r="C42" s="740"/>
      <c r="D42" s="740"/>
      <c r="E42" s="740"/>
      <c r="F42" s="740"/>
      <c r="G42" s="740"/>
      <c r="H42" s="740"/>
      <c r="I42" s="740"/>
      <c r="J42" s="740"/>
      <c r="K42" s="740"/>
      <c r="L42" s="740"/>
      <c r="M42" s="740"/>
      <c r="N42" s="740"/>
      <c r="O42" s="741"/>
      <c r="P42" s="737" t="s">
        <v>40</v>
      </c>
      <c r="Q42" s="738"/>
      <c r="R42" s="738"/>
      <c r="S42" s="738"/>
      <c r="T42" s="738"/>
      <c r="U42" s="738"/>
      <c r="V42" s="73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40"/>
      <c r="B43" s="740"/>
      <c r="C43" s="740"/>
      <c r="D43" s="740"/>
      <c r="E43" s="740"/>
      <c r="F43" s="740"/>
      <c r="G43" s="740"/>
      <c r="H43" s="740"/>
      <c r="I43" s="740"/>
      <c r="J43" s="740"/>
      <c r="K43" s="740"/>
      <c r="L43" s="740"/>
      <c r="M43" s="740"/>
      <c r="N43" s="740"/>
      <c r="O43" s="741"/>
      <c r="P43" s="737" t="s">
        <v>40</v>
      </c>
      <c r="Q43" s="738"/>
      <c r="R43" s="738"/>
      <c r="S43" s="738"/>
      <c r="T43" s="738"/>
      <c r="U43" s="738"/>
      <c r="V43" s="73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9" t="s">
        <v>120</v>
      </c>
      <c r="B44" s="729"/>
      <c r="C44" s="729"/>
      <c r="D44" s="729"/>
      <c r="E44" s="729"/>
      <c r="F44" s="729"/>
      <c r="G44" s="729"/>
      <c r="H44" s="729"/>
      <c r="I44" s="729"/>
      <c r="J44" s="729"/>
      <c r="K44" s="729"/>
      <c r="L44" s="729"/>
      <c r="M44" s="729"/>
      <c r="N44" s="729"/>
      <c r="O44" s="729"/>
      <c r="P44" s="729"/>
      <c r="Q44" s="729"/>
      <c r="R44" s="729"/>
      <c r="S44" s="729"/>
      <c r="T44" s="729"/>
      <c r="U44" s="729"/>
      <c r="V44" s="729"/>
      <c r="W44" s="729"/>
      <c r="X44" s="729"/>
      <c r="Y44" s="729"/>
      <c r="Z44" s="729"/>
      <c r="AA44" s="54"/>
      <c r="AB44" s="54"/>
      <c r="AC44" s="54"/>
    </row>
    <row r="45" spans="1:68" ht="16.5" customHeight="1" x14ac:dyDescent="0.25">
      <c r="A45" s="730" t="s">
        <v>121</v>
      </c>
      <c r="B45" s="730"/>
      <c r="C45" s="730"/>
      <c r="D45" s="730"/>
      <c r="E45" s="730"/>
      <c r="F45" s="730"/>
      <c r="G45" s="730"/>
      <c r="H45" s="730"/>
      <c r="I45" s="730"/>
      <c r="J45" s="730"/>
      <c r="K45" s="730"/>
      <c r="L45" s="730"/>
      <c r="M45" s="730"/>
      <c r="N45" s="730"/>
      <c r="O45" s="730"/>
      <c r="P45" s="730"/>
      <c r="Q45" s="730"/>
      <c r="R45" s="730"/>
      <c r="S45" s="730"/>
      <c r="T45" s="730"/>
      <c r="U45" s="730"/>
      <c r="V45" s="730"/>
      <c r="W45" s="730"/>
      <c r="X45" s="730"/>
      <c r="Y45" s="730"/>
      <c r="Z45" s="730"/>
      <c r="AA45" s="65"/>
      <c r="AB45" s="65"/>
      <c r="AC45" s="79"/>
    </row>
    <row r="46" spans="1:68" ht="14.25" customHeight="1" x14ac:dyDescent="0.25">
      <c r="A46" s="731" t="s">
        <v>122</v>
      </c>
      <c r="B46" s="731"/>
      <c r="C46" s="731"/>
      <c r="D46" s="731"/>
      <c r="E46" s="731"/>
      <c r="F46" s="731"/>
      <c r="G46" s="731"/>
      <c r="H46" s="731"/>
      <c r="I46" s="731"/>
      <c r="J46" s="731"/>
      <c r="K46" s="731"/>
      <c r="L46" s="731"/>
      <c r="M46" s="731"/>
      <c r="N46" s="731"/>
      <c r="O46" s="731"/>
      <c r="P46" s="731"/>
      <c r="Q46" s="731"/>
      <c r="R46" s="731"/>
      <c r="S46" s="731"/>
      <c r="T46" s="731"/>
      <c r="U46" s="731"/>
      <c r="V46" s="731"/>
      <c r="W46" s="731"/>
      <c r="X46" s="731"/>
      <c r="Y46" s="731"/>
      <c r="Z46" s="731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2">
        <v>4607091385670</v>
      </c>
      <c r="E47" s="732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4"/>
      <c r="R47" s="734"/>
      <c r="S47" s="734"/>
      <c r="T47" s="735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32">
        <v>4680115887725</v>
      </c>
      <c r="E48" s="732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4"/>
      <c r="R48" s="734"/>
      <c r="S48" s="734"/>
      <c r="T48" s="735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2">
        <v>4607091385687</v>
      </c>
      <c r="E49" s="732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4"/>
      <c r="R49" s="734"/>
      <c r="S49" s="734"/>
      <c r="T49" s="735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32">
        <v>4680115882539</v>
      </c>
      <c r="E50" s="732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4"/>
      <c r="R50" s="734"/>
      <c r="S50" s="734"/>
      <c r="T50" s="735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0"/>
      <c r="B51" s="740"/>
      <c r="C51" s="740"/>
      <c r="D51" s="740"/>
      <c r="E51" s="740"/>
      <c r="F51" s="740"/>
      <c r="G51" s="740"/>
      <c r="H51" s="740"/>
      <c r="I51" s="740"/>
      <c r="J51" s="740"/>
      <c r="K51" s="740"/>
      <c r="L51" s="740"/>
      <c r="M51" s="740"/>
      <c r="N51" s="740"/>
      <c r="O51" s="741"/>
      <c r="P51" s="737" t="s">
        <v>40</v>
      </c>
      <c r="Q51" s="738"/>
      <c r="R51" s="738"/>
      <c r="S51" s="738"/>
      <c r="T51" s="738"/>
      <c r="U51" s="738"/>
      <c r="V51" s="73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40"/>
      <c r="B52" s="740"/>
      <c r="C52" s="740"/>
      <c r="D52" s="740"/>
      <c r="E52" s="740"/>
      <c r="F52" s="740"/>
      <c r="G52" s="740"/>
      <c r="H52" s="740"/>
      <c r="I52" s="740"/>
      <c r="J52" s="740"/>
      <c r="K52" s="740"/>
      <c r="L52" s="740"/>
      <c r="M52" s="740"/>
      <c r="N52" s="740"/>
      <c r="O52" s="741"/>
      <c r="P52" s="737" t="s">
        <v>40</v>
      </c>
      <c r="Q52" s="738"/>
      <c r="R52" s="738"/>
      <c r="S52" s="738"/>
      <c r="T52" s="738"/>
      <c r="U52" s="738"/>
      <c r="V52" s="73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30" t="s">
        <v>137</v>
      </c>
      <c r="B53" s="730"/>
      <c r="C53" s="730"/>
      <c r="D53" s="730"/>
      <c r="E53" s="730"/>
      <c r="F53" s="730"/>
      <c r="G53" s="730"/>
      <c r="H53" s="730"/>
      <c r="I53" s="730"/>
      <c r="J53" s="730"/>
      <c r="K53" s="730"/>
      <c r="L53" s="730"/>
      <c r="M53" s="730"/>
      <c r="N53" s="730"/>
      <c r="O53" s="730"/>
      <c r="P53" s="730"/>
      <c r="Q53" s="730"/>
      <c r="R53" s="730"/>
      <c r="S53" s="730"/>
      <c r="T53" s="730"/>
      <c r="U53" s="730"/>
      <c r="V53" s="730"/>
      <c r="W53" s="730"/>
      <c r="X53" s="730"/>
      <c r="Y53" s="730"/>
      <c r="Z53" s="730"/>
      <c r="AA53" s="65"/>
      <c r="AB53" s="65"/>
      <c r="AC53" s="79"/>
    </row>
    <row r="54" spans="1:68" ht="14.25" customHeight="1" x14ac:dyDescent="0.25">
      <c r="A54" s="731" t="s">
        <v>122</v>
      </c>
      <c r="B54" s="731"/>
      <c r="C54" s="731"/>
      <c r="D54" s="731"/>
      <c r="E54" s="731"/>
      <c r="F54" s="731"/>
      <c r="G54" s="731"/>
      <c r="H54" s="731"/>
      <c r="I54" s="731"/>
      <c r="J54" s="731"/>
      <c r="K54" s="731"/>
      <c r="L54" s="731"/>
      <c r="M54" s="731"/>
      <c r="N54" s="731"/>
      <c r="O54" s="731"/>
      <c r="P54" s="731"/>
      <c r="Q54" s="731"/>
      <c r="R54" s="731"/>
      <c r="S54" s="731"/>
      <c r="T54" s="731"/>
      <c r="U54" s="731"/>
      <c r="V54" s="731"/>
      <c r="W54" s="731"/>
      <c r="X54" s="731"/>
      <c r="Y54" s="731"/>
      <c r="Z54" s="731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2">
        <v>4680115885882</v>
      </c>
      <c r="E55" s="732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4"/>
      <c r="R55" s="734"/>
      <c r="S55" s="734"/>
      <c r="T55" s="735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2">
        <v>4680115881426</v>
      </c>
      <c r="E56" s="732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4"/>
      <c r="R56" s="734"/>
      <c r="S56" s="734"/>
      <c r="T56" s="735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32">
        <v>4680115880283</v>
      </c>
      <c r="E57" s="732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4"/>
      <c r="R57" s="734"/>
      <c r="S57" s="734"/>
      <c r="T57" s="735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32">
        <v>4680115881525</v>
      </c>
      <c r="E58" s="732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4"/>
      <c r="R58" s="734"/>
      <c r="S58" s="734"/>
      <c r="T58" s="735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2">
        <v>4680115885899</v>
      </c>
      <c r="E59" s="732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4"/>
      <c r="R59" s="734"/>
      <c r="S59" s="734"/>
      <c r="T59" s="735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2">
        <v>4680115881419</v>
      </c>
      <c r="E60" s="732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4"/>
      <c r="R60" s="734"/>
      <c r="S60" s="734"/>
      <c r="T60" s="735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0"/>
      <c r="B61" s="740"/>
      <c r="C61" s="740"/>
      <c r="D61" s="740"/>
      <c r="E61" s="740"/>
      <c r="F61" s="740"/>
      <c r="G61" s="740"/>
      <c r="H61" s="740"/>
      <c r="I61" s="740"/>
      <c r="J61" s="740"/>
      <c r="K61" s="740"/>
      <c r="L61" s="740"/>
      <c r="M61" s="740"/>
      <c r="N61" s="740"/>
      <c r="O61" s="741"/>
      <c r="P61" s="737" t="s">
        <v>40</v>
      </c>
      <c r="Q61" s="738"/>
      <c r="R61" s="738"/>
      <c r="S61" s="738"/>
      <c r="T61" s="738"/>
      <c r="U61" s="738"/>
      <c r="V61" s="739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740"/>
      <c r="B62" s="740"/>
      <c r="C62" s="740"/>
      <c r="D62" s="740"/>
      <c r="E62" s="740"/>
      <c r="F62" s="740"/>
      <c r="G62" s="740"/>
      <c r="H62" s="740"/>
      <c r="I62" s="740"/>
      <c r="J62" s="740"/>
      <c r="K62" s="740"/>
      <c r="L62" s="740"/>
      <c r="M62" s="740"/>
      <c r="N62" s="740"/>
      <c r="O62" s="741"/>
      <c r="P62" s="737" t="s">
        <v>40</v>
      </c>
      <c r="Q62" s="738"/>
      <c r="R62" s="738"/>
      <c r="S62" s="738"/>
      <c r="T62" s="738"/>
      <c r="U62" s="738"/>
      <c r="V62" s="739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731" t="s">
        <v>155</v>
      </c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1"/>
      <c r="R63" s="731"/>
      <c r="S63" s="731"/>
      <c r="T63" s="731"/>
      <c r="U63" s="731"/>
      <c r="V63" s="731"/>
      <c r="W63" s="731"/>
      <c r="X63" s="731"/>
      <c r="Y63" s="731"/>
      <c r="Z63" s="731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2">
        <v>4680115881440</v>
      </c>
      <c r="E64" s="732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4"/>
      <c r="R64" s="734"/>
      <c r="S64" s="734"/>
      <c r="T64" s="735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732">
        <v>4680115885950</v>
      </c>
      <c r="E65" s="732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4"/>
      <c r="R65" s="734"/>
      <c r="S65" s="734"/>
      <c r="T65" s="735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732">
        <v>4680115887688</v>
      </c>
      <c r="E66" s="732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4"/>
      <c r="R66" s="734"/>
      <c r="S66" s="734"/>
      <c r="T66" s="735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2">
        <v>4680115881433</v>
      </c>
      <c r="E67" s="732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4"/>
      <c r="R67" s="734"/>
      <c r="S67" s="734"/>
      <c r="T67" s="735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0"/>
      <c r="B68" s="740"/>
      <c r="C68" s="740"/>
      <c r="D68" s="740"/>
      <c r="E68" s="740"/>
      <c r="F68" s="740"/>
      <c r="G68" s="740"/>
      <c r="H68" s="740"/>
      <c r="I68" s="740"/>
      <c r="J68" s="740"/>
      <c r="K68" s="740"/>
      <c r="L68" s="740"/>
      <c r="M68" s="740"/>
      <c r="N68" s="740"/>
      <c r="O68" s="741"/>
      <c r="P68" s="737" t="s">
        <v>40</v>
      </c>
      <c r="Q68" s="738"/>
      <c r="R68" s="738"/>
      <c r="S68" s="738"/>
      <c r="T68" s="738"/>
      <c r="U68" s="738"/>
      <c r="V68" s="739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740"/>
      <c r="B69" s="740"/>
      <c r="C69" s="740"/>
      <c r="D69" s="740"/>
      <c r="E69" s="740"/>
      <c r="F69" s="740"/>
      <c r="G69" s="740"/>
      <c r="H69" s="740"/>
      <c r="I69" s="740"/>
      <c r="J69" s="740"/>
      <c r="K69" s="740"/>
      <c r="L69" s="740"/>
      <c r="M69" s="740"/>
      <c r="N69" s="740"/>
      <c r="O69" s="741"/>
      <c r="P69" s="737" t="s">
        <v>40</v>
      </c>
      <c r="Q69" s="738"/>
      <c r="R69" s="738"/>
      <c r="S69" s="738"/>
      <c r="T69" s="738"/>
      <c r="U69" s="738"/>
      <c r="V69" s="739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731" t="s">
        <v>86</v>
      </c>
      <c r="B70" s="731"/>
      <c r="C70" s="731"/>
      <c r="D70" s="731"/>
      <c r="E70" s="731"/>
      <c r="F70" s="731"/>
      <c r="G70" s="731"/>
      <c r="H70" s="731"/>
      <c r="I70" s="731"/>
      <c r="J70" s="731"/>
      <c r="K70" s="731"/>
      <c r="L70" s="731"/>
      <c r="M70" s="731"/>
      <c r="N70" s="731"/>
      <c r="O70" s="731"/>
      <c r="P70" s="731"/>
      <c r="Q70" s="731"/>
      <c r="R70" s="731"/>
      <c r="S70" s="731"/>
      <c r="T70" s="731"/>
      <c r="U70" s="731"/>
      <c r="V70" s="731"/>
      <c r="W70" s="731"/>
      <c r="X70" s="731"/>
      <c r="Y70" s="731"/>
      <c r="Z70" s="731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732">
        <v>4680115884311</v>
      </c>
      <c r="E71" s="732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4"/>
      <c r="R71" s="734"/>
      <c r="S71" s="734"/>
      <c r="T71" s="735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732">
        <v>4680115884403</v>
      </c>
      <c r="E72" s="732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4"/>
      <c r="R72" s="734"/>
      <c r="S72" s="734"/>
      <c r="T72" s="735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732">
        <v>4680115884403</v>
      </c>
      <c r="E73" s="732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4"/>
      <c r="R73" s="734"/>
      <c r="S73" s="734"/>
      <c r="T73" s="735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40"/>
      <c r="B74" s="740"/>
      <c r="C74" s="740"/>
      <c r="D74" s="740"/>
      <c r="E74" s="740"/>
      <c r="F74" s="740"/>
      <c r="G74" s="740"/>
      <c r="H74" s="740"/>
      <c r="I74" s="740"/>
      <c r="J74" s="740"/>
      <c r="K74" s="740"/>
      <c r="L74" s="740"/>
      <c r="M74" s="740"/>
      <c r="N74" s="740"/>
      <c r="O74" s="741"/>
      <c r="P74" s="737" t="s">
        <v>40</v>
      </c>
      <c r="Q74" s="738"/>
      <c r="R74" s="738"/>
      <c r="S74" s="738"/>
      <c r="T74" s="738"/>
      <c r="U74" s="738"/>
      <c r="V74" s="739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40"/>
      <c r="B75" s="740"/>
      <c r="C75" s="740"/>
      <c r="D75" s="740"/>
      <c r="E75" s="740"/>
      <c r="F75" s="740"/>
      <c r="G75" s="740"/>
      <c r="H75" s="740"/>
      <c r="I75" s="740"/>
      <c r="J75" s="740"/>
      <c r="K75" s="740"/>
      <c r="L75" s="740"/>
      <c r="M75" s="740"/>
      <c r="N75" s="740"/>
      <c r="O75" s="741"/>
      <c r="P75" s="737" t="s">
        <v>40</v>
      </c>
      <c r="Q75" s="738"/>
      <c r="R75" s="738"/>
      <c r="S75" s="738"/>
      <c r="T75" s="738"/>
      <c r="U75" s="738"/>
      <c r="V75" s="739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731" t="s">
        <v>173</v>
      </c>
      <c r="B76" s="731"/>
      <c r="C76" s="731"/>
      <c r="D76" s="731"/>
      <c r="E76" s="731"/>
      <c r="F76" s="731"/>
      <c r="G76" s="731"/>
      <c r="H76" s="731"/>
      <c r="I76" s="731"/>
      <c r="J76" s="731"/>
      <c r="K76" s="731"/>
      <c r="L76" s="731"/>
      <c r="M76" s="731"/>
      <c r="N76" s="731"/>
      <c r="O76" s="731"/>
      <c r="P76" s="731"/>
      <c r="Q76" s="731"/>
      <c r="R76" s="731"/>
      <c r="S76" s="731"/>
      <c r="T76" s="731"/>
      <c r="U76" s="731"/>
      <c r="V76" s="731"/>
      <c r="W76" s="731"/>
      <c r="X76" s="731"/>
      <c r="Y76" s="731"/>
      <c r="Z76" s="731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2">
        <v>4680115881532</v>
      </c>
      <c r="E77" s="732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4"/>
      <c r="R77" s="734"/>
      <c r="S77" s="734"/>
      <c r="T77" s="735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732">
        <v>4680115881532</v>
      </c>
      <c r="E78" s="732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4"/>
      <c r="R78" s="734"/>
      <c r="S78" s="734"/>
      <c r="T78" s="735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732">
        <v>4680115881464</v>
      </c>
      <c r="E79" s="732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4"/>
      <c r="R79" s="734"/>
      <c r="S79" s="734"/>
      <c r="T79" s="735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732">
        <v>4680115881464</v>
      </c>
      <c r="E80" s="732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4"/>
      <c r="R80" s="734"/>
      <c r="S80" s="734"/>
      <c r="T80" s="735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0"/>
      <c r="B81" s="740"/>
      <c r="C81" s="740"/>
      <c r="D81" s="740"/>
      <c r="E81" s="740"/>
      <c r="F81" s="740"/>
      <c r="G81" s="740"/>
      <c r="H81" s="740"/>
      <c r="I81" s="740"/>
      <c r="J81" s="740"/>
      <c r="K81" s="740"/>
      <c r="L81" s="740"/>
      <c r="M81" s="740"/>
      <c r="N81" s="740"/>
      <c r="O81" s="741"/>
      <c r="P81" s="737" t="s">
        <v>40</v>
      </c>
      <c r="Q81" s="738"/>
      <c r="R81" s="738"/>
      <c r="S81" s="738"/>
      <c r="T81" s="738"/>
      <c r="U81" s="738"/>
      <c r="V81" s="739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40"/>
      <c r="B82" s="740"/>
      <c r="C82" s="740"/>
      <c r="D82" s="740"/>
      <c r="E82" s="740"/>
      <c r="F82" s="740"/>
      <c r="G82" s="740"/>
      <c r="H82" s="740"/>
      <c r="I82" s="740"/>
      <c r="J82" s="740"/>
      <c r="K82" s="740"/>
      <c r="L82" s="740"/>
      <c r="M82" s="740"/>
      <c r="N82" s="740"/>
      <c r="O82" s="741"/>
      <c r="P82" s="737" t="s">
        <v>40</v>
      </c>
      <c r="Q82" s="738"/>
      <c r="R82" s="738"/>
      <c r="S82" s="738"/>
      <c r="T82" s="738"/>
      <c r="U82" s="738"/>
      <c r="V82" s="739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730" t="s">
        <v>182</v>
      </c>
      <c r="B83" s="730"/>
      <c r="C83" s="730"/>
      <c r="D83" s="730"/>
      <c r="E83" s="730"/>
      <c r="F83" s="730"/>
      <c r="G83" s="730"/>
      <c r="H83" s="730"/>
      <c r="I83" s="730"/>
      <c r="J83" s="730"/>
      <c r="K83" s="730"/>
      <c r="L83" s="730"/>
      <c r="M83" s="730"/>
      <c r="N83" s="730"/>
      <c r="O83" s="730"/>
      <c r="P83" s="730"/>
      <c r="Q83" s="730"/>
      <c r="R83" s="730"/>
      <c r="S83" s="730"/>
      <c r="T83" s="730"/>
      <c r="U83" s="730"/>
      <c r="V83" s="730"/>
      <c r="W83" s="730"/>
      <c r="X83" s="730"/>
      <c r="Y83" s="730"/>
      <c r="Z83" s="730"/>
      <c r="AA83" s="65"/>
      <c r="AB83" s="65"/>
      <c r="AC83" s="79"/>
    </row>
    <row r="84" spans="1:68" ht="14.25" customHeight="1" x14ac:dyDescent="0.25">
      <c r="A84" s="731" t="s">
        <v>122</v>
      </c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1"/>
      <c r="P84" s="731"/>
      <c r="Q84" s="731"/>
      <c r="R84" s="731"/>
      <c r="S84" s="731"/>
      <c r="T84" s="731"/>
      <c r="U84" s="731"/>
      <c r="V84" s="731"/>
      <c r="W84" s="731"/>
      <c r="X84" s="731"/>
      <c r="Y84" s="731"/>
      <c r="Z84" s="731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2">
        <v>4680115881327</v>
      </c>
      <c r="E85" s="732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4"/>
      <c r="R85" s="734"/>
      <c r="S85" s="734"/>
      <c r="T85" s="735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732">
        <v>4680115887732</v>
      </c>
      <c r="E86" s="732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4"/>
      <c r="R86" s="734"/>
      <c r="S86" s="734"/>
      <c r="T86" s="735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732">
        <v>4680115887732</v>
      </c>
      <c r="E87" s="732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5" t="s">
        <v>190</v>
      </c>
      <c r="Q87" s="734"/>
      <c r="R87" s="734"/>
      <c r="S87" s="734"/>
      <c r="T87" s="735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32">
        <v>4680115881518</v>
      </c>
      <c r="E88" s="732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4"/>
      <c r="R88" s="734"/>
      <c r="S88" s="734"/>
      <c r="T88" s="735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2">
        <v>4680115881303</v>
      </c>
      <c r="E89" s="732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4"/>
      <c r="R89" s="734"/>
      <c r="S89" s="734"/>
      <c r="T89" s="735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0"/>
      <c r="B90" s="740"/>
      <c r="C90" s="740"/>
      <c r="D90" s="740"/>
      <c r="E90" s="740"/>
      <c r="F90" s="740"/>
      <c r="G90" s="740"/>
      <c r="H90" s="740"/>
      <c r="I90" s="740"/>
      <c r="J90" s="740"/>
      <c r="K90" s="740"/>
      <c r="L90" s="740"/>
      <c r="M90" s="740"/>
      <c r="N90" s="740"/>
      <c r="O90" s="741"/>
      <c r="P90" s="737" t="s">
        <v>40</v>
      </c>
      <c r="Q90" s="738"/>
      <c r="R90" s="738"/>
      <c r="S90" s="738"/>
      <c r="T90" s="738"/>
      <c r="U90" s="738"/>
      <c r="V90" s="739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40"/>
      <c r="B91" s="740"/>
      <c r="C91" s="740"/>
      <c r="D91" s="740"/>
      <c r="E91" s="740"/>
      <c r="F91" s="740"/>
      <c r="G91" s="740"/>
      <c r="H91" s="740"/>
      <c r="I91" s="740"/>
      <c r="J91" s="740"/>
      <c r="K91" s="740"/>
      <c r="L91" s="740"/>
      <c r="M91" s="740"/>
      <c r="N91" s="740"/>
      <c r="O91" s="741"/>
      <c r="P91" s="737" t="s">
        <v>40</v>
      </c>
      <c r="Q91" s="738"/>
      <c r="R91" s="738"/>
      <c r="S91" s="738"/>
      <c r="T91" s="738"/>
      <c r="U91" s="738"/>
      <c r="V91" s="739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731" t="s">
        <v>86</v>
      </c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1"/>
      <c r="P92" s="731"/>
      <c r="Q92" s="731"/>
      <c r="R92" s="731"/>
      <c r="S92" s="731"/>
      <c r="T92" s="731"/>
      <c r="U92" s="731"/>
      <c r="V92" s="731"/>
      <c r="W92" s="731"/>
      <c r="X92" s="731"/>
      <c r="Y92" s="731"/>
      <c r="Z92" s="731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2">
        <v>4607091386967</v>
      </c>
      <c r="E93" s="732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4"/>
      <c r="R93" s="734"/>
      <c r="S93" s="734"/>
      <c r="T93" s="735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732">
        <v>4607091386967</v>
      </c>
      <c r="E94" s="732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9" t="s">
        <v>199</v>
      </c>
      <c r="Q94" s="734"/>
      <c r="R94" s="734"/>
      <c r="S94" s="734"/>
      <c r="T94" s="735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732">
        <v>4680115884953</v>
      </c>
      <c r="E95" s="732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4"/>
      <c r="R95" s="734"/>
      <c r="S95" s="734"/>
      <c r="T95" s="735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732">
        <v>4680115884953</v>
      </c>
      <c r="E96" s="732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1" t="s">
        <v>203</v>
      </c>
      <c r="Q96" s="734"/>
      <c r="R96" s="734"/>
      <c r="S96" s="734"/>
      <c r="T96" s="735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2">
        <v>4607091385731</v>
      </c>
      <c r="E97" s="732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4"/>
      <c r="R97" s="734"/>
      <c r="S97" s="734"/>
      <c r="T97" s="735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732">
        <v>4607091385731</v>
      </c>
      <c r="E98" s="732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3" t="s">
        <v>208</v>
      </c>
      <c r="Q98" s="734"/>
      <c r="R98" s="734"/>
      <c r="S98" s="734"/>
      <c r="T98" s="735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32">
        <v>4680115880894</v>
      </c>
      <c r="E99" s="732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4"/>
      <c r="R99" s="734"/>
      <c r="S99" s="734"/>
      <c r="T99" s="735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0"/>
      <c r="B100" s="740"/>
      <c r="C100" s="740"/>
      <c r="D100" s="740"/>
      <c r="E100" s="740"/>
      <c r="F100" s="740"/>
      <c r="G100" s="740"/>
      <c r="H100" s="740"/>
      <c r="I100" s="740"/>
      <c r="J100" s="740"/>
      <c r="K100" s="740"/>
      <c r="L100" s="740"/>
      <c r="M100" s="740"/>
      <c r="N100" s="740"/>
      <c r="O100" s="741"/>
      <c r="P100" s="737" t="s">
        <v>40</v>
      </c>
      <c r="Q100" s="738"/>
      <c r="R100" s="738"/>
      <c r="S100" s="738"/>
      <c r="T100" s="738"/>
      <c r="U100" s="738"/>
      <c r="V100" s="739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40"/>
      <c r="B101" s="740"/>
      <c r="C101" s="740"/>
      <c r="D101" s="740"/>
      <c r="E101" s="740"/>
      <c r="F101" s="740"/>
      <c r="G101" s="740"/>
      <c r="H101" s="740"/>
      <c r="I101" s="740"/>
      <c r="J101" s="740"/>
      <c r="K101" s="740"/>
      <c r="L101" s="740"/>
      <c r="M101" s="740"/>
      <c r="N101" s="740"/>
      <c r="O101" s="741"/>
      <c r="P101" s="737" t="s">
        <v>40</v>
      </c>
      <c r="Q101" s="738"/>
      <c r="R101" s="738"/>
      <c r="S101" s="738"/>
      <c r="T101" s="738"/>
      <c r="U101" s="738"/>
      <c r="V101" s="739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730" t="s">
        <v>212</v>
      </c>
      <c r="B102" s="730"/>
      <c r="C102" s="730"/>
      <c r="D102" s="730"/>
      <c r="E102" s="730"/>
      <c r="F102" s="730"/>
      <c r="G102" s="730"/>
      <c r="H102" s="730"/>
      <c r="I102" s="730"/>
      <c r="J102" s="730"/>
      <c r="K102" s="730"/>
      <c r="L102" s="730"/>
      <c r="M102" s="730"/>
      <c r="N102" s="730"/>
      <c r="O102" s="730"/>
      <c r="P102" s="730"/>
      <c r="Q102" s="730"/>
      <c r="R102" s="730"/>
      <c r="S102" s="730"/>
      <c r="T102" s="730"/>
      <c r="U102" s="730"/>
      <c r="V102" s="730"/>
      <c r="W102" s="730"/>
      <c r="X102" s="730"/>
      <c r="Y102" s="730"/>
      <c r="Z102" s="730"/>
      <c r="AA102" s="65"/>
      <c r="AB102" s="65"/>
      <c r="AC102" s="79"/>
    </row>
    <row r="103" spans="1:68" ht="14.25" customHeight="1" x14ac:dyDescent="0.25">
      <c r="A103" s="731" t="s">
        <v>122</v>
      </c>
      <c r="B103" s="731"/>
      <c r="C103" s="731"/>
      <c r="D103" s="731"/>
      <c r="E103" s="731"/>
      <c r="F103" s="731"/>
      <c r="G103" s="731"/>
      <c r="H103" s="731"/>
      <c r="I103" s="731"/>
      <c r="J103" s="731"/>
      <c r="K103" s="731"/>
      <c r="L103" s="731"/>
      <c r="M103" s="731"/>
      <c r="N103" s="731"/>
      <c r="O103" s="731"/>
      <c r="P103" s="731"/>
      <c r="Q103" s="731"/>
      <c r="R103" s="731"/>
      <c r="S103" s="731"/>
      <c r="T103" s="731"/>
      <c r="U103" s="731"/>
      <c r="V103" s="731"/>
      <c r="W103" s="731"/>
      <c r="X103" s="731"/>
      <c r="Y103" s="731"/>
      <c r="Z103" s="731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2">
        <v>4680115882133</v>
      </c>
      <c r="E104" s="732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4"/>
      <c r="R104" s="734"/>
      <c r="S104" s="734"/>
      <c r="T104" s="735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732">
        <v>4680115887718</v>
      </c>
      <c r="E105" s="732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4"/>
      <c r="R105" s="734"/>
      <c r="S105" s="734"/>
      <c r="T105" s="735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732">
        <v>4680115887718</v>
      </c>
      <c r="E106" s="732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4"/>
      <c r="R106" s="734"/>
      <c r="S106" s="734"/>
      <c r="T106" s="735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732">
        <v>4680115887718</v>
      </c>
      <c r="E107" s="732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4"/>
      <c r="R107" s="734"/>
      <c r="S107" s="734"/>
      <c r="T107" s="735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2">
        <v>4680115880269</v>
      </c>
      <c r="E108" s="732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4"/>
      <c r="R108" s="734"/>
      <c r="S108" s="734"/>
      <c r="T108" s="735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2">
        <v>4680115880429</v>
      </c>
      <c r="E109" s="732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4"/>
      <c r="R109" s="734"/>
      <c r="S109" s="734"/>
      <c r="T109" s="735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732">
        <v>4680115880429</v>
      </c>
      <c r="E110" s="732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1" t="s">
        <v>226</v>
      </c>
      <c r="Q110" s="734"/>
      <c r="R110" s="734"/>
      <c r="S110" s="734"/>
      <c r="T110" s="735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732">
        <v>4680115881457</v>
      </c>
      <c r="E111" s="732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4"/>
      <c r="R111" s="734"/>
      <c r="S111" s="734"/>
      <c r="T111" s="735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0"/>
      <c r="B112" s="740"/>
      <c r="C112" s="740"/>
      <c r="D112" s="740"/>
      <c r="E112" s="740"/>
      <c r="F112" s="740"/>
      <c r="G112" s="740"/>
      <c r="H112" s="740"/>
      <c r="I112" s="740"/>
      <c r="J112" s="740"/>
      <c r="K112" s="740"/>
      <c r="L112" s="740"/>
      <c r="M112" s="740"/>
      <c r="N112" s="740"/>
      <c r="O112" s="741"/>
      <c r="P112" s="737" t="s">
        <v>40</v>
      </c>
      <c r="Q112" s="738"/>
      <c r="R112" s="738"/>
      <c r="S112" s="738"/>
      <c r="T112" s="738"/>
      <c r="U112" s="738"/>
      <c r="V112" s="739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740"/>
      <c r="B113" s="740"/>
      <c r="C113" s="740"/>
      <c r="D113" s="740"/>
      <c r="E113" s="740"/>
      <c r="F113" s="740"/>
      <c r="G113" s="740"/>
      <c r="H113" s="740"/>
      <c r="I113" s="740"/>
      <c r="J113" s="740"/>
      <c r="K113" s="740"/>
      <c r="L113" s="740"/>
      <c r="M113" s="740"/>
      <c r="N113" s="740"/>
      <c r="O113" s="741"/>
      <c r="P113" s="737" t="s">
        <v>40</v>
      </c>
      <c r="Q113" s="738"/>
      <c r="R113" s="738"/>
      <c r="S113" s="738"/>
      <c r="T113" s="738"/>
      <c r="U113" s="738"/>
      <c r="V113" s="739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customHeight="1" x14ac:dyDescent="0.25">
      <c r="A114" s="731" t="s">
        <v>155</v>
      </c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1"/>
      <c r="P114" s="731"/>
      <c r="Q114" s="731"/>
      <c r="R114" s="731"/>
      <c r="S114" s="731"/>
      <c r="T114" s="731"/>
      <c r="U114" s="731"/>
      <c r="V114" s="731"/>
      <c r="W114" s="731"/>
      <c r="X114" s="731"/>
      <c r="Y114" s="731"/>
      <c r="Z114" s="731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732">
        <v>4680115881488</v>
      </c>
      <c r="E115" s="732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4"/>
      <c r="R115" s="734"/>
      <c r="S115" s="734"/>
      <c r="T115" s="735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732">
        <v>4680115887664</v>
      </c>
      <c r="E116" s="732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4"/>
      <c r="R116" s="734"/>
      <c r="S116" s="734"/>
      <c r="T116" s="735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732">
        <v>4680115887664</v>
      </c>
      <c r="E117" s="732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4"/>
      <c r="R117" s="734"/>
      <c r="S117" s="734"/>
      <c r="T117" s="735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732">
        <v>4680115882775</v>
      </c>
      <c r="E118" s="732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4"/>
      <c r="R118" s="734"/>
      <c r="S118" s="734"/>
      <c r="T118" s="735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732">
        <v>4680115880658</v>
      </c>
      <c r="E119" s="732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4"/>
      <c r="R119" s="734"/>
      <c r="S119" s="734"/>
      <c r="T119" s="735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40"/>
      <c r="B120" s="740"/>
      <c r="C120" s="740"/>
      <c r="D120" s="740"/>
      <c r="E120" s="740"/>
      <c r="F120" s="740"/>
      <c r="G120" s="740"/>
      <c r="H120" s="740"/>
      <c r="I120" s="740"/>
      <c r="J120" s="740"/>
      <c r="K120" s="740"/>
      <c r="L120" s="740"/>
      <c r="M120" s="740"/>
      <c r="N120" s="740"/>
      <c r="O120" s="741"/>
      <c r="P120" s="737" t="s">
        <v>40</v>
      </c>
      <c r="Q120" s="738"/>
      <c r="R120" s="738"/>
      <c r="S120" s="738"/>
      <c r="T120" s="738"/>
      <c r="U120" s="738"/>
      <c r="V120" s="73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40"/>
      <c r="B121" s="740"/>
      <c r="C121" s="740"/>
      <c r="D121" s="740"/>
      <c r="E121" s="740"/>
      <c r="F121" s="740"/>
      <c r="G121" s="740"/>
      <c r="H121" s="740"/>
      <c r="I121" s="740"/>
      <c r="J121" s="740"/>
      <c r="K121" s="740"/>
      <c r="L121" s="740"/>
      <c r="M121" s="740"/>
      <c r="N121" s="740"/>
      <c r="O121" s="741"/>
      <c r="P121" s="737" t="s">
        <v>40</v>
      </c>
      <c r="Q121" s="738"/>
      <c r="R121" s="738"/>
      <c r="S121" s="738"/>
      <c r="T121" s="738"/>
      <c r="U121" s="738"/>
      <c r="V121" s="73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731" t="s">
        <v>86</v>
      </c>
      <c r="B122" s="731"/>
      <c r="C122" s="731"/>
      <c r="D122" s="731"/>
      <c r="E122" s="731"/>
      <c r="F122" s="731"/>
      <c r="G122" s="731"/>
      <c r="H122" s="731"/>
      <c r="I122" s="731"/>
      <c r="J122" s="731"/>
      <c r="K122" s="731"/>
      <c r="L122" s="731"/>
      <c r="M122" s="731"/>
      <c r="N122" s="731"/>
      <c r="O122" s="731"/>
      <c r="P122" s="731"/>
      <c r="Q122" s="731"/>
      <c r="R122" s="731"/>
      <c r="S122" s="731"/>
      <c r="T122" s="731"/>
      <c r="U122" s="731"/>
      <c r="V122" s="731"/>
      <c r="W122" s="731"/>
      <c r="X122" s="731"/>
      <c r="Y122" s="731"/>
      <c r="Z122" s="731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2">
        <v>4607091385168</v>
      </c>
      <c r="E123" s="732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4"/>
      <c r="R123" s="734"/>
      <c r="S123" s="734"/>
      <c r="T123" s="735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732">
        <v>4607091385168</v>
      </c>
      <c r="E124" s="732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799" t="s">
        <v>246</v>
      </c>
      <c r="Q124" s="734"/>
      <c r="R124" s="734"/>
      <c r="S124" s="734"/>
      <c r="T124" s="735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732">
        <v>4607091383256</v>
      </c>
      <c r="E125" s="732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4"/>
      <c r="R125" s="734"/>
      <c r="S125" s="734"/>
      <c r="T125" s="735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732">
        <v>4607091383256</v>
      </c>
      <c r="E126" s="732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1" t="s">
        <v>250</v>
      </c>
      <c r="Q126" s="734"/>
      <c r="R126" s="734"/>
      <c r="S126" s="734"/>
      <c r="T126" s="735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2">
        <v>4607091385748</v>
      </c>
      <c r="E127" s="732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4"/>
      <c r="R127" s="734"/>
      <c r="S127" s="734"/>
      <c r="T127" s="735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732">
        <v>4607091385748</v>
      </c>
      <c r="E128" s="732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3" t="s">
        <v>254</v>
      </c>
      <c r="Q128" s="734"/>
      <c r="R128" s="734"/>
      <c r="S128" s="734"/>
      <c r="T128" s="735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732">
        <v>4680115884533</v>
      </c>
      <c r="E129" s="732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4"/>
      <c r="R129" s="734"/>
      <c r="S129" s="734"/>
      <c r="T129" s="735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732">
        <v>4680115884533</v>
      </c>
      <c r="E130" s="732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5" t="s">
        <v>259</v>
      </c>
      <c r="Q130" s="734"/>
      <c r="R130" s="734"/>
      <c r="S130" s="734"/>
      <c r="T130" s="735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0"/>
      <c r="B131" s="740"/>
      <c r="C131" s="740"/>
      <c r="D131" s="740"/>
      <c r="E131" s="740"/>
      <c r="F131" s="740"/>
      <c r="G131" s="740"/>
      <c r="H131" s="740"/>
      <c r="I131" s="740"/>
      <c r="J131" s="740"/>
      <c r="K131" s="740"/>
      <c r="L131" s="740"/>
      <c r="M131" s="740"/>
      <c r="N131" s="740"/>
      <c r="O131" s="741"/>
      <c r="P131" s="737" t="s">
        <v>40</v>
      </c>
      <c r="Q131" s="738"/>
      <c r="R131" s="738"/>
      <c r="S131" s="738"/>
      <c r="T131" s="738"/>
      <c r="U131" s="738"/>
      <c r="V131" s="739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40"/>
      <c r="B132" s="740"/>
      <c r="C132" s="740"/>
      <c r="D132" s="740"/>
      <c r="E132" s="740"/>
      <c r="F132" s="740"/>
      <c r="G132" s="740"/>
      <c r="H132" s="740"/>
      <c r="I132" s="740"/>
      <c r="J132" s="740"/>
      <c r="K132" s="740"/>
      <c r="L132" s="740"/>
      <c r="M132" s="740"/>
      <c r="N132" s="740"/>
      <c r="O132" s="741"/>
      <c r="P132" s="737" t="s">
        <v>40</v>
      </c>
      <c r="Q132" s="738"/>
      <c r="R132" s="738"/>
      <c r="S132" s="738"/>
      <c r="T132" s="738"/>
      <c r="U132" s="738"/>
      <c r="V132" s="739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731" t="s">
        <v>173</v>
      </c>
      <c r="B133" s="731"/>
      <c r="C133" s="731"/>
      <c r="D133" s="731"/>
      <c r="E133" s="731"/>
      <c r="F133" s="731"/>
      <c r="G133" s="731"/>
      <c r="H133" s="731"/>
      <c r="I133" s="731"/>
      <c r="J133" s="731"/>
      <c r="K133" s="731"/>
      <c r="L133" s="731"/>
      <c r="M133" s="731"/>
      <c r="N133" s="731"/>
      <c r="O133" s="731"/>
      <c r="P133" s="731"/>
      <c r="Q133" s="731"/>
      <c r="R133" s="731"/>
      <c r="S133" s="731"/>
      <c r="T133" s="731"/>
      <c r="U133" s="731"/>
      <c r="V133" s="731"/>
      <c r="W133" s="731"/>
      <c r="X133" s="731"/>
      <c r="Y133" s="731"/>
      <c r="Z133" s="731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732">
        <v>4680115880238</v>
      </c>
      <c r="E134" s="732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4"/>
      <c r="R134" s="734"/>
      <c r="S134" s="734"/>
      <c r="T134" s="735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732">
        <v>4680115880238</v>
      </c>
      <c r="E135" s="732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7" t="s">
        <v>264</v>
      </c>
      <c r="Q135" s="734"/>
      <c r="R135" s="734"/>
      <c r="S135" s="734"/>
      <c r="T135" s="735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40"/>
      <c r="B136" s="740"/>
      <c r="C136" s="740"/>
      <c r="D136" s="740"/>
      <c r="E136" s="740"/>
      <c r="F136" s="740"/>
      <c r="G136" s="740"/>
      <c r="H136" s="740"/>
      <c r="I136" s="740"/>
      <c r="J136" s="740"/>
      <c r="K136" s="740"/>
      <c r="L136" s="740"/>
      <c r="M136" s="740"/>
      <c r="N136" s="740"/>
      <c r="O136" s="741"/>
      <c r="P136" s="737" t="s">
        <v>40</v>
      </c>
      <c r="Q136" s="738"/>
      <c r="R136" s="738"/>
      <c r="S136" s="738"/>
      <c r="T136" s="738"/>
      <c r="U136" s="738"/>
      <c r="V136" s="73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40"/>
      <c r="B137" s="740"/>
      <c r="C137" s="740"/>
      <c r="D137" s="740"/>
      <c r="E137" s="740"/>
      <c r="F137" s="740"/>
      <c r="G137" s="740"/>
      <c r="H137" s="740"/>
      <c r="I137" s="740"/>
      <c r="J137" s="740"/>
      <c r="K137" s="740"/>
      <c r="L137" s="740"/>
      <c r="M137" s="740"/>
      <c r="N137" s="740"/>
      <c r="O137" s="741"/>
      <c r="P137" s="737" t="s">
        <v>40</v>
      </c>
      <c r="Q137" s="738"/>
      <c r="R137" s="738"/>
      <c r="S137" s="738"/>
      <c r="T137" s="738"/>
      <c r="U137" s="738"/>
      <c r="V137" s="73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730" t="s">
        <v>265</v>
      </c>
      <c r="B138" s="730"/>
      <c r="C138" s="730"/>
      <c r="D138" s="730"/>
      <c r="E138" s="730"/>
      <c r="F138" s="730"/>
      <c r="G138" s="730"/>
      <c r="H138" s="730"/>
      <c r="I138" s="730"/>
      <c r="J138" s="730"/>
      <c r="K138" s="730"/>
      <c r="L138" s="730"/>
      <c r="M138" s="730"/>
      <c r="N138" s="730"/>
      <c r="O138" s="730"/>
      <c r="P138" s="730"/>
      <c r="Q138" s="730"/>
      <c r="R138" s="730"/>
      <c r="S138" s="730"/>
      <c r="T138" s="730"/>
      <c r="U138" s="730"/>
      <c r="V138" s="730"/>
      <c r="W138" s="730"/>
      <c r="X138" s="730"/>
      <c r="Y138" s="730"/>
      <c r="Z138" s="730"/>
      <c r="AA138" s="65"/>
      <c r="AB138" s="65"/>
      <c r="AC138" s="79"/>
    </row>
    <row r="139" spans="1:68" ht="14.25" customHeight="1" x14ac:dyDescent="0.25">
      <c r="A139" s="731" t="s">
        <v>122</v>
      </c>
      <c r="B139" s="731"/>
      <c r="C139" s="731"/>
      <c r="D139" s="731"/>
      <c r="E139" s="731"/>
      <c r="F139" s="731"/>
      <c r="G139" s="731"/>
      <c r="H139" s="731"/>
      <c r="I139" s="731"/>
      <c r="J139" s="731"/>
      <c r="K139" s="731"/>
      <c r="L139" s="731"/>
      <c r="M139" s="731"/>
      <c r="N139" s="731"/>
      <c r="O139" s="731"/>
      <c r="P139" s="731"/>
      <c r="Q139" s="731"/>
      <c r="R139" s="731"/>
      <c r="S139" s="731"/>
      <c r="T139" s="731"/>
      <c r="U139" s="731"/>
      <c r="V139" s="731"/>
      <c r="W139" s="731"/>
      <c r="X139" s="731"/>
      <c r="Y139" s="731"/>
      <c r="Z139" s="731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2">
        <v>4680115882577</v>
      </c>
      <c r="E140" s="732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4"/>
      <c r="R140" s="734"/>
      <c r="S140" s="734"/>
      <c r="T140" s="735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2">
        <v>4680115882577</v>
      </c>
      <c r="E141" s="732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4"/>
      <c r="R141" s="734"/>
      <c r="S141" s="734"/>
      <c r="T141" s="735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0"/>
      <c r="B142" s="740"/>
      <c r="C142" s="740"/>
      <c r="D142" s="740"/>
      <c r="E142" s="740"/>
      <c r="F142" s="740"/>
      <c r="G142" s="740"/>
      <c r="H142" s="740"/>
      <c r="I142" s="740"/>
      <c r="J142" s="740"/>
      <c r="K142" s="740"/>
      <c r="L142" s="740"/>
      <c r="M142" s="740"/>
      <c r="N142" s="740"/>
      <c r="O142" s="741"/>
      <c r="P142" s="737" t="s">
        <v>40</v>
      </c>
      <c r="Q142" s="738"/>
      <c r="R142" s="738"/>
      <c r="S142" s="738"/>
      <c r="T142" s="738"/>
      <c r="U142" s="738"/>
      <c r="V142" s="73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40"/>
      <c r="B143" s="740"/>
      <c r="C143" s="740"/>
      <c r="D143" s="740"/>
      <c r="E143" s="740"/>
      <c r="F143" s="740"/>
      <c r="G143" s="740"/>
      <c r="H143" s="740"/>
      <c r="I143" s="740"/>
      <c r="J143" s="740"/>
      <c r="K143" s="740"/>
      <c r="L143" s="740"/>
      <c r="M143" s="740"/>
      <c r="N143" s="740"/>
      <c r="O143" s="741"/>
      <c r="P143" s="737" t="s">
        <v>40</v>
      </c>
      <c r="Q143" s="738"/>
      <c r="R143" s="738"/>
      <c r="S143" s="738"/>
      <c r="T143" s="738"/>
      <c r="U143" s="738"/>
      <c r="V143" s="73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31" t="s">
        <v>77</v>
      </c>
      <c r="B144" s="731"/>
      <c r="C144" s="731"/>
      <c r="D144" s="731"/>
      <c r="E144" s="731"/>
      <c r="F144" s="731"/>
      <c r="G144" s="731"/>
      <c r="H144" s="731"/>
      <c r="I144" s="731"/>
      <c r="J144" s="731"/>
      <c r="K144" s="731"/>
      <c r="L144" s="731"/>
      <c r="M144" s="731"/>
      <c r="N144" s="731"/>
      <c r="O144" s="731"/>
      <c r="P144" s="731"/>
      <c r="Q144" s="731"/>
      <c r="R144" s="731"/>
      <c r="S144" s="731"/>
      <c r="T144" s="731"/>
      <c r="U144" s="731"/>
      <c r="V144" s="731"/>
      <c r="W144" s="731"/>
      <c r="X144" s="731"/>
      <c r="Y144" s="731"/>
      <c r="Z144" s="731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2">
        <v>4680115883444</v>
      </c>
      <c r="E145" s="732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4"/>
      <c r="R145" s="734"/>
      <c r="S145" s="734"/>
      <c r="T145" s="735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732">
        <v>4680115883444</v>
      </c>
      <c r="E146" s="732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4"/>
      <c r="R146" s="734"/>
      <c r="S146" s="734"/>
      <c r="T146" s="735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0"/>
      <c r="B147" s="740"/>
      <c r="C147" s="740"/>
      <c r="D147" s="740"/>
      <c r="E147" s="740"/>
      <c r="F147" s="740"/>
      <c r="G147" s="740"/>
      <c r="H147" s="740"/>
      <c r="I147" s="740"/>
      <c r="J147" s="740"/>
      <c r="K147" s="740"/>
      <c r="L147" s="740"/>
      <c r="M147" s="740"/>
      <c r="N147" s="740"/>
      <c r="O147" s="741"/>
      <c r="P147" s="737" t="s">
        <v>40</v>
      </c>
      <c r="Q147" s="738"/>
      <c r="R147" s="738"/>
      <c r="S147" s="738"/>
      <c r="T147" s="738"/>
      <c r="U147" s="738"/>
      <c r="V147" s="73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40"/>
      <c r="B148" s="740"/>
      <c r="C148" s="740"/>
      <c r="D148" s="740"/>
      <c r="E148" s="740"/>
      <c r="F148" s="740"/>
      <c r="G148" s="740"/>
      <c r="H148" s="740"/>
      <c r="I148" s="740"/>
      <c r="J148" s="740"/>
      <c r="K148" s="740"/>
      <c r="L148" s="740"/>
      <c r="M148" s="740"/>
      <c r="N148" s="740"/>
      <c r="O148" s="741"/>
      <c r="P148" s="737" t="s">
        <v>40</v>
      </c>
      <c r="Q148" s="738"/>
      <c r="R148" s="738"/>
      <c r="S148" s="738"/>
      <c r="T148" s="738"/>
      <c r="U148" s="738"/>
      <c r="V148" s="73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731" t="s">
        <v>86</v>
      </c>
      <c r="B149" s="731"/>
      <c r="C149" s="731"/>
      <c r="D149" s="731"/>
      <c r="E149" s="731"/>
      <c r="F149" s="731"/>
      <c r="G149" s="731"/>
      <c r="H149" s="731"/>
      <c r="I149" s="731"/>
      <c r="J149" s="731"/>
      <c r="K149" s="731"/>
      <c r="L149" s="731"/>
      <c r="M149" s="731"/>
      <c r="N149" s="731"/>
      <c r="O149" s="731"/>
      <c r="P149" s="731"/>
      <c r="Q149" s="731"/>
      <c r="R149" s="731"/>
      <c r="S149" s="731"/>
      <c r="T149" s="731"/>
      <c r="U149" s="731"/>
      <c r="V149" s="731"/>
      <c r="W149" s="731"/>
      <c r="X149" s="731"/>
      <c r="Y149" s="731"/>
      <c r="Z149" s="731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2">
        <v>4680115882584</v>
      </c>
      <c r="E150" s="732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4"/>
      <c r="R150" s="734"/>
      <c r="S150" s="734"/>
      <c r="T150" s="735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732">
        <v>4680115882584</v>
      </c>
      <c r="E151" s="732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4"/>
      <c r="R151" s="734"/>
      <c r="S151" s="734"/>
      <c r="T151" s="735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0"/>
      <c r="B152" s="740"/>
      <c r="C152" s="740"/>
      <c r="D152" s="740"/>
      <c r="E152" s="740"/>
      <c r="F152" s="740"/>
      <c r="G152" s="740"/>
      <c r="H152" s="740"/>
      <c r="I152" s="740"/>
      <c r="J152" s="740"/>
      <c r="K152" s="740"/>
      <c r="L152" s="740"/>
      <c r="M152" s="740"/>
      <c r="N152" s="740"/>
      <c r="O152" s="741"/>
      <c r="P152" s="737" t="s">
        <v>40</v>
      </c>
      <c r="Q152" s="738"/>
      <c r="R152" s="738"/>
      <c r="S152" s="738"/>
      <c r="T152" s="738"/>
      <c r="U152" s="738"/>
      <c r="V152" s="739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740"/>
      <c r="B153" s="740"/>
      <c r="C153" s="740"/>
      <c r="D153" s="740"/>
      <c r="E153" s="740"/>
      <c r="F153" s="740"/>
      <c r="G153" s="740"/>
      <c r="H153" s="740"/>
      <c r="I153" s="740"/>
      <c r="J153" s="740"/>
      <c r="K153" s="740"/>
      <c r="L153" s="740"/>
      <c r="M153" s="740"/>
      <c r="N153" s="740"/>
      <c r="O153" s="741"/>
      <c r="P153" s="737" t="s">
        <v>40</v>
      </c>
      <c r="Q153" s="738"/>
      <c r="R153" s="738"/>
      <c r="S153" s="738"/>
      <c r="T153" s="738"/>
      <c r="U153" s="738"/>
      <c r="V153" s="739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730" t="s">
        <v>278</v>
      </c>
      <c r="B154" s="730"/>
      <c r="C154" s="730"/>
      <c r="D154" s="730"/>
      <c r="E154" s="730"/>
      <c r="F154" s="730"/>
      <c r="G154" s="730"/>
      <c r="H154" s="730"/>
      <c r="I154" s="730"/>
      <c r="J154" s="730"/>
      <c r="K154" s="730"/>
      <c r="L154" s="730"/>
      <c r="M154" s="730"/>
      <c r="N154" s="730"/>
      <c r="O154" s="730"/>
      <c r="P154" s="730"/>
      <c r="Q154" s="730"/>
      <c r="R154" s="730"/>
      <c r="S154" s="730"/>
      <c r="T154" s="730"/>
      <c r="U154" s="730"/>
      <c r="V154" s="730"/>
      <c r="W154" s="730"/>
      <c r="X154" s="730"/>
      <c r="Y154" s="730"/>
      <c r="Z154" s="730"/>
      <c r="AA154" s="65"/>
      <c r="AB154" s="65"/>
      <c r="AC154" s="79"/>
    </row>
    <row r="155" spans="1:68" ht="14.25" customHeight="1" x14ac:dyDescent="0.25">
      <c r="A155" s="731" t="s">
        <v>86</v>
      </c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1"/>
      <c r="P155" s="731"/>
      <c r="Q155" s="731"/>
      <c r="R155" s="731"/>
      <c r="S155" s="731"/>
      <c r="T155" s="731"/>
      <c r="U155" s="731"/>
      <c r="V155" s="731"/>
      <c r="W155" s="731"/>
      <c r="X155" s="731"/>
      <c r="Y155" s="731"/>
      <c r="Z155" s="731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732">
        <v>4680115888203</v>
      </c>
      <c r="E156" s="732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4"/>
      <c r="R156" s="734"/>
      <c r="S156" s="734"/>
      <c r="T156" s="735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732">
        <v>4680115888180</v>
      </c>
      <c r="E157" s="732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4"/>
      <c r="R157" s="734"/>
      <c r="S157" s="734"/>
      <c r="T157" s="735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732">
        <v>4680115888180</v>
      </c>
      <c r="E158" s="732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4"/>
      <c r="R158" s="734"/>
      <c r="S158" s="734"/>
      <c r="T158" s="735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732">
        <v>4680115888197</v>
      </c>
      <c r="E159" s="732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4"/>
      <c r="R159" s="734"/>
      <c r="S159" s="734"/>
      <c r="T159" s="735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732">
        <v>4680115888197</v>
      </c>
      <c r="E160" s="732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4"/>
      <c r="R160" s="734"/>
      <c r="S160" s="734"/>
      <c r="T160" s="735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732">
        <v>4680115888210</v>
      </c>
      <c r="E161" s="732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4"/>
      <c r="R161" s="734"/>
      <c r="S161" s="734"/>
      <c r="T161" s="735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732">
        <v>4680115888210</v>
      </c>
      <c r="E162" s="732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4"/>
      <c r="R162" s="734"/>
      <c r="S162" s="734"/>
      <c r="T162" s="735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740"/>
      <c r="B163" s="740"/>
      <c r="C163" s="740"/>
      <c r="D163" s="740"/>
      <c r="E163" s="740"/>
      <c r="F163" s="740"/>
      <c r="G163" s="740"/>
      <c r="H163" s="740"/>
      <c r="I163" s="740"/>
      <c r="J163" s="740"/>
      <c r="K163" s="740"/>
      <c r="L163" s="740"/>
      <c r="M163" s="740"/>
      <c r="N163" s="740"/>
      <c r="O163" s="741"/>
      <c r="P163" s="737" t="s">
        <v>40</v>
      </c>
      <c r="Q163" s="738"/>
      <c r="R163" s="738"/>
      <c r="S163" s="738"/>
      <c r="T163" s="738"/>
      <c r="U163" s="738"/>
      <c r="V163" s="739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740"/>
      <c r="B164" s="740"/>
      <c r="C164" s="740"/>
      <c r="D164" s="740"/>
      <c r="E164" s="740"/>
      <c r="F164" s="740"/>
      <c r="G164" s="740"/>
      <c r="H164" s="740"/>
      <c r="I164" s="740"/>
      <c r="J164" s="740"/>
      <c r="K164" s="740"/>
      <c r="L164" s="740"/>
      <c r="M164" s="740"/>
      <c r="N164" s="740"/>
      <c r="O164" s="741"/>
      <c r="P164" s="737" t="s">
        <v>40</v>
      </c>
      <c r="Q164" s="738"/>
      <c r="R164" s="738"/>
      <c r="S164" s="738"/>
      <c r="T164" s="738"/>
      <c r="U164" s="738"/>
      <c r="V164" s="739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731" t="s">
        <v>294</v>
      </c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1"/>
      <c r="P165" s="731"/>
      <c r="Q165" s="731"/>
      <c r="R165" s="731"/>
      <c r="S165" s="731"/>
      <c r="T165" s="731"/>
      <c r="U165" s="731"/>
      <c r="V165" s="731"/>
      <c r="W165" s="731"/>
      <c r="X165" s="731"/>
      <c r="Y165" s="731"/>
      <c r="Z165" s="731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732">
        <v>4680115889132</v>
      </c>
      <c r="E166" s="732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4"/>
      <c r="R166" s="734"/>
      <c r="S166" s="734"/>
      <c r="T166" s="735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40"/>
      <c r="B167" s="740"/>
      <c r="C167" s="740"/>
      <c r="D167" s="740"/>
      <c r="E167" s="740"/>
      <c r="F167" s="740"/>
      <c r="G167" s="740"/>
      <c r="H167" s="740"/>
      <c r="I167" s="740"/>
      <c r="J167" s="740"/>
      <c r="K167" s="740"/>
      <c r="L167" s="740"/>
      <c r="M167" s="740"/>
      <c r="N167" s="740"/>
      <c r="O167" s="741"/>
      <c r="P167" s="737" t="s">
        <v>40</v>
      </c>
      <c r="Q167" s="738"/>
      <c r="R167" s="738"/>
      <c r="S167" s="738"/>
      <c r="T167" s="738"/>
      <c r="U167" s="738"/>
      <c r="V167" s="739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740"/>
      <c r="B168" s="740"/>
      <c r="C168" s="740"/>
      <c r="D168" s="740"/>
      <c r="E168" s="740"/>
      <c r="F168" s="740"/>
      <c r="G168" s="740"/>
      <c r="H168" s="740"/>
      <c r="I168" s="740"/>
      <c r="J168" s="740"/>
      <c r="K168" s="740"/>
      <c r="L168" s="740"/>
      <c r="M168" s="740"/>
      <c r="N168" s="740"/>
      <c r="O168" s="741"/>
      <c r="P168" s="737" t="s">
        <v>40</v>
      </c>
      <c r="Q168" s="738"/>
      <c r="R168" s="738"/>
      <c r="S168" s="738"/>
      <c r="T168" s="738"/>
      <c r="U168" s="738"/>
      <c r="V168" s="739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730" t="s">
        <v>120</v>
      </c>
      <c r="B169" s="730"/>
      <c r="C169" s="730"/>
      <c r="D169" s="730"/>
      <c r="E169" s="730"/>
      <c r="F169" s="730"/>
      <c r="G169" s="730"/>
      <c r="H169" s="730"/>
      <c r="I169" s="730"/>
      <c r="J169" s="730"/>
      <c r="K169" s="730"/>
      <c r="L169" s="730"/>
      <c r="M169" s="730"/>
      <c r="N169" s="730"/>
      <c r="O169" s="730"/>
      <c r="P169" s="730"/>
      <c r="Q169" s="730"/>
      <c r="R169" s="730"/>
      <c r="S169" s="730"/>
      <c r="T169" s="730"/>
      <c r="U169" s="730"/>
      <c r="V169" s="730"/>
      <c r="W169" s="730"/>
      <c r="X169" s="730"/>
      <c r="Y169" s="730"/>
      <c r="Z169" s="730"/>
      <c r="AA169" s="65"/>
      <c r="AB169" s="65"/>
      <c r="AC169" s="79"/>
    </row>
    <row r="170" spans="1:68" ht="14.25" customHeight="1" x14ac:dyDescent="0.25">
      <c r="A170" s="731" t="s">
        <v>122</v>
      </c>
      <c r="B170" s="731"/>
      <c r="C170" s="731"/>
      <c r="D170" s="731"/>
      <c r="E170" s="731"/>
      <c r="F170" s="731"/>
      <c r="G170" s="731"/>
      <c r="H170" s="731"/>
      <c r="I170" s="731"/>
      <c r="J170" s="731"/>
      <c r="K170" s="731"/>
      <c r="L170" s="731"/>
      <c r="M170" s="731"/>
      <c r="N170" s="731"/>
      <c r="O170" s="731"/>
      <c r="P170" s="731"/>
      <c r="Q170" s="731"/>
      <c r="R170" s="731"/>
      <c r="S170" s="731"/>
      <c r="T170" s="731"/>
      <c r="U170" s="731"/>
      <c r="V170" s="731"/>
      <c r="W170" s="731"/>
      <c r="X170" s="731"/>
      <c r="Y170" s="731"/>
      <c r="Z170" s="731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732">
        <v>4680115887374</v>
      </c>
      <c r="E171" s="732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4"/>
      <c r="R171" s="734"/>
      <c r="S171" s="734"/>
      <c r="T171" s="735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732">
        <v>4607091384604</v>
      </c>
      <c r="E172" s="732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4"/>
      <c r="R172" s="734"/>
      <c r="S172" s="734"/>
      <c r="T172" s="735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732">
        <v>4680115888876</v>
      </c>
      <c r="E173" s="732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4"/>
      <c r="R173" s="734"/>
      <c r="S173" s="734"/>
      <c r="T173" s="735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40"/>
      <c r="B174" s="740"/>
      <c r="C174" s="740"/>
      <c r="D174" s="740"/>
      <c r="E174" s="740"/>
      <c r="F174" s="740"/>
      <c r="G174" s="740"/>
      <c r="H174" s="740"/>
      <c r="I174" s="740"/>
      <c r="J174" s="740"/>
      <c r="K174" s="740"/>
      <c r="L174" s="740"/>
      <c r="M174" s="740"/>
      <c r="N174" s="740"/>
      <c r="O174" s="741"/>
      <c r="P174" s="737" t="s">
        <v>40</v>
      </c>
      <c r="Q174" s="738"/>
      <c r="R174" s="738"/>
      <c r="S174" s="738"/>
      <c r="T174" s="738"/>
      <c r="U174" s="738"/>
      <c r="V174" s="739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740"/>
      <c r="B175" s="740"/>
      <c r="C175" s="740"/>
      <c r="D175" s="740"/>
      <c r="E175" s="740"/>
      <c r="F175" s="740"/>
      <c r="G175" s="740"/>
      <c r="H175" s="740"/>
      <c r="I175" s="740"/>
      <c r="J175" s="740"/>
      <c r="K175" s="740"/>
      <c r="L175" s="740"/>
      <c r="M175" s="740"/>
      <c r="N175" s="740"/>
      <c r="O175" s="741"/>
      <c r="P175" s="737" t="s">
        <v>40</v>
      </c>
      <c r="Q175" s="738"/>
      <c r="R175" s="738"/>
      <c r="S175" s="738"/>
      <c r="T175" s="738"/>
      <c r="U175" s="738"/>
      <c r="V175" s="739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731" t="s">
        <v>155</v>
      </c>
      <c r="B176" s="731"/>
      <c r="C176" s="731"/>
      <c r="D176" s="731"/>
      <c r="E176" s="731"/>
      <c r="F176" s="731"/>
      <c r="G176" s="731"/>
      <c r="H176" s="731"/>
      <c r="I176" s="731"/>
      <c r="J176" s="731"/>
      <c r="K176" s="731"/>
      <c r="L176" s="731"/>
      <c r="M176" s="731"/>
      <c r="N176" s="731"/>
      <c r="O176" s="731"/>
      <c r="P176" s="731"/>
      <c r="Q176" s="731"/>
      <c r="R176" s="731"/>
      <c r="S176" s="731"/>
      <c r="T176" s="731"/>
      <c r="U176" s="731"/>
      <c r="V176" s="731"/>
      <c r="W176" s="731"/>
      <c r="X176" s="731"/>
      <c r="Y176" s="731"/>
      <c r="Z176" s="731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732">
        <v>4680115887695</v>
      </c>
      <c r="E177" s="732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4"/>
      <c r="R177" s="734"/>
      <c r="S177" s="734"/>
      <c r="T177" s="735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732">
        <v>4680115889491</v>
      </c>
      <c r="E178" s="732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4"/>
      <c r="R178" s="734"/>
      <c r="S178" s="734"/>
      <c r="T178" s="735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740"/>
      <c r="B179" s="740"/>
      <c r="C179" s="740"/>
      <c r="D179" s="740"/>
      <c r="E179" s="740"/>
      <c r="F179" s="740"/>
      <c r="G179" s="740"/>
      <c r="H179" s="740"/>
      <c r="I179" s="740"/>
      <c r="J179" s="740"/>
      <c r="K179" s="740"/>
      <c r="L179" s="740"/>
      <c r="M179" s="740"/>
      <c r="N179" s="740"/>
      <c r="O179" s="741"/>
      <c r="P179" s="737" t="s">
        <v>40</v>
      </c>
      <c r="Q179" s="738"/>
      <c r="R179" s="738"/>
      <c r="S179" s="738"/>
      <c r="T179" s="738"/>
      <c r="U179" s="738"/>
      <c r="V179" s="739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740"/>
      <c r="B180" s="740"/>
      <c r="C180" s="740"/>
      <c r="D180" s="740"/>
      <c r="E180" s="740"/>
      <c r="F180" s="740"/>
      <c r="G180" s="740"/>
      <c r="H180" s="740"/>
      <c r="I180" s="740"/>
      <c r="J180" s="740"/>
      <c r="K180" s="740"/>
      <c r="L180" s="740"/>
      <c r="M180" s="740"/>
      <c r="N180" s="740"/>
      <c r="O180" s="741"/>
      <c r="P180" s="737" t="s">
        <v>40</v>
      </c>
      <c r="Q180" s="738"/>
      <c r="R180" s="738"/>
      <c r="S180" s="738"/>
      <c r="T180" s="738"/>
      <c r="U180" s="738"/>
      <c r="V180" s="739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731" t="s">
        <v>77</v>
      </c>
      <c r="B181" s="731"/>
      <c r="C181" s="731"/>
      <c r="D181" s="731"/>
      <c r="E181" s="731"/>
      <c r="F181" s="731"/>
      <c r="G181" s="731"/>
      <c r="H181" s="731"/>
      <c r="I181" s="731"/>
      <c r="J181" s="731"/>
      <c r="K181" s="731"/>
      <c r="L181" s="731"/>
      <c r="M181" s="731"/>
      <c r="N181" s="731"/>
      <c r="O181" s="731"/>
      <c r="P181" s="731"/>
      <c r="Q181" s="731"/>
      <c r="R181" s="731"/>
      <c r="S181" s="731"/>
      <c r="T181" s="731"/>
      <c r="U181" s="731"/>
      <c r="V181" s="731"/>
      <c r="W181" s="731"/>
      <c r="X181" s="731"/>
      <c r="Y181" s="731"/>
      <c r="Z181" s="731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2">
        <v>4680115887428</v>
      </c>
      <c r="E182" s="732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4"/>
      <c r="R182" s="734"/>
      <c r="S182" s="734"/>
      <c r="T182" s="735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2">
        <v>4680115889170</v>
      </c>
      <c r="E183" s="732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4"/>
      <c r="R183" s="734"/>
      <c r="S183" s="734"/>
      <c r="T183" s="735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2">
        <v>4680115887398</v>
      </c>
      <c r="E184" s="732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2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4"/>
      <c r="R184" s="734"/>
      <c r="S184" s="734"/>
      <c r="T184" s="735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732">
        <v>4680115887398</v>
      </c>
      <c r="E185" s="732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0" t="s">
        <v>326</v>
      </c>
      <c r="Q185" s="734"/>
      <c r="R185" s="734"/>
      <c r="S185" s="734"/>
      <c r="T185" s="735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2">
        <v>4680115887336</v>
      </c>
      <c r="E186" s="732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4"/>
      <c r="R186" s="734"/>
      <c r="S186" s="734"/>
      <c r="T186" s="735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732">
        <v>4680115887336</v>
      </c>
      <c r="E187" s="732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2" t="s">
        <v>332</v>
      </c>
      <c r="Q187" s="734"/>
      <c r="R187" s="734"/>
      <c r="S187" s="734"/>
      <c r="T187" s="735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732">
        <v>4680115887787</v>
      </c>
      <c r="E188" s="732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4"/>
      <c r="R188" s="734"/>
      <c r="S188" s="734"/>
      <c r="T188" s="735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732">
        <v>4680115887787</v>
      </c>
      <c r="E189" s="732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4" t="s">
        <v>338</v>
      </c>
      <c r="Q189" s="734"/>
      <c r="R189" s="734"/>
      <c r="S189" s="734"/>
      <c r="T189" s="735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2">
        <v>4680115887503</v>
      </c>
      <c r="E190" s="732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4"/>
      <c r="R190" s="734"/>
      <c r="S190" s="734"/>
      <c r="T190" s="735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732">
        <v>4680115887763</v>
      </c>
      <c r="E191" s="732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4"/>
      <c r="R191" s="734"/>
      <c r="S191" s="734"/>
      <c r="T191" s="735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2">
        <v>4680115887480</v>
      </c>
      <c r="E192" s="732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4"/>
      <c r="R192" s="734"/>
      <c r="S192" s="734"/>
      <c r="T192" s="735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732">
        <v>4680115887480</v>
      </c>
      <c r="E193" s="732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8" t="s">
        <v>347</v>
      </c>
      <c r="Q193" s="734"/>
      <c r="R193" s="734"/>
      <c r="S193" s="734"/>
      <c r="T193" s="735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732">
        <v>4680115888067</v>
      </c>
      <c r="E194" s="732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3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4"/>
      <c r="R194" s="734"/>
      <c r="S194" s="734"/>
      <c r="T194" s="735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2">
        <v>4680115887435</v>
      </c>
      <c r="E195" s="732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4"/>
      <c r="R195" s="734"/>
      <c r="S195" s="734"/>
      <c r="T195" s="735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0"/>
      <c r="B196" s="740"/>
      <c r="C196" s="740"/>
      <c r="D196" s="740"/>
      <c r="E196" s="740"/>
      <c r="F196" s="740"/>
      <c r="G196" s="740"/>
      <c r="H196" s="740"/>
      <c r="I196" s="740"/>
      <c r="J196" s="740"/>
      <c r="K196" s="740"/>
      <c r="L196" s="740"/>
      <c r="M196" s="740"/>
      <c r="N196" s="740"/>
      <c r="O196" s="741"/>
      <c r="P196" s="737" t="s">
        <v>40</v>
      </c>
      <c r="Q196" s="738"/>
      <c r="R196" s="738"/>
      <c r="S196" s="738"/>
      <c r="T196" s="738"/>
      <c r="U196" s="738"/>
      <c r="V196" s="739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740"/>
      <c r="B197" s="740"/>
      <c r="C197" s="740"/>
      <c r="D197" s="740"/>
      <c r="E197" s="740"/>
      <c r="F197" s="740"/>
      <c r="G197" s="740"/>
      <c r="H197" s="740"/>
      <c r="I197" s="740"/>
      <c r="J197" s="740"/>
      <c r="K197" s="740"/>
      <c r="L197" s="740"/>
      <c r="M197" s="740"/>
      <c r="N197" s="740"/>
      <c r="O197" s="741"/>
      <c r="P197" s="737" t="s">
        <v>40</v>
      </c>
      <c r="Q197" s="738"/>
      <c r="R197" s="738"/>
      <c r="S197" s="738"/>
      <c r="T197" s="738"/>
      <c r="U197" s="738"/>
      <c r="V197" s="739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customHeight="1" x14ac:dyDescent="0.25">
      <c r="A198" s="731" t="s">
        <v>86</v>
      </c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1"/>
      <c r="P198" s="731"/>
      <c r="Q198" s="731"/>
      <c r="R198" s="731"/>
      <c r="S198" s="731"/>
      <c r="T198" s="731"/>
      <c r="U198" s="731"/>
      <c r="V198" s="731"/>
      <c r="W198" s="731"/>
      <c r="X198" s="731"/>
      <c r="Y198" s="731"/>
      <c r="Z198" s="731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732">
        <v>4680115888395</v>
      </c>
      <c r="E199" s="732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4"/>
      <c r="R199" s="734"/>
      <c r="S199" s="734"/>
      <c r="T199" s="735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732">
        <v>4680115888371</v>
      </c>
      <c r="E200" s="732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4"/>
      <c r="R200" s="734"/>
      <c r="S200" s="734"/>
      <c r="T200" s="735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732">
        <v>4680115887459</v>
      </c>
      <c r="E201" s="732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4"/>
      <c r="R201" s="734"/>
      <c r="S201" s="734"/>
      <c r="T201" s="735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40"/>
      <c r="B202" s="740"/>
      <c r="C202" s="740"/>
      <c r="D202" s="740"/>
      <c r="E202" s="740"/>
      <c r="F202" s="740"/>
      <c r="G202" s="740"/>
      <c r="H202" s="740"/>
      <c r="I202" s="740"/>
      <c r="J202" s="740"/>
      <c r="K202" s="740"/>
      <c r="L202" s="740"/>
      <c r="M202" s="740"/>
      <c r="N202" s="740"/>
      <c r="O202" s="741"/>
      <c r="P202" s="737" t="s">
        <v>40</v>
      </c>
      <c r="Q202" s="738"/>
      <c r="R202" s="738"/>
      <c r="S202" s="738"/>
      <c r="T202" s="738"/>
      <c r="U202" s="738"/>
      <c r="V202" s="739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740"/>
      <c r="B203" s="740"/>
      <c r="C203" s="740"/>
      <c r="D203" s="740"/>
      <c r="E203" s="740"/>
      <c r="F203" s="740"/>
      <c r="G203" s="740"/>
      <c r="H203" s="740"/>
      <c r="I203" s="740"/>
      <c r="J203" s="740"/>
      <c r="K203" s="740"/>
      <c r="L203" s="740"/>
      <c r="M203" s="740"/>
      <c r="N203" s="740"/>
      <c r="O203" s="741"/>
      <c r="P203" s="737" t="s">
        <v>40</v>
      </c>
      <c r="Q203" s="738"/>
      <c r="R203" s="738"/>
      <c r="S203" s="738"/>
      <c r="T203" s="738"/>
      <c r="U203" s="738"/>
      <c r="V203" s="739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731" t="s">
        <v>294</v>
      </c>
      <c r="B204" s="731"/>
      <c r="C204" s="731"/>
      <c r="D204" s="731"/>
      <c r="E204" s="731"/>
      <c r="F204" s="731"/>
      <c r="G204" s="731"/>
      <c r="H204" s="731"/>
      <c r="I204" s="731"/>
      <c r="J204" s="731"/>
      <c r="K204" s="731"/>
      <c r="L204" s="731"/>
      <c r="M204" s="731"/>
      <c r="N204" s="731"/>
      <c r="O204" s="731"/>
      <c r="P204" s="731"/>
      <c r="Q204" s="731"/>
      <c r="R204" s="731"/>
      <c r="S204" s="731"/>
      <c r="T204" s="731"/>
      <c r="U204" s="731"/>
      <c r="V204" s="731"/>
      <c r="W204" s="731"/>
      <c r="X204" s="731"/>
      <c r="Y204" s="731"/>
      <c r="Z204" s="731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732">
        <v>4680115889026</v>
      </c>
      <c r="E205" s="732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4"/>
      <c r="R205" s="734"/>
      <c r="S205" s="734"/>
      <c r="T205" s="735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740"/>
      <c r="B206" s="740"/>
      <c r="C206" s="740"/>
      <c r="D206" s="740"/>
      <c r="E206" s="740"/>
      <c r="F206" s="740"/>
      <c r="G206" s="740"/>
      <c r="H206" s="740"/>
      <c r="I206" s="740"/>
      <c r="J206" s="740"/>
      <c r="K206" s="740"/>
      <c r="L206" s="740"/>
      <c r="M206" s="740"/>
      <c r="N206" s="740"/>
      <c r="O206" s="741"/>
      <c r="P206" s="737" t="s">
        <v>40</v>
      </c>
      <c r="Q206" s="738"/>
      <c r="R206" s="738"/>
      <c r="S206" s="738"/>
      <c r="T206" s="738"/>
      <c r="U206" s="738"/>
      <c r="V206" s="739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740"/>
      <c r="B207" s="740"/>
      <c r="C207" s="740"/>
      <c r="D207" s="740"/>
      <c r="E207" s="740"/>
      <c r="F207" s="740"/>
      <c r="G207" s="740"/>
      <c r="H207" s="740"/>
      <c r="I207" s="740"/>
      <c r="J207" s="740"/>
      <c r="K207" s="740"/>
      <c r="L207" s="740"/>
      <c r="M207" s="740"/>
      <c r="N207" s="740"/>
      <c r="O207" s="741"/>
      <c r="P207" s="737" t="s">
        <v>40</v>
      </c>
      <c r="Q207" s="738"/>
      <c r="R207" s="738"/>
      <c r="S207" s="738"/>
      <c r="T207" s="738"/>
      <c r="U207" s="738"/>
      <c r="V207" s="739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731" t="s">
        <v>366</v>
      </c>
      <c r="B208" s="731"/>
      <c r="C208" s="731"/>
      <c r="D208" s="731"/>
      <c r="E208" s="731"/>
      <c r="F208" s="731"/>
      <c r="G208" s="731"/>
      <c r="H208" s="731"/>
      <c r="I208" s="731"/>
      <c r="J208" s="731"/>
      <c r="K208" s="731"/>
      <c r="L208" s="731"/>
      <c r="M208" s="731"/>
      <c r="N208" s="731"/>
      <c r="O208" s="731"/>
      <c r="P208" s="731"/>
      <c r="Q208" s="731"/>
      <c r="R208" s="731"/>
      <c r="S208" s="731"/>
      <c r="T208" s="731"/>
      <c r="U208" s="731"/>
      <c r="V208" s="731"/>
      <c r="W208" s="731"/>
      <c r="X208" s="731"/>
      <c r="Y208" s="731"/>
      <c r="Z208" s="731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732">
        <v>4680115889033</v>
      </c>
      <c r="E209" s="732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4"/>
      <c r="R209" s="734"/>
      <c r="S209" s="734"/>
      <c r="T209" s="735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40"/>
      <c r="B210" s="740"/>
      <c r="C210" s="740"/>
      <c r="D210" s="740"/>
      <c r="E210" s="740"/>
      <c r="F210" s="740"/>
      <c r="G210" s="740"/>
      <c r="H210" s="740"/>
      <c r="I210" s="740"/>
      <c r="J210" s="740"/>
      <c r="K210" s="740"/>
      <c r="L210" s="740"/>
      <c r="M210" s="740"/>
      <c r="N210" s="740"/>
      <c r="O210" s="741"/>
      <c r="P210" s="737" t="s">
        <v>40</v>
      </c>
      <c r="Q210" s="738"/>
      <c r="R210" s="738"/>
      <c r="S210" s="738"/>
      <c r="T210" s="738"/>
      <c r="U210" s="738"/>
      <c r="V210" s="739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40"/>
      <c r="B211" s="740"/>
      <c r="C211" s="740"/>
      <c r="D211" s="740"/>
      <c r="E211" s="740"/>
      <c r="F211" s="740"/>
      <c r="G211" s="740"/>
      <c r="H211" s="740"/>
      <c r="I211" s="740"/>
      <c r="J211" s="740"/>
      <c r="K211" s="740"/>
      <c r="L211" s="740"/>
      <c r="M211" s="740"/>
      <c r="N211" s="740"/>
      <c r="O211" s="741"/>
      <c r="P211" s="737" t="s">
        <v>40</v>
      </c>
      <c r="Q211" s="738"/>
      <c r="R211" s="738"/>
      <c r="S211" s="738"/>
      <c r="T211" s="738"/>
      <c r="U211" s="738"/>
      <c r="V211" s="739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729" t="s">
        <v>370</v>
      </c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54"/>
      <c r="AB212" s="54"/>
      <c r="AC212" s="54"/>
    </row>
    <row r="213" spans="1:68" ht="16.5" customHeight="1" x14ac:dyDescent="0.25">
      <c r="A213" s="730" t="s">
        <v>371</v>
      </c>
      <c r="B213" s="730"/>
      <c r="C213" s="730"/>
      <c r="D213" s="730"/>
      <c r="E213" s="730"/>
      <c r="F213" s="730"/>
      <c r="G213" s="730"/>
      <c r="H213" s="730"/>
      <c r="I213" s="730"/>
      <c r="J213" s="730"/>
      <c r="K213" s="730"/>
      <c r="L213" s="730"/>
      <c r="M213" s="730"/>
      <c r="N213" s="730"/>
      <c r="O213" s="730"/>
      <c r="P213" s="730"/>
      <c r="Q213" s="730"/>
      <c r="R213" s="730"/>
      <c r="S213" s="730"/>
      <c r="T213" s="730"/>
      <c r="U213" s="730"/>
      <c r="V213" s="730"/>
      <c r="W213" s="730"/>
      <c r="X213" s="730"/>
      <c r="Y213" s="730"/>
      <c r="Z213" s="730"/>
      <c r="AA213" s="65"/>
      <c r="AB213" s="65"/>
      <c r="AC213" s="79"/>
    </row>
    <row r="214" spans="1:68" ht="14.25" customHeight="1" x14ac:dyDescent="0.25">
      <c r="A214" s="731" t="s">
        <v>122</v>
      </c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1"/>
      <c r="P214" s="731"/>
      <c r="Q214" s="731"/>
      <c r="R214" s="731"/>
      <c r="S214" s="731"/>
      <c r="T214" s="731"/>
      <c r="U214" s="731"/>
      <c r="V214" s="731"/>
      <c r="W214" s="731"/>
      <c r="X214" s="731"/>
      <c r="Y214" s="731"/>
      <c r="Z214" s="731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732">
        <v>4607091383423</v>
      </c>
      <c r="E215" s="732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4"/>
      <c r="R215" s="734"/>
      <c r="S215" s="734"/>
      <c r="T215" s="735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732">
        <v>4680115888760</v>
      </c>
      <c r="E216" s="732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4"/>
      <c r="R216" s="734"/>
      <c r="S216" s="734"/>
      <c r="T216" s="735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732">
        <v>4680115888807</v>
      </c>
      <c r="E217" s="732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4"/>
      <c r="R217" s="734"/>
      <c r="S217" s="734"/>
      <c r="T217" s="735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732">
        <v>4680115888852</v>
      </c>
      <c r="E218" s="732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4"/>
      <c r="R218" s="734"/>
      <c r="S218" s="734"/>
      <c r="T218" s="735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732">
        <v>4680115886957</v>
      </c>
      <c r="E219" s="732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4"/>
      <c r="R219" s="734"/>
      <c r="S219" s="734"/>
      <c r="T219" s="735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2">
        <v>4680115885660</v>
      </c>
      <c r="E220" s="732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4"/>
      <c r="R220" s="734"/>
      <c r="S220" s="734"/>
      <c r="T220" s="735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732">
        <v>4680115886773</v>
      </c>
      <c r="E221" s="732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4"/>
      <c r="R221" s="734"/>
      <c r="S221" s="734"/>
      <c r="T221" s="735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0"/>
      <c r="B222" s="740"/>
      <c r="C222" s="740"/>
      <c r="D222" s="740"/>
      <c r="E222" s="740"/>
      <c r="F222" s="740"/>
      <c r="G222" s="740"/>
      <c r="H222" s="740"/>
      <c r="I222" s="740"/>
      <c r="J222" s="740"/>
      <c r="K222" s="740"/>
      <c r="L222" s="740"/>
      <c r="M222" s="740"/>
      <c r="N222" s="740"/>
      <c r="O222" s="741"/>
      <c r="P222" s="737" t="s">
        <v>40</v>
      </c>
      <c r="Q222" s="738"/>
      <c r="R222" s="738"/>
      <c r="S222" s="738"/>
      <c r="T222" s="738"/>
      <c r="U222" s="738"/>
      <c r="V222" s="739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740"/>
      <c r="B223" s="740"/>
      <c r="C223" s="740"/>
      <c r="D223" s="740"/>
      <c r="E223" s="740"/>
      <c r="F223" s="740"/>
      <c r="G223" s="740"/>
      <c r="H223" s="740"/>
      <c r="I223" s="740"/>
      <c r="J223" s="740"/>
      <c r="K223" s="740"/>
      <c r="L223" s="740"/>
      <c r="M223" s="740"/>
      <c r="N223" s="740"/>
      <c r="O223" s="741"/>
      <c r="P223" s="737" t="s">
        <v>40</v>
      </c>
      <c r="Q223" s="738"/>
      <c r="R223" s="738"/>
      <c r="S223" s="738"/>
      <c r="T223" s="738"/>
      <c r="U223" s="738"/>
      <c r="V223" s="739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730" t="s">
        <v>392</v>
      </c>
      <c r="B224" s="730"/>
      <c r="C224" s="730"/>
      <c r="D224" s="730"/>
      <c r="E224" s="730"/>
      <c r="F224" s="730"/>
      <c r="G224" s="730"/>
      <c r="H224" s="730"/>
      <c r="I224" s="730"/>
      <c r="J224" s="730"/>
      <c r="K224" s="730"/>
      <c r="L224" s="730"/>
      <c r="M224" s="730"/>
      <c r="N224" s="730"/>
      <c r="O224" s="730"/>
      <c r="P224" s="730"/>
      <c r="Q224" s="730"/>
      <c r="R224" s="730"/>
      <c r="S224" s="730"/>
      <c r="T224" s="730"/>
      <c r="U224" s="730"/>
      <c r="V224" s="730"/>
      <c r="W224" s="730"/>
      <c r="X224" s="730"/>
      <c r="Y224" s="730"/>
      <c r="Z224" s="730"/>
      <c r="AA224" s="65"/>
      <c r="AB224" s="65"/>
      <c r="AC224" s="79"/>
    </row>
    <row r="225" spans="1:68" ht="14.25" customHeight="1" x14ac:dyDescent="0.25">
      <c r="A225" s="731" t="s">
        <v>155</v>
      </c>
      <c r="B225" s="731"/>
      <c r="C225" s="731"/>
      <c r="D225" s="731"/>
      <c r="E225" s="731"/>
      <c r="F225" s="731"/>
      <c r="G225" s="731"/>
      <c r="H225" s="731"/>
      <c r="I225" s="731"/>
      <c r="J225" s="731"/>
      <c r="K225" s="731"/>
      <c r="L225" s="731"/>
      <c r="M225" s="731"/>
      <c r="N225" s="731"/>
      <c r="O225" s="731"/>
      <c r="P225" s="731"/>
      <c r="Q225" s="731"/>
      <c r="R225" s="731"/>
      <c r="S225" s="731"/>
      <c r="T225" s="731"/>
      <c r="U225" s="731"/>
      <c r="V225" s="731"/>
      <c r="W225" s="731"/>
      <c r="X225" s="731"/>
      <c r="Y225" s="731"/>
      <c r="Z225" s="731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732">
        <v>4680115886223</v>
      </c>
      <c r="E226" s="732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4"/>
      <c r="R226" s="734"/>
      <c r="S226" s="734"/>
      <c r="T226" s="735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740"/>
      <c r="B227" s="740"/>
      <c r="C227" s="740"/>
      <c r="D227" s="740"/>
      <c r="E227" s="740"/>
      <c r="F227" s="740"/>
      <c r="G227" s="740"/>
      <c r="H227" s="740"/>
      <c r="I227" s="740"/>
      <c r="J227" s="740"/>
      <c r="K227" s="740"/>
      <c r="L227" s="740"/>
      <c r="M227" s="740"/>
      <c r="N227" s="740"/>
      <c r="O227" s="741"/>
      <c r="P227" s="737" t="s">
        <v>40</v>
      </c>
      <c r="Q227" s="738"/>
      <c r="R227" s="738"/>
      <c r="S227" s="738"/>
      <c r="T227" s="738"/>
      <c r="U227" s="738"/>
      <c r="V227" s="739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740"/>
      <c r="B228" s="740"/>
      <c r="C228" s="740"/>
      <c r="D228" s="740"/>
      <c r="E228" s="740"/>
      <c r="F228" s="740"/>
      <c r="G228" s="740"/>
      <c r="H228" s="740"/>
      <c r="I228" s="740"/>
      <c r="J228" s="740"/>
      <c r="K228" s="740"/>
      <c r="L228" s="740"/>
      <c r="M228" s="740"/>
      <c r="N228" s="740"/>
      <c r="O228" s="741"/>
      <c r="P228" s="737" t="s">
        <v>40</v>
      </c>
      <c r="Q228" s="738"/>
      <c r="R228" s="738"/>
      <c r="S228" s="738"/>
      <c r="T228" s="738"/>
      <c r="U228" s="738"/>
      <c r="V228" s="739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731" t="s">
        <v>77</v>
      </c>
      <c r="B229" s="731"/>
      <c r="C229" s="731"/>
      <c r="D229" s="731"/>
      <c r="E229" s="731"/>
      <c r="F229" s="731"/>
      <c r="G229" s="731"/>
      <c r="H229" s="731"/>
      <c r="I229" s="731"/>
      <c r="J229" s="731"/>
      <c r="K229" s="731"/>
      <c r="L229" s="731"/>
      <c r="M229" s="731"/>
      <c r="N229" s="731"/>
      <c r="O229" s="731"/>
      <c r="P229" s="731"/>
      <c r="Q229" s="731"/>
      <c r="R229" s="731"/>
      <c r="S229" s="731"/>
      <c r="T229" s="731"/>
      <c r="U229" s="731"/>
      <c r="V229" s="731"/>
      <c r="W229" s="731"/>
      <c r="X229" s="731"/>
      <c r="Y229" s="731"/>
      <c r="Z229" s="731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2">
        <v>4680115880993</v>
      </c>
      <c r="E230" s="732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4"/>
      <c r="R230" s="734"/>
      <c r="S230" s="734"/>
      <c r="T230" s="735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2">
        <v>4680115881761</v>
      </c>
      <c r="E231" s="732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4"/>
      <c r="R231" s="734"/>
      <c r="S231" s="734"/>
      <c r="T231" s="735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2">
        <v>4680115881563</v>
      </c>
      <c r="E232" s="732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4"/>
      <c r="R232" s="734"/>
      <c r="S232" s="734"/>
      <c r="T232" s="735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2">
        <v>4680115887565</v>
      </c>
      <c r="E233" s="732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4"/>
      <c r="R233" s="734"/>
      <c r="S233" s="734"/>
      <c r="T233" s="735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2">
        <v>4680115880986</v>
      </c>
      <c r="E234" s="732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4"/>
      <c r="R234" s="734"/>
      <c r="S234" s="734"/>
      <c r="T234" s="735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732">
        <v>4680115887213</v>
      </c>
      <c r="E235" s="732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4"/>
      <c r="R235" s="734"/>
      <c r="S235" s="734"/>
      <c r="T235" s="735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2">
        <v>4680115881785</v>
      </c>
      <c r="E236" s="732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4"/>
      <c r="R236" s="734"/>
      <c r="S236" s="734"/>
      <c r="T236" s="735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732">
        <v>4680115888432</v>
      </c>
      <c r="E237" s="732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4"/>
      <c r="R237" s="734"/>
      <c r="S237" s="734"/>
      <c r="T237" s="735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732">
        <v>4680115888104</v>
      </c>
      <c r="E238" s="732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4"/>
      <c r="R238" s="734"/>
      <c r="S238" s="734"/>
      <c r="T238" s="735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732">
        <v>4680115886537</v>
      </c>
      <c r="E239" s="732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4"/>
      <c r="R239" s="734"/>
      <c r="S239" s="734"/>
      <c r="T239" s="735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2">
        <v>4680115887596</v>
      </c>
      <c r="E240" s="732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4"/>
      <c r="R240" s="734"/>
      <c r="S240" s="734"/>
      <c r="T240" s="735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2">
        <v>4680115881679</v>
      </c>
      <c r="E241" s="732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4"/>
      <c r="R241" s="734"/>
      <c r="S241" s="734"/>
      <c r="T241" s="735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732">
        <v>4680115880191</v>
      </c>
      <c r="E242" s="732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4"/>
      <c r="R242" s="734"/>
      <c r="S242" s="734"/>
      <c r="T242" s="735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732">
        <v>4680115883963</v>
      </c>
      <c r="E243" s="732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4"/>
      <c r="R243" s="734"/>
      <c r="S243" s="734"/>
      <c r="T243" s="735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0"/>
      <c r="B244" s="740"/>
      <c r="C244" s="740"/>
      <c r="D244" s="740"/>
      <c r="E244" s="740"/>
      <c r="F244" s="740"/>
      <c r="G244" s="740"/>
      <c r="H244" s="740"/>
      <c r="I244" s="740"/>
      <c r="J244" s="740"/>
      <c r="K244" s="740"/>
      <c r="L244" s="740"/>
      <c r="M244" s="740"/>
      <c r="N244" s="740"/>
      <c r="O244" s="741"/>
      <c r="P244" s="737" t="s">
        <v>40</v>
      </c>
      <c r="Q244" s="738"/>
      <c r="R244" s="738"/>
      <c r="S244" s="738"/>
      <c r="T244" s="738"/>
      <c r="U244" s="738"/>
      <c r="V244" s="739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740"/>
      <c r="B245" s="740"/>
      <c r="C245" s="740"/>
      <c r="D245" s="740"/>
      <c r="E245" s="740"/>
      <c r="F245" s="740"/>
      <c r="G245" s="740"/>
      <c r="H245" s="740"/>
      <c r="I245" s="740"/>
      <c r="J245" s="740"/>
      <c r="K245" s="740"/>
      <c r="L245" s="740"/>
      <c r="M245" s="740"/>
      <c r="N245" s="740"/>
      <c r="O245" s="741"/>
      <c r="P245" s="737" t="s">
        <v>40</v>
      </c>
      <c r="Q245" s="738"/>
      <c r="R245" s="738"/>
      <c r="S245" s="738"/>
      <c r="T245" s="738"/>
      <c r="U245" s="738"/>
      <c r="V245" s="739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731" t="s">
        <v>86</v>
      </c>
      <c r="B246" s="731"/>
      <c r="C246" s="731"/>
      <c r="D246" s="731"/>
      <c r="E246" s="731"/>
      <c r="F246" s="731"/>
      <c r="G246" s="731"/>
      <c r="H246" s="731"/>
      <c r="I246" s="731"/>
      <c r="J246" s="731"/>
      <c r="K246" s="731"/>
      <c r="L246" s="731"/>
      <c r="M246" s="731"/>
      <c r="N246" s="731"/>
      <c r="O246" s="731"/>
      <c r="P246" s="731"/>
      <c r="Q246" s="731"/>
      <c r="R246" s="731"/>
      <c r="S246" s="731"/>
      <c r="T246" s="731"/>
      <c r="U246" s="731"/>
      <c r="V246" s="731"/>
      <c r="W246" s="731"/>
      <c r="X246" s="731"/>
      <c r="Y246" s="731"/>
      <c r="Z246" s="731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2">
        <v>4680115888692</v>
      </c>
      <c r="E247" s="732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4"/>
      <c r="R247" s="734"/>
      <c r="S247" s="734"/>
      <c r="T247" s="735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2">
        <v>4680115888722</v>
      </c>
      <c r="E248" s="732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4"/>
      <c r="R248" s="734"/>
      <c r="S248" s="734"/>
      <c r="T248" s="735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732">
        <v>4680115888951</v>
      </c>
      <c r="E249" s="732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4"/>
      <c r="R249" s="734"/>
      <c r="S249" s="734"/>
      <c r="T249" s="735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732">
        <v>4680115888975</v>
      </c>
      <c r="E250" s="732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4"/>
      <c r="R250" s="734"/>
      <c r="S250" s="734"/>
      <c r="T250" s="735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732">
        <v>4680115888982</v>
      </c>
      <c r="E251" s="732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4"/>
      <c r="R251" s="734"/>
      <c r="S251" s="734"/>
      <c r="T251" s="735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40"/>
      <c r="B252" s="740"/>
      <c r="C252" s="740"/>
      <c r="D252" s="740"/>
      <c r="E252" s="740"/>
      <c r="F252" s="740"/>
      <c r="G252" s="740"/>
      <c r="H252" s="740"/>
      <c r="I252" s="740"/>
      <c r="J252" s="740"/>
      <c r="K252" s="740"/>
      <c r="L252" s="740"/>
      <c r="M252" s="740"/>
      <c r="N252" s="740"/>
      <c r="O252" s="741"/>
      <c r="P252" s="737" t="s">
        <v>40</v>
      </c>
      <c r="Q252" s="738"/>
      <c r="R252" s="738"/>
      <c r="S252" s="738"/>
      <c r="T252" s="738"/>
      <c r="U252" s="738"/>
      <c r="V252" s="739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740"/>
      <c r="B253" s="740"/>
      <c r="C253" s="740"/>
      <c r="D253" s="740"/>
      <c r="E253" s="740"/>
      <c r="F253" s="740"/>
      <c r="G253" s="740"/>
      <c r="H253" s="740"/>
      <c r="I253" s="740"/>
      <c r="J253" s="740"/>
      <c r="K253" s="740"/>
      <c r="L253" s="740"/>
      <c r="M253" s="740"/>
      <c r="N253" s="740"/>
      <c r="O253" s="741"/>
      <c r="P253" s="737" t="s">
        <v>40</v>
      </c>
      <c r="Q253" s="738"/>
      <c r="R253" s="738"/>
      <c r="S253" s="738"/>
      <c r="T253" s="738"/>
      <c r="U253" s="738"/>
      <c r="V253" s="739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731" t="s">
        <v>294</v>
      </c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1"/>
      <c r="P254" s="731"/>
      <c r="Q254" s="731"/>
      <c r="R254" s="731"/>
      <c r="S254" s="731"/>
      <c r="T254" s="731"/>
      <c r="U254" s="731"/>
      <c r="V254" s="731"/>
      <c r="W254" s="731"/>
      <c r="X254" s="731"/>
      <c r="Y254" s="731"/>
      <c r="Z254" s="731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732">
        <v>4680115886780</v>
      </c>
      <c r="E255" s="732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4"/>
      <c r="R255" s="734"/>
      <c r="S255" s="734"/>
      <c r="T255" s="735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732">
        <v>4680115886742</v>
      </c>
      <c r="E256" s="732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4"/>
      <c r="R256" s="734"/>
      <c r="S256" s="734"/>
      <c r="T256" s="735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732">
        <v>4680115886766</v>
      </c>
      <c r="E257" s="732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4"/>
      <c r="R257" s="734"/>
      <c r="S257" s="734"/>
      <c r="T257" s="735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40"/>
      <c r="B258" s="740"/>
      <c r="C258" s="740"/>
      <c r="D258" s="740"/>
      <c r="E258" s="740"/>
      <c r="F258" s="740"/>
      <c r="G258" s="740"/>
      <c r="H258" s="740"/>
      <c r="I258" s="740"/>
      <c r="J258" s="740"/>
      <c r="K258" s="740"/>
      <c r="L258" s="740"/>
      <c r="M258" s="740"/>
      <c r="N258" s="740"/>
      <c r="O258" s="741"/>
      <c r="P258" s="737" t="s">
        <v>40</v>
      </c>
      <c r="Q258" s="738"/>
      <c r="R258" s="738"/>
      <c r="S258" s="738"/>
      <c r="T258" s="738"/>
      <c r="U258" s="738"/>
      <c r="V258" s="739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740"/>
      <c r="B259" s="740"/>
      <c r="C259" s="740"/>
      <c r="D259" s="740"/>
      <c r="E259" s="740"/>
      <c r="F259" s="740"/>
      <c r="G259" s="740"/>
      <c r="H259" s="740"/>
      <c r="I259" s="740"/>
      <c r="J259" s="740"/>
      <c r="K259" s="740"/>
      <c r="L259" s="740"/>
      <c r="M259" s="740"/>
      <c r="N259" s="740"/>
      <c r="O259" s="741"/>
      <c r="P259" s="737" t="s">
        <v>40</v>
      </c>
      <c r="Q259" s="738"/>
      <c r="R259" s="738"/>
      <c r="S259" s="738"/>
      <c r="T259" s="738"/>
      <c r="U259" s="738"/>
      <c r="V259" s="739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731" t="s">
        <v>456</v>
      </c>
      <c r="B260" s="731"/>
      <c r="C260" s="731"/>
      <c r="D260" s="731"/>
      <c r="E260" s="731"/>
      <c r="F260" s="731"/>
      <c r="G260" s="731"/>
      <c r="H260" s="731"/>
      <c r="I260" s="731"/>
      <c r="J260" s="731"/>
      <c r="K260" s="731"/>
      <c r="L260" s="731"/>
      <c r="M260" s="731"/>
      <c r="N260" s="731"/>
      <c r="O260" s="731"/>
      <c r="P260" s="731"/>
      <c r="Q260" s="731"/>
      <c r="R260" s="731"/>
      <c r="S260" s="731"/>
      <c r="T260" s="731"/>
      <c r="U260" s="731"/>
      <c r="V260" s="731"/>
      <c r="W260" s="731"/>
      <c r="X260" s="731"/>
      <c r="Y260" s="731"/>
      <c r="Z260" s="731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732">
        <v>4680115886797</v>
      </c>
      <c r="E261" s="732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4"/>
      <c r="R261" s="734"/>
      <c r="S261" s="734"/>
      <c r="T261" s="735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40"/>
      <c r="B262" s="740"/>
      <c r="C262" s="740"/>
      <c r="D262" s="740"/>
      <c r="E262" s="740"/>
      <c r="F262" s="740"/>
      <c r="G262" s="740"/>
      <c r="H262" s="740"/>
      <c r="I262" s="740"/>
      <c r="J262" s="740"/>
      <c r="K262" s="740"/>
      <c r="L262" s="740"/>
      <c r="M262" s="740"/>
      <c r="N262" s="740"/>
      <c r="O262" s="741"/>
      <c r="P262" s="737" t="s">
        <v>40</v>
      </c>
      <c r="Q262" s="738"/>
      <c r="R262" s="738"/>
      <c r="S262" s="738"/>
      <c r="T262" s="738"/>
      <c r="U262" s="738"/>
      <c r="V262" s="739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740"/>
      <c r="B263" s="740"/>
      <c r="C263" s="740"/>
      <c r="D263" s="740"/>
      <c r="E263" s="740"/>
      <c r="F263" s="740"/>
      <c r="G263" s="740"/>
      <c r="H263" s="740"/>
      <c r="I263" s="740"/>
      <c r="J263" s="740"/>
      <c r="K263" s="740"/>
      <c r="L263" s="740"/>
      <c r="M263" s="740"/>
      <c r="N263" s="740"/>
      <c r="O263" s="741"/>
      <c r="P263" s="737" t="s">
        <v>40</v>
      </c>
      <c r="Q263" s="738"/>
      <c r="R263" s="738"/>
      <c r="S263" s="738"/>
      <c r="T263" s="738"/>
      <c r="U263" s="738"/>
      <c r="V263" s="739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730" t="s">
        <v>459</v>
      </c>
      <c r="B264" s="730"/>
      <c r="C264" s="730"/>
      <c r="D264" s="730"/>
      <c r="E264" s="730"/>
      <c r="F264" s="730"/>
      <c r="G264" s="730"/>
      <c r="H264" s="730"/>
      <c r="I264" s="730"/>
      <c r="J264" s="730"/>
      <c r="K264" s="730"/>
      <c r="L264" s="730"/>
      <c r="M264" s="730"/>
      <c r="N264" s="730"/>
      <c r="O264" s="730"/>
      <c r="P264" s="730"/>
      <c r="Q264" s="730"/>
      <c r="R264" s="730"/>
      <c r="S264" s="730"/>
      <c r="T264" s="730"/>
      <c r="U264" s="730"/>
      <c r="V264" s="730"/>
      <c r="W264" s="730"/>
      <c r="X264" s="730"/>
      <c r="Y264" s="730"/>
      <c r="Z264" s="730"/>
      <c r="AA264" s="65"/>
      <c r="AB264" s="65"/>
      <c r="AC264" s="79"/>
    </row>
    <row r="265" spans="1:68" ht="14.25" customHeight="1" x14ac:dyDescent="0.25">
      <c r="A265" s="731" t="s">
        <v>122</v>
      </c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1"/>
      <c r="P265" s="731"/>
      <c r="Q265" s="731"/>
      <c r="R265" s="731"/>
      <c r="S265" s="731"/>
      <c r="T265" s="731"/>
      <c r="U265" s="731"/>
      <c r="V265" s="731"/>
      <c r="W265" s="731"/>
      <c r="X265" s="731"/>
      <c r="Y265" s="731"/>
      <c r="Z265" s="731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732">
        <v>4680115881402</v>
      </c>
      <c r="E266" s="732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4"/>
      <c r="R266" s="734"/>
      <c r="S266" s="734"/>
      <c r="T266" s="735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732">
        <v>4680115881396</v>
      </c>
      <c r="E267" s="732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4"/>
      <c r="R267" s="734"/>
      <c r="S267" s="734"/>
      <c r="T267" s="735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40"/>
      <c r="B268" s="740"/>
      <c r="C268" s="740"/>
      <c r="D268" s="740"/>
      <c r="E268" s="740"/>
      <c r="F268" s="740"/>
      <c r="G268" s="740"/>
      <c r="H268" s="740"/>
      <c r="I268" s="740"/>
      <c r="J268" s="740"/>
      <c r="K268" s="740"/>
      <c r="L268" s="740"/>
      <c r="M268" s="740"/>
      <c r="N268" s="740"/>
      <c r="O268" s="741"/>
      <c r="P268" s="737" t="s">
        <v>40</v>
      </c>
      <c r="Q268" s="738"/>
      <c r="R268" s="738"/>
      <c r="S268" s="738"/>
      <c r="T268" s="738"/>
      <c r="U268" s="738"/>
      <c r="V268" s="739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40"/>
      <c r="B269" s="740"/>
      <c r="C269" s="740"/>
      <c r="D269" s="740"/>
      <c r="E269" s="740"/>
      <c r="F269" s="740"/>
      <c r="G269" s="740"/>
      <c r="H269" s="740"/>
      <c r="I269" s="740"/>
      <c r="J269" s="740"/>
      <c r="K269" s="740"/>
      <c r="L269" s="740"/>
      <c r="M269" s="740"/>
      <c r="N269" s="740"/>
      <c r="O269" s="741"/>
      <c r="P269" s="737" t="s">
        <v>40</v>
      </c>
      <c r="Q269" s="738"/>
      <c r="R269" s="738"/>
      <c r="S269" s="738"/>
      <c r="T269" s="738"/>
      <c r="U269" s="738"/>
      <c r="V269" s="739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31" t="s">
        <v>155</v>
      </c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1"/>
      <c r="P270" s="731"/>
      <c r="Q270" s="731"/>
      <c r="R270" s="731"/>
      <c r="S270" s="731"/>
      <c r="T270" s="731"/>
      <c r="U270" s="731"/>
      <c r="V270" s="731"/>
      <c r="W270" s="731"/>
      <c r="X270" s="731"/>
      <c r="Y270" s="731"/>
      <c r="Z270" s="731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732">
        <v>4680115882935</v>
      </c>
      <c r="E271" s="732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4"/>
      <c r="R271" s="734"/>
      <c r="S271" s="734"/>
      <c r="T271" s="735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732">
        <v>4680115880764</v>
      </c>
      <c r="E272" s="732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4"/>
      <c r="R272" s="734"/>
      <c r="S272" s="734"/>
      <c r="T272" s="735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740"/>
      <c r="B273" s="740"/>
      <c r="C273" s="740"/>
      <c r="D273" s="740"/>
      <c r="E273" s="740"/>
      <c r="F273" s="740"/>
      <c r="G273" s="740"/>
      <c r="H273" s="740"/>
      <c r="I273" s="740"/>
      <c r="J273" s="740"/>
      <c r="K273" s="740"/>
      <c r="L273" s="740"/>
      <c r="M273" s="740"/>
      <c r="N273" s="740"/>
      <c r="O273" s="741"/>
      <c r="P273" s="737" t="s">
        <v>40</v>
      </c>
      <c r="Q273" s="738"/>
      <c r="R273" s="738"/>
      <c r="S273" s="738"/>
      <c r="T273" s="738"/>
      <c r="U273" s="738"/>
      <c r="V273" s="739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740"/>
      <c r="B274" s="740"/>
      <c r="C274" s="740"/>
      <c r="D274" s="740"/>
      <c r="E274" s="740"/>
      <c r="F274" s="740"/>
      <c r="G274" s="740"/>
      <c r="H274" s="740"/>
      <c r="I274" s="740"/>
      <c r="J274" s="740"/>
      <c r="K274" s="740"/>
      <c r="L274" s="740"/>
      <c r="M274" s="740"/>
      <c r="N274" s="740"/>
      <c r="O274" s="741"/>
      <c r="P274" s="737" t="s">
        <v>40</v>
      </c>
      <c r="Q274" s="738"/>
      <c r="R274" s="738"/>
      <c r="S274" s="738"/>
      <c r="T274" s="738"/>
      <c r="U274" s="738"/>
      <c r="V274" s="739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731" t="s">
        <v>77</v>
      </c>
      <c r="B275" s="731"/>
      <c r="C275" s="731"/>
      <c r="D275" s="731"/>
      <c r="E275" s="731"/>
      <c r="F275" s="731"/>
      <c r="G275" s="731"/>
      <c r="H275" s="731"/>
      <c r="I275" s="731"/>
      <c r="J275" s="731"/>
      <c r="K275" s="731"/>
      <c r="L275" s="731"/>
      <c r="M275" s="731"/>
      <c r="N275" s="731"/>
      <c r="O275" s="731"/>
      <c r="P275" s="731"/>
      <c r="Q275" s="731"/>
      <c r="R275" s="731"/>
      <c r="S275" s="731"/>
      <c r="T275" s="731"/>
      <c r="U275" s="731"/>
      <c r="V275" s="731"/>
      <c r="W275" s="731"/>
      <c r="X275" s="731"/>
      <c r="Y275" s="731"/>
      <c r="Z275" s="731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2">
        <v>4680115882683</v>
      </c>
      <c r="E276" s="732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4"/>
      <c r="R276" s="734"/>
      <c r="S276" s="734"/>
      <c r="T276" s="735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2">
        <v>4680115882690</v>
      </c>
      <c r="E277" s="732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4"/>
      <c r="R277" s="734"/>
      <c r="S277" s="734"/>
      <c r="T277" s="735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2">
        <v>4680115882669</v>
      </c>
      <c r="E278" s="732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4"/>
      <c r="R278" s="734"/>
      <c r="S278" s="734"/>
      <c r="T278" s="735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2">
        <v>4680115882676</v>
      </c>
      <c r="E279" s="732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4"/>
      <c r="R279" s="734"/>
      <c r="S279" s="734"/>
      <c r="T279" s="735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2">
        <v>4680115884014</v>
      </c>
      <c r="E280" s="732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4"/>
      <c r="R280" s="734"/>
      <c r="S280" s="734"/>
      <c r="T280" s="735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2">
        <v>4680115884007</v>
      </c>
      <c r="E281" s="732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4"/>
      <c r="R281" s="734"/>
      <c r="S281" s="734"/>
      <c r="T281" s="735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2">
        <v>4680115884038</v>
      </c>
      <c r="E282" s="732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4"/>
      <c r="R282" s="734"/>
      <c r="S282" s="734"/>
      <c r="T282" s="735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2">
        <v>4680115884021</v>
      </c>
      <c r="E283" s="732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4"/>
      <c r="R283" s="734"/>
      <c r="S283" s="734"/>
      <c r="T283" s="735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0"/>
      <c r="B284" s="740"/>
      <c r="C284" s="740"/>
      <c r="D284" s="740"/>
      <c r="E284" s="740"/>
      <c r="F284" s="740"/>
      <c r="G284" s="740"/>
      <c r="H284" s="740"/>
      <c r="I284" s="740"/>
      <c r="J284" s="740"/>
      <c r="K284" s="740"/>
      <c r="L284" s="740"/>
      <c r="M284" s="740"/>
      <c r="N284" s="740"/>
      <c r="O284" s="741"/>
      <c r="P284" s="737" t="s">
        <v>40</v>
      </c>
      <c r="Q284" s="738"/>
      <c r="R284" s="738"/>
      <c r="S284" s="738"/>
      <c r="T284" s="738"/>
      <c r="U284" s="738"/>
      <c r="V284" s="739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740"/>
      <c r="B285" s="740"/>
      <c r="C285" s="740"/>
      <c r="D285" s="740"/>
      <c r="E285" s="740"/>
      <c r="F285" s="740"/>
      <c r="G285" s="740"/>
      <c r="H285" s="740"/>
      <c r="I285" s="740"/>
      <c r="J285" s="740"/>
      <c r="K285" s="740"/>
      <c r="L285" s="740"/>
      <c r="M285" s="740"/>
      <c r="N285" s="740"/>
      <c r="O285" s="741"/>
      <c r="P285" s="737" t="s">
        <v>40</v>
      </c>
      <c r="Q285" s="738"/>
      <c r="R285" s="738"/>
      <c r="S285" s="738"/>
      <c r="T285" s="738"/>
      <c r="U285" s="738"/>
      <c r="V285" s="739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customHeight="1" x14ac:dyDescent="0.25">
      <c r="A286" s="731" t="s">
        <v>86</v>
      </c>
      <c r="B286" s="731"/>
      <c r="C286" s="731"/>
      <c r="D286" s="731"/>
      <c r="E286" s="731"/>
      <c r="F286" s="731"/>
      <c r="G286" s="731"/>
      <c r="H286" s="731"/>
      <c r="I286" s="731"/>
      <c r="J286" s="731"/>
      <c r="K286" s="731"/>
      <c r="L286" s="731"/>
      <c r="M286" s="731"/>
      <c r="N286" s="731"/>
      <c r="O286" s="731"/>
      <c r="P286" s="731"/>
      <c r="Q286" s="731"/>
      <c r="R286" s="731"/>
      <c r="S286" s="731"/>
      <c r="T286" s="731"/>
      <c r="U286" s="731"/>
      <c r="V286" s="731"/>
      <c r="W286" s="731"/>
      <c r="X286" s="731"/>
      <c r="Y286" s="731"/>
      <c r="Z286" s="731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2">
        <v>4680115881594</v>
      </c>
      <c r="E287" s="732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8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4"/>
      <c r="R287" s="734"/>
      <c r="S287" s="734"/>
      <c r="T287" s="735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2">
        <v>4680115881617</v>
      </c>
      <c r="E288" s="732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4"/>
      <c r="R288" s="734"/>
      <c r="S288" s="734"/>
      <c r="T288" s="735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2">
        <v>4680115880573</v>
      </c>
      <c r="E289" s="732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4"/>
      <c r="R289" s="734"/>
      <c r="S289" s="734"/>
      <c r="T289" s="735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2">
        <v>4680115882195</v>
      </c>
      <c r="E290" s="732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4"/>
      <c r="R290" s="734"/>
      <c r="S290" s="734"/>
      <c r="T290" s="735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732">
        <v>4680115882607</v>
      </c>
      <c r="E291" s="732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4"/>
      <c r="R291" s="734"/>
      <c r="S291" s="734"/>
      <c r="T291" s="735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732">
        <v>4680115882607</v>
      </c>
      <c r="E292" s="732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4"/>
      <c r="R292" s="734"/>
      <c r="S292" s="734"/>
      <c r="T292" s="735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2">
        <v>4680115880092</v>
      </c>
      <c r="E293" s="732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4"/>
      <c r="R293" s="734"/>
      <c r="S293" s="734"/>
      <c r="T293" s="735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732">
        <v>4680115889064</v>
      </c>
      <c r="E294" s="732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4"/>
      <c r="R294" s="734"/>
      <c r="S294" s="734"/>
      <c r="T294" s="735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2">
        <v>4680115880221</v>
      </c>
      <c r="E295" s="732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4"/>
      <c r="R295" s="734"/>
      <c r="S295" s="734"/>
      <c r="T295" s="735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2">
        <v>4680115880504</v>
      </c>
      <c r="E296" s="732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4"/>
      <c r="R296" s="734"/>
      <c r="S296" s="734"/>
      <c r="T296" s="735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2">
        <v>4680115882164</v>
      </c>
      <c r="E297" s="732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4"/>
      <c r="R297" s="734"/>
      <c r="S297" s="734"/>
      <c r="T297" s="735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732">
        <v>4680115888340</v>
      </c>
      <c r="E298" s="732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4"/>
      <c r="R298" s="734"/>
      <c r="S298" s="734"/>
      <c r="T298" s="735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0"/>
      <c r="B299" s="740"/>
      <c r="C299" s="740"/>
      <c r="D299" s="740"/>
      <c r="E299" s="740"/>
      <c r="F299" s="740"/>
      <c r="G299" s="740"/>
      <c r="H299" s="740"/>
      <c r="I299" s="740"/>
      <c r="J299" s="740"/>
      <c r="K299" s="740"/>
      <c r="L299" s="740"/>
      <c r="M299" s="740"/>
      <c r="N299" s="740"/>
      <c r="O299" s="741"/>
      <c r="P299" s="737" t="s">
        <v>40</v>
      </c>
      <c r="Q299" s="738"/>
      <c r="R299" s="738"/>
      <c r="S299" s="738"/>
      <c r="T299" s="738"/>
      <c r="U299" s="738"/>
      <c r="V299" s="739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740"/>
      <c r="B300" s="740"/>
      <c r="C300" s="740"/>
      <c r="D300" s="740"/>
      <c r="E300" s="740"/>
      <c r="F300" s="740"/>
      <c r="G300" s="740"/>
      <c r="H300" s="740"/>
      <c r="I300" s="740"/>
      <c r="J300" s="740"/>
      <c r="K300" s="740"/>
      <c r="L300" s="740"/>
      <c r="M300" s="740"/>
      <c r="N300" s="740"/>
      <c r="O300" s="741"/>
      <c r="P300" s="737" t="s">
        <v>40</v>
      </c>
      <c r="Q300" s="738"/>
      <c r="R300" s="738"/>
      <c r="S300" s="738"/>
      <c r="T300" s="738"/>
      <c r="U300" s="738"/>
      <c r="V300" s="739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customHeight="1" x14ac:dyDescent="0.25">
      <c r="A301" s="731" t="s">
        <v>173</v>
      </c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1"/>
      <c r="P301" s="731"/>
      <c r="Q301" s="731"/>
      <c r="R301" s="731"/>
      <c r="S301" s="731"/>
      <c r="T301" s="731"/>
      <c r="U301" s="731"/>
      <c r="V301" s="731"/>
      <c r="W301" s="731"/>
      <c r="X301" s="731"/>
      <c r="Y301" s="731"/>
      <c r="Z301" s="731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2">
        <v>4680115880818</v>
      </c>
      <c r="E302" s="732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4"/>
      <c r="R302" s="734"/>
      <c r="S302" s="734"/>
      <c r="T302" s="735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2">
        <v>4680115880801</v>
      </c>
      <c r="E303" s="732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4"/>
      <c r="R303" s="734"/>
      <c r="S303" s="734"/>
      <c r="T303" s="735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740"/>
      <c r="B304" s="740"/>
      <c r="C304" s="740"/>
      <c r="D304" s="740"/>
      <c r="E304" s="740"/>
      <c r="F304" s="740"/>
      <c r="G304" s="740"/>
      <c r="H304" s="740"/>
      <c r="I304" s="740"/>
      <c r="J304" s="740"/>
      <c r="K304" s="740"/>
      <c r="L304" s="740"/>
      <c r="M304" s="740"/>
      <c r="N304" s="740"/>
      <c r="O304" s="741"/>
      <c r="P304" s="737" t="s">
        <v>40</v>
      </c>
      <c r="Q304" s="738"/>
      <c r="R304" s="738"/>
      <c r="S304" s="738"/>
      <c r="T304" s="738"/>
      <c r="U304" s="738"/>
      <c r="V304" s="739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740"/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1"/>
      <c r="P305" s="737" t="s">
        <v>40</v>
      </c>
      <c r="Q305" s="738"/>
      <c r="R305" s="738"/>
      <c r="S305" s="738"/>
      <c r="T305" s="738"/>
      <c r="U305" s="738"/>
      <c r="V305" s="739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730" t="s">
        <v>527</v>
      </c>
      <c r="B306" s="730"/>
      <c r="C306" s="730"/>
      <c r="D306" s="730"/>
      <c r="E306" s="730"/>
      <c r="F306" s="730"/>
      <c r="G306" s="730"/>
      <c r="H306" s="730"/>
      <c r="I306" s="730"/>
      <c r="J306" s="730"/>
      <c r="K306" s="730"/>
      <c r="L306" s="730"/>
      <c r="M306" s="730"/>
      <c r="N306" s="730"/>
      <c r="O306" s="730"/>
      <c r="P306" s="730"/>
      <c r="Q306" s="730"/>
      <c r="R306" s="730"/>
      <c r="S306" s="730"/>
      <c r="T306" s="730"/>
      <c r="U306" s="730"/>
      <c r="V306" s="730"/>
      <c r="W306" s="730"/>
      <c r="X306" s="730"/>
      <c r="Y306" s="730"/>
      <c r="Z306" s="730"/>
      <c r="AA306" s="65"/>
      <c r="AB306" s="65"/>
      <c r="AC306" s="79"/>
    </row>
    <row r="307" spans="1:68" ht="14.25" customHeight="1" x14ac:dyDescent="0.25">
      <c r="A307" s="731" t="s">
        <v>122</v>
      </c>
      <c r="B307" s="731"/>
      <c r="C307" s="731"/>
      <c r="D307" s="731"/>
      <c r="E307" s="731"/>
      <c r="F307" s="731"/>
      <c r="G307" s="731"/>
      <c r="H307" s="731"/>
      <c r="I307" s="731"/>
      <c r="J307" s="731"/>
      <c r="K307" s="731"/>
      <c r="L307" s="731"/>
      <c r="M307" s="731"/>
      <c r="N307" s="731"/>
      <c r="O307" s="731"/>
      <c r="P307" s="731"/>
      <c r="Q307" s="731"/>
      <c r="R307" s="731"/>
      <c r="S307" s="731"/>
      <c r="T307" s="731"/>
      <c r="U307" s="731"/>
      <c r="V307" s="731"/>
      <c r="W307" s="731"/>
      <c r="X307" s="731"/>
      <c r="Y307" s="731"/>
      <c r="Z307" s="731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732">
        <v>4680115884137</v>
      </c>
      <c r="E308" s="732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4"/>
      <c r="R308" s="734"/>
      <c r="S308" s="734"/>
      <c r="T308" s="735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732">
        <v>4680115884236</v>
      </c>
      <c r="E309" s="732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4"/>
      <c r="R309" s="734"/>
      <c r="S309" s="734"/>
      <c r="T309" s="735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732">
        <v>4680115884175</v>
      </c>
      <c r="E310" s="732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4"/>
      <c r="R310" s="734"/>
      <c r="S310" s="734"/>
      <c r="T310" s="735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732">
        <v>4680115884144</v>
      </c>
      <c r="E311" s="732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4"/>
      <c r="R311" s="734"/>
      <c r="S311" s="734"/>
      <c r="T311" s="735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732">
        <v>4680115886551</v>
      </c>
      <c r="E312" s="732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4"/>
      <c r="R312" s="734"/>
      <c r="S312" s="734"/>
      <c r="T312" s="735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732">
        <v>4680115887282</v>
      </c>
      <c r="E313" s="732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4"/>
      <c r="R313" s="734"/>
      <c r="S313" s="734"/>
      <c r="T313" s="735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2">
        <v>4680115884205</v>
      </c>
      <c r="E314" s="732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4"/>
      <c r="R314" s="734"/>
      <c r="S314" s="734"/>
      <c r="T314" s="735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740"/>
      <c r="B315" s="740"/>
      <c r="C315" s="740"/>
      <c r="D315" s="740"/>
      <c r="E315" s="740"/>
      <c r="F315" s="740"/>
      <c r="G315" s="740"/>
      <c r="H315" s="740"/>
      <c r="I315" s="740"/>
      <c r="J315" s="740"/>
      <c r="K315" s="740"/>
      <c r="L315" s="740"/>
      <c r="M315" s="740"/>
      <c r="N315" s="740"/>
      <c r="O315" s="741"/>
      <c r="P315" s="737" t="s">
        <v>40</v>
      </c>
      <c r="Q315" s="738"/>
      <c r="R315" s="738"/>
      <c r="S315" s="738"/>
      <c r="T315" s="738"/>
      <c r="U315" s="738"/>
      <c r="V315" s="739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740"/>
      <c r="B316" s="740"/>
      <c r="C316" s="740"/>
      <c r="D316" s="740"/>
      <c r="E316" s="740"/>
      <c r="F316" s="740"/>
      <c r="G316" s="740"/>
      <c r="H316" s="740"/>
      <c r="I316" s="740"/>
      <c r="J316" s="740"/>
      <c r="K316" s="740"/>
      <c r="L316" s="740"/>
      <c r="M316" s="740"/>
      <c r="N316" s="740"/>
      <c r="O316" s="741"/>
      <c r="P316" s="737" t="s">
        <v>40</v>
      </c>
      <c r="Q316" s="738"/>
      <c r="R316" s="738"/>
      <c r="S316" s="738"/>
      <c r="T316" s="738"/>
      <c r="U316" s="738"/>
      <c r="V316" s="739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731" t="s">
        <v>155</v>
      </c>
      <c r="B317" s="731"/>
      <c r="C317" s="731"/>
      <c r="D317" s="731"/>
      <c r="E317" s="731"/>
      <c r="F317" s="731"/>
      <c r="G317" s="731"/>
      <c r="H317" s="731"/>
      <c r="I317" s="731"/>
      <c r="J317" s="731"/>
      <c r="K317" s="731"/>
      <c r="L317" s="731"/>
      <c r="M317" s="731"/>
      <c r="N317" s="731"/>
      <c r="O317" s="731"/>
      <c r="P317" s="731"/>
      <c r="Q317" s="731"/>
      <c r="R317" s="731"/>
      <c r="S317" s="731"/>
      <c r="T317" s="731"/>
      <c r="U317" s="731"/>
      <c r="V317" s="731"/>
      <c r="W317" s="731"/>
      <c r="X317" s="731"/>
      <c r="Y317" s="731"/>
      <c r="Z317" s="731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732">
        <v>4680115885981</v>
      </c>
      <c r="E318" s="732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4"/>
      <c r="R318" s="734"/>
      <c r="S318" s="734"/>
      <c r="T318" s="735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40"/>
      <c r="B319" s="740"/>
      <c r="C319" s="740"/>
      <c r="D319" s="740"/>
      <c r="E319" s="740"/>
      <c r="F319" s="740"/>
      <c r="G319" s="740"/>
      <c r="H319" s="740"/>
      <c r="I319" s="740"/>
      <c r="J319" s="740"/>
      <c r="K319" s="740"/>
      <c r="L319" s="740"/>
      <c r="M319" s="740"/>
      <c r="N319" s="740"/>
      <c r="O319" s="741"/>
      <c r="P319" s="737" t="s">
        <v>40</v>
      </c>
      <c r="Q319" s="738"/>
      <c r="R319" s="738"/>
      <c r="S319" s="738"/>
      <c r="T319" s="738"/>
      <c r="U319" s="738"/>
      <c r="V319" s="739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40"/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1"/>
      <c r="P320" s="737" t="s">
        <v>40</v>
      </c>
      <c r="Q320" s="738"/>
      <c r="R320" s="738"/>
      <c r="S320" s="738"/>
      <c r="T320" s="738"/>
      <c r="U320" s="738"/>
      <c r="V320" s="739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31" t="s">
        <v>549</v>
      </c>
      <c r="B321" s="731"/>
      <c r="C321" s="731"/>
      <c r="D321" s="731"/>
      <c r="E321" s="731"/>
      <c r="F321" s="731"/>
      <c r="G321" s="731"/>
      <c r="H321" s="731"/>
      <c r="I321" s="731"/>
      <c r="J321" s="731"/>
      <c r="K321" s="731"/>
      <c r="L321" s="731"/>
      <c r="M321" s="731"/>
      <c r="N321" s="731"/>
      <c r="O321" s="731"/>
      <c r="P321" s="731"/>
      <c r="Q321" s="731"/>
      <c r="R321" s="731"/>
      <c r="S321" s="731"/>
      <c r="T321" s="731"/>
      <c r="U321" s="731"/>
      <c r="V321" s="731"/>
      <c r="W321" s="731"/>
      <c r="X321" s="731"/>
      <c r="Y321" s="731"/>
      <c r="Z321" s="731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732">
        <v>4680115886803</v>
      </c>
      <c r="E322" s="732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4"/>
      <c r="R322" s="734"/>
      <c r="S322" s="734"/>
      <c r="T322" s="735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40"/>
      <c r="B323" s="740"/>
      <c r="C323" s="740"/>
      <c r="D323" s="740"/>
      <c r="E323" s="740"/>
      <c r="F323" s="740"/>
      <c r="G323" s="740"/>
      <c r="H323" s="740"/>
      <c r="I323" s="740"/>
      <c r="J323" s="740"/>
      <c r="K323" s="740"/>
      <c r="L323" s="740"/>
      <c r="M323" s="740"/>
      <c r="N323" s="740"/>
      <c r="O323" s="741"/>
      <c r="P323" s="737" t="s">
        <v>40</v>
      </c>
      <c r="Q323" s="738"/>
      <c r="R323" s="738"/>
      <c r="S323" s="738"/>
      <c r="T323" s="738"/>
      <c r="U323" s="738"/>
      <c r="V323" s="739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40"/>
      <c r="B324" s="740"/>
      <c r="C324" s="740"/>
      <c r="D324" s="740"/>
      <c r="E324" s="740"/>
      <c r="F324" s="740"/>
      <c r="G324" s="740"/>
      <c r="H324" s="740"/>
      <c r="I324" s="740"/>
      <c r="J324" s="740"/>
      <c r="K324" s="740"/>
      <c r="L324" s="740"/>
      <c r="M324" s="740"/>
      <c r="N324" s="740"/>
      <c r="O324" s="741"/>
      <c r="P324" s="737" t="s">
        <v>40</v>
      </c>
      <c r="Q324" s="738"/>
      <c r="R324" s="738"/>
      <c r="S324" s="738"/>
      <c r="T324" s="738"/>
      <c r="U324" s="738"/>
      <c r="V324" s="739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731" t="s">
        <v>366</v>
      </c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1"/>
      <c r="P325" s="731"/>
      <c r="Q325" s="731"/>
      <c r="R325" s="731"/>
      <c r="S325" s="731"/>
      <c r="T325" s="731"/>
      <c r="U325" s="731"/>
      <c r="V325" s="731"/>
      <c r="W325" s="731"/>
      <c r="X325" s="731"/>
      <c r="Y325" s="731"/>
      <c r="Z325" s="731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732">
        <v>4680115886704</v>
      </c>
      <c r="E326" s="732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4"/>
      <c r="R326" s="734"/>
      <c r="S326" s="734"/>
      <c r="T326" s="735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732">
        <v>4680115886681</v>
      </c>
      <c r="E327" s="732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4"/>
      <c r="R327" s="734"/>
      <c r="S327" s="734"/>
      <c r="T327" s="735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732">
        <v>4680115886735</v>
      </c>
      <c r="E328" s="732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4"/>
      <c r="R328" s="734"/>
      <c r="S328" s="734"/>
      <c r="T328" s="735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40"/>
      <c r="B329" s="740"/>
      <c r="C329" s="740"/>
      <c r="D329" s="740"/>
      <c r="E329" s="740"/>
      <c r="F329" s="740"/>
      <c r="G329" s="740"/>
      <c r="H329" s="740"/>
      <c r="I329" s="740"/>
      <c r="J329" s="740"/>
      <c r="K329" s="740"/>
      <c r="L329" s="740"/>
      <c r="M329" s="740"/>
      <c r="N329" s="740"/>
      <c r="O329" s="741"/>
      <c r="P329" s="737" t="s">
        <v>40</v>
      </c>
      <c r="Q329" s="738"/>
      <c r="R329" s="738"/>
      <c r="S329" s="738"/>
      <c r="T329" s="738"/>
      <c r="U329" s="738"/>
      <c r="V329" s="739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40"/>
      <c r="B330" s="740"/>
      <c r="C330" s="740"/>
      <c r="D330" s="740"/>
      <c r="E330" s="740"/>
      <c r="F330" s="740"/>
      <c r="G330" s="740"/>
      <c r="H330" s="740"/>
      <c r="I330" s="740"/>
      <c r="J330" s="740"/>
      <c r="K330" s="740"/>
      <c r="L330" s="740"/>
      <c r="M330" s="740"/>
      <c r="N330" s="740"/>
      <c r="O330" s="741"/>
      <c r="P330" s="737" t="s">
        <v>40</v>
      </c>
      <c r="Q330" s="738"/>
      <c r="R330" s="738"/>
      <c r="S330" s="738"/>
      <c r="T330" s="738"/>
      <c r="U330" s="738"/>
      <c r="V330" s="739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730" t="s">
        <v>560</v>
      </c>
      <c r="B331" s="730"/>
      <c r="C331" s="730"/>
      <c r="D331" s="730"/>
      <c r="E331" s="730"/>
      <c r="F331" s="730"/>
      <c r="G331" s="730"/>
      <c r="H331" s="730"/>
      <c r="I331" s="730"/>
      <c r="J331" s="730"/>
      <c r="K331" s="730"/>
      <c r="L331" s="730"/>
      <c r="M331" s="730"/>
      <c r="N331" s="730"/>
      <c r="O331" s="730"/>
      <c r="P331" s="730"/>
      <c r="Q331" s="730"/>
      <c r="R331" s="730"/>
      <c r="S331" s="730"/>
      <c r="T331" s="730"/>
      <c r="U331" s="730"/>
      <c r="V331" s="730"/>
      <c r="W331" s="730"/>
      <c r="X331" s="730"/>
      <c r="Y331" s="730"/>
      <c r="Z331" s="730"/>
      <c r="AA331" s="65"/>
      <c r="AB331" s="65"/>
      <c r="AC331" s="79"/>
    </row>
    <row r="332" spans="1:68" ht="14.25" customHeight="1" x14ac:dyDescent="0.25">
      <c r="A332" s="731" t="s">
        <v>122</v>
      </c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1"/>
      <c r="P332" s="731"/>
      <c r="Q332" s="731"/>
      <c r="R332" s="731"/>
      <c r="S332" s="731"/>
      <c r="T332" s="731"/>
      <c r="U332" s="731"/>
      <c r="V332" s="731"/>
      <c r="W332" s="731"/>
      <c r="X332" s="731"/>
      <c r="Y332" s="731"/>
      <c r="Z332" s="731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2">
        <v>4680115885837</v>
      </c>
      <c r="E333" s="732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4"/>
      <c r="R333" s="734"/>
      <c r="S333" s="734"/>
      <c r="T333" s="735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732">
        <v>4680115887237</v>
      </c>
      <c r="E334" s="732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4"/>
      <c r="R334" s="734"/>
      <c r="S334" s="734"/>
      <c r="T334" s="735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2">
        <v>4680115885806</v>
      </c>
      <c r="E335" s="732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4"/>
      <c r="R335" s="734"/>
      <c r="S335" s="734"/>
      <c r="T335" s="735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2">
        <v>4680115885844</v>
      </c>
      <c r="E336" s="732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4"/>
      <c r="R336" s="734"/>
      <c r="S336" s="734"/>
      <c r="T336" s="735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732">
        <v>4680115885820</v>
      </c>
      <c r="E337" s="732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4"/>
      <c r="R337" s="734"/>
      <c r="S337" s="734"/>
      <c r="T337" s="735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0"/>
      <c r="B338" s="740"/>
      <c r="C338" s="740"/>
      <c r="D338" s="740"/>
      <c r="E338" s="740"/>
      <c r="F338" s="740"/>
      <c r="G338" s="740"/>
      <c r="H338" s="740"/>
      <c r="I338" s="740"/>
      <c r="J338" s="740"/>
      <c r="K338" s="740"/>
      <c r="L338" s="740"/>
      <c r="M338" s="740"/>
      <c r="N338" s="740"/>
      <c r="O338" s="741"/>
      <c r="P338" s="737" t="s">
        <v>40</v>
      </c>
      <c r="Q338" s="738"/>
      <c r="R338" s="738"/>
      <c r="S338" s="738"/>
      <c r="T338" s="738"/>
      <c r="U338" s="738"/>
      <c r="V338" s="739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40"/>
      <c r="B339" s="740"/>
      <c r="C339" s="740"/>
      <c r="D339" s="740"/>
      <c r="E339" s="740"/>
      <c r="F339" s="740"/>
      <c r="G339" s="740"/>
      <c r="H339" s="740"/>
      <c r="I339" s="740"/>
      <c r="J339" s="740"/>
      <c r="K339" s="740"/>
      <c r="L339" s="740"/>
      <c r="M339" s="740"/>
      <c r="N339" s="740"/>
      <c r="O339" s="741"/>
      <c r="P339" s="737" t="s">
        <v>40</v>
      </c>
      <c r="Q339" s="738"/>
      <c r="R339" s="738"/>
      <c r="S339" s="738"/>
      <c r="T339" s="738"/>
      <c r="U339" s="738"/>
      <c r="V339" s="739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730" t="s">
        <v>576</v>
      </c>
      <c r="B340" s="730"/>
      <c r="C340" s="730"/>
      <c r="D340" s="730"/>
      <c r="E340" s="730"/>
      <c r="F340" s="730"/>
      <c r="G340" s="730"/>
      <c r="H340" s="730"/>
      <c r="I340" s="730"/>
      <c r="J340" s="730"/>
      <c r="K340" s="730"/>
      <c r="L340" s="730"/>
      <c r="M340" s="730"/>
      <c r="N340" s="730"/>
      <c r="O340" s="730"/>
      <c r="P340" s="730"/>
      <c r="Q340" s="730"/>
      <c r="R340" s="730"/>
      <c r="S340" s="730"/>
      <c r="T340" s="730"/>
      <c r="U340" s="730"/>
      <c r="V340" s="730"/>
      <c r="W340" s="730"/>
      <c r="X340" s="730"/>
      <c r="Y340" s="730"/>
      <c r="Z340" s="730"/>
      <c r="AA340" s="65"/>
      <c r="AB340" s="65"/>
      <c r="AC340" s="79"/>
    </row>
    <row r="341" spans="1:68" ht="14.25" customHeight="1" x14ac:dyDescent="0.25">
      <c r="A341" s="731" t="s">
        <v>86</v>
      </c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1"/>
      <c r="P341" s="731"/>
      <c r="Q341" s="731"/>
      <c r="R341" s="731"/>
      <c r="S341" s="731"/>
      <c r="T341" s="731"/>
      <c r="U341" s="731"/>
      <c r="V341" s="731"/>
      <c r="W341" s="731"/>
      <c r="X341" s="731"/>
      <c r="Y341" s="731"/>
      <c r="Z341" s="731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732">
        <v>4680115886186</v>
      </c>
      <c r="E342" s="732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4"/>
      <c r="R342" s="734"/>
      <c r="S342" s="734"/>
      <c r="T342" s="735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2">
        <v>4680115881228</v>
      </c>
      <c r="E343" s="732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4"/>
      <c r="R343" s="734"/>
      <c r="S343" s="734"/>
      <c r="T343" s="735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2">
        <v>4680115881211</v>
      </c>
      <c r="E344" s="732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4"/>
      <c r="R344" s="734"/>
      <c r="S344" s="734"/>
      <c r="T344" s="735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40"/>
      <c r="B345" s="740"/>
      <c r="C345" s="740"/>
      <c r="D345" s="740"/>
      <c r="E345" s="740"/>
      <c r="F345" s="740"/>
      <c r="G345" s="740"/>
      <c r="H345" s="740"/>
      <c r="I345" s="740"/>
      <c r="J345" s="740"/>
      <c r="K345" s="740"/>
      <c r="L345" s="740"/>
      <c r="M345" s="740"/>
      <c r="N345" s="740"/>
      <c r="O345" s="741"/>
      <c r="P345" s="737" t="s">
        <v>40</v>
      </c>
      <c r="Q345" s="738"/>
      <c r="R345" s="738"/>
      <c r="S345" s="738"/>
      <c r="T345" s="738"/>
      <c r="U345" s="738"/>
      <c r="V345" s="739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40"/>
      <c r="B346" s="740"/>
      <c r="C346" s="740"/>
      <c r="D346" s="740"/>
      <c r="E346" s="740"/>
      <c r="F346" s="740"/>
      <c r="G346" s="740"/>
      <c r="H346" s="740"/>
      <c r="I346" s="740"/>
      <c r="J346" s="740"/>
      <c r="K346" s="740"/>
      <c r="L346" s="740"/>
      <c r="M346" s="740"/>
      <c r="N346" s="740"/>
      <c r="O346" s="741"/>
      <c r="P346" s="737" t="s">
        <v>40</v>
      </c>
      <c r="Q346" s="738"/>
      <c r="R346" s="738"/>
      <c r="S346" s="738"/>
      <c r="T346" s="738"/>
      <c r="U346" s="738"/>
      <c r="V346" s="739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730" t="s">
        <v>585</v>
      </c>
      <c r="B347" s="730"/>
      <c r="C347" s="730"/>
      <c r="D347" s="730"/>
      <c r="E347" s="730"/>
      <c r="F347" s="730"/>
      <c r="G347" s="730"/>
      <c r="H347" s="730"/>
      <c r="I347" s="730"/>
      <c r="J347" s="730"/>
      <c r="K347" s="730"/>
      <c r="L347" s="730"/>
      <c r="M347" s="730"/>
      <c r="N347" s="730"/>
      <c r="O347" s="730"/>
      <c r="P347" s="730"/>
      <c r="Q347" s="730"/>
      <c r="R347" s="730"/>
      <c r="S347" s="730"/>
      <c r="T347" s="730"/>
      <c r="U347" s="730"/>
      <c r="V347" s="730"/>
      <c r="W347" s="730"/>
      <c r="X347" s="730"/>
      <c r="Y347" s="730"/>
      <c r="Z347" s="730"/>
      <c r="AA347" s="65"/>
      <c r="AB347" s="65"/>
      <c r="AC347" s="79"/>
    </row>
    <row r="348" spans="1:68" ht="14.25" customHeight="1" x14ac:dyDescent="0.25">
      <c r="A348" s="731" t="s">
        <v>77</v>
      </c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1"/>
      <c r="P348" s="731"/>
      <c r="Q348" s="731"/>
      <c r="R348" s="731"/>
      <c r="S348" s="731"/>
      <c r="T348" s="731"/>
      <c r="U348" s="731"/>
      <c r="V348" s="731"/>
      <c r="W348" s="731"/>
      <c r="X348" s="731"/>
      <c r="Y348" s="731"/>
      <c r="Z348" s="731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732">
        <v>4680115888319</v>
      </c>
      <c r="E349" s="732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4"/>
      <c r="R349" s="734"/>
      <c r="S349" s="734"/>
      <c r="T349" s="735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732">
        <v>4680115884700</v>
      </c>
      <c r="E350" s="732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4"/>
      <c r="R350" s="734"/>
      <c r="S350" s="734"/>
      <c r="T350" s="735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732">
        <v>4680115880344</v>
      </c>
      <c r="E351" s="732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4"/>
      <c r="R351" s="734"/>
      <c r="S351" s="734"/>
      <c r="T351" s="735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732">
        <v>4680115886919</v>
      </c>
      <c r="E352" s="732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4"/>
      <c r="R352" s="734"/>
      <c r="S352" s="734"/>
      <c r="T352" s="735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732">
        <v>4680115883970</v>
      </c>
      <c r="E353" s="732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4"/>
      <c r="R353" s="734"/>
      <c r="S353" s="734"/>
      <c r="T353" s="735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40"/>
      <c r="B354" s="740"/>
      <c r="C354" s="740"/>
      <c r="D354" s="740"/>
      <c r="E354" s="740"/>
      <c r="F354" s="740"/>
      <c r="G354" s="740"/>
      <c r="H354" s="740"/>
      <c r="I354" s="740"/>
      <c r="J354" s="740"/>
      <c r="K354" s="740"/>
      <c r="L354" s="740"/>
      <c r="M354" s="740"/>
      <c r="N354" s="740"/>
      <c r="O354" s="741"/>
      <c r="P354" s="737" t="s">
        <v>40</v>
      </c>
      <c r="Q354" s="738"/>
      <c r="R354" s="738"/>
      <c r="S354" s="738"/>
      <c r="T354" s="738"/>
      <c r="U354" s="738"/>
      <c r="V354" s="739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740"/>
      <c r="B355" s="740"/>
      <c r="C355" s="740"/>
      <c r="D355" s="740"/>
      <c r="E355" s="740"/>
      <c r="F355" s="740"/>
      <c r="G355" s="740"/>
      <c r="H355" s="740"/>
      <c r="I355" s="740"/>
      <c r="J355" s="740"/>
      <c r="K355" s="740"/>
      <c r="L355" s="740"/>
      <c r="M355" s="740"/>
      <c r="N355" s="740"/>
      <c r="O355" s="741"/>
      <c r="P355" s="737" t="s">
        <v>40</v>
      </c>
      <c r="Q355" s="738"/>
      <c r="R355" s="738"/>
      <c r="S355" s="738"/>
      <c r="T355" s="738"/>
      <c r="U355" s="738"/>
      <c r="V355" s="739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731" t="s">
        <v>86</v>
      </c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1"/>
      <c r="P356" s="731"/>
      <c r="Q356" s="731"/>
      <c r="R356" s="731"/>
      <c r="S356" s="731"/>
      <c r="T356" s="731"/>
      <c r="U356" s="731"/>
      <c r="V356" s="731"/>
      <c r="W356" s="731"/>
      <c r="X356" s="731"/>
      <c r="Y356" s="731"/>
      <c r="Z356" s="731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732">
        <v>4680115884618</v>
      </c>
      <c r="E357" s="732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4"/>
      <c r="R357" s="734"/>
      <c r="S357" s="734"/>
      <c r="T357" s="735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732">
        <v>4680115887114</v>
      </c>
      <c r="E358" s="732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4"/>
      <c r="R358" s="734"/>
      <c r="S358" s="734"/>
      <c r="T358" s="735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40"/>
      <c r="B359" s="740"/>
      <c r="C359" s="740"/>
      <c r="D359" s="740"/>
      <c r="E359" s="740"/>
      <c r="F359" s="740"/>
      <c r="G359" s="740"/>
      <c r="H359" s="740"/>
      <c r="I359" s="740"/>
      <c r="J359" s="740"/>
      <c r="K359" s="740"/>
      <c r="L359" s="740"/>
      <c r="M359" s="740"/>
      <c r="N359" s="740"/>
      <c r="O359" s="741"/>
      <c r="P359" s="737" t="s">
        <v>40</v>
      </c>
      <c r="Q359" s="738"/>
      <c r="R359" s="738"/>
      <c r="S359" s="738"/>
      <c r="T359" s="738"/>
      <c r="U359" s="738"/>
      <c r="V359" s="739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740"/>
      <c r="B360" s="740"/>
      <c r="C360" s="740"/>
      <c r="D360" s="740"/>
      <c r="E360" s="740"/>
      <c r="F360" s="740"/>
      <c r="G360" s="740"/>
      <c r="H360" s="740"/>
      <c r="I360" s="740"/>
      <c r="J360" s="740"/>
      <c r="K360" s="740"/>
      <c r="L360" s="740"/>
      <c r="M360" s="740"/>
      <c r="N360" s="740"/>
      <c r="O360" s="741"/>
      <c r="P360" s="737" t="s">
        <v>40</v>
      </c>
      <c r="Q360" s="738"/>
      <c r="R360" s="738"/>
      <c r="S360" s="738"/>
      <c r="T360" s="738"/>
      <c r="U360" s="738"/>
      <c r="V360" s="739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730" t="s">
        <v>606</v>
      </c>
      <c r="B361" s="730"/>
      <c r="C361" s="730"/>
      <c r="D361" s="730"/>
      <c r="E361" s="730"/>
      <c r="F361" s="730"/>
      <c r="G361" s="730"/>
      <c r="H361" s="730"/>
      <c r="I361" s="730"/>
      <c r="J361" s="730"/>
      <c r="K361" s="730"/>
      <c r="L361" s="730"/>
      <c r="M361" s="730"/>
      <c r="N361" s="730"/>
      <c r="O361" s="730"/>
      <c r="P361" s="730"/>
      <c r="Q361" s="730"/>
      <c r="R361" s="730"/>
      <c r="S361" s="730"/>
      <c r="T361" s="730"/>
      <c r="U361" s="730"/>
      <c r="V361" s="730"/>
      <c r="W361" s="730"/>
      <c r="X361" s="730"/>
      <c r="Y361" s="730"/>
      <c r="Z361" s="730"/>
      <c r="AA361" s="65"/>
      <c r="AB361" s="65"/>
      <c r="AC361" s="79"/>
    </row>
    <row r="362" spans="1:68" ht="14.25" customHeight="1" x14ac:dyDescent="0.25">
      <c r="A362" s="731" t="s">
        <v>122</v>
      </c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1"/>
      <c r="P362" s="731"/>
      <c r="Q362" s="731"/>
      <c r="R362" s="731"/>
      <c r="S362" s="731"/>
      <c r="T362" s="731"/>
      <c r="U362" s="731"/>
      <c r="V362" s="731"/>
      <c r="W362" s="731"/>
      <c r="X362" s="731"/>
      <c r="Y362" s="731"/>
      <c r="Z362" s="731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2">
        <v>4680115887947</v>
      </c>
      <c r="E363" s="732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4"/>
      <c r="R363" s="734"/>
      <c r="S363" s="734"/>
      <c r="T363" s="735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2">
        <v>4680115887978</v>
      </c>
      <c r="E364" s="732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4"/>
      <c r="R364" s="734"/>
      <c r="S364" s="734"/>
      <c r="T364" s="735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2">
        <v>4680115887992</v>
      </c>
      <c r="E365" s="732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4"/>
      <c r="R365" s="734"/>
      <c r="S365" s="734"/>
      <c r="T365" s="735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0"/>
      <c r="B366" s="740"/>
      <c r="C366" s="740"/>
      <c r="D366" s="740"/>
      <c r="E366" s="740"/>
      <c r="F366" s="740"/>
      <c r="G366" s="740"/>
      <c r="H366" s="740"/>
      <c r="I366" s="740"/>
      <c r="J366" s="740"/>
      <c r="K366" s="740"/>
      <c r="L366" s="740"/>
      <c r="M366" s="740"/>
      <c r="N366" s="740"/>
      <c r="O366" s="741"/>
      <c r="P366" s="737" t="s">
        <v>40</v>
      </c>
      <c r="Q366" s="738"/>
      <c r="R366" s="738"/>
      <c r="S366" s="738"/>
      <c r="T366" s="738"/>
      <c r="U366" s="738"/>
      <c r="V366" s="739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40"/>
      <c r="B367" s="740"/>
      <c r="C367" s="740"/>
      <c r="D367" s="740"/>
      <c r="E367" s="740"/>
      <c r="F367" s="740"/>
      <c r="G367" s="740"/>
      <c r="H367" s="740"/>
      <c r="I367" s="740"/>
      <c r="J367" s="740"/>
      <c r="K367" s="740"/>
      <c r="L367" s="740"/>
      <c r="M367" s="740"/>
      <c r="N367" s="740"/>
      <c r="O367" s="741"/>
      <c r="P367" s="737" t="s">
        <v>40</v>
      </c>
      <c r="Q367" s="738"/>
      <c r="R367" s="738"/>
      <c r="S367" s="738"/>
      <c r="T367" s="738"/>
      <c r="U367" s="738"/>
      <c r="V367" s="739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customHeight="1" x14ac:dyDescent="0.25">
      <c r="A368" s="730" t="s">
        <v>615</v>
      </c>
      <c r="B368" s="730"/>
      <c r="C368" s="730"/>
      <c r="D368" s="730"/>
      <c r="E368" s="730"/>
      <c r="F368" s="730"/>
      <c r="G368" s="730"/>
      <c r="H368" s="730"/>
      <c r="I368" s="730"/>
      <c r="J368" s="730"/>
      <c r="K368" s="730"/>
      <c r="L368" s="730"/>
      <c r="M368" s="730"/>
      <c r="N368" s="730"/>
      <c r="O368" s="730"/>
      <c r="P368" s="730"/>
      <c r="Q368" s="730"/>
      <c r="R368" s="730"/>
      <c r="S368" s="730"/>
      <c r="T368" s="730"/>
      <c r="U368" s="730"/>
      <c r="V368" s="730"/>
      <c r="W368" s="730"/>
      <c r="X368" s="730"/>
      <c r="Y368" s="730"/>
      <c r="Z368" s="730"/>
      <c r="AA368" s="65"/>
      <c r="AB368" s="65"/>
      <c r="AC368" s="79"/>
    </row>
    <row r="369" spans="1:68" ht="14.25" customHeight="1" x14ac:dyDescent="0.25">
      <c r="A369" s="731" t="s">
        <v>122</v>
      </c>
      <c r="B369" s="731"/>
      <c r="C369" s="731"/>
      <c r="D369" s="731"/>
      <c r="E369" s="731"/>
      <c r="F369" s="731"/>
      <c r="G369" s="731"/>
      <c r="H369" s="731"/>
      <c r="I369" s="731"/>
      <c r="J369" s="731"/>
      <c r="K369" s="731"/>
      <c r="L369" s="731"/>
      <c r="M369" s="731"/>
      <c r="N369" s="731"/>
      <c r="O369" s="731"/>
      <c r="P369" s="731"/>
      <c r="Q369" s="731"/>
      <c r="R369" s="731"/>
      <c r="S369" s="731"/>
      <c r="T369" s="731"/>
      <c r="U369" s="731"/>
      <c r="V369" s="731"/>
      <c r="W369" s="731"/>
      <c r="X369" s="731"/>
      <c r="Y369" s="731"/>
      <c r="Z369" s="731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4301012235</v>
      </c>
      <c r="D370" s="732">
        <v>4680115887190</v>
      </c>
      <c r="E370" s="732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34"/>
      <c r="R370" s="734"/>
      <c r="S370" s="734"/>
      <c r="T370" s="735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619</v>
      </c>
      <c r="B371" s="63" t="s">
        <v>620</v>
      </c>
      <c r="C371" s="36">
        <v>4301012233</v>
      </c>
      <c r="D371" s="732">
        <v>4680115887138</v>
      </c>
      <c r="E371" s="732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734"/>
      <c r="R371" s="734"/>
      <c r="S371" s="734"/>
      <c r="T371" s="735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4301012016</v>
      </c>
      <c r="D372" s="732">
        <v>4680115885554</v>
      </c>
      <c r="E372" s="732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90</v>
      </c>
      <c r="N372" s="38"/>
      <c r="O372" s="37">
        <v>55</v>
      </c>
      <c r="P372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734"/>
      <c r="R372" s="734"/>
      <c r="S372" s="734"/>
      <c r="T372" s="735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4301012236</v>
      </c>
      <c r="D373" s="732">
        <v>4680115887220</v>
      </c>
      <c r="E373" s="732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134</v>
      </c>
      <c r="L373" s="37" t="s">
        <v>46</v>
      </c>
      <c r="M373" s="38" t="s">
        <v>126</v>
      </c>
      <c r="N373" s="38"/>
      <c r="O373" s="37">
        <v>55</v>
      </c>
      <c r="P373" s="9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734"/>
      <c r="R373" s="734"/>
      <c r="S373" s="734"/>
      <c r="T373" s="735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618</v>
      </c>
      <c r="AG373" s="78"/>
      <c r="AJ373" s="84" t="s">
        <v>46</v>
      </c>
      <c r="AK373" s="84">
        <v>0</v>
      </c>
      <c r="BB373" s="479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4301011859</v>
      </c>
      <c r="D374" s="732">
        <v>4680115885608</v>
      </c>
      <c r="E374" s="732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734"/>
      <c r="R374" s="734"/>
      <c r="S374" s="734"/>
      <c r="T374" s="735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629</v>
      </c>
      <c r="AG374" s="78"/>
      <c r="AJ374" s="84" t="s">
        <v>46</v>
      </c>
      <c r="AK374" s="84">
        <v>0</v>
      </c>
      <c r="BB374" s="481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740"/>
      <c r="B375" s="740"/>
      <c r="C375" s="740"/>
      <c r="D375" s="740"/>
      <c r="E375" s="740"/>
      <c r="F375" s="740"/>
      <c r="G375" s="740"/>
      <c r="H375" s="740"/>
      <c r="I375" s="740"/>
      <c r="J375" s="740"/>
      <c r="K375" s="740"/>
      <c r="L375" s="740"/>
      <c r="M375" s="740"/>
      <c r="N375" s="740"/>
      <c r="O375" s="741"/>
      <c r="P375" s="737" t="s">
        <v>40</v>
      </c>
      <c r="Q375" s="738"/>
      <c r="R375" s="738"/>
      <c r="S375" s="738"/>
      <c r="T375" s="738"/>
      <c r="U375" s="738"/>
      <c r="V375" s="739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740"/>
      <c r="B376" s="740"/>
      <c r="C376" s="740"/>
      <c r="D376" s="740"/>
      <c r="E376" s="740"/>
      <c r="F376" s="740"/>
      <c r="G376" s="740"/>
      <c r="H376" s="740"/>
      <c r="I376" s="740"/>
      <c r="J376" s="740"/>
      <c r="K376" s="740"/>
      <c r="L376" s="740"/>
      <c r="M376" s="740"/>
      <c r="N376" s="740"/>
      <c r="O376" s="741"/>
      <c r="P376" s="737" t="s">
        <v>40</v>
      </c>
      <c r="Q376" s="738"/>
      <c r="R376" s="738"/>
      <c r="S376" s="738"/>
      <c r="T376" s="738"/>
      <c r="U376" s="738"/>
      <c r="V376" s="739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customHeight="1" x14ac:dyDescent="0.25">
      <c r="A377" s="731" t="s">
        <v>77</v>
      </c>
      <c r="B377" s="731"/>
      <c r="C377" s="731"/>
      <c r="D377" s="731"/>
      <c r="E377" s="731"/>
      <c r="F377" s="731"/>
      <c r="G377" s="731"/>
      <c r="H377" s="731"/>
      <c r="I377" s="731"/>
      <c r="J377" s="731"/>
      <c r="K377" s="731"/>
      <c r="L377" s="731"/>
      <c r="M377" s="731"/>
      <c r="N377" s="731"/>
      <c r="O377" s="731"/>
      <c r="P377" s="731"/>
      <c r="Q377" s="731"/>
      <c r="R377" s="731"/>
      <c r="S377" s="731"/>
      <c r="T377" s="731"/>
      <c r="U377" s="731"/>
      <c r="V377" s="731"/>
      <c r="W377" s="731"/>
      <c r="X377" s="731"/>
      <c r="Y377" s="731"/>
      <c r="Z377" s="731"/>
      <c r="AA377" s="66"/>
      <c r="AB377" s="66"/>
      <c r="AC377" s="80"/>
    </row>
    <row r="378" spans="1:68" ht="27" customHeight="1" x14ac:dyDescent="0.25">
      <c r="A378" s="63" t="s">
        <v>630</v>
      </c>
      <c r="B378" s="63" t="s">
        <v>631</v>
      </c>
      <c r="C378" s="36">
        <v>4301030878</v>
      </c>
      <c r="D378" s="732">
        <v>4607091387193</v>
      </c>
      <c r="E378" s="732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35</v>
      </c>
      <c r="P378" s="9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734"/>
      <c r="R378" s="734"/>
      <c r="S378" s="734"/>
      <c r="T378" s="735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customHeight="1" x14ac:dyDescent="0.25">
      <c r="A379" s="63" t="s">
        <v>633</v>
      </c>
      <c r="B379" s="63" t="s">
        <v>634</v>
      </c>
      <c r="C379" s="36">
        <v>4301031153</v>
      </c>
      <c r="D379" s="732">
        <v>4607091387230</v>
      </c>
      <c r="E379" s="732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40</v>
      </c>
      <c r="P379" s="9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734"/>
      <c r="R379" s="734"/>
      <c r="S379" s="734"/>
      <c r="T379" s="735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4301031154</v>
      </c>
      <c r="D380" s="732">
        <v>4607091387292</v>
      </c>
      <c r="E380" s="732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734"/>
      <c r="R380" s="734"/>
      <c r="S380" s="734"/>
      <c r="T380" s="735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4301031152</v>
      </c>
      <c r="D381" s="732">
        <v>4607091387285</v>
      </c>
      <c r="E381" s="732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82</v>
      </c>
      <c r="L381" s="37" t="s">
        <v>46</v>
      </c>
      <c r="M381" s="38" t="s">
        <v>81</v>
      </c>
      <c r="N381" s="38"/>
      <c r="O381" s="37">
        <v>40</v>
      </c>
      <c r="P381" s="9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734"/>
      <c r="R381" s="734"/>
      <c r="S381" s="734"/>
      <c r="T381" s="735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635</v>
      </c>
      <c r="AG381" s="78"/>
      <c r="AJ381" s="84" t="s">
        <v>46</v>
      </c>
      <c r="AK381" s="84">
        <v>0</v>
      </c>
      <c r="BB381" s="489" t="s">
        <v>67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4301031305</v>
      </c>
      <c r="D382" s="732">
        <v>4607091389845</v>
      </c>
      <c r="E382" s="732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734"/>
      <c r="R382" s="734"/>
      <c r="S382" s="734"/>
      <c r="T382" s="735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643</v>
      </c>
      <c r="AG382" s="78"/>
      <c r="AJ382" s="84" t="s">
        <v>46</v>
      </c>
      <c r="AK382" s="84">
        <v>0</v>
      </c>
      <c r="BB382" s="491" t="s">
        <v>67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4301031460</v>
      </c>
      <c r="D383" s="732">
        <v>4680115887442</v>
      </c>
      <c r="E383" s="732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134</v>
      </c>
      <c r="L383" s="37" t="s">
        <v>46</v>
      </c>
      <c r="M383" s="38" t="s">
        <v>81</v>
      </c>
      <c r="N383" s="38"/>
      <c r="O383" s="37">
        <v>45</v>
      </c>
      <c r="P383" s="9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734"/>
      <c r="R383" s="734"/>
      <c r="S383" s="734"/>
      <c r="T383" s="735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638</v>
      </c>
      <c r="AG383" s="78"/>
      <c r="AJ383" s="84" t="s">
        <v>46</v>
      </c>
      <c r="AK383" s="84">
        <v>0</v>
      </c>
      <c r="BB383" s="493" t="s">
        <v>67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4301031066</v>
      </c>
      <c r="D384" s="732">
        <v>4607091383836</v>
      </c>
      <c r="E384" s="732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91</v>
      </c>
      <c r="L384" s="37" t="s">
        <v>46</v>
      </c>
      <c r="M384" s="38" t="s">
        <v>81</v>
      </c>
      <c r="N384" s="38"/>
      <c r="O384" s="37">
        <v>40</v>
      </c>
      <c r="P384" s="9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734"/>
      <c r="R384" s="734"/>
      <c r="S384" s="734"/>
      <c r="T384" s="735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648</v>
      </c>
      <c r="AG384" s="78"/>
      <c r="AJ384" s="84" t="s">
        <v>46</v>
      </c>
      <c r="AK384" s="84">
        <v>0</v>
      </c>
      <c r="BB384" s="495" t="s">
        <v>67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x14ac:dyDescent="0.2">
      <c r="A385" s="740"/>
      <c r="B385" s="740"/>
      <c r="C385" s="740"/>
      <c r="D385" s="740"/>
      <c r="E385" s="740"/>
      <c r="F385" s="740"/>
      <c r="G385" s="740"/>
      <c r="H385" s="740"/>
      <c r="I385" s="740"/>
      <c r="J385" s="740"/>
      <c r="K385" s="740"/>
      <c r="L385" s="740"/>
      <c r="M385" s="740"/>
      <c r="N385" s="740"/>
      <c r="O385" s="741"/>
      <c r="P385" s="737" t="s">
        <v>40</v>
      </c>
      <c r="Q385" s="738"/>
      <c r="R385" s="738"/>
      <c r="S385" s="738"/>
      <c r="T385" s="738"/>
      <c r="U385" s="738"/>
      <c r="V385" s="739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740"/>
      <c r="B386" s="740"/>
      <c r="C386" s="740"/>
      <c r="D386" s="740"/>
      <c r="E386" s="740"/>
      <c r="F386" s="740"/>
      <c r="G386" s="740"/>
      <c r="H386" s="740"/>
      <c r="I386" s="740"/>
      <c r="J386" s="740"/>
      <c r="K386" s="740"/>
      <c r="L386" s="740"/>
      <c r="M386" s="740"/>
      <c r="N386" s="740"/>
      <c r="O386" s="741"/>
      <c r="P386" s="737" t="s">
        <v>40</v>
      </c>
      <c r="Q386" s="738"/>
      <c r="R386" s="738"/>
      <c r="S386" s="738"/>
      <c r="T386" s="738"/>
      <c r="U386" s="738"/>
      <c r="V386" s="739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customHeight="1" x14ac:dyDescent="0.25">
      <c r="A387" s="731" t="s">
        <v>86</v>
      </c>
      <c r="B387" s="731"/>
      <c r="C387" s="731"/>
      <c r="D387" s="731"/>
      <c r="E387" s="731"/>
      <c r="F387" s="731"/>
      <c r="G387" s="731"/>
      <c r="H387" s="731"/>
      <c r="I387" s="731"/>
      <c r="J387" s="731"/>
      <c r="K387" s="731"/>
      <c r="L387" s="731"/>
      <c r="M387" s="731"/>
      <c r="N387" s="731"/>
      <c r="O387" s="731"/>
      <c r="P387" s="731"/>
      <c r="Q387" s="731"/>
      <c r="R387" s="731"/>
      <c r="S387" s="731"/>
      <c r="T387" s="731"/>
      <c r="U387" s="731"/>
      <c r="V387" s="731"/>
      <c r="W387" s="731"/>
      <c r="X387" s="731"/>
      <c r="Y387" s="731"/>
      <c r="Z387" s="731"/>
      <c r="AA387" s="66"/>
      <c r="AB387" s="66"/>
      <c r="AC387" s="80"/>
    </row>
    <row r="388" spans="1:68" ht="27" customHeight="1" x14ac:dyDescent="0.25">
      <c r="A388" s="63" t="s">
        <v>649</v>
      </c>
      <c r="B388" s="63" t="s">
        <v>650</v>
      </c>
      <c r="C388" s="36">
        <v>4301051100</v>
      </c>
      <c r="D388" s="732">
        <v>4607091387766</v>
      </c>
      <c r="E388" s="732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734"/>
      <c r="R388" s="734"/>
      <c r="S388" s="734"/>
      <c r="T388" s="735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651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4301051818</v>
      </c>
      <c r="D389" s="732">
        <v>4607091387957</v>
      </c>
      <c r="E389" s="732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734"/>
      <c r="R389" s="734"/>
      <c r="S389" s="734"/>
      <c r="T389" s="735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4301051819</v>
      </c>
      <c r="D390" s="732">
        <v>4607091387964</v>
      </c>
      <c r="E390" s="732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734"/>
      <c r="R390" s="734"/>
      <c r="S390" s="734"/>
      <c r="T390" s="735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4301051734</v>
      </c>
      <c r="D391" s="732">
        <v>4680115884588</v>
      </c>
      <c r="E391" s="732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91</v>
      </c>
      <c r="L391" s="37" t="s">
        <v>46</v>
      </c>
      <c r="M391" s="38" t="s">
        <v>90</v>
      </c>
      <c r="N391" s="38"/>
      <c r="O391" s="37">
        <v>40</v>
      </c>
      <c r="P391" s="9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734"/>
      <c r="R391" s="734"/>
      <c r="S391" s="734"/>
      <c r="T391" s="735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651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40"/>
      <c r="B392" s="740"/>
      <c r="C392" s="740"/>
      <c r="D392" s="740"/>
      <c r="E392" s="740"/>
      <c r="F392" s="740"/>
      <c r="G392" s="740"/>
      <c r="H392" s="740"/>
      <c r="I392" s="740"/>
      <c r="J392" s="740"/>
      <c r="K392" s="740"/>
      <c r="L392" s="740"/>
      <c r="M392" s="740"/>
      <c r="N392" s="740"/>
      <c r="O392" s="741"/>
      <c r="P392" s="737" t="s">
        <v>40</v>
      </c>
      <c r="Q392" s="738"/>
      <c r="R392" s="738"/>
      <c r="S392" s="738"/>
      <c r="T392" s="738"/>
      <c r="U392" s="738"/>
      <c r="V392" s="739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40"/>
      <c r="B393" s="740"/>
      <c r="C393" s="740"/>
      <c r="D393" s="740"/>
      <c r="E393" s="740"/>
      <c r="F393" s="740"/>
      <c r="G393" s="740"/>
      <c r="H393" s="740"/>
      <c r="I393" s="740"/>
      <c r="J393" s="740"/>
      <c r="K393" s="740"/>
      <c r="L393" s="740"/>
      <c r="M393" s="740"/>
      <c r="N393" s="740"/>
      <c r="O393" s="741"/>
      <c r="P393" s="737" t="s">
        <v>40</v>
      </c>
      <c r="Q393" s="738"/>
      <c r="R393" s="738"/>
      <c r="S393" s="738"/>
      <c r="T393" s="738"/>
      <c r="U393" s="738"/>
      <c r="V393" s="739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customHeight="1" x14ac:dyDescent="0.25">
      <c r="A394" s="731" t="s">
        <v>173</v>
      </c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1"/>
      <c r="P394" s="731"/>
      <c r="Q394" s="731"/>
      <c r="R394" s="731"/>
      <c r="S394" s="731"/>
      <c r="T394" s="731"/>
      <c r="U394" s="731"/>
      <c r="V394" s="731"/>
      <c r="W394" s="731"/>
      <c r="X394" s="731"/>
      <c r="Y394" s="731"/>
      <c r="Z394" s="731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4301060387</v>
      </c>
      <c r="D395" s="732">
        <v>4607091380880</v>
      </c>
      <c r="E395" s="732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90</v>
      </c>
      <c r="N395" s="38"/>
      <c r="O395" s="37">
        <v>30</v>
      </c>
      <c r="P395" s="9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734"/>
      <c r="R395" s="734"/>
      <c r="S395" s="734"/>
      <c r="T395" s="735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662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4301060406</v>
      </c>
      <c r="D396" s="732">
        <v>4607091384482</v>
      </c>
      <c r="E396" s="732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734"/>
      <c r="R396" s="734"/>
      <c r="S396" s="734"/>
      <c r="T396" s="735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4301060484</v>
      </c>
      <c r="D397" s="732">
        <v>4607091380897</v>
      </c>
      <c r="E397" s="732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127</v>
      </c>
      <c r="L397" s="37" t="s">
        <v>46</v>
      </c>
      <c r="M397" s="38" t="s">
        <v>97</v>
      </c>
      <c r="N397" s="38"/>
      <c r="O397" s="37">
        <v>30</v>
      </c>
      <c r="P397" s="9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734"/>
      <c r="R397" s="734"/>
      <c r="S397" s="734"/>
      <c r="T397" s="735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740"/>
      <c r="B398" s="740"/>
      <c r="C398" s="740"/>
      <c r="D398" s="740"/>
      <c r="E398" s="740"/>
      <c r="F398" s="740"/>
      <c r="G398" s="740"/>
      <c r="H398" s="740"/>
      <c r="I398" s="740"/>
      <c r="J398" s="740"/>
      <c r="K398" s="740"/>
      <c r="L398" s="740"/>
      <c r="M398" s="740"/>
      <c r="N398" s="740"/>
      <c r="O398" s="741"/>
      <c r="P398" s="737" t="s">
        <v>40</v>
      </c>
      <c r="Q398" s="738"/>
      <c r="R398" s="738"/>
      <c r="S398" s="738"/>
      <c r="T398" s="738"/>
      <c r="U398" s="738"/>
      <c r="V398" s="739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740"/>
      <c r="B399" s="740"/>
      <c r="C399" s="740"/>
      <c r="D399" s="740"/>
      <c r="E399" s="740"/>
      <c r="F399" s="740"/>
      <c r="G399" s="740"/>
      <c r="H399" s="740"/>
      <c r="I399" s="740"/>
      <c r="J399" s="740"/>
      <c r="K399" s="740"/>
      <c r="L399" s="740"/>
      <c r="M399" s="740"/>
      <c r="N399" s="740"/>
      <c r="O399" s="741"/>
      <c r="P399" s="737" t="s">
        <v>40</v>
      </c>
      <c r="Q399" s="738"/>
      <c r="R399" s="738"/>
      <c r="S399" s="738"/>
      <c r="T399" s="738"/>
      <c r="U399" s="738"/>
      <c r="V399" s="739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customHeight="1" x14ac:dyDescent="0.25">
      <c r="A400" s="731" t="s">
        <v>294</v>
      </c>
      <c r="B400" s="731"/>
      <c r="C400" s="731"/>
      <c r="D400" s="731"/>
      <c r="E400" s="731"/>
      <c r="F400" s="731"/>
      <c r="G400" s="731"/>
      <c r="H400" s="731"/>
      <c r="I400" s="731"/>
      <c r="J400" s="731"/>
      <c r="K400" s="731"/>
      <c r="L400" s="731"/>
      <c r="M400" s="731"/>
      <c r="N400" s="731"/>
      <c r="O400" s="731"/>
      <c r="P400" s="731"/>
      <c r="Q400" s="731"/>
      <c r="R400" s="731"/>
      <c r="S400" s="731"/>
      <c r="T400" s="731"/>
      <c r="U400" s="731"/>
      <c r="V400" s="731"/>
      <c r="W400" s="731"/>
      <c r="X400" s="731"/>
      <c r="Y400" s="731"/>
      <c r="Z400" s="731"/>
      <c r="AA400" s="66"/>
      <c r="AB400" s="66"/>
      <c r="AC400" s="80"/>
    </row>
    <row r="401" spans="1:68" ht="27" customHeight="1" x14ac:dyDescent="0.25">
      <c r="A401" s="63" t="s">
        <v>669</v>
      </c>
      <c r="B401" s="63" t="s">
        <v>670</v>
      </c>
      <c r="C401" s="36">
        <v>4301030235</v>
      </c>
      <c r="D401" s="732">
        <v>4607091388381</v>
      </c>
      <c r="E401" s="732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134</v>
      </c>
      <c r="L401" s="37" t="s">
        <v>46</v>
      </c>
      <c r="M401" s="38" t="s">
        <v>269</v>
      </c>
      <c r="N401" s="38"/>
      <c r="O401" s="37">
        <v>180</v>
      </c>
      <c r="P401" s="9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734"/>
      <c r="R401" s="734"/>
      <c r="S401" s="734"/>
      <c r="T401" s="735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671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672</v>
      </c>
      <c r="B402" s="63" t="s">
        <v>673</v>
      </c>
      <c r="C402" s="36">
        <v>4301030232</v>
      </c>
      <c r="D402" s="732">
        <v>4607091388374</v>
      </c>
      <c r="E402" s="732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734"/>
      <c r="R402" s="734"/>
      <c r="S402" s="734"/>
      <c r="T402" s="735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671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4301032015</v>
      </c>
      <c r="D403" s="732">
        <v>4607091383102</v>
      </c>
      <c r="E403" s="732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91</v>
      </c>
      <c r="L403" s="37" t="s">
        <v>46</v>
      </c>
      <c r="M403" s="38" t="s">
        <v>269</v>
      </c>
      <c r="N403" s="38"/>
      <c r="O403" s="37">
        <v>180</v>
      </c>
      <c r="P403" s="9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734"/>
      <c r="R403" s="734"/>
      <c r="S403" s="734"/>
      <c r="T403" s="735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671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4301030233</v>
      </c>
      <c r="D404" s="732">
        <v>4607091388404</v>
      </c>
      <c r="E404" s="732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734"/>
      <c r="R404" s="734"/>
      <c r="S404" s="734"/>
      <c r="T404" s="735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671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40"/>
      <c r="B405" s="740"/>
      <c r="C405" s="740"/>
      <c r="D405" s="740"/>
      <c r="E405" s="740"/>
      <c r="F405" s="740"/>
      <c r="G405" s="740"/>
      <c r="H405" s="740"/>
      <c r="I405" s="740"/>
      <c r="J405" s="740"/>
      <c r="K405" s="740"/>
      <c r="L405" s="740"/>
      <c r="M405" s="740"/>
      <c r="N405" s="740"/>
      <c r="O405" s="741"/>
      <c r="P405" s="737" t="s">
        <v>40</v>
      </c>
      <c r="Q405" s="738"/>
      <c r="R405" s="738"/>
      <c r="S405" s="738"/>
      <c r="T405" s="738"/>
      <c r="U405" s="738"/>
      <c r="V405" s="739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40"/>
      <c r="B406" s="740"/>
      <c r="C406" s="740"/>
      <c r="D406" s="740"/>
      <c r="E406" s="740"/>
      <c r="F406" s="740"/>
      <c r="G406" s="740"/>
      <c r="H406" s="740"/>
      <c r="I406" s="740"/>
      <c r="J406" s="740"/>
      <c r="K406" s="740"/>
      <c r="L406" s="740"/>
      <c r="M406" s="740"/>
      <c r="N406" s="740"/>
      <c r="O406" s="741"/>
      <c r="P406" s="737" t="s">
        <v>40</v>
      </c>
      <c r="Q406" s="738"/>
      <c r="R406" s="738"/>
      <c r="S406" s="738"/>
      <c r="T406" s="738"/>
      <c r="U406" s="738"/>
      <c r="V406" s="739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customHeight="1" x14ac:dyDescent="0.25">
      <c r="A407" s="731" t="s">
        <v>678</v>
      </c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1"/>
      <c r="P407" s="731"/>
      <c r="Q407" s="731"/>
      <c r="R407" s="731"/>
      <c r="S407" s="731"/>
      <c r="T407" s="731"/>
      <c r="U407" s="731"/>
      <c r="V407" s="731"/>
      <c r="W407" s="731"/>
      <c r="X407" s="731"/>
      <c r="Y407" s="731"/>
      <c r="Z407" s="731"/>
      <c r="AA407" s="66"/>
      <c r="AB407" s="66"/>
      <c r="AC407" s="80"/>
    </row>
    <row r="408" spans="1:68" ht="16.5" customHeight="1" x14ac:dyDescent="0.25">
      <c r="A408" s="63" t="s">
        <v>679</v>
      </c>
      <c r="B408" s="63" t="s">
        <v>680</v>
      </c>
      <c r="C408" s="36">
        <v>4301180007</v>
      </c>
      <c r="D408" s="732">
        <v>4680115881808</v>
      </c>
      <c r="E408" s="732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682</v>
      </c>
      <c r="N408" s="38"/>
      <c r="O408" s="37">
        <v>731</v>
      </c>
      <c r="P408" s="95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734"/>
      <c r="R408" s="734"/>
      <c r="S408" s="734"/>
      <c r="T408" s="735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681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683</v>
      </c>
      <c r="B409" s="63" t="s">
        <v>684</v>
      </c>
      <c r="C409" s="36">
        <v>4301180006</v>
      </c>
      <c r="D409" s="732">
        <v>4680115881822</v>
      </c>
      <c r="E409" s="732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682</v>
      </c>
      <c r="N409" s="38"/>
      <c r="O409" s="37">
        <v>731</v>
      </c>
      <c r="P409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734"/>
      <c r="R409" s="734"/>
      <c r="S409" s="734"/>
      <c r="T409" s="735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681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4301180001</v>
      </c>
      <c r="D410" s="732">
        <v>4680115880016</v>
      </c>
      <c r="E410" s="732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682</v>
      </c>
      <c r="N410" s="38"/>
      <c r="O410" s="37">
        <v>731</v>
      </c>
      <c r="P410" s="95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734"/>
      <c r="R410" s="734"/>
      <c r="S410" s="734"/>
      <c r="T410" s="735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681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40"/>
      <c r="B411" s="740"/>
      <c r="C411" s="740"/>
      <c r="D411" s="740"/>
      <c r="E411" s="740"/>
      <c r="F411" s="740"/>
      <c r="G411" s="740"/>
      <c r="H411" s="740"/>
      <c r="I411" s="740"/>
      <c r="J411" s="740"/>
      <c r="K411" s="740"/>
      <c r="L411" s="740"/>
      <c r="M411" s="740"/>
      <c r="N411" s="740"/>
      <c r="O411" s="741"/>
      <c r="P411" s="737" t="s">
        <v>40</v>
      </c>
      <c r="Q411" s="738"/>
      <c r="R411" s="738"/>
      <c r="S411" s="738"/>
      <c r="T411" s="738"/>
      <c r="U411" s="738"/>
      <c r="V411" s="73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40"/>
      <c r="B412" s="740"/>
      <c r="C412" s="740"/>
      <c r="D412" s="740"/>
      <c r="E412" s="740"/>
      <c r="F412" s="740"/>
      <c r="G412" s="740"/>
      <c r="H412" s="740"/>
      <c r="I412" s="740"/>
      <c r="J412" s="740"/>
      <c r="K412" s="740"/>
      <c r="L412" s="740"/>
      <c r="M412" s="740"/>
      <c r="N412" s="740"/>
      <c r="O412" s="741"/>
      <c r="P412" s="737" t="s">
        <v>40</v>
      </c>
      <c r="Q412" s="738"/>
      <c r="R412" s="738"/>
      <c r="S412" s="738"/>
      <c r="T412" s="738"/>
      <c r="U412" s="738"/>
      <c r="V412" s="73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customHeight="1" x14ac:dyDescent="0.25">
      <c r="A413" s="731" t="s">
        <v>687</v>
      </c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1"/>
      <c r="P413" s="731"/>
      <c r="Q413" s="731"/>
      <c r="R413" s="731"/>
      <c r="S413" s="731"/>
      <c r="T413" s="731"/>
      <c r="U413" s="731"/>
      <c r="V413" s="731"/>
      <c r="W413" s="731"/>
      <c r="X413" s="731"/>
      <c r="Y413" s="731"/>
      <c r="Z413" s="731"/>
      <c r="AA413" s="66"/>
      <c r="AB413" s="66"/>
      <c r="AC413" s="80"/>
    </row>
    <row r="414" spans="1:68" ht="27" customHeight="1" x14ac:dyDescent="0.25">
      <c r="A414" s="63" t="s">
        <v>688</v>
      </c>
      <c r="B414" s="63" t="s">
        <v>689</v>
      </c>
      <c r="C414" s="36">
        <v>4301220003</v>
      </c>
      <c r="D414" s="732">
        <v>4680115888678</v>
      </c>
      <c r="E414" s="732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682</v>
      </c>
      <c r="N414" s="38"/>
      <c r="O414" s="37">
        <v>1096</v>
      </c>
      <c r="P414" s="95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734"/>
      <c r="R414" s="734"/>
      <c r="S414" s="734"/>
      <c r="T414" s="735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690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691</v>
      </c>
      <c r="B415" s="63" t="s">
        <v>692</v>
      </c>
      <c r="C415" s="36">
        <v>4301220001</v>
      </c>
      <c r="D415" s="732">
        <v>4680115888654</v>
      </c>
      <c r="E415" s="732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134</v>
      </c>
      <c r="L415" s="37" t="s">
        <v>46</v>
      </c>
      <c r="M415" s="38" t="s">
        <v>682</v>
      </c>
      <c r="N415" s="38"/>
      <c r="O415" s="37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734"/>
      <c r="R415" s="734"/>
      <c r="S415" s="734"/>
      <c r="T415" s="735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4301220002</v>
      </c>
      <c r="D416" s="732">
        <v>4680115888753</v>
      </c>
      <c r="E416" s="732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91</v>
      </c>
      <c r="L416" s="37" t="s">
        <v>46</v>
      </c>
      <c r="M416" s="38" t="s">
        <v>682</v>
      </c>
      <c r="N416" s="38"/>
      <c r="O416" s="37">
        <v>1096</v>
      </c>
      <c r="P416" s="96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734"/>
      <c r="R416" s="734"/>
      <c r="S416" s="734"/>
      <c r="T416" s="735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690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740"/>
      <c r="B417" s="740"/>
      <c r="C417" s="740"/>
      <c r="D417" s="740"/>
      <c r="E417" s="740"/>
      <c r="F417" s="740"/>
      <c r="G417" s="740"/>
      <c r="H417" s="740"/>
      <c r="I417" s="740"/>
      <c r="J417" s="740"/>
      <c r="K417" s="740"/>
      <c r="L417" s="740"/>
      <c r="M417" s="740"/>
      <c r="N417" s="740"/>
      <c r="O417" s="741"/>
      <c r="P417" s="737" t="s">
        <v>40</v>
      </c>
      <c r="Q417" s="738"/>
      <c r="R417" s="738"/>
      <c r="S417" s="738"/>
      <c r="T417" s="738"/>
      <c r="U417" s="738"/>
      <c r="V417" s="739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740"/>
      <c r="B418" s="740"/>
      <c r="C418" s="740"/>
      <c r="D418" s="740"/>
      <c r="E418" s="740"/>
      <c r="F418" s="740"/>
      <c r="G418" s="740"/>
      <c r="H418" s="740"/>
      <c r="I418" s="740"/>
      <c r="J418" s="740"/>
      <c r="K418" s="740"/>
      <c r="L418" s="740"/>
      <c r="M418" s="740"/>
      <c r="N418" s="740"/>
      <c r="O418" s="741"/>
      <c r="P418" s="737" t="s">
        <v>40</v>
      </c>
      <c r="Q418" s="738"/>
      <c r="R418" s="738"/>
      <c r="S418" s="738"/>
      <c r="T418" s="738"/>
      <c r="U418" s="738"/>
      <c r="V418" s="739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730" t="s">
        <v>696</v>
      </c>
      <c r="B419" s="730"/>
      <c r="C419" s="730"/>
      <c r="D419" s="730"/>
      <c r="E419" s="730"/>
      <c r="F419" s="730"/>
      <c r="G419" s="730"/>
      <c r="H419" s="730"/>
      <c r="I419" s="730"/>
      <c r="J419" s="730"/>
      <c r="K419" s="730"/>
      <c r="L419" s="730"/>
      <c r="M419" s="730"/>
      <c r="N419" s="730"/>
      <c r="O419" s="730"/>
      <c r="P419" s="730"/>
      <c r="Q419" s="730"/>
      <c r="R419" s="730"/>
      <c r="S419" s="730"/>
      <c r="T419" s="730"/>
      <c r="U419" s="730"/>
      <c r="V419" s="730"/>
      <c r="W419" s="730"/>
      <c r="X419" s="730"/>
      <c r="Y419" s="730"/>
      <c r="Z419" s="730"/>
      <c r="AA419" s="65"/>
      <c r="AB419" s="65"/>
      <c r="AC419" s="79"/>
    </row>
    <row r="420" spans="1:68" ht="14.25" customHeight="1" x14ac:dyDescent="0.25">
      <c r="A420" s="731" t="s">
        <v>86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6"/>
      <c r="AB420" s="66"/>
      <c r="AC420" s="80"/>
    </row>
    <row r="421" spans="1:68" ht="16.5" customHeight="1" x14ac:dyDescent="0.25">
      <c r="A421" s="63" t="s">
        <v>697</v>
      </c>
      <c r="B421" s="63" t="s">
        <v>698</v>
      </c>
      <c r="C421" s="36">
        <v>4301052235</v>
      </c>
      <c r="D421" s="732">
        <v>4680115889415</v>
      </c>
      <c r="E421" s="732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127</v>
      </c>
      <c r="L421" s="37" t="s">
        <v>46</v>
      </c>
      <c r="M421" s="38" t="s">
        <v>90</v>
      </c>
      <c r="N421" s="38"/>
      <c r="O421" s="37">
        <v>40</v>
      </c>
      <c r="P421" s="96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734"/>
      <c r="R421" s="734"/>
      <c r="S421" s="734"/>
      <c r="T421" s="735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699</v>
      </c>
      <c r="AG421" s="78"/>
      <c r="AJ421" s="84" t="s">
        <v>46</v>
      </c>
      <c r="AK421" s="84">
        <v>0</v>
      </c>
      <c r="BB421" s="53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700</v>
      </c>
      <c r="B422" s="63" t="s">
        <v>701</v>
      </c>
      <c r="C422" s="36">
        <v>4301052236</v>
      </c>
      <c r="D422" s="732">
        <v>4680115889422</v>
      </c>
      <c r="E422" s="732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734"/>
      <c r="R422" s="734"/>
      <c r="S422" s="734"/>
      <c r="T422" s="735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740"/>
      <c r="B423" s="740"/>
      <c r="C423" s="740"/>
      <c r="D423" s="740"/>
      <c r="E423" s="740"/>
      <c r="F423" s="740"/>
      <c r="G423" s="740"/>
      <c r="H423" s="740"/>
      <c r="I423" s="740"/>
      <c r="J423" s="740"/>
      <c r="K423" s="740"/>
      <c r="L423" s="740"/>
      <c r="M423" s="740"/>
      <c r="N423" s="740"/>
      <c r="O423" s="741"/>
      <c r="P423" s="737" t="s">
        <v>40</v>
      </c>
      <c r="Q423" s="738"/>
      <c r="R423" s="738"/>
      <c r="S423" s="738"/>
      <c r="T423" s="738"/>
      <c r="U423" s="738"/>
      <c r="V423" s="739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x14ac:dyDescent="0.2">
      <c r="A424" s="740"/>
      <c r="B424" s="740"/>
      <c r="C424" s="740"/>
      <c r="D424" s="740"/>
      <c r="E424" s="740"/>
      <c r="F424" s="740"/>
      <c r="G424" s="740"/>
      <c r="H424" s="740"/>
      <c r="I424" s="740"/>
      <c r="J424" s="740"/>
      <c r="K424" s="740"/>
      <c r="L424" s="740"/>
      <c r="M424" s="740"/>
      <c r="N424" s="740"/>
      <c r="O424" s="741"/>
      <c r="P424" s="737" t="s">
        <v>40</v>
      </c>
      <c r="Q424" s="738"/>
      <c r="R424" s="738"/>
      <c r="S424" s="738"/>
      <c r="T424" s="738"/>
      <c r="U424" s="738"/>
      <c r="V424" s="739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customHeight="1" x14ac:dyDescent="0.25">
      <c r="A425" s="730" t="s">
        <v>703</v>
      </c>
      <c r="B425" s="730"/>
      <c r="C425" s="730"/>
      <c r="D425" s="730"/>
      <c r="E425" s="730"/>
      <c r="F425" s="730"/>
      <c r="G425" s="730"/>
      <c r="H425" s="730"/>
      <c r="I425" s="730"/>
      <c r="J425" s="730"/>
      <c r="K425" s="730"/>
      <c r="L425" s="730"/>
      <c r="M425" s="730"/>
      <c r="N425" s="730"/>
      <c r="O425" s="730"/>
      <c r="P425" s="730"/>
      <c r="Q425" s="730"/>
      <c r="R425" s="730"/>
      <c r="S425" s="730"/>
      <c r="T425" s="730"/>
      <c r="U425" s="730"/>
      <c r="V425" s="730"/>
      <c r="W425" s="730"/>
      <c r="X425" s="730"/>
      <c r="Y425" s="730"/>
      <c r="Z425" s="730"/>
      <c r="AA425" s="65"/>
      <c r="AB425" s="65"/>
      <c r="AC425" s="79"/>
    </row>
    <row r="426" spans="1:68" ht="14.25" customHeight="1" x14ac:dyDescent="0.25">
      <c r="A426" s="731" t="s">
        <v>86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4301051489</v>
      </c>
      <c r="D427" s="732">
        <v>4607091387919</v>
      </c>
      <c r="E427" s="732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127</v>
      </c>
      <c r="L427" s="37" t="s">
        <v>46</v>
      </c>
      <c r="M427" s="38" t="s">
        <v>97</v>
      </c>
      <c r="N427" s="38"/>
      <c r="O427" s="37">
        <v>45</v>
      </c>
      <c r="P427" s="96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734"/>
      <c r="R427" s="734"/>
      <c r="S427" s="734"/>
      <c r="T427" s="735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706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4301051461</v>
      </c>
      <c r="D428" s="732">
        <v>4680115883604</v>
      </c>
      <c r="E428" s="732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91</v>
      </c>
      <c r="L428" s="37" t="s">
        <v>46</v>
      </c>
      <c r="M428" s="38" t="s">
        <v>90</v>
      </c>
      <c r="N428" s="38"/>
      <c r="O428" s="37">
        <v>45</v>
      </c>
      <c r="P428" s="96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734"/>
      <c r="R428" s="734"/>
      <c r="S428" s="734"/>
      <c r="T428" s="735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4301051864</v>
      </c>
      <c r="D429" s="732">
        <v>4680115883567</v>
      </c>
      <c r="E429" s="732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91</v>
      </c>
      <c r="L429" s="37" t="s">
        <v>46</v>
      </c>
      <c r="M429" s="38" t="s">
        <v>97</v>
      </c>
      <c r="N429" s="38"/>
      <c r="O429" s="37">
        <v>40</v>
      </c>
      <c r="P429" s="9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734"/>
      <c r="R429" s="734"/>
      <c r="S429" s="734"/>
      <c r="T429" s="735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740"/>
      <c r="B430" s="740"/>
      <c r="C430" s="740"/>
      <c r="D430" s="740"/>
      <c r="E430" s="740"/>
      <c r="F430" s="740"/>
      <c r="G430" s="740"/>
      <c r="H430" s="740"/>
      <c r="I430" s="740"/>
      <c r="J430" s="740"/>
      <c r="K430" s="740"/>
      <c r="L430" s="740"/>
      <c r="M430" s="740"/>
      <c r="N430" s="740"/>
      <c r="O430" s="741"/>
      <c r="P430" s="737" t="s">
        <v>40</v>
      </c>
      <c r="Q430" s="738"/>
      <c r="R430" s="738"/>
      <c r="S430" s="738"/>
      <c r="T430" s="738"/>
      <c r="U430" s="738"/>
      <c r="V430" s="739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x14ac:dyDescent="0.2">
      <c r="A431" s="740"/>
      <c r="B431" s="740"/>
      <c r="C431" s="740"/>
      <c r="D431" s="740"/>
      <c r="E431" s="740"/>
      <c r="F431" s="740"/>
      <c r="G431" s="740"/>
      <c r="H431" s="740"/>
      <c r="I431" s="740"/>
      <c r="J431" s="740"/>
      <c r="K431" s="740"/>
      <c r="L431" s="740"/>
      <c r="M431" s="740"/>
      <c r="N431" s="740"/>
      <c r="O431" s="741"/>
      <c r="P431" s="737" t="s">
        <v>40</v>
      </c>
      <c r="Q431" s="738"/>
      <c r="R431" s="738"/>
      <c r="S431" s="738"/>
      <c r="T431" s="738"/>
      <c r="U431" s="738"/>
      <c r="V431" s="739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customHeight="1" x14ac:dyDescent="0.2">
      <c r="A432" s="729" t="s">
        <v>713</v>
      </c>
      <c r="B432" s="729"/>
      <c r="C432" s="729"/>
      <c r="D432" s="729"/>
      <c r="E432" s="729"/>
      <c r="F432" s="729"/>
      <c r="G432" s="729"/>
      <c r="H432" s="729"/>
      <c r="I432" s="729"/>
      <c r="J432" s="729"/>
      <c r="K432" s="729"/>
      <c r="L432" s="729"/>
      <c r="M432" s="729"/>
      <c r="N432" s="729"/>
      <c r="O432" s="729"/>
      <c r="P432" s="729"/>
      <c r="Q432" s="729"/>
      <c r="R432" s="729"/>
      <c r="S432" s="729"/>
      <c r="T432" s="729"/>
      <c r="U432" s="729"/>
      <c r="V432" s="729"/>
      <c r="W432" s="729"/>
      <c r="X432" s="729"/>
      <c r="Y432" s="729"/>
      <c r="Z432" s="729"/>
      <c r="AA432" s="54"/>
      <c r="AB432" s="54"/>
      <c r="AC432" s="54"/>
    </row>
    <row r="433" spans="1:68" ht="16.5" customHeight="1" x14ac:dyDescent="0.25">
      <c r="A433" s="730" t="s">
        <v>714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65"/>
      <c r="AB433" s="65"/>
      <c r="AC433" s="79"/>
    </row>
    <row r="434" spans="1:68" ht="14.25" customHeight="1" x14ac:dyDescent="0.25">
      <c r="A434" s="731" t="s">
        <v>122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6"/>
      <c r="AB434" s="66"/>
      <c r="AC434" s="80"/>
    </row>
    <row r="435" spans="1:68" ht="27" customHeight="1" x14ac:dyDescent="0.25">
      <c r="A435" s="63" t="s">
        <v>715</v>
      </c>
      <c r="B435" s="63" t="s">
        <v>716</v>
      </c>
      <c r="C435" s="36">
        <v>4301012332</v>
      </c>
      <c r="D435" s="732">
        <v>4680115888401</v>
      </c>
      <c r="E435" s="732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734"/>
      <c r="R435" s="734"/>
      <c r="S435" s="734"/>
      <c r="T435" s="735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717</v>
      </c>
      <c r="AG435" s="78"/>
      <c r="AJ435" s="84" t="s">
        <v>46</v>
      </c>
      <c r="AK435" s="84">
        <v>0</v>
      </c>
      <c r="BB435" s="541" t="s">
        <v>67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718</v>
      </c>
      <c r="B436" s="63" t="s">
        <v>719</v>
      </c>
      <c r="C436" s="36">
        <v>4301011869</v>
      </c>
      <c r="D436" s="732">
        <v>4680115884847</v>
      </c>
      <c r="E436" s="732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734"/>
      <c r="R436" s="734"/>
      <c r="S436" s="734"/>
      <c r="T436" s="735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5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si="66"/>
        <v>0</v>
      </c>
      <c r="BN436" s="78">
        <f t="shared" si="67"/>
        <v>0</v>
      </c>
      <c r="BO436" s="78">
        <f t="shared" si="68"/>
        <v>0</v>
      </c>
      <c r="BP436" s="78">
        <f t="shared" si="69"/>
        <v>0</v>
      </c>
    </row>
    <row r="437" spans="1:68" ht="27" customHeight="1" x14ac:dyDescent="0.25">
      <c r="A437" s="63" t="s">
        <v>721</v>
      </c>
      <c r="B437" s="63" t="s">
        <v>722</v>
      </c>
      <c r="C437" s="36">
        <v>4301012083</v>
      </c>
      <c r="D437" s="732">
        <v>4680115884854</v>
      </c>
      <c r="E437" s="732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60</v>
      </c>
      <c r="P437" s="9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734"/>
      <c r="R437" s="734"/>
      <c r="S437" s="734"/>
      <c r="T437" s="735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5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66"/>
        <v>0</v>
      </c>
      <c r="BN437" s="78">
        <f t="shared" si="67"/>
        <v>0</v>
      </c>
      <c r="BO437" s="78">
        <f t="shared" si="68"/>
        <v>0</v>
      </c>
      <c r="BP437" s="78">
        <f t="shared" si="69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4301011867</v>
      </c>
      <c r="D438" s="732">
        <v>4680115884830</v>
      </c>
      <c r="E438" s="732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81</v>
      </c>
      <c r="N438" s="38"/>
      <c r="O438" s="37">
        <v>60</v>
      </c>
      <c r="P438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734"/>
      <c r="R438" s="734"/>
      <c r="S438" s="734"/>
      <c r="T438" s="735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5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66"/>
        <v>0</v>
      </c>
      <c r="BN438" s="78">
        <f t="shared" si="67"/>
        <v>0</v>
      </c>
      <c r="BO438" s="78">
        <f t="shared" si="68"/>
        <v>0</v>
      </c>
      <c r="BP438" s="78">
        <f t="shared" si="69"/>
        <v>0</v>
      </c>
    </row>
    <row r="439" spans="1:68" ht="27" customHeight="1" x14ac:dyDescent="0.25">
      <c r="A439" s="63" t="s">
        <v>727</v>
      </c>
      <c r="B439" s="63" t="s">
        <v>728</v>
      </c>
      <c r="C439" s="36">
        <v>4301012356</v>
      </c>
      <c r="D439" s="732">
        <v>4680115889231</v>
      </c>
      <c r="E439" s="732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97</v>
      </c>
      <c r="N439" s="38"/>
      <c r="O439" s="37">
        <v>60</v>
      </c>
      <c r="P439" s="97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734"/>
      <c r="R439" s="734"/>
      <c r="S439" s="734"/>
      <c r="T439" s="735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4301011433</v>
      </c>
      <c r="D440" s="732">
        <v>4680115882638</v>
      </c>
      <c r="E440" s="732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90</v>
      </c>
      <c r="P440" s="97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734"/>
      <c r="R440" s="734"/>
      <c r="S440" s="734"/>
      <c r="T440" s="735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4301011952</v>
      </c>
      <c r="D441" s="732">
        <v>4680115884922</v>
      </c>
      <c r="E441" s="732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134</v>
      </c>
      <c r="L441" s="37" t="s">
        <v>46</v>
      </c>
      <c r="M441" s="38" t="s">
        <v>81</v>
      </c>
      <c r="N441" s="38"/>
      <c r="O441" s="37">
        <v>60</v>
      </c>
      <c r="P441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734"/>
      <c r="R441" s="734"/>
      <c r="S441" s="734"/>
      <c r="T441" s="735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customHeight="1" x14ac:dyDescent="0.25">
      <c r="A442" s="63" t="s">
        <v>736</v>
      </c>
      <c r="B442" s="63" t="s">
        <v>737</v>
      </c>
      <c r="C442" s="36">
        <v>4301011868</v>
      </c>
      <c r="D442" s="732">
        <v>4680115884861</v>
      </c>
      <c r="E442" s="732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734"/>
      <c r="R442" s="734"/>
      <c r="S442" s="734"/>
      <c r="T442" s="735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740"/>
      <c r="B443" s="740"/>
      <c r="C443" s="740"/>
      <c r="D443" s="740"/>
      <c r="E443" s="740"/>
      <c r="F443" s="740"/>
      <c r="G443" s="740"/>
      <c r="H443" s="740"/>
      <c r="I443" s="740"/>
      <c r="J443" s="740"/>
      <c r="K443" s="740"/>
      <c r="L443" s="740"/>
      <c r="M443" s="740"/>
      <c r="N443" s="740"/>
      <c r="O443" s="741"/>
      <c r="P443" s="737" t="s">
        <v>40</v>
      </c>
      <c r="Q443" s="738"/>
      <c r="R443" s="738"/>
      <c r="S443" s="738"/>
      <c r="T443" s="738"/>
      <c r="U443" s="738"/>
      <c r="V443" s="739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0</v>
      </c>
      <c r="Y443" s="43">
        <f>IFERROR(Y435/H435,"0")+IFERROR(Y436/H436,"0")+IFERROR(Y437/H437,"0")+IFERROR(Y438/H438,"0")+IFERROR(Y439/H439,"0")+IFERROR(Y440/H440,"0")+IFERROR(Y441/H441,"0")+IFERROR(Y442/H442,"0")</f>
        <v>0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40"/>
      <c r="B444" s="740"/>
      <c r="C444" s="740"/>
      <c r="D444" s="740"/>
      <c r="E444" s="740"/>
      <c r="F444" s="740"/>
      <c r="G444" s="740"/>
      <c r="H444" s="740"/>
      <c r="I444" s="740"/>
      <c r="J444" s="740"/>
      <c r="K444" s="740"/>
      <c r="L444" s="740"/>
      <c r="M444" s="740"/>
      <c r="N444" s="740"/>
      <c r="O444" s="741"/>
      <c r="P444" s="737" t="s">
        <v>40</v>
      </c>
      <c r="Q444" s="738"/>
      <c r="R444" s="738"/>
      <c r="S444" s="738"/>
      <c r="T444" s="738"/>
      <c r="U444" s="738"/>
      <c r="V444" s="739"/>
      <c r="W444" s="42" t="s">
        <v>0</v>
      </c>
      <c r="X444" s="43">
        <f>IFERROR(SUM(X435:X442),"0")</f>
        <v>0</v>
      </c>
      <c r="Y444" s="43">
        <f>IFERROR(SUM(Y435:Y442),"0")</f>
        <v>0</v>
      </c>
      <c r="Z444" s="42"/>
      <c r="AA444" s="67"/>
      <c r="AB444" s="67"/>
      <c r="AC444" s="67"/>
    </row>
    <row r="445" spans="1:68" ht="14.25" customHeight="1" x14ac:dyDescent="0.25">
      <c r="A445" s="731" t="s">
        <v>155</v>
      </c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1"/>
      <c r="P445" s="731"/>
      <c r="Q445" s="731"/>
      <c r="R445" s="731"/>
      <c r="S445" s="731"/>
      <c r="T445" s="731"/>
      <c r="U445" s="731"/>
      <c r="V445" s="731"/>
      <c r="W445" s="731"/>
      <c r="X445" s="731"/>
      <c r="Y445" s="731"/>
      <c r="Z445" s="731"/>
      <c r="AA445" s="66"/>
      <c r="AB445" s="66"/>
      <c r="AC445" s="80"/>
    </row>
    <row r="446" spans="1:68" ht="27" customHeight="1" x14ac:dyDescent="0.25">
      <c r="A446" s="63" t="s">
        <v>739</v>
      </c>
      <c r="B446" s="63" t="s">
        <v>740</v>
      </c>
      <c r="C446" s="36">
        <v>4301020178</v>
      </c>
      <c r="D446" s="732">
        <v>4607091383980</v>
      </c>
      <c r="E446" s="732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127</v>
      </c>
      <c r="L446" s="37" t="s">
        <v>46</v>
      </c>
      <c r="M446" s="38" t="s">
        <v>126</v>
      </c>
      <c r="N446" s="38"/>
      <c r="O446" s="37">
        <v>50</v>
      </c>
      <c r="P446" s="9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734"/>
      <c r="R446" s="734"/>
      <c r="S446" s="734"/>
      <c r="T446" s="735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IFERROR(IF(Y446=0,"",ROUNDUP(Y446/H446,0)*0.02175),"")</f>
        <v/>
      </c>
      <c r="AA446" s="68" t="s">
        <v>46</v>
      </c>
      <c r="AB446" s="69" t="s">
        <v>46</v>
      </c>
      <c r="AC446" s="556" t="s">
        <v>741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742</v>
      </c>
      <c r="B447" s="63" t="s">
        <v>743</v>
      </c>
      <c r="C447" s="36">
        <v>4301020355</v>
      </c>
      <c r="D447" s="732">
        <v>4680115888425</v>
      </c>
      <c r="E447" s="732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734"/>
      <c r="R447" s="734"/>
      <c r="S447" s="734"/>
      <c r="T447" s="735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745</v>
      </c>
      <c r="B448" s="63" t="s">
        <v>746</v>
      </c>
      <c r="C448" s="36">
        <v>4301020179</v>
      </c>
      <c r="D448" s="732">
        <v>4607091384178</v>
      </c>
      <c r="E448" s="732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134</v>
      </c>
      <c r="L448" s="37" t="s">
        <v>46</v>
      </c>
      <c r="M448" s="38" t="s">
        <v>126</v>
      </c>
      <c r="N448" s="38"/>
      <c r="O448" s="37">
        <v>50</v>
      </c>
      <c r="P448" s="9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734"/>
      <c r="R448" s="734"/>
      <c r="S448" s="734"/>
      <c r="T448" s="735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40"/>
      <c r="B449" s="740"/>
      <c r="C449" s="740"/>
      <c r="D449" s="740"/>
      <c r="E449" s="740"/>
      <c r="F449" s="740"/>
      <c r="G449" s="740"/>
      <c r="H449" s="740"/>
      <c r="I449" s="740"/>
      <c r="J449" s="740"/>
      <c r="K449" s="740"/>
      <c r="L449" s="740"/>
      <c r="M449" s="740"/>
      <c r="N449" s="740"/>
      <c r="O449" s="741"/>
      <c r="P449" s="737" t="s">
        <v>40</v>
      </c>
      <c r="Q449" s="738"/>
      <c r="R449" s="738"/>
      <c r="S449" s="738"/>
      <c r="T449" s="738"/>
      <c r="U449" s="738"/>
      <c r="V449" s="73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740"/>
      <c r="B450" s="740"/>
      <c r="C450" s="740"/>
      <c r="D450" s="740"/>
      <c r="E450" s="740"/>
      <c r="F450" s="740"/>
      <c r="G450" s="740"/>
      <c r="H450" s="740"/>
      <c r="I450" s="740"/>
      <c r="J450" s="740"/>
      <c r="K450" s="740"/>
      <c r="L450" s="740"/>
      <c r="M450" s="740"/>
      <c r="N450" s="740"/>
      <c r="O450" s="741"/>
      <c r="P450" s="737" t="s">
        <v>40</v>
      </c>
      <c r="Q450" s="738"/>
      <c r="R450" s="738"/>
      <c r="S450" s="738"/>
      <c r="T450" s="738"/>
      <c r="U450" s="738"/>
      <c r="V450" s="73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customHeight="1" x14ac:dyDescent="0.25">
      <c r="A451" s="731" t="s">
        <v>86</v>
      </c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1"/>
      <c r="P451" s="731"/>
      <c r="Q451" s="731"/>
      <c r="R451" s="731"/>
      <c r="S451" s="731"/>
      <c r="T451" s="731"/>
      <c r="U451" s="731"/>
      <c r="V451" s="731"/>
      <c r="W451" s="731"/>
      <c r="X451" s="731"/>
      <c r="Y451" s="731"/>
      <c r="Z451" s="731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4301051903</v>
      </c>
      <c r="D452" s="732">
        <v>4607091383928</v>
      </c>
      <c r="E452" s="732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127</v>
      </c>
      <c r="L452" s="37" t="s">
        <v>46</v>
      </c>
      <c r="M452" s="38" t="s">
        <v>90</v>
      </c>
      <c r="N452" s="38"/>
      <c r="O452" s="37">
        <v>40</v>
      </c>
      <c r="P452" s="9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734"/>
      <c r="R452" s="734"/>
      <c r="S452" s="734"/>
      <c r="T452" s="735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750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751</v>
      </c>
      <c r="B453" s="63" t="s">
        <v>752</v>
      </c>
      <c r="C453" s="36">
        <v>4301051897</v>
      </c>
      <c r="D453" s="732">
        <v>4607091384260</v>
      </c>
      <c r="E453" s="732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7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734"/>
      <c r="R453" s="734"/>
      <c r="S453" s="734"/>
      <c r="T453" s="735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4301052220</v>
      </c>
      <c r="D454" s="732">
        <v>4680115889538</v>
      </c>
      <c r="E454" s="732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45</v>
      </c>
      <c r="P454" s="9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734"/>
      <c r="R454" s="734"/>
      <c r="S454" s="734"/>
      <c r="T454" s="735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740"/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1"/>
      <c r="P455" s="737" t="s">
        <v>40</v>
      </c>
      <c r="Q455" s="738"/>
      <c r="R455" s="738"/>
      <c r="S455" s="738"/>
      <c r="T455" s="738"/>
      <c r="U455" s="738"/>
      <c r="V455" s="739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740"/>
      <c r="B456" s="740"/>
      <c r="C456" s="740"/>
      <c r="D456" s="740"/>
      <c r="E456" s="740"/>
      <c r="F456" s="740"/>
      <c r="G456" s="740"/>
      <c r="H456" s="740"/>
      <c r="I456" s="740"/>
      <c r="J456" s="740"/>
      <c r="K456" s="740"/>
      <c r="L456" s="740"/>
      <c r="M456" s="740"/>
      <c r="N456" s="740"/>
      <c r="O456" s="741"/>
      <c r="P456" s="737" t="s">
        <v>40</v>
      </c>
      <c r="Q456" s="738"/>
      <c r="R456" s="738"/>
      <c r="S456" s="738"/>
      <c r="T456" s="738"/>
      <c r="U456" s="738"/>
      <c r="V456" s="739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customHeight="1" x14ac:dyDescent="0.25">
      <c r="A457" s="731" t="s">
        <v>173</v>
      </c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1"/>
      <c r="P457" s="731"/>
      <c r="Q457" s="731"/>
      <c r="R457" s="731"/>
      <c r="S457" s="731"/>
      <c r="T457" s="731"/>
      <c r="U457" s="731"/>
      <c r="V457" s="731"/>
      <c r="W457" s="731"/>
      <c r="X457" s="731"/>
      <c r="Y457" s="731"/>
      <c r="Z457" s="731"/>
      <c r="AA457" s="66"/>
      <c r="AB457" s="66"/>
      <c r="AC457" s="80"/>
    </row>
    <row r="458" spans="1:68" ht="27" customHeight="1" x14ac:dyDescent="0.25">
      <c r="A458" s="63" t="s">
        <v>757</v>
      </c>
      <c r="B458" s="63" t="s">
        <v>758</v>
      </c>
      <c r="C458" s="36">
        <v>4301060537</v>
      </c>
      <c r="D458" s="732">
        <v>4680115889545</v>
      </c>
      <c r="E458" s="732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127</v>
      </c>
      <c r="L458" s="37" t="s">
        <v>46</v>
      </c>
      <c r="M458" s="38" t="s">
        <v>90</v>
      </c>
      <c r="N458" s="38"/>
      <c r="O458" s="37">
        <v>30</v>
      </c>
      <c r="P458" s="9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734"/>
      <c r="R458" s="734"/>
      <c r="S458" s="734"/>
      <c r="T458" s="735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759</v>
      </c>
      <c r="AG458" s="78"/>
      <c r="AJ458" s="84" t="s">
        <v>46</v>
      </c>
      <c r="AK458" s="84">
        <v>0</v>
      </c>
      <c r="BB458" s="56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760</v>
      </c>
      <c r="B459" s="63" t="s">
        <v>761</v>
      </c>
      <c r="C459" s="36">
        <v>4301060524</v>
      </c>
      <c r="D459" s="732">
        <v>4607091384673</v>
      </c>
      <c r="E459" s="732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127</v>
      </c>
      <c r="L459" s="37" t="s">
        <v>46</v>
      </c>
      <c r="M459" s="38" t="s">
        <v>90</v>
      </c>
      <c r="N459" s="38"/>
      <c r="O459" s="37">
        <v>40</v>
      </c>
      <c r="P459" s="98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734"/>
      <c r="R459" s="734"/>
      <c r="S459" s="734"/>
      <c r="T459" s="735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740"/>
      <c r="B460" s="740"/>
      <c r="C460" s="740"/>
      <c r="D460" s="740"/>
      <c r="E460" s="740"/>
      <c r="F460" s="740"/>
      <c r="G460" s="740"/>
      <c r="H460" s="740"/>
      <c r="I460" s="740"/>
      <c r="J460" s="740"/>
      <c r="K460" s="740"/>
      <c r="L460" s="740"/>
      <c r="M460" s="740"/>
      <c r="N460" s="740"/>
      <c r="O460" s="741"/>
      <c r="P460" s="737" t="s">
        <v>40</v>
      </c>
      <c r="Q460" s="738"/>
      <c r="R460" s="738"/>
      <c r="S460" s="738"/>
      <c r="T460" s="738"/>
      <c r="U460" s="738"/>
      <c r="V460" s="73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740"/>
      <c r="B461" s="740"/>
      <c r="C461" s="740"/>
      <c r="D461" s="740"/>
      <c r="E461" s="740"/>
      <c r="F461" s="740"/>
      <c r="G461" s="740"/>
      <c r="H461" s="740"/>
      <c r="I461" s="740"/>
      <c r="J461" s="740"/>
      <c r="K461" s="740"/>
      <c r="L461" s="740"/>
      <c r="M461" s="740"/>
      <c r="N461" s="740"/>
      <c r="O461" s="741"/>
      <c r="P461" s="737" t="s">
        <v>40</v>
      </c>
      <c r="Q461" s="738"/>
      <c r="R461" s="738"/>
      <c r="S461" s="738"/>
      <c r="T461" s="738"/>
      <c r="U461" s="738"/>
      <c r="V461" s="73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customHeight="1" x14ac:dyDescent="0.25">
      <c r="A462" s="730" t="s">
        <v>763</v>
      </c>
      <c r="B462" s="730"/>
      <c r="C462" s="730"/>
      <c r="D462" s="730"/>
      <c r="E462" s="730"/>
      <c r="F462" s="730"/>
      <c r="G462" s="730"/>
      <c r="H462" s="730"/>
      <c r="I462" s="730"/>
      <c r="J462" s="730"/>
      <c r="K462" s="730"/>
      <c r="L462" s="730"/>
      <c r="M462" s="730"/>
      <c r="N462" s="730"/>
      <c r="O462" s="730"/>
      <c r="P462" s="730"/>
      <c r="Q462" s="730"/>
      <c r="R462" s="730"/>
      <c r="S462" s="730"/>
      <c r="T462" s="730"/>
      <c r="U462" s="730"/>
      <c r="V462" s="730"/>
      <c r="W462" s="730"/>
      <c r="X462" s="730"/>
      <c r="Y462" s="730"/>
      <c r="Z462" s="730"/>
      <c r="AA462" s="65"/>
      <c r="AB462" s="65"/>
      <c r="AC462" s="79"/>
    </row>
    <row r="463" spans="1:68" ht="14.25" customHeight="1" x14ac:dyDescent="0.25">
      <c r="A463" s="731" t="s">
        <v>122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6"/>
      <c r="AB463" s="66"/>
      <c r="AC463" s="80"/>
    </row>
    <row r="464" spans="1:68" ht="27" customHeight="1" x14ac:dyDescent="0.25">
      <c r="A464" s="63" t="s">
        <v>764</v>
      </c>
      <c r="B464" s="63" t="s">
        <v>765</v>
      </c>
      <c r="C464" s="36">
        <v>4301011875</v>
      </c>
      <c r="D464" s="732">
        <v>4680115884885</v>
      </c>
      <c r="E464" s="732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127</v>
      </c>
      <c r="L464" s="37" t="s">
        <v>46</v>
      </c>
      <c r="M464" s="38" t="s">
        <v>81</v>
      </c>
      <c r="N464" s="38"/>
      <c r="O464" s="37">
        <v>60</v>
      </c>
      <c r="P464" s="9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734"/>
      <c r="R464" s="734"/>
      <c r="S464" s="734"/>
      <c r="T464" s="735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766</v>
      </c>
      <c r="AG464" s="78"/>
      <c r="AJ464" s="84" t="s">
        <v>46</v>
      </c>
      <c r="AK464" s="84">
        <v>0</v>
      </c>
      <c r="BB464" s="573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customHeight="1" x14ac:dyDescent="0.25">
      <c r="A465" s="63" t="s">
        <v>767</v>
      </c>
      <c r="B465" s="63" t="s">
        <v>768</v>
      </c>
      <c r="C465" s="36">
        <v>4301011871</v>
      </c>
      <c r="D465" s="732">
        <v>4680115884908</v>
      </c>
      <c r="E465" s="732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60</v>
      </c>
      <c r="P46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734"/>
      <c r="R465" s="734"/>
      <c r="S465" s="734"/>
      <c r="T465" s="735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766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40"/>
      <c r="B466" s="740"/>
      <c r="C466" s="740"/>
      <c r="D466" s="740"/>
      <c r="E466" s="740"/>
      <c r="F466" s="740"/>
      <c r="G466" s="740"/>
      <c r="H466" s="740"/>
      <c r="I466" s="740"/>
      <c r="J466" s="740"/>
      <c r="K466" s="740"/>
      <c r="L466" s="740"/>
      <c r="M466" s="740"/>
      <c r="N466" s="740"/>
      <c r="O466" s="741"/>
      <c r="P466" s="737" t="s">
        <v>40</v>
      </c>
      <c r="Q466" s="738"/>
      <c r="R466" s="738"/>
      <c r="S466" s="738"/>
      <c r="T466" s="738"/>
      <c r="U466" s="738"/>
      <c r="V466" s="739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740"/>
      <c r="B467" s="740"/>
      <c r="C467" s="740"/>
      <c r="D467" s="740"/>
      <c r="E467" s="740"/>
      <c r="F467" s="740"/>
      <c r="G467" s="740"/>
      <c r="H467" s="740"/>
      <c r="I467" s="740"/>
      <c r="J467" s="740"/>
      <c r="K467" s="740"/>
      <c r="L467" s="740"/>
      <c r="M467" s="740"/>
      <c r="N467" s="740"/>
      <c r="O467" s="741"/>
      <c r="P467" s="737" t="s">
        <v>40</v>
      </c>
      <c r="Q467" s="738"/>
      <c r="R467" s="738"/>
      <c r="S467" s="738"/>
      <c r="T467" s="738"/>
      <c r="U467" s="738"/>
      <c r="V467" s="739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731" t="s">
        <v>77</v>
      </c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1"/>
      <c r="P468" s="731"/>
      <c r="Q468" s="731"/>
      <c r="R468" s="731"/>
      <c r="S468" s="731"/>
      <c r="T468" s="731"/>
      <c r="U468" s="731"/>
      <c r="V468" s="731"/>
      <c r="W468" s="731"/>
      <c r="X468" s="731"/>
      <c r="Y468" s="731"/>
      <c r="Z468" s="731"/>
      <c r="AA468" s="66"/>
      <c r="AB468" s="66"/>
      <c r="AC468" s="80"/>
    </row>
    <row r="469" spans="1:68" ht="27" customHeight="1" x14ac:dyDescent="0.25">
      <c r="A469" s="63" t="s">
        <v>769</v>
      </c>
      <c r="B469" s="63" t="s">
        <v>770</v>
      </c>
      <c r="C469" s="36">
        <v>4301031457</v>
      </c>
      <c r="D469" s="732">
        <v>4607091384802</v>
      </c>
      <c r="E469" s="732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50</v>
      </c>
      <c r="P469" s="9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734"/>
      <c r="R469" s="734"/>
      <c r="S469" s="734"/>
      <c r="T469" s="735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771</v>
      </c>
      <c r="AG469" s="78"/>
      <c r="AJ469" s="84" t="s">
        <v>46</v>
      </c>
      <c r="AK469" s="84">
        <v>0</v>
      </c>
      <c r="BB469" s="577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40"/>
      <c r="B470" s="740"/>
      <c r="C470" s="740"/>
      <c r="D470" s="740"/>
      <c r="E470" s="740"/>
      <c r="F470" s="740"/>
      <c r="G470" s="740"/>
      <c r="H470" s="740"/>
      <c r="I470" s="740"/>
      <c r="J470" s="740"/>
      <c r="K470" s="740"/>
      <c r="L470" s="740"/>
      <c r="M470" s="740"/>
      <c r="N470" s="740"/>
      <c r="O470" s="741"/>
      <c r="P470" s="737" t="s">
        <v>40</v>
      </c>
      <c r="Q470" s="738"/>
      <c r="R470" s="738"/>
      <c r="S470" s="738"/>
      <c r="T470" s="738"/>
      <c r="U470" s="738"/>
      <c r="V470" s="739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740"/>
      <c r="B471" s="740"/>
      <c r="C471" s="740"/>
      <c r="D471" s="740"/>
      <c r="E471" s="740"/>
      <c r="F471" s="740"/>
      <c r="G471" s="740"/>
      <c r="H471" s="740"/>
      <c r="I471" s="740"/>
      <c r="J471" s="740"/>
      <c r="K471" s="740"/>
      <c r="L471" s="740"/>
      <c r="M471" s="740"/>
      <c r="N471" s="740"/>
      <c r="O471" s="741"/>
      <c r="P471" s="737" t="s">
        <v>40</v>
      </c>
      <c r="Q471" s="738"/>
      <c r="R471" s="738"/>
      <c r="S471" s="738"/>
      <c r="T471" s="738"/>
      <c r="U471" s="738"/>
      <c r="V471" s="739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731" t="s">
        <v>86</v>
      </c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1"/>
      <c r="P472" s="731"/>
      <c r="Q472" s="731"/>
      <c r="R472" s="731"/>
      <c r="S472" s="731"/>
      <c r="T472" s="731"/>
      <c r="U472" s="731"/>
      <c r="V472" s="731"/>
      <c r="W472" s="731"/>
      <c r="X472" s="731"/>
      <c r="Y472" s="731"/>
      <c r="Z472" s="731"/>
      <c r="AA472" s="66"/>
      <c r="AB472" s="66"/>
      <c r="AC472" s="80"/>
    </row>
    <row r="473" spans="1:68" ht="27" customHeight="1" x14ac:dyDescent="0.25">
      <c r="A473" s="63" t="s">
        <v>772</v>
      </c>
      <c r="B473" s="63" t="s">
        <v>773</v>
      </c>
      <c r="C473" s="36">
        <v>4301051899</v>
      </c>
      <c r="D473" s="732">
        <v>4607091384246</v>
      </c>
      <c r="E473" s="732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127</v>
      </c>
      <c r="L473" s="37" t="s">
        <v>46</v>
      </c>
      <c r="M473" s="38" t="s">
        <v>90</v>
      </c>
      <c r="N473" s="38"/>
      <c r="O473" s="37">
        <v>40</v>
      </c>
      <c r="P473" s="9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734"/>
      <c r="R473" s="734"/>
      <c r="S473" s="734"/>
      <c r="T473" s="735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774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775</v>
      </c>
      <c r="B474" s="63" t="s">
        <v>776</v>
      </c>
      <c r="C474" s="36">
        <v>4301051660</v>
      </c>
      <c r="D474" s="732">
        <v>4607091384253</v>
      </c>
      <c r="E474" s="732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91</v>
      </c>
      <c r="L474" s="37" t="s">
        <v>46</v>
      </c>
      <c r="M474" s="38" t="s">
        <v>90</v>
      </c>
      <c r="N474" s="38"/>
      <c r="O474" s="37">
        <v>40</v>
      </c>
      <c r="P474" s="9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734"/>
      <c r="R474" s="734"/>
      <c r="S474" s="734"/>
      <c r="T474" s="735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774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775</v>
      </c>
      <c r="B475" s="63" t="s">
        <v>777</v>
      </c>
      <c r="C475" s="36">
        <v>4301052069</v>
      </c>
      <c r="D475" s="732">
        <v>4607091384253</v>
      </c>
      <c r="E475" s="732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734"/>
      <c r="R475" s="734"/>
      <c r="S475" s="734"/>
      <c r="T475" s="735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778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740"/>
      <c r="B476" s="740"/>
      <c r="C476" s="740"/>
      <c r="D476" s="740"/>
      <c r="E476" s="740"/>
      <c r="F476" s="740"/>
      <c r="G476" s="740"/>
      <c r="H476" s="740"/>
      <c r="I476" s="740"/>
      <c r="J476" s="740"/>
      <c r="K476" s="740"/>
      <c r="L476" s="740"/>
      <c r="M476" s="740"/>
      <c r="N476" s="740"/>
      <c r="O476" s="741"/>
      <c r="P476" s="737" t="s">
        <v>40</v>
      </c>
      <c r="Q476" s="738"/>
      <c r="R476" s="738"/>
      <c r="S476" s="738"/>
      <c r="T476" s="738"/>
      <c r="U476" s="738"/>
      <c r="V476" s="739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x14ac:dyDescent="0.2">
      <c r="A477" s="740"/>
      <c r="B477" s="740"/>
      <c r="C477" s="740"/>
      <c r="D477" s="740"/>
      <c r="E477" s="740"/>
      <c r="F477" s="740"/>
      <c r="G477" s="740"/>
      <c r="H477" s="740"/>
      <c r="I477" s="740"/>
      <c r="J477" s="740"/>
      <c r="K477" s="740"/>
      <c r="L477" s="740"/>
      <c r="M477" s="740"/>
      <c r="N477" s="740"/>
      <c r="O477" s="741"/>
      <c r="P477" s="737" t="s">
        <v>40</v>
      </c>
      <c r="Q477" s="738"/>
      <c r="R477" s="738"/>
      <c r="S477" s="738"/>
      <c r="T477" s="738"/>
      <c r="U477" s="738"/>
      <c r="V477" s="739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customHeight="1" x14ac:dyDescent="0.2">
      <c r="A478" s="729" t="s">
        <v>779</v>
      </c>
      <c r="B478" s="729"/>
      <c r="C478" s="729"/>
      <c r="D478" s="729"/>
      <c r="E478" s="729"/>
      <c r="F478" s="729"/>
      <c r="G478" s="729"/>
      <c r="H478" s="729"/>
      <c r="I478" s="729"/>
      <c r="J478" s="729"/>
      <c r="K478" s="729"/>
      <c r="L478" s="729"/>
      <c r="M478" s="729"/>
      <c r="N478" s="729"/>
      <c r="O478" s="729"/>
      <c r="P478" s="729"/>
      <c r="Q478" s="729"/>
      <c r="R478" s="729"/>
      <c r="S478" s="729"/>
      <c r="T478" s="729"/>
      <c r="U478" s="729"/>
      <c r="V478" s="729"/>
      <c r="W478" s="729"/>
      <c r="X478" s="729"/>
      <c r="Y478" s="729"/>
      <c r="Z478" s="729"/>
      <c r="AA478" s="54"/>
      <c r="AB478" s="54"/>
      <c r="AC478" s="54"/>
    </row>
    <row r="479" spans="1:68" ht="16.5" customHeight="1" x14ac:dyDescent="0.25">
      <c r="A479" s="730" t="s">
        <v>780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65"/>
      <c r="AB479" s="65"/>
      <c r="AC479" s="79"/>
    </row>
    <row r="480" spans="1:68" ht="14.25" customHeight="1" x14ac:dyDescent="0.25">
      <c r="A480" s="731" t="s">
        <v>77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6"/>
      <c r="AB480" s="66"/>
      <c r="AC480" s="80"/>
    </row>
    <row r="481" spans="1:68" ht="27" customHeight="1" x14ac:dyDescent="0.25">
      <c r="A481" s="63" t="s">
        <v>781</v>
      </c>
      <c r="B481" s="63" t="s">
        <v>782</v>
      </c>
      <c r="C481" s="36">
        <v>4301031405</v>
      </c>
      <c r="D481" s="732">
        <v>4680115886100</v>
      </c>
      <c r="E481" s="732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134</v>
      </c>
      <c r="L481" s="37" t="s">
        <v>46</v>
      </c>
      <c r="M481" s="38" t="s">
        <v>81</v>
      </c>
      <c r="N481" s="38"/>
      <c r="O481" s="37">
        <v>50</v>
      </c>
      <c r="P481" s="9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734"/>
      <c r="R481" s="734"/>
      <c r="S481" s="734"/>
      <c r="T481" s="735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67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customHeight="1" x14ac:dyDescent="0.25">
      <c r="A482" s="63" t="s">
        <v>784</v>
      </c>
      <c r="B482" s="63" t="s">
        <v>785</v>
      </c>
      <c r="C482" s="36">
        <v>4301031402</v>
      </c>
      <c r="D482" s="732">
        <v>4680115886124</v>
      </c>
      <c r="E482" s="732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734"/>
      <c r="R482" s="734"/>
      <c r="S482" s="734"/>
      <c r="T482" s="735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4301031362</v>
      </c>
      <c r="D483" s="732">
        <v>4607091384338</v>
      </c>
      <c r="E483" s="732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734"/>
      <c r="R483" s="734"/>
      <c r="S483" s="734"/>
      <c r="T483" s="735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67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customHeight="1" x14ac:dyDescent="0.25">
      <c r="A484" s="63" t="s">
        <v>789</v>
      </c>
      <c r="B484" s="63" t="s">
        <v>790</v>
      </c>
      <c r="C484" s="36">
        <v>4301031364</v>
      </c>
      <c r="D484" s="732">
        <v>4680115883161</v>
      </c>
      <c r="E484" s="732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734"/>
      <c r="R484" s="734"/>
      <c r="S484" s="734"/>
      <c r="T484" s="735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791</v>
      </c>
      <c r="AG484" s="78"/>
      <c r="AJ484" s="84" t="s">
        <v>46</v>
      </c>
      <c r="AK484" s="84">
        <v>0</v>
      </c>
      <c r="BB484" s="591" t="s">
        <v>67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4301031358</v>
      </c>
      <c r="D485" s="732">
        <v>4607091389531</v>
      </c>
      <c r="E485" s="732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734"/>
      <c r="R485" s="734"/>
      <c r="S485" s="734"/>
      <c r="T485" s="735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customHeight="1" x14ac:dyDescent="0.25">
      <c r="A486" s="63" t="s">
        <v>795</v>
      </c>
      <c r="B486" s="63" t="s">
        <v>796</v>
      </c>
      <c r="C486" s="36">
        <v>4301031360</v>
      </c>
      <c r="D486" s="732">
        <v>4607091384345</v>
      </c>
      <c r="E486" s="732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734"/>
      <c r="R486" s="734"/>
      <c r="S486" s="734"/>
      <c r="T486" s="735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791</v>
      </c>
      <c r="AG486" s="78"/>
      <c r="AJ486" s="84" t="s">
        <v>46</v>
      </c>
      <c r="AK486" s="84">
        <v>0</v>
      </c>
      <c r="BB486" s="595" t="s">
        <v>67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x14ac:dyDescent="0.2">
      <c r="A487" s="740"/>
      <c r="B487" s="740"/>
      <c r="C487" s="740"/>
      <c r="D487" s="740"/>
      <c r="E487" s="740"/>
      <c r="F487" s="740"/>
      <c r="G487" s="740"/>
      <c r="H487" s="740"/>
      <c r="I487" s="740"/>
      <c r="J487" s="740"/>
      <c r="K487" s="740"/>
      <c r="L487" s="740"/>
      <c r="M487" s="740"/>
      <c r="N487" s="740"/>
      <c r="O487" s="741"/>
      <c r="P487" s="737" t="s">
        <v>40</v>
      </c>
      <c r="Q487" s="738"/>
      <c r="R487" s="738"/>
      <c r="S487" s="738"/>
      <c r="T487" s="738"/>
      <c r="U487" s="738"/>
      <c r="V487" s="739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740"/>
      <c r="B488" s="740"/>
      <c r="C488" s="740"/>
      <c r="D488" s="740"/>
      <c r="E488" s="740"/>
      <c r="F488" s="740"/>
      <c r="G488" s="740"/>
      <c r="H488" s="740"/>
      <c r="I488" s="740"/>
      <c r="J488" s="740"/>
      <c r="K488" s="740"/>
      <c r="L488" s="740"/>
      <c r="M488" s="740"/>
      <c r="N488" s="740"/>
      <c r="O488" s="741"/>
      <c r="P488" s="737" t="s">
        <v>40</v>
      </c>
      <c r="Q488" s="738"/>
      <c r="R488" s="738"/>
      <c r="S488" s="738"/>
      <c r="T488" s="738"/>
      <c r="U488" s="738"/>
      <c r="V488" s="739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customHeight="1" x14ac:dyDescent="0.25">
      <c r="A489" s="731" t="s">
        <v>86</v>
      </c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1"/>
      <c r="P489" s="731"/>
      <c r="Q489" s="731"/>
      <c r="R489" s="731"/>
      <c r="S489" s="731"/>
      <c r="T489" s="731"/>
      <c r="U489" s="731"/>
      <c r="V489" s="731"/>
      <c r="W489" s="731"/>
      <c r="X489" s="731"/>
      <c r="Y489" s="731"/>
      <c r="Z489" s="731"/>
      <c r="AA489" s="66"/>
      <c r="AB489" s="66"/>
      <c r="AC489" s="80"/>
    </row>
    <row r="490" spans="1:68" ht="27" customHeight="1" x14ac:dyDescent="0.25">
      <c r="A490" s="63" t="s">
        <v>797</v>
      </c>
      <c r="B490" s="63" t="s">
        <v>798</v>
      </c>
      <c r="C490" s="36">
        <v>4301051284</v>
      </c>
      <c r="D490" s="732">
        <v>4607091384352</v>
      </c>
      <c r="E490" s="732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134</v>
      </c>
      <c r="L490" s="37" t="s">
        <v>46</v>
      </c>
      <c r="M490" s="38" t="s">
        <v>90</v>
      </c>
      <c r="N490" s="38"/>
      <c r="O490" s="37">
        <v>45</v>
      </c>
      <c r="P490" s="9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734"/>
      <c r="R490" s="734"/>
      <c r="S490" s="734"/>
      <c r="T490" s="735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799</v>
      </c>
      <c r="AG490" s="78"/>
      <c r="AJ490" s="84" t="s">
        <v>46</v>
      </c>
      <c r="AK490" s="84">
        <v>0</v>
      </c>
      <c r="BB490" s="597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800</v>
      </c>
      <c r="B491" s="63" t="s">
        <v>801</v>
      </c>
      <c r="C491" s="36">
        <v>4301051431</v>
      </c>
      <c r="D491" s="732">
        <v>4607091389654</v>
      </c>
      <c r="E491" s="732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45</v>
      </c>
      <c r="P491" s="9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734"/>
      <c r="R491" s="734"/>
      <c r="S491" s="734"/>
      <c r="T491" s="735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740"/>
      <c r="B492" s="740"/>
      <c r="C492" s="740"/>
      <c r="D492" s="740"/>
      <c r="E492" s="740"/>
      <c r="F492" s="740"/>
      <c r="G492" s="740"/>
      <c r="H492" s="740"/>
      <c r="I492" s="740"/>
      <c r="J492" s="740"/>
      <c r="K492" s="740"/>
      <c r="L492" s="740"/>
      <c r="M492" s="740"/>
      <c r="N492" s="740"/>
      <c r="O492" s="741"/>
      <c r="P492" s="737" t="s">
        <v>40</v>
      </c>
      <c r="Q492" s="738"/>
      <c r="R492" s="738"/>
      <c r="S492" s="738"/>
      <c r="T492" s="738"/>
      <c r="U492" s="738"/>
      <c r="V492" s="739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x14ac:dyDescent="0.2">
      <c r="A493" s="740"/>
      <c r="B493" s="740"/>
      <c r="C493" s="740"/>
      <c r="D493" s="740"/>
      <c r="E493" s="740"/>
      <c r="F493" s="740"/>
      <c r="G493" s="740"/>
      <c r="H493" s="740"/>
      <c r="I493" s="740"/>
      <c r="J493" s="740"/>
      <c r="K493" s="740"/>
      <c r="L493" s="740"/>
      <c r="M493" s="740"/>
      <c r="N493" s="740"/>
      <c r="O493" s="741"/>
      <c r="P493" s="737" t="s">
        <v>40</v>
      </c>
      <c r="Q493" s="738"/>
      <c r="R493" s="738"/>
      <c r="S493" s="738"/>
      <c r="T493" s="738"/>
      <c r="U493" s="738"/>
      <c r="V493" s="739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customHeight="1" x14ac:dyDescent="0.25">
      <c r="A494" s="730" t="s">
        <v>803</v>
      </c>
      <c r="B494" s="730"/>
      <c r="C494" s="730"/>
      <c r="D494" s="730"/>
      <c r="E494" s="730"/>
      <c r="F494" s="730"/>
      <c r="G494" s="730"/>
      <c r="H494" s="730"/>
      <c r="I494" s="730"/>
      <c r="J494" s="730"/>
      <c r="K494" s="730"/>
      <c r="L494" s="730"/>
      <c r="M494" s="730"/>
      <c r="N494" s="730"/>
      <c r="O494" s="730"/>
      <c r="P494" s="730"/>
      <c r="Q494" s="730"/>
      <c r="R494" s="730"/>
      <c r="S494" s="730"/>
      <c r="T494" s="730"/>
      <c r="U494" s="730"/>
      <c r="V494" s="730"/>
      <c r="W494" s="730"/>
      <c r="X494" s="730"/>
      <c r="Y494" s="730"/>
      <c r="Z494" s="730"/>
      <c r="AA494" s="65"/>
      <c r="AB494" s="65"/>
      <c r="AC494" s="79"/>
    </row>
    <row r="495" spans="1:68" ht="14.25" customHeight="1" x14ac:dyDescent="0.25">
      <c r="A495" s="731" t="s">
        <v>155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6"/>
      <c r="AB495" s="66"/>
      <c r="AC495" s="80"/>
    </row>
    <row r="496" spans="1:68" ht="27" customHeight="1" x14ac:dyDescent="0.25">
      <c r="A496" s="63" t="s">
        <v>804</v>
      </c>
      <c r="B496" s="63" t="s">
        <v>805</v>
      </c>
      <c r="C496" s="36">
        <v>4301020416</v>
      </c>
      <c r="D496" s="732">
        <v>4680115885240</v>
      </c>
      <c r="E496" s="732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91</v>
      </c>
      <c r="L496" s="37" t="s">
        <v>46</v>
      </c>
      <c r="M496" s="38" t="s">
        <v>81</v>
      </c>
      <c r="N496" s="38"/>
      <c r="O496" s="37">
        <v>40</v>
      </c>
      <c r="P49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734"/>
      <c r="R496" s="734"/>
      <c r="S496" s="734"/>
      <c r="T496" s="735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806</v>
      </c>
      <c r="AG496" s="78"/>
      <c r="AJ496" s="84" t="s">
        <v>46</v>
      </c>
      <c r="AK496" s="84">
        <v>0</v>
      </c>
      <c r="BB496" s="601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740"/>
      <c r="B497" s="740"/>
      <c r="C497" s="740"/>
      <c r="D497" s="740"/>
      <c r="E497" s="740"/>
      <c r="F497" s="740"/>
      <c r="G497" s="740"/>
      <c r="H497" s="740"/>
      <c r="I497" s="740"/>
      <c r="J497" s="740"/>
      <c r="K497" s="740"/>
      <c r="L497" s="740"/>
      <c r="M497" s="740"/>
      <c r="N497" s="740"/>
      <c r="O497" s="741"/>
      <c r="P497" s="737" t="s">
        <v>40</v>
      </c>
      <c r="Q497" s="738"/>
      <c r="R497" s="738"/>
      <c r="S497" s="738"/>
      <c r="T497" s="738"/>
      <c r="U497" s="738"/>
      <c r="V497" s="739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x14ac:dyDescent="0.2">
      <c r="A498" s="740"/>
      <c r="B498" s="740"/>
      <c r="C498" s="740"/>
      <c r="D498" s="740"/>
      <c r="E498" s="740"/>
      <c r="F498" s="740"/>
      <c r="G498" s="740"/>
      <c r="H498" s="740"/>
      <c r="I498" s="740"/>
      <c r="J498" s="740"/>
      <c r="K498" s="740"/>
      <c r="L498" s="740"/>
      <c r="M498" s="740"/>
      <c r="N498" s="740"/>
      <c r="O498" s="741"/>
      <c r="P498" s="737" t="s">
        <v>40</v>
      </c>
      <c r="Q498" s="738"/>
      <c r="R498" s="738"/>
      <c r="S498" s="738"/>
      <c r="T498" s="738"/>
      <c r="U498" s="738"/>
      <c r="V498" s="739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customHeight="1" x14ac:dyDescent="0.25">
      <c r="A499" s="731" t="s">
        <v>77</v>
      </c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1"/>
      <c r="P499" s="731"/>
      <c r="Q499" s="731"/>
      <c r="R499" s="731"/>
      <c r="S499" s="731"/>
      <c r="T499" s="731"/>
      <c r="U499" s="731"/>
      <c r="V499" s="731"/>
      <c r="W499" s="731"/>
      <c r="X499" s="731"/>
      <c r="Y499" s="731"/>
      <c r="Z499" s="731"/>
      <c r="AA499" s="66"/>
      <c r="AB499" s="66"/>
      <c r="AC499" s="80"/>
    </row>
    <row r="500" spans="1:68" ht="27" customHeight="1" x14ac:dyDescent="0.25">
      <c r="A500" s="63" t="s">
        <v>807</v>
      </c>
      <c r="B500" s="63" t="s">
        <v>808</v>
      </c>
      <c r="C500" s="36">
        <v>4301031407</v>
      </c>
      <c r="D500" s="732">
        <v>4680115886094</v>
      </c>
      <c r="E500" s="732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134</v>
      </c>
      <c r="L500" s="37" t="s">
        <v>46</v>
      </c>
      <c r="M500" s="38" t="s">
        <v>81</v>
      </c>
      <c r="N500" s="38"/>
      <c r="O500" s="37">
        <v>50</v>
      </c>
      <c r="P500" s="9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734"/>
      <c r="R500" s="734"/>
      <c r="S500" s="734"/>
      <c r="T500" s="735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809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customHeight="1" x14ac:dyDescent="0.25">
      <c r="A501" s="63" t="s">
        <v>810</v>
      </c>
      <c r="B501" s="63" t="s">
        <v>811</v>
      </c>
      <c r="C501" s="36">
        <v>4301031373</v>
      </c>
      <c r="D501" s="732">
        <v>4680115880771</v>
      </c>
      <c r="E501" s="732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82</v>
      </c>
      <c r="L501" s="37" t="s">
        <v>46</v>
      </c>
      <c r="M501" s="38" t="s">
        <v>81</v>
      </c>
      <c r="N501" s="38"/>
      <c r="O501" s="37">
        <v>50</v>
      </c>
      <c r="P501" s="9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734"/>
      <c r="R501" s="734"/>
      <c r="S501" s="734"/>
      <c r="T501" s="735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813</v>
      </c>
      <c r="B502" s="63" t="s">
        <v>814</v>
      </c>
      <c r="C502" s="36">
        <v>4301031359</v>
      </c>
      <c r="D502" s="732">
        <v>4607091389500</v>
      </c>
      <c r="E502" s="732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734"/>
      <c r="R502" s="734"/>
      <c r="S502" s="734"/>
      <c r="T502" s="735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812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740"/>
      <c r="B503" s="740"/>
      <c r="C503" s="740"/>
      <c r="D503" s="740"/>
      <c r="E503" s="740"/>
      <c r="F503" s="740"/>
      <c r="G503" s="740"/>
      <c r="H503" s="740"/>
      <c r="I503" s="740"/>
      <c r="J503" s="740"/>
      <c r="K503" s="740"/>
      <c r="L503" s="740"/>
      <c r="M503" s="740"/>
      <c r="N503" s="740"/>
      <c r="O503" s="741"/>
      <c r="P503" s="737" t="s">
        <v>40</v>
      </c>
      <c r="Q503" s="738"/>
      <c r="R503" s="738"/>
      <c r="S503" s="738"/>
      <c r="T503" s="738"/>
      <c r="U503" s="738"/>
      <c r="V503" s="739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740"/>
      <c r="B504" s="740"/>
      <c r="C504" s="740"/>
      <c r="D504" s="740"/>
      <c r="E504" s="740"/>
      <c r="F504" s="740"/>
      <c r="G504" s="740"/>
      <c r="H504" s="740"/>
      <c r="I504" s="740"/>
      <c r="J504" s="740"/>
      <c r="K504" s="740"/>
      <c r="L504" s="740"/>
      <c r="M504" s="740"/>
      <c r="N504" s="740"/>
      <c r="O504" s="741"/>
      <c r="P504" s="737" t="s">
        <v>40</v>
      </c>
      <c r="Q504" s="738"/>
      <c r="R504" s="738"/>
      <c r="S504" s="738"/>
      <c r="T504" s="738"/>
      <c r="U504" s="738"/>
      <c r="V504" s="739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customHeight="1" x14ac:dyDescent="0.2">
      <c r="A505" s="729" t="s">
        <v>815</v>
      </c>
      <c r="B505" s="729"/>
      <c r="C505" s="729"/>
      <c r="D505" s="729"/>
      <c r="E505" s="729"/>
      <c r="F505" s="729"/>
      <c r="G505" s="729"/>
      <c r="H505" s="729"/>
      <c r="I505" s="729"/>
      <c r="J505" s="729"/>
      <c r="K505" s="729"/>
      <c r="L505" s="729"/>
      <c r="M505" s="729"/>
      <c r="N505" s="729"/>
      <c r="O505" s="729"/>
      <c r="P505" s="729"/>
      <c r="Q505" s="729"/>
      <c r="R505" s="729"/>
      <c r="S505" s="729"/>
      <c r="T505" s="729"/>
      <c r="U505" s="729"/>
      <c r="V505" s="729"/>
      <c r="W505" s="729"/>
      <c r="X505" s="729"/>
      <c r="Y505" s="729"/>
      <c r="Z505" s="729"/>
      <c r="AA505" s="54"/>
      <c r="AB505" s="54"/>
      <c r="AC505" s="54"/>
    </row>
    <row r="506" spans="1:68" ht="16.5" customHeight="1" x14ac:dyDescent="0.25">
      <c r="A506" s="730" t="s">
        <v>815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65"/>
      <c r="AB506" s="65"/>
      <c r="AC506" s="79"/>
    </row>
    <row r="507" spans="1:68" ht="14.25" customHeight="1" x14ac:dyDescent="0.25">
      <c r="A507" s="731" t="s">
        <v>122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6"/>
      <c r="AB507" s="66"/>
      <c r="AC507" s="80"/>
    </row>
    <row r="508" spans="1:68" ht="27" customHeight="1" x14ac:dyDescent="0.25">
      <c r="A508" s="63" t="s">
        <v>816</v>
      </c>
      <c r="B508" s="63" t="s">
        <v>817</v>
      </c>
      <c r="C508" s="36">
        <v>4301011769</v>
      </c>
      <c r="D508" s="732">
        <v>4607091389067</v>
      </c>
      <c r="E508" s="732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10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734"/>
      <c r="R508" s="734"/>
      <c r="S508" s="734"/>
      <c r="T508" s="735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customHeight="1" x14ac:dyDescent="0.25">
      <c r="A509" s="63" t="s">
        <v>818</v>
      </c>
      <c r="B509" s="63" t="s">
        <v>819</v>
      </c>
      <c r="C509" s="36">
        <v>4301012380</v>
      </c>
      <c r="D509" s="732">
        <v>4680115889576</v>
      </c>
      <c r="E509" s="732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734"/>
      <c r="R509" s="734"/>
      <c r="S509" s="734"/>
      <c r="T509" s="735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820</v>
      </c>
      <c r="AG509" s="78"/>
      <c r="AJ509" s="84" t="s">
        <v>46</v>
      </c>
      <c r="AK509" s="84">
        <v>0</v>
      </c>
      <c r="BB509" s="611" t="s">
        <v>67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customHeight="1" x14ac:dyDescent="0.25">
      <c r="A510" s="63" t="s">
        <v>821</v>
      </c>
      <c r="B510" s="63" t="s">
        <v>822</v>
      </c>
      <c r="C510" s="36">
        <v>4301011961</v>
      </c>
      <c r="D510" s="732">
        <v>4680115885271</v>
      </c>
      <c r="E510" s="732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734"/>
      <c r="R510" s="734"/>
      <c r="S510" s="734"/>
      <c r="T510" s="735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4301011369</v>
      </c>
      <c r="D511" s="732">
        <v>4680115885226</v>
      </c>
      <c r="E511" s="732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734"/>
      <c r="R511" s="734"/>
      <c r="S511" s="734"/>
      <c r="T511" s="735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customHeight="1" x14ac:dyDescent="0.25">
      <c r="A512" s="63" t="s">
        <v>827</v>
      </c>
      <c r="B512" s="63" t="s">
        <v>828</v>
      </c>
      <c r="C512" s="36">
        <v>4301011797</v>
      </c>
      <c r="D512" s="732">
        <v>4680115884502</v>
      </c>
      <c r="E512" s="732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60</v>
      </c>
      <c r="P512" s="10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734"/>
      <c r="R512" s="734"/>
      <c r="S512" s="734"/>
      <c r="T512" s="735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customHeight="1" x14ac:dyDescent="0.25">
      <c r="A513" s="63" t="s">
        <v>830</v>
      </c>
      <c r="B513" s="63" t="s">
        <v>831</v>
      </c>
      <c r="C513" s="36">
        <v>4301011771</v>
      </c>
      <c r="D513" s="732">
        <v>4607091389104</v>
      </c>
      <c r="E513" s="732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126</v>
      </c>
      <c r="N513" s="38"/>
      <c r="O513" s="37">
        <v>60</v>
      </c>
      <c r="P513" s="100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734"/>
      <c r="R513" s="734"/>
      <c r="S513" s="734"/>
      <c r="T513" s="735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4301012125</v>
      </c>
      <c r="D514" s="732">
        <v>4680115886391</v>
      </c>
      <c r="E514" s="732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91</v>
      </c>
      <c r="L514" s="37" t="s">
        <v>46</v>
      </c>
      <c r="M514" s="38" t="s">
        <v>90</v>
      </c>
      <c r="N514" s="38"/>
      <c r="O514" s="37">
        <v>60</v>
      </c>
      <c r="P514" s="100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734"/>
      <c r="R514" s="734"/>
      <c r="S514" s="734"/>
      <c r="T514" s="735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125</v>
      </c>
      <c r="AG514" s="78"/>
      <c r="AJ514" s="84" t="s">
        <v>46</v>
      </c>
      <c r="AK514" s="84">
        <v>0</v>
      </c>
      <c r="BB514" s="621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835</v>
      </c>
      <c r="B515" s="63" t="s">
        <v>836</v>
      </c>
      <c r="C515" s="36">
        <v>4301012048</v>
      </c>
      <c r="D515" s="732">
        <v>4680115880603</v>
      </c>
      <c r="E515" s="732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134</v>
      </c>
      <c r="L515" s="37" t="s">
        <v>46</v>
      </c>
      <c r="M515" s="38" t="s">
        <v>90</v>
      </c>
      <c r="N515" s="38"/>
      <c r="O515" s="37">
        <v>60</v>
      </c>
      <c r="P515" s="10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734"/>
      <c r="R515" s="734"/>
      <c r="S515" s="734"/>
      <c r="T515" s="735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customHeight="1" x14ac:dyDescent="0.25">
      <c r="A516" s="63" t="s">
        <v>837</v>
      </c>
      <c r="B516" s="63" t="s">
        <v>838</v>
      </c>
      <c r="C516" s="36">
        <v>4301012034</v>
      </c>
      <c r="D516" s="732">
        <v>4607091389982</v>
      </c>
      <c r="E516" s="732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60</v>
      </c>
      <c r="P516" s="100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734"/>
      <c r="R516" s="734"/>
      <c r="S516" s="734"/>
      <c r="T516" s="735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832</v>
      </c>
      <c r="AG516" s="78"/>
      <c r="AJ516" s="84" t="s">
        <v>46</v>
      </c>
      <c r="AK516" s="84">
        <v>0</v>
      </c>
      <c r="BB516" s="625" t="s">
        <v>67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x14ac:dyDescent="0.2">
      <c r="A517" s="740"/>
      <c r="B517" s="740"/>
      <c r="C517" s="740"/>
      <c r="D517" s="740"/>
      <c r="E517" s="740"/>
      <c r="F517" s="740"/>
      <c r="G517" s="740"/>
      <c r="H517" s="740"/>
      <c r="I517" s="740"/>
      <c r="J517" s="740"/>
      <c r="K517" s="740"/>
      <c r="L517" s="740"/>
      <c r="M517" s="740"/>
      <c r="N517" s="740"/>
      <c r="O517" s="741"/>
      <c r="P517" s="737" t="s">
        <v>40</v>
      </c>
      <c r="Q517" s="738"/>
      <c r="R517" s="738"/>
      <c r="S517" s="738"/>
      <c r="T517" s="738"/>
      <c r="U517" s="738"/>
      <c r="V517" s="739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x14ac:dyDescent="0.2">
      <c r="A518" s="740"/>
      <c r="B518" s="740"/>
      <c r="C518" s="740"/>
      <c r="D518" s="740"/>
      <c r="E518" s="740"/>
      <c r="F518" s="740"/>
      <c r="G518" s="740"/>
      <c r="H518" s="740"/>
      <c r="I518" s="740"/>
      <c r="J518" s="740"/>
      <c r="K518" s="740"/>
      <c r="L518" s="740"/>
      <c r="M518" s="740"/>
      <c r="N518" s="740"/>
      <c r="O518" s="741"/>
      <c r="P518" s="737" t="s">
        <v>40</v>
      </c>
      <c r="Q518" s="738"/>
      <c r="R518" s="738"/>
      <c r="S518" s="738"/>
      <c r="T518" s="738"/>
      <c r="U518" s="738"/>
      <c r="V518" s="739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customHeight="1" x14ac:dyDescent="0.25">
      <c r="A519" s="731" t="s">
        <v>155</v>
      </c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1"/>
      <c r="P519" s="731"/>
      <c r="Q519" s="731"/>
      <c r="R519" s="731"/>
      <c r="S519" s="731"/>
      <c r="T519" s="731"/>
      <c r="U519" s="731"/>
      <c r="V519" s="731"/>
      <c r="W519" s="731"/>
      <c r="X519" s="731"/>
      <c r="Y519" s="731"/>
      <c r="Z519" s="731"/>
      <c r="AA519" s="66"/>
      <c r="AB519" s="66"/>
      <c r="AC519" s="80"/>
    </row>
    <row r="520" spans="1:68" ht="16.5" customHeight="1" x14ac:dyDescent="0.25">
      <c r="A520" s="63" t="s">
        <v>839</v>
      </c>
      <c r="B520" s="63" t="s">
        <v>840</v>
      </c>
      <c r="C520" s="36">
        <v>4301020334</v>
      </c>
      <c r="D520" s="732">
        <v>4607091388930</v>
      </c>
      <c r="E520" s="732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90</v>
      </c>
      <c r="N520" s="38"/>
      <c r="O520" s="37">
        <v>70</v>
      </c>
      <c r="P520" s="101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734"/>
      <c r="R520" s="734"/>
      <c r="S520" s="734"/>
      <c r="T520" s="735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841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842</v>
      </c>
      <c r="B521" s="63" t="s">
        <v>843</v>
      </c>
      <c r="C521" s="36">
        <v>4301020374</v>
      </c>
      <c r="D521" s="732">
        <v>4680115886407</v>
      </c>
      <c r="E521" s="732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91</v>
      </c>
      <c r="L521" s="37" t="s">
        <v>46</v>
      </c>
      <c r="M521" s="38" t="s">
        <v>126</v>
      </c>
      <c r="N521" s="38"/>
      <c r="O521" s="37">
        <v>70</v>
      </c>
      <c r="P521" s="10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734"/>
      <c r="R521" s="734"/>
      <c r="S521" s="734"/>
      <c r="T521" s="735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841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844</v>
      </c>
      <c r="B522" s="63" t="s">
        <v>845</v>
      </c>
      <c r="C522" s="36">
        <v>4301020385</v>
      </c>
      <c r="D522" s="732">
        <v>4680115880054</v>
      </c>
      <c r="E522" s="732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134</v>
      </c>
      <c r="L522" s="37" t="s">
        <v>46</v>
      </c>
      <c r="M522" s="38" t="s">
        <v>126</v>
      </c>
      <c r="N522" s="38"/>
      <c r="O522" s="37">
        <v>70</v>
      </c>
      <c r="P522" s="101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734"/>
      <c r="R522" s="734"/>
      <c r="S522" s="734"/>
      <c r="T522" s="735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841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740"/>
      <c r="B523" s="740"/>
      <c r="C523" s="740"/>
      <c r="D523" s="740"/>
      <c r="E523" s="740"/>
      <c r="F523" s="740"/>
      <c r="G523" s="740"/>
      <c r="H523" s="740"/>
      <c r="I523" s="740"/>
      <c r="J523" s="740"/>
      <c r="K523" s="740"/>
      <c r="L523" s="740"/>
      <c r="M523" s="740"/>
      <c r="N523" s="740"/>
      <c r="O523" s="741"/>
      <c r="P523" s="737" t="s">
        <v>40</v>
      </c>
      <c r="Q523" s="738"/>
      <c r="R523" s="738"/>
      <c r="S523" s="738"/>
      <c r="T523" s="738"/>
      <c r="U523" s="738"/>
      <c r="V523" s="739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x14ac:dyDescent="0.2">
      <c r="A524" s="740"/>
      <c r="B524" s="740"/>
      <c r="C524" s="740"/>
      <c r="D524" s="740"/>
      <c r="E524" s="740"/>
      <c r="F524" s="740"/>
      <c r="G524" s="740"/>
      <c r="H524" s="740"/>
      <c r="I524" s="740"/>
      <c r="J524" s="740"/>
      <c r="K524" s="740"/>
      <c r="L524" s="740"/>
      <c r="M524" s="740"/>
      <c r="N524" s="740"/>
      <c r="O524" s="741"/>
      <c r="P524" s="737" t="s">
        <v>40</v>
      </c>
      <c r="Q524" s="738"/>
      <c r="R524" s="738"/>
      <c r="S524" s="738"/>
      <c r="T524" s="738"/>
      <c r="U524" s="738"/>
      <c r="V524" s="739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customHeight="1" x14ac:dyDescent="0.25">
      <c r="A525" s="731" t="s">
        <v>77</v>
      </c>
      <c r="B525" s="731"/>
      <c r="C525" s="731"/>
      <c r="D525" s="731"/>
      <c r="E525" s="731"/>
      <c r="F525" s="731"/>
      <c r="G525" s="731"/>
      <c r="H525" s="731"/>
      <c r="I525" s="731"/>
      <c r="J525" s="731"/>
      <c r="K525" s="731"/>
      <c r="L525" s="731"/>
      <c r="M525" s="731"/>
      <c r="N525" s="731"/>
      <c r="O525" s="731"/>
      <c r="P525" s="731"/>
      <c r="Q525" s="731"/>
      <c r="R525" s="731"/>
      <c r="S525" s="731"/>
      <c r="T525" s="731"/>
      <c r="U525" s="731"/>
      <c r="V525" s="731"/>
      <c r="W525" s="731"/>
      <c r="X525" s="731"/>
      <c r="Y525" s="731"/>
      <c r="Z525" s="731"/>
      <c r="AA525" s="66"/>
      <c r="AB525" s="66"/>
      <c r="AC525" s="80"/>
    </row>
    <row r="526" spans="1:68" ht="27" customHeight="1" x14ac:dyDescent="0.25">
      <c r="A526" s="63" t="s">
        <v>846</v>
      </c>
      <c r="B526" s="63" t="s">
        <v>847</v>
      </c>
      <c r="C526" s="36">
        <v>4301031349</v>
      </c>
      <c r="D526" s="732">
        <v>4680115883116</v>
      </c>
      <c r="E526" s="732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126</v>
      </c>
      <c r="N526" s="38"/>
      <c r="O526" s="37">
        <v>70</v>
      </c>
      <c r="P526" s="10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734"/>
      <c r="R526" s="734"/>
      <c r="S526" s="734"/>
      <c r="T526" s="735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848</v>
      </c>
      <c r="AG526" s="78"/>
      <c r="AJ526" s="84" t="s">
        <v>46</v>
      </c>
      <c r="AK526" s="84">
        <v>0</v>
      </c>
      <c r="BB526" s="633" t="s">
        <v>67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customHeight="1" x14ac:dyDescent="0.25">
      <c r="A527" s="63" t="s">
        <v>849</v>
      </c>
      <c r="B527" s="63" t="s">
        <v>850</v>
      </c>
      <c r="C527" s="36">
        <v>4301031350</v>
      </c>
      <c r="D527" s="732">
        <v>4680115883093</v>
      </c>
      <c r="E527" s="732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81</v>
      </c>
      <c r="N527" s="38"/>
      <c r="O527" s="37">
        <v>70</v>
      </c>
      <c r="P527" s="10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734"/>
      <c r="R527" s="734"/>
      <c r="S527" s="734"/>
      <c r="T527" s="735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4301031353</v>
      </c>
      <c r="D528" s="732">
        <v>4680115883109</v>
      </c>
      <c r="E528" s="732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734"/>
      <c r="R528" s="734"/>
      <c r="S528" s="734"/>
      <c r="T528" s="735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4301031419</v>
      </c>
      <c r="D529" s="732">
        <v>4680115882072</v>
      </c>
      <c r="E529" s="732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134</v>
      </c>
      <c r="L529" s="37" t="s">
        <v>46</v>
      </c>
      <c r="M529" s="38" t="s">
        <v>126</v>
      </c>
      <c r="N529" s="38"/>
      <c r="O529" s="37">
        <v>70</v>
      </c>
      <c r="P529" s="101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734"/>
      <c r="R529" s="734"/>
      <c r="S529" s="734"/>
      <c r="T529" s="735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848</v>
      </c>
      <c r="AG529" s="78"/>
      <c r="AJ529" s="84" t="s">
        <v>46</v>
      </c>
      <c r="AK529" s="84">
        <v>0</v>
      </c>
      <c r="BB529" s="639" t="s">
        <v>67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customHeight="1" x14ac:dyDescent="0.25">
      <c r="A530" s="63" t="s">
        <v>857</v>
      </c>
      <c r="B530" s="63" t="s">
        <v>858</v>
      </c>
      <c r="C530" s="36">
        <v>4301031352</v>
      </c>
      <c r="D530" s="732">
        <v>4680115882102</v>
      </c>
      <c r="E530" s="732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734"/>
      <c r="R530" s="734"/>
      <c r="S530" s="734"/>
      <c r="T530" s="735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customHeight="1" x14ac:dyDescent="0.25">
      <c r="A531" s="63" t="s">
        <v>857</v>
      </c>
      <c r="B531" s="63" t="s">
        <v>859</v>
      </c>
      <c r="C531" s="36">
        <v>4301031418</v>
      </c>
      <c r="D531" s="732">
        <v>4680115882102</v>
      </c>
      <c r="E531" s="732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734"/>
      <c r="R531" s="734"/>
      <c r="S531" s="734"/>
      <c r="T531" s="735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851</v>
      </c>
      <c r="AG531" s="78"/>
      <c r="AJ531" s="84" t="s">
        <v>46</v>
      </c>
      <c r="AK531" s="84">
        <v>0</v>
      </c>
      <c r="BB531" s="643" t="s">
        <v>67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customHeight="1" x14ac:dyDescent="0.25">
      <c r="A532" s="63" t="s">
        <v>860</v>
      </c>
      <c r="B532" s="63" t="s">
        <v>861</v>
      </c>
      <c r="C532" s="36">
        <v>4301031417</v>
      </c>
      <c r="D532" s="732">
        <v>4680115882096</v>
      </c>
      <c r="E532" s="732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1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734"/>
      <c r="R532" s="734"/>
      <c r="S532" s="734"/>
      <c r="T532" s="735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x14ac:dyDescent="0.2">
      <c r="A533" s="740"/>
      <c r="B533" s="740"/>
      <c r="C533" s="740"/>
      <c r="D533" s="740"/>
      <c r="E533" s="740"/>
      <c r="F533" s="740"/>
      <c r="G533" s="740"/>
      <c r="H533" s="740"/>
      <c r="I533" s="740"/>
      <c r="J533" s="740"/>
      <c r="K533" s="740"/>
      <c r="L533" s="740"/>
      <c r="M533" s="740"/>
      <c r="N533" s="740"/>
      <c r="O533" s="741"/>
      <c r="P533" s="737" t="s">
        <v>40</v>
      </c>
      <c r="Q533" s="738"/>
      <c r="R533" s="738"/>
      <c r="S533" s="738"/>
      <c r="T533" s="738"/>
      <c r="U533" s="738"/>
      <c r="V533" s="739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x14ac:dyDescent="0.2">
      <c r="A534" s="740"/>
      <c r="B534" s="740"/>
      <c r="C534" s="740"/>
      <c r="D534" s="740"/>
      <c r="E534" s="740"/>
      <c r="F534" s="740"/>
      <c r="G534" s="740"/>
      <c r="H534" s="740"/>
      <c r="I534" s="740"/>
      <c r="J534" s="740"/>
      <c r="K534" s="740"/>
      <c r="L534" s="740"/>
      <c r="M534" s="740"/>
      <c r="N534" s="740"/>
      <c r="O534" s="741"/>
      <c r="P534" s="737" t="s">
        <v>40</v>
      </c>
      <c r="Q534" s="738"/>
      <c r="R534" s="738"/>
      <c r="S534" s="738"/>
      <c r="T534" s="738"/>
      <c r="U534" s="738"/>
      <c r="V534" s="739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customHeight="1" x14ac:dyDescent="0.2">
      <c r="A535" s="729" t="s">
        <v>862</v>
      </c>
      <c r="B535" s="729"/>
      <c r="C535" s="729"/>
      <c r="D535" s="729"/>
      <c r="E535" s="729"/>
      <c r="F535" s="729"/>
      <c r="G535" s="729"/>
      <c r="H535" s="729"/>
      <c r="I535" s="729"/>
      <c r="J535" s="729"/>
      <c r="K535" s="729"/>
      <c r="L535" s="729"/>
      <c r="M535" s="729"/>
      <c r="N535" s="729"/>
      <c r="O535" s="729"/>
      <c r="P535" s="729"/>
      <c r="Q535" s="729"/>
      <c r="R535" s="729"/>
      <c r="S535" s="729"/>
      <c r="T535" s="729"/>
      <c r="U535" s="729"/>
      <c r="V535" s="729"/>
      <c r="W535" s="729"/>
      <c r="X535" s="729"/>
      <c r="Y535" s="729"/>
      <c r="Z535" s="729"/>
      <c r="AA535" s="54"/>
      <c r="AB535" s="54"/>
      <c r="AC535" s="54"/>
    </row>
    <row r="536" spans="1:68" ht="16.5" customHeight="1" x14ac:dyDescent="0.25">
      <c r="A536" s="730" t="s">
        <v>862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65"/>
      <c r="AB536" s="65"/>
      <c r="AC536" s="79"/>
    </row>
    <row r="537" spans="1:68" ht="14.25" customHeight="1" x14ac:dyDescent="0.25">
      <c r="A537" s="731" t="s">
        <v>122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6"/>
      <c r="AB537" s="66"/>
      <c r="AC537" s="80"/>
    </row>
    <row r="538" spans="1:68" ht="27" customHeight="1" x14ac:dyDescent="0.25">
      <c r="A538" s="63" t="s">
        <v>863</v>
      </c>
      <c r="B538" s="63" t="s">
        <v>864</v>
      </c>
      <c r="C538" s="36">
        <v>4301011584</v>
      </c>
      <c r="D538" s="732">
        <v>4640242180564</v>
      </c>
      <c r="E538" s="732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102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734"/>
      <c r="R538" s="734"/>
      <c r="S538" s="734"/>
      <c r="T538" s="735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865</v>
      </c>
      <c r="AG538" s="78"/>
      <c r="AJ538" s="84" t="s">
        <v>46</v>
      </c>
      <c r="AK538" s="84">
        <v>0</v>
      </c>
      <c r="BB538" s="647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40"/>
      <c r="B539" s="740"/>
      <c r="C539" s="740"/>
      <c r="D539" s="740"/>
      <c r="E539" s="740"/>
      <c r="F539" s="740"/>
      <c r="G539" s="740"/>
      <c r="H539" s="740"/>
      <c r="I539" s="740"/>
      <c r="J539" s="740"/>
      <c r="K539" s="740"/>
      <c r="L539" s="740"/>
      <c r="M539" s="740"/>
      <c r="N539" s="740"/>
      <c r="O539" s="741"/>
      <c r="P539" s="737" t="s">
        <v>40</v>
      </c>
      <c r="Q539" s="738"/>
      <c r="R539" s="738"/>
      <c r="S539" s="738"/>
      <c r="T539" s="738"/>
      <c r="U539" s="738"/>
      <c r="V539" s="739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40"/>
      <c r="B540" s="740"/>
      <c r="C540" s="740"/>
      <c r="D540" s="740"/>
      <c r="E540" s="740"/>
      <c r="F540" s="740"/>
      <c r="G540" s="740"/>
      <c r="H540" s="740"/>
      <c r="I540" s="740"/>
      <c r="J540" s="740"/>
      <c r="K540" s="740"/>
      <c r="L540" s="740"/>
      <c r="M540" s="740"/>
      <c r="N540" s="740"/>
      <c r="O540" s="741"/>
      <c r="P540" s="737" t="s">
        <v>40</v>
      </c>
      <c r="Q540" s="738"/>
      <c r="R540" s="738"/>
      <c r="S540" s="738"/>
      <c r="T540" s="738"/>
      <c r="U540" s="738"/>
      <c r="V540" s="739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31" t="s">
        <v>155</v>
      </c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1"/>
      <c r="P541" s="731"/>
      <c r="Q541" s="731"/>
      <c r="R541" s="731"/>
      <c r="S541" s="731"/>
      <c r="T541" s="731"/>
      <c r="U541" s="731"/>
      <c r="V541" s="731"/>
      <c r="W541" s="731"/>
      <c r="X541" s="731"/>
      <c r="Y541" s="731"/>
      <c r="Z541" s="731"/>
      <c r="AA541" s="66"/>
      <c r="AB541" s="66"/>
      <c r="AC541" s="80"/>
    </row>
    <row r="542" spans="1:68" ht="27" customHeight="1" x14ac:dyDescent="0.25">
      <c r="A542" s="63" t="s">
        <v>866</v>
      </c>
      <c r="B542" s="63" t="s">
        <v>867</v>
      </c>
      <c r="C542" s="36">
        <v>4301020400</v>
      </c>
      <c r="D542" s="732">
        <v>4640242180519</v>
      </c>
      <c r="E542" s="732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127</v>
      </c>
      <c r="L542" s="37" t="s">
        <v>46</v>
      </c>
      <c r="M542" s="38" t="s">
        <v>126</v>
      </c>
      <c r="N542" s="38"/>
      <c r="O542" s="37">
        <v>50</v>
      </c>
      <c r="P542" s="10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734"/>
      <c r="R542" s="734"/>
      <c r="S542" s="734"/>
      <c r="T542" s="735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868</v>
      </c>
      <c r="AG542" s="78"/>
      <c r="AJ542" s="84" t="s">
        <v>46</v>
      </c>
      <c r="AK542" s="84">
        <v>0</v>
      </c>
      <c r="BB542" s="649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40"/>
      <c r="B543" s="740"/>
      <c r="C543" s="740"/>
      <c r="D543" s="740"/>
      <c r="E543" s="740"/>
      <c r="F543" s="740"/>
      <c r="G543" s="740"/>
      <c r="H543" s="740"/>
      <c r="I543" s="740"/>
      <c r="J543" s="740"/>
      <c r="K543" s="740"/>
      <c r="L543" s="740"/>
      <c r="M543" s="740"/>
      <c r="N543" s="740"/>
      <c r="O543" s="741"/>
      <c r="P543" s="737" t="s">
        <v>40</v>
      </c>
      <c r="Q543" s="738"/>
      <c r="R543" s="738"/>
      <c r="S543" s="738"/>
      <c r="T543" s="738"/>
      <c r="U543" s="738"/>
      <c r="V543" s="739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40"/>
      <c r="B544" s="740"/>
      <c r="C544" s="740"/>
      <c r="D544" s="740"/>
      <c r="E544" s="740"/>
      <c r="F544" s="740"/>
      <c r="G544" s="740"/>
      <c r="H544" s="740"/>
      <c r="I544" s="740"/>
      <c r="J544" s="740"/>
      <c r="K544" s="740"/>
      <c r="L544" s="740"/>
      <c r="M544" s="740"/>
      <c r="N544" s="740"/>
      <c r="O544" s="741"/>
      <c r="P544" s="737" t="s">
        <v>40</v>
      </c>
      <c r="Q544" s="738"/>
      <c r="R544" s="738"/>
      <c r="S544" s="738"/>
      <c r="T544" s="738"/>
      <c r="U544" s="738"/>
      <c r="V544" s="739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31" t="s">
        <v>77</v>
      </c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1"/>
      <c r="P545" s="731"/>
      <c r="Q545" s="731"/>
      <c r="R545" s="731"/>
      <c r="S545" s="731"/>
      <c r="T545" s="731"/>
      <c r="U545" s="731"/>
      <c r="V545" s="731"/>
      <c r="W545" s="731"/>
      <c r="X545" s="731"/>
      <c r="Y545" s="731"/>
      <c r="Z545" s="731"/>
      <c r="AA545" s="66"/>
      <c r="AB545" s="66"/>
      <c r="AC545" s="80"/>
    </row>
    <row r="546" spans="1:68" ht="27" customHeight="1" x14ac:dyDescent="0.25">
      <c r="A546" s="63" t="s">
        <v>869</v>
      </c>
      <c r="B546" s="63" t="s">
        <v>870</v>
      </c>
      <c r="C546" s="36">
        <v>4301031500</v>
      </c>
      <c r="D546" s="732">
        <v>4640242180595</v>
      </c>
      <c r="E546" s="732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134</v>
      </c>
      <c r="L546" s="37" t="s">
        <v>46</v>
      </c>
      <c r="M546" s="38" t="s">
        <v>81</v>
      </c>
      <c r="N546" s="38"/>
      <c r="O546" s="37">
        <v>40</v>
      </c>
      <c r="P546" s="10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734"/>
      <c r="R546" s="734"/>
      <c r="S546" s="734"/>
      <c r="T546" s="735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871</v>
      </c>
      <c r="AG546" s="78"/>
      <c r="AJ546" s="84" t="s">
        <v>46</v>
      </c>
      <c r="AK546" s="84">
        <v>0</v>
      </c>
      <c r="BB546" s="651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40"/>
      <c r="B547" s="740"/>
      <c r="C547" s="740"/>
      <c r="D547" s="740"/>
      <c r="E547" s="740"/>
      <c r="F547" s="740"/>
      <c r="G547" s="740"/>
      <c r="H547" s="740"/>
      <c r="I547" s="740"/>
      <c r="J547" s="740"/>
      <c r="K547" s="740"/>
      <c r="L547" s="740"/>
      <c r="M547" s="740"/>
      <c r="N547" s="740"/>
      <c r="O547" s="741"/>
      <c r="P547" s="737" t="s">
        <v>40</v>
      </c>
      <c r="Q547" s="738"/>
      <c r="R547" s="738"/>
      <c r="S547" s="738"/>
      <c r="T547" s="738"/>
      <c r="U547" s="738"/>
      <c r="V547" s="739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x14ac:dyDescent="0.2">
      <c r="A548" s="740"/>
      <c r="B548" s="740"/>
      <c r="C548" s="740"/>
      <c r="D548" s="740"/>
      <c r="E548" s="740"/>
      <c r="F548" s="740"/>
      <c r="G548" s="740"/>
      <c r="H548" s="740"/>
      <c r="I548" s="740"/>
      <c r="J548" s="740"/>
      <c r="K548" s="740"/>
      <c r="L548" s="740"/>
      <c r="M548" s="740"/>
      <c r="N548" s="740"/>
      <c r="O548" s="741"/>
      <c r="P548" s="737" t="s">
        <v>40</v>
      </c>
      <c r="Q548" s="738"/>
      <c r="R548" s="738"/>
      <c r="S548" s="738"/>
      <c r="T548" s="738"/>
      <c r="U548" s="738"/>
      <c r="V548" s="739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customHeight="1" x14ac:dyDescent="0.25">
      <c r="A549" s="731" t="s">
        <v>86</v>
      </c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1"/>
      <c r="P549" s="731"/>
      <c r="Q549" s="731"/>
      <c r="R549" s="731"/>
      <c r="S549" s="731"/>
      <c r="T549" s="731"/>
      <c r="U549" s="731"/>
      <c r="V549" s="731"/>
      <c r="W549" s="731"/>
      <c r="X549" s="731"/>
      <c r="Y549" s="731"/>
      <c r="Z549" s="731"/>
      <c r="AA549" s="66"/>
      <c r="AB549" s="66"/>
      <c r="AC549" s="80"/>
    </row>
    <row r="550" spans="1:68" ht="27" customHeight="1" x14ac:dyDescent="0.25">
      <c r="A550" s="63" t="s">
        <v>872</v>
      </c>
      <c r="B550" s="63" t="s">
        <v>873</v>
      </c>
      <c r="C550" s="36">
        <v>4301052043</v>
      </c>
      <c r="D550" s="732">
        <v>4640242180533</v>
      </c>
      <c r="E550" s="732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45</v>
      </c>
      <c r="P550" s="102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734"/>
      <c r="R550" s="734"/>
      <c r="S550" s="734"/>
      <c r="T550" s="735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874</v>
      </c>
      <c r="AG550" s="78"/>
      <c r="AJ550" s="84" t="s">
        <v>46</v>
      </c>
      <c r="AK550" s="84">
        <v>0</v>
      </c>
      <c r="BB550" s="653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">
      <c r="A551" s="740"/>
      <c r="B551" s="740"/>
      <c r="C551" s="740"/>
      <c r="D551" s="740"/>
      <c r="E551" s="740"/>
      <c r="F551" s="740"/>
      <c r="G551" s="740"/>
      <c r="H551" s="740"/>
      <c r="I551" s="740"/>
      <c r="J551" s="740"/>
      <c r="K551" s="740"/>
      <c r="L551" s="740"/>
      <c r="M551" s="740"/>
      <c r="N551" s="740"/>
      <c r="O551" s="741"/>
      <c r="P551" s="737" t="s">
        <v>40</v>
      </c>
      <c r="Q551" s="738"/>
      <c r="R551" s="738"/>
      <c r="S551" s="738"/>
      <c r="T551" s="738"/>
      <c r="U551" s="738"/>
      <c r="V551" s="739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">
      <c r="A552" s="740"/>
      <c r="B552" s="740"/>
      <c r="C552" s="740"/>
      <c r="D552" s="740"/>
      <c r="E552" s="740"/>
      <c r="F552" s="740"/>
      <c r="G552" s="740"/>
      <c r="H552" s="740"/>
      <c r="I552" s="740"/>
      <c r="J552" s="740"/>
      <c r="K552" s="740"/>
      <c r="L552" s="740"/>
      <c r="M552" s="740"/>
      <c r="N552" s="740"/>
      <c r="O552" s="741"/>
      <c r="P552" s="737" t="s">
        <v>40</v>
      </c>
      <c r="Q552" s="738"/>
      <c r="R552" s="738"/>
      <c r="S552" s="738"/>
      <c r="T552" s="738"/>
      <c r="U552" s="738"/>
      <c r="V552" s="739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customHeight="1" x14ac:dyDescent="0.25">
      <c r="A553" s="731" t="s">
        <v>173</v>
      </c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1"/>
      <c r="P553" s="731"/>
      <c r="Q553" s="731"/>
      <c r="R553" s="731"/>
      <c r="S553" s="731"/>
      <c r="T553" s="731"/>
      <c r="U553" s="731"/>
      <c r="V553" s="731"/>
      <c r="W553" s="731"/>
      <c r="X553" s="731"/>
      <c r="Y553" s="731"/>
      <c r="Z553" s="731"/>
      <c r="AA553" s="66"/>
      <c r="AB553" s="66"/>
      <c r="AC553" s="80"/>
    </row>
    <row r="554" spans="1:68" ht="27" customHeight="1" x14ac:dyDescent="0.25">
      <c r="A554" s="63" t="s">
        <v>875</v>
      </c>
      <c r="B554" s="63" t="s">
        <v>876</v>
      </c>
      <c r="C554" s="36">
        <v>4301060535</v>
      </c>
      <c r="D554" s="732">
        <v>4640242180120</v>
      </c>
      <c r="E554" s="732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127</v>
      </c>
      <c r="L554" s="37" t="s">
        <v>46</v>
      </c>
      <c r="M554" s="38" t="s">
        <v>90</v>
      </c>
      <c r="N554" s="38"/>
      <c r="O554" s="37">
        <v>40</v>
      </c>
      <c r="P554" s="102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734"/>
      <c r="R554" s="734"/>
      <c r="S554" s="734"/>
      <c r="T554" s="735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877</v>
      </c>
      <c r="AG554" s="78"/>
      <c r="AJ554" s="84" t="s">
        <v>46</v>
      </c>
      <c r="AK554" s="84">
        <v>0</v>
      </c>
      <c r="BB554" s="655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customHeight="1" x14ac:dyDescent="0.25">
      <c r="A555" s="63" t="s">
        <v>878</v>
      </c>
      <c r="B555" s="63" t="s">
        <v>879</v>
      </c>
      <c r="C555" s="36">
        <v>4301060536</v>
      </c>
      <c r="D555" s="732">
        <v>4640242180137</v>
      </c>
      <c r="E555" s="732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734"/>
      <c r="R555" s="734"/>
      <c r="S555" s="734"/>
      <c r="T555" s="735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740"/>
      <c r="B556" s="740"/>
      <c r="C556" s="740"/>
      <c r="D556" s="740"/>
      <c r="E556" s="740"/>
      <c r="F556" s="740"/>
      <c r="G556" s="740"/>
      <c r="H556" s="740"/>
      <c r="I556" s="740"/>
      <c r="J556" s="740"/>
      <c r="K556" s="740"/>
      <c r="L556" s="740"/>
      <c r="M556" s="740"/>
      <c r="N556" s="740"/>
      <c r="O556" s="741"/>
      <c r="P556" s="737" t="s">
        <v>40</v>
      </c>
      <c r="Q556" s="738"/>
      <c r="R556" s="738"/>
      <c r="S556" s="738"/>
      <c r="T556" s="738"/>
      <c r="U556" s="738"/>
      <c r="V556" s="73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x14ac:dyDescent="0.2">
      <c r="A557" s="740"/>
      <c r="B557" s="740"/>
      <c r="C557" s="740"/>
      <c r="D557" s="740"/>
      <c r="E557" s="740"/>
      <c r="F557" s="740"/>
      <c r="G557" s="740"/>
      <c r="H557" s="740"/>
      <c r="I557" s="740"/>
      <c r="J557" s="740"/>
      <c r="K557" s="740"/>
      <c r="L557" s="740"/>
      <c r="M557" s="740"/>
      <c r="N557" s="740"/>
      <c r="O557" s="741"/>
      <c r="P557" s="737" t="s">
        <v>40</v>
      </c>
      <c r="Q557" s="738"/>
      <c r="R557" s="738"/>
      <c r="S557" s="738"/>
      <c r="T557" s="738"/>
      <c r="U557" s="738"/>
      <c r="V557" s="73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customHeight="1" x14ac:dyDescent="0.25">
      <c r="A558" s="730" t="s">
        <v>881</v>
      </c>
      <c r="B558" s="730"/>
      <c r="C558" s="730"/>
      <c r="D558" s="730"/>
      <c r="E558" s="730"/>
      <c r="F558" s="730"/>
      <c r="G558" s="730"/>
      <c r="H558" s="730"/>
      <c r="I558" s="730"/>
      <c r="J558" s="730"/>
      <c r="K558" s="730"/>
      <c r="L558" s="730"/>
      <c r="M558" s="730"/>
      <c r="N558" s="730"/>
      <c r="O558" s="730"/>
      <c r="P558" s="730"/>
      <c r="Q558" s="730"/>
      <c r="R558" s="730"/>
      <c r="S558" s="730"/>
      <c r="T558" s="730"/>
      <c r="U558" s="730"/>
      <c r="V558" s="730"/>
      <c r="W558" s="730"/>
      <c r="X558" s="730"/>
      <c r="Y558" s="730"/>
      <c r="Z558" s="730"/>
      <c r="AA558" s="65"/>
      <c r="AB558" s="65"/>
      <c r="AC558" s="79"/>
    </row>
    <row r="559" spans="1:68" ht="14.25" customHeight="1" x14ac:dyDescent="0.25">
      <c r="A559" s="731" t="s">
        <v>155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6"/>
      <c r="AB559" s="66"/>
      <c r="AC559" s="80"/>
    </row>
    <row r="560" spans="1:68" ht="27" customHeight="1" x14ac:dyDescent="0.25">
      <c r="A560" s="63" t="s">
        <v>882</v>
      </c>
      <c r="B560" s="63" t="s">
        <v>883</v>
      </c>
      <c r="C560" s="36">
        <v>4301020428</v>
      </c>
      <c r="D560" s="732">
        <v>4640242180090</v>
      </c>
      <c r="E560" s="732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127</v>
      </c>
      <c r="L560" s="37" t="s">
        <v>46</v>
      </c>
      <c r="M560" s="38" t="s">
        <v>126</v>
      </c>
      <c r="N560" s="38"/>
      <c r="O560" s="37">
        <v>50</v>
      </c>
      <c r="P560" s="10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734"/>
      <c r="R560" s="734"/>
      <c r="S560" s="734"/>
      <c r="T560" s="735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884</v>
      </c>
      <c r="AG560" s="78"/>
      <c r="AJ560" s="84" t="s">
        <v>46</v>
      </c>
      <c r="AK560" s="84">
        <v>0</v>
      </c>
      <c r="BB560" s="659" t="s">
        <v>67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x14ac:dyDescent="0.2">
      <c r="A561" s="740"/>
      <c r="B561" s="740"/>
      <c r="C561" s="740"/>
      <c r="D561" s="740"/>
      <c r="E561" s="740"/>
      <c r="F561" s="740"/>
      <c r="G561" s="740"/>
      <c r="H561" s="740"/>
      <c r="I561" s="740"/>
      <c r="J561" s="740"/>
      <c r="K561" s="740"/>
      <c r="L561" s="740"/>
      <c r="M561" s="740"/>
      <c r="N561" s="740"/>
      <c r="O561" s="741"/>
      <c r="P561" s="737" t="s">
        <v>40</v>
      </c>
      <c r="Q561" s="738"/>
      <c r="R561" s="738"/>
      <c r="S561" s="738"/>
      <c r="T561" s="738"/>
      <c r="U561" s="738"/>
      <c r="V561" s="739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x14ac:dyDescent="0.2">
      <c r="A562" s="740"/>
      <c r="B562" s="740"/>
      <c r="C562" s="740"/>
      <c r="D562" s="740"/>
      <c r="E562" s="740"/>
      <c r="F562" s="740"/>
      <c r="G562" s="740"/>
      <c r="H562" s="740"/>
      <c r="I562" s="740"/>
      <c r="J562" s="740"/>
      <c r="K562" s="740"/>
      <c r="L562" s="740"/>
      <c r="M562" s="740"/>
      <c r="N562" s="740"/>
      <c r="O562" s="741"/>
      <c r="P562" s="737" t="s">
        <v>40</v>
      </c>
      <c r="Q562" s="738"/>
      <c r="R562" s="738"/>
      <c r="S562" s="738"/>
      <c r="T562" s="738"/>
      <c r="U562" s="738"/>
      <c r="V562" s="739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740"/>
      <c r="B563" s="740"/>
      <c r="C563" s="740"/>
      <c r="D563" s="740"/>
      <c r="E563" s="740"/>
      <c r="F563" s="740"/>
      <c r="G563" s="740"/>
      <c r="H563" s="740"/>
      <c r="I563" s="740"/>
      <c r="J563" s="740"/>
      <c r="K563" s="740"/>
      <c r="L563" s="740"/>
      <c r="M563" s="740"/>
      <c r="N563" s="740"/>
      <c r="O563" s="1031"/>
      <c r="P563" s="1028" t="s">
        <v>33</v>
      </c>
      <c r="Q563" s="1029"/>
      <c r="R563" s="1029"/>
      <c r="S563" s="1029"/>
      <c r="T563" s="1029"/>
      <c r="U563" s="1029"/>
      <c r="V563" s="1030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0</v>
      </c>
      <c r="Z563" s="42"/>
      <c r="AA563" s="67"/>
      <c r="AB563" s="67"/>
      <c r="AC563" s="67"/>
    </row>
    <row r="564" spans="1:32" x14ac:dyDescent="0.2">
      <c r="A564" s="740"/>
      <c r="B564" s="740"/>
      <c r="C564" s="740"/>
      <c r="D564" s="740"/>
      <c r="E564" s="740"/>
      <c r="F564" s="740"/>
      <c r="G564" s="740"/>
      <c r="H564" s="740"/>
      <c r="I564" s="740"/>
      <c r="J564" s="740"/>
      <c r="K564" s="740"/>
      <c r="L564" s="740"/>
      <c r="M564" s="740"/>
      <c r="N564" s="740"/>
      <c r="O564" s="1031"/>
      <c r="P564" s="1028" t="s">
        <v>34</v>
      </c>
      <c r="Q564" s="1029"/>
      <c r="R564" s="1029"/>
      <c r="S564" s="1029"/>
      <c r="T564" s="1029"/>
      <c r="U564" s="1029"/>
      <c r="V564" s="1030"/>
      <c r="W564" s="42" t="s">
        <v>0</v>
      </c>
      <c r="X564" s="43">
        <f>IFERROR(SUM(BM22:BM560),"0")</f>
        <v>0</v>
      </c>
      <c r="Y564" s="43">
        <f>IFERROR(SUM(BN22:BN560),"0")</f>
        <v>0</v>
      </c>
      <c r="Z564" s="42"/>
      <c r="AA564" s="67"/>
      <c r="AB564" s="67"/>
      <c r="AC564" s="67"/>
    </row>
    <row r="565" spans="1:32" x14ac:dyDescent="0.2">
      <c r="A565" s="740"/>
      <c r="B565" s="740"/>
      <c r="C565" s="740"/>
      <c r="D565" s="740"/>
      <c r="E565" s="740"/>
      <c r="F565" s="740"/>
      <c r="G565" s="740"/>
      <c r="H565" s="740"/>
      <c r="I565" s="740"/>
      <c r="J565" s="740"/>
      <c r="K565" s="740"/>
      <c r="L565" s="740"/>
      <c r="M565" s="740"/>
      <c r="N565" s="740"/>
      <c r="O565" s="1031"/>
      <c r="P565" s="1028" t="s">
        <v>35</v>
      </c>
      <c r="Q565" s="1029"/>
      <c r="R565" s="1029"/>
      <c r="S565" s="1029"/>
      <c r="T565" s="1029"/>
      <c r="U565" s="1029"/>
      <c r="V565" s="1030"/>
      <c r="W565" s="42" t="s">
        <v>20</v>
      </c>
      <c r="X565" s="44">
        <f>ROUNDUP(SUM(BO22:BO560),0)</f>
        <v>0</v>
      </c>
      <c r="Y565" s="44">
        <f>ROUNDUP(SUM(BP22:BP560),0)</f>
        <v>0</v>
      </c>
      <c r="Z565" s="42"/>
      <c r="AA565" s="67"/>
      <c r="AB565" s="67"/>
      <c r="AC565" s="67"/>
    </row>
    <row r="566" spans="1:32" x14ac:dyDescent="0.2">
      <c r="A566" s="740"/>
      <c r="B566" s="740"/>
      <c r="C566" s="740"/>
      <c r="D566" s="740"/>
      <c r="E566" s="740"/>
      <c r="F566" s="740"/>
      <c r="G566" s="740"/>
      <c r="H566" s="740"/>
      <c r="I566" s="740"/>
      <c r="J566" s="740"/>
      <c r="K566" s="740"/>
      <c r="L566" s="740"/>
      <c r="M566" s="740"/>
      <c r="N566" s="740"/>
      <c r="O566" s="1031"/>
      <c r="P566" s="1028" t="s">
        <v>36</v>
      </c>
      <c r="Q566" s="1029"/>
      <c r="R566" s="1029"/>
      <c r="S566" s="1029"/>
      <c r="T566" s="1029"/>
      <c r="U566" s="1029"/>
      <c r="V566" s="1030"/>
      <c r="W566" s="42" t="s">
        <v>0</v>
      </c>
      <c r="X566" s="43">
        <f>GrossWeightTotal+PalletQtyTotal*25</f>
        <v>0</v>
      </c>
      <c r="Y566" s="43">
        <f>GrossWeightTotalR+PalletQtyTotalR*25</f>
        <v>0</v>
      </c>
      <c r="Z566" s="42"/>
      <c r="AA566" s="67"/>
      <c r="AB566" s="67"/>
      <c r="AC566" s="67"/>
    </row>
    <row r="567" spans="1:32" x14ac:dyDescent="0.2">
      <c r="A567" s="740"/>
      <c r="B567" s="740"/>
      <c r="C567" s="740"/>
      <c r="D567" s="740"/>
      <c r="E567" s="740"/>
      <c r="F567" s="740"/>
      <c r="G567" s="740"/>
      <c r="H567" s="740"/>
      <c r="I567" s="740"/>
      <c r="J567" s="740"/>
      <c r="K567" s="740"/>
      <c r="L567" s="740"/>
      <c r="M567" s="740"/>
      <c r="N567" s="740"/>
      <c r="O567" s="1031"/>
      <c r="P567" s="1028" t="s">
        <v>37</v>
      </c>
      <c r="Q567" s="1029"/>
      <c r="R567" s="1029"/>
      <c r="S567" s="1029"/>
      <c r="T567" s="1029"/>
      <c r="U567" s="1029"/>
      <c r="V567" s="1030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0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0</v>
      </c>
      <c r="Z567" s="42"/>
      <c r="AA567" s="67"/>
      <c r="AB567" s="67"/>
      <c r="AC567" s="67"/>
    </row>
    <row r="568" spans="1:32" ht="14.25" x14ac:dyDescent="0.2">
      <c r="A568" s="740"/>
      <c r="B568" s="740"/>
      <c r="C568" s="740"/>
      <c r="D568" s="740"/>
      <c r="E568" s="740"/>
      <c r="F568" s="740"/>
      <c r="G568" s="740"/>
      <c r="H568" s="740"/>
      <c r="I568" s="740"/>
      <c r="J568" s="740"/>
      <c r="K568" s="740"/>
      <c r="L568" s="740"/>
      <c r="M568" s="740"/>
      <c r="N568" s="740"/>
      <c r="O568" s="1031"/>
      <c r="P568" s="1028" t="s">
        <v>38</v>
      </c>
      <c r="Q568" s="1029"/>
      <c r="R568" s="1029"/>
      <c r="S568" s="1029"/>
      <c r="T568" s="1029"/>
      <c r="U568" s="1029"/>
      <c r="V568" s="1030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0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76</v>
      </c>
      <c r="C570" s="85" t="s">
        <v>45</v>
      </c>
      <c r="D570" s="1026" t="s">
        <v>120</v>
      </c>
      <c r="E570" s="1026" t="s">
        <v>120</v>
      </c>
      <c r="F570" s="1026" t="s">
        <v>120</v>
      </c>
      <c r="G570" s="1026" t="s">
        <v>120</v>
      </c>
      <c r="H570" s="1026" t="s">
        <v>120</v>
      </c>
      <c r="I570" s="1026" t="s">
        <v>120</v>
      </c>
      <c r="J570" s="1026" t="s">
        <v>120</v>
      </c>
      <c r="K570" s="1026" t="s">
        <v>370</v>
      </c>
      <c r="L570" s="1026" t="s">
        <v>370</v>
      </c>
      <c r="M570" s="1026" t="s">
        <v>370</v>
      </c>
      <c r="N570" s="1032"/>
      <c r="O570" s="1026" t="s">
        <v>370</v>
      </c>
      <c r="P570" s="1026" t="s">
        <v>370</v>
      </c>
      <c r="Q570" s="1026" t="s">
        <v>370</v>
      </c>
      <c r="R570" s="1026" t="s">
        <v>370</v>
      </c>
      <c r="S570" s="1026" t="s">
        <v>370</v>
      </c>
      <c r="T570" s="1026" t="s">
        <v>370</v>
      </c>
      <c r="U570" s="1026" t="s">
        <v>370</v>
      </c>
      <c r="V570" s="1026" t="s">
        <v>370</v>
      </c>
      <c r="W570" s="1026" t="s">
        <v>713</v>
      </c>
      <c r="X570" s="1026" t="s">
        <v>713</v>
      </c>
      <c r="Y570" s="1026" t="s">
        <v>779</v>
      </c>
      <c r="Z570" s="1026" t="s">
        <v>779</v>
      </c>
      <c r="AA570" s="85" t="s">
        <v>815</v>
      </c>
      <c r="AB570" s="1026" t="s">
        <v>862</v>
      </c>
      <c r="AC570" s="1026" t="s">
        <v>862</v>
      </c>
      <c r="AF570" s="1"/>
    </row>
    <row r="571" spans="1:32" ht="14.25" customHeight="1" thickTop="1" x14ac:dyDescent="0.2">
      <c r="A571" s="1033" t="s">
        <v>10</v>
      </c>
      <c r="B571" s="1026" t="s">
        <v>76</v>
      </c>
      <c r="C571" s="1026" t="s">
        <v>104</v>
      </c>
      <c r="D571" s="1026" t="s">
        <v>121</v>
      </c>
      <c r="E571" s="1026" t="s">
        <v>137</v>
      </c>
      <c r="F571" s="1026" t="s">
        <v>182</v>
      </c>
      <c r="G571" s="1026" t="s">
        <v>212</v>
      </c>
      <c r="H571" s="1026" t="s">
        <v>265</v>
      </c>
      <c r="I571" s="1026" t="s">
        <v>278</v>
      </c>
      <c r="J571" s="1026" t="s">
        <v>120</v>
      </c>
      <c r="K571" s="1026" t="s">
        <v>371</v>
      </c>
      <c r="L571" s="1026" t="s">
        <v>392</v>
      </c>
      <c r="M571" s="1026" t="s">
        <v>459</v>
      </c>
      <c r="N571" s="1"/>
      <c r="O571" s="1026" t="s">
        <v>527</v>
      </c>
      <c r="P571" s="1026" t="s">
        <v>560</v>
      </c>
      <c r="Q571" s="1026" t="s">
        <v>576</v>
      </c>
      <c r="R571" s="1026" t="s">
        <v>585</v>
      </c>
      <c r="S571" s="1026" t="s">
        <v>606</v>
      </c>
      <c r="T571" s="1026" t="s">
        <v>615</v>
      </c>
      <c r="U571" s="1026" t="s">
        <v>696</v>
      </c>
      <c r="V571" s="1026" t="s">
        <v>703</v>
      </c>
      <c r="W571" s="1026" t="s">
        <v>714</v>
      </c>
      <c r="X571" s="1026" t="s">
        <v>763</v>
      </c>
      <c r="Y571" s="1026" t="s">
        <v>780</v>
      </c>
      <c r="Z571" s="1026" t="s">
        <v>803</v>
      </c>
      <c r="AA571" s="1026" t="s">
        <v>815</v>
      </c>
      <c r="AB571" s="1026" t="s">
        <v>862</v>
      </c>
      <c r="AC571" s="1026" t="s">
        <v>881</v>
      </c>
      <c r="AF571" s="1"/>
    </row>
    <row r="572" spans="1:32" ht="13.5" thickBot="1" x14ac:dyDescent="0.25">
      <c r="A572" s="1034"/>
      <c r="B572" s="1026"/>
      <c r="C572" s="1026"/>
      <c r="D572" s="1026"/>
      <c r="E572" s="1026"/>
      <c r="F572" s="1026"/>
      <c r="G572" s="1026"/>
      <c r="H572" s="1026"/>
      <c r="I572" s="1026"/>
      <c r="J572" s="1026"/>
      <c r="K572" s="1026"/>
      <c r="L572" s="1026"/>
      <c r="M572" s="1026"/>
      <c r="N572" s="1"/>
      <c r="O572" s="1026"/>
      <c r="P572" s="1026"/>
      <c r="Q572" s="1026"/>
      <c r="R572" s="1026"/>
      <c r="S572" s="1026"/>
      <c r="T572" s="1026"/>
      <c r="U572" s="1026"/>
      <c r="V572" s="1026"/>
      <c r="W572" s="1026"/>
      <c r="X572" s="1026"/>
      <c r="Y572" s="1026"/>
      <c r="Z572" s="1026"/>
      <c r="AA572" s="1026"/>
      <c r="AB572" s="1026"/>
      <c r="AC572" s="1026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0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1"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9"/>
    </row>
    <row r="3" spans="2:8" x14ac:dyDescent="0.2">
      <c r="B3" s="53" t="s">
        <v>886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888</v>
      </c>
      <c r="C6" s="53" t="s">
        <v>889</v>
      </c>
      <c r="D6" s="53" t="s">
        <v>890</v>
      </c>
      <c r="E6" s="53" t="s">
        <v>46</v>
      </c>
    </row>
    <row r="7" spans="2:8" x14ac:dyDescent="0.2">
      <c r="B7" s="53" t="s">
        <v>891</v>
      </c>
      <c r="C7" s="53" t="s">
        <v>892</v>
      </c>
      <c r="D7" s="53" t="s">
        <v>893</v>
      </c>
      <c r="E7" s="53" t="s">
        <v>46</v>
      </c>
    </row>
    <row r="8" spans="2:8" x14ac:dyDescent="0.2">
      <c r="B8" s="53" t="s">
        <v>894</v>
      </c>
      <c r="C8" s="53" t="s">
        <v>895</v>
      </c>
      <c r="D8" s="53" t="s">
        <v>896</v>
      </c>
      <c r="E8" s="53" t="s">
        <v>46</v>
      </c>
    </row>
    <row r="9" spans="2:8" x14ac:dyDescent="0.2">
      <c r="B9" s="53" t="s">
        <v>897</v>
      </c>
      <c r="C9" s="53" t="s">
        <v>898</v>
      </c>
      <c r="D9" s="53" t="s">
        <v>899</v>
      </c>
      <c r="E9" s="53" t="s">
        <v>46</v>
      </c>
    </row>
    <row r="10" spans="2:8" x14ac:dyDescent="0.2">
      <c r="B10" s="53" t="s">
        <v>900</v>
      </c>
      <c r="C10" s="53" t="s">
        <v>901</v>
      </c>
      <c r="D10" s="53" t="s">
        <v>902</v>
      </c>
      <c r="E10" s="53" t="s">
        <v>46</v>
      </c>
    </row>
    <row r="11" spans="2:8" x14ac:dyDescent="0.2">
      <c r="B11" s="53" t="s">
        <v>903</v>
      </c>
      <c r="C11" s="53" t="s">
        <v>904</v>
      </c>
      <c r="D11" s="53" t="s">
        <v>905</v>
      </c>
      <c r="E11" s="53" t="s">
        <v>46</v>
      </c>
    </row>
    <row r="12" spans="2:8" x14ac:dyDescent="0.2">
      <c r="B12" s="53" t="s">
        <v>906</v>
      </c>
      <c r="C12" s="53" t="s">
        <v>907</v>
      </c>
      <c r="D12" s="53" t="s">
        <v>908</v>
      </c>
      <c r="E12" s="53" t="s">
        <v>46</v>
      </c>
    </row>
    <row r="14" spans="2:8" x14ac:dyDescent="0.2">
      <c r="B14" s="53" t="s">
        <v>909</v>
      </c>
      <c r="C14" s="53" t="s">
        <v>889</v>
      </c>
      <c r="D14" s="53" t="s">
        <v>46</v>
      </c>
      <c r="E14" s="53" t="s">
        <v>46</v>
      </c>
    </row>
    <row r="16" spans="2:8" x14ac:dyDescent="0.2">
      <c r="B16" s="53" t="s">
        <v>910</v>
      </c>
      <c r="C16" s="53" t="s">
        <v>892</v>
      </c>
      <c r="D16" s="53" t="s">
        <v>46</v>
      </c>
      <c r="E16" s="53" t="s">
        <v>46</v>
      </c>
    </row>
    <row r="18" spans="2:5" x14ac:dyDescent="0.2">
      <c r="B18" s="53" t="s">
        <v>911</v>
      </c>
      <c r="C18" s="53" t="s">
        <v>895</v>
      </c>
      <c r="D18" s="53" t="s">
        <v>46</v>
      </c>
      <c r="E18" s="53" t="s">
        <v>46</v>
      </c>
    </row>
    <row r="20" spans="2:5" x14ac:dyDescent="0.2">
      <c r="B20" s="53" t="s">
        <v>912</v>
      </c>
      <c r="C20" s="53" t="s">
        <v>898</v>
      </c>
      <c r="D20" s="53" t="s">
        <v>46</v>
      </c>
      <c r="E20" s="53" t="s">
        <v>46</v>
      </c>
    </row>
    <row r="22" spans="2:5" x14ac:dyDescent="0.2">
      <c r="B22" s="53" t="s">
        <v>913</v>
      </c>
      <c r="C22" s="53" t="s">
        <v>901</v>
      </c>
      <c r="D22" s="53" t="s">
        <v>46</v>
      </c>
      <c r="E22" s="53" t="s">
        <v>46</v>
      </c>
    </row>
    <row r="24" spans="2:5" x14ac:dyDescent="0.2">
      <c r="B24" s="53" t="s">
        <v>914</v>
      </c>
      <c r="C24" s="53" t="s">
        <v>904</v>
      </c>
      <c r="D24" s="53" t="s">
        <v>46</v>
      </c>
      <c r="E24" s="53" t="s">
        <v>46</v>
      </c>
    </row>
    <row r="26" spans="2:5" x14ac:dyDescent="0.2">
      <c r="B26" s="53" t="s">
        <v>915</v>
      </c>
      <c r="C26" s="53" t="s">
        <v>907</v>
      </c>
      <c r="D26" s="53" t="s">
        <v>46</v>
      </c>
      <c r="E26" s="53" t="s">
        <v>46</v>
      </c>
    </row>
    <row r="28" spans="2:5" x14ac:dyDescent="0.2">
      <c r="B28" s="53" t="s">
        <v>916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920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926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1202</vt:i4>
      </vt:variant>
    </vt:vector>
  </HeadingPairs>
  <TitlesOfParts>
    <vt:vector size="120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2026-09-04T09:46:42Z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