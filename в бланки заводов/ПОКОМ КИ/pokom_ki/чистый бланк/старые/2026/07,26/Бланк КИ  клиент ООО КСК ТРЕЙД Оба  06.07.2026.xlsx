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04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Y524" i="2"/>
  <c r="X524" i="2"/>
  <c r="Y523" i="2"/>
  <c r="X523" i="2"/>
  <c r="BP522" i="2"/>
  <c r="BO522" i="2"/>
  <c r="BN522" i="2"/>
  <c r="BM522" i="2"/>
  <c r="Y522" i="2"/>
  <c r="Z522" i="2" s="1"/>
  <c r="P522" i="2"/>
  <c r="BO521" i="2"/>
  <c r="BM521" i="2"/>
  <c r="Y521" i="2"/>
  <c r="P521" i="2"/>
  <c r="Y519" i="2"/>
  <c r="X519" i="2"/>
  <c r="X518" i="2"/>
  <c r="BO517" i="2"/>
  <c r="BM517" i="2"/>
  <c r="Y517" i="2"/>
  <c r="BP517" i="2" s="1"/>
  <c r="P517" i="2"/>
  <c r="X515" i="2"/>
  <c r="Y514" i="2"/>
  <c r="X514" i="2"/>
  <c r="BP513" i="2"/>
  <c r="BO513" i="2"/>
  <c r="BN513" i="2"/>
  <c r="BM513" i="2"/>
  <c r="Z513" i="2"/>
  <c r="Y513" i="2"/>
  <c r="P513" i="2"/>
  <c r="BP512" i="2"/>
  <c r="BO512" i="2"/>
  <c r="BM512" i="2"/>
  <c r="Z512" i="2"/>
  <c r="Z514" i="2" s="1"/>
  <c r="Y512" i="2"/>
  <c r="BN512" i="2" s="1"/>
  <c r="P512" i="2"/>
  <c r="Y510" i="2"/>
  <c r="X510" i="2"/>
  <c r="Z509" i="2"/>
  <c r="Y509" i="2"/>
  <c r="X509" i="2"/>
  <c r="BP508" i="2"/>
  <c r="BO508" i="2"/>
  <c r="BN508" i="2"/>
  <c r="BM508" i="2"/>
  <c r="Z508" i="2"/>
  <c r="Y508" i="2"/>
  <c r="P508" i="2"/>
  <c r="X506" i="2"/>
  <c r="X505" i="2"/>
  <c r="BO504" i="2"/>
  <c r="BM504" i="2"/>
  <c r="Y504" i="2"/>
  <c r="P504" i="2"/>
  <c r="Y500" i="2"/>
  <c r="X500" i="2"/>
  <c r="X499" i="2"/>
  <c r="BP498" i="2"/>
  <c r="BO498" i="2"/>
  <c r="BM498" i="2"/>
  <c r="Z498" i="2"/>
  <c r="Y498" i="2"/>
  <c r="BN498" i="2" s="1"/>
  <c r="P498" i="2"/>
  <c r="BO497" i="2"/>
  <c r="BM497" i="2"/>
  <c r="Y497" i="2"/>
  <c r="P497" i="2"/>
  <c r="BP496" i="2"/>
  <c r="BO496" i="2"/>
  <c r="BN496" i="2"/>
  <c r="BM496" i="2"/>
  <c r="Z496" i="2"/>
  <c r="Y496" i="2"/>
  <c r="P496" i="2"/>
  <c r="BO495" i="2"/>
  <c r="BM495" i="2"/>
  <c r="Z495" i="2"/>
  <c r="Y495" i="2"/>
  <c r="BP495" i="2" s="1"/>
  <c r="P495" i="2"/>
  <c r="BP494" i="2"/>
  <c r="BO494" i="2"/>
  <c r="BN494" i="2"/>
  <c r="BM494" i="2"/>
  <c r="Z494" i="2"/>
  <c r="Y494" i="2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P488" i="2"/>
  <c r="BO488" i="2"/>
  <c r="BM488" i="2"/>
  <c r="Z488" i="2"/>
  <c r="Y488" i="2"/>
  <c r="BN488" i="2" s="1"/>
  <c r="P488" i="2"/>
  <c r="BO487" i="2"/>
  <c r="BM487" i="2"/>
  <c r="Y487" i="2"/>
  <c r="P487" i="2"/>
  <c r="BP486" i="2"/>
  <c r="BO486" i="2"/>
  <c r="BN486" i="2"/>
  <c r="BM486" i="2"/>
  <c r="Z486" i="2"/>
  <c r="Y486" i="2"/>
  <c r="P486" i="2"/>
  <c r="X484" i="2"/>
  <c r="X483" i="2"/>
  <c r="BO482" i="2"/>
  <c r="BM482" i="2"/>
  <c r="Y482" i="2"/>
  <c r="BP482" i="2" s="1"/>
  <c r="P482" i="2"/>
  <c r="BP481" i="2"/>
  <c r="BO481" i="2"/>
  <c r="BM481" i="2"/>
  <c r="Y481" i="2"/>
  <c r="BN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BP478" i="2"/>
  <c r="BO478" i="2"/>
  <c r="BM478" i="2"/>
  <c r="Z478" i="2"/>
  <c r="Y478" i="2"/>
  <c r="BN478" i="2" s="1"/>
  <c r="P478" i="2"/>
  <c r="BO477" i="2"/>
  <c r="BM477" i="2"/>
  <c r="Y477" i="2"/>
  <c r="P477" i="2"/>
  <c r="BP476" i="2"/>
  <c r="BO476" i="2"/>
  <c r="BN476" i="2"/>
  <c r="BM476" i="2"/>
  <c r="Z476" i="2"/>
  <c r="Y476" i="2"/>
  <c r="P476" i="2"/>
  <c r="BO475" i="2"/>
  <c r="BM475" i="2"/>
  <c r="Z475" i="2"/>
  <c r="Y475" i="2"/>
  <c r="BP475" i="2" s="1"/>
  <c r="P475" i="2"/>
  <c r="BP474" i="2"/>
  <c r="BO474" i="2"/>
  <c r="BN474" i="2"/>
  <c r="BM474" i="2"/>
  <c r="Z474" i="2"/>
  <c r="Y474" i="2"/>
  <c r="P474" i="2"/>
  <c r="X470" i="2"/>
  <c r="X469" i="2"/>
  <c r="BO468" i="2"/>
  <c r="BM468" i="2"/>
  <c r="Y468" i="2"/>
  <c r="BP468" i="2" s="1"/>
  <c r="P468" i="2"/>
  <c r="BP467" i="2"/>
  <c r="BO467" i="2"/>
  <c r="BN467" i="2"/>
  <c r="BM467" i="2"/>
  <c r="Z467" i="2"/>
  <c r="Y467" i="2"/>
  <c r="P467" i="2"/>
  <c r="BP466" i="2"/>
  <c r="BO466" i="2"/>
  <c r="BM466" i="2"/>
  <c r="Z466" i="2"/>
  <c r="Y466" i="2"/>
  <c r="Y470" i="2" s="1"/>
  <c r="P466" i="2"/>
  <c r="Y464" i="2"/>
  <c r="X464" i="2"/>
  <c r="Z463" i="2"/>
  <c r="Y463" i="2"/>
  <c r="X463" i="2"/>
  <c r="BP462" i="2"/>
  <c r="BO462" i="2"/>
  <c r="BN462" i="2"/>
  <c r="BM462" i="2"/>
  <c r="Z462" i="2"/>
  <c r="Y462" i="2"/>
  <c r="Y540" i="2" s="1"/>
  <c r="P462" i="2"/>
  <c r="X459" i="2"/>
  <c r="X458" i="2"/>
  <c r="BO457" i="2"/>
  <c r="BM457" i="2"/>
  <c r="Z457" i="2"/>
  <c r="Y457" i="2"/>
  <c r="P457" i="2"/>
  <c r="BP456" i="2"/>
  <c r="BO456" i="2"/>
  <c r="BM456" i="2"/>
  <c r="Y456" i="2"/>
  <c r="Z456" i="2" s="1"/>
  <c r="Z458" i="2" s="1"/>
  <c r="P456" i="2"/>
  <c r="X454" i="2"/>
  <c r="X453" i="2"/>
  <c r="BO452" i="2"/>
  <c r="BM452" i="2"/>
  <c r="Z452" i="2"/>
  <c r="Y452" i="2"/>
  <c r="P452" i="2"/>
  <c r="BP451" i="2"/>
  <c r="BO451" i="2"/>
  <c r="BN451" i="2"/>
  <c r="BM451" i="2"/>
  <c r="Z451" i="2"/>
  <c r="Y451" i="2"/>
  <c r="P451" i="2"/>
  <c r="BO450" i="2"/>
  <c r="BM450" i="2"/>
  <c r="Z450" i="2"/>
  <c r="Y450" i="2"/>
  <c r="BP450" i="2" s="1"/>
  <c r="P450" i="2"/>
  <c r="BP449" i="2"/>
  <c r="BO449" i="2"/>
  <c r="BN449" i="2"/>
  <c r="BM449" i="2"/>
  <c r="Z449" i="2"/>
  <c r="Y449" i="2"/>
  <c r="P449" i="2"/>
  <c r="BO448" i="2"/>
  <c r="BM448" i="2"/>
  <c r="Y448" i="2"/>
  <c r="BP448" i="2" s="1"/>
  <c r="P448" i="2"/>
  <c r="BO447" i="2"/>
  <c r="BM447" i="2"/>
  <c r="Y447" i="2"/>
  <c r="P447" i="2"/>
  <c r="Y443" i="2"/>
  <c r="X443" i="2"/>
  <c r="X442" i="2"/>
  <c r="BP441" i="2"/>
  <c r="BO441" i="2"/>
  <c r="BM441" i="2"/>
  <c r="Z441" i="2"/>
  <c r="Y441" i="2"/>
  <c r="BN441" i="2" s="1"/>
  <c r="P441" i="2"/>
  <c r="BO440" i="2"/>
  <c r="BM440" i="2"/>
  <c r="Z440" i="2"/>
  <c r="Y440" i="2"/>
  <c r="P440" i="2"/>
  <c r="BP439" i="2"/>
  <c r="BO439" i="2"/>
  <c r="BN439" i="2"/>
  <c r="BM439" i="2"/>
  <c r="Z439" i="2"/>
  <c r="Z442" i="2" s="1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Y427" i="2"/>
  <c r="X427" i="2"/>
  <c r="X426" i="2"/>
  <c r="BO425" i="2"/>
  <c r="BM425" i="2"/>
  <c r="Z425" i="2"/>
  <c r="Z426" i="2" s="1"/>
  <c r="Y425" i="2"/>
  <c r="Y426" i="2" s="1"/>
  <c r="P425" i="2"/>
  <c r="Y423" i="2"/>
  <c r="X423" i="2"/>
  <c r="Y422" i="2"/>
  <c r="X422" i="2"/>
  <c r="BP421" i="2"/>
  <c r="BO421" i="2"/>
  <c r="BM421" i="2"/>
  <c r="Y421" i="2"/>
  <c r="BN421" i="2" s="1"/>
  <c r="P421" i="2"/>
  <c r="BO420" i="2"/>
  <c r="BM420" i="2"/>
  <c r="Y420" i="2"/>
  <c r="BP420" i="2" s="1"/>
  <c r="P420" i="2"/>
  <c r="X418" i="2"/>
  <c r="X417" i="2"/>
  <c r="BP416" i="2"/>
  <c r="BO416" i="2"/>
  <c r="BN416" i="2"/>
  <c r="BM416" i="2"/>
  <c r="Y416" i="2"/>
  <c r="Z416" i="2" s="1"/>
  <c r="P416" i="2"/>
  <c r="BO415" i="2"/>
  <c r="BM415" i="2"/>
  <c r="Y415" i="2"/>
  <c r="P415" i="2"/>
  <c r="BP414" i="2"/>
  <c r="BO414" i="2"/>
  <c r="BN414" i="2"/>
  <c r="BM414" i="2"/>
  <c r="Z414" i="2"/>
  <c r="Y414" i="2"/>
  <c r="P414" i="2"/>
  <c r="X412" i="2"/>
  <c r="X411" i="2"/>
  <c r="BO410" i="2"/>
  <c r="BM410" i="2"/>
  <c r="Y410" i="2"/>
  <c r="P410" i="2"/>
  <c r="BP409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P406" i="2"/>
  <c r="BO406" i="2"/>
  <c r="BN406" i="2"/>
  <c r="BM406" i="2"/>
  <c r="Y406" i="2"/>
  <c r="Z406" i="2" s="1"/>
  <c r="P406" i="2"/>
  <c r="BO405" i="2"/>
  <c r="BM405" i="2"/>
  <c r="Y405" i="2"/>
  <c r="P405" i="2"/>
  <c r="BP404" i="2"/>
  <c r="BO404" i="2"/>
  <c r="BN404" i="2"/>
  <c r="BM404" i="2"/>
  <c r="Z404" i="2"/>
  <c r="Y404" i="2"/>
  <c r="P404" i="2"/>
  <c r="BO403" i="2"/>
  <c r="BM403" i="2"/>
  <c r="Y403" i="2"/>
  <c r="Y412" i="2" s="1"/>
  <c r="P403" i="2"/>
  <c r="X399" i="2"/>
  <c r="Y398" i="2"/>
  <c r="X398" i="2"/>
  <c r="BP397" i="2"/>
  <c r="BO397" i="2"/>
  <c r="BM397" i="2"/>
  <c r="Y397" i="2"/>
  <c r="Z397" i="2" s="1"/>
  <c r="P397" i="2"/>
  <c r="BO396" i="2"/>
  <c r="BM396" i="2"/>
  <c r="Y396" i="2"/>
  <c r="BN396" i="2" s="1"/>
  <c r="P396" i="2"/>
  <c r="BO395" i="2"/>
  <c r="BM395" i="2"/>
  <c r="Z395" i="2"/>
  <c r="Y395" i="2"/>
  <c r="P395" i="2"/>
  <c r="X392" i="2"/>
  <c r="X391" i="2"/>
  <c r="BO390" i="2"/>
  <c r="BM390" i="2"/>
  <c r="Z390" i="2"/>
  <c r="Y390" i="2"/>
  <c r="BP390" i="2" s="1"/>
  <c r="P390" i="2"/>
  <c r="BP389" i="2"/>
  <c r="BO389" i="2"/>
  <c r="BN389" i="2"/>
  <c r="BM389" i="2"/>
  <c r="Z389" i="2"/>
  <c r="Y389" i="2"/>
  <c r="P389" i="2"/>
  <c r="BO388" i="2"/>
  <c r="BM388" i="2"/>
  <c r="Y388" i="2"/>
  <c r="Y392" i="2" s="1"/>
  <c r="P388" i="2"/>
  <c r="X386" i="2"/>
  <c r="X385" i="2"/>
  <c r="BP384" i="2"/>
  <c r="BO384" i="2"/>
  <c r="BN384" i="2"/>
  <c r="BM384" i="2"/>
  <c r="Z384" i="2"/>
  <c r="Y384" i="2"/>
  <c r="P384" i="2"/>
  <c r="BP383" i="2"/>
  <c r="BO383" i="2"/>
  <c r="BM383" i="2"/>
  <c r="Z383" i="2"/>
  <c r="Y383" i="2"/>
  <c r="BN383" i="2" s="1"/>
  <c r="P383" i="2"/>
  <c r="BO382" i="2"/>
  <c r="BM382" i="2"/>
  <c r="Y382" i="2"/>
  <c r="P382" i="2"/>
  <c r="BP381" i="2"/>
  <c r="BO381" i="2"/>
  <c r="BN381" i="2"/>
  <c r="BM381" i="2"/>
  <c r="Z381" i="2"/>
  <c r="Y381" i="2"/>
  <c r="P381" i="2"/>
  <c r="X379" i="2"/>
  <c r="X378" i="2"/>
  <c r="BO377" i="2"/>
  <c r="BM377" i="2"/>
  <c r="Y377" i="2"/>
  <c r="BP377" i="2" s="1"/>
  <c r="P377" i="2"/>
  <c r="BP376" i="2"/>
  <c r="BO376" i="2"/>
  <c r="BM376" i="2"/>
  <c r="Y376" i="2"/>
  <c r="BN376" i="2" s="1"/>
  <c r="P376" i="2"/>
  <c r="BO375" i="2"/>
  <c r="BM375" i="2"/>
  <c r="Y375" i="2"/>
  <c r="BP375" i="2" s="1"/>
  <c r="P375" i="2"/>
  <c r="Y373" i="2"/>
  <c r="X373" i="2"/>
  <c r="Y372" i="2"/>
  <c r="X372" i="2"/>
  <c r="BP371" i="2"/>
  <c r="BO371" i="2"/>
  <c r="BN371" i="2"/>
  <c r="BM371" i="2"/>
  <c r="Y371" i="2"/>
  <c r="Z371" i="2" s="1"/>
  <c r="P371" i="2"/>
  <c r="BO370" i="2"/>
  <c r="BN370" i="2"/>
  <c r="BM370" i="2"/>
  <c r="Y370" i="2"/>
  <c r="P370" i="2"/>
  <c r="BP369" i="2"/>
  <c r="BO369" i="2"/>
  <c r="BN369" i="2"/>
  <c r="BM369" i="2"/>
  <c r="Z369" i="2"/>
  <c r="Y369" i="2"/>
  <c r="P369" i="2"/>
  <c r="BO368" i="2"/>
  <c r="BM368" i="2"/>
  <c r="Y368" i="2"/>
  <c r="BP368" i="2" s="1"/>
  <c r="P368" i="2"/>
  <c r="X366" i="2"/>
  <c r="Y365" i="2"/>
  <c r="X365" i="2"/>
  <c r="BP364" i="2"/>
  <c r="BO364" i="2"/>
  <c r="BM364" i="2"/>
  <c r="Y364" i="2"/>
  <c r="Z364" i="2" s="1"/>
  <c r="P364" i="2"/>
  <c r="BO363" i="2"/>
  <c r="BM363" i="2"/>
  <c r="Y363" i="2"/>
  <c r="P363" i="2"/>
  <c r="BO362" i="2"/>
  <c r="BM362" i="2"/>
  <c r="Z362" i="2"/>
  <c r="Y362" i="2"/>
  <c r="BP362" i="2" s="1"/>
  <c r="P362" i="2"/>
  <c r="BP361" i="2"/>
  <c r="BO361" i="2"/>
  <c r="BN361" i="2"/>
  <c r="BM361" i="2"/>
  <c r="Y361" i="2"/>
  <c r="Z361" i="2" s="1"/>
  <c r="P361" i="2"/>
  <c r="BO360" i="2"/>
  <c r="BM360" i="2"/>
  <c r="Y360" i="2"/>
  <c r="P360" i="2"/>
  <c r="BP359" i="2"/>
  <c r="BO359" i="2"/>
  <c r="BN359" i="2"/>
  <c r="BM359" i="2"/>
  <c r="Z359" i="2"/>
  <c r="Y359" i="2"/>
  <c r="P359" i="2"/>
  <c r="BO358" i="2"/>
  <c r="BM358" i="2"/>
  <c r="Y358" i="2"/>
  <c r="BP358" i="2" s="1"/>
  <c r="P358" i="2"/>
  <c r="X356" i="2"/>
  <c r="X355" i="2"/>
  <c r="BP354" i="2"/>
  <c r="BO354" i="2"/>
  <c r="BM354" i="2"/>
  <c r="Y354" i="2"/>
  <c r="Z354" i="2" s="1"/>
  <c r="P354" i="2"/>
  <c r="BO353" i="2"/>
  <c r="BM353" i="2"/>
  <c r="Y353" i="2"/>
  <c r="P353" i="2"/>
  <c r="BO352" i="2"/>
  <c r="BN352" i="2"/>
  <c r="BM352" i="2"/>
  <c r="Z352" i="2"/>
  <c r="Y352" i="2"/>
  <c r="BP352" i="2" s="1"/>
  <c r="P352" i="2"/>
  <c r="BP351" i="2"/>
  <c r="BO351" i="2"/>
  <c r="BN351" i="2"/>
  <c r="BM351" i="2"/>
  <c r="Y351" i="2"/>
  <c r="Z351" i="2" s="1"/>
  <c r="P351" i="2"/>
  <c r="BO350" i="2"/>
  <c r="BM350" i="2"/>
  <c r="Y350" i="2"/>
  <c r="P350" i="2"/>
  <c r="BP349" i="2"/>
  <c r="BO349" i="2"/>
  <c r="BN349" i="2"/>
  <c r="BM349" i="2"/>
  <c r="Z349" i="2"/>
  <c r="Y349" i="2"/>
  <c r="P349" i="2"/>
  <c r="X346" i="2"/>
  <c r="X345" i="2"/>
  <c r="BO344" i="2"/>
  <c r="BM344" i="2"/>
  <c r="Y344" i="2"/>
  <c r="P344" i="2"/>
  <c r="BP343" i="2"/>
  <c r="BO343" i="2"/>
  <c r="BM343" i="2"/>
  <c r="Y343" i="2"/>
  <c r="Z343" i="2" s="1"/>
  <c r="P343" i="2"/>
  <c r="BO342" i="2"/>
  <c r="BM342" i="2"/>
  <c r="Y342" i="2"/>
  <c r="P342" i="2"/>
  <c r="Y339" i="2"/>
  <c r="X339" i="2"/>
  <c r="Y338" i="2"/>
  <c r="X338" i="2"/>
  <c r="BP337" i="2"/>
  <c r="BO337" i="2"/>
  <c r="BN337" i="2"/>
  <c r="BM337" i="2"/>
  <c r="Z337" i="2"/>
  <c r="Y337" i="2"/>
  <c r="P337" i="2"/>
  <c r="BO336" i="2"/>
  <c r="BM336" i="2"/>
  <c r="Z336" i="2"/>
  <c r="Z338" i="2" s="1"/>
  <c r="Y336" i="2"/>
  <c r="BP336" i="2" s="1"/>
  <c r="P336" i="2"/>
  <c r="Y334" i="2"/>
  <c r="X334" i="2"/>
  <c r="X333" i="2"/>
  <c r="BP332" i="2"/>
  <c r="BO332" i="2"/>
  <c r="BM332" i="2"/>
  <c r="Z332" i="2"/>
  <c r="Y332" i="2"/>
  <c r="BN332" i="2" s="1"/>
  <c r="P332" i="2"/>
  <c r="BO331" i="2"/>
  <c r="BM331" i="2"/>
  <c r="Y331" i="2"/>
  <c r="BP331" i="2" s="1"/>
  <c r="P331" i="2"/>
  <c r="BP330" i="2"/>
  <c r="BO330" i="2"/>
  <c r="BN330" i="2"/>
  <c r="BM330" i="2"/>
  <c r="Z330" i="2"/>
  <c r="Y330" i="2"/>
  <c r="P330" i="2"/>
  <c r="BP329" i="2"/>
  <c r="BO329" i="2"/>
  <c r="BM329" i="2"/>
  <c r="Z329" i="2"/>
  <c r="Y329" i="2"/>
  <c r="BN329" i="2" s="1"/>
  <c r="P329" i="2"/>
  <c r="BO328" i="2"/>
  <c r="BM328" i="2"/>
  <c r="Z328" i="2"/>
  <c r="Y328" i="2"/>
  <c r="P328" i="2"/>
  <c r="Y325" i="2"/>
  <c r="X325" i="2"/>
  <c r="X324" i="2"/>
  <c r="BO323" i="2"/>
  <c r="BM323" i="2"/>
  <c r="Y323" i="2"/>
  <c r="BP323" i="2" s="1"/>
  <c r="P323" i="2"/>
  <c r="BO322" i="2"/>
  <c r="BM322" i="2"/>
  <c r="Z322" i="2"/>
  <c r="Y322" i="2"/>
  <c r="P322" i="2"/>
  <c r="BP321" i="2"/>
  <c r="BO321" i="2"/>
  <c r="BM321" i="2"/>
  <c r="Z321" i="2"/>
  <c r="Y321" i="2"/>
  <c r="Y324" i="2" s="1"/>
  <c r="P321" i="2"/>
  <c r="X318" i="2"/>
  <c r="X317" i="2"/>
  <c r="BO316" i="2"/>
  <c r="BM316" i="2"/>
  <c r="Y316" i="2"/>
  <c r="BP316" i="2" s="1"/>
  <c r="P316" i="2"/>
  <c r="BP315" i="2"/>
  <c r="BO315" i="2"/>
  <c r="BN315" i="2"/>
  <c r="BM315" i="2"/>
  <c r="Y315" i="2"/>
  <c r="Z315" i="2" s="1"/>
  <c r="P315" i="2"/>
  <c r="BO314" i="2"/>
  <c r="BM314" i="2"/>
  <c r="Y314" i="2"/>
  <c r="Y317" i="2" s="1"/>
  <c r="P314" i="2"/>
  <c r="BP313" i="2"/>
  <c r="BO313" i="2"/>
  <c r="BN313" i="2"/>
  <c r="BM313" i="2"/>
  <c r="Z313" i="2"/>
  <c r="Y313" i="2"/>
  <c r="P313" i="2"/>
  <c r="BO312" i="2"/>
  <c r="BM312" i="2"/>
  <c r="Y312" i="2"/>
  <c r="BP312" i="2" s="1"/>
  <c r="P312" i="2"/>
  <c r="X309" i="2"/>
  <c r="Y308" i="2"/>
  <c r="X308" i="2"/>
  <c r="BP307" i="2"/>
  <c r="BO307" i="2"/>
  <c r="BM307" i="2"/>
  <c r="Y307" i="2"/>
  <c r="Z307" i="2" s="1"/>
  <c r="P307" i="2"/>
  <c r="BO306" i="2"/>
  <c r="BM306" i="2"/>
  <c r="Y306" i="2"/>
  <c r="P306" i="2"/>
  <c r="BO305" i="2"/>
  <c r="BM305" i="2"/>
  <c r="Z305" i="2"/>
  <c r="Y305" i="2"/>
  <c r="P305" i="2"/>
  <c r="Y303" i="2"/>
  <c r="X303" i="2"/>
  <c r="X302" i="2"/>
  <c r="BO301" i="2"/>
  <c r="BM301" i="2"/>
  <c r="Z301" i="2"/>
  <c r="Z302" i="2" s="1"/>
  <c r="Y301" i="2"/>
  <c r="Y302" i="2" s="1"/>
  <c r="P301" i="2"/>
  <c r="Y299" i="2"/>
  <c r="X299" i="2"/>
  <c r="Z298" i="2"/>
  <c r="Y298" i="2"/>
  <c r="X298" i="2"/>
  <c r="BP297" i="2"/>
  <c r="BO297" i="2"/>
  <c r="BM297" i="2"/>
  <c r="Z297" i="2"/>
  <c r="Y297" i="2"/>
  <c r="BN297" i="2" s="1"/>
  <c r="P297" i="2"/>
  <c r="X295" i="2"/>
  <c r="X294" i="2"/>
  <c r="BO293" i="2"/>
  <c r="BN293" i="2"/>
  <c r="BM293" i="2"/>
  <c r="Z293" i="2"/>
  <c r="Y293" i="2"/>
  <c r="BP293" i="2" s="1"/>
  <c r="P293" i="2"/>
  <c r="BP292" i="2"/>
  <c r="BO292" i="2"/>
  <c r="BN292" i="2"/>
  <c r="BM292" i="2"/>
  <c r="Y292" i="2"/>
  <c r="Z292" i="2" s="1"/>
  <c r="P292" i="2"/>
  <c r="BO291" i="2"/>
  <c r="BM291" i="2"/>
  <c r="Y291" i="2"/>
  <c r="P291" i="2"/>
  <c r="BP290" i="2"/>
  <c r="BO290" i="2"/>
  <c r="BN290" i="2"/>
  <c r="BM290" i="2"/>
  <c r="Z290" i="2"/>
  <c r="Y290" i="2"/>
  <c r="P290" i="2"/>
  <c r="BO289" i="2"/>
  <c r="BM289" i="2"/>
  <c r="Y289" i="2"/>
  <c r="BP289" i="2" s="1"/>
  <c r="P289" i="2"/>
  <c r="BO288" i="2"/>
  <c r="BM288" i="2"/>
  <c r="Y288" i="2"/>
  <c r="Y294" i="2" s="1"/>
  <c r="P288" i="2"/>
  <c r="BP287" i="2"/>
  <c r="BO287" i="2"/>
  <c r="BM287" i="2"/>
  <c r="Z287" i="2"/>
  <c r="Y287" i="2"/>
  <c r="BN287" i="2" s="1"/>
  <c r="P287" i="2"/>
  <c r="X284" i="2"/>
  <c r="X283" i="2"/>
  <c r="BO282" i="2"/>
  <c r="BM282" i="2"/>
  <c r="Y282" i="2"/>
  <c r="P282" i="2"/>
  <c r="BP281" i="2"/>
  <c r="BO281" i="2"/>
  <c r="BN281" i="2"/>
  <c r="BM281" i="2"/>
  <c r="Y281" i="2"/>
  <c r="Z281" i="2" s="1"/>
  <c r="P281" i="2"/>
  <c r="X279" i="2"/>
  <c r="X278" i="2"/>
  <c r="BP277" i="2"/>
  <c r="BO277" i="2"/>
  <c r="BN277" i="2"/>
  <c r="BM277" i="2"/>
  <c r="Z277" i="2"/>
  <c r="Y277" i="2"/>
  <c r="P277" i="2"/>
  <c r="BO276" i="2"/>
  <c r="BM276" i="2"/>
  <c r="Y276" i="2"/>
  <c r="BP276" i="2" s="1"/>
  <c r="P276" i="2"/>
  <c r="BO275" i="2"/>
  <c r="BM275" i="2"/>
  <c r="Y275" i="2"/>
  <c r="P275" i="2"/>
  <c r="BP274" i="2"/>
  <c r="BO274" i="2"/>
  <c r="BM274" i="2"/>
  <c r="Y274" i="2"/>
  <c r="Z274" i="2" s="1"/>
  <c r="P274" i="2"/>
  <c r="BO273" i="2"/>
  <c r="BM273" i="2"/>
  <c r="Y273" i="2"/>
  <c r="P273" i="2"/>
  <c r="BO272" i="2"/>
  <c r="BM272" i="2"/>
  <c r="Z272" i="2"/>
  <c r="Y272" i="2"/>
  <c r="BP272" i="2" s="1"/>
  <c r="P272" i="2"/>
  <c r="BP271" i="2"/>
  <c r="BO271" i="2"/>
  <c r="BN271" i="2"/>
  <c r="BM271" i="2"/>
  <c r="Y271" i="2"/>
  <c r="Z271" i="2" s="1"/>
  <c r="P271" i="2"/>
  <c r="BO270" i="2"/>
  <c r="BM270" i="2"/>
  <c r="Y270" i="2"/>
  <c r="P270" i="2"/>
  <c r="BP269" i="2"/>
  <c r="BO269" i="2"/>
  <c r="BN269" i="2"/>
  <c r="BM269" i="2"/>
  <c r="Z269" i="2"/>
  <c r="Y269" i="2"/>
  <c r="P269" i="2"/>
  <c r="BO268" i="2"/>
  <c r="BM268" i="2"/>
  <c r="Y268" i="2"/>
  <c r="BP268" i="2" s="1"/>
  <c r="P268" i="2"/>
  <c r="BO267" i="2"/>
  <c r="BM267" i="2"/>
  <c r="Y267" i="2"/>
  <c r="P267" i="2"/>
  <c r="BP266" i="2"/>
  <c r="BO266" i="2"/>
  <c r="BM266" i="2"/>
  <c r="Z266" i="2"/>
  <c r="Y266" i="2"/>
  <c r="BN266" i="2" s="1"/>
  <c r="P266" i="2"/>
  <c r="X264" i="2"/>
  <c r="X263" i="2"/>
  <c r="BO262" i="2"/>
  <c r="BN262" i="2"/>
  <c r="BM262" i="2"/>
  <c r="Z262" i="2"/>
  <c r="Y262" i="2"/>
  <c r="BP262" i="2" s="1"/>
  <c r="P262" i="2"/>
  <c r="BP261" i="2"/>
  <c r="BO261" i="2"/>
  <c r="BN261" i="2"/>
  <c r="BM261" i="2"/>
  <c r="Y261" i="2"/>
  <c r="Z261" i="2" s="1"/>
  <c r="P261" i="2"/>
  <c r="BO260" i="2"/>
  <c r="BM260" i="2"/>
  <c r="Y260" i="2"/>
  <c r="P260" i="2"/>
  <c r="BP259" i="2"/>
  <c r="BO259" i="2"/>
  <c r="BN259" i="2"/>
  <c r="BM259" i="2"/>
  <c r="Z259" i="2"/>
  <c r="Y259" i="2"/>
  <c r="P259" i="2"/>
  <c r="BO258" i="2"/>
  <c r="BM258" i="2"/>
  <c r="Y258" i="2"/>
  <c r="BP258" i="2" s="1"/>
  <c r="P258" i="2"/>
  <c r="BO257" i="2"/>
  <c r="BM257" i="2"/>
  <c r="Y257" i="2"/>
  <c r="BP257" i="2" s="1"/>
  <c r="P257" i="2"/>
  <c r="BP256" i="2"/>
  <c r="BO256" i="2"/>
  <c r="BM256" i="2"/>
  <c r="Z256" i="2"/>
  <c r="Y256" i="2"/>
  <c r="BN256" i="2" s="1"/>
  <c r="P256" i="2"/>
  <c r="BO255" i="2"/>
  <c r="BM255" i="2"/>
  <c r="Y255" i="2"/>
  <c r="P255" i="2"/>
  <c r="Y253" i="2"/>
  <c r="X253" i="2"/>
  <c r="Y252" i="2"/>
  <c r="X252" i="2"/>
  <c r="BP251" i="2"/>
  <c r="BO251" i="2"/>
  <c r="BN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Z245" i="2"/>
  <c r="Y245" i="2"/>
  <c r="P245" i="2"/>
  <c r="Y242" i="2"/>
  <c r="X242" i="2"/>
  <c r="Y241" i="2"/>
  <c r="X241" i="2"/>
  <c r="BP240" i="2"/>
  <c r="BO240" i="2"/>
  <c r="BM240" i="2"/>
  <c r="Z240" i="2"/>
  <c r="Z241" i="2" s="1"/>
  <c r="Y240" i="2"/>
  <c r="BN240" i="2" s="1"/>
  <c r="P240" i="2"/>
  <c r="X238" i="2"/>
  <c r="X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P228" i="2"/>
  <c r="BO228" i="2"/>
  <c r="BN228" i="2"/>
  <c r="BM228" i="2"/>
  <c r="Y228" i="2"/>
  <c r="Z228" i="2" s="1"/>
  <c r="BO227" i="2"/>
  <c r="BM227" i="2"/>
  <c r="Y227" i="2"/>
  <c r="X225" i="2"/>
  <c r="X224" i="2"/>
  <c r="BP223" i="2"/>
  <c r="BO223" i="2"/>
  <c r="BM223" i="2"/>
  <c r="Z223" i="2"/>
  <c r="Y223" i="2"/>
  <c r="BN223" i="2" s="1"/>
  <c r="P223" i="2"/>
  <c r="BO222" i="2"/>
  <c r="BM222" i="2"/>
  <c r="Y222" i="2"/>
  <c r="P222" i="2"/>
  <c r="BP221" i="2"/>
  <c r="BO221" i="2"/>
  <c r="BN221" i="2"/>
  <c r="BM221" i="2"/>
  <c r="Z221" i="2"/>
  <c r="Y221" i="2"/>
  <c r="P221" i="2"/>
  <c r="BP220" i="2"/>
  <c r="BO220" i="2"/>
  <c r="BM220" i="2"/>
  <c r="Z220" i="2"/>
  <c r="Y220" i="2"/>
  <c r="BN220" i="2" s="1"/>
  <c r="P220" i="2"/>
  <c r="BO219" i="2"/>
  <c r="BM219" i="2"/>
  <c r="Z219" i="2"/>
  <c r="Y219" i="2"/>
  <c r="BP219" i="2" s="1"/>
  <c r="P219" i="2"/>
  <c r="BP218" i="2"/>
  <c r="BO218" i="2"/>
  <c r="BN218" i="2"/>
  <c r="BM218" i="2"/>
  <c r="Z218" i="2"/>
  <c r="Y218" i="2"/>
  <c r="P218" i="2"/>
  <c r="BO217" i="2"/>
  <c r="BM217" i="2"/>
  <c r="Z217" i="2"/>
  <c r="Y217" i="2"/>
  <c r="BP217" i="2" s="1"/>
  <c r="P217" i="2"/>
  <c r="BP216" i="2"/>
  <c r="BO216" i="2"/>
  <c r="BN216" i="2"/>
  <c r="BM216" i="2"/>
  <c r="Z216" i="2"/>
  <c r="Y216" i="2"/>
  <c r="P216" i="2"/>
  <c r="BO215" i="2"/>
  <c r="BM215" i="2"/>
  <c r="Y215" i="2"/>
  <c r="BP215" i="2" s="1"/>
  <c r="P215" i="2"/>
  <c r="BO214" i="2"/>
  <c r="BM214" i="2"/>
  <c r="Z214" i="2"/>
  <c r="Y214" i="2"/>
  <c r="P214" i="2"/>
  <c r="BP213" i="2"/>
  <c r="BO213" i="2"/>
  <c r="BN213" i="2"/>
  <c r="BM213" i="2"/>
  <c r="Y213" i="2"/>
  <c r="Z213" i="2" s="1"/>
  <c r="P213" i="2"/>
  <c r="BO212" i="2"/>
  <c r="BM212" i="2"/>
  <c r="Y212" i="2"/>
  <c r="Y225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X208" i="2"/>
  <c r="Z207" i="2"/>
  <c r="X207" i="2"/>
  <c r="BP206" i="2"/>
  <c r="BO206" i="2"/>
  <c r="BN206" i="2"/>
  <c r="BM206" i="2"/>
  <c r="Z206" i="2"/>
  <c r="Y206" i="2"/>
  <c r="Y208" i="2" s="1"/>
  <c r="P206" i="2"/>
  <c r="X203" i="2"/>
  <c r="X202" i="2"/>
  <c r="BO201" i="2"/>
  <c r="BM201" i="2"/>
  <c r="Y201" i="2"/>
  <c r="P201" i="2"/>
  <c r="BP200" i="2"/>
  <c r="BO200" i="2"/>
  <c r="BN200" i="2"/>
  <c r="BM200" i="2"/>
  <c r="Z200" i="2"/>
  <c r="Y200" i="2"/>
  <c r="P200" i="2"/>
  <c r="BP199" i="2"/>
  <c r="BO199" i="2"/>
  <c r="BN199" i="2"/>
  <c r="BM199" i="2"/>
  <c r="Z199" i="2"/>
  <c r="Y199" i="2"/>
  <c r="P199" i="2"/>
  <c r="BO198" i="2"/>
  <c r="BM198" i="2"/>
  <c r="Y198" i="2"/>
  <c r="P198" i="2"/>
  <c r="Y194" i="2"/>
  <c r="X194" i="2"/>
  <c r="X193" i="2"/>
  <c r="BO192" i="2"/>
  <c r="BM192" i="2"/>
  <c r="Y192" i="2"/>
  <c r="Y193" i="2" s="1"/>
  <c r="P192" i="2"/>
  <c r="X190" i="2"/>
  <c r="X189" i="2"/>
  <c r="BP188" i="2"/>
  <c r="BO188" i="2"/>
  <c r="BN188" i="2"/>
  <c r="BM188" i="2"/>
  <c r="Y188" i="2"/>
  <c r="Z188" i="2" s="1"/>
  <c r="P188" i="2"/>
  <c r="BO187" i="2"/>
  <c r="BM187" i="2"/>
  <c r="Y187" i="2"/>
  <c r="P187" i="2"/>
  <c r="Y185" i="2"/>
  <c r="X185" i="2"/>
  <c r="Y184" i="2"/>
  <c r="X184" i="2"/>
  <c r="BP183" i="2"/>
  <c r="BO183" i="2"/>
  <c r="BN183" i="2"/>
  <c r="BM183" i="2"/>
  <c r="Z183" i="2"/>
  <c r="Y183" i="2"/>
  <c r="P183" i="2"/>
  <c r="BO182" i="2"/>
  <c r="BM182" i="2"/>
  <c r="Z182" i="2"/>
  <c r="Y182" i="2"/>
  <c r="BP182" i="2" s="1"/>
  <c r="P182" i="2"/>
  <c r="BP181" i="2"/>
  <c r="BO181" i="2"/>
  <c r="BN181" i="2"/>
  <c r="BM181" i="2"/>
  <c r="Z181" i="2"/>
  <c r="Z184" i="2" s="1"/>
  <c r="Y181" i="2"/>
  <c r="P181" i="2"/>
  <c r="X179" i="2"/>
  <c r="X178" i="2"/>
  <c r="BO177" i="2"/>
  <c r="BM177" i="2"/>
  <c r="Y177" i="2"/>
  <c r="P177" i="2"/>
  <c r="BP176" i="2"/>
  <c r="BO176" i="2"/>
  <c r="BN176" i="2"/>
  <c r="BM176" i="2"/>
  <c r="Z176" i="2"/>
  <c r="Y176" i="2"/>
  <c r="P176" i="2"/>
  <c r="BP175" i="2"/>
  <c r="BO175" i="2"/>
  <c r="BN175" i="2"/>
  <c r="BM175" i="2"/>
  <c r="Z175" i="2"/>
  <c r="Y175" i="2"/>
  <c r="P175" i="2"/>
  <c r="BO174" i="2"/>
  <c r="BM174" i="2"/>
  <c r="Z174" i="2"/>
  <c r="Y174" i="2"/>
  <c r="BP174" i="2" s="1"/>
  <c r="P174" i="2"/>
  <c r="BP173" i="2"/>
  <c r="BO173" i="2"/>
  <c r="BN173" i="2"/>
  <c r="BM173" i="2"/>
  <c r="Z173" i="2"/>
  <c r="Y173" i="2"/>
  <c r="P173" i="2"/>
  <c r="BO172" i="2"/>
  <c r="BM172" i="2"/>
  <c r="Z172" i="2"/>
  <c r="Y172" i="2"/>
  <c r="BP172" i="2" s="1"/>
  <c r="P172" i="2"/>
  <c r="BP171" i="2"/>
  <c r="BO171" i="2"/>
  <c r="BN171" i="2"/>
  <c r="BM171" i="2"/>
  <c r="Z171" i="2"/>
  <c r="Y171" i="2"/>
  <c r="P171" i="2"/>
  <c r="BO170" i="2"/>
  <c r="BM170" i="2"/>
  <c r="Y170" i="2"/>
  <c r="BP170" i="2" s="1"/>
  <c r="P170" i="2"/>
  <c r="BO169" i="2"/>
  <c r="BM169" i="2"/>
  <c r="Y169" i="2"/>
  <c r="P169" i="2"/>
  <c r="BP168" i="2"/>
  <c r="BO168" i="2"/>
  <c r="BN168" i="2"/>
  <c r="BM168" i="2"/>
  <c r="Y168" i="2"/>
  <c r="Z168" i="2" s="1"/>
  <c r="P168" i="2"/>
  <c r="BO167" i="2"/>
  <c r="BM167" i="2"/>
  <c r="Y167" i="2"/>
  <c r="P167" i="2"/>
  <c r="Y165" i="2"/>
  <c r="X165" i="2"/>
  <c r="Z164" i="2"/>
  <c r="Y164" i="2"/>
  <c r="X164" i="2"/>
  <c r="BP163" i="2"/>
  <c r="BO163" i="2"/>
  <c r="BN163" i="2"/>
  <c r="BM163" i="2"/>
  <c r="Z163" i="2"/>
  <c r="Y163" i="2"/>
  <c r="P163" i="2"/>
  <c r="X161" i="2"/>
  <c r="X160" i="2"/>
  <c r="BO159" i="2"/>
  <c r="BM159" i="2"/>
  <c r="Z159" i="2"/>
  <c r="Y159" i="2"/>
  <c r="P159" i="2"/>
  <c r="BP158" i="2"/>
  <c r="BO158" i="2"/>
  <c r="BM158" i="2"/>
  <c r="Z158" i="2"/>
  <c r="Y158" i="2"/>
  <c r="BN158" i="2" s="1"/>
  <c r="P158" i="2"/>
  <c r="X155" i="2"/>
  <c r="X154" i="2"/>
  <c r="BO153" i="2"/>
  <c r="BM153" i="2"/>
  <c r="Y153" i="2"/>
  <c r="BP153" i="2" s="1"/>
  <c r="P153" i="2"/>
  <c r="BP152" i="2"/>
  <c r="BO152" i="2"/>
  <c r="BN152" i="2"/>
  <c r="BM152" i="2"/>
  <c r="Y152" i="2"/>
  <c r="Z152" i="2" s="1"/>
  <c r="P152" i="2"/>
  <c r="BO151" i="2"/>
  <c r="BM151" i="2"/>
  <c r="Y151" i="2"/>
  <c r="P151" i="2"/>
  <c r="BP150" i="2"/>
  <c r="BO150" i="2"/>
  <c r="BN150" i="2"/>
  <c r="BM150" i="2"/>
  <c r="Z150" i="2"/>
  <c r="Y150" i="2"/>
  <c r="P150" i="2"/>
  <c r="X147" i="2"/>
  <c r="X146" i="2"/>
  <c r="BO145" i="2"/>
  <c r="BM145" i="2"/>
  <c r="Y145" i="2"/>
  <c r="P145" i="2"/>
  <c r="BP144" i="2"/>
  <c r="BO144" i="2"/>
  <c r="BN144" i="2"/>
  <c r="BM144" i="2"/>
  <c r="Y144" i="2"/>
  <c r="Z144" i="2" s="1"/>
  <c r="P144" i="2"/>
  <c r="X142" i="2"/>
  <c r="X141" i="2"/>
  <c r="BP140" i="2"/>
  <c r="BO140" i="2"/>
  <c r="BM140" i="2"/>
  <c r="Y140" i="2"/>
  <c r="BN140" i="2" s="1"/>
  <c r="P140" i="2"/>
  <c r="BP139" i="2"/>
  <c r="BO139" i="2"/>
  <c r="BN139" i="2"/>
  <c r="BM139" i="2"/>
  <c r="Z139" i="2"/>
  <c r="Y139" i="2"/>
  <c r="P139" i="2"/>
  <c r="X137" i="2"/>
  <c r="X136" i="2"/>
  <c r="BO135" i="2"/>
  <c r="BN135" i="2"/>
  <c r="BM135" i="2"/>
  <c r="Z135" i="2"/>
  <c r="Y135" i="2"/>
  <c r="P135" i="2"/>
  <c r="BP134" i="2"/>
  <c r="BO134" i="2"/>
  <c r="BM134" i="2"/>
  <c r="Z134" i="2"/>
  <c r="Y134" i="2"/>
  <c r="P134" i="2"/>
  <c r="X131" i="2"/>
  <c r="X130" i="2"/>
  <c r="BO129" i="2"/>
  <c r="BM129" i="2"/>
  <c r="Z129" i="2"/>
  <c r="Z130" i="2" s="1"/>
  <c r="Y129" i="2"/>
  <c r="BP129" i="2" s="1"/>
  <c r="P129" i="2"/>
  <c r="X127" i="2"/>
  <c r="X126" i="2"/>
  <c r="BO125" i="2"/>
  <c r="BM125" i="2"/>
  <c r="Z125" i="2"/>
  <c r="Y125" i="2"/>
  <c r="BP125" i="2" s="1"/>
  <c r="P125" i="2"/>
  <c r="BP124" i="2"/>
  <c r="BO124" i="2"/>
  <c r="BN124" i="2"/>
  <c r="BM124" i="2"/>
  <c r="Z124" i="2"/>
  <c r="Y124" i="2"/>
  <c r="P124" i="2"/>
  <c r="BO123" i="2"/>
  <c r="BM123" i="2"/>
  <c r="Y123" i="2"/>
  <c r="P123" i="2"/>
  <c r="BO122" i="2"/>
  <c r="BM122" i="2"/>
  <c r="Z122" i="2"/>
  <c r="Y122" i="2"/>
  <c r="P122" i="2"/>
  <c r="X120" i="2"/>
  <c r="X119" i="2"/>
  <c r="BP118" i="2"/>
  <c r="BO118" i="2"/>
  <c r="BN118" i="2"/>
  <c r="BM118" i="2"/>
  <c r="Z118" i="2"/>
  <c r="Y118" i="2"/>
  <c r="P118" i="2"/>
  <c r="BP117" i="2"/>
  <c r="BO117" i="2"/>
  <c r="BM117" i="2"/>
  <c r="Y117" i="2"/>
  <c r="BN117" i="2" s="1"/>
  <c r="P117" i="2"/>
  <c r="BP116" i="2"/>
  <c r="BO116" i="2"/>
  <c r="BN116" i="2"/>
  <c r="BM116" i="2"/>
  <c r="Z116" i="2"/>
  <c r="Y116" i="2"/>
  <c r="P116" i="2"/>
  <c r="BO115" i="2"/>
  <c r="BM115" i="2"/>
  <c r="Z115" i="2"/>
  <c r="Y115" i="2"/>
  <c r="BP115" i="2" s="1"/>
  <c r="P115" i="2"/>
  <c r="BP114" i="2"/>
  <c r="BO114" i="2"/>
  <c r="BN114" i="2"/>
  <c r="BM114" i="2"/>
  <c r="Z114" i="2"/>
  <c r="Y114" i="2"/>
  <c r="P114" i="2"/>
  <c r="BO113" i="2"/>
  <c r="BM113" i="2"/>
  <c r="Y113" i="2"/>
  <c r="P113" i="2"/>
  <c r="BO112" i="2"/>
  <c r="BM112" i="2"/>
  <c r="Y112" i="2"/>
  <c r="Y120" i="2" s="1"/>
  <c r="P112" i="2"/>
  <c r="Y110" i="2"/>
  <c r="X110" i="2"/>
  <c r="X109" i="2"/>
  <c r="BP108" i="2"/>
  <c r="BO108" i="2"/>
  <c r="BN108" i="2"/>
  <c r="BM108" i="2"/>
  <c r="Z108" i="2"/>
  <c r="Y108" i="2"/>
  <c r="P108" i="2"/>
  <c r="BO107" i="2"/>
  <c r="BM107" i="2"/>
  <c r="Y107" i="2"/>
  <c r="Z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P105" i="2" s="1"/>
  <c r="P105" i="2"/>
  <c r="BO104" i="2"/>
  <c r="BM104" i="2"/>
  <c r="Z104" i="2"/>
  <c r="Y104" i="2"/>
  <c r="BN104" i="2" s="1"/>
  <c r="P104" i="2"/>
  <c r="BO103" i="2"/>
  <c r="BM103" i="2"/>
  <c r="Y103" i="2"/>
  <c r="P103" i="2"/>
  <c r="BO102" i="2"/>
  <c r="BM102" i="2"/>
  <c r="Y102" i="2"/>
  <c r="P102" i="2"/>
  <c r="Y99" i="2"/>
  <c r="X99" i="2"/>
  <c r="X98" i="2"/>
  <c r="BP97" i="2"/>
  <c r="BO97" i="2"/>
  <c r="BN97" i="2"/>
  <c r="BM97" i="2"/>
  <c r="Z97" i="2"/>
  <c r="Y97" i="2"/>
  <c r="P97" i="2"/>
  <c r="BO96" i="2"/>
  <c r="BM96" i="2"/>
  <c r="Y96" i="2"/>
  <c r="Y98" i="2" s="1"/>
  <c r="P96" i="2"/>
  <c r="BP95" i="2"/>
  <c r="BO95" i="2"/>
  <c r="BN95" i="2"/>
  <c r="BM95" i="2"/>
  <c r="Z95" i="2"/>
  <c r="Y95" i="2"/>
  <c r="P95" i="2"/>
  <c r="BO94" i="2"/>
  <c r="BM94" i="2"/>
  <c r="Z94" i="2"/>
  <c r="Y94" i="2"/>
  <c r="BP94" i="2" s="1"/>
  <c r="P94" i="2"/>
  <c r="X92" i="2"/>
  <c r="X91" i="2"/>
  <c r="BP90" i="2"/>
  <c r="BO90" i="2"/>
  <c r="BN90" i="2"/>
  <c r="BM90" i="2"/>
  <c r="Y90" i="2"/>
  <c r="Z90" i="2" s="1"/>
  <c r="P90" i="2"/>
  <c r="BO89" i="2"/>
  <c r="BM89" i="2"/>
  <c r="Y89" i="2"/>
  <c r="P89" i="2"/>
  <c r="BP88" i="2"/>
  <c r="BO88" i="2"/>
  <c r="BM88" i="2"/>
  <c r="Z88" i="2"/>
  <c r="Y88" i="2"/>
  <c r="Y92" i="2" s="1"/>
  <c r="P88" i="2"/>
  <c r="BP87" i="2"/>
  <c r="BO87" i="2"/>
  <c r="BM87" i="2"/>
  <c r="Z87" i="2"/>
  <c r="Y87" i="2"/>
  <c r="P87" i="2"/>
  <c r="Y84" i="2"/>
  <c r="X84" i="2"/>
  <c r="Y83" i="2"/>
  <c r="X83" i="2"/>
  <c r="BP82" i="2"/>
  <c r="BO82" i="2"/>
  <c r="BN82" i="2"/>
  <c r="BM82" i="2"/>
  <c r="Z82" i="2"/>
  <c r="Y82" i="2"/>
  <c r="P82" i="2"/>
  <c r="BO81" i="2"/>
  <c r="BM81" i="2"/>
  <c r="Y81" i="2"/>
  <c r="BP81" i="2" s="1"/>
  <c r="P81" i="2"/>
  <c r="X79" i="2"/>
  <c r="Y78" i="2"/>
  <c r="X78" i="2"/>
  <c r="BP77" i="2"/>
  <c r="BO77" i="2"/>
  <c r="BN77" i="2"/>
  <c r="BM77" i="2"/>
  <c r="Y77" i="2"/>
  <c r="Z77" i="2" s="1"/>
  <c r="P77" i="2"/>
  <c r="BO76" i="2"/>
  <c r="BM76" i="2"/>
  <c r="Y76" i="2"/>
  <c r="P76" i="2"/>
  <c r="X74" i="2"/>
  <c r="X73" i="2"/>
  <c r="BP72" i="2"/>
  <c r="BO72" i="2"/>
  <c r="BN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Y70" i="2"/>
  <c r="BP70" i="2" s="1"/>
  <c r="P70" i="2"/>
  <c r="BO69" i="2"/>
  <c r="BM69" i="2"/>
  <c r="Y69" i="2"/>
  <c r="Y73" i="2" s="1"/>
  <c r="P69" i="2"/>
  <c r="X67" i="2"/>
  <c r="X66" i="2"/>
  <c r="BO65" i="2"/>
  <c r="BM65" i="2"/>
  <c r="Y65" i="2"/>
  <c r="BP65" i="2" s="1"/>
  <c r="P65" i="2"/>
  <c r="BP64" i="2"/>
  <c r="BO64" i="2"/>
  <c r="BM64" i="2"/>
  <c r="Z64" i="2"/>
  <c r="Y64" i="2"/>
  <c r="BN64" i="2" s="1"/>
  <c r="P64" i="2"/>
  <c r="BP63" i="2"/>
  <c r="BO63" i="2"/>
  <c r="BN63" i="2"/>
  <c r="BM63" i="2"/>
  <c r="Z63" i="2"/>
  <c r="Y63" i="2"/>
  <c r="P63" i="2"/>
  <c r="BP62" i="2"/>
  <c r="BO62" i="2"/>
  <c r="BN62" i="2"/>
  <c r="BM62" i="2"/>
  <c r="Z62" i="2"/>
  <c r="Y62" i="2"/>
  <c r="P62" i="2"/>
  <c r="BO61" i="2"/>
  <c r="BM61" i="2"/>
  <c r="Z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P53" i="2"/>
  <c r="BO53" i="2"/>
  <c r="BM53" i="2"/>
  <c r="Z53" i="2"/>
  <c r="Y53" i="2"/>
  <c r="BN53" i="2" s="1"/>
  <c r="P53" i="2"/>
  <c r="BO52" i="2"/>
  <c r="BM52" i="2"/>
  <c r="Y52" i="2"/>
  <c r="BN52" i="2" s="1"/>
  <c r="P52" i="2"/>
  <c r="BP51" i="2"/>
  <c r="BO51" i="2"/>
  <c r="BN51" i="2"/>
  <c r="BM51" i="2"/>
  <c r="Z51" i="2"/>
  <c r="Y51" i="2"/>
  <c r="P51" i="2"/>
  <c r="X47" i="2"/>
  <c r="X46" i="2"/>
  <c r="BO45" i="2"/>
  <c r="BM45" i="2"/>
  <c r="Y45" i="2"/>
  <c r="BP45" i="2" s="1"/>
  <c r="P45" i="2"/>
  <c r="BP44" i="2"/>
  <c r="BO44" i="2"/>
  <c r="BN44" i="2"/>
  <c r="BM44" i="2"/>
  <c r="Y44" i="2"/>
  <c r="Z44" i="2" s="1"/>
  <c r="P44" i="2"/>
  <c r="BP43" i="2"/>
  <c r="BO43" i="2"/>
  <c r="BM43" i="2"/>
  <c r="Y43" i="2"/>
  <c r="P43" i="2"/>
  <c r="BO42" i="2"/>
  <c r="BM42" i="2"/>
  <c r="Y42" i="2"/>
  <c r="P42" i="2"/>
  <c r="Y38" i="2"/>
  <c r="X38" i="2"/>
  <c r="X37" i="2"/>
  <c r="BO36" i="2"/>
  <c r="BN36" i="2"/>
  <c r="BM36" i="2"/>
  <c r="Z36" i="2"/>
  <c r="Z37" i="2" s="1"/>
  <c r="Y36" i="2"/>
  <c r="P36" i="2"/>
  <c r="X34" i="2"/>
  <c r="X33" i="2"/>
  <c r="BO32" i="2"/>
  <c r="BM32" i="2"/>
  <c r="Y32" i="2"/>
  <c r="P32" i="2"/>
  <c r="BO31" i="2"/>
  <c r="BM31" i="2"/>
  <c r="Y31" i="2"/>
  <c r="P31" i="2"/>
  <c r="BP30" i="2"/>
  <c r="BO30" i="2"/>
  <c r="BN30" i="2"/>
  <c r="BM30" i="2"/>
  <c r="Y30" i="2"/>
  <c r="Z30" i="2" s="1"/>
  <c r="P30" i="2"/>
  <c r="BO29" i="2"/>
  <c r="BM29" i="2"/>
  <c r="Y29" i="2"/>
  <c r="P29" i="2"/>
  <c r="BO28" i="2"/>
  <c r="BM28" i="2"/>
  <c r="Y28" i="2"/>
  <c r="Y33" i="2" s="1"/>
  <c r="P28" i="2"/>
  <c r="BP27" i="2"/>
  <c r="BO27" i="2"/>
  <c r="BN27" i="2"/>
  <c r="BM27" i="2"/>
  <c r="Y27" i="2"/>
  <c r="Z27" i="2" s="1"/>
  <c r="P27" i="2"/>
  <c r="X25" i="2"/>
  <c r="X24" i="2"/>
  <c r="BO23" i="2"/>
  <c r="BM23" i="2"/>
  <c r="X531" i="2" s="1"/>
  <c r="Y23" i="2"/>
  <c r="BP23" i="2" s="1"/>
  <c r="P23" i="2"/>
  <c r="BO22" i="2"/>
  <c r="X532" i="2" s="1"/>
  <c r="BM22" i="2"/>
  <c r="Y22" i="2"/>
  <c r="P22" i="2"/>
  <c r="H10" i="2"/>
  <c r="A9" i="2"/>
  <c r="A10" i="2" s="1"/>
  <c r="D7" i="2"/>
  <c r="Q6" i="2"/>
  <c r="P2" i="2"/>
  <c r="X533" i="2" l="1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Z417" i="2" s="1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430" i="2"/>
  <c r="Z487" i="2"/>
  <c r="Z489" i="2" s="1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Z202" i="2" s="1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Z55" i="2" s="1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Z154" i="2" s="1"/>
  <c r="Y154" i="2"/>
  <c r="BP198" i="2"/>
  <c r="Z282" i="2"/>
  <c r="Z283" i="2" s="1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Z73" i="2" s="1"/>
  <c r="Y119" i="2"/>
  <c r="BP112" i="2"/>
  <c r="BN112" i="2"/>
  <c r="BP89" i="2"/>
  <c r="Z112" i="2"/>
  <c r="Z119" i="2" s="1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Z136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Y531" i="2" s="1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98" i="2" s="1"/>
  <c r="Z102" i="2"/>
  <c r="Y127" i="2"/>
  <c r="Y126" i="2"/>
  <c r="BP122" i="2"/>
  <c r="BN122" i="2"/>
  <c r="Z145" i="2"/>
  <c r="Z146" i="2" s="1"/>
  <c r="Z160" i="2"/>
  <c r="Z169" i="2"/>
  <c r="Z211" i="2"/>
  <c r="BN229" i="2"/>
  <c r="BP255" i="2"/>
  <c r="Y264" i="2"/>
  <c r="BN255" i="2"/>
  <c r="Z255" i="2"/>
  <c r="Z263" i="2" s="1"/>
  <c r="Z267" i="2"/>
  <c r="Z278" i="2" s="1"/>
  <c r="BN270" i="2"/>
  <c r="BP306" i="2"/>
  <c r="BN306" i="2"/>
  <c r="Z306" i="2"/>
  <c r="Z308" i="2" s="1"/>
  <c r="Z316" i="2"/>
  <c r="BN360" i="2"/>
  <c r="Z469" i="2"/>
  <c r="Z540" i="2"/>
  <c r="BN23" i="2"/>
  <c r="Y283" i="2"/>
  <c r="Y355" i="2"/>
  <c r="Z385" i="2"/>
  <c r="Y418" i="2"/>
  <c r="Y437" i="2"/>
  <c r="Y436" i="2"/>
  <c r="BP435" i="2"/>
  <c r="Z483" i="2"/>
  <c r="BP477" i="2"/>
  <c r="BN477" i="2"/>
  <c r="Y490" i="2"/>
  <c r="Z28" i="2"/>
  <c r="Y74" i="2"/>
  <c r="BN76" i="2"/>
  <c r="Z126" i="2"/>
  <c r="J9" i="2"/>
  <c r="Y34" i="2"/>
  <c r="BN43" i="2"/>
  <c r="Z43" i="2"/>
  <c r="Z60" i="2"/>
  <c r="BN96" i="2"/>
  <c r="Z117" i="2"/>
  <c r="Z140" i="2"/>
  <c r="Z141" i="2" s="1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Z333" i="2" s="1"/>
  <c r="Y366" i="2"/>
  <c r="Z375" i="2"/>
  <c r="Z378" i="2" s="1"/>
  <c r="Z420" i="2"/>
  <c r="Z468" i="2"/>
  <c r="Z480" i="2"/>
  <c r="Z527" i="2"/>
  <c r="Z528" i="2" s="1"/>
  <c r="BN331" i="2"/>
  <c r="BN375" i="2"/>
  <c r="Y378" i="2"/>
  <c r="Z396" i="2"/>
  <c r="Z398" i="2" s="1"/>
  <c r="Z408" i="2"/>
  <c r="BN420" i="2"/>
  <c r="Z431" i="2"/>
  <c r="BN468" i="2"/>
  <c r="BN480" i="2"/>
  <c r="Y483" i="2"/>
  <c r="Y515" i="2"/>
  <c r="BN527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17" i="2" s="1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Z391" i="2" s="1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422" i="2" l="1"/>
  <c r="Z237" i="2"/>
  <c r="Z453" i="2"/>
  <c r="Z432" i="2"/>
  <c r="Z224" i="2"/>
  <c r="Z178" i="2"/>
  <c r="Y534" i="2"/>
  <c r="Y530" i="2"/>
  <c r="Z24" i="2"/>
  <c r="Z46" i="2"/>
  <c r="Y532" i="2"/>
  <c r="Y533" i="2" s="1"/>
  <c r="Z355" i="2"/>
  <c r="Z411" i="2"/>
  <c r="Z231" i="2"/>
  <c r="Z499" i="2"/>
  <c r="Z33" i="2"/>
  <c r="Z109" i="2"/>
  <c r="Z66" i="2"/>
  <c r="Z372" i="2"/>
  <c r="Z345" i="2"/>
  <c r="Z365" i="2"/>
  <c r="Z294" i="2"/>
  <c r="Z535" i="2" l="1"/>
</calcChain>
</file>

<file path=xl/sharedStrings.xml><?xml version="1.0" encoding="utf-8"?>
<sst xmlns="http://schemas.openxmlformats.org/spreadsheetml/2006/main" count="3989" uniqueCount="846">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</sst>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4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32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0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0"/>
  <sheetViews>
    <sheetView showGridLines="0" tabSelected="1" topLeftCell="F3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45" t="s">
        <v>26</v>
      </c>
      <c r="E1" s="945"/>
      <c r="F1" s="945"/>
      <c r="G1" s="14" t="s">
        <v>67</v>
      </c>
      <c r="H1" s="945" t="s">
        <v>47</v>
      </c>
      <c r="I1" s="945"/>
      <c r="J1" s="945"/>
      <c r="K1" s="945"/>
      <c r="L1" s="945"/>
      <c r="M1" s="945"/>
      <c r="N1" s="945"/>
      <c r="O1" s="945"/>
      <c r="P1" s="945"/>
      <c r="Q1" s="945"/>
      <c r="R1" s="946" t="s">
        <v>68</v>
      </c>
      <c r="S1" s="947"/>
      <c r="T1" s="94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8"/>
      <c r="R2" s="948"/>
      <c r="S2" s="948"/>
      <c r="T2" s="948"/>
      <c r="U2" s="948"/>
      <c r="V2" s="948"/>
      <c r="W2" s="94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48"/>
      <c r="Q3" s="948"/>
      <c r="R3" s="948"/>
      <c r="S3" s="948"/>
      <c r="T3" s="948"/>
      <c r="U3" s="948"/>
      <c r="V3" s="948"/>
      <c r="W3" s="94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27" t="s">
        <v>8</v>
      </c>
      <c r="B5" s="927"/>
      <c r="C5" s="927"/>
      <c r="D5" s="949"/>
      <c r="E5" s="949"/>
      <c r="F5" s="950" t="s">
        <v>14</v>
      </c>
      <c r="G5" s="950"/>
      <c r="H5" s="949"/>
      <c r="I5" s="949"/>
      <c r="J5" s="949"/>
      <c r="K5" s="949"/>
      <c r="L5" s="949"/>
      <c r="M5" s="949"/>
      <c r="N5" s="72"/>
      <c r="P5" s="27" t="s">
        <v>4</v>
      </c>
      <c r="Q5" s="951">
        <v>46208</v>
      </c>
      <c r="R5" s="951"/>
      <c r="T5" s="952" t="s">
        <v>3</v>
      </c>
      <c r="U5" s="953"/>
      <c r="V5" s="954" t="s">
        <v>827</v>
      </c>
      <c r="W5" s="955"/>
      <c r="AB5" s="59"/>
      <c r="AC5" s="59"/>
      <c r="AD5" s="59"/>
      <c r="AE5" s="59"/>
    </row>
    <row r="6" spans="1:32" s="17" customFormat="1" ht="24" customHeight="1" x14ac:dyDescent="0.25">
      <c r="A6" s="927" t="s">
        <v>1</v>
      </c>
      <c r="B6" s="927"/>
      <c r="C6" s="927"/>
      <c r="D6" s="928" t="s">
        <v>828</v>
      </c>
      <c r="E6" s="928"/>
      <c r="F6" s="928"/>
      <c r="G6" s="928"/>
      <c r="H6" s="928"/>
      <c r="I6" s="928"/>
      <c r="J6" s="928"/>
      <c r="K6" s="928"/>
      <c r="L6" s="928"/>
      <c r="M6" s="928"/>
      <c r="N6" s="73"/>
      <c r="P6" s="27" t="s">
        <v>27</v>
      </c>
      <c r="Q6" s="929" t="str">
        <f>IF(Q5=0," ",CHOOSE(WEEKDAY(Q5,2),"Понедельник","Вторник","Среда","Четверг","Пятница","Суббота","Воскресенье"))</f>
        <v>Воскресенье</v>
      </c>
      <c r="R6" s="929"/>
      <c r="T6" s="930" t="s">
        <v>5</v>
      </c>
      <c r="U6" s="931"/>
      <c r="V6" s="932" t="s">
        <v>70</v>
      </c>
      <c r="W6" s="933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38" t="str">
        <f>IFERROR(VLOOKUP(DeliveryAddress,Table,3,0),1)</f>
        <v>1</v>
      </c>
      <c r="E7" s="939"/>
      <c r="F7" s="939"/>
      <c r="G7" s="939"/>
      <c r="H7" s="939"/>
      <c r="I7" s="939"/>
      <c r="J7" s="939"/>
      <c r="K7" s="939"/>
      <c r="L7" s="939"/>
      <c r="M7" s="940"/>
      <c r="N7" s="74"/>
      <c r="P7" s="29"/>
      <c r="Q7" s="48"/>
      <c r="R7" s="48"/>
      <c r="T7" s="930"/>
      <c r="U7" s="931"/>
      <c r="V7" s="934"/>
      <c r="W7" s="935"/>
      <c r="AB7" s="59"/>
      <c r="AC7" s="59"/>
      <c r="AD7" s="59"/>
      <c r="AE7" s="59"/>
    </row>
    <row r="8" spans="1:32" s="17" customFormat="1" ht="25.5" customHeight="1" x14ac:dyDescent="0.25">
      <c r="A8" s="941" t="s">
        <v>58</v>
      </c>
      <c r="B8" s="941"/>
      <c r="C8" s="941"/>
      <c r="D8" s="942"/>
      <c r="E8" s="942"/>
      <c r="F8" s="942"/>
      <c r="G8" s="942"/>
      <c r="H8" s="942"/>
      <c r="I8" s="942"/>
      <c r="J8" s="942"/>
      <c r="K8" s="942"/>
      <c r="L8" s="942"/>
      <c r="M8" s="942"/>
      <c r="N8" s="75"/>
      <c r="P8" s="27" t="s">
        <v>11</v>
      </c>
      <c r="Q8" s="925">
        <v>0.375</v>
      </c>
      <c r="R8" s="925"/>
      <c r="T8" s="930"/>
      <c r="U8" s="931"/>
      <c r="V8" s="934"/>
      <c r="W8" s="935"/>
      <c r="AB8" s="59"/>
      <c r="AC8" s="59"/>
      <c r="AD8" s="59"/>
      <c r="AE8" s="59"/>
    </row>
    <row r="9" spans="1:32" s="17" customFormat="1" ht="39.9" customHeight="1" x14ac:dyDescent="0.25">
      <c r="A9" s="9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17"/>
      <c r="C9" s="917"/>
      <c r="D9" s="918" t="s">
        <v>46</v>
      </c>
      <c r="E9" s="919"/>
      <c r="F9" s="9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17"/>
      <c r="H9" s="943" t="str">
        <f>IF(AND($A$9="Тип доверенности/получателя при получении в адресе перегруза:",$D$9="Разовая доверенность"),"Введите ФИО","")</f>
        <v/>
      </c>
      <c r="I9" s="943"/>
      <c r="J9" s="9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43"/>
      <c r="L9" s="943"/>
      <c r="M9" s="943"/>
      <c r="N9" s="70"/>
      <c r="P9" s="31" t="s">
        <v>15</v>
      </c>
      <c r="Q9" s="944"/>
      <c r="R9" s="944"/>
      <c r="T9" s="930"/>
      <c r="U9" s="931"/>
      <c r="V9" s="936"/>
      <c r="W9" s="9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17"/>
      <c r="C10" s="917"/>
      <c r="D10" s="918"/>
      <c r="E10" s="919"/>
      <c r="F10" s="9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17"/>
      <c r="H10" s="920" t="str">
        <f>IFERROR(VLOOKUP($D$10,Proxy,2,FALSE),"")</f>
        <v/>
      </c>
      <c r="I10" s="920"/>
      <c r="J10" s="920"/>
      <c r="K10" s="920"/>
      <c r="L10" s="920"/>
      <c r="M10" s="920"/>
      <c r="N10" s="71"/>
      <c r="P10" s="31" t="s">
        <v>32</v>
      </c>
      <c r="Q10" s="921"/>
      <c r="R10" s="921"/>
      <c r="U10" s="29" t="s">
        <v>12</v>
      </c>
      <c r="V10" s="922" t="s">
        <v>71</v>
      </c>
      <c r="W10" s="9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24"/>
      <c r="R11" s="924"/>
      <c r="U11" s="29" t="s">
        <v>28</v>
      </c>
      <c r="V11" s="903" t="s">
        <v>55</v>
      </c>
      <c r="W11" s="90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02" t="s">
        <v>72</v>
      </c>
      <c r="B12" s="902"/>
      <c r="C12" s="902"/>
      <c r="D12" s="902"/>
      <c r="E12" s="902"/>
      <c r="F12" s="902"/>
      <c r="G12" s="902"/>
      <c r="H12" s="902"/>
      <c r="I12" s="902"/>
      <c r="J12" s="902"/>
      <c r="K12" s="902"/>
      <c r="L12" s="902"/>
      <c r="M12" s="902"/>
      <c r="N12" s="76"/>
      <c r="P12" s="27" t="s">
        <v>30</v>
      </c>
      <c r="Q12" s="925"/>
      <c r="R12" s="925"/>
      <c r="S12" s="28"/>
      <c r="T12"/>
      <c r="U12" s="29" t="s">
        <v>46</v>
      </c>
      <c r="V12" s="926"/>
      <c r="W12" s="926"/>
      <c r="X12"/>
      <c r="AB12" s="59"/>
      <c r="AC12" s="59"/>
      <c r="AD12" s="59"/>
      <c r="AE12" s="59"/>
    </row>
    <row r="13" spans="1:32" s="17" customFormat="1" ht="23.25" customHeight="1" x14ac:dyDescent="0.25">
      <c r="A13" s="902" t="s">
        <v>73</v>
      </c>
      <c r="B13" s="902"/>
      <c r="C13" s="902"/>
      <c r="D13" s="902"/>
      <c r="E13" s="902"/>
      <c r="F13" s="902"/>
      <c r="G13" s="902"/>
      <c r="H13" s="902"/>
      <c r="I13" s="902"/>
      <c r="J13" s="902"/>
      <c r="K13" s="902"/>
      <c r="L13" s="902"/>
      <c r="M13" s="902"/>
      <c r="N13" s="76"/>
      <c r="O13" s="31"/>
      <c r="P13" s="31" t="s">
        <v>31</v>
      </c>
      <c r="Q13" s="903"/>
      <c r="R13" s="90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02" t="s">
        <v>74</v>
      </c>
      <c r="B14" s="902"/>
      <c r="C14" s="902"/>
      <c r="D14" s="902"/>
      <c r="E14" s="902"/>
      <c r="F14" s="902"/>
      <c r="G14" s="902"/>
      <c r="H14" s="902"/>
      <c r="I14" s="902"/>
      <c r="J14" s="902"/>
      <c r="K14" s="902"/>
      <c r="L14" s="902"/>
      <c r="M14" s="9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04" t="s">
        <v>75</v>
      </c>
      <c r="B15" s="904"/>
      <c r="C15" s="904"/>
      <c r="D15" s="904"/>
      <c r="E15" s="904"/>
      <c r="F15" s="904"/>
      <c r="G15" s="904"/>
      <c r="H15" s="904"/>
      <c r="I15" s="904"/>
      <c r="J15" s="904"/>
      <c r="K15" s="904"/>
      <c r="L15" s="904"/>
      <c r="M15" s="904"/>
      <c r="N15" s="77"/>
      <c r="O15"/>
      <c r="P15" s="905" t="s">
        <v>61</v>
      </c>
      <c r="Q15" s="905"/>
      <c r="R15" s="905"/>
      <c r="S15" s="905"/>
      <c r="T15" s="9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6"/>
      <c r="Q16" s="906"/>
      <c r="R16" s="906"/>
      <c r="S16" s="906"/>
      <c r="T16" s="9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88" t="s">
        <v>59</v>
      </c>
      <c r="B17" s="888" t="s">
        <v>49</v>
      </c>
      <c r="C17" s="909" t="s">
        <v>48</v>
      </c>
      <c r="D17" s="911" t="s">
        <v>50</v>
      </c>
      <c r="E17" s="912"/>
      <c r="F17" s="888" t="s">
        <v>21</v>
      </c>
      <c r="G17" s="888" t="s">
        <v>24</v>
      </c>
      <c r="H17" s="888" t="s">
        <v>22</v>
      </c>
      <c r="I17" s="888" t="s">
        <v>23</v>
      </c>
      <c r="J17" s="888" t="s">
        <v>16</v>
      </c>
      <c r="K17" s="888" t="s">
        <v>66</v>
      </c>
      <c r="L17" s="888" t="s">
        <v>64</v>
      </c>
      <c r="M17" s="888" t="s">
        <v>2</v>
      </c>
      <c r="N17" s="888" t="s">
        <v>63</v>
      </c>
      <c r="O17" s="888" t="s">
        <v>25</v>
      </c>
      <c r="P17" s="911" t="s">
        <v>17</v>
      </c>
      <c r="Q17" s="915"/>
      <c r="R17" s="915"/>
      <c r="S17" s="915"/>
      <c r="T17" s="912"/>
      <c r="U17" s="907" t="s">
        <v>56</v>
      </c>
      <c r="V17" s="908"/>
      <c r="W17" s="888" t="s">
        <v>6</v>
      </c>
      <c r="X17" s="888" t="s">
        <v>41</v>
      </c>
      <c r="Y17" s="890" t="s">
        <v>54</v>
      </c>
      <c r="Z17" s="892" t="s">
        <v>18</v>
      </c>
      <c r="AA17" s="894" t="s">
        <v>60</v>
      </c>
      <c r="AB17" s="894" t="s">
        <v>19</v>
      </c>
      <c r="AC17" s="894" t="s">
        <v>65</v>
      </c>
      <c r="AD17" s="896" t="s">
        <v>57</v>
      </c>
      <c r="AE17" s="897"/>
      <c r="AF17" s="898"/>
      <c r="AG17" s="82"/>
      <c r="BD17" s="81" t="s">
        <v>62</v>
      </c>
    </row>
    <row r="18" spans="1:68" ht="14.25" customHeight="1" x14ac:dyDescent="0.25">
      <c r="A18" s="889"/>
      <c r="B18" s="889"/>
      <c r="C18" s="910"/>
      <c r="D18" s="913"/>
      <c r="E18" s="914"/>
      <c r="F18" s="889"/>
      <c r="G18" s="889"/>
      <c r="H18" s="889"/>
      <c r="I18" s="889"/>
      <c r="J18" s="889"/>
      <c r="K18" s="889"/>
      <c r="L18" s="889"/>
      <c r="M18" s="889"/>
      <c r="N18" s="889"/>
      <c r="O18" s="889"/>
      <c r="P18" s="913"/>
      <c r="Q18" s="916"/>
      <c r="R18" s="916"/>
      <c r="S18" s="916"/>
      <c r="T18" s="914"/>
      <c r="U18" s="83" t="s">
        <v>44</v>
      </c>
      <c r="V18" s="83" t="s">
        <v>43</v>
      </c>
      <c r="W18" s="889"/>
      <c r="X18" s="889"/>
      <c r="Y18" s="891"/>
      <c r="Z18" s="893"/>
      <c r="AA18" s="895"/>
      <c r="AB18" s="895"/>
      <c r="AC18" s="895"/>
      <c r="AD18" s="899"/>
      <c r="AE18" s="900"/>
      <c r="AF18" s="901"/>
      <c r="AG18" s="82"/>
      <c r="BD18" s="81"/>
    </row>
    <row r="19" spans="1:68" ht="27.75" customHeight="1" x14ac:dyDescent="0.25">
      <c r="A19" s="633" t="s">
        <v>76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54"/>
      <c r="AB19" s="54"/>
      <c r="AC19" s="54"/>
    </row>
    <row r="20" spans="1:68" ht="16.5" customHeight="1" x14ac:dyDescent="0.25">
      <c r="A20" s="628" t="s">
        <v>76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12" t="s">
        <v>77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3">
        <v>4680115886643</v>
      </c>
      <c r="E22" s="6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5"/>
      <c r="R22" s="615"/>
      <c r="S22" s="615"/>
      <c r="T22" s="6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13">
        <v>4680115889071</v>
      </c>
      <c r="E23" s="6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8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5"/>
      <c r="R23" s="615"/>
      <c r="S23" s="615"/>
      <c r="T23" s="6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20"/>
      <c r="B24" s="620"/>
      <c r="C24" s="620"/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1"/>
      <c r="P24" s="617" t="s">
        <v>40</v>
      </c>
      <c r="Q24" s="618"/>
      <c r="R24" s="618"/>
      <c r="S24" s="618"/>
      <c r="T24" s="618"/>
      <c r="U24" s="618"/>
      <c r="V24" s="61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20"/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1"/>
      <c r="P25" s="617" t="s">
        <v>40</v>
      </c>
      <c r="Q25" s="618"/>
      <c r="R25" s="618"/>
      <c r="S25" s="618"/>
      <c r="T25" s="618"/>
      <c r="U25" s="618"/>
      <c r="V25" s="61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2" t="s">
        <v>86</v>
      </c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2"/>
      <c r="P26" s="612"/>
      <c r="Q26" s="612"/>
      <c r="R26" s="612"/>
      <c r="S26" s="612"/>
      <c r="T26" s="612"/>
      <c r="U26" s="612"/>
      <c r="V26" s="612"/>
      <c r="W26" s="612"/>
      <c r="X26" s="612"/>
      <c r="Y26" s="612"/>
      <c r="Z26" s="61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3">
        <v>4680115885912</v>
      </c>
      <c r="E27" s="6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5"/>
      <c r="R27" s="615"/>
      <c r="S27" s="615"/>
      <c r="T27" s="61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13">
        <v>4607091388237</v>
      </c>
      <c r="E28" s="6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5"/>
      <c r="R28" s="615"/>
      <c r="S28" s="615"/>
      <c r="T28" s="61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13">
        <v>4680115887350</v>
      </c>
      <c r="E29" s="6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8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5"/>
      <c r="R29" s="615"/>
      <c r="S29" s="615"/>
      <c r="T29" s="61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13">
        <v>4680115885905</v>
      </c>
      <c r="E30" s="6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5"/>
      <c r="R30" s="615"/>
      <c r="S30" s="615"/>
      <c r="T30" s="61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13">
        <v>4680115887657</v>
      </c>
      <c r="E31" s="6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5"/>
      <c r="R31" s="615"/>
      <c r="S31" s="615"/>
      <c r="T31" s="61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13">
        <v>4680115887619</v>
      </c>
      <c r="E32" s="61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8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5"/>
      <c r="R32" s="615"/>
      <c r="S32" s="615"/>
      <c r="T32" s="61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5">
      <c r="A33" s="620"/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1"/>
      <c r="P33" s="617" t="s">
        <v>40</v>
      </c>
      <c r="Q33" s="618"/>
      <c r="R33" s="618"/>
      <c r="S33" s="618"/>
      <c r="T33" s="618"/>
      <c r="U33" s="618"/>
      <c r="V33" s="619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5">
      <c r="A34" s="620"/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1"/>
      <c r="P34" s="617" t="s">
        <v>40</v>
      </c>
      <c r="Q34" s="618"/>
      <c r="R34" s="618"/>
      <c r="S34" s="618"/>
      <c r="T34" s="618"/>
      <c r="U34" s="618"/>
      <c r="V34" s="619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12" t="s">
        <v>107</v>
      </c>
      <c r="B35" s="612"/>
      <c r="C35" s="612"/>
      <c r="D35" s="612"/>
      <c r="E35" s="612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13">
        <v>4607091388503</v>
      </c>
      <c r="E36" s="613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8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5"/>
      <c r="R36" s="615"/>
      <c r="S36" s="615"/>
      <c r="T36" s="616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5">
      <c r="A37" s="620"/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1"/>
      <c r="P37" s="617" t="s">
        <v>40</v>
      </c>
      <c r="Q37" s="618"/>
      <c r="R37" s="618"/>
      <c r="S37" s="618"/>
      <c r="T37" s="618"/>
      <c r="U37" s="618"/>
      <c r="V37" s="619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5">
      <c r="A38" s="620"/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1"/>
      <c r="P38" s="617" t="s">
        <v>40</v>
      </c>
      <c r="Q38" s="618"/>
      <c r="R38" s="618"/>
      <c r="S38" s="618"/>
      <c r="T38" s="618"/>
      <c r="U38" s="618"/>
      <c r="V38" s="619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5">
      <c r="A39" s="633" t="s">
        <v>45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54"/>
      <c r="AB39" s="54"/>
      <c r="AC39" s="54"/>
    </row>
    <row r="40" spans="1:68" ht="16.5" customHeight="1" x14ac:dyDescent="0.25">
      <c r="A40" s="628" t="s">
        <v>113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5"/>
      <c r="AB40" s="65"/>
      <c r="AC40" s="79"/>
    </row>
    <row r="41" spans="1:68" ht="14.25" customHeight="1" x14ac:dyDescent="0.25">
      <c r="A41" s="612" t="s">
        <v>86</v>
      </c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2"/>
      <c r="P41" s="612"/>
      <c r="Q41" s="612"/>
      <c r="R41" s="612"/>
      <c r="S41" s="612"/>
      <c r="T41" s="612"/>
      <c r="U41" s="612"/>
      <c r="V41" s="612"/>
      <c r="W41" s="612"/>
      <c r="X41" s="612"/>
      <c r="Y41" s="612"/>
      <c r="Z41" s="612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13">
        <v>4680115888463</v>
      </c>
      <c r="E42" s="6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7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5"/>
      <c r="R42" s="615"/>
      <c r="S42" s="615"/>
      <c r="T42" s="6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13">
        <v>4680115888494</v>
      </c>
      <c r="E43" s="61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5"/>
      <c r="R43" s="615"/>
      <c r="S43" s="615"/>
      <c r="T43" s="6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13">
        <v>4680115888272</v>
      </c>
      <c r="E44" s="6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5"/>
      <c r="R44" s="615"/>
      <c r="S44" s="615"/>
      <c r="T44" s="6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13">
        <v>4680115888364</v>
      </c>
      <c r="E45" s="6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5"/>
      <c r="R45" s="615"/>
      <c r="S45" s="615"/>
      <c r="T45" s="6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5">
      <c r="A46" s="620"/>
      <c r="B46" s="620"/>
      <c r="C46" s="620"/>
      <c r="D46" s="620"/>
      <c r="E46" s="620"/>
      <c r="F46" s="620"/>
      <c r="G46" s="620"/>
      <c r="H46" s="620"/>
      <c r="I46" s="620"/>
      <c r="J46" s="620"/>
      <c r="K46" s="620"/>
      <c r="L46" s="620"/>
      <c r="M46" s="620"/>
      <c r="N46" s="620"/>
      <c r="O46" s="621"/>
      <c r="P46" s="617" t="s">
        <v>40</v>
      </c>
      <c r="Q46" s="618"/>
      <c r="R46" s="618"/>
      <c r="S46" s="618"/>
      <c r="T46" s="618"/>
      <c r="U46" s="618"/>
      <c r="V46" s="619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5">
      <c r="A47" s="620"/>
      <c r="B47" s="620"/>
      <c r="C47" s="620"/>
      <c r="D47" s="620"/>
      <c r="E47" s="620"/>
      <c r="F47" s="620"/>
      <c r="G47" s="620"/>
      <c r="H47" s="620"/>
      <c r="I47" s="620"/>
      <c r="J47" s="620"/>
      <c r="K47" s="620"/>
      <c r="L47" s="620"/>
      <c r="M47" s="620"/>
      <c r="N47" s="620"/>
      <c r="O47" s="621"/>
      <c r="P47" s="617" t="s">
        <v>40</v>
      </c>
      <c r="Q47" s="618"/>
      <c r="R47" s="618"/>
      <c r="S47" s="618"/>
      <c r="T47" s="618"/>
      <c r="U47" s="618"/>
      <c r="V47" s="619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5">
      <c r="A48" s="633" t="s">
        <v>126</v>
      </c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54"/>
      <c r="AB48" s="54"/>
      <c r="AC48" s="54"/>
    </row>
    <row r="49" spans="1:68" ht="16.5" customHeight="1" x14ac:dyDescent="0.25">
      <c r="A49" s="628" t="s">
        <v>127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customHeight="1" x14ac:dyDescent="0.25">
      <c r="A50" s="612" t="s">
        <v>128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2"/>
      <c r="V50" s="612"/>
      <c r="W50" s="612"/>
      <c r="X50" s="612"/>
      <c r="Y50" s="612"/>
      <c r="Z50" s="612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13">
        <v>4607091385670</v>
      </c>
      <c r="E51" s="6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7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5"/>
      <c r="R51" s="615"/>
      <c r="S51" s="615"/>
      <c r="T51" s="61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13">
        <v>4680115887725</v>
      </c>
      <c r="E52" s="6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5"/>
      <c r="R52" s="615"/>
      <c r="S52" s="615"/>
      <c r="T52" s="6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13">
        <v>4607091385687</v>
      </c>
      <c r="E53" s="6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87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5"/>
      <c r="R53" s="615"/>
      <c r="S53" s="615"/>
      <c r="T53" s="61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13">
        <v>4680115882539</v>
      </c>
      <c r="E54" s="6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87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5"/>
      <c r="R54" s="615"/>
      <c r="S54" s="615"/>
      <c r="T54" s="6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5">
      <c r="A55" s="620"/>
      <c r="B55" s="620"/>
      <c r="C55" s="620"/>
      <c r="D55" s="620"/>
      <c r="E55" s="620"/>
      <c r="F55" s="620"/>
      <c r="G55" s="620"/>
      <c r="H55" s="620"/>
      <c r="I55" s="620"/>
      <c r="J55" s="620"/>
      <c r="K55" s="620"/>
      <c r="L55" s="620"/>
      <c r="M55" s="620"/>
      <c r="N55" s="620"/>
      <c r="O55" s="621"/>
      <c r="P55" s="617" t="s">
        <v>40</v>
      </c>
      <c r="Q55" s="618"/>
      <c r="R55" s="618"/>
      <c r="S55" s="618"/>
      <c r="T55" s="618"/>
      <c r="U55" s="618"/>
      <c r="V55" s="619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5">
      <c r="A56" s="620"/>
      <c r="B56" s="620"/>
      <c r="C56" s="620"/>
      <c r="D56" s="620"/>
      <c r="E56" s="620"/>
      <c r="F56" s="620"/>
      <c r="G56" s="620"/>
      <c r="H56" s="620"/>
      <c r="I56" s="620"/>
      <c r="J56" s="620"/>
      <c r="K56" s="620"/>
      <c r="L56" s="620"/>
      <c r="M56" s="620"/>
      <c r="N56" s="620"/>
      <c r="O56" s="621"/>
      <c r="P56" s="617" t="s">
        <v>40</v>
      </c>
      <c r="Q56" s="618"/>
      <c r="R56" s="618"/>
      <c r="S56" s="618"/>
      <c r="T56" s="618"/>
      <c r="U56" s="618"/>
      <c r="V56" s="619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28" t="s">
        <v>143</v>
      </c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  <c r="R57" s="628"/>
      <c r="S57" s="628"/>
      <c r="T57" s="628"/>
      <c r="U57" s="628"/>
      <c r="V57" s="628"/>
      <c r="W57" s="628"/>
      <c r="X57" s="628"/>
      <c r="Y57" s="628"/>
      <c r="Z57" s="628"/>
      <c r="AA57" s="65"/>
      <c r="AB57" s="65"/>
      <c r="AC57" s="79"/>
    </row>
    <row r="58" spans="1:68" ht="14.25" customHeight="1" x14ac:dyDescent="0.25">
      <c r="A58" s="612" t="s">
        <v>128</v>
      </c>
      <c r="B58" s="612"/>
      <c r="C58" s="612"/>
      <c r="D58" s="612"/>
      <c r="E58" s="612"/>
      <c r="F58" s="612"/>
      <c r="G58" s="612"/>
      <c r="H58" s="612"/>
      <c r="I58" s="612"/>
      <c r="J58" s="612"/>
      <c r="K58" s="612"/>
      <c r="L58" s="612"/>
      <c r="M58" s="612"/>
      <c r="N58" s="612"/>
      <c r="O58" s="612"/>
      <c r="P58" s="612"/>
      <c r="Q58" s="612"/>
      <c r="R58" s="612"/>
      <c r="S58" s="612"/>
      <c r="T58" s="612"/>
      <c r="U58" s="612"/>
      <c r="V58" s="612"/>
      <c r="W58" s="612"/>
      <c r="X58" s="612"/>
      <c r="Y58" s="612"/>
      <c r="Z58" s="612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13">
        <v>4680115885882</v>
      </c>
      <c r="E59" s="6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5"/>
      <c r="R59" s="615"/>
      <c r="S59" s="615"/>
      <c r="T59" s="6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13">
        <v>4680115885882</v>
      </c>
      <c r="E60" s="613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7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5"/>
      <c r="R60" s="615"/>
      <c r="S60" s="615"/>
      <c r="T60" s="6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13">
        <v>4680115881426</v>
      </c>
      <c r="E61" s="6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5"/>
      <c r="R61" s="615"/>
      <c r="S61" s="615"/>
      <c r="T61" s="6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13">
        <v>4680115880283</v>
      </c>
      <c r="E62" s="6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6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5"/>
      <c r="R62" s="615"/>
      <c r="S62" s="615"/>
      <c r="T62" s="6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13">
        <v>4680115881525</v>
      </c>
      <c r="E63" s="6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8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5"/>
      <c r="R63" s="615"/>
      <c r="S63" s="615"/>
      <c r="T63" s="6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13">
        <v>4680115885899</v>
      </c>
      <c r="E64" s="613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8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5"/>
      <c r="R64" s="615"/>
      <c r="S64" s="615"/>
      <c r="T64" s="6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13">
        <v>4680115881419</v>
      </c>
      <c r="E65" s="613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86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5"/>
      <c r="R65" s="615"/>
      <c r="S65" s="615"/>
      <c r="T65" s="6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5">
      <c r="A66" s="620"/>
      <c r="B66" s="620"/>
      <c r="C66" s="620"/>
      <c r="D66" s="620"/>
      <c r="E66" s="620"/>
      <c r="F66" s="620"/>
      <c r="G66" s="620"/>
      <c r="H66" s="620"/>
      <c r="I66" s="620"/>
      <c r="J66" s="620"/>
      <c r="K66" s="620"/>
      <c r="L66" s="620"/>
      <c r="M66" s="620"/>
      <c r="N66" s="620"/>
      <c r="O66" s="621"/>
      <c r="P66" s="617" t="s">
        <v>40</v>
      </c>
      <c r="Q66" s="618"/>
      <c r="R66" s="618"/>
      <c r="S66" s="618"/>
      <c r="T66" s="618"/>
      <c r="U66" s="618"/>
      <c r="V66" s="619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5">
      <c r="A67" s="620"/>
      <c r="B67" s="620"/>
      <c r="C67" s="620"/>
      <c r="D67" s="620"/>
      <c r="E67" s="620"/>
      <c r="F67" s="620"/>
      <c r="G67" s="620"/>
      <c r="H67" s="620"/>
      <c r="I67" s="620"/>
      <c r="J67" s="620"/>
      <c r="K67" s="620"/>
      <c r="L67" s="620"/>
      <c r="M67" s="620"/>
      <c r="N67" s="620"/>
      <c r="O67" s="621"/>
      <c r="P67" s="617" t="s">
        <v>40</v>
      </c>
      <c r="Q67" s="618"/>
      <c r="R67" s="618"/>
      <c r="S67" s="618"/>
      <c r="T67" s="618"/>
      <c r="U67" s="618"/>
      <c r="V67" s="619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customHeight="1" x14ac:dyDescent="0.25">
      <c r="A68" s="612" t="s">
        <v>163</v>
      </c>
      <c r="B68" s="612"/>
      <c r="C68" s="612"/>
      <c r="D68" s="612"/>
      <c r="E68" s="612"/>
      <c r="F68" s="612"/>
      <c r="G68" s="612"/>
      <c r="H68" s="612"/>
      <c r="I68" s="612"/>
      <c r="J68" s="612"/>
      <c r="K68" s="612"/>
      <c r="L68" s="612"/>
      <c r="M68" s="612"/>
      <c r="N68" s="612"/>
      <c r="O68" s="612"/>
      <c r="P68" s="612"/>
      <c r="Q68" s="612"/>
      <c r="R68" s="612"/>
      <c r="S68" s="612"/>
      <c r="T68" s="612"/>
      <c r="U68" s="612"/>
      <c r="V68" s="612"/>
      <c r="W68" s="612"/>
      <c r="X68" s="612"/>
      <c r="Y68" s="612"/>
      <c r="Z68" s="612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13">
        <v>4680115881440</v>
      </c>
      <c r="E69" s="613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5"/>
      <c r="R69" s="615"/>
      <c r="S69" s="615"/>
      <c r="T69" s="6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13">
        <v>4680115885950</v>
      </c>
      <c r="E70" s="613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8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5"/>
      <c r="R70" s="615"/>
      <c r="S70" s="615"/>
      <c r="T70" s="61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13">
        <v>4680115887688</v>
      </c>
      <c r="E71" s="613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8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5"/>
      <c r="R71" s="615"/>
      <c r="S71" s="615"/>
      <c r="T71" s="6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13">
        <v>4680115881433</v>
      </c>
      <c r="E72" s="61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8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5"/>
      <c r="R72" s="615"/>
      <c r="S72" s="615"/>
      <c r="T72" s="61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5">
      <c r="A73" s="620"/>
      <c r="B73" s="620"/>
      <c r="C73" s="620"/>
      <c r="D73" s="620"/>
      <c r="E73" s="620"/>
      <c r="F73" s="620"/>
      <c r="G73" s="620"/>
      <c r="H73" s="620"/>
      <c r="I73" s="620"/>
      <c r="J73" s="620"/>
      <c r="K73" s="620"/>
      <c r="L73" s="620"/>
      <c r="M73" s="620"/>
      <c r="N73" s="620"/>
      <c r="O73" s="621"/>
      <c r="P73" s="617" t="s">
        <v>40</v>
      </c>
      <c r="Q73" s="618"/>
      <c r="R73" s="618"/>
      <c r="S73" s="618"/>
      <c r="T73" s="618"/>
      <c r="U73" s="618"/>
      <c r="V73" s="619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5">
      <c r="A74" s="620"/>
      <c r="B74" s="620"/>
      <c r="C74" s="620"/>
      <c r="D74" s="620"/>
      <c r="E74" s="620"/>
      <c r="F74" s="620"/>
      <c r="G74" s="620"/>
      <c r="H74" s="620"/>
      <c r="I74" s="620"/>
      <c r="J74" s="620"/>
      <c r="K74" s="620"/>
      <c r="L74" s="620"/>
      <c r="M74" s="620"/>
      <c r="N74" s="620"/>
      <c r="O74" s="621"/>
      <c r="P74" s="617" t="s">
        <v>40</v>
      </c>
      <c r="Q74" s="618"/>
      <c r="R74" s="618"/>
      <c r="S74" s="618"/>
      <c r="T74" s="618"/>
      <c r="U74" s="618"/>
      <c r="V74" s="619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12" t="s">
        <v>86</v>
      </c>
      <c r="B75" s="61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Q75" s="612"/>
      <c r="R75" s="612"/>
      <c r="S75" s="612"/>
      <c r="T75" s="612"/>
      <c r="U75" s="612"/>
      <c r="V75" s="612"/>
      <c r="W75" s="612"/>
      <c r="X75" s="612"/>
      <c r="Y75" s="612"/>
      <c r="Z75" s="612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13">
        <v>4680115884311</v>
      </c>
      <c r="E76" s="61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8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5"/>
      <c r="R76" s="615"/>
      <c r="S76" s="615"/>
      <c r="T76" s="61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13">
        <v>4680115884403</v>
      </c>
      <c r="E77" s="61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5"/>
      <c r="R77" s="615"/>
      <c r="S77" s="615"/>
      <c r="T77" s="6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5">
      <c r="A78" s="620"/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1"/>
      <c r="P78" s="617" t="s">
        <v>40</v>
      </c>
      <c r="Q78" s="618"/>
      <c r="R78" s="618"/>
      <c r="S78" s="618"/>
      <c r="T78" s="618"/>
      <c r="U78" s="618"/>
      <c r="V78" s="619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5">
      <c r="A79" s="620"/>
      <c r="B79" s="620"/>
      <c r="C79" s="620"/>
      <c r="D79" s="620"/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1"/>
      <c r="P79" s="617" t="s">
        <v>40</v>
      </c>
      <c r="Q79" s="618"/>
      <c r="R79" s="618"/>
      <c r="S79" s="618"/>
      <c r="T79" s="618"/>
      <c r="U79" s="618"/>
      <c r="V79" s="619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12" t="s">
        <v>180</v>
      </c>
      <c r="B80" s="612"/>
      <c r="C80" s="612"/>
      <c r="D80" s="612"/>
      <c r="E80" s="612"/>
      <c r="F80" s="612"/>
      <c r="G80" s="612"/>
      <c r="H80" s="612"/>
      <c r="I80" s="612"/>
      <c r="J80" s="612"/>
      <c r="K80" s="612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12"/>
      <c r="Y80" s="612"/>
      <c r="Z80" s="612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13">
        <v>4680115881532</v>
      </c>
      <c r="E81" s="61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8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5"/>
      <c r="R81" s="615"/>
      <c r="S81" s="615"/>
      <c r="T81" s="61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13">
        <v>4680115881464</v>
      </c>
      <c r="E82" s="61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8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5"/>
      <c r="R82" s="615"/>
      <c r="S82" s="615"/>
      <c r="T82" s="6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5">
      <c r="A83" s="620"/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1"/>
      <c r="P83" s="617" t="s">
        <v>40</v>
      </c>
      <c r="Q83" s="618"/>
      <c r="R83" s="618"/>
      <c r="S83" s="618"/>
      <c r="T83" s="618"/>
      <c r="U83" s="618"/>
      <c r="V83" s="619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5">
      <c r="A84" s="620"/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1"/>
      <c r="P84" s="617" t="s">
        <v>40</v>
      </c>
      <c r="Q84" s="618"/>
      <c r="R84" s="618"/>
      <c r="S84" s="618"/>
      <c r="T84" s="618"/>
      <c r="U84" s="618"/>
      <c r="V84" s="619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28" t="s">
        <v>187</v>
      </c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8"/>
      <c r="P85" s="628"/>
      <c r="Q85" s="628"/>
      <c r="R85" s="628"/>
      <c r="S85" s="628"/>
      <c r="T85" s="628"/>
      <c r="U85" s="628"/>
      <c r="V85" s="628"/>
      <c r="W85" s="628"/>
      <c r="X85" s="628"/>
      <c r="Y85" s="628"/>
      <c r="Z85" s="628"/>
      <c r="AA85" s="65"/>
      <c r="AB85" s="65"/>
      <c r="AC85" s="79"/>
    </row>
    <row r="86" spans="1:68" ht="14.25" customHeight="1" x14ac:dyDescent="0.25">
      <c r="A86" s="612" t="s">
        <v>128</v>
      </c>
      <c r="B86" s="612"/>
      <c r="C86" s="612"/>
      <c r="D86" s="612"/>
      <c r="E86" s="612"/>
      <c r="F86" s="612"/>
      <c r="G86" s="612"/>
      <c r="H86" s="612"/>
      <c r="I86" s="612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  <c r="Y86" s="612"/>
      <c r="Z86" s="612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13">
        <v>4680115881327</v>
      </c>
      <c r="E87" s="61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5"/>
      <c r="R87" s="615"/>
      <c r="S87" s="615"/>
      <c r="T87" s="6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13">
        <v>4680115887732</v>
      </c>
      <c r="E88" s="613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85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5"/>
      <c r="R88" s="615"/>
      <c r="S88" s="615"/>
      <c r="T88" s="61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13">
        <v>4680115881518</v>
      </c>
      <c r="E89" s="61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5"/>
      <c r="R89" s="615"/>
      <c r="S89" s="615"/>
      <c r="T89" s="61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13">
        <v>4680115881303</v>
      </c>
      <c r="E90" s="61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5"/>
      <c r="R90" s="615"/>
      <c r="S90" s="615"/>
      <c r="T90" s="61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5">
      <c r="A91" s="620"/>
      <c r="B91" s="620"/>
      <c r="C91" s="620"/>
      <c r="D91" s="620"/>
      <c r="E91" s="620"/>
      <c r="F91" s="620"/>
      <c r="G91" s="620"/>
      <c r="H91" s="620"/>
      <c r="I91" s="620"/>
      <c r="J91" s="620"/>
      <c r="K91" s="620"/>
      <c r="L91" s="620"/>
      <c r="M91" s="620"/>
      <c r="N91" s="620"/>
      <c r="O91" s="621"/>
      <c r="P91" s="617" t="s">
        <v>40</v>
      </c>
      <c r="Q91" s="618"/>
      <c r="R91" s="618"/>
      <c r="S91" s="618"/>
      <c r="T91" s="618"/>
      <c r="U91" s="618"/>
      <c r="V91" s="619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5">
      <c r="A92" s="620"/>
      <c r="B92" s="620"/>
      <c r="C92" s="620"/>
      <c r="D92" s="620"/>
      <c r="E92" s="620"/>
      <c r="F92" s="620"/>
      <c r="G92" s="620"/>
      <c r="H92" s="620"/>
      <c r="I92" s="620"/>
      <c r="J92" s="620"/>
      <c r="K92" s="620"/>
      <c r="L92" s="620"/>
      <c r="M92" s="620"/>
      <c r="N92" s="620"/>
      <c r="O92" s="621"/>
      <c r="P92" s="617" t="s">
        <v>40</v>
      </c>
      <c r="Q92" s="618"/>
      <c r="R92" s="618"/>
      <c r="S92" s="618"/>
      <c r="T92" s="618"/>
      <c r="U92" s="618"/>
      <c r="V92" s="619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12" t="s">
        <v>86</v>
      </c>
      <c r="B93" s="612"/>
      <c r="C93" s="612"/>
      <c r="D93" s="612"/>
      <c r="E93" s="612"/>
      <c r="F93" s="612"/>
      <c r="G93" s="612"/>
      <c r="H93" s="612"/>
      <c r="I93" s="612"/>
      <c r="J93" s="612"/>
      <c r="K93" s="612"/>
      <c r="L93" s="612"/>
      <c r="M93" s="612"/>
      <c r="N93" s="612"/>
      <c r="O93" s="612"/>
      <c r="P93" s="612"/>
      <c r="Q93" s="612"/>
      <c r="R93" s="612"/>
      <c r="S93" s="612"/>
      <c r="T93" s="612"/>
      <c r="U93" s="612"/>
      <c r="V93" s="612"/>
      <c r="W93" s="612"/>
      <c r="X93" s="612"/>
      <c r="Y93" s="612"/>
      <c r="Z93" s="612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13">
        <v>4607091386967</v>
      </c>
      <c r="E94" s="61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8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5"/>
      <c r="R94" s="615"/>
      <c r="S94" s="615"/>
      <c r="T94" s="6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13">
        <v>4680115884953</v>
      </c>
      <c r="E95" s="61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8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5"/>
      <c r="R95" s="615"/>
      <c r="S95" s="615"/>
      <c r="T95" s="61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13">
        <v>4607091385731</v>
      </c>
      <c r="E96" s="61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8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5"/>
      <c r="R96" s="615"/>
      <c r="S96" s="615"/>
      <c r="T96" s="61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13">
        <v>4680115880894</v>
      </c>
      <c r="E97" s="61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84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5"/>
      <c r="R97" s="615"/>
      <c r="S97" s="615"/>
      <c r="T97" s="61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5">
      <c r="A98" s="620"/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1"/>
      <c r="P98" s="617" t="s">
        <v>40</v>
      </c>
      <c r="Q98" s="618"/>
      <c r="R98" s="618"/>
      <c r="S98" s="618"/>
      <c r="T98" s="618"/>
      <c r="U98" s="618"/>
      <c r="V98" s="61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5">
      <c r="A99" s="620"/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1"/>
      <c r="P99" s="617" t="s">
        <v>40</v>
      </c>
      <c r="Q99" s="618"/>
      <c r="R99" s="618"/>
      <c r="S99" s="618"/>
      <c r="T99" s="618"/>
      <c r="U99" s="618"/>
      <c r="V99" s="61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28" t="s">
        <v>208</v>
      </c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8"/>
      <c r="P100" s="628"/>
      <c r="Q100" s="628"/>
      <c r="R100" s="628"/>
      <c r="S100" s="628"/>
      <c r="T100" s="628"/>
      <c r="U100" s="628"/>
      <c r="V100" s="628"/>
      <c r="W100" s="628"/>
      <c r="X100" s="628"/>
      <c r="Y100" s="628"/>
      <c r="Z100" s="628"/>
      <c r="AA100" s="65"/>
      <c r="AB100" s="65"/>
      <c r="AC100" s="79"/>
    </row>
    <row r="101" spans="1:68" ht="14.25" customHeight="1" x14ac:dyDescent="0.25">
      <c r="A101" s="612" t="s">
        <v>128</v>
      </c>
      <c r="B101" s="612"/>
      <c r="C101" s="612"/>
      <c r="D101" s="612"/>
      <c r="E101" s="612"/>
      <c r="F101" s="612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13">
        <v>4680115882133</v>
      </c>
      <c r="E102" s="61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8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5"/>
      <c r="R102" s="615"/>
      <c r="S102" s="615"/>
      <c r="T102" s="6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13">
        <v>4680115887718</v>
      </c>
      <c r="E103" s="613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8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5"/>
      <c r="R103" s="615"/>
      <c r="S103" s="615"/>
      <c r="T103" s="6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13">
        <v>4680115887718</v>
      </c>
      <c r="E104" s="613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5"/>
      <c r="R104" s="615"/>
      <c r="S104" s="615"/>
      <c r="T104" s="6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13">
        <v>4680115887749</v>
      </c>
      <c r="E105" s="613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5"/>
      <c r="R105" s="615"/>
      <c r="S105" s="615"/>
      <c r="T105" s="6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13">
        <v>4680115880269</v>
      </c>
      <c r="E106" s="61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5"/>
      <c r="R106" s="615"/>
      <c r="S106" s="615"/>
      <c r="T106" s="61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13">
        <v>4680115880429</v>
      </c>
      <c r="E107" s="613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4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5"/>
      <c r="R107" s="615"/>
      <c r="S107" s="615"/>
      <c r="T107" s="6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13">
        <v>4680115881457</v>
      </c>
      <c r="E108" s="613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5"/>
      <c r="R108" s="615"/>
      <c r="S108" s="615"/>
      <c r="T108" s="6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5">
      <c r="A109" s="620"/>
      <c r="B109" s="620"/>
      <c r="C109" s="620"/>
      <c r="D109" s="620"/>
      <c r="E109" s="620"/>
      <c r="F109" s="620"/>
      <c r="G109" s="620"/>
      <c r="H109" s="620"/>
      <c r="I109" s="620"/>
      <c r="J109" s="620"/>
      <c r="K109" s="620"/>
      <c r="L109" s="620"/>
      <c r="M109" s="620"/>
      <c r="N109" s="620"/>
      <c r="O109" s="621"/>
      <c r="P109" s="617" t="s">
        <v>40</v>
      </c>
      <c r="Q109" s="618"/>
      <c r="R109" s="618"/>
      <c r="S109" s="618"/>
      <c r="T109" s="618"/>
      <c r="U109" s="618"/>
      <c r="V109" s="619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5">
      <c r="A110" s="620"/>
      <c r="B110" s="620"/>
      <c r="C110" s="620"/>
      <c r="D110" s="620"/>
      <c r="E110" s="620"/>
      <c r="F110" s="620"/>
      <c r="G110" s="620"/>
      <c r="H110" s="620"/>
      <c r="I110" s="620"/>
      <c r="J110" s="620"/>
      <c r="K110" s="620"/>
      <c r="L110" s="620"/>
      <c r="M110" s="620"/>
      <c r="N110" s="620"/>
      <c r="O110" s="621"/>
      <c r="P110" s="617" t="s">
        <v>40</v>
      </c>
      <c r="Q110" s="618"/>
      <c r="R110" s="618"/>
      <c r="S110" s="618"/>
      <c r="T110" s="618"/>
      <c r="U110" s="618"/>
      <c r="V110" s="619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12" t="s">
        <v>163</v>
      </c>
      <c r="B111" s="612"/>
      <c r="C111" s="612"/>
      <c r="D111" s="612"/>
      <c r="E111" s="612"/>
      <c r="F111" s="612"/>
      <c r="G111" s="612"/>
      <c r="H111" s="612"/>
      <c r="I111" s="612"/>
      <c r="J111" s="612"/>
      <c r="K111" s="612"/>
      <c r="L111" s="612"/>
      <c r="M111" s="612"/>
      <c r="N111" s="612"/>
      <c r="O111" s="612"/>
      <c r="P111" s="612"/>
      <c r="Q111" s="612"/>
      <c r="R111" s="612"/>
      <c r="S111" s="612"/>
      <c r="T111" s="612"/>
      <c r="U111" s="612"/>
      <c r="V111" s="612"/>
      <c r="W111" s="612"/>
      <c r="X111" s="612"/>
      <c r="Y111" s="612"/>
      <c r="Z111" s="612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13">
        <v>4680115881488</v>
      </c>
      <c r="E112" s="613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5"/>
      <c r="R112" s="615"/>
      <c r="S112" s="615"/>
      <c r="T112" s="6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13">
        <v>4680115881488</v>
      </c>
      <c r="E113" s="613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84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5"/>
      <c r="R113" s="615"/>
      <c r="S113" s="615"/>
      <c r="T113" s="616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13">
        <v>4680115887664</v>
      </c>
      <c r="E114" s="613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8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5"/>
      <c r="R114" s="615"/>
      <c r="S114" s="615"/>
      <c r="T114" s="616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13">
        <v>4680115887664</v>
      </c>
      <c r="E115" s="613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8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5"/>
      <c r="R115" s="615"/>
      <c r="S115" s="615"/>
      <c r="T115" s="616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13">
        <v>4680115882775</v>
      </c>
      <c r="E116" s="61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8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5"/>
      <c r="R116" s="615"/>
      <c r="S116" s="615"/>
      <c r="T116" s="616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13">
        <v>4680115880658</v>
      </c>
      <c r="E117" s="61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8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5"/>
      <c r="R117" s="615"/>
      <c r="S117" s="615"/>
      <c r="T117" s="616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customHeight="1" x14ac:dyDescent="0.25">
      <c r="A118" s="63" t="s">
        <v>236</v>
      </c>
      <c r="B118" s="63" t="s">
        <v>238</v>
      </c>
      <c r="C118" s="36">
        <v>4301020392</v>
      </c>
      <c r="D118" s="613">
        <v>4680115880658</v>
      </c>
      <c r="E118" s="61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83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5"/>
      <c r="R118" s="615"/>
      <c r="S118" s="615"/>
      <c r="T118" s="616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5">
      <c r="A119" s="620"/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1"/>
      <c r="P119" s="617" t="s">
        <v>40</v>
      </c>
      <c r="Q119" s="618"/>
      <c r="R119" s="618"/>
      <c r="S119" s="618"/>
      <c r="T119" s="618"/>
      <c r="U119" s="618"/>
      <c r="V119" s="619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620"/>
      <c r="B120" s="620"/>
      <c r="C120" s="620"/>
      <c r="D120" s="620"/>
      <c r="E120" s="620"/>
      <c r="F120" s="620"/>
      <c r="G120" s="620"/>
      <c r="H120" s="620"/>
      <c r="I120" s="620"/>
      <c r="J120" s="620"/>
      <c r="K120" s="620"/>
      <c r="L120" s="620"/>
      <c r="M120" s="620"/>
      <c r="N120" s="620"/>
      <c r="O120" s="621"/>
      <c r="P120" s="617" t="s">
        <v>40</v>
      </c>
      <c r="Q120" s="618"/>
      <c r="R120" s="618"/>
      <c r="S120" s="618"/>
      <c r="T120" s="618"/>
      <c r="U120" s="618"/>
      <c r="V120" s="619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12" t="s">
        <v>86</v>
      </c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2"/>
      <c r="P121" s="612"/>
      <c r="Q121" s="612"/>
      <c r="R121" s="612"/>
      <c r="S121" s="612"/>
      <c r="T121" s="612"/>
      <c r="U121" s="612"/>
      <c r="V121" s="612"/>
      <c r="W121" s="612"/>
      <c r="X121" s="612"/>
      <c r="Y121" s="612"/>
      <c r="Z121" s="612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13">
        <v>4607091385168</v>
      </c>
      <c r="E122" s="61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8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5"/>
      <c r="R122" s="615"/>
      <c r="S122" s="615"/>
      <c r="T122" s="61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242</v>
      </c>
      <c r="B123" s="63" t="s">
        <v>243</v>
      </c>
      <c r="C123" s="36">
        <v>4301051730</v>
      </c>
      <c r="D123" s="613">
        <v>4607091383256</v>
      </c>
      <c r="E123" s="61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5"/>
      <c r="R123" s="615"/>
      <c r="S123" s="615"/>
      <c r="T123" s="61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13">
        <v>4607091385748</v>
      </c>
      <c r="E124" s="61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5"/>
      <c r="R124" s="615"/>
      <c r="S124" s="615"/>
      <c r="T124" s="6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13">
        <v>4680115884533</v>
      </c>
      <c r="E125" s="61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5"/>
      <c r="R125" s="615"/>
      <c r="S125" s="615"/>
      <c r="T125" s="6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20"/>
      <c r="B126" s="620"/>
      <c r="C126" s="620"/>
      <c r="D126" s="620"/>
      <c r="E126" s="620"/>
      <c r="F126" s="620"/>
      <c r="G126" s="620"/>
      <c r="H126" s="620"/>
      <c r="I126" s="620"/>
      <c r="J126" s="620"/>
      <c r="K126" s="620"/>
      <c r="L126" s="620"/>
      <c r="M126" s="620"/>
      <c r="N126" s="620"/>
      <c r="O126" s="621"/>
      <c r="P126" s="617" t="s">
        <v>40</v>
      </c>
      <c r="Q126" s="618"/>
      <c r="R126" s="618"/>
      <c r="S126" s="618"/>
      <c r="T126" s="618"/>
      <c r="U126" s="618"/>
      <c r="V126" s="619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5">
      <c r="A127" s="620"/>
      <c r="B127" s="620"/>
      <c r="C127" s="620"/>
      <c r="D127" s="620"/>
      <c r="E127" s="620"/>
      <c r="F127" s="620"/>
      <c r="G127" s="620"/>
      <c r="H127" s="620"/>
      <c r="I127" s="620"/>
      <c r="J127" s="620"/>
      <c r="K127" s="620"/>
      <c r="L127" s="620"/>
      <c r="M127" s="620"/>
      <c r="N127" s="620"/>
      <c r="O127" s="621"/>
      <c r="P127" s="617" t="s">
        <v>40</v>
      </c>
      <c r="Q127" s="618"/>
      <c r="R127" s="618"/>
      <c r="S127" s="618"/>
      <c r="T127" s="618"/>
      <c r="U127" s="618"/>
      <c r="V127" s="619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12" t="s">
        <v>180</v>
      </c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2"/>
      <c r="P128" s="612"/>
      <c r="Q128" s="612"/>
      <c r="R128" s="612"/>
      <c r="S128" s="612"/>
      <c r="T128" s="612"/>
      <c r="U128" s="612"/>
      <c r="V128" s="612"/>
      <c r="W128" s="612"/>
      <c r="X128" s="612"/>
      <c r="Y128" s="612"/>
      <c r="Z128" s="612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13">
        <v>4680115880238</v>
      </c>
      <c r="E129" s="61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5"/>
      <c r="R129" s="615"/>
      <c r="S129" s="615"/>
      <c r="T129" s="6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20"/>
      <c r="B130" s="620"/>
      <c r="C130" s="620"/>
      <c r="D130" s="620"/>
      <c r="E130" s="620"/>
      <c r="F130" s="620"/>
      <c r="G130" s="620"/>
      <c r="H130" s="620"/>
      <c r="I130" s="620"/>
      <c r="J130" s="620"/>
      <c r="K130" s="620"/>
      <c r="L130" s="620"/>
      <c r="M130" s="620"/>
      <c r="N130" s="620"/>
      <c r="O130" s="621"/>
      <c r="P130" s="617" t="s">
        <v>40</v>
      </c>
      <c r="Q130" s="618"/>
      <c r="R130" s="618"/>
      <c r="S130" s="618"/>
      <c r="T130" s="618"/>
      <c r="U130" s="618"/>
      <c r="V130" s="619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620"/>
      <c r="B131" s="620"/>
      <c r="C131" s="620"/>
      <c r="D131" s="620"/>
      <c r="E131" s="620"/>
      <c r="F131" s="620"/>
      <c r="G131" s="620"/>
      <c r="H131" s="620"/>
      <c r="I131" s="620"/>
      <c r="J131" s="620"/>
      <c r="K131" s="620"/>
      <c r="L131" s="620"/>
      <c r="M131" s="620"/>
      <c r="N131" s="620"/>
      <c r="O131" s="621"/>
      <c r="P131" s="617" t="s">
        <v>40</v>
      </c>
      <c r="Q131" s="618"/>
      <c r="R131" s="618"/>
      <c r="S131" s="618"/>
      <c r="T131" s="618"/>
      <c r="U131" s="618"/>
      <c r="V131" s="619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28" t="s">
        <v>252</v>
      </c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8"/>
      <c r="P132" s="628"/>
      <c r="Q132" s="628"/>
      <c r="R132" s="628"/>
      <c r="S132" s="628"/>
      <c r="T132" s="628"/>
      <c r="U132" s="628"/>
      <c r="V132" s="628"/>
      <c r="W132" s="628"/>
      <c r="X132" s="628"/>
      <c r="Y132" s="628"/>
      <c r="Z132" s="628"/>
      <c r="AA132" s="65"/>
      <c r="AB132" s="65"/>
      <c r="AC132" s="79"/>
    </row>
    <row r="133" spans="1:68" ht="14.25" customHeight="1" x14ac:dyDescent="0.25">
      <c r="A133" s="612" t="s">
        <v>128</v>
      </c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  <c r="Y133" s="612"/>
      <c r="Z133" s="612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613">
        <v>4680115882577</v>
      </c>
      <c r="E134" s="61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5"/>
      <c r="R134" s="615"/>
      <c r="S134" s="615"/>
      <c r="T134" s="61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13">
        <v>4680115882577</v>
      </c>
      <c r="E135" s="6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5"/>
      <c r="R135" s="615"/>
      <c r="S135" s="615"/>
      <c r="T135" s="6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5">
      <c r="A136" s="620"/>
      <c r="B136" s="620"/>
      <c r="C136" s="620"/>
      <c r="D136" s="620"/>
      <c r="E136" s="620"/>
      <c r="F136" s="620"/>
      <c r="G136" s="620"/>
      <c r="H136" s="620"/>
      <c r="I136" s="620"/>
      <c r="J136" s="620"/>
      <c r="K136" s="620"/>
      <c r="L136" s="620"/>
      <c r="M136" s="620"/>
      <c r="N136" s="620"/>
      <c r="O136" s="621"/>
      <c r="P136" s="617" t="s">
        <v>40</v>
      </c>
      <c r="Q136" s="618"/>
      <c r="R136" s="618"/>
      <c r="S136" s="618"/>
      <c r="T136" s="618"/>
      <c r="U136" s="618"/>
      <c r="V136" s="61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5">
      <c r="A137" s="620"/>
      <c r="B137" s="620"/>
      <c r="C137" s="620"/>
      <c r="D137" s="620"/>
      <c r="E137" s="620"/>
      <c r="F137" s="620"/>
      <c r="G137" s="620"/>
      <c r="H137" s="620"/>
      <c r="I137" s="620"/>
      <c r="J137" s="620"/>
      <c r="K137" s="620"/>
      <c r="L137" s="620"/>
      <c r="M137" s="620"/>
      <c r="N137" s="620"/>
      <c r="O137" s="621"/>
      <c r="P137" s="617" t="s">
        <v>40</v>
      </c>
      <c r="Q137" s="618"/>
      <c r="R137" s="618"/>
      <c r="S137" s="618"/>
      <c r="T137" s="618"/>
      <c r="U137" s="618"/>
      <c r="V137" s="61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12" t="s">
        <v>77</v>
      </c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2"/>
      <c r="P138" s="612"/>
      <c r="Q138" s="612"/>
      <c r="R138" s="612"/>
      <c r="S138" s="612"/>
      <c r="T138" s="612"/>
      <c r="U138" s="612"/>
      <c r="V138" s="612"/>
      <c r="W138" s="612"/>
      <c r="X138" s="612"/>
      <c r="Y138" s="612"/>
      <c r="Z138" s="612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4301031234</v>
      </c>
      <c r="D139" s="613">
        <v>4680115883444</v>
      </c>
      <c r="E139" s="61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82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5"/>
      <c r="R139" s="615"/>
      <c r="S139" s="615"/>
      <c r="T139" s="61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257</v>
      </c>
      <c r="B140" s="63" t="s">
        <v>260</v>
      </c>
      <c r="C140" s="36">
        <v>4301031235</v>
      </c>
      <c r="D140" s="613">
        <v>4680115883444</v>
      </c>
      <c r="E140" s="6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5"/>
      <c r="R140" s="615"/>
      <c r="S140" s="615"/>
      <c r="T140" s="61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5">
      <c r="A141" s="620"/>
      <c r="B141" s="620"/>
      <c r="C141" s="620"/>
      <c r="D141" s="620"/>
      <c r="E141" s="620"/>
      <c r="F141" s="620"/>
      <c r="G141" s="620"/>
      <c r="H141" s="620"/>
      <c r="I141" s="620"/>
      <c r="J141" s="620"/>
      <c r="K141" s="620"/>
      <c r="L141" s="620"/>
      <c r="M141" s="620"/>
      <c r="N141" s="620"/>
      <c r="O141" s="621"/>
      <c r="P141" s="617" t="s">
        <v>40</v>
      </c>
      <c r="Q141" s="618"/>
      <c r="R141" s="618"/>
      <c r="S141" s="618"/>
      <c r="T141" s="618"/>
      <c r="U141" s="618"/>
      <c r="V141" s="619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5">
      <c r="A142" s="620"/>
      <c r="B142" s="620"/>
      <c r="C142" s="620"/>
      <c r="D142" s="620"/>
      <c r="E142" s="620"/>
      <c r="F142" s="620"/>
      <c r="G142" s="620"/>
      <c r="H142" s="620"/>
      <c r="I142" s="620"/>
      <c r="J142" s="620"/>
      <c r="K142" s="620"/>
      <c r="L142" s="620"/>
      <c r="M142" s="620"/>
      <c r="N142" s="620"/>
      <c r="O142" s="621"/>
      <c r="P142" s="617" t="s">
        <v>40</v>
      </c>
      <c r="Q142" s="618"/>
      <c r="R142" s="618"/>
      <c r="S142" s="618"/>
      <c r="T142" s="618"/>
      <c r="U142" s="618"/>
      <c r="V142" s="619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12" t="s">
        <v>86</v>
      </c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2"/>
      <c r="P143" s="612"/>
      <c r="Q143" s="612"/>
      <c r="R143" s="612"/>
      <c r="S143" s="612"/>
      <c r="T143" s="612"/>
      <c r="U143" s="612"/>
      <c r="V143" s="612"/>
      <c r="W143" s="612"/>
      <c r="X143" s="612"/>
      <c r="Y143" s="612"/>
      <c r="Z143" s="612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13">
        <v>4680115882584</v>
      </c>
      <c r="E144" s="6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5"/>
      <c r="R144" s="615"/>
      <c r="S144" s="615"/>
      <c r="T144" s="6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261</v>
      </c>
      <c r="B145" s="63" t="s">
        <v>263</v>
      </c>
      <c r="C145" s="36">
        <v>4301051477</v>
      </c>
      <c r="D145" s="613">
        <v>4680115882584</v>
      </c>
      <c r="E145" s="6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5"/>
      <c r="R145" s="615"/>
      <c r="S145" s="615"/>
      <c r="T145" s="61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20"/>
      <c r="B146" s="620"/>
      <c r="C146" s="620"/>
      <c r="D146" s="620"/>
      <c r="E146" s="620"/>
      <c r="F146" s="620"/>
      <c r="G146" s="620"/>
      <c r="H146" s="620"/>
      <c r="I146" s="620"/>
      <c r="J146" s="620"/>
      <c r="K146" s="620"/>
      <c r="L146" s="620"/>
      <c r="M146" s="620"/>
      <c r="N146" s="620"/>
      <c r="O146" s="621"/>
      <c r="P146" s="617" t="s">
        <v>40</v>
      </c>
      <c r="Q146" s="618"/>
      <c r="R146" s="618"/>
      <c r="S146" s="618"/>
      <c r="T146" s="618"/>
      <c r="U146" s="618"/>
      <c r="V146" s="619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20"/>
      <c r="B147" s="620"/>
      <c r="C147" s="620"/>
      <c r="D147" s="620"/>
      <c r="E147" s="620"/>
      <c r="F147" s="620"/>
      <c r="G147" s="620"/>
      <c r="H147" s="620"/>
      <c r="I147" s="620"/>
      <c r="J147" s="620"/>
      <c r="K147" s="620"/>
      <c r="L147" s="620"/>
      <c r="M147" s="620"/>
      <c r="N147" s="620"/>
      <c r="O147" s="621"/>
      <c r="P147" s="617" t="s">
        <v>40</v>
      </c>
      <c r="Q147" s="618"/>
      <c r="R147" s="618"/>
      <c r="S147" s="618"/>
      <c r="T147" s="618"/>
      <c r="U147" s="618"/>
      <c r="V147" s="619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28" t="s">
        <v>264</v>
      </c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8"/>
      <c r="P148" s="628"/>
      <c r="Q148" s="628"/>
      <c r="R148" s="628"/>
      <c r="S148" s="628"/>
      <c r="T148" s="628"/>
      <c r="U148" s="628"/>
      <c r="V148" s="628"/>
      <c r="W148" s="628"/>
      <c r="X148" s="628"/>
      <c r="Y148" s="628"/>
      <c r="Z148" s="628"/>
      <c r="AA148" s="65"/>
      <c r="AB148" s="65"/>
      <c r="AC148" s="79"/>
    </row>
    <row r="149" spans="1:68" ht="14.25" customHeight="1" x14ac:dyDescent="0.25">
      <c r="A149" s="612" t="s">
        <v>86</v>
      </c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  <c r="V149" s="612"/>
      <c r="W149" s="612"/>
      <c r="X149" s="612"/>
      <c r="Y149" s="612"/>
      <c r="Z149" s="612"/>
      <c r="AA149" s="66"/>
      <c r="AB149" s="66"/>
      <c r="AC149" s="80"/>
    </row>
    <row r="150" spans="1:68" ht="27" customHeight="1" x14ac:dyDescent="0.25">
      <c r="A150" s="63" t="s">
        <v>265</v>
      </c>
      <c r="B150" s="63" t="s">
        <v>266</v>
      </c>
      <c r="C150" s="36">
        <v>4301052174</v>
      </c>
      <c r="D150" s="613">
        <v>4680115888203</v>
      </c>
      <c r="E150" s="6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5"/>
      <c r="R150" s="615"/>
      <c r="S150" s="615"/>
      <c r="T150" s="61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4301052172</v>
      </c>
      <c r="D151" s="613">
        <v>4680115888180</v>
      </c>
      <c r="E151" s="61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2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5"/>
      <c r="R151" s="615"/>
      <c r="S151" s="615"/>
      <c r="T151" s="6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4301052173</v>
      </c>
      <c r="D152" s="613">
        <v>4680115888197</v>
      </c>
      <c r="E152" s="6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2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5"/>
      <c r="R152" s="615"/>
      <c r="S152" s="615"/>
      <c r="T152" s="6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4301052175</v>
      </c>
      <c r="D153" s="613">
        <v>4680115888210</v>
      </c>
      <c r="E153" s="61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2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5"/>
      <c r="R153" s="615"/>
      <c r="S153" s="615"/>
      <c r="T153" s="6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5">
      <c r="A154" s="620"/>
      <c r="B154" s="620"/>
      <c r="C154" s="620"/>
      <c r="D154" s="620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1"/>
      <c r="P154" s="617" t="s">
        <v>40</v>
      </c>
      <c r="Q154" s="618"/>
      <c r="R154" s="618"/>
      <c r="S154" s="618"/>
      <c r="T154" s="618"/>
      <c r="U154" s="618"/>
      <c r="V154" s="619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5">
      <c r="A155" s="620"/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1"/>
      <c r="P155" s="617" t="s">
        <v>40</v>
      </c>
      <c r="Q155" s="618"/>
      <c r="R155" s="618"/>
      <c r="S155" s="618"/>
      <c r="T155" s="618"/>
      <c r="U155" s="618"/>
      <c r="V155" s="619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28" t="s">
        <v>126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5"/>
      <c r="AB156" s="65"/>
      <c r="AC156" s="79"/>
    </row>
    <row r="157" spans="1:68" ht="14.25" customHeight="1" x14ac:dyDescent="0.25">
      <c r="A157" s="612" t="s">
        <v>128</v>
      </c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2"/>
      <c r="P157" s="612"/>
      <c r="Q157" s="612"/>
      <c r="R157" s="612"/>
      <c r="S157" s="612"/>
      <c r="T157" s="612"/>
      <c r="U157" s="612"/>
      <c r="V157" s="612"/>
      <c r="W157" s="612"/>
      <c r="X157" s="612"/>
      <c r="Y157" s="612"/>
      <c r="Z157" s="612"/>
      <c r="AA157" s="66"/>
      <c r="AB157" s="66"/>
      <c r="AC157" s="80"/>
    </row>
    <row r="158" spans="1:68" ht="27" customHeight="1" x14ac:dyDescent="0.25">
      <c r="A158" s="63" t="s">
        <v>277</v>
      </c>
      <c r="B158" s="63" t="s">
        <v>278</v>
      </c>
      <c r="C158" s="36">
        <v>4301012244</v>
      </c>
      <c r="D158" s="613">
        <v>4680115887374</v>
      </c>
      <c r="E158" s="613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81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5"/>
      <c r="R158" s="615"/>
      <c r="S158" s="615"/>
      <c r="T158" s="6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4301011705</v>
      </c>
      <c r="D159" s="613">
        <v>4607091384604</v>
      </c>
      <c r="E159" s="613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5"/>
      <c r="R159" s="615"/>
      <c r="S159" s="615"/>
      <c r="T159" s="6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20"/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1"/>
      <c r="P160" s="617" t="s">
        <v>40</v>
      </c>
      <c r="Q160" s="618"/>
      <c r="R160" s="618"/>
      <c r="S160" s="618"/>
      <c r="T160" s="618"/>
      <c r="U160" s="618"/>
      <c r="V160" s="619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5">
      <c r="A161" s="620"/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1"/>
      <c r="P161" s="617" t="s">
        <v>40</v>
      </c>
      <c r="Q161" s="618"/>
      <c r="R161" s="618"/>
      <c r="S161" s="618"/>
      <c r="T161" s="618"/>
      <c r="U161" s="618"/>
      <c r="V161" s="619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12" t="s">
        <v>163</v>
      </c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2"/>
      <c r="P162" s="612"/>
      <c r="Q162" s="612"/>
      <c r="R162" s="612"/>
      <c r="S162" s="612"/>
      <c r="T162" s="612"/>
      <c r="U162" s="612"/>
      <c r="V162" s="612"/>
      <c r="W162" s="612"/>
      <c r="X162" s="612"/>
      <c r="Y162" s="612"/>
      <c r="Z162" s="612"/>
      <c r="AA162" s="66"/>
      <c r="AB162" s="66"/>
      <c r="AC162" s="80"/>
    </row>
    <row r="163" spans="1:68" ht="16.5" customHeight="1" x14ac:dyDescent="0.25">
      <c r="A163" s="63" t="s">
        <v>283</v>
      </c>
      <c r="B163" s="63" t="s">
        <v>284</v>
      </c>
      <c r="C163" s="36">
        <v>4301020410</v>
      </c>
      <c r="D163" s="613">
        <v>4680115887695</v>
      </c>
      <c r="E163" s="613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5"/>
      <c r="R163" s="615"/>
      <c r="S163" s="615"/>
      <c r="T163" s="6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5">
      <c r="A164" s="620"/>
      <c r="B164" s="620"/>
      <c r="C164" s="620"/>
      <c r="D164" s="620"/>
      <c r="E164" s="620"/>
      <c r="F164" s="620"/>
      <c r="G164" s="620"/>
      <c r="H164" s="620"/>
      <c r="I164" s="620"/>
      <c r="J164" s="620"/>
      <c r="K164" s="620"/>
      <c r="L164" s="620"/>
      <c r="M164" s="620"/>
      <c r="N164" s="620"/>
      <c r="O164" s="621"/>
      <c r="P164" s="617" t="s">
        <v>40</v>
      </c>
      <c r="Q164" s="618"/>
      <c r="R164" s="618"/>
      <c r="S164" s="618"/>
      <c r="T164" s="618"/>
      <c r="U164" s="618"/>
      <c r="V164" s="619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5">
      <c r="A165" s="620"/>
      <c r="B165" s="620"/>
      <c r="C165" s="620"/>
      <c r="D165" s="620"/>
      <c r="E165" s="620"/>
      <c r="F165" s="620"/>
      <c r="G165" s="620"/>
      <c r="H165" s="620"/>
      <c r="I165" s="620"/>
      <c r="J165" s="620"/>
      <c r="K165" s="620"/>
      <c r="L165" s="620"/>
      <c r="M165" s="620"/>
      <c r="N165" s="620"/>
      <c r="O165" s="621"/>
      <c r="P165" s="617" t="s">
        <v>40</v>
      </c>
      <c r="Q165" s="618"/>
      <c r="R165" s="618"/>
      <c r="S165" s="618"/>
      <c r="T165" s="618"/>
      <c r="U165" s="618"/>
      <c r="V165" s="619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12" t="s">
        <v>77</v>
      </c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2"/>
      <c r="P166" s="612"/>
      <c r="Q166" s="612"/>
      <c r="R166" s="612"/>
      <c r="S166" s="612"/>
      <c r="T166" s="612"/>
      <c r="U166" s="612"/>
      <c r="V166" s="612"/>
      <c r="W166" s="612"/>
      <c r="X166" s="612"/>
      <c r="Y166" s="612"/>
      <c r="Z166" s="612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13">
        <v>4680115887428</v>
      </c>
      <c r="E167" s="613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5"/>
      <c r="R167" s="615"/>
      <c r="S167" s="615"/>
      <c r="T167" s="616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13">
        <v>4607091382426</v>
      </c>
      <c r="E168" s="613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81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5"/>
      <c r="R168" s="615"/>
      <c r="S168" s="615"/>
      <c r="T168" s="616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13">
        <v>4680115887398</v>
      </c>
      <c r="E169" s="61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1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5"/>
      <c r="R169" s="615"/>
      <c r="S169" s="615"/>
      <c r="T169" s="616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13">
        <v>4680115887336</v>
      </c>
      <c r="E170" s="613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1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5"/>
      <c r="R170" s="615"/>
      <c r="S170" s="615"/>
      <c r="T170" s="616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13">
        <v>4680115887787</v>
      </c>
      <c r="E171" s="613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5"/>
      <c r="R171" s="615"/>
      <c r="S171" s="615"/>
      <c r="T171" s="616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13">
        <v>4680115887503</v>
      </c>
      <c r="E172" s="613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1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5"/>
      <c r="R172" s="615"/>
      <c r="S172" s="615"/>
      <c r="T172" s="61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4301031389</v>
      </c>
      <c r="D173" s="613">
        <v>4680115887763</v>
      </c>
      <c r="E173" s="613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5"/>
      <c r="R173" s="615"/>
      <c r="S173" s="615"/>
      <c r="T173" s="61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306</v>
      </c>
      <c r="C174" s="36">
        <v>4301031510</v>
      </c>
      <c r="D174" s="613">
        <v>4680115887763</v>
      </c>
      <c r="E174" s="613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5"/>
      <c r="R174" s="615"/>
      <c r="S174" s="615"/>
      <c r="T174" s="61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13">
        <v>4680115887480</v>
      </c>
      <c r="E175" s="613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5"/>
      <c r="R175" s="615"/>
      <c r="S175" s="615"/>
      <c r="T175" s="6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4301031434</v>
      </c>
      <c r="D176" s="613">
        <v>4680115888067</v>
      </c>
      <c r="E176" s="613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5"/>
      <c r="R176" s="615"/>
      <c r="S176" s="615"/>
      <c r="T176" s="6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4301031451</v>
      </c>
      <c r="D177" s="613">
        <v>4680115887435</v>
      </c>
      <c r="E177" s="613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0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5"/>
      <c r="R177" s="615"/>
      <c r="S177" s="615"/>
      <c r="T177" s="6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5">
      <c r="A178" s="620"/>
      <c r="B178" s="620"/>
      <c r="C178" s="620"/>
      <c r="D178" s="620"/>
      <c r="E178" s="620"/>
      <c r="F178" s="620"/>
      <c r="G178" s="620"/>
      <c r="H178" s="620"/>
      <c r="I178" s="620"/>
      <c r="J178" s="620"/>
      <c r="K178" s="620"/>
      <c r="L178" s="620"/>
      <c r="M178" s="620"/>
      <c r="N178" s="620"/>
      <c r="O178" s="621"/>
      <c r="P178" s="617" t="s">
        <v>40</v>
      </c>
      <c r="Q178" s="618"/>
      <c r="R178" s="618"/>
      <c r="S178" s="618"/>
      <c r="T178" s="618"/>
      <c r="U178" s="618"/>
      <c r="V178" s="619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5">
      <c r="A179" s="620"/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1"/>
      <c r="P179" s="617" t="s">
        <v>40</v>
      </c>
      <c r="Q179" s="618"/>
      <c r="R179" s="618"/>
      <c r="S179" s="618"/>
      <c r="T179" s="618"/>
      <c r="U179" s="618"/>
      <c r="V179" s="619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12" t="s">
        <v>86</v>
      </c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2"/>
      <c r="P180" s="612"/>
      <c r="Q180" s="612"/>
      <c r="R180" s="612"/>
      <c r="S180" s="612"/>
      <c r="T180" s="612"/>
      <c r="U180" s="612"/>
      <c r="V180" s="612"/>
      <c r="W180" s="612"/>
      <c r="X180" s="612"/>
      <c r="Y180" s="612"/>
      <c r="Z180" s="612"/>
      <c r="AA180" s="66"/>
      <c r="AB180" s="66"/>
      <c r="AC180" s="80"/>
    </row>
    <row r="181" spans="1:68" ht="16.5" customHeight="1" x14ac:dyDescent="0.25">
      <c r="A181" s="63" t="s">
        <v>314</v>
      </c>
      <c r="B181" s="63" t="s">
        <v>315</v>
      </c>
      <c r="C181" s="36">
        <v>4301052193</v>
      </c>
      <c r="D181" s="613">
        <v>4680115888395</v>
      </c>
      <c r="E181" s="613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5"/>
      <c r="R181" s="615"/>
      <c r="S181" s="615"/>
      <c r="T181" s="616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317</v>
      </c>
      <c r="B182" s="63" t="s">
        <v>318</v>
      </c>
      <c r="C182" s="36">
        <v>4301052191</v>
      </c>
      <c r="D182" s="613">
        <v>4680115888371</v>
      </c>
      <c r="E182" s="613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5"/>
      <c r="R182" s="615"/>
      <c r="S182" s="615"/>
      <c r="T182" s="616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4301052064</v>
      </c>
      <c r="D183" s="613">
        <v>4680115887459</v>
      </c>
      <c r="E183" s="613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5"/>
      <c r="R183" s="615"/>
      <c r="S183" s="615"/>
      <c r="T183" s="616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5">
      <c r="A184" s="620"/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1"/>
      <c r="P184" s="617" t="s">
        <v>40</v>
      </c>
      <c r="Q184" s="618"/>
      <c r="R184" s="618"/>
      <c r="S184" s="618"/>
      <c r="T184" s="618"/>
      <c r="U184" s="618"/>
      <c r="V184" s="619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5">
      <c r="A185" s="620"/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1"/>
      <c r="P185" s="617" t="s">
        <v>40</v>
      </c>
      <c r="Q185" s="618"/>
      <c r="R185" s="618"/>
      <c r="S185" s="618"/>
      <c r="T185" s="618"/>
      <c r="U185" s="618"/>
      <c r="V185" s="619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12" t="s">
        <v>107</v>
      </c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2"/>
      <c r="P186" s="612"/>
      <c r="Q186" s="612"/>
      <c r="R186" s="612"/>
      <c r="S186" s="612"/>
      <c r="T186" s="612"/>
      <c r="U186" s="612"/>
      <c r="V186" s="612"/>
      <c r="W186" s="612"/>
      <c r="X186" s="612"/>
      <c r="Y186" s="612"/>
      <c r="Z186" s="612"/>
      <c r="AA186" s="66"/>
      <c r="AB186" s="66"/>
      <c r="AC186" s="80"/>
    </row>
    <row r="187" spans="1:68" ht="16.5" customHeight="1" x14ac:dyDescent="0.25">
      <c r="A187" s="63" t="s">
        <v>323</v>
      </c>
      <c r="B187" s="63" t="s">
        <v>324</v>
      </c>
      <c r="C187" s="36">
        <v>4301032058</v>
      </c>
      <c r="D187" s="613">
        <v>4680115889026</v>
      </c>
      <c r="E187" s="613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8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5"/>
      <c r="R187" s="615"/>
      <c r="S187" s="615"/>
      <c r="T187" s="61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328</v>
      </c>
      <c r="B188" s="63" t="s">
        <v>329</v>
      </c>
      <c r="C188" s="36">
        <v>4301032057</v>
      </c>
      <c r="D188" s="613">
        <v>4680115889088</v>
      </c>
      <c r="E188" s="613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80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5"/>
      <c r="R188" s="615"/>
      <c r="S188" s="615"/>
      <c r="T188" s="6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5">
      <c r="A189" s="620"/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1"/>
      <c r="P189" s="617" t="s">
        <v>40</v>
      </c>
      <c r="Q189" s="618"/>
      <c r="R189" s="618"/>
      <c r="S189" s="618"/>
      <c r="T189" s="618"/>
      <c r="U189" s="618"/>
      <c r="V189" s="619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5">
      <c r="A190" s="620"/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1"/>
      <c r="P190" s="617" t="s">
        <v>40</v>
      </c>
      <c r="Q190" s="618"/>
      <c r="R190" s="618"/>
      <c r="S190" s="618"/>
      <c r="T190" s="618"/>
      <c r="U190" s="618"/>
      <c r="V190" s="619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12" t="s">
        <v>331</v>
      </c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2"/>
      <c r="P191" s="612"/>
      <c r="Q191" s="612"/>
      <c r="R191" s="612"/>
      <c r="S191" s="612"/>
      <c r="T191" s="612"/>
      <c r="U191" s="612"/>
      <c r="V191" s="612"/>
      <c r="W191" s="612"/>
      <c r="X191" s="612"/>
      <c r="Y191" s="612"/>
      <c r="Z191" s="612"/>
      <c r="AA191" s="66"/>
      <c r="AB191" s="66"/>
      <c r="AC191" s="80"/>
    </row>
    <row r="192" spans="1:68" ht="27" customHeight="1" x14ac:dyDescent="0.25">
      <c r="A192" s="63" t="s">
        <v>332</v>
      </c>
      <c r="B192" s="63" t="s">
        <v>333</v>
      </c>
      <c r="C192" s="36">
        <v>4301041009</v>
      </c>
      <c r="D192" s="613">
        <v>4680115889033</v>
      </c>
      <c r="E192" s="613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9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5"/>
      <c r="R192" s="615"/>
      <c r="S192" s="615"/>
      <c r="T192" s="61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20"/>
      <c r="B193" s="620"/>
      <c r="C193" s="620"/>
      <c r="D193" s="620"/>
      <c r="E193" s="620"/>
      <c r="F193" s="620"/>
      <c r="G193" s="620"/>
      <c r="H193" s="620"/>
      <c r="I193" s="620"/>
      <c r="J193" s="620"/>
      <c r="K193" s="620"/>
      <c r="L193" s="620"/>
      <c r="M193" s="620"/>
      <c r="N193" s="620"/>
      <c r="O193" s="621"/>
      <c r="P193" s="617" t="s">
        <v>40</v>
      </c>
      <c r="Q193" s="618"/>
      <c r="R193" s="618"/>
      <c r="S193" s="618"/>
      <c r="T193" s="618"/>
      <c r="U193" s="618"/>
      <c r="V193" s="619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5">
      <c r="A194" s="620"/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1"/>
      <c r="P194" s="617" t="s">
        <v>40</v>
      </c>
      <c r="Q194" s="618"/>
      <c r="R194" s="618"/>
      <c r="S194" s="618"/>
      <c r="T194" s="618"/>
      <c r="U194" s="618"/>
      <c r="V194" s="619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5">
      <c r="A195" s="633" t="s">
        <v>335</v>
      </c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3"/>
      <c r="P195" s="633"/>
      <c r="Q195" s="633"/>
      <c r="R195" s="633"/>
      <c r="S195" s="633"/>
      <c r="T195" s="633"/>
      <c r="U195" s="633"/>
      <c r="V195" s="633"/>
      <c r="W195" s="633"/>
      <c r="X195" s="633"/>
      <c r="Y195" s="633"/>
      <c r="Z195" s="633"/>
      <c r="AA195" s="54"/>
      <c r="AB195" s="54"/>
      <c r="AC195" s="54"/>
    </row>
    <row r="196" spans="1:68" ht="16.5" customHeight="1" x14ac:dyDescent="0.25">
      <c r="A196" s="628" t="s">
        <v>336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65"/>
      <c r="AB196" s="65"/>
      <c r="AC196" s="79"/>
    </row>
    <row r="197" spans="1:68" ht="14.25" customHeight="1" x14ac:dyDescent="0.25">
      <c r="A197" s="612" t="s">
        <v>128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66"/>
      <c r="AB197" s="66"/>
      <c r="AC197" s="80"/>
    </row>
    <row r="198" spans="1:68" ht="27" customHeight="1" x14ac:dyDescent="0.25">
      <c r="A198" s="63" t="s">
        <v>337</v>
      </c>
      <c r="B198" s="63" t="s">
        <v>338</v>
      </c>
      <c r="C198" s="36">
        <v>4301011223</v>
      </c>
      <c r="D198" s="613">
        <v>4607091383423</v>
      </c>
      <c r="E198" s="613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5"/>
      <c r="R198" s="615"/>
      <c r="S198" s="615"/>
      <c r="T198" s="61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customHeight="1" x14ac:dyDescent="0.25">
      <c r="A199" s="63" t="s">
        <v>339</v>
      </c>
      <c r="B199" s="63" t="s">
        <v>340</v>
      </c>
      <c r="C199" s="36">
        <v>4301012199</v>
      </c>
      <c r="D199" s="613">
        <v>4680115886957</v>
      </c>
      <c r="E199" s="61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9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5"/>
      <c r="R199" s="615"/>
      <c r="S199" s="615"/>
      <c r="T199" s="61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4301012098</v>
      </c>
      <c r="D200" s="613">
        <v>4680115885660</v>
      </c>
      <c r="E200" s="61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5"/>
      <c r="R200" s="615"/>
      <c r="S200" s="615"/>
      <c r="T200" s="6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4301012369</v>
      </c>
      <c r="D201" s="613">
        <v>4680115886773</v>
      </c>
      <c r="E201" s="613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5"/>
      <c r="R201" s="615"/>
      <c r="S201" s="615"/>
      <c r="T201" s="61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5">
      <c r="A202" s="620"/>
      <c r="B202" s="620"/>
      <c r="C202" s="620"/>
      <c r="D202" s="620"/>
      <c r="E202" s="620"/>
      <c r="F202" s="620"/>
      <c r="G202" s="620"/>
      <c r="H202" s="620"/>
      <c r="I202" s="620"/>
      <c r="J202" s="620"/>
      <c r="K202" s="620"/>
      <c r="L202" s="620"/>
      <c r="M202" s="620"/>
      <c r="N202" s="620"/>
      <c r="O202" s="621"/>
      <c r="P202" s="617" t="s">
        <v>40</v>
      </c>
      <c r="Q202" s="618"/>
      <c r="R202" s="618"/>
      <c r="S202" s="618"/>
      <c r="T202" s="618"/>
      <c r="U202" s="618"/>
      <c r="V202" s="619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5">
      <c r="A203" s="620"/>
      <c r="B203" s="620"/>
      <c r="C203" s="620"/>
      <c r="D203" s="620"/>
      <c r="E203" s="620"/>
      <c r="F203" s="620"/>
      <c r="G203" s="620"/>
      <c r="H203" s="620"/>
      <c r="I203" s="620"/>
      <c r="J203" s="620"/>
      <c r="K203" s="620"/>
      <c r="L203" s="620"/>
      <c r="M203" s="620"/>
      <c r="N203" s="620"/>
      <c r="O203" s="621"/>
      <c r="P203" s="617" t="s">
        <v>40</v>
      </c>
      <c r="Q203" s="618"/>
      <c r="R203" s="618"/>
      <c r="S203" s="618"/>
      <c r="T203" s="618"/>
      <c r="U203" s="618"/>
      <c r="V203" s="619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customHeight="1" x14ac:dyDescent="0.25">
      <c r="A204" s="628" t="s">
        <v>348</v>
      </c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8"/>
      <c r="P204" s="628"/>
      <c r="Q204" s="628"/>
      <c r="R204" s="628"/>
      <c r="S204" s="628"/>
      <c r="T204" s="628"/>
      <c r="U204" s="628"/>
      <c r="V204" s="628"/>
      <c r="W204" s="628"/>
      <c r="X204" s="628"/>
      <c r="Y204" s="628"/>
      <c r="Z204" s="628"/>
      <c r="AA204" s="65"/>
      <c r="AB204" s="65"/>
      <c r="AC204" s="79"/>
    </row>
    <row r="205" spans="1:68" ht="14.25" customHeight="1" x14ac:dyDescent="0.25">
      <c r="A205" s="612" t="s">
        <v>163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66"/>
      <c r="AB205" s="66"/>
      <c r="AC205" s="80"/>
    </row>
    <row r="206" spans="1:68" ht="27" customHeight="1" x14ac:dyDescent="0.25">
      <c r="A206" s="63" t="s">
        <v>349</v>
      </c>
      <c r="B206" s="63" t="s">
        <v>350</v>
      </c>
      <c r="C206" s="36">
        <v>4301020323</v>
      </c>
      <c r="D206" s="613">
        <v>4680115886223</v>
      </c>
      <c r="E206" s="613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9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5"/>
      <c r="R206" s="615"/>
      <c r="S206" s="615"/>
      <c r="T206" s="61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x14ac:dyDescent="0.25">
      <c r="A207" s="620"/>
      <c r="B207" s="620"/>
      <c r="C207" s="620"/>
      <c r="D207" s="620"/>
      <c r="E207" s="620"/>
      <c r="F207" s="620"/>
      <c r="G207" s="620"/>
      <c r="H207" s="620"/>
      <c r="I207" s="620"/>
      <c r="J207" s="620"/>
      <c r="K207" s="620"/>
      <c r="L207" s="620"/>
      <c r="M207" s="620"/>
      <c r="N207" s="620"/>
      <c r="O207" s="621"/>
      <c r="P207" s="617" t="s">
        <v>40</v>
      </c>
      <c r="Q207" s="618"/>
      <c r="R207" s="618"/>
      <c r="S207" s="618"/>
      <c r="T207" s="618"/>
      <c r="U207" s="618"/>
      <c r="V207" s="619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5">
      <c r="A208" s="620"/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1"/>
      <c r="P208" s="617" t="s">
        <v>40</v>
      </c>
      <c r="Q208" s="618"/>
      <c r="R208" s="618"/>
      <c r="S208" s="618"/>
      <c r="T208" s="618"/>
      <c r="U208" s="618"/>
      <c r="V208" s="619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customHeight="1" x14ac:dyDescent="0.25">
      <c r="A209" s="612" t="s">
        <v>77</v>
      </c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2"/>
      <c r="P209" s="612"/>
      <c r="Q209" s="612"/>
      <c r="R209" s="612"/>
      <c r="S209" s="612"/>
      <c r="T209" s="612"/>
      <c r="U209" s="612"/>
      <c r="V209" s="612"/>
      <c r="W209" s="612"/>
      <c r="X209" s="612"/>
      <c r="Y209" s="612"/>
      <c r="Z209" s="612"/>
      <c r="AA209" s="66"/>
      <c r="AB209" s="66"/>
      <c r="AC209" s="80"/>
    </row>
    <row r="210" spans="1:68" ht="27" customHeight="1" x14ac:dyDescent="0.25">
      <c r="A210" s="63" t="s">
        <v>352</v>
      </c>
      <c r="B210" s="63" t="s">
        <v>353</v>
      </c>
      <c r="C210" s="36">
        <v>4301031191</v>
      </c>
      <c r="D210" s="613">
        <v>4680115880993</v>
      </c>
      <c r="E210" s="613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5"/>
      <c r="R210" s="615"/>
      <c r="S210" s="615"/>
      <c r="T210" s="6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customHeight="1" x14ac:dyDescent="0.25">
      <c r="A211" s="63" t="s">
        <v>355</v>
      </c>
      <c r="B211" s="63" t="s">
        <v>356</v>
      </c>
      <c r="C211" s="36">
        <v>4301031204</v>
      </c>
      <c r="D211" s="613">
        <v>4680115881761</v>
      </c>
      <c r="E211" s="613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5"/>
      <c r="R211" s="615"/>
      <c r="S211" s="615"/>
      <c r="T211" s="6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4301031201</v>
      </c>
      <c r="D212" s="613">
        <v>4680115881563</v>
      </c>
      <c r="E212" s="613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5"/>
      <c r="R212" s="615"/>
      <c r="S212" s="615"/>
      <c r="T212" s="6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13">
        <v>4680115887565</v>
      </c>
      <c r="E213" s="613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5"/>
      <c r="R213" s="615"/>
      <c r="S213" s="615"/>
      <c r="T213" s="61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13">
        <v>4680115880986</v>
      </c>
      <c r="E214" s="613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5"/>
      <c r="R214" s="615"/>
      <c r="S214" s="615"/>
      <c r="T214" s="61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4301031443</v>
      </c>
      <c r="D215" s="613">
        <v>4680115887213</v>
      </c>
      <c r="E215" s="613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5"/>
      <c r="R215" s="615"/>
      <c r="S215" s="615"/>
      <c r="T215" s="61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13">
        <v>4680115881785</v>
      </c>
      <c r="E216" s="613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5"/>
      <c r="R216" s="615"/>
      <c r="S216" s="615"/>
      <c r="T216" s="61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4301031499</v>
      </c>
      <c r="D217" s="613">
        <v>4680115888432</v>
      </c>
      <c r="E217" s="613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5"/>
      <c r="R217" s="615"/>
      <c r="S217" s="615"/>
      <c r="T217" s="61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4301031427</v>
      </c>
      <c r="D218" s="613">
        <v>4680115888104</v>
      </c>
      <c r="E218" s="613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5"/>
      <c r="R218" s="615"/>
      <c r="S218" s="615"/>
      <c r="T218" s="61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377</v>
      </c>
      <c r="B219" s="63" t="s">
        <v>378</v>
      </c>
      <c r="C219" s="36">
        <v>4301031399</v>
      </c>
      <c r="D219" s="613">
        <v>4680115886537</v>
      </c>
      <c r="E219" s="613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5"/>
      <c r="R219" s="615"/>
      <c r="S219" s="615"/>
      <c r="T219" s="6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13">
        <v>4680115887596</v>
      </c>
      <c r="E220" s="613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8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5"/>
      <c r="R220" s="615"/>
      <c r="S220" s="615"/>
      <c r="T220" s="6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13">
        <v>4680115881679</v>
      </c>
      <c r="E221" s="613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5"/>
      <c r="R221" s="615"/>
      <c r="S221" s="615"/>
      <c r="T221" s="6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4301031158</v>
      </c>
      <c r="D222" s="613">
        <v>4680115880191</v>
      </c>
      <c r="E222" s="613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5"/>
      <c r="R222" s="615"/>
      <c r="S222" s="615"/>
      <c r="T222" s="6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4301031245</v>
      </c>
      <c r="D223" s="613">
        <v>4680115883963</v>
      </c>
      <c r="E223" s="613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5"/>
      <c r="R223" s="615"/>
      <c r="S223" s="615"/>
      <c r="T223" s="6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5">
      <c r="A224" s="620"/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1"/>
      <c r="P224" s="617" t="s">
        <v>40</v>
      </c>
      <c r="Q224" s="618"/>
      <c r="R224" s="618"/>
      <c r="S224" s="618"/>
      <c r="T224" s="618"/>
      <c r="U224" s="618"/>
      <c r="V224" s="619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5">
      <c r="A225" s="620"/>
      <c r="B225" s="620"/>
      <c r="C225" s="620"/>
      <c r="D225" s="620"/>
      <c r="E225" s="620"/>
      <c r="F225" s="620"/>
      <c r="G225" s="620"/>
      <c r="H225" s="620"/>
      <c r="I225" s="620"/>
      <c r="J225" s="620"/>
      <c r="K225" s="620"/>
      <c r="L225" s="620"/>
      <c r="M225" s="620"/>
      <c r="N225" s="620"/>
      <c r="O225" s="621"/>
      <c r="P225" s="617" t="s">
        <v>40</v>
      </c>
      <c r="Q225" s="618"/>
      <c r="R225" s="618"/>
      <c r="S225" s="618"/>
      <c r="T225" s="618"/>
      <c r="U225" s="618"/>
      <c r="V225" s="619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customHeight="1" x14ac:dyDescent="0.25">
      <c r="A226" s="612" t="s">
        <v>86</v>
      </c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2"/>
      <c r="P226" s="612"/>
      <c r="Q226" s="612"/>
      <c r="R226" s="612"/>
      <c r="S226" s="612"/>
      <c r="T226" s="612"/>
      <c r="U226" s="612"/>
      <c r="V226" s="612"/>
      <c r="W226" s="612"/>
      <c r="X226" s="612"/>
      <c r="Y226" s="612"/>
      <c r="Z226" s="612"/>
      <c r="AA226" s="66"/>
      <c r="AB226" s="66"/>
      <c r="AC226" s="80"/>
    </row>
    <row r="227" spans="1:68" ht="16.5" customHeight="1" x14ac:dyDescent="0.25">
      <c r="A227" s="63" t="s">
        <v>390</v>
      </c>
      <c r="B227" s="63" t="s">
        <v>391</v>
      </c>
      <c r="C227" s="36">
        <v>4301052209</v>
      </c>
      <c r="D227" s="613">
        <v>4680115888692</v>
      </c>
      <c r="E227" s="613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76" t="s">
        <v>392</v>
      </c>
      <c r="Q227" s="615"/>
      <c r="R227" s="615"/>
      <c r="S227" s="615"/>
      <c r="T227" s="616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4301052213</v>
      </c>
      <c r="D228" s="613">
        <v>4680115888722</v>
      </c>
      <c r="E228" s="613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77" t="s">
        <v>397</v>
      </c>
      <c r="Q228" s="615"/>
      <c r="R228" s="615"/>
      <c r="S228" s="615"/>
      <c r="T228" s="616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4301052177</v>
      </c>
      <c r="D229" s="613">
        <v>4680115888951</v>
      </c>
      <c r="E229" s="613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7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5"/>
      <c r="R229" s="615"/>
      <c r="S229" s="615"/>
      <c r="T229" s="616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4301052176</v>
      </c>
      <c r="D230" s="613">
        <v>4680115888982</v>
      </c>
      <c r="E230" s="613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5"/>
      <c r="R230" s="615"/>
      <c r="S230" s="615"/>
      <c r="T230" s="616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5">
      <c r="A231" s="620"/>
      <c r="B231" s="620"/>
      <c r="C231" s="620"/>
      <c r="D231" s="620"/>
      <c r="E231" s="620"/>
      <c r="F231" s="620"/>
      <c r="G231" s="620"/>
      <c r="H231" s="620"/>
      <c r="I231" s="620"/>
      <c r="J231" s="620"/>
      <c r="K231" s="620"/>
      <c r="L231" s="620"/>
      <c r="M231" s="620"/>
      <c r="N231" s="620"/>
      <c r="O231" s="621"/>
      <c r="P231" s="617" t="s">
        <v>40</v>
      </c>
      <c r="Q231" s="618"/>
      <c r="R231" s="618"/>
      <c r="S231" s="618"/>
      <c r="T231" s="618"/>
      <c r="U231" s="618"/>
      <c r="V231" s="619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x14ac:dyDescent="0.25">
      <c r="A232" s="620"/>
      <c r="B232" s="620"/>
      <c r="C232" s="620"/>
      <c r="D232" s="620"/>
      <c r="E232" s="620"/>
      <c r="F232" s="620"/>
      <c r="G232" s="620"/>
      <c r="H232" s="620"/>
      <c r="I232" s="620"/>
      <c r="J232" s="620"/>
      <c r="K232" s="620"/>
      <c r="L232" s="620"/>
      <c r="M232" s="620"/>
      <c r="N232" s="620"/>
      <c r="O232" s="621"/>
      <c r="P232" s="617" t="s">
        <v>40</v>
      </c>
      <c r="Q232" s="618"/>
      <c r="R232" s="618"/>
      <c r="S232" s="618"/>
      <c r="T232" s="618"/>
      <c r="U232" s="618"/>
      <c r="V232" s="619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customHeight="1" x14ac:dyDescent="0.25">
      <c r="A233" s="612" t="s">
        <v>107</v>
      </c>
      <c r="B233" s="612"/>
      <c r="C233" s="612"/>
      <c r="D233" s="612"/>
      <c r="E233" s="612"/>
      <c r="F233" s="612"/>
      <c r="G233" s="612"/>
      <c r="H233" s="612"/>
      <c r="I233" s="612"/>
      <c r="J233" s="612"/>
      <c r="K233" s="612"/>
      <c r="L233" s="612"/>
      <c r="M233" s="612"/>
      <c r="N233" s="612"/>
      <c r="O233" s="612"/>
      <c r="P233" s="612"/>
      <c r="Q233" s="612"/>
      <c r="R233" s="612"/>
      <c r="S233" s="612"/>
      <c r="T233" s="612"/>
      <c r="U233" s="612"/>
      <c r="V233" s="612"/>
      <c r="W233" s="612"/>
      <c r="X233" s="612"/>
      <c r="Y233" s="612"/>
      <c r="Z233" s="612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13">
        <v>4680115886780</v>
      </c>
      <c r="E234" s="613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5"/>
      <c r="R234" s="615"/>
      <c r="S234" s="615"/>
      <c r="T234" s="616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13">
        <v>4680115886742</v>
      </c>
      <c r="E235" s="613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7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5"/>
      <c r="R235" s="615"/>
      <c r="S235" s="615"/>
      <c r="T235" s="6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13">
        <v>4680115886766</v>
      </c>
      <c r="E236" s="613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7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5"/>
      <c r="R236" s="615"/>
      <c r="S236" s="615"/>
      <c r="T236" s="6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5">
      <c r="A237" s="620"/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1"/>
      <c r="P237" s="617" t="s">
        <v>40</v>
      </c>
      <c r="Q237" s="618"/>
      <c r="R237" s="618"/>
      <c r="S237" s="618"/>
      <c r="T237" s="618"/>
      <c r="U237" s="618"/>
      <c r="V237" s="619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x14ac:dyDescent="0.25">
      <c r="A238" s="620"/>
      <c r="B238" s="620"/>
      <c r="C238" s="620"/>
      <c r="D238" s="620"/>
      <c r="E238" s="620"/>
      <c r="F238" s="620"/>
      <c r="G238" s="620"/>
      <c r="H238" s="620"/>
      <c r="I238" s="620"/>
      <c r="J238" s="620"/>
      <c r="K238" s="620"/>
      <c r="L238" s="620"/>
      <c r="M238" s="620"/>
      <c r="N238" s="620"/>
      <c r="O238" s="621"/>
      <c r="P238" s="617" t="s">
        <v>40</v>
      </c>
      <c r="Q238" s="618"/>
      <c r="R238" s="618"/>
      <c r="S238" s="618"/>
      <c r="T238" s="618"/>
      <c r="U238" s="618"/>
      <c r="V238" s="619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customHeight="1" x14ac:dyDescent="0.25">
      <c r="A239" s="612" t="s">
        <v>412</v>
      </c>
      <c r="B239" s="612"/>
      <c r="C239" s="612"/>
      <c r="D239" s="612"/>
      <c r="E239" s="612"/>
      <c r="F239" s="612"/>
      <c r="G239" s="612"/>
      <c r="H239" s="612"/>
      <c r="I239" s="612"/>
      <c r="J239" s="612"/>
      <c r="K239" s="612"/>
      <c r="L239" s="612"/>
      <c r="M239" s="612"/>
      <c r="N239" s="612"/>
      <c r="O239" s="612"/>
      <c r="P239" s="612"/>
      <c r="Q239" s="612"/>
      <c r="R239" s="612"/>
      <c r="S239" s="612"/>
      <c r="T239" s="612"/>
      <c r="U239" s="612"/>
      <c r="V239" s="612"/>
      <c r="W239" s="612"/>
      <c r="X239" s="612"/>
      <c r="Y239" s="612"/>
      <c r="Z239" s="612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13">
        <v>4680115886797</v>
      </c>
      <c r="E240" s="613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7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5"/>
      <c r="R240" s="615"/>
      <c r="S240" s="615"/>
      <c r="T240" s="6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20"/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1"/>
      <c r="P241" s="617" t="s">
        <v>40</v>
      </c>
      <c r="Q241" s="618"/>
      <c r="R241" s="618"/>
      <c r="S241" s="618"/>
      <c r="T241" s="618"/>
      <c r="U241" s="618"/>
      <c r="V241" s="619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5">
      <c r="A242" s="620"/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1"/>
      <c r="P242" s="617" t="s">
        <v>40</v>
      </c>
      <c r="Q242" s="618"/>
      <c r="R242" s="618"/>
      <c r="S242" s="618"/>
      <c r="T242" s="618"/>
      <c r="U242" s="618"/>
      <c r="V242" s="619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customHeight="1" x14ac:dyDescent="0.25">
      <c r="A243" s="628" t="s">
        <v>415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5"/>
      <c r="AB243" s="65"/>
      <c r="AC243" s="79"/>
    </row>
    <row r="244" spans="1:68" ht="14.25" customHeight="1" x14ac:dyDescent="0.25">
      <c r="A244" s="612" t="s">
        <v>128</v>
      </c>
      <c r="B244" s="612"/>
      <c r="C244" s="612"/>
      <c r="D244" s="612"/>
      <c r="E244" s="612"/>
      <c r="F244" s="612"/>
      <c r="G244" s="612"/>
      <c r="H244" s="612"/>
      <c r="I244" s="612"/>
      <c r="J244" s="612"/>
      <c r="K244" s="612"/>
      <c r="L244" s="612"/>
      <c r="M244" s="612"/>
      <c r="N244" s="612"/>
      <c r="O244" s="612"/>
      <c r="P244" s="612"/>
      <c r="Q244" s="612"/>
      <c r="R244" s="612"/>
      <c r="S244" s="612"/>
      <c r="T244" s="612"/>
      <c r="U244" s="612"/>
      <c r="V244" s="612"/>
      <c r="W244" s="612"/>
      <c r="X244" s="612"/>
      <c r="Y244" s="612"/>
      <c r="Z244" s="612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4301011450</v>
      </c>
      <c r="D245" s="613">
        <v>4680115881402</v>
      </c>
      <c r="E245" s="613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7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5"/>
      <c r="R245" s="615"/>
      <c r="S245" s="615"/>
      <c r="T245" s="6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419</v>
      </c>
      <c r="B246" s="63" t="s">
        <v>420</v>
      </c>
      <c r="C246" s="36">
        <v>4301011768</v>
      </c>
      <c r="D246" s="613">
        <v>4680115881396</v>
      </c>
      <c r="E246" s="613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7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5"/>
      <c r="R246" s="615"/>
      <c r="S246" s="615"/>
      <c r="T246" s="6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20"/>
      <c r="B247" s="620"/>
      <c r="C247" s="620"/>
      <c r="D247" s="620"/>
      <c r="E247" s="620"/>
      <c r="F247" s="620"/>
      <c r="G247" s="620"/>
      <c r="H247" s="620"/>
      <c r="I247" s="620"/>
      <c r="J247" s="620"/>
      <c r="K247" s="620"/>
      <c r="L247" s="620"/>
      <c r="M247" s="620"/>
      <c r="N247" s="620"/>
      <c r="O247" s="621"/>
      <c r="P247" s="617" t="s">
        <v>40</v>
      </c>
      <c r="Q247" s="618"/>
      <c r="R247" s="618"/>
      <c r="S247" s="618"/>
      <c r="T247" s="618"/>
      <c r="U247" s="618"/>
      <c r="V247" s="619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5">
      <c r="A248" s="620"/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1"/>
      <c r="P248" s="617" t="s">
        <v>40</v>
      </c>
      <c r="Q248" s="618"/>
      <c r="R248" s="618"/>
      <c r="S248" s="618"/>
      <c r="T248" s="618"/>
      <c r="U248" s="618"/>
      <c r="V248" s="619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customHeight="1" x14ac:dyDescent="0.25">
      <c r="A249" s="612" t="s">
        <v>163</v>
      </c>
      <c r="B249" s="612"/>
      <c r="C249" s="612"/>
      <c r="D249" s="612"/>
      <c r="E249" s="612"/>
      <c r="F249" s="612"/>
      <c r="G249" s="612"/>
      <c r="H249" s="612"/>
      <c r="I249" s="612"/>
      <c r="J249" s="612"/>
      <c r="K249" s="612"/>
      <c r="L249" s="612"/>
      <c r="M249" s="612"/>
      <c r="N249" s="612"/>
      <c r="O249" s="612"/>
      <c r="P249" s="612"/>
      <c r="Q249" s="612"/>
      <c r="R249" s="612"/>
      <c r="S249" s="612"/>
      <c r="T249" s="612"/>
      <c r="U249" s="612"/>
      <c r="V249" s="612"/>
      <c r="W249" s="612"/>
      <c r="X249" s="612"/>
      <c r="Y249" s="612"/>
      <c r="Z249" s="612"/>
      <c r="AA249" s="66"/>
      <c r="AB249" s="66"/>
      <c r="AC249" s="80"/>
    </row>
    <row r="250" spans="1:68" ht="16.5" customHeight="1" x14ac:dyDescent="0.25">
      <c r="A250" s="63" t="s">
        <v>421</v>
      </c>
      <c r="B250" s="63" t="s">
        <v>422</v>
      </c>
      <c r="C250" s="36">
        <v>4301020261</v>
      </c>
      <c r="D250" s="613">
        <v>4680115882935</v>
      </c>
      <c r="E250" s="613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7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5"/>
      <c r="R250" s="615"/>
      <c r="S250" s="615"/>
      <c r="T250" s="61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customHeight="1" x14ac:dyDescent="0.25">
      <c r="A251" s="63" t="s">
        <v>424</v>
      </c>
      <c r="B251" s="63" t="s">
        <v>425</v>
      </c>
      <c r="C251" s="36">
        <v>4301020220</v>
      </c>
      <c r="D251" s="613">
        <v>4680115880764</v>
      </c>
      <c r="E251" s="613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7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5"/>
      <c r="R251" s="615"/>
      <c r="S251" s="615"/>
      <c r="T251" s="61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5">
      <c r="A252" s="620"/>
      <c r="B252" s="620"/>
      <c r="C252" s="620"/>
      <c r="D252" s="620"/>
      <c r="E252" s="620"/>
      <c r="F252" s="620"/>
      <c r="G252" s="620"/>
      <c r="H252" s="620"/>
      <c r="I252" s="620"/>
      <c r="J252" s="620"/>
      <c r="K252" s="620"/>
      <c r="L252" s="620"/>
      <c r="M252" s="620"/>
      <c r="N252" s="620"/>
      <c r="O252" s="621"/>
      <c r="P252" s="617" t="s">
        <v>40</v>
      </c>
      <c r="Q252" s="618"/>
      <c r="R252" s="618"/>
      <c r="S252" s="618"/>
      <c r="T252" s="618"/>
      <c r="U252" s="618"/>
      <c r="V252" s="619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5">
      <c r="A253" s="620"/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1"/>
      <c r="P253" s="617" t="s">
        <v>40</v>
      </c>
      <c r="Q253" s="618"/>
      <c r="R253" s="618"/>
      <c r="S253" s="618"/>
      <c r="T253" s="618"/>
      <c r="U253" s="618"/>
      <c r="V253" s="619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customHeight="1" x14ac:dyDescent="0.25">
      <c r="A254" s="612" t="s">
        <v>77</v>
      </c>
      <c r="B254" s="612"/>
      <c r="C254" s="612"/>
      <c r="D254" s="612"/>
      <c r="E254" s="612"/>
      <c r="F254" s="612"/>
      <c r="G254" s="612"/>
      <c r="H254" s="612"/>
      <c r="I254" s="612"/>
      <c r="J254" s="612"/>
      <c r="K254" s="612"/>
      <c r="L254" s="612"/>
      <c r="M254" s="612"/>
      <c r="N254" s="612"/>
      <c r="O254" s="612"/>
      <c r="P254" s="612"/>
      <c r="Q254" s="612"/>
      <c r="R254" s="612"/>
      <c r="S254" s="612"/>
      <c r="T254" s="612"/>
      <c r="U254" s="612"/>
      <c r="V254" s="612"/>
      <c r="W254" s="612"/>
      <c r="X254" s="612"/>
      <c r="Y254" s="612"/>
      <c r="Z254" s="612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13">
        <v>4680115882683</v>
      </c>
      <c r="E255" s="613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7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5"/>
      <c r="R255" s="615"/>
      <c r="S255" s="615"/>
      <c r="T255" s="616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13">
        <v>4680115882690</v>
      </c>
      <c r="E256" s="613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5"/>
      <c r="R256" s="615"/>
      <c r="S256" s="615"/>
      <c r="T256" s="616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13">
        <v>4680115882669</v>
      </c>
      <c r="E257" s="613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7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5"/>
      <c r="R257" s="615"/>
      <c r="S257" s="615"/>
      <c r="T257" s="616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13">
        <v>4680115882676</v>
      </c>
      <c r="E258" s="613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7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5"/>
      <c r="R258" s="615"/>
      <c r="S258" s="615"/>
      <c r="T258" s="616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13">
        <v>4680115884014</v>
      </c>
      <c r="E259" s="613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7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5"/>
      <c r="R259" s="615"/>
      <c r="S259" s="615"/>
      <c r="T259" s="616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13">
        <v>4680115884007</v>
      </c>
      <c r="E260" s="613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7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5"/>
      <c r="R260" s="615"/>
      <c r="S260" s="615"/>
      <c r="T260" s="616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13">
        <v>4680115884038</v>
      </c>
      <c r="E261" s="613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7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5"/>
      <c r="R261" s="615"/>
      <c r="S261" s="615"/>
      <c r="T261" s="616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13">
        <v>4680115884021</v>
      </c>
      <c r="E262" s="613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5"/>
      <c r="R262" s="615"/>
      <c r="S262" s="615"/>
      <c r="T262" s="616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5">
      <c r="A263" s="620"/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1"/>
      <c r="P263" s="617" t="s">
        <v>40</v>
      </c>
      <c r="Q263" s="618"/>
      <c r="R263" s="618"/>
      <c r="S263" s="618"/>
      <c r="T263" s="618"/>
      <c r="U263" s="618"/>
      <c r="V263" s="619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x14ac:dyDescent="0.25">
      <c r="A264" s="620"/>
      <c r="B264" s="620"/>
      <c r="C264" s="620"/>
      <c r="D264" s="620"/>
      <c r="E264" s="620"/>
      <c r="F264" s="620"/>
      <c r="G264" s="620"/>
      <c r="H264" s="620"/>
      <c r="I264" s="620"/>
      <c r="J264" s="620"/>
      <c r="K264" s="620"/>
      <c r="L264" s="620"/>
      <c r="M264" s="620"/>
      <c r="N264" s="620"/>
      <c r="O264" s="621"/>
      <c r="P264" s="617" t="s">
        <v>40</v>
      </c>
      <c r="Q264" s="618"/>
      <c r="R264" s="618"/>
      <c r="S264" s="618"/>
      <c r="T264" s="618"/>
      <c r="U264" s="618"/>
      <c r="V264" s="619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customHeight="1" x14ac:dyDescent="0.25">
      <c r="A265" s="612" t="s">
        <v>86</v>
      </c>
      <c r="B265" s="612"/>
      <c r="C265" s="612"/>
      <c r="D265" s="612"/>
      <c r="E265" s="612"/>
      <c r="F265" s="612"/>
      <c r="G265" s="612"/>
      <c r="H265" s="612"/>
      <c r="I265" s="612"/>
      <c r="J265" s="612"/>
      <c r="K265" s="612"/>
      <c r="L265" s="612"/>
      <c r="M265" s="612"/>
      <c r="N265" s="612"/>
      <c r="O265" s="612"/>
      <c r="P265" s="612"/>
      <c r="Q265" s="612"/>
      <c r="R265" s="612"/>
      <c r="S265" s="612"/>
      <c r="T265" s="612"/>
      <c r="U265" s="612"/>
      <c r="V265" s="612"/>
      <c r="W265" s="612"/>
      <c r="X265" s="612"/>
      <c r="Y265" s="612"/>
      <c r="Z265" s="612"/>
      <c r="AA265" s="66"/>
      <c r="AB265" s="66"/>
      <c r="AC265" s="80"/>
    </row>
    <row r="266" spans="1:68" ht="27" customHeight="1" x14ac:dyDescent="0.25">
      <c r="A266" s="63" t="s">
        <v>446</v>
      </c>
      <c r="B266" s="63" t="s">
        <v>447</v>
      </c>
      <c r="C266" s="36">
        <v>4301051408</v>
      </c>
      <c r="D266" s="613">
        <v>4680115881594</v>
      </c>
      <c r="E266" s="613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5"/>
      <c r="R266" s="615"/>
      <c r="S266" s="615"/>
      <c r="T266" s="61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4301051411</v>
      </c>
      <c r="D267" s="613">
        <v>4680115881617</v>
      </c>
      <c r="E267" s="613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7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5"/>
      <c r="R267" s="615"/>
      <c r="S267" s="615"/>
      <c r="T267" s="6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13">
        <v>4680115880573</v>
      </c>
      <c r="E268" s="613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5"/>
      <c r="R268" s="615"/>
      <c r="S268" s="615"/>
      <c r="T268" s="6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13">
        <v>4680115882195</v>
      </c>
      <c r="E269" s="613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5"/>
      <c r="R269" s="615"/>
      <c r="S269" s="615"/>
      <c r="T269" s="6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457</v>
      </c>
      <c r="B270" s="63" t="s">
        <v>458</v>
      </c>
      <c r="C270" s="36">
        <v>4301051752</v>
      </c>
      <c r="D270" s="613">
        <v>4680115882607</v>
      </c>
      <c r="E270" s="613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7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5"/>
      <c r="R270" s="615"/>
      <c r="S270" s="615"/>
      <c r="T270" s="6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4301052143</v>
      </c>
      <c r="D271" s="613">
        <v>4680115882607</v>
      </c>
      <c r="E271" s="613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75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5"/>
      <c r="R271" s="615"/>
      <c r="S271" s="615"/>
      <c r="T271" s="6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13">
        <v>4680115880092</v>
      </c>
      <c r="E272" s="61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5"/>
      <c r="R272" s="615"/>
      <c r="S272" s="615"/>
      <c r="T272" s="6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4301052214</v>
      </c>
      <c r="D273" s="613">
        <v>4680115889064</v>
      </c>
      <c r="E273" s="613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7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5"/>
      <c r="R273" s="615"/>
      <c r="S273" s="615"/>
      <c r="T273" s="6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4301051668</v>
      </c>
      <c r="D274" s="613">
        <v>4680115880221</v>
      </c>
      <c r="E274" s="613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7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5"/>
      <c r="R274" s="615"/>
      <c r="S274" s="615"/>
      <c r="T274" s="6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13">
        <v>4680115880504</v>
      </c>
      <c r="E275" s="613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7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5"/>
      <c r="R275" s="615"/>
      <c r="S275" s="615"/>
      <c r="T275" s="61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13">
        <v>4680115882164</v>
      </c>
      <c r="E276" s="613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7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5"/>
      <c r="R276" s="615"/>
      <c r="S276" s="615"/>
      <c r="T276" s="6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4301052180</v>
      </c>
      <c r="D277" s="613">
        <v>4680115888340</v>
      </c>
      <c r="E277" s="613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75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5"/>
      <c r="R277" s="615"/>
      <c r="S277" s="615"/>
      <c r="T277" s="61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5">
      <c r="A278" s="620"/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1"/>
      <c r="P278" s="617" t="s">
        <v>40</v>
      </c>
      <c r="Q278" s="618"/>
      <c r="R278" s="618"/>
      <c r="S278" s="618"/>
      <c r="T278" s="618"/>
      <c r="U278" s="618"/>
      <c r="V278" s="619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5">
      <c r="A279" s="620"/>
      <c r="B279" s="620"/>
      <c r="C279" s="620"/>
      <c r="D279" s="620"/>
      <c r="E279" s="620"/>
      <c r="F279" s="620"/>
      <c r="G279" s="620"/>
      <c r="H279" s="620"/>
      <c r="I279" s="620"/>
      <c r="J279" s="620"/>
      <c r="K279" s="620"/>
      <c r="L279" s="620"/>
      <c r="M279" s="620"/>
      <c r="N279" s="620"/>
      <c r="O279" s="621"/>
      <c r="P279" s="617" t="s">
        <v>40</v>
      </c>
      <c r="Q279" s="618"/>
      <c r="R279" s="618"/>
      <c r="S279" s="618"/>
      <c r="T279" s="618"/>
      <c r="U279" s="618"/>
      <c r="V279" s="619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customHeight="1" x14ac:dyDescent="0.25">
      <c r="A280" s="612" t="s">
        <v>180</v>
      </c>
      <c r="B280" s="612"/>
      <c r="C280" s="612"/>
      <c r="D280" s="612"/>
      <c r="E280" s="612"/>
      <c r="F280" s="612"/>
      <c r="G280" s="612"/>
      <c r="H280" s="612"/>
      <c r="I280" s="612"/>
      <c r="J280" s="612"/>
      <c r="K280" s="612"/>
      <c r="L280" s="612"/>
      <c r="M280" s="612"/>
      <c r="N280" s="612"/>
      <c r="O280" s="612"/>
      <c r="P280" s="612"/>
      <c r="Q280" s="612"/>
      <c r="R280" s="612"/>
      <c r="S280" s="612"/>
      <c r="T280" s="612"/>
      <c r="U280" s="612"/>
      <c r="V280" s="612"/>
      <c r="W280" s="612"/>
      <c r="X280" s="612"/>
      <c r="Y280" s="612"/>
      <c r="Z280" s="612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13">
        <v>4680115880818</v>
      </c>
      <c r="E281" s="61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74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5"/>
      <c r="R281" s="615"/>
      <c r="S281" s="615"/>
      <c r="T281" s="616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13">
        <v>4680115880801</v>
      </c>
      <c r="E282" s="6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7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5"/>
      <c r="R282" s="615"/>
      <c r="S282" s="615"/>
      <c r="T282" s="61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5">
      <c r="A283" s="620"/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1"/>
      <c r="P283" s="617" t="s">
        <v>40</v>
      </c>
      <c r="Q283" s="618"/>
      <c r="R283" s="618"/>
      <c r="S283" s="618"/>
      <c r="T283" s="618"/>
      <c r="U283" s="618"/>
      <c r="V283" s="619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x14ac:dyDescent="0.25">
      <c r="A284" s="620"/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1"/>
      <c r="P284" s="617" t="s">
        <v>40</v>
      </c>
      <c r="Q284" s="618"/>
      <c r="R284" s="618"/>
      <c r="S284" s="618"/>
      <c r="T284" s="618"/>
      <c r="U284" s="618"/>
      <c r="V284" s="619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customHeight="1" x14ac:dyDescent="0.25">
      <c r="A285" s="628" t="s">
        <v>483</v>
      </c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8"/>
      <c r="P285" s="628"/>
      <c r="Q285" s="628"/>
      <c r="R285" s="628"/>
      <c r="S285" s="628"/>
      <c r="T285" s="628"/>
      <c r="U285" s="628"/>
      <c r="V285" s="628"/>
      <c r="W285" s="628"/>
      <c r="X285" s="628"/>
      <c r="Y285" s="628"/>
      <c r="Z285" s="628"/>
      <c r="AA285" s="65"/>
      <c r="AB285" s="65"/>
      <c r="AC285" s="79"/>
    </row>
    <row r="286" spans="1:68" ht="14.25" customHeight="1" x14ac:dyDescent="0.25">
      <c r="A286" s="612" t="s">
        <v>128</v>
      </c>
      <c r="B286" s="612"/>
      <c r="C286" s="612"/>
      <c r="D286" s="612"/>
      <c r="E286" s="612"/>
      <c r="F286" s="612"/>
      <c r="G286" s="612"/>
      <c r="H286" s="612"/>
      <c r="I286" s="612"/>
      <c r="J286" s="612"/>
      <c r="K286" s="612"/>
      <c r="L286" s="612"/>
      <c r="M286" s="612"/>
      <c r="N286" s="612"/>
      <c r="O286" s="612"/>
      <c r="P286" s="612"/>
      <c r="Q286" s="612"/>
      <c r="R286" s="612"/>
      <c r="S286" s="612"/>
      <c r="T286" s="612"/>
      <c r="U286" s="612"/>
      <c r="V286" s="612"/>
      <c r="W286" s="612"/>
      <c r="X286" s="612"/>
      <c r="Y286" s="612"/>
      <c r="Z286" s="612"/>
      <c r="AA286" s="66"/>
      <c r="AB286" s="66"/>
      <c r="AC286" s="80"/>
    </row>
    <row r="287" spans="1:68" ht="27" customHeight="1" x14ac:dyDescent="0.25">
      <c r="A287" s="63" t="s">
        <v>484</v>
      </c>
      <c r="B287" s="63" t="s">
        <v>485</v>
      </c>
      <c r="C287" s="36">
        <v>4301011826</v>
      </c>
      <c r="D287" s="613">
        <v>4680115884137</v>
      </c>
      <c r="E287" s="613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5"/>
      <c r="R287" s="615"/>
      <c r="S287" s="615"/>
      <c r="T287" s="6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4301011724</v>
      </c>
      <c r="D288" s="613">
        <v>4680115884236</v>
      </c>
      <c r="E288" s="613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5"/>
      <c r="R288" s="615"/>
      <c r="S288" s="615"/>
      <c r="T288" s="6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4301011721</v>
      </c>
      <c r="D289" s="613">
        <v>4680115884175</v>
      </c>
      <c r="E289" s="613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5"/>
      <c r="R289" s="615"/>
      <c r="S289" s="615"/>
      <c r="T289" s="6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13">
        <v>4680115884144</v>
      </c>
      <c r="E290" s="613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5"/>
      <c r="R290" s="615"/>
      <c r="S290" s="615"/>
      <c r="T290" s="61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4301012149</v>
      </c>
      <c r="D291" s="613">
        <v>4680115886551</v>
      </c>
      <c r="E291" s="613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5"/>
      <c r="R291" s="615"/>
      <c r="S291" s="615"/>
      <c r="T291" s="61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4301012228</v>
      </c>
      <c r="D292" s="613">
        <v>4680115887282</v>
      </c>
      <c r="E292" s="61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5"/>
      <c r="R292" s="615"/>
      <c r="S292" s="615"/>
      <c r="T292" s="61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13">
        <v>4680115884205</v>
      </c>
      <c r="E293" s="61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5"/>
      <c r="R293" s="615"/>
      <c r="S293" s="615"/>
      <c r="T293" s="61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x14ac:dyDescent="0.25">
      <c r="A294" s="620"/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1"/>
      <c r="P294" s="617" t="s">
        <v>40</v>
      </c>
      <c r="Q294" s="618"/>
      <c r="R294" s="618"/>
      <c r="S294" s="618"/>
      <c r="T294" s="618"/>
      <c r="U294" s="618"/>
      <c r="V294" s="619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5">
      <c r="A295" s="620"/>
      <c r="B295" s="620"/>
      <c r="C295" s="620"/>
      <c r="D295" s="620"/>
      <c r="E295" s="620"/>
      <c r="F295" s="620"/>
      <c r="G295" s="620"/>
      <c r="H295" s="620"/>
      <c r="I295" s="620"/>
      <c r="J295" s="620"/>
      <c r="K295" s="620"/>
      <c r="L295" s="620"/>
      <c r="M295" s="620"/>
      <c r="N295" s="620"/>
      <c r="O295" s="621"/>
      <c r="P295" s="617" t="s">
        <v>40</v>
      </c>
      <c r="Q295" s="618"/>
      <c r="R295" s="618"/>
      <c r="S295" s="618"/>
      <c r="T295" s="618"/>
      <c r="U295" s="618"/>
      <c r="V295" s="619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customHeight="1" x14ac:dyDescent="0.25">
      <c r="A296" s="612" t="s">
        <v>163</v>
      </c>
      <c r="B296" s="612"/>
      <c r="C296" s="612"/>
      <c r="D296" s="612"/>
      <c r="E296" s="612"/>
      <c r="F296" s="612"/>
      <c r="G296" s="612"/>
      <c r="H296" s="612"/>
      <c r="I296" s="612"/>
      <c r="J296" s="612"/>
      <c r="K296" s="612"/>
      <c r="L296" s="612"/>
      <c r="M296" s="612"/>
      <c r="N296" s="612"/>
      <c r="O296" s="612"/>
      <c r="P296" s="612"/>
      <c r="Q296" s="612"/>
      <c r="R296" s="612"/>
      <c r="S296" s="612"/>
      <c r="T296" s="612"/>
      <c r="U296" s="612"/>
      <c r="V296" s="612"/>
      <c r="W296" s="612"/>
      <c r="X296" s="612"/>
      <c r="Y296" s="612"/>
      <c r="Z296" s="612"/>
      <c r="AA296" s="66"/>
      <c r="AB296" s="66"/>
      <c r="AC296" s="80"/>
    </row>
    <row r="297" spans="1:68" ht="27" customHeight="1" x14ac:dyDescent="0.25">
      <c r="A297" s="63" t="s">
        <v>502</v>
      </c>
      <c r="B297" s="63" t="s">
        <v>503</v>
      </c>
      <c r="C297" s="36">
        <v>4301020377</v>
      </c>
      <c r="D297" s="613">
        <v>4680115885981</v>
      </c>
      <c r="E297" s="613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5"/>
      <c r="R297" s="615"/>
      <c r="S297" s="615"/>
      <c r="T297" s="61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5">
      <c r="A298" s="620"/>
      <c r="B298" s="620"/>
      <c r="C298" s="620"/>
      <c r="D298" s="620"/>
      <c r="E298" s="620"/>
      <c r="F298" s="620"/>
      <c r="G298" s="620"/>
      <c r="H298" s="620"/>
      <c r="I298" s="620"/>
      <c r="J298" s="620"/>
      <c r="K298" s="620"/>
      <c r="L298" s="620"/>
      <c r="M298" s="620"/>
      <c r="N298" s="620"/>
      <c r="O298" s="621"/>
      <c r="P298" s="617" t="s">
        <v>40</v>
      </c>
      <c r="Q298" s="618"/>
      <c r="R298" s="618"/>
      <c r="S298" s="618"/>
      <c r="T298" s="618"/>
      <c r="U298" s="618"/>
      <c r="V298" s="619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5">
      <c r="A299" s="620"/>
      <c r="B299" s="620"/>
      <c r="C299" s="620"/>
      <c r="D299" s="620"/>
      <c r="E299" s="620"/>
      <c r="F299" s="620"/>
      <c r="G299" s="620"/>
      <c r="H299" s="620"/>
      <c r="I299" s="620"/>
      <c r="J299" s="620"/>
      <c r="K299" s="620"/>
      <c r="L299" s="620"/>
      <c r="M299" s="620"/>
      <c r="N299" s="620"/>
      <c r="O299" s="621"/>
      <c r="P299" s="617" t="s">
        <v>40</v>
      </c>
      <c r="Q299" s="618"/>
      <c r="R299" s="618"/>
      <c r="S299" s="618"/>
      <c r="T299" s="618"/>
      <c r="U299" s="618"/>
      <c r="V299" s="619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12" t="s">
        <v>505</v>
      </c>
      <c r="B300" s="612"/>
      <c r="C300" s="612"/>
      <c r="D300" s="612"/>
      <c r="E300" s="612"/>
      <c r="F300" s="612"/>
      <c r="G300" s="612"/>
      <c r="H300" s="612"/>
      <c r="I300" s="612"/>
      <c r="J300" s="612"/>
      <c r="K300" s="612"/>
      <c r="L300" s="612"/>
      <c r="M300" s="612"/>
      <c r="N300" s="612"/>
      <c r="O300" s="612"/>
      <c r="P300" s="612"/>
      <c r="Q300" s="612"/>
      <c r="R300" s="612"/>
      <c r="S300" s="612"/>
      <c r="T300" s="612"/>
      <c r="U300" s="612"/>
      <c r="V300" s="612"/>
      <c r="W300" s="612"/>
      <c r="X300" s="612"/>
      <c r="Y300" s="612"/>
      <c r="Z300" s="612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13">
        <v>4680115886803</v>
      </c>
      <c r="E301" s="613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5"/>
      <c r="R301" s="615"/>
      <c r="S301" s="615"/>
      <c r="T301" s="616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5">
      <c r="A302" s="620"/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1"/>
      <c r="P302" s="617" t="s">
        <v>40</v>
      </c>
      <c r="Q302" s="618"/>
      <c r="R302" s="618"/>
      <c r="S302" s="618"/>
      <c r="T302" s="618"/>
      <c r="U302" s="618"/>
      <c r="V302" s="619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5">
      <c r="A303" s="620"/>
      <c r="B303" s="620"/>
      <c r="C303" s="620"/>
      <c r="D303" s="620"/>
      <c r="E303" s="620"/>
      <c r="F303" s="620"/>
      <c r="G303" s="620"/>
      <c r="H303" s="620"/>
      <c r="I303" s="620"/>
      <c r="J303" s="620"/>
      <c r="K303" s="620"/>
      <c r="L303" s="620"/>
      <c r="M303" s="620"/>
      <c r="N303" s="620"/>
      <c r="O303" s="621"/>
      <c r="P303" s="617" t="s">
        <v>40</v>
      </c>
      <c r="Q303" s="618"/>
      <c r="R303" s="618"/>
      <c r="S303" s="618"/>
      <c r="T303" s="618"/>
      <c r="U303" s="618"/>
      <c r="V303" s="619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12" t="s">
        <v>331</v>
      </c>
      <c r="B304" s="612"/>
      <c r="C304" s="612"/>
      <c r="D304" s="612"/>
      <c r="E304" s="612"/>
      <c r="F304" s="612"/>
      <c r="G304" s="612"/>
      <c r="H304" s="612"/>
      <c r="I304" s="612"/>
      <c r="J304" s="612"/>
      <c r="K304" s="612"/>
      <c r="L304" s="612"/>
      <c r="M304" s="612"/>
      <c r="N304" s="612"/>
      <c r="O304" s="612"/>
      <c r="P304" s="612"/>
      <c r="Q304" s="612"/>
      <c r="R304" s="612"/>
      <c r="S304" s="612"/>
      <c r="T304" s="612"/>
      <c r="U304" s="612"/>
      <c r="V304" s="612"/>
      <c r="W304" s="612"/>
      <c r="X304" s="612"/>
      <c r="Y304" s="612"/>
      <c r="Z304" s="612"/>
      <c r="AA304" s="66"/>
      <c r="AB304" s="66"/>
      <c r="AC304" s="80"/>
    </row>
    <row r="305" spans="1:68" ht="27" customHeight="1" x14ac:dyDescent="0.25">
      <c r="A305" s="63" t="s">
        <v>509</v>
      </c>
      <c r="B305" s="63" t="s">
        <v>510</v>
      </c>
      <c r="C305" s="36">
        <v>4301041004</v>
      </c>
      <c r="D305" s="613">
        <v>4680115886704</v>
      </c>
      <c r="E305" s="613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7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5"/>
      <c r="R305" s="615"/>
      <c r="S305" s="615"/>
      <c r="T305" s="6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512</v>
      </c>
      <c r="B306" s="63" t="s">
        <v>513</v>
      </c>
      <c r="C306" s="36">
        <v>4301041008</v>
      </c>
      <c r="D306" s="613">
        <v>4680115886681</v>
      </c>
      <c r="E306" s="613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7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5"/>
      <c r="R306" s="615"/>
      <c r="S306" s="615"/>
      <c r="T306" s="616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13">
        <v>4680115886735</v>
      </c>
      <c r="E307" s="613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5"/>
      <c r="R307" s="615"/>
      <c r="S307" s="615"/>
      <c r="T307" s="61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20"/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1"/>
      <c r="P308" s="617" t="s">
        <v>40</v>
      </c>
      <c r="Q308" s="618"/>
      <c r="R308" s="618"/>
      <c r="S308" s="618"/>
      <c r="T308" s="618"/>
      <c r="U308" s="618"/>
      <c r="V308" s="619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5">
      <c r="A309" s="620"/>
      <c r="B309" s="620"/>
      <c r="C309" s="620"/>
      <c r="D309" s="620"/>
      <c r="E309" s="620"/>
      <c r="F309" s="620"/>
      <c r="G309" s="620"/>
      <c r="H309" s="620"/>
      <c r="I309" s="620"/>
      <c r="J309" s="620"/>
      <c r="K309" s="620"/>
      <c r="L309" s="620"/>
      <c r="M309" s="620"/>
      <c r="N309" s="620"/>
      <c r="O309" s="621"/>
      <c r="P309" s="617" t="s">
        <v>40</v>
      </c>
      <c r="Q309" s="618"/>
      <c r="R309" s="618"/>
      <c r="S309" s="618"/>
      <c r="T309" s="618"/>
      <c r="U309" s="618"/>
      <c r="V309" s="619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customHeight="1" x14ac:dyDescent="0.25">
      <c r="A310" s="628" t="s">
        <v>516</v>
      </c>
      <c r="B310" s="628"/>
      <c r="C310" s="628"/>
      <c r="D310" s="628"/>
      <c r="E310" s="628"/>
      <c r="F310" s="628"/>
      <c r="G310" s="628"/>
      <c r="H310" s="628"/>
      <c r="I310" s="628"/>
      <c r="J310" s="628"/>
      <c r="K310" s="628"/>
      <c r="L310" s="628"/>
      <c r="M310" s="628"/>
      <c r="N310" s="628"/>
      <c r="O310" s="628"/>
      <c r="P310" s="628"/>
      <c r="Q310" s="628"/>
      <c r="R310" s="628"/>
      <c r="S310" s="628"/>
      <c r="T310" s="628"/>
      <c r="U310" s="628"/>
      <c r="V310" s="628"/>
      <c r="W310" s="628"/>
      <c r="X310" s="628"/>
      <c r="Y310" s="628"/>
      <c r="Z310" s="628"/>
      <c r="AA310" s="65"/>
      <c r="AB310" s="65"/>
      <c r="AC310" s="79"/>
    </row>
    <row r="311" spans="1:68" ht="14.25" customHeight="1" x14ac:dyDescent="0.25">
      <c r="A311" s="612" t="s">
        <v>128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66"/>
      <c r="AB311" s="66"/>
      <c r="AC311" s="80"/>
    </row>
    <row r="312" spans="1:68" ht="27" customHeight="1" x14ac:dyDescent="0.25">
      <c r="A312" s="63" t="s">
        <v>517</v>
      </c>
      <c r="B312" s="63" t="s">
        <v>518</v>
      </c>
      <c r="C312" s="36">
        <v>4301011855</v>
      </c>
      <c r="D312" s="613">
        <v>4680115885837</v>
      </c>
      <c r="E312" s="61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7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5"/>
      <c r="R312" s="615"/>
      <c r="S312" s="615"/>
      <c r="T312" s="616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13">
        <v>4680115887237</v>
      </c>
      <c r="E313" s="61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7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5"/>
      <c r="R313" s="615"/>
      <c r="S313" s="615"/>
      <c r="T313" s="6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13">
        <v>4680115885806</v>
      </c>
      <c r="E314" s="61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7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5"/>
      <c r="R314" s="615"/>
      <c r="S314" s="615"/>
      <c r="T314" s="6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4301011852</v>
      </c>
      <c r="D315" s="613">
        <v>4680115885844</v>
      </c>
      <c r="E315" s="61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5"/>
      <c r="R315" s="615"/>
      <c r="S315" s="615"/>
      <c r="T315" s="6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customHeight="1" x14ac:dyDescent="0.25">
      <c r="A316" s="63" t="s">
        <v>529</v>
      </c>
      <c r="B316" s="63" t="s">
        <v>530</v>
      </c>
      <c r="C316" s="36">
        <v>4301011851</v>
      </c>
      <c r="D316" s="613">
        <v>4680115885820</v>
      </c>
      <c r="E316" s="61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5"/>
      <c r="R316" s="615"/>
      <c r="S316" s="615"/>
      <c r="T316" s="6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5">
      <c r="A317" s="620"/>
      <c r="B317" s="620"/>
      <c r="C317" s="620"/>
      <c r="D317" s="620"/>
      <c r="E317" s="620"/>
      <c r="F317" s="620"/>
      <c r="G317" s="620"/>
      <c r="H317" s="620"/>
      <c r="I317" s="620"/>
      <c r="J317" s="620"/>
      <c r="K317" s="620"/>
      <c r="L317" s="620"/>
      <c r="M317" s="620"/>
      <c r="N317" s="620"/>
      <c r="O317" s="621"/>
      <c r="P317" s="617" t="s">
        <v>40</v>
      </c>
      <c r="Q317" s="618"/>
      <c r="R317" s="618"/>
      <c r="S317" s="618"/>
      <c r="T317" s="618"/>
      <c r="U317" s="618"/>
      <c r="V317" s="619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5">
      <c r="A318" s="620"/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1"/>
      <c r="P318" s="617" t="s">
        <v>40</v>
      </c>
      <c r="Q318" s="618"/>
      <c r="R318" s="618"/>
      <c r="S318" s="618"/>
      <c r="T318" s="618"/>
      <c r="U318" s="618"/>
      <c r="V318" s="619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customHeight="1" x14ac:dyDescent="0.25">
      <c r="A319" s="628" t="s">
        <v>532</v>
      </c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8"/>
      <c r="V319" s="628"/>
      <c r="W319" s="628"/>
      <c r="X319" s="628"/>
      <c r="Y319" s="628"/>
      <c r="Z319" s="628"/>
      <c r="AA319" s="65"/>
      <c r="AB319" s="65"/>
      <c r="AC319" s="79"/>
    </row>
    <row r="320" spans="1:68" ht="14.25" customHeight="1" x14ac:dyDescent="0.25">
      <c r="A320" s="612" t="s">
        <v>86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4301051893</v>
      </c>
      <c r="D321" s="613">
        <v>4680115886186</v>
      </c>
      <c r="E321" s="613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72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5"/>
      <c r="R321" s="615"/>
      <c r="S321" s="615"/>
      <c r="T321" s="61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13">
        <v>4680115881228</v>
      </c>
      <c r="E322" s="613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72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5"/>
      <c r="R322" s="615"/>
      <c r="S322" s="615"/>
      <c r="T322" s="61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4301051388</v>
      </c>
      <c r="D323" s="613">
        <v>4680115881211</v>
      </c>
      <c r="E323" s="613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7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5"/>
      <c r="R323" s="615"/>
      <c r="S323" s="615"/>
      <c r="T323" s="61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5">
      <c r="A324" s="620"/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1"/>
      <c r="P324" s="617" t="s">
        <v>40</v>
      </c>
      <c r="Q324" s="618"/>
      <c r="R324" s="618"/>
      <c r="S324" s="618"/>
      <c r="T324" s="618"/>
      <c r="U324" s="618"/>
      <c r="V324" s="61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5">
      <c r="A325" s="620"/>
      <c r="B325" s="620"/>
      <c r="C325" s="620"/>
      <c r="D325" s="620"/>
      <c r="E325" s="620"/>
      <c r="F325" s="620"/>
      <c r="G325" s="620"/>
      <c r="H325" s="620"/>
      <c r="I325" s="620"/>
      <c r="J325" s="620"/>
      <c r="K325" s="620"/>
      <c r="L325" s="620"/>
      <c r="M325" s="620"/>
      <c r="N325" s="620"/>
      <c r="O325" s="621"/>
      <c r="P325" s="617" t="s">
        <v>40</v>
      </c>
      <c r="Q325" s="618"/>
      <c r="R325" s="618"/>
      <c r="S325" s="618"/>
      <c r="T325" s="618"/>
      <c r="U325" s="618"/>
      <c r="V325" s="61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customHeight="1" x14ac:dyDescent="0.25">
      <c r="A326" s="628" t="s">
        <v>541</v>
      </c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8"/>
      <c r="P326" s="628"/>
      <c r="Q326" s="628"/>
      <c r="R326" s="628"/>
      <c r="S326" s="628"/>
      <c r="T326" s="628"/>
      <c r="U326" s="628"/>
      <c r="V326" s="628"/>
      <c r="W326" s="628"/>
      <c r="X326" s="628"/>
      <c r="Y326" s="628"/>
      <c r="Z326" s="628"/>
      <c r="AA326" s="65"/>
      <c r="AB326" s="65"/>
      <c r="AC326" s="79"/>
    </row>
    <row r="327" spans="1:68" ht="14.25" customHeight="1" x14ac:dyDescent="0.25">
      <c r="A327" s="612" t="s">
        <v>77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4301031445</v>
      </c>
      <c r="D328" s="613">
        <v>4680115888319</v>
      </c>
      <c r="E328" s="613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72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5"/>
      <c r="R328" s="615"/>
      <c r="S328" s="615"/>
      <c r="T328" s="6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4301031502</v>
      </c>
      <c r="D329" s="613">
        <v>4680115884700</v>
      </c>
      <c r="E329" s="613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72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5"/>
      <c r="R329" s="615"/>
      <c r="S329" s="615"/>
      <c r="T329" s="61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4301031307</v>
      </c>
      <c r="D330" s="613">
        <v>4680115880344</v>
      </c>
      <c r="E330" s="613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72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5"/>
      <c r="R330" s="615"/>
      <c r="S330" s="615"/>
      <c r="T330" s="61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550</v>
      </c>
      <c r="B331" s="63" t="s">
        <v>551</v>
      </c>
      <c r="C331" s="36">
        <v>4301031501</v>
      </c>
      <c r="D331" s="613">
        <v>4680115886919</v>
      </c>
      <c r="E331" s="613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7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5"/>
      <c r="R331" s="615"/>
      <c r="S331" s="615"/>
      <c r="T331" s="61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553</v>
      </c>
      <c r="B332" s="63" t="s">
        <v>554</v>
      </c>
      <c r="C332" s="36">
        <v>4301031246</v>
      </c>
      <c r="D332" s="613">
        <v>4680115883970</v>
      </c>
      <c r="E332" s="613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71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5"/>
      <c r="R332" s="615"/>
      <c r="S332" s="615"/>
      <c r="T332" s="6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5">
      <c r="A333" s="620"/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1"/>
      <c r="P333" s="617" t="s">
        <v>40</v>
      </c>
      <c r="Q333" s="618"/>
      <c r="R333" s="618"/>
      <c r="S333" s="618"/>
      <c r="T333" s="618"/>
      <c r="U333" s="618"/>
      <c r="V333" s="619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5">
      <c r="A334" s="620"/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1"/>
      <c r="P334" s="617" t="s">
        <v>40</v>
      </c>
      <c r="Q334" s="618"/>
      <c r="R334" s="618"/>
      <c r="S334" s="618"/>
      <c r="T334" s="618"/>
      <c r="U334" s="618"/>
      <c r="V334" s="619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customHeight="1" x14ac:dyDescent="0.25">
      <c r="A335" s="612" t="s">
        <v>86</v>
      </c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2"/>
      <c r="P335" s="612"/>
      <c r="Q335" s="612"/>
      <c r="R335" s="612"/>
      <c r="S335" s="612"/>
      <c r="T335" s="612"/>
      <c r="U335" s="612"/>
      <c r="V335" s="612"/>
      <c r="W335" s="612"/>
      <c r="X335" s="612"/>
      <c r="Y335" s="612"/>
      <c r="Z335" s="612"/>
      <c r="AA335" s="66"/>
      <c r="AB335" s="66"/>
      <c r="AC335" s="80"/>
    </row>
    <row r="336" spans="1:68" ht="27" customHeight="1" x14ac:dyDescent="0.25">
      <c r="A336" s="63" t="s">
        <v>556</v>
      </c>
      <c r="B336" s="63" t="s">
        <v>557</v>
      </c>
      <c r="C336" s="36">
        <v>4301051782</v>
      </c>
      <c r="D336" s="613">
        <v>4680115884618</v>
      </c>
      <c r="E336" s="613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72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5"/>
      <c r="R336" s="615"/>
      <c r="S336" s="615"/>
      <c r="T336" s="61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4301052057</v>
      </c>
      <c r="D337" s="613">
        <v>4680115887114</v>
      </c>
      <c r="E337" s="613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72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5"/>
      <c r="R337" s="615"/>
      <c r="S337" s="615"/>
      <c r="T337" s="61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5">
      <c r="A338" s="620"/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1"/>
      <c r="P338" s="617" t="s">
        <v>40</v>
      </c>
      <c r="Q338" s="618"/>
      <c r="R338" s="618"/>
      <c r="S338" s="618"/>
      <c r="T338" s="618"/>
      <c r="U338" s="618"/>
      <c r="V338" s="619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x14ac:dyDescent="0.25">
      <c r="A339" s="620"/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1"/>
      <c r="P339" s="617" t="s">
        <v>40</v>
      </c>
      <c r="Q339" s="618"/>
      <c r="R339" s="618"/>
      <c r="S339" s="618"/>
      <c r="T339" s="618"/>
      <c r="U339" s="618"/>
      <c r="V339" s="619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customHeight="1" x14ac:dyDescent="0.25">
      <c r="A340" s="628" t="s">
        <v>562</v>
      </c>
      <c r="B340" s="628"/>
      <c r="C340" s="628"/>
      <c r="D340" s="628"/>
      <c r="E340" s="628"/>
      <c r="F340" s="628"/>
      <c r="G340" s="628"/>
      <c r="H340" s="628"/>
      <c r="I340" s="628"/>
      <c r="J340" s="628"/>
      <c r="K340" s="628"/>
      <c r="L340" s="628"/>
      <c r="M340" s="628"/>
      <c r="N340" s="628"/>
      <c r="O340" s="628"/>
      <c r="P340" s="628"/>
      <c r="Q340" s="628"/>
      <c r="R340" s="628"/>
      <c r="S340" s="628"/>
      <c r="T340" s="628"/>
      <c r="U340" s="628"/>
      <c r="V340" s="628"/>
      <c r="W340" s="628"/>
      <c r="X340" s="628"/>
      <c r="Y340" s="628"/>
      <c r="Z340" s="628"/>
      <c r="AA340" s="65"/>
      <c r="AB340" s="65"/>
      <c r="AC340" s="79"/>
    </row>
    <row r="341" spans="1:68" ht="14.25" customHeight="1" x14ac:dyDescent="0.25">
      <c r="A341" s="612" t="s">
        <v>128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13">
        <v>4680115887947</v>
      </c>
      <c r="E342" s="613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7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5"/>
      <c r="R342" s="615"/>
      <c r="S342" s="615"/>
      <c r="T342" s="6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13">
        <v>4680115887978</v>
      </c>
      <c r="E343" s="613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7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5"/>
      <c r="R343" s="615"/>
      <c r="S343" s="615"/>
      <c r="T343" s="6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13">
        <v>4680115887992</v>
      </c>
      <c r="E344" s="613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71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5"/>
      <c r="R344" s="615"/>
      <c r="S344" s="615"/>
      <c r="T344" s="6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5">
      <c r="A345" s="620"/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1"/>
      <c r="P345" s="617" t="s">
        <v>40</v>
      </c>
      <c r="Q345" s="618"/>
      <c r="R345" s="618"/>
      <c r="S345" s="618"/>
      <c r="T345" s="618"/>
      <c r="U345" s="618"/>
      <c r="V345" s="619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5">
      <c r="A346" s="620"/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1"/>
      <c r="P346" s="617" t="s">
        <v>40</v>
      </c>
      <c r="Q346" s="618"/>
      <c r="R346" s="618"/>
      <c r="S346" s="618"/>
      <c r="T346" s="618"/>
      <c r="U346" s="618"/>
      <c r="V346" s="619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28" t="s">
        <v>572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customHeight="1" x14ac:dyDescent="0.25">
      <c r="A348" s="612" t="s">
        <v>128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4301012126</v>
      </c>
      <c r="D349" s="613">
        <v>4607091386004</v>
      </c>
      <c r="E349" s="613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71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15"/>
      <c r="R349" s="615"/>
      <c r="S349" s="615"/>
      <c r="T349" s="616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4301012235</v>
      </c>
      <c r="D350" s="613">
        <v>4680115887190</v>
      </c>
      <c r="E350" s="613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5"/>
      <c r="R350" s="615"/>
      <c r="S350" s="615"/>
      <c r="T350" s="616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customHeight="1" x14ac:dyDescent="0.25">
      <c r="A351" s="63" t="s">
        <v>579</v>
      </c>
      <c r="B351" s="63" t="s">
        <v>580</v>
      </c>
      <c r="C351" s="36">
        <v>4301012233</v>
      </c>
      <c r="D351" s="613">
        <v>4680115887138</v>
      </c>
      <c r="E351" s="613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5"/>
      <c r="R351" s="615"/>
      <c r="S351" s="615"/>
      <c r="T351" s="616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4301012016</v>
      </c>
      <c r="D352" s="613">
        <v>4680115885554</v>
      </c>
      <c r="E352" s="613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71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5"/>
      <c r="R352" s="615"/>
      <c r="S352" s="615"/>
      <c r="T352" s="616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customHeight="1" x14ac:dyDescent="0.25">
      <c r="A353" s="63" t="s">
        <v>585</v>
      </c>
      <c r="B353" s="63" t="s">
        <v>586</v>
      </c>
      <c r="C353" s="36">
        <v>4301012236</v>
      </c>
      <c r="D353" s="613">
        <v>4680115887220</v>
      </c>
      <c r="E353" s="61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7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5"/>
      <c r="R353" s="615"/>
      <c r="S353" s="615"/>
      <c r="T353" s="616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4301011859</v>
      </c>
      <c r="D354" s="613">
        <v>4680115885608</v>
      </c>
      <c r="E354" s="61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7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5"/>
      <c r="R354" s="615"/>
      <c r="S354" s="615"/>
      <c r="T354" s="616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x14ac:dyDescent="0.25">
      <c r="A355" s="620"/>
      <c r="B355" s="620"/>
      <c r="C355" s="620"/>
      <c r="D355" s="620"/>
      <c r="E355" s="620"/>
      <c r="F355" s="620"/>
      <c r="G355" s="620"/>
      <c r="H355" s="620"/>
      <c r="I355" s="620"/>
      <c r="J355" s="620"/>
      <c r="K355" s="620"/>
      <c r="L355" s="620"/>
      <c r="M355" s="620"/>
      <c r="N355" s="620"/>
      <c r="O355" s="621"/>
      <c r="P355" s="617" t="s">
        <v>40</v>
      </c>
      <c r="Q355" s="618"/>
      <c r="R355" s="618"/>
      <c r="S355" s="618"/>
      <c r="T355" s="618"/>
      <c r="U355" s="618"/>
      <c r="V355" s="619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20"/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1"/>
      <c r="P356" s="617" t="s">
        <v>40</v>
      </c>
      <c r="Q356" s="618"/>
      <c r="R356" s="618"/>
      <c r="S356" s="618"/>
      <c r="T356" s="618"/>
      <c r="U356" s="618"/>
      <c r="V356" s="619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customHeight="1" x14ac:dyDescent="0.25">
      <c r="A357" s="612" t="s">
        <v>77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4301030878</v>
      </c>
      <c r="D358" s="613">
        <v>4607091387193</v>
      </c>
      <c r="E358" s="613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5"/>
      <c r="R358" s="615"/>
      <c r="S358" s="615"/>
      <c r="T358" s="616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customHeight="1" x14ac:dyDescent="0.25">
      <c r="A359" s="63" t="s">
        <v>593</v>
      </c>
      <c r="B359" s="63" t="s">
        <v>594</v>
      </c>
      <c r="C359" s="36">
        <v>4301031153</v>
      </c>
      <c r="D359" s="613">
        <v>4607091387230</v>
      </c>
      <c r="E359" s="613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7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5"/>
      <c r="R359" s="615"/>
      <c r="S359" s="615"/>
      <c r="T359" s="61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customHeight="1" x14ac:dyDescent="0.25">
      <c r="A360" s="63" t="s">
        <v>596</v>
      </c>
      <c r="B360" s="63" t="s">
        <v>597</v>
      </c>
      <c r="C360" s="36">
        <v>4301031154</v>
      </c>
      <c r="D360" s="613">
        <v>4607091387292</v>
      </c>
      <c r="E360" s="61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7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5"/>
      <c r="R360" s="615"/>
      <c r="S360" s="615"/>
      <c r="T360" s="61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4301031152</v>
      </c>
      <c r="D361" s="613">
        <v>4607091387285</v>
      </c>
      <c r="E361" s="613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70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5"/>
      <c r="R361" s="615"/>
      <c r="S361" s="615"/>
      <c r="T361" s="61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customHeight="1" x14ac:dyDescent="0.25">
      <c r="A362" s="63" t="s">
        <v>601</v>
      </c>
      <c r="B362" s="63" t="s">
        <v>602</v>
      </c>
      <c r="C362" s="36">
        <v>4301031305</v>
      </c>
      <c r="D362" s="613">
        <v>4607091389845</v>
      </c>
      <c r="E362" s="613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70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5"/>
      <c r="R362" s="615"/>
      <c r="S362" s="615"/>
      <c r="T362" s="61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4301031460</v>
      </c>
      <c r="D363" s="613">
        <v>4680115887442</v>
      </c>
      <c r="E363" s="613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70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5"/>
      <c r="R363" s="615"/>
      <c r="S363" s="615"/>
      <c r="T363" s="61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606</v>
      </c>
      <c r="B364" s="63" t="s">
        <v>607</v>
      </c>
      <c r="C364" s="36">
        <v>4301031066</v>
      </c>
      <c r="D364" s="613">
        <v>4607091383836</v>
      </c>
      <c r="E364" s="613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70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5"/>
      <c r="R364" s="615"/>
      <c r="S364" s="615"/>
      <c r="T364" s="61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x14ac:dyDescent="0.25">
      <c r="A365" s="620"/>
      <c r="B365" s="620"/>
      <c r="C365" s="620"/>
      <c r="D365" s="620"/>
      <c r="E365" s="620"/>
      <c r="F365" s="620"/>
      <c r="G365" s="620"/>
      <c r="H365" s="620"/>
      <c r="I365" s="620"/>
      <c r="J365" s="620"/>
      <c r="K365" s="620"/>
      <c r="L365" s="620"/>
      <c r="M365" s="620"/>
      <c r="N365" s="620"/>
      <c r="O365" s="621"/>
      <c r="P365" s="617" t="s">
        <v>40</v>
      </c>
      <c r="Q365" s="618"/>
      <c r="R365" s="618"/>
      <c r="S365" s="618"/>
      <c r="T365" s="618"/>
      <c r="U365" s="618"/>
      <c r="V365" s="619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5">
      <c r="A366" s="620"/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1"/>
      <c r="P366" s="617" t="s">
        <v>40</v>
      </c>
      <c r="Q366" s="618"/>
      <c r="R366" s="618"/>
      <c r="S366" s="618"/>
      <c r="T366" s="618"/>
      <c r="U366" s="618"/>
      <c r="V366" s="619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12" t="s">
        <v>86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66"/>
      <c r="AB367" s="66"/>
      <c r="AC367" s="80"/>
    </row>
    <row r="368" spans="1:68" ht="27" customHeight="1" x14ac:dyDescent="0.25">
      <c r="A368" s="63" t="s">
        <v>609</v>
      </c>
      <c r="B368" s="63" t="s">
        <v>610</v>
      </c>
      <c r="C368" s="36">
        <v>4301051100</v>
      </c>
      <c r="D368" s="613">
        <v>4607091387766</v>
      </c>
      <c r="E368" s="613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6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5"/>
      <c r="R368" s="615"/>
      <c r="S368" s="615"/>
      <c r="T368" s="61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4301051818</v>
      </c>
      <c r="D369" s="613">
        <v>4607091387957</v>
      </c>
      <c r="E369" s="613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7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5"/>
      <c r="R369" s="615"/>
      <c r="S369" s="615"/>
      <c r="T369" s="61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4301051819</v>
      </c>
      <c r="D370" s="613">
        <v>4607091387964</v>
      </c>
      <c r="E370" s="613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5"/>
      <c r="R370" s="615"/>
      <c r="S370" s="615"/>
      <c r="T370" s="61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4301051734</v>
      </c>
      <c r="D371" s="613">
        <v>4680115884588</v>
      </c>
      <c r="E371" s="613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5"/>
      <c r="R371" s="615"/>
      <c r="S371" s="615"/>
      <c r="T371" s="616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5">
      <c r="A372" s="620"/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1"/>
      <c r="P372" s="617" t="s">
        <v>40</v>
      </c>
      <c r="Q372" s="618"/>
      <c r="R372" s="618"/>
      <c r="S372" s="618"/>
      <c r="T372" s="618"/>
      <c r="U372" s="618"/>
      <c r="V372" s="619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5">
      <c r="A373" s="620"/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1"/>
      <c r="P373" s="617" t="s">
        <v>40</v>
      </c>
      <c r="Q373" s="618"/>
      <c r="R373" s="618"/>
      <c r="S373" s="618"/>
      <c r="T373" s="618"/>
      <c r="U373" s="618"/>
      <c r="V373" s="619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12" t="s">
        <v>180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66"/>
      <c r="AB374" s="66"/>
      <c r="AC374" s="80"/>
    </row>
    <row r="375" spans="1:68" ht="27" customHeight="1" x14ac:dyDescent="0.25">
      <c r="A375" s="63" t="s">
        <v>620</v>
      </c>
      <c r="B375" s="63" t="s">
        <v>621</v>
      </c>
      <c r="C375" s="36">
        <v>4301060387</v>
      </c>
      <c r="D375" s="613">
        <v>4607091380880</v>
      </c>
      <c r="E375" s="613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6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5"/>
      <c r="R375" s="615"/>
      <c r="S375" s="615"/>
      <c r="T375" s="616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13">
        <v>4607091384482</v>
      </c>
      <c r="E376" s="613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6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5"/>
      <c r="R376" s="615"/>
      <c r="S376" s="615"/>
      <c r="T376" s="616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customHeight="1" x14ac:dyDescent="0.25">
      <c r="A377" s="63" t="s">
        <v>626</v>
      </c>
      <c r="B377" s="63" t="s">
        <v>627</v>
      </c>
      <c r="C377" s="36">
        <v>4301060484</v>
      </c>
      <c r="D377" s="613">
        <v>4607091380897</v>
      </c>
      <c r="E377" s="613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6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5"/>
      <c r="R377" s="615"/>
      <c r="S377" s="615"/>
      <c r="T377" s="61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5">
      <c r="A378" s="620"/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1"/>
      <c r="P378" s="617" t="s">
        <v>40</v>
      </c>
      <c r="Q378" s="618"/>
      <c r="R378" s="618"/>
      <c r="S378" s="618"/>
      <c r="T378" s="618"/>
      <c r="U378" s="618"/>
      <c r="V378" s="619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x14ac:dyDescent="0.25">
      <c r="A379" s="620"/>
      <c r="B379" s="620"/>
      <c r="C379" s="620"/>
      <c r="D379" s="620"/>
      <c r="E379" s="620"/>
      <c r="F379" s="620"/>
      <c r="G379" s="620"/>
      <c r="H379" s="620"/>
      <c r="I379" s="620"/>
      <c r="J379" s="620"/>
      <c r="K379" s="620"/>
      <c r="L379" s="620"/>
      <c r="M379" s="620"/>
      <c r="N379" s="620"/>
      <c r="O379" s="621"/>
      <c r="P379" s="617" t="s">
        <v>40</v>
      </c>
      <c r="Q379" s="618"/>
      <c r="R379" s="618"/>
      <c r="S379" s="618"/>
      <c r="T379" s="618"/>
      <c r="U379" s="618"/>
      <c r="V379" s="619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customHeight="1" x14ac:dyDescent="0.25">
      <c r="A380" s="612" t="s">
        <v>107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4301030235</v>
      </c>
      <c r="D381" s="613">
        <v>4607091388381</v>
      </c>
      <c r="E381" s="613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6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5"/>
      <c r="R381" s="615"/>
      <c r="S381" s="615"/>
      <c r="T381" s="6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4301030232</v>
      </c>
      <c r="D382" s="613">
        <v>4607091388374</v>
      </c>
      <c r="E382" s="613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5"/>
      <c r="R382" s="615"/>
      <c r="S382" s="615"/>
      <c r="T382" s="6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634</v>
      </c>
      <c r="B383" s="63" t="s">
        <v>635</v>
      </c>
      <c r="C383" s="36">
        <v>4301032015</v>
      </c>
      <c r="D383" s="613">
        <v>4607091383102</v>
      </c>
      <c r="E383" s="613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6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5"/>
      <c r="R383" s="615"/>
      <c r="S383" s="615"/>
      <c r="T383" s="61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636</v>
      </c>
      <c r="B384" s="63" t="s">
        <v>637</v>
      </c>
      <c r="C384" s="36">
        <v>4301030233</v>
      </c>
      <c r="D384" s="613">
        <v>4607091388404</v>
      </c>
      <c r="E384" s="613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5"/>
      <c r="R384" s="615"/>
      <c r="S384" s="615"/>
      <c r="T384" s="61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5">
      <c r="A385" s="620"/>
      <c r="B385" s="620"/>
      <c r="C385" s="620"/>
      <c r="D385" s="620"/>
      <c r="E385" s="620"/>
      <c r="F385" s="620"/>
      <c r="G385" s="620"/>
      <c r="H385" s="620"/>
      <c r="I385" s="620"/>
      <c r="J385" s="620"/>
      <c r="K385" s="620"/>
      <c r="L385" s="620"/>
      <c r="M385" s="620"/>
      <c r="N385" s="620"/>
      <c r="O385" s="621"/>
      <c r="P385" s="617" t="s">
        <v>40</v>
      </c>
      <c r="Q385" s="618"/>
      <c r="R385" s="618"/>
      <c r="S385" s="618"/>
      <c r="T385" s="618"/>
      <c r="U385" s="618"/>
      <c r="V385" s="619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5">
      <c r="A386" s="620"/>
      <c r="B386" s="620"/>
      <c r="C386" s="620"/>
      <c r="D386" s="620"/>
      <c r="E386" s="620"/>
      <c r="F386" s="620"/>
      <c r="G386" s="620"/>
      <c r="H386" s="620"/>
      <c r="I386" s="620"/>
      <c r="J386" s="620"/>
      <c r="K386" s="620"/>
      <c r="L386" s="620"/>
      <c r="M386" s="620"/>
      <c r="N386" s="620"/>
      <c r="O386" s="621"/>
      <c r="P386" s="617" t="s">
        <v>40</v>
      </c>
      <c r="Q386" s="618"/>
      <c r="R386" s="618"/>
      <c r="S386" s="618"/>
      <c r="T386" s="618"/>
      <c r="U386" s="618"/>
      <c r="V386" s="619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12" t="s">
        <v>638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66"/>
      <c r="AB387" s="66"/>
      <c r="AC387" s="80"/>
    </row>
    <row r="388" spans="1:68" ht="16.5" customHeight="1" x14ac:dyDescent="0.25">
      <c r="A388" s="63" t="s">
        <v>639</v>
      </c>
      <c r="B388" s="63" t="s">
        <v>640</v>
      </c>
      <c r="C388" s="36">
        <v>4301180007</v>
      </c>
      <c r="D388" s="613">
        <v>4680115881808</v>
      </c>
      <c r="E388" s="613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5"/>
      <c r="R388" s="615"/>
      <c r="S388" s="615"/>
      <c r="T388" s="6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643</v>
      </c>
      <c r="B389" s="63" t="s">
        <v>644</v>
      </c>
      <c r="C389" s="36">
        <v>4301180006</v>
      </c>
      <c r="D389" s="613">
        <v>4680115881822</v>
      </c>
      <c r="E389" s="613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5"/>
      <c r="R389" s="615"/>
      <c r="S389" s="615"/>
      <c r="T389" s="6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645</v>
      </c>
      <c r="B390" s="63" t="s">
        <v>646</v>
      </c>
      <c r="C390" s="36">
        <v>4301180001</v>
      </c>
      <c r="D390" s="613">
        <v>4680115880016</v>
      </c>
      <c r="E390" s="613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6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5"/>
      <c r="R390" s="615"/>
      <c r="S390" s="615"/>
      <c r="T390" s="6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5">
      <c r="A391" s="620"/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1"/>
      <c r="P391" s="617" t="s">
        <v>40</v>
      </c>
      <c r="Q391" s="618"/>
      <c r="R391" s="618"/>
      <c r="S391" s="618"/>
      <c r="T391" s="618"/>
      <c r="U391" s="618"/>
      <c r="V391" s="619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5">
      <c r="A392" s="620"/>
      <c r="B392" s="620"/>
      <c r="C392" s="620"/>
      <c r="D392" s="620"/>
      <c r="E392" s="620"/>
      <c r="F392" s="620"/>
      <c r="G392" s="620"/>
      <c r="H392" s="620"/>
      <c r="I392" s="620"/>
      <c r="J392" s="620"/>
      <c r="K392" s="620"/>
      <c r="L392" s="620"/>
      <c r="M392" s="620"/>
      <c r="N392" s="620"/>
      <c r="O392" s="621"/>
      <c r="P392" s="617" t="s">
        <v>40</v>
      </c>
      <c r="Q392" s="618"/>
      <c r="R392" s="618"/>
      <c r="S392" s="618"/>
      <c r="T392" s="618"/>
      <c r="U392" s="618"/>
      <c r="V392" s="619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28" t="s">
        <v>647</v>
      </c>
      <c r="B393" s="628"/>
      <c r="C393" s="628"/>
      <c r="D393" s="628"/>
      <c r="E393" s="628"/>
      <c r="F393" s="628"/>
      <c r="G393" s="628"/>
      <c r="H393" s="628"/>
      <c r="I393" s="628"/>
      <c r="J393" s="628"/>
      <c r="K393" s="628"/>
      <c r="L393" s="628"/>
      <c r="M393" s="628"/>
      <c r="N393" s="628"/>
      <c r="O393" s="628"/>
      <c r="P393" s="628"/>
      <c r="Q393" s="628"/>
      <c r="R393" s="628"/>
      <c r="S393" s="628"/>
      <c r="T393" s="628"/>
      <c r="U393" s="628"/>
      <c r="V393" s="628"/>
      <c r="W393" s="628"/>
      <c r="X393" s="628"/>
      <c r="Y393" s="628"/>
      <c r="Z393" s="628"/>
      <c r="AA393" s="65"/>
      <c r="AB393" s="65"/>
      <c r="AC393" s="79"/>
    </row>
    <row r="394" spans="1:68" ht="14.25" customHeight="1" x14ac:dyDescent="0.25">
      <c r="A394" s="612" t="s">
        <v>86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66"/>
      <c r="AB394" s="66"/>
      <c r="AC394" s="80"/>
    </row>
    <row r="395" spans="1:68" ht="27" customHeight="1" x14ac:dyDescent="0.25">
      <c r="A395" s="63" t="s">
        <v>648</v>
      </c>
      <c r="B395" s="63" t="s">
        <v>649</v>
      </c>
      <c r="C395" s="36">
        <v>4301051489</v>
      </c>
      <c r="D395" s="613">
        <v>4607091387919</v>
      </c>
      <c r="E395" s="613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5"/>
      <c r="R395" s="615"/>
      <c r="S395" s="615"/>
      <c r="T395" s="6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651</v>
      </c>
      <c r="B396" s="63" t="s">
        <v>652</v>
      </c>
      <c r="C396" s="36">
        <v>4301051461</v>
      </c>
      <c r="D396" s="613">
        <v>4680115883604</v>
      </c>
      <c r="E396" s="613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6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5"/>
      <c r="R396" s="615"/>
      <c r="S396" s="615"/>
      <c r="T396" s="61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654</v>
      </c>
      <c r="B397" s="63" t="s">
        <v>655</v>
      </c>
      <c r="C397" s="36">
        <v>4301051864</v>
      </c>
      <c r="D397" s="613">
        <v>4680115883567</v>
      </c>
      <c r="E397" s="613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68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5"/>
      <c r="R397" s="615"/>
      <c r="S397" s="615"/>
      <c r="T397" s="61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5">
      <c r="A398" s="620"/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1"/>
      <c r="P398" s="617" t="s">
        <v>40</v>
      </c>
      <c r="Q398" s="618"/>
      <c r="R398" s="618"/>
      <c r="S398" s="618"/>
      <c r="T398" s="618"/>
      <c r="U398" s="618"/>
      <c r="V398" s="619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5">
      <c r="A399" s="620"/>
      <c r="B399" s="620"/>
      <c r="C399" s="620"/>
      <c r="D399" s="620"/>
      <c r="E399" s="620"/>
      <c r="F399" s="620"/>
      <c r="G399" s="620"/>
      <c r="H399" s="620"/>
      <c r="I399" s="620"/>
      <c r="J399" s="620"/>
      <c r="K399" s="620"/>
      <c r="L399" s="620"/>
      <c r="M399" s="620"/>
      <c r="N399" s="620"/>
      <c r="O399" s="621"/>
      <c r="P399" s="617" t="s">
        <v>40</v>
      </c>
      <c r="Q399" s="618"/>
      <c r="R399" s="618"/>
      <c r="S399" s="618"/>
      <c r="T399" s="618"/>
      <c r="U399" s="618"/>
      <c r="V399" s="619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customHeight="1" x14ac:dyDescent="0.25">
      <c r="A400" s="633" t="s">
        <v>657</v>
      </c>
      <c r="B400" s="633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3"/>
      <c r="P400" s="633"/>
      <c r="Q400" s="633"/>
      <c r="R400" s="633"/>
      <c r="S400" s="633"/>
      <c r="T400" s="633"/>
      <c r="U400" s="633"/>
      <c r="V400" s="633"/>
      <c r="W400" s="633"/>
      <c r="X400" s="633"/>
      <c r="Y400" s="633"/>
      <c r="Z400" s="633"/>
      <c r="AA400" s="54"/>
      <c r="AB400" s="54"/>
      <c r="AC400" s="54"/>
    </row>
    <row r="401" spans="1:68" ht="16.5" customHeight="1" x14ac:dyDescent="0.25">
      <c r="A401" s="628" t="s">
        <v>658</v>
      </c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8"/>
      <c r="P401" s="628"/>
      <c r="Q401" s="628"/>
      <c r="R401" s="628"/>
      <c r="S401" s="628"/>
      <c r="T401" s="628"/>
      <c r="U401" s="628"/>
      <c r="V401" s="628"/>
      <c r="W401" s="628"/>
      <c r="X401" s="628"/>
      <c r="Y401" s="628"/>
      <c r="Z401" s="628"/>
      <c r="AA401" s="65"/>
      <c r="AB401" s="65"/>
      <c r="AC401" s="79"/>
    </row>
    <row r="402" spans="1:68" ht="14.25" customHeight="1" x14ac:dyDescent="0.25">
      <c r="A402" s="612" t="s">
        <v>128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66"/>
      <c r="AB402" s="66"/>
      <c r="AC402" s="80"/>
    </row>
    <row r="403" spans="1:68" ht="27" customHeight="1" x14ac:dyDescent="0.25">
      <c r="A403" s="63" t="s">
        <v>659</v>
      </c>
      <c r="B403" s="63" t="s">
        <v>660</v>
      </c>
      <c r="C403" s="36">
        <v>4301012332</v>
      </c>
      <c r="D403" s="613">
        <v>4680115888401</v>
      </c>
      <c r="E403" s="61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5"/>
      <c r="R403" s="615"/>
      <c r="S403" s="615"/>
      <c r="T403" s="616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662</v>
      </c>
      <c r="B404" s="63" t="s">
        <v>663</v>
      </c>
      <c r="C404" s="36">
        <v>4301011869</v>
      </c>
      <c r="D404" s="613">
        <v>4680115884847</v>
      </c>
      <c r="E404" s="61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5"/>
      <c r="R404" s="615"/>
      <c r="S404" s="615"/>
      <c r="T404" s="616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13">
        <v>4680115884854</v>
      </c>
      <c r="E405" s="613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68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5"/>
      <c r="R405" s="615"/>
      <c r="S405" s="615"/>
      <c r="T405" s="616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668</v>
      </c>
      <c r="B406" s="63" t="s">
        <v>669</v>
      </c>
      <c r="C406" s="36">
        <v>4301011867</v>
      </c>
      <c r="D406" s="613">
        <v>4680115884830</v>
      </c>
      <c r="E406" s="613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6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5"/>
      <c r="R406" s="615"/>
      <c r="S406" s="615"/>
      <c r="T406" s="61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27" customHeight="1" x14ac:dyDescent="0.25">
      <c r="A407" s="63" t="s">
        <v>671</v>
      </c>
      <c r="B407" s="63" t="s">
        <v>672</v>
      </c>
      <c r="C407" s="36">
        <v>4301012356</v>
      </c>
      <c r="D407" s="613">
        <v>4680115889231</v>
      </c>
      <c r="E407" s="613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67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15"/>
      <c r="R407" s="615"/>
      <c r="S407" s="615"/>
      <c r="T407" s="616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customHeight="1" x14ac:dyDescent="0.25">
      <c r="A408" s="63" t="s">
        <v>674</v>
      </c>
      <c r="B408" s="63" t="s">
        <v>675</v>
      </c>
      <c r="C408" s="36">
        <v>4301011433</v>
      </c>
      <c r="D408" s="613">
        <v>4680115882638</v>
      </c>
      <c r="E408" s="613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6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5"/>
      <c r="R408" s="615"/>
      <c r="S408" s="615"/>
      <c r="T408" s="616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677</v>
      </c>
      <c r="B409" s="63" t="s">
        <v>678</v>
      </c>
      <c r="C409" s="36">
        <v>4301011952</v>
      </c>
      <c r="D409" s="613">
        <v>4680115884922</v>
      </c>
      <c r="E409" s="613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6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5"/>
      <c r="R409" s="615"/>
      <c r="S409" s="615"/>
      <c r="T409" s="61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customHeight="1" x14ac:dyDescent="0.25">
      <c r="A410" s="63" t="s">
        <v>680</v>
      </c>
      <c r="B410" s="63" t="s">
        <v>681</v>
      </c>
      <c r="C410" s="36">
        <v>4301011868</v>
      </c>
      <c r="D410" s="613">
        <v>4680115884861</v>
      </c>
      <c r="E410" s="613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68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5"/>
      <c r="R410" s="615"/>
      <c r="S410" s="615"/>
      <c r="T410" s="616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5">
      <c r="A411" s="620"/>
      <c r="B411" s="620"/>
      <c r="C411" s="620"/>
      <c r="D411" s="620"/>
      <c r="E411" s="620"/>
      <c r="F411" s="620"/>
      <c r="G411" s="620"/>
      <c r="H411" s="620"/>
      <c r="I411" s="620"/>
      <c r="J411" s="620"/>
      <c r="K411" s="620"/>
      <c r="L411" s="620"/>
      <c r="M411" s="620"/>
      <c r="N411" s="620"/>
      <c r="O411" s="621"/>
      <c r="P411" s="617" t="s">
        <v>40</v>
      </c>
      <c r="Q411" s="618"/>
      <c r="R411" s="618"/>
      <c r="S411" s="618"/>
      <c r="T411" s="618"/>
      <c r="U411" s="618"/>
      <c r="V411" s="619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0</v>
      </c>
      <c r="Y411" s="43">
        <f>IFERROR(Y403/H403,"0")+IFERROR(Y404/H404,"0")+IFERROR(Y405/H405,"0")+IFERROR(Y406/H406,"0")+IFERROR(Y407/H407,"0")+IFERROR(Y408/H408,"0")+IFERROR(Y409/H409,"0")+IFERROR(Y410/H410,"0")</f>
        <v>0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5">
      <c r="A412" s="620"/>
      <c r="B412" s="620"/>
      <c r="C412" s="620"/>
      <c r="D412" s="620"/>
      <c r="E412" s="620"/>
      <c r="F412" s="620"/>
      <c r="G412" s="620"/>
      <c r="H412" s="620"/>
      <c r="I412" s="620"/>
      <c r="J412" s="620"/>
      <c r="K412" s="620"/>
      <c r="L412" s="620"/>
      <c r="M412" s="620"/>
      <c r="N412" s="620"/>
      <c r="O412" s="621"/>
      <c r="P412" s="617" t="s">
        <v>40</v>
      </c>
      <c r="Q412" s="618"/>
      <c r="R412" s="618"/>
      <c r="S412" s="618"/>
      <c r="T412" s="618"/>
      <c r="U412" s="618"/>
      <c r="V412" s="619"/>
      <c r="W412" s="42" t="s">
        <v>0</v>
      </c>
      <c r="X412" s="43">
        <f>IFERROR(SUM(X403:X410),"0")</f>
        <v>0</v>
      </c>
      <c r="Y412" s="43">
        <f>IFERROR(SUM(Y403:Y410),"0")</f>
        <v>0</v>
      </c>
      <c r="Z412" s="42"/>
      <c r="AA412" s="67"/>
      <c r="AB412" s="67"/>
      <c r="AC412" s="67"/>
    </row>
    <row r="413" spans="1:68" ht="14.25" customHeight="1" x14ac:dyDescent="0.25">
      <c r="A413" s="612" t="s">
        <v>163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13">
        <v>4607091383980</v>
      </c>
      <c r="E414" s="613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6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5"/>
      <c r="R414" s="615"/>
      <c r="S414" s="615"/>
      <c r="T414" s="616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686</v>
      </c>
      <c r="B415" s="63" t="s">
        <v>687</v>
      </c>
      <c r="C415" s="36">
        <v>4301020355</v>
      </c>
      <c r="D415" s="613">
        <v>4680115888425</v>
      </c>
      <c r="E415" s="613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6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5"/>
      <c r="R415" s="615"/>
      <c r="S415" s="615"/>
      <c r="T415" s="6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689</v>
      </c>
      <c r="B416" s="63" t="s">
        <v>690</v>
      </c>
      <c r="C416" s="36">
        <v>4301020179</v>
      </c>
      <c r="D416" s="613">
        <v>4607091384178</v>
      </c>
      <c r="E416" s="613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5"/>
      <c r="R416" s="615"/>
      <c r="S416" s="615"/>
      <c r="T416" s="6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5">
      <c r="A417" s="620"/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1"/>
      <c r="P417" s="617" t="s">
        <v>40</v>
      </c>
      <c r="Q417" s="618"/>
      <c r="R417" s="618"/>
      <c r="S417" s="618"/>
      <c r="T417" s="618"/>
      <c r="U417" s="618"/>
      <c r="V417" s="619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5">
      <c r="A418" s="620"/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1"/>
      <c r="P418" s="617" t="s">
        <v>40</v>
      </c>
      <c r="Q418" s="618"/>
      <c r="R418" s="618"/>
      <c r="S418" s="618"/>
      <c r="T418" s="618"/>
      <c r="U418" s="618"/>
      <c r="V418" s="619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4.25" customHeight="1" x14ac:dyDescent="0.25">
      <c r="A419" s="612" t="s">
        <v>86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66"/>
      <c r="AB419" s="66"/>
      <c r="AC419" s="80"/>
    </row>
    <row r="420" spans="1:68" ht="27" customHeight="1" x14ac:dyDescent="0.25">
      <c r="A420" s="63" t="s">
        <v>692</v>
      </c>
      <c r="B420" s="63" t="s">
        <v>693</v>
      </c>
      <c r="C420" s="36">
        <v>4301051903</v>
      </c>
      <c r="D420" s="613">
        <v>4607091383928</v>
      </c>
      <c r="E420" s="613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6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5"/>
      <c r="R420" s="615"/>
      <c r="S420" s="615"/>
      <c r="T420" s="6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695</v>
      </c>
      <c r="B421" s="63" t="s">
        <v>696</v>
      </c>
      <c r="C421" s="36">
        <v>4301051897</v>
      </c>
      <c r="D421" s="613">
        <v>4607091384260</v>
      </c>
      <c r="E421" s="613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6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5"/>
      <c r="R421" s="615"/>
      <c r="S421" s="615"/>
      <c r="T421" s="61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5">
      <c r="A422" s="620"/>
      <c r="B422" s="620"/>
      <c r="C422" s="620"/>
      <c r="D422" s="620"/>
      <c r="E422" s="620"/>
      <c r="F422" s="620"/>
      <c r="G422" s="620"/>
      <c r="H422" s="620"/>
      <c r="I422" s="620"/>
      <c r="J422" s="620"/>
      <c r="K422" s="620"/>
      <c r="L422" s="620"/>
      <c r="M422" s="620"/>
      <c r="N422" s="620"/>
      <c r="O422" s="621"/>
      <c r="P422" s="617" t="s">
        <v>40</v>
      </c>
      <c r="Q422" s="618"/>
      <c r="R422" s="618"/>
      <c r="S422" s="618"/>
      <c r="T422" s="618"/>
      <c r="U422" s="618"/>
      <c r="V422" s="619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5">
      <c r="A423" s="620"/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1"/>
      <c r="P423" s="617" t="s">
        <v>40</v>
      </c>
      <c r="Q423" s="618"/>
      <c r="R423" s="618"/>
      <c r="S423" s="618"/>
      <c r="T423" s="618"/>
      <c r="U423" s="618"/>
      <c r="V423" s="619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12" t="s">
        <v>180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66"/>
      <c r="AB424" s="66"/>
      <c r="AC424" s="80"/>
    </row>
    <row r="425" spans="1:68" ht="16.5" customHeight="1" x14ac:dyDescent="0.25">
      <c r="A425" s="63" t="s">
        <v>698</v>
      </c>
      <c r="B425" s="63" t="s">
        <v>699</v>
      </c>
      <c r="C425" s="36">
        <v>4301060524</v>
      </c>
      <c r="D425" s="613">
        <v>4607091384673</v>
      </c>
      <c r="E425" s="613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6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5"/>
      <c r="R425" s="615"/>
      <c r="S425" s="615"/>
      <c r="T425" s="6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5">
      <c r="A426" s="620"/>
      <c r="B426" s="620"/>
      <c r="C426" s="620"/>
      <c r="D426" s="620"/>
      <c r="E426" s="620"/>
      <c r="F426" s="620"/>
      <c r="G426" s="620"/>
      <c r="H426" s="620"/>
      <c r="I426" s="620"/>
      <c r="J426" s="620"/>
      <c r="K426" s="620"/>
      <c r="L426" s="620"/>
      <c r="M426" s="620"/>
      <c r="N426" s="620"/>
      <c r="O426" s="621"/>
      <c r="P426" s="617" t="s">
        <v>40</v>
      </c>
      <c r="Q426" s="618"/>
      <c r="R426" s="618"/>
      <c r="S426" s="618"/>
      <c r="T426" s="618"/>
      <c r="U426" s="618"/>
      <c r="V426" s="619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5">
      <c r="A427" s="620"/>
      <c r="B427" s="620"/>
      <c r="C427" s="620"/>
      <c r="D427" s="620"/>
      <c r="E427" s="620"/>
      <c r="F427" s="620"/>
      <c r="G427" s="620"/>
      <c r="H427" s="620"/>
      <c r="I427" s="620"/>
      <c r="J427" s="620"/>
      <c r="K427" s="620"/>
      <c r="L427" s="620"/>
      <c r="M427" s="620"/>
      <c r="N427" s="620"/>
      <c r="O427" s="621"/>
      <c r="P427" s="617" t="s">
        <v>40</v>
      </c>
      <c r="Q427" s="618"/>
      <c r="R427" s="618"/>
      <c r="S427" s="618"/>
      <c r="T427" s="618"/>
      <c r="U427" s="618"/>
      <c r="V427" s="619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28" t="s">
        <v>701</v>
      </c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8"/>
      <c r="P428" s="628"/>
      <c r="Q428" s="628"/>
      <c r="R428" s="628"/>
      <c r="S428" s="628"/>
      <c r="T428" s="628"/>
      <c r="U428" s="628"/>
      <c r="V428" s="628"/>
      <c r="W428" s="628"/>
      <c r="X428" s="628"/>
      <c r="Y428" s="628"/>
      <c r="Z428" s="628"/>
      <c r="AA428" s="65"/>
      <c r="AB428" s="65"/>
      <c r="AC428" s="79"/>
    </row>
    <row r="429" spans="1:68" ht="14.25" customHeight="1" x14ac:dyDescent="0.25">
      <c r="A429" s="612" t="s">
        <v>128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66"/>
      <c r="AB429" s="66"/>
      <c r="AC429" s="80"/>
    </row>
    <row r="430" spans="1:68" ht="27" customHeight="1" x14ac:dyDescent="0.25">
      <c r="A430" s="63" t="s">
        <v>702</v>
      </c>
      <c r="B430" s="63" t="s">
        <v>703</v>
      </c>
      <c r="C430" s="36">
        <v>4301011875</v>
      </c>
      <c r="D430" s="613">
        <v>4680115884885</v>
      </c>
      <c r="E430" s="613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6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5"/>
      <c r="R430" s="615"/>
      <c r="S430" s="615"/>
      <c r="T430" s="61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705</v>
      </c>
      <c r="B431" s="63" t="s">
        <v>706</v>
      </c>
      <c r="C431" s="36">
        <v>4301011871</v>
      </c>
      <c r="D431" s="613">
        <v>4680115884908</v>
      </c>
      <c r="E431" s="6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5"/>
      <c r="R431" s="615"/>
      <c r="S431" s="615"/>
      <c r="T431" s="61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5">
      <c r="A432" s="620"/>
      <c r="B432" s="620"/>
      <c r="C432" s="620"/>
      <c r="D432" s="620"/>
      <c r="E432" s="620"/>
      <c r="F432" s="620"/>
      <c r="G432" s="620"/>
      <c r="H432" s="620"/>
      <c r="I432" s="620"/>
      <c r="J432" s="620"/>
      <c r="K432" s="620"/>
      <c r="L432" s="620"/>
      <c r="M432" s="620"/>
      <c r="N432" s="620"/>
      <c r="O432" s="621"/>
      <c r="P432" s="617" t="s">
        <v>40</v>
      </c>
      <c r="Q432" s="618"/>
      <c r="R432" s="618"/>
      <c r="S432" s="618"/>
      <c r="T432" s="618"/>
      <c r="U432" s="618"/>
      <c r="V432" s="619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5">
      <c r="A433" s="620"/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1"/>
      <c r="P433" s="617" t="s">
        <v>40</v>
      </c>
      <c r="Q433" s="618"/>
      <c r="R433" s="618"/>
      <c r="S433" s="618"/>
      <c r="T433" s="618"/>
      <c r="U433" s="618"/>
      <c r="V433" s="619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12" t="s">
        <v>77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66"/>
      <c r="AB434" s="66"/>
      <c r="AC434" s="80"/>
    </row>
    <row r="435" spans="1:68" ht="27" customHeight="1" x14ac:dyDescent="0.25">
      <c r="A435" s="63" t="s">
        <v>707</v>
      </c>
      <c r="B435" s="63" t="s">
        <v>708</v>
      </c>
      <c r="C435" s="36">
        <v>4301031457</v>
      </c>
      <c r="D435" s="613">
        <v>4607091384802</v>
      </c>
      <c r="E435" s="613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6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5"/>
      <c r="R435" s="615"/>
      <c r="S435" s="615"/>
      <c r="T435" s="616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5">
      <c r="A436" s="620"/>
      <c r="B436" s="620"/>
      <c r="C436" s="620"/>
      <c r="D436" s="620"/>
      <c r="E436" s="620"/>
      <c r="F436" s="620"/>
      <c r="G436" s="620"/>
      <c r="H436" s="620"/>
      <c r="I436" s="620"/>
      <c r="J436" s="620"/>
      <c r="K436" s="620"/>
      <c r="L436" s="620"/>
      <c r="M436" s="620"/>
      <c r="N436" s="620"/>
      <c r="O436" s="621"/>
      <c r="P436" s="617" t="s">
        <v>40</v>
      </c>
      <c r="Q436" s="618"/>
      <c r="R436" s="618"/>
      <c r="S436" s="618"/>
      <c r="T436" s="618"/>
      <c r="U436" s="618"/>
      <c r="V436" s="619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5">
      <c r="A437" s="620"/>
      <c r="B437" s="620"/>
      <c r="C437" s="620"/>
      <c r="D437" s="620"/>
      <c r="E437" s="620"/>
      <c r="F437" s="620"/>
      <c r="G437" s="620"/>
      <c r="H437" s="620"/>
      <c r="I437" s="620"/>
      <c r="J437" s="620"/>
      <c r="K437" s="620"/>
      <c r="L437" s="620"/>
      <c r="M437" s="620"/>
      <c r="N437" s="620"/>
      <c r="O437" s="621"/>
      <c r="P437" s="617" t="s">
        <v>40</v>
      </c>
      <c r="Q437" s="618"/>
      <c r="R437" s="618"/>
      <c r="S437" s="618"/>
      <c r="T437" s="618"/>
      <c r="U437" s="618"/>
      <c r="V437" s="619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12" t="s">
        <v>86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66"/>
      <c r="AB438" s="66"/>
      <c r="AC438" s="80"/>
    </row>
    <row r="439" spans="1:68" ht="27" customHeight="1" x14ac:dyDescent="0.25">
      <c r="A439" s="63" t="s">
        <v>710</v>
      </c>
      <c r="B439" s="63" t="s">
        <v>711</v>
      </c>
      <c r="C439" s="36">
        <v>4301051899</v>
      </c>
      <c r="D439" s="613">
        <v>4607091384246</v>
      </c>
      <c r="E439" s="613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5"/>
      <c r="R439" s="615"/>
      <c r="S439" s="615"/>
      <c r="T439" s="6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713</v>
      </c>
      <c r="B440" s="63" t="s">
        <v>714</v>
      </c>
      <c r="C440" s="36">
        <v>4301051660</v>
      </c>
      <c r="D440" s="613">
        <v>4607091384253</v>
      </c>
      <c r="E440" s="613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5"/>
      <c r="R440" s="615"/>
      <c r="S440" s="615"/>
      <c r="T440" s="616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713</v>
      </c>
      <c r="B441" s="63" t="s">
        <v>715</v>
      </c>
      <c r="C441" s="36">
        <v>4301052069</v>
      </c>
      <c r="D441" s="613">
        <v>4607091384253</v>
      </c>
      <c r="E441" s="613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6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5"/>
      <c r="R441" s="615"/>
      <c r="S441" s="615"/>
      <c r="T441" s="61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5">
      <c r="A442" s="620"/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1"/>
      <c r="P442" s="617" t="s">
        <v>40</v>
      </c>
      <c r="Q442" s="618"/>
      <c r="R442" s="618"/>
      <c r="S442" s="618"/>
      <c r="T442" s="618"/>
      <c r="U442" s="618"/>
      <c r="V442" s="619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5">
      <c r="A443" s="620"/>
      <c r="B443" s="620"/>
      <c r="C443" s="620"/>
      <c r="D443" s="620"/>
      <c r="E443" s="620"/>
      <c r="F443" s="620"/>
      <c r="G443" s="620"/>
      <c r="H443" s="620"/>
      <c r="I443" s="620"/>
      <c r="J443" s="620"/>
      <c r="K443" s="620"/>
      <c r="L443" s="620"/>
      <c r="M443" s="620"/>
      <c r="N443" s="620"/>
      <c r="O443" s="621"/>
      <c r="P443" s="617" t="s">
        <v>40</v>
      </c>
      <c r="Q443" s="618"/>
      <c r="R443" s="618"/>
      <c r="S443" s="618"/>
      <c r="T443" s="618"/>
      <c r="U443" s="618"/>
      <c r="V443" s="619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customHeight="1" x14ac:dyDescent="0.25">
      <c r="A444" s="633" t="s">
        <v>717</v>
      </c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3"/>
      <c r="P444" s="633"/>
      <c r="Q444" s="633"/>
      <c r="R444" s="633"/>
      <c r="S444" s="633"/>
      <c r="T444" s="633"/>
      <c r="U444" s="633"/>
      <c r="V444" s="633"/>
      <c r="W444" s="633"/>
      <c r="X444" s="633"/>
      <c r="Y444" s="633"/>
      <c r="Z444" s="633"/>
      <c r="AA444" s="54"/>
      <c r="AB444" s="54"/>
      <c r="AC444" s="54"/>
    </row>
    <row r="445" spans="1:68" ht="16.5" customHeight="1" x14ac:dyDescent="0.25">
      <c r="A445" s="628" t="s">
        <v>718</v>
      </c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8"/>
      <c r="P445" s="628"/>
      <c r="Q445" s="628"/>
      <c r="R445" s="628"/>
      <c r="S445" s="628"/>
      <c r="T445" s="628"/>
      <c r="U445" s="628"/>
      <c r="V445" s="628"/>
      <c r="W445" s="628"/>
      <c r="X445" s="628"/>
      <c r="Y445" s="628"/>
      <c r="Z445" s="628"/>
      <c r="AA445" s="65"/>
      <c r="AB445" s="65"/>
      <c r="AC445" s="79"/>
    </row>
    <row r="446" spans="1:68" ht="14.25" customHeight="1" x14ac:dyDescent="0.25">
      <c r="A446" s="612" t="s">
        <v>77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66"/>
      <c r="AB446" s="66"/>
      <c r="AC446" s="80"/>
    </row>
    <row r="447" spans="1:68" ht="27" customHeight="1" x14ac:dyDescent="0.25">
      <c r="A447" s="63" t="s">
        <v>719</v>
      </c>
      <c r="B447" s="63" t="s">
        <v>720</v>
      </c>
      <c r="C447" s="36">
        <v>4301031405</v>
      </c>
      <c r="D447" s="613">
        <v>4680115886100</v>
      </c>
      <c r="E447" s="613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5"/>
      <c r="R447" s="615"/>
      <c r="S447" s="615"/>
      <c r="T447" s="61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customHeight="1" x14ac:dyDescent="0.25">
      <c r="A448" s="63" t="s">
        <v>722</v>
      </c>
      <c r="B448" s="63" t="s">
        <v>723</v>
      </c>
      <c r="C448" s="36">
        <v>4301031402</v>
      </c>
      <c r="D448" s="613">
        <v>4680115886124</v>
      </c>
      <c r="E448" s="613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6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5"/>
      <c r="R448" s="615"/>
      <c r="S448" s="615"/>
      <c r="T448" s="616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customHeight="1" x14ac:dyDescent="0.25">
      <c r="A449" s="63" t="s">
        <v>725</v>
      </c>
      <c r="B449" s="63" t="s">
        <v>726</v>
      </c>
      <c r="C449" s="36">
        <v>4301031362</v>
      </c>
      <c r="D449" s="613">
        <v>4607091384338</v>
      </c>
      <c r="E449" s="61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5"/>
      <c r="R449" s="615"/>
      <c r="S449" s="615"/>
      <c r="T449" s="61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customHeight="1" x14ac:dyDescent="0.25">
      <c r="A450" s="63" t="s">
        <v>727</v>
      </c>
      <c r="B450" s="63" t="s">
        <v>728</v>
      </c>
      <c r="C450" s="36">
        <v>4301031364</v>
      </c>
      <c r="D450" s="613">
        <v>4680115883161</v>
      </c>
      <c r="E450" s="613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66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5"/>
      <c r="R450" s="615"/>
      <c r="S450" s="615"/>
      <c r="T450" s="61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customHeight="1" x14ac:dyDescent="0.25">
      <c r="A451" s="63" t="s">
        <v>730</v>
      </c>
      <c r="B451" s="63" t="s">
        <v>731</v>
      </c>
      <c r="C451" s="36">
        <v>4301031358</v>
      </c>
      <c r="D451" s="613">
        <v>4607091389531</v>
      </c>
      <c r="E451" s="613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6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5"/>
      <c r="R451" s="615"/>
      <c r="S451" s="615"/>
      <c r="T451" s="61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customHeight="1" x14ac:dyDescent="0.25">
      <c r="A452" s="63" t="s">
        <v>733</v>
      </c>
      <c r="B452" s="63" t="s">
        <v>734</v>
      </c>
      <c r="C452" s="36">
        <v>4301031360</v>
      </c>
      <c r="D452" s="613">
        <v>4607091384345</v>
      </c>
      <c r="E452" s="613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6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5"/>
      <c r="R452" s="615"/>
      <c r="S452" s="615"/>
      <c r="T452" s="61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x14ac:dyDescent="0.25">
      <c r="A453" s="620"/>
      <c r="B453" s="620"/>
      <c r="C453" s="620"/>
      <c r="D453" s="620"/>
      <c r="E453" s="620"/>
      <c r="F453" s="620"/>
      <c r="G453" s="620"/>
      <c r="H453" s="620"/>
      <c r="I453" s="620"/>
      <c r="J453" s="620"/>
      <c r="K453" s="620"/>
      <c r="L453" s="620"/>
      <c r="M453" s="620"/>
      <c r="N453" s="620"/>
      <c r="O453" s="621"/>
      <c r="P453" s="617" t="s">
        <v>40</v>
      </c>
      <c r="Q453" s="618"/>
      <c r="R453" s="618"/>
      <c r="S453" s="618"/>
      <c r="T453" s="618"/>
      <c r="U453" s="618"/>
      <c r="V453" s="619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20"/>
      <c r="B454" s="620"/>
      <c r="C454" s="620"/>
      <c r="D454" s="620"/>
      <c r="E454" s="620"/>
      <c r="F454" s="620"/>
      <c r="G454" s="620"/>
      <c r="H454" s="620"/>
      <c r="I454" s="620"/>
      <c r="J454" s="620"/>
      <c r="K454" s="620"/>
      <c r="L454" s="620"/>
      <c r="M454" s="620"/>
      <c r="N454" s="620"/>
      <c r="O454" s="621"/>
      <c r="P454" s="617" t="s">
        <v>40</v>
      </c>
      <c r="Q454" s="618"/>
      <c r="R454" s="618"/>
      <c r="S454" s="618"/>
      <c r="T454" s="618"/>
      <c r="U454" s="618"/>
      <c r="V454" s="619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12" t="s">
        <v>86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66"/>
      <c r="AB455" s="66"/>
      <c r="AC455" s="80"/>
    </row>
    <row r="456" spans="1:68" ht="27" customHeight="1" x14ac:dyDescent="0.25">
      <c r="A456" s="63" t="s">
        <v>735</v>
      </c>
      <c r="B456" s="63" t="s">
        <v>736</v>
      </c>
      <c r="C456" s="36">
        <v>4301051284</v>
      </c>
      <c r="D456" s="613">
        <v>4607091384352</v>
      </c>
      <c r="E456" s="613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5"/>
      <c r="R456" s="615"/>
      <c r="S456" s="615"/>
      <c r="T456" s="6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738</v>
      </c>
      <c r="B457" s="63" t="s">
        <v>739</v>
      </c>
      <c r="C457" s="36">
        <v>4301051431</v>
      </c>
      <c r="D457" s="613">
        <v>4607091389654</v>
      </c>
      <c r="E457" s="613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6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5"/>
      <c r="R457" s="615"/>
      <c r="S457" s="615"/>
      <c r="T457" s="6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5">
      <c r="A458" s="620"/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1"/>
      <c r="P458" s="617" t="s">
        <v>40</v>
      </c>
      <c r="Q458" s="618"/>
      <c r="R458" s="618"/>
      <c r="S458" s="618"/>
      <c r="T458" s="618"/>
      <c r="U458" s="618"/>
      <c r="V458" s="61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5">
      <c r="A459" s="620"/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1"/>
      <c r="P459" s="617" t="s">
        <v>40</v>
      </c>
      <c r="Q459" s="618"/>
      <c r="R459" s="618"/>
      <c r="S459" s="618"/>
      <c r="T459" s="618"/>
      <c r="U459" s="618"/>
      <c r="V459" s="61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28" t="s">
        <v>741</v>
      </c>
      <c r="B460" s="628"/>
      <c r="C460" s="628"/>
      <c r="D460" s="628"/>
      <c r="E460" s="628"/>
      <c r="F460" s="628"/>
      <c r="G460" s="628"/>
      <c r="H460" s="628"/>
      <c r="I460" s="628"/>
      <c r="J460" s="628"/>
      <c r="K460" s="628"/>
      <c r="L460" s="628"/>
      <c r="M460" s="628"/>
      <c r="N460" s="628"/>
      <c r="O460" s="628"/>
      <c r="P460" s="628"/>
      <c r="Q460" s="628"/>
      <c r="R460" s="628"/>
      <c r="S460" s="628"/>
      <c r="T460" s="628"/>
      <c r="U460" s="628"/>
      <c r="V460" s="628"/>
      <c r="W460" s="628"/>
      <c r="X460" s="628"/>
      <c r="Y460" s="628"/>
      <c r="Z460" s="628"/>
      <c r="AA460" s="65"/>
      <c r="AB460" s="65"/>
      <c r="AC460" s="79"/>
    </row>
    <row r="461" spans="1:68" ht="14.25" customHeight="1" x14ac:dyDescent="0.25">
      <c r="A461" s="612" t="s">
        <v>163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66"/>
      <c r="AB461" s="66"/>
      <c r="AC461" s="80"/>
    </row>
    <row r="462" spans="1:68" ht="27" customHeight="1" x14ac:dyDescent="0.25">
      <c r="A462" s="63" t="s">
        <v>742</v>
      </c>
      <c r="B462" s="63" t="s">
        <v>743</v>
      </c>
      <c r="C462" s="36">
        <v>4301020416</v>
      </c>
      <c r="D462" s="613">
        <v>4680115885240</v>
      </c>
      <c r="E462" s="613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5"/>
      <c r="R462" s="615"/>
      <c r="S462" s="615"/>
      <c r="T462" s="6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5">
      <c r="A463" s="620"/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1"/>
      <c r="P463" s="617" t="s">
        <v>40</v>
      </c>
      <c r="Q463" s="618"/>
      <c r="R463" s="618"/>
      <c r="S463" s="618"/>
      <c r="T463" s="618"/>
      <c r="U463" s="618"/>
      <c r="V463" s="619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5">
      <c r="A464" s="620"/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1"/>
      <c r="P464" s="617" t="s">
        <v>40</v>
      </c>
      <c r="Q464" s="618"/>
      <c r="R464" s="618"/>
      <c r="S464" s="618"/>
      <c r="T464" s="618"/>
      <c r="U464" s="618"/>
      <c r="V464" s="619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12" t="s">
        <v>77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66"/>
      <c r="AB465" s="66"/>
      <c r="AC465" s="80"/>
    </row>
    <row r="466" spans="1:68" ht="27" customHeight="1" x14ac:dyDescent="0.25">
      <c r="A466" s="63" t="s">
        <v>745</v>
      </c>
      <c r="B466" s="63" t="s">
        <v>746</v>
      </c>
      <c r="C466" s="36">
        <v>4301031407</v>
      </c>
      <c r="D466" s="613">
        <v>4680115886094</v>
      </c>
      <c r="E466" s="613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6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5"/>
      <c r="R466" s="615"/>
      <c r="S466" s="615"/>
      <c r="T466" s="6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4301031373</v>
      </c>
      <c r="D467" s="613">
        <v>4680115880771</v>
      </c>
      <c r="E467" s="613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65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5"/>
      <c r="R467" s="615"/>
      <c r="S467" s="615"/>
      <c r="T467" s="61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751</v>
      </c>
      <c r="B468" s="63" t="s">
        <v>752</v>
      </c>
      <c r="C468" s="36">
        <v>4301031359</v>
      </c>
      <c r="D468" s="613">
        <v>4607091389500</v>
      </c>
      <c r="E468" s="613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5"/>
      <c r="R468" s="615"/>
      <c r="S468" s="615"/>
      <c r="T468" s="6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5">
      <c r="A469" s="620"/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1"/>
      <c r="P469" s="617" t="s">
        <v>40</v>
      </c>
      <c r="Q469" s="618"/>
      <c r="R469" s="618"/>
      <c r="S469" s="618"/>
      <c r="T469" s="618"/>
      <c r="U469" s="618"/>
      <c r="V469" s="61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5">
      <c r="A470" s="620"/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1"/>
      <c r="P470" s="617" t="s">
        <v>40</v>
      </c>
      <c r="Q470" s="618"/>
      <c r="R470" s="618"/>
      <c r="S470" s="618"/>
      <c r="T470" s="618"/>
      <c r="U470" s="618"/>
      <c r="V470" s="61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customHeight="1" x14ac:dyDescent="0.25">
      <c r="A471" s="633" t="s">
        <v>753</v>
      </c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3"/>
      <c r="P471" s="633"/>
      <c r="Q471" s="633"/>
      <c r="R471" s="633"/>
      <c r="S471" s="633"/>
      <c r="T471" s="633"/>
      <c r="U471" s="633"/>
      <c r="V471" s="633"/>
      <c r="W471" s="633"/>
      <c r="X471" s="633"/>
      <c r="Y471" s="633"/>
      <c r="Z471" s="633"/>
      <c r="AA471" s="54"/>
      <c r="AB471" s="54"/>
      <c r="AC471" s="54"/>
    </row>
    <row r="472" spans="1:68" ht="16.5" customHeight="1" x14ac:dyDescent="0.25">
      <c r="A472" s="628" t="s">
        <v>753</v>
      </c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8"/>
      <c r="P472" s="628"/>
      <c r="Q472" s="628"/>
      <c r="R472" s="628"/>
      <c r="S472" s="628"/>
      <c r="T472" s="628"/>
      <c r="U472" s="628"/>
      <c r="V472" s="628"/>
      <c r="W472" s="628"/>
      <c r="X472" s="628"/>
      <c r="Y472" s="628"/>
      <c r="Z472" s="628"/>
      <c r="AA472" s="65"/>
      <c r="AB472" s="65"/>
      <c r="AC472" s="79"/>
    </row>
    <row r="473" spans="1:68" ht="14.25" customHeight="1" x14ac:dyDescent="0.25">
      <c r="A473" s="612" t="s">
        <v>128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66"/>
      <c r="AB473" s="66"/>
      <c r="AC473" s="80"/>
    </row>
    <row r="474" spans="1:68" ht="27" customHeight="1" x14ac:dyDescent="0.25">
      <c r="A474" s="63" t="s">
        <v>754</v>
      </c>
      <c r="B474" s="63" t="s">
        <v>755</v>
      </c>
      <c r="C474" s="36">
        <v>4301011769</v>
      </c>
      <c r="D474" s="613">
        <v>4607091389067</v>
      </c>
      <c r="E474" s="61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6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5"/>
      <c r="R474" s="615"/>
      <c r="S474" s="615"/>
      <c r="T474" s="6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customHeight="1" x14ac:dyDescent="0.25">
      <c r="A475" s="63" t="s">
        <v>756</v>
      </c>
      <c r="B475" s="63" t="s">
        <v>757</v>
      </c>
      <c r="C475" s="36">
        <v>4301012210</v>
      </c>
      <c r="D475" s="613">
        <v>4607091383522</v>
      </c>
      <c r="E475" s="61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6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5"/>
      <c r="R475" s="615"/>
      <c r="S475" s="615"/>
      <c r="T475" s="6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4301011961</v>
      </c>
      <c r="D476" s="613">
        <v>4680115885271</v>
      </c>
      <c r="E476" s="61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6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5"/>
      <c r="R476" s="615"/>
      <c r="S476" s="615"/>
      <c r="T476" s="6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customHeight="1" x14ac:dyDescent="0.25">
      <c r="A477" s="63" t="s">
        <v>762</v>
      </c>
      <c r="B477" s="63" t="s">
        <v>763</v>
      </c>
      <c r="C477" s="36">
        <v>4301011369</v>
      </c>
      <c r="D477" s="613">
        <v>4680115885226</v>
      </c>
      <c r="E477" s="613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5"/>
      <c r="R477" s="615"/>
      <c r="S477" s="615"/>
      <c r="T477" s="6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 t="shared" si="68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16.5" customHeight="1" x14ac:dyDescent="0.25">
      <c r="A478" s="63" t="s">
        <v>765</v>
      </c>
      <c r="B478" s="63" t="s">
        <v>766</v>
      </c>
      <c r="C478" s="36">
        <v>4301011797</v>
      </c>
      <c r="D478" s="613">
        <v>4680115884502</v>
      </c>
      <c r="E478" s="613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5"/>
      <c r="R478" s="615"/>
      <c r="S478" s="615"/>
      <c r="T478" s="61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4301011771</v>
      </c>
      <c r="D479" s="613">
        <v>4607091389104</v>
      </c>
      <c r="E479" s="613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5"/>
      <c r="R479" s="615"/>
      <c r="S479" s="615"/>
      <c r="T479" s="61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771</v>
      </c>
      <c r="B480" s="63" t="s">
        <v>772</v>
      </c>
      <c r="C480" s="36">
        <v>4301012125</v>
      </c>
      <c r="D480" s="613">
        <v>4680115886391</v>
      </c>
      <c r="E480" s="613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5"/>
      <c r="R480" s="615"/>
      <c r="S480" s="615"/>
      <c r="T480" s="61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773</v>
      </c>
      <c r="B481" s="63" t="s">
        <v>774</v>
      </c>
      <c r="C481" s="36">
        <v>4301012048</v>
      </c>
      <c r="D481" s="613">
        <v>4680115880603</v>
      </c>
      <c r="E481" s="613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6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5"/>
      <c r="R481" s="615"/>
      <c r="S481" s="615"/>
      <c r="T481" s="61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customHeight="1" x14ac:dyDescent="0.25">
      <c r="A482" s="63" t="s">
        <v>775</v>
      </c>
      <c r="B482" s="63" t="s">
        <v>776</v>
      </c>
      <c r="C482" s="36">
        <v>4301012034</v>
      </c>
      <c r="D482" s="613">
        <v>4607091389982</v>
      </c>
      <c r="E482" s="613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6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5"/>
      <c r="R482" s="615"/>
      <c r="S482" s="615"/>
      <c r="T482" s="61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5">
      <c r="A483" s="620"/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1"/>
      <c r="P483" s="617" t="s">
        <v>40</v>
      </c>
      <c r="Q483" s="618"/>
      <c r="R483" s="618"/>
      <c r="S483" s="618"/>
      <c r="T483" s="618"/>
      <c r="U483" s="618"/>
      <c r="V483" s="619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0</v>
      </c>
      <c r="Y483" s="43">
        <f>IFERROR(Y474/H474,"0")+IFERROR(Y475/H475,"0")+IFERROR(Y476/H476,"0")+IFERROR(Y477/H477,"0")+IFERROR(Y478/H478,"0")+IFERROR(Y479/H479,"0")+IFERROR(Y480/H480,"0")+IFERROR(Y481/H481,"0")+IFERROR(Y482/H482,"0")</f>
        <v>0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5">
      <c r="A484" s="620"/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1"/>
      <c r="P484" s="617" t="s">
        <v>40</v>
      </c>
      <c r="Q484" s="618"/>
      <c r="R484" s="618"/>
      <c r="S484" s="618"/>
      <c r="T484" s="618"/>
      <c r="U484" s="618"/>
      <c r="V484" s="619"/>
      <c r="W484" s="42" t="s">
        <v>0</v>
      </c>
      <c r="X484" s="43">
        <f>IFERROR(SUM(X474:X482),"0")</f>
        <v>0</v>
      </c>
      <c r="Y484" s="43">
        <f>IFERROR(SUM(Y474:Y482),"0")</f>
        <v>0</v>
      </c>
      <c r="Z484" s="42"/>
      <c r="AA484" s="67"/>
      <c r="AB484" s="67"/>
      <c r="AC484" s="67"/>
    </row>
    <row r="485" spans="1:68" ht="14.25" customHeight="1" x14ac:dyDescent="0.25">
      <c r="A485" s="612" t="s">
        <v>163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13">
        <v>4607091388930</v>
      </c>
      <c r="E486" s="613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6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5"/>
      <c r="R486" s="615"/>
      <c r="S486" s="615"/>
      <c r="T486" s="61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IFERROR(IF(Y486=0,"",ROUNDUP(Y486/H486,0)*0.01196),"")</f>
        <v/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customHeight="1" x14ac:dyDescent="0.25">
      <c r="A487" s="63" t="s">
        <v>780</v>
      </c>
      <c r="B487" s="63" t="s">
        <v>781</v>
      </c>
      <c r="C487" s="36">
        <v>4301020374</v>
      </c>
      <c r="D487" s="613">
        <v>4680115886407</v>
      </c>
      <c r="E487" s="613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6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5"/>
      <c r="R487" s="615"/>
      <c r="S487" s="615"/>
      <c r="T487" s="6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782</v>
      </c>
      <c r="B488" s="63" t="s">
        <v>783</v>
      </c>
      <c r="C488" s="36">
        <v>4301020385</v>
      </c>
      <c r="D488" s="613">
        <v>4680115880054</v>
      </c>
      <c r="E488" s="613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6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5"/>
      <c r="R488" s="615"/>
      <c r="S488" s="615"/>
      <c r="T488" s="61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5">
      <c r="A489" s="620"/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1"/>
      <c r="P489" s="617" t="s">
        <v>40</v>
      </c>
      <c r="Q489" s="618"/>
      <c r="R489" s="618"/>
      <c r="S489" s="618"/>
      <c r="T489" s="618"/>
      <c r="U489" s="618"/>
      <c r="V489" s="619"/>
      <c r="W489" s="42" t="s">
        <v>39</v>
      </c>
      <c r="X489" s="43">
        <f>IFERROR(X486/H486,"0")+IFERROR(X487/H487,"0")+IFERROR(X488/H488,"0")</f>
        <v>0</v>
      </c>
      <c r="Y489" s="43">
        <f>IFERROR(Y486/H486,"0")+IFERROR(Y487/H487,"0")+IFERROR(Y488/H488,"0")</f>
        <v>0</v>
      </c>
      <c r="Z489" s="43">
        <f>IFERROR(IF(Z486="",0,Z486),"0")+IFERROR(IF(Z487="",0,Z487),"0")+IFERROR(IF(Z488="",0,Z488),"0")</f>
        <v>0</v>
      </c>
      <c r="AA489" s="67"/>
      <c r="AB489" s="67"/>
      <c r="AC489" s="67"/>
    </row>
    <row r="490" spans="1:68" x14ac:dyDescent="0.25">
      <c r="A490" s="620"/>
      <c r="B490" s="620"/>
      <c r="C490" s="620"/>
      <c r="D490" s="620"/>
      <c r="E490" s="620"/>
      <c r="F490" s="620"/>
      <c r="G490" s="620"/>
      <c r="H490" s="620"/>
      <c r="I490" s="620"/>
      <c r="J490" s="620"/>
      <c r="K490" s="620"/>
      <c r="L490" s="620"/>
      <c r="M490" s="620"/>
      <c r="N490" s="620"/>
      <c r="O490" s="621"/>
      <c r="P490" s="617" t="s">
        <v>40</v>
      </c>
      <c r="Q490" s="618"/>
      <c r="R490" s="618"/>
      <c r="S490" s="618"/>
      <c r="T490" s="618"/>
      <c r="U490" s="618"/>
      <c r="V490" s="619"/>
      <c r="W490" s="42" t="s">
        <v>0</v>
      </c>
      <c r="X490" s="43">
        <f>IFERROR(SUM(X486:X488),"0")</f>
        <v>0</v>
      </c>
      <c r="Y490" s="43">
        <f>IFERROR(SUM(Y486:Y488),"0")</f>
        <v>0</v>
      </c>
      <c r="Z490" s="42"/>
      <c r="AA490" s="67"/>
      <c r="AB490" s="67"/>
      <c r="AC490" s="67"/>
    </row>
    <row r="491" spans="1:68" ht="14.25" customHeight="1" x14ac:dyDescent="0.25">
      <c r="A491" s="612" t="s">
        <v>77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4301031349</v>
      </c>
      <c r="D492" s="613">
        <v>4680115883116</v>
      </c>
      <c r="E492" s="613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6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5"/>
      <c r="R492" s="615"/>
      <c r="S492" s="615"/>
      <c r="T492" s="616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7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0</v>
      </c>
      <c r="BN492" s="78">
        <f t="shared" ref="BN492:BN498" si="75">IFERROR(Y492*I492/H492,"0")</f>
        <v>0</v>
      </c>
      <c r="BO492" s="78">
        <f t="shared" ref="BO492:BO498" si="76">IFERROR(1/J492*(X492/H492),"0")</f>
        <v>0</v>
      </c>
      <c r="BP492" s="78">
        <f t="shared" ref="BP492:BP498" si="77">IFERROR(1/J492*(Y492/H492),"0")</f>
        <v>0</v>
      </c>
    </row>
    <row r="493" spans="1:68" ht="27" customHeight="1" x14ac:dyDescent="0.25">
      <c r="A493" s="63" t="s">
        <v>787</v>
      </c>
      <c r="B493" s="63" t="s">
        <v>788</v>
      </c>
      <c r="C493" s="36">
        <v>4301031350</v>
      </c>
      <c r="D493" s="613">
        <v>4680115883093</v>
      </c>
      <c r="E493" s="613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6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5"/>
      <c r="R493" s="615"/>
      <c r="S493" s="615"/>
      <c r="T493" s="61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790</v>
      </c>
      <c r="B494" s="63" t="s">
        <v>791</v>
      </c>
      <c r="C494" s="36">
        <v>4301031353</v>
      </c>
      <c r="D494" s="613">
        <v>4680115883109</v>
      </c>
      <c r="E494" s="613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6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5"/>
      <c r="R494" s="615"/>
      <c r="S494" s="615"/>
      <c r="T494" s="61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793</v>
      </c>
      <c r="B495" s="63" t="s">
        <v>794</v>
      </c>
      <c r="C495" s="36">
        <v>4301031419</v>
      </c>
      <c r="D495" s="613">
        <v>4680115882072</v>
      </c>
      <c r="E495" s="613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63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5"/>
      <c r="R495" s="615"/>
      <c r="S495" s="615"/>
      <c r="T495" s="616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4301031352</v>
      </c>
      <c r="D496" s="613">
        <v>4680115882102</v>
      </c>
      <c r="E496" s="613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63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5"/>
      <c r="R496" s="615"/>
      <c r="S496" s="615"/>
      <c r="T496" s="616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customHeight="1" x14ac:dyDescent="0.25">
      <c r="A497" s="63" t="s">
        <v>795</v>
      </c>
      <c r="B497" s="63" t="s">
        <v>797</v>
      </c>
      <c r="C497" s="36">
        <v>4301031418</v>
      </c>
      <c r="D497" s="613">
        <v>4680115882102</v>
      </c>
      <c r="E497" s="613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5"/>
      <c r="R497" s="615"/>
      <c r="S497" s="615"/>
      <c r="T497" s="616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4301031417</v>
      </c>
      <c r="D498" s="613">
        <v>4680115882096</v>
      </c>
      <c r="E498" s="613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63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5"/>
      <c r="R498" s="615"/>
      <c r="S498" s="615"/>
      <c r="T498" s="61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x14ac:dyDescent="0.25">
      <c r="A499" s="620"/>
      <c r="B499" s="620"/>
      <c r="C499" s="620"/>
      <c r="D499" s="620"/>
      <c r="E499" s="620"/>
      <c r="F499" s="620"/>
      <c r="G499" s="620"/>
      <c r="H499" s="620"/>
      <c r="I499" s="620"/>
      <c r="J499" s="620"/>
      <c r="K499" s="620"/>
      <c r="L499" s="620"/>
      <c r="M499" s="620"/>
      <c r="N499" s="620"/>
      <c r="O499" s="621"/>
      <c r="P499" s="617" t="s">
        <v>40</v>
      </c>
      <c r="Q499" s="618"/>
      <c r="R499" s="618"/>
      <c r="S499" s="618"/>
      <c r="T499" s="618"/>
      <c r="U499" s="618"/>
      <c r="V499" s="619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x14ac:dyDescent="0.25">
      <c r="A500" s="620"/>
      <c r="B500" s="620"/>
      <c r="C500" s="620"/>
      <c r="D500" s="620"/>
      <c r="E500" s="620"/>
      <c r="F500" s="620"/>
      <c r="G500" s="620"/>
      <c r="H500" s="620"/>
      <c r="I500" s="620"/>
      <c r="J500" s="620"/>
      <c r="K500" s="620"/>
      <c r="L500" s="620"/>
      <c r="M500" s="620"/>
      <c r="N500" s="620"/>
      <c r="O500" s="621"/>
      <c r="P500" s="617" t="s">
        <v>40</v>
      </c>
      <c r="Q500" s="618"/>
      <c r="R500" s="618"/>
      <c r="S500" s="618"/>
      <c r="T500" s="618"/>
      <c r="U500" s="618"/>
      <c r="V500" s="619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customHeight="1" x14ac:dyDescent="0.25">
      <c r="A501" s="633" t="s">
        <v>800</v>
      </c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3"/>
      <c r="P501" s="633"/>
      <c r="Q501" s="633"/>
      <c r="R501" s="633"/>
      <c r="S501" s="633"/>
      <c r="T501" s="633"/>
      <c r="U501" s="633"/>
      <c r="V501" s="633"/>
      <c r="W501" s="633"/>
      <c r="X501" s="633"/>
      <c r="Y501" s="633"/>
      <c r="Z501" s="633"/>
      <c r="AA501" s="54"/>
      <c r="AB501" s="54"/>
      <c r="AC501" s="54"/>
    </row>
    <row r="502" spans="1:68" ht="16.5" customHeight="1" x14ac:dyDescent="0.25">
      <c r="A502" s="628" t="s">
        <v>800</v>
      </c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5"/>
      <c r="AB502" s="65"/>
      <c r="AC502" s="79"/>
    </row>
    <row r="503" spans="1:68" ht="14.25" customHeight="1" x14ac:dyDescent="0.25">
      <c r="A503" s="612" t="s">
        <v>128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66"/>
      <c r="AB503" s="66"/>
      <c r="AC503" s="80"/>
    </row>
    <row r="504" spans="1:68" ht="27" customHeight="1" x14ac:dyDescent="0.25">
      <c r="A504" s="63" t="s">
        <v>801</v>
      </c>
      <c r="B504" s="63" t="s">
        <v>802</v>
      </c>
      <c r="C504" s="36">
        <v>4301011584</v>
      </c>
      <c r="D504" s="613">
        <v>4640242180564</v>
      </c>
      <c r="E504" s="613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63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5"/>
      <c r="R504" s="615"/>
      <c r="S504" s="615"/>
      <c r="T504" s="6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5">
      <c r="A505" s="620"/>
      <c r="B505" s="620"/>
      <c r="C505" s="620"/>
      <c r="D505" s="620"/>
      <c r="E505" s="620"/>
      <c r="F505" s="620"/>
      <c r="G505" s="620"/>
      <c r="H505" s="620"/>
      <c r="I505" s="620"/>
      <c r="J505" s="620"/>
      <c r="K505" s="620"/>
      <c r="L505" s="620"/>
      <c r="M505" s="620"/>
      <c r="N505" s="620"/>
      <c r="O505" s="621"/>
      <c r="P505" s="617" t="s">
        <v>40</v>
      </c>
      <c r="Q505" s="618"/>
      <c r="R505" s="618"/>
      <c r="S505" s="618"/>
      <c r="T505" s="618"/>
      <c r="U505" s="618"/>
      <c r="V505" s="619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5">
      <c r="A506" s="620"/>
      <c r="B506" s="620"/>
      <c r="C506" s="620"/>
      <c r="D506" s="620"/>
      <c r="E506" s="620"/>
      <c r="F506" s="620"/>
      <c r="G506" s="620"/>
      <c r="H506" s="620"/>
      <c r="I506" s="620"/>
      <c r="J506" s="620"/>
      <c r="K506" s="620"/>
      <c r="L506" s="620"/>
      <c r="M506" s="620"/>
      <c r="N506" s="620"/>
      <c r="O506" s="621"/>
      <c r="P506" s="617" t="s">
        <v>40</v>
      </c>
      <c r="Q506" s="618"/>
      <c r="R506" s="618"/>
      <c r="S506" s="618"/>
      <c r="T506" s="618"/>
      <c r="U506" s="618"/>
      <c r="V506" s="619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12" t="s">
        <v>163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66"/>
      <c r="AB507" s="66"/>
      <c r="AC507" s="80"/>
    </row>
    <row r="508" spans="1:68" ht="27" customHeight="1" x14ac:dyDescent="0.25">
      <c r="A508" s="63" t="s">
        <v>804</v>
      </c>
      <c r="B508" s="63" t="s">
        <v>805</v>
      </c>
      <c r="C508" s="36">
        <v>4301020400</v>
      </c>
      <c r="D508" s="613">
        <v>4640242180519</v>
      </c>
      <c r="E508" s="613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5"/>
      <c r="R508" s="615"/>
      <c r="S508" s="615"/>
      <c r="T508" s="616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5">
      <c r="A509" s="620"/>
      <c r="B509" s="620"/>
      <c r="C509" s="620"/>
      <c r="D509" s="620"/>
      <c r="E509" s="620"/>
      <c r="F509" s="620"/>
      <c r="G509" s="620"/>
      <c r="H509" s="620"/>
      <c r="I509" s="620"/>
      <c r="J509" s="620"/>
      <c r="K509" s="620"/>
      <c r="L509" s="620"/>
      <c r="M509" s="620"/>
      <c r="N509" s="620"/>
      <c r="O509" s="621"/>
      <c r="P509" s="617" t="s">
        <v>40</v>
      </c>
      <c r="Q509" s="618"/>
      <c r="R509" s="618"/>
      <c r="S509" s="618"/>
      <c r="T509" s="618"/>
      <c r="U509" s="618"/>
      <c r="V509" s="619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5">
      <c r="A510" s="620"/>
      <c r="B510" s="620"/>
      <c r="C510" s="620"/>
      <c r="D510" s="620"/>
      <c r="E510" s="620"/>
      <c r="F510" s="620"/>
      <c r="G510" s="620"/>
      <c r="H510" s="620"/>
      <c r="I510" s="620"/>
      <c r="J510" s="620"/>
      <c r="K510" s="620"/>
      <c r="L510" s="620"/>
      <c r="M510" s="620"/>
      <c r="N510" s="620"/>
      <c r="O510" s="621"/>
      <c r="P510" s="617" t="s">
        <v>40</v>
      </c>
      <c r="Q510" s="618"/>
      <c r="R510" s="618"/>
      <c r="S510" s="618"/>
      <c r="T510" s="618"/>
      <c r="U510" s="618"/>
      <c r="V510" s="619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12" t="s">
        <v>77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66"/>
      <c r="AB511" s="66"/>
      <c r="AC511" s="80"/>
    </row>
    <row r="512" spans="1:68" ht="27" customHeight="1" x14ac:dyDescent="0.25">
      <c r="A512" s="63" t="s">
        <v>807</v>
      </c>
      <c r="B512" s="63" t="s">
        <v>808</v>
      </c>
      <c r="C512" s="36">
        <v>4301031467</v>
      </c>
      <c r="D512" s="613">
        <v>4640242180595</v>
      </c>
      <c r="E512" s="613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6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5"/>
      <c r="R512" s="615"/>
      <c r="S512" s="615"/>
      <c r="T512" s="6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807</v>
      </c>
      <c r="B513" s="63" t="s">
        <v>810</v>
      </c>
      <c r="C513" s="36">
        <v>4301031500</v>
      </c>
      <c r="D513" s="613">
        <v>4640242180595</v>
      </c>
      <c r="E513" s="613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6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5"/>
      <c r="R513" s="615"/>
      <c r="S513" s="615"/>
      <c r="T513" s="6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5">
      <c r="A514" s="620"/>
      <c r="B514" s="620"/>
      <c r="C514" s="620"/>
      <c r="D514" s="620"/>
      <c r="E514" s="620"/>
      <c r="F514" s="620"/>
      <c r="G514" s="620"/>
      <c r="H514" s="620"/>
      <c r="I514" s="620"/>
      <c r="J514" s="620"/>
      <c r="K514" s="620"/>
      <c r="L514" s="620"/>
      <c r="M514" s="620"/>
      <c r="N514" s="620"/>
      <c r="O514" s="621"/>
      <c r="P514" s="617" t="s">
        <v>40</v>
      </c>
      <c r="Q514" s="618"/>
      <c r="R514" s="618"/>
      <c r="S514" s="618"/>
      <c r="T514" s="618"/>
      <c r="U514" s="618"/>
      <c r="V514" s="619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5">
      <c r="A515" s="620"/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1"/>
      <c r="P515" s="617" t="s">
        <v>40</v>
      </c>
      <c r="Q515" s="618"/>
      <c r="R515" s="618"/>
      <c r="S515" s="618"/>
      <c r="T515" s="618"/>
      <c r="U515" s="618"/>
      <c r="V515" s="619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12" t="s">
        <v>86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66"/>
      <c r="AB516" s="66"/>
      <c r="AC516" s="80"/>
    </row>
    <row r="517" spans="1:68" ht="27" customHeight="1" x14ac:dyDescent="0.25">
      <c r="A517" s="63" t="s">
        <v>812</v>
      </c>
      <c r="B517" s="63" t="s">
        <v>813</v>
      </c>
      <c r="C517" s="36">
        <v>4301052043</v>
      </c>
      <c r="D517" s="613">
        <v>4640242180533</v>
      </c>
      <c r="E517" s="613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5"/>
      <c r="R517" s="615"/>
      <c r="S517" s="615"/>
      <c r="T517" s="61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5">
      <c r="A518" s="620"/>
      <c r="B518" s="620"/>
      <c r="C518" s="620"/>
      <c r="D518" s="620"/>
      <c r="E518" s="620"/>
      <c r="F518" s="620"/>
      <c r="G518" s="620"/>
      <c r="H518" s="620"/>
      <c r="I518" s="620"/>
      <c r="J518" s="620"/>
      <c r="K518" s="620"/>
      <c r="L518" s="620"/>
      <c r="M518" s="620"/>
      <c r="N518" s="620"/>
      <c r="O518" s="621"/>
      <c r="P518" s="617" t="s">
        <v>40</v>
      </c>
      <c r="Q518" s="618"/>
      <c r="R518" s="618"/>
      <c r="S518" s="618"/>
      <c r="T518" s="618"/>
      <c r="U518" s="618"/>
      <c r="V518" s="619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x14ac:dyDescent="0.25">
      <c r="A519" s="620"/>
      <c r="B519" s="620"/>
      <c r="C519" s="620"/>
      <c r="D519" s="620"/>
      <c r="E519" s="620"/>
      <c r="F519" s="620"/>
      <c r="G519" s="620"/>
      <c r="H519" s="620"/>
      <c r="I519" s="620"/>
      <c r="J519" s="620"/>
      <c r="K519" s="620"/>
      <c r="L519" s="620"/>
      <c r="M519" s="620"/>
      <c r="N519" s="620"/>
      <c r="O519" s="621"/>
      <c r="P519" s="617" t="s">
        <v>40</v>
      </c>
      <c r="Q519" s="618"/>
      <c r="R519" s="618"/>
      <c r="S519" s="618"/>
      <c r="T519" s="618"/>
      <c r="U519" s="618"/>
      <c r="V519" s="619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customHeight="1" x14ac:dyDescent="0.25">
      <c r="A520" s="612" t="s">
        <v>180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66"/>
      <c r="AB520" s="66"/>
      <c r="AC520" s="80"/>
    </row>
    <row r="521" spans="1:68" ht="27" customHeight="1" x14ac:dyDescent="0.25">
      <c r="A521" s="63" t="s">
        <v>815</v>
      </c>
      <c r="B521" s="63" t="s">
        <v>816</v>
      </c>
      <c r="C521" s="36">
        <v>4301060535</v>
      </c>
      <c r="D521" s="613">
        <v>4640242180120</v>
      </c>
      <c r="E521" s="613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6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5"/>
      <c r="R521" s="615"/>
      <c r="S521" s="615"/>
      <c r="T521" s="61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818</v>
      </c>
      <c r="B522" s="63" t="s">
        <v>819</v>
      </c>
      <c r="C522" s="36">
        <v>4301060536</v>
      </c>
      <c r="D522" s="613">
        <v>4640242180137</v>
      </c>
      <c r="E522" s="613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6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5"/>
      <c r="R522" s="615"/>
      <c r="S522" s="615"/>
      <c r="T522" s="6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5">
      <c r="A523" s="620"/>
      <c r="B523" s="620"/>
      <c r="C523" s="620"/>
      <c r="D523" s="620"/>
      <c r="E523" s="620"/>
      <c r="F523" s="620"/>
      <c r="G523" s="620"/>
      <c r="H523" s="620"/>
      <c r="I523" s="620"/>
      <c r="J523" s="620"/>
      <c r="K523" s="620"/>
      <c r="L523" s="620"/>
      <c r="M523" s="620"/>
      <c r="N523" s="620"/>
      <c r="O523" s="621"/>
      <c r="P523" s="617" t="s">
        <v>40</v>
      </c>
      <c r="Q523" s="618"/>
      <c r="R523" s="618"/>
      <c r="S523" s="618"/>
      <c r="T523" s="618"/>
      <c r="U523" s="618"/>
      <c r="V523" s="619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5">
      <c r="A524" s="620"/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1"/>
      <c r="P524" s="617" t="s">
        <v>40</v>
      </c>
      <c r="Q524" s="618"/>
      <c r="R524" s="618"/>
      <c r="S524" s="618"/>
      <c r="T524" s="618"/>
      <c r="U524" s="618"/>
      <c r="V524" s="619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28" t="s">
        <v>821</v>
      </c>
      <c r="B525" s="628"/>
      <c r="C525" s="628"/>
      <c r="D525" s="628"/>
      <c r="E525" s="628"/>
      <c r="F525" s="628"/>
      <c r="G525" s="628"/>
      <c r="H525" s="628"/>
      <c r="I525" s="628"/>
      <c r="J525" s="628"/>
      <c r="K525" s="628"/>
      <c r="L525" s="628"/>
      <c r="M525" s="628"/>
      <c r="N525" s="628"/>
      <c r="O525" s="628"/>
      <c r="P525" s="628"/>
      <c r="Q525" s="628"/>
      <c r="R525" s="628"/>
      <c r="S525" s="628"/>
      <c r="T525" s="628"/>
      <c r="U525" s="628"/>
      <c r="V525" s="628"/>
      <c r="W525" s="628"/>
      <c r="X525" s="628"/>
      <c r="Y525" s="628"/>
      <c r="Z525" s="628"/>
      <c r="AA525" s="65"/>
      <c r="AB525" s="65"/>
      <c r="AC525" s="79"/>
    </row>
    <row r="526" spans="1:68" ht="14.25" customHeight="1" x14ac:dyDescent="0.25">
      <c r="A526" s="612" t="s">
        <v>163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66"/>
      <c r="AB526" s="66"/>
      <c r="AC526" s="80"/>
    </row>
    <row r="527" spans="1:68" ht="27" customHeight="1" x14ac:dyDescent="0.25">
      <c r="A527" s="63" t="s">
        <v>822</v>
      </c>
      <c r="B527" s="63" t="s">
        <v>823</v>
      </c>
      <c r="C527" s="36">
        <v>4301020428</v>
      </c>
      <c r="D527" s="613">
        <v>4640242180090</v>
      </c>
      <c r="E527" s="613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6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5"/>
      <c r="R527" s="615"/>
      <c r="S527" s="615"/>
      <c r="T527" s="616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5">
      <c r="A528" s="620"/>
      <c r="B528" s="620"/>
      <c r="C528" s="620"/>
      <c r="D528" s="620"/>
      <c r="E528" s="620"/>
      <c r="F528" s="620"/>
      <c r="G528" s="620"/>
      <c r="H528" s="620"/>
      <c r="I528" s="620"/>
      <c r="J528" s="620"/>
      <c r="K528" s="620"/>
      <c r="L528" s="620"/>
      <c r="M528" s="620"/>
      <c r="N528" s="620"/>
      <c r="O528" s="621"/>
      <c r="P528" s="617" t="s">
        <v>40</v>
      </c>
      <c r="Q528" s="618"/>
      <c r="R528" s="618"/>
      <c r="S528" s="618"/>
      <c r="T528" s="618"/>
      <c r="U528" s="618"/>
      <c r="V528" s="619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5">
      <c r="A529" s="620"/>
      <c r="B529" s="620"/>
      <c r="C529" s="620"/>
      <c r="D529" s="620"/>
      <c r="E529" s="620"/>
      <c r="F529" s="620"/>
      <c r="G529" s="620"/>
      <c r="H529" s="620"/>
      <c r="I529" s="620"/>
      <c r="J529" s="620"/>
      <c r="K529" s="620"/>
      <c r="L529" s="620"/>
      <c r="M529" s="620"/>
      <c r="N529" s="620"/>
      <c r="O529" s="621"/>
      <c r="P529" s="617" t="s">
        <v>40</v>
      </c>
      <c r="Q529" s="618"/>
      <c r="R529" s="618"/>
      <c r="S529" s="618"/>
      <c r="T529" s="618"/>
      <c r="U529" s="618"/>
      <c r="V529" s="619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5">
      <c r="A530" s="620"/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5"/>
      <c r="P530" s="622" t="s">
        <v>33</v>
      </c>
      <c r="Q530" s="623"/>
      <c r="R530" s="623"/>
      <c r="S530" s="623"/>
      <c r="T530" s="623"/>
      <c r="U530" s="623"/>
      <c r="V530" s="624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0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0</v>
      </c>
      <c r="Z530" s="42"/>
      <c r="AA530" s="67"/>
      <c r="AB530" s="67"/>
      <c r="AC530" s="67"/>
    </row>
    <row r="531" spans="1:32" x14ac:dyDescent="0.25">
      <c r="A531" s="620"/>
      <c r="B531" s="620"/>
      <c r="C531" s="620"/>
      <c r="D531" s="620"/>
      <c r="E531" s="620"/>
      <c r="F531" s="620"/>
      <c r="G531" s="620"/>
      <c r="H531" s="620"/>
      <c r="I531" s="620"/>
      <c r="J531" s="620"/>
      <c r="K531" s="620"/>
      <c r="L531" s="620"/>
      <c r="M531" s="620"/>
      <c r="N531" s="620"/>
      <c r="O531" s="625"/>
      <c r="P531" s="622" t="s">
        <v>34</v>
      </c>
      <c r="Q531" s="623"/>
      <c r="R531" s="623"/>
      <c r="S531" s="623"/>
      <c r="T531" s="623"/>
      <c r="U531" s="623"/>
      <c r="V531" s="624"/>
      <c r="W531" s="42" t="s">
        <v>0</v>
      </c>
      <c r="X531" s="43">
        <f>IFERROR(SUM(BM22:BM527),"0")</f>
        <v>0</v>
      </c>
      <c r="Y531" s="43">
        <f>IFERROR(SUM(BN22:BN527),"0")</f>
        <v>0</v>
      </c>
      <c r="Z531" s="42"/>
      <c r="AA531" s="67"/>
      <c r="AB531" s="67"/>
      <c r="AC531" s="67"/>
    </row>
    <row r="532" spans="1:32" x14ac:dyDescent="0.25">
      <c r="A532" s="620"/>
      <c r="B532" s="620"/>
      <c r="C532" s="620"/>
      <c r="D532" s="620"/>
      <c r="E532" s="620"/>
      <c r="F532" s="620"/>
      <c r="G532" s="620"/>
      <c r="H532" s="620"/>
      <c r="I532" s="620"/>
      <c r="J532" s="620"/>
      <c r="K532" s="620"/>
      <c r="L532" s="620"/>
      <c r="M532" s="620"/>
      <c r="N532" s="620"/>
      <c r="O532" s="625"/>
      <c r="P532" s="622" t="s">
        <v>35</v>
      </c>
      <c r="Q532" s="623"/>
      <c r="R532" s="623"/>
      <c r="S532" s="623"/>
      <c r="T532" s="623"/>
      <c r="U532" s="623"/>
      <c r="V532" s="624"/>
      <c r="W532" s="42" t="s">
        <v>20</v>
      </c>
      <c r="X532" s="44">
        <f>ROUNDUP(SUM(BO22:BO527),0)</f>
        <v>0</v>
      </c>
      <c r="Y532" s="44">
        <f>ROUNDUP(SUM(BP22:BP527),0)</f>
        <v>0</v>
      </c>
      <c r="Z532" s="42"/>
      <c r="AA532" s="67"/>
      <c r="AB532" s="67"/>
      <c r="AC532" s="67"/>
    </row>
    <row r="533" spans="1:32" x14ac:dyDescent="0.25">
      <c r="A533" s="620"/>
      <c r="B533" s="620"/>
      <c r="C533" s="620"/>
      <c r="D533" s="620"/>
      <c r="E533" s="620"/>
      <c r="F533" s="620"/>
      <c r="G533" s="620"/>
      <c r="H533" s="620"/>
      <c r="I533" s="620"/>
      <c r="J533" s="620"/>
      <c r="K533" s="620"/>
      <c r="L533" s="620"/>
      <c r="M533" s="620"/>
      <c r="N533" s="620"/>
      <c r="O533" s="625"/>
      <c r="P533" s="622" t="s">
        <v>36</v>
      </c>
      <c r="Q533" s="623"/>
      <c r="R533" s="623"/>
      <c r="S533" s="623"/>
      <c r="T533" s="623"/>
      <c r="U533" s="623"/>
      <c r="V533" s="624"/>
      <c r="W533" s="42" t="s">
        <v>0</v>
      </c>
      <c r="X533" s="43">
        <f>GrossWeightTotal+PalletQtyTotal*25</f>
        <v>0</v>
      </c>
      <c r="Y533" s="43">
        <f>GrossWeightTotalR+PalletQtyTotalR*25</f>
        <v>0</v>
      </c>
      <c r="Z533" s="42"/>
      <c r="AA533" s="67"/>
      <c r="AB533" s="67"/>
      <c r="AC533" s="67"/>
    </row>
    <row r="534" spans="1:32" x14ac:dyDescent="0.25">
      <c r="A534" s="620"/>
      <c r="B534" s="620"/>
      <c r="C534" s="620"/>
      <c r="D534" s="620"/>
      <c r="E534" s="620"/>
      <c r="F534" s="620"/>
      <c r="G534" s="620"/>
      <c r="H534" s="620"/>
      <c r="I534" s="620"/>
      <c r="J534" s="620"/>
      <c r="K534" s="620"/>
      <c r="L534" s="620"/>
      <c r="M534" s="620"/>
      <c r="N534" s="620"/>
      <c r="O534" s="625"/>
      <c r="P534" s="622" t="s">
        <v>37</v>
      </c>
      <c r="Q534" s="623"/>
      <c r="R534" s="623"/>
      <c r="S534" s="623"/>
      <c r="T534" s="623"/>
      <c r="U534" s="623"/>
      <c r="V534" s="624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0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0</v>
      </c>
      <c r="Z534" s="42"/>
      <c r="AA534" s="67"/>
      <c r="AB534" s="67"/>
      <c r="AC534" s="67"/>
    </row>
    <row r="535" spans="1:32" ht="15.6" x14ac:dyDescent="0.25">
      <c r="A535" s="620"/>
      <c r="B535" s="620"/>
      <c r="C535" s="620"/>
      <c r="D535" s="620"/>
      <c r="E535" s="620"/>
      <c r="F535" s="620"/>
      <c r="G535" s="620"/>
      <c r="H535" s="620"/>
      <c r="I535" s="620"/>
      <c r="J535" s="620"/>
      <c r="K535" s="620"/>
      <c r="L535" s="620"/>
      <c r="M535" s="620"/>
      <c r="N535" s="620"/>
      <c r="O535" s="625"/>
      <c r="P535" s="622" t="s">
        <v>38</v>
      </c>
      <c r="Q535" s="623"/>
      <c r="R535" s="623"/>
      <c r="S535" s="623"/>
      <c r="T535" s="623"/>
      <c r="U535" s="623"/>
      <c r="V535" s="624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0</v>
      </c>
      <c r="AA535" s="67"/>
      <c r="AB535" s="67"/>
      <c r="AC535" s="67"/>
    </row>
    <row r="536" spans="1:32" ht="13.8" thickBot="1" x14ac:dyDescent="0.3"/>
    <row r="537" spans="1:32" ht="28.8" thickTop="1" thickBot="1" x14ac:dyDescent="0.3">
      <c r="A537" s="46" t="s">
        <v>9</v>
      </c>
      <c r="B537" s="85" t="s">
        <v>76</v>
      </c>
      <c r="C537" s="85" t="s">
        <v>45</v>
      </c>
      <c r="D537" s="608" t="s">
        <v>126</v>
      </c>
      <c r="E537" s="608" t="s">
        <v>126</v>
      </c>
      <c r="F537" s="608" t="s">
        <v>126</v>
      </c>
      <c r="G537" s="608" t="s">
        <v>126</v>
      </c>
      <c r="H537" s="608" t="s">
        <v>126</v>
      </c>
      <c r="I537" s="608" t="s">
        <v>126</v>
      </c>
      <c r="J537" s="608" t="s">
        <v>126</v>
      </c>
      <c r="K537" s="608" t="s">
        <v>335</v>
      </c>
      <c r="L537" s="608" t="s">
        <v>335</v>
      </c>
      <c r="M537" s="608" t="s">
        <v>335</v>
      </c>
      <c r="N537" s="609"/>
      <c r="O537" s="608" t="s">
        <v>335</v>
      </c>
      <c r="P537" s="608" t="s">
        <v>335</v>
      </c>
      <c r="Q537" s="608" t="s">
        <v>335</v>
      </c>
      <c r="R537" s="608" t="s">
        <v>335</v>
      </c>
      <c r="S537" s="608" t="s">
        <v>335</v>
      </c>
      <c r="T537" s="608" t="s">
        <v>335</v>
      </c>
      <c r="U537" s="608" t="s">
        <v>335</v>
      </c>
      <c r="V537" s="608" t="s">
        <v>657</v>
      </c>
      <c r="W537" s="608" t="s">
        <v>657</v>
      </c>
      <c r="X537" s="608" t="s">
        <v>717</v>
      </c>
      <c r="Y537" s="608" t="s">
        <v>717</v>
      </c>
      <c r="Z537" s="85" t="s">
        <v>753</v>
      </c>
      <c r="AA537" s="608" t="s">
        <v>800</v>
      </c>
      <c r="AB537" s="608" t="s">
        <v>800</v>
      </c>
      <c r="AC537" s="60"/>
      <c r="AF537" s="1"/>
    </row>
    <row r="538" spans="1:32" ht="14.25" customHeight="1" thickTop="1" x14ac:dyDescent="0.25">
      <c r="A538" s="610" t="s">
        <v>10</v>
      </c>
      <c r="B538" s="608" t="s">
        <v>76</v>
      </c>
      <c r="C538" s="608" t="s">
        <v>113</v>
      </c>
      <c r="D538" s="608" t="s">
        <v>127</v>
      </c>
      <c r="E538" s="608" t="s">
        <v>143</v>
      </c>
      <c r="F538" s="608" t="s">
        <v>187</v>
      </c>
      <c r="G538" s="608" t="s">
        <v>208</v>
      </c>
      <c r="H538" s="608" t="s">
        <v>252</v>
      </c>
      <c r="I538" s="608" t="s">
        <v>264</v>
      </c>
      <c r="J538" s="608" t="s">
        <v>126</v>
      </c>
      <c r="K538" s="608" t="s">
        <v>336</v>
      </c>
      <c r="L538" s="608" t="s">
        <v>348</v>
      </c>
      <c r="M538" s="608" t="s">
        <v>415</v>
      </c>
      <c r="N538" s="1"/>
      <c r="O538" s="608" t="s">
        <v>483</v>
      </c>
      <c r="P538" s="608" t="s">
        <v>516</v>
      </c>
      <c r="Q538" s="608" t="s">
        <v>532</v>
      </c>
      <c r="R538" s="608" t="s">
        <v>541</v>
      </c>
      <c r="S538" s="608" t="s">
        <v>562</v>
      </c>
      <c r="T538" s="608" t="s">
        <v>572</v>
      </c>
      <c r="U538" s="608" t="s">
        <v>647</v>
      </c>
      <c r="V538" s="608" t="s">
        <v>658</v>
      </c>
      <c r="W538" s="608" t="s">
        <v>701</v>
      </c>
      <c r="X538" s="608" t="s">
        <v>718</v>
      </c>
      <c r="Y538" s="608" t="s">
        <v>741</v>
      </c>
      <c r="Z538" s="608" t="s">
        <v>753</v>
      </c>
      <c r="AA538" s="608" t="s">
        <v>800</v>
      </c>
      <c r="AB538" s="608" t="s">
        <v>821</v>
      </c>
      <c r="AC538" s="60"/>
      <c r="AF538" s="1"/>
    </row>
    <row r="539" spans="1:32" ht="13.8" thickBot="1" x14ac:dyDescent="0.3">
      <c r="A539" s="611"/>
      <c r="B539" s="608"/>
      <c r="C539" s="608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1"/>
      <c r="O539" s="608"/>
      <c r="P539" s="608"/>
      <c r="Q539" s="608"/>
      <c r="R539" s="608"/>
      <c r="S539" s="608"/>
      <c r="T539" s="608"/>
      <c r="U539" s="608"/>
      <c r="V539" s="608"/>
      <c r="W539" s="608"/>
      <c r="X539" s="608"/>
      <c r="Y539" s="608"/>
      <c r="Z539" s="608"/>
      <c r="AA539" s="608"/>
      <c r="AB539" s="608"/>
      <c r="AC539" s="60"/>
      <c r="AF539" s="1"/>
    </row>
    <row r="540" spans="1:32" ht="15" thickTop="1" thickBot="1" x14ac:dyDescent="0.3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0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40" s="52">
        <f>IFERROR(Y87*1,"0")+IFERROR(Y88*1,"0")+IFERROR(Y89*1,"0")+IFERROR(Y90*1,"0")+IFERROR(Y94*1,"0")+IFERROR(Y95*1,"0")+IFERROR(Y96*1,"0")+IFERROR(Y97*1,"0")</f>
        <v>0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0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825</v>
      </c>
      <c r="H1" s="9"/>
    </row>
    <row r="3" spans="2:8" x14ac:dyDescent="0.25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5">
      <c r="B7" s="53" t="s">
        <v>831</v>
      </c>
      <c r="C7" s="53" t="s">
        <v>832</v>
      </c>
      <c r="D7" s="53" t="s">
        <v>833</v>
      </c>
      <c r="E7" s="53" t="s">
        <v>46</v>
      </c>
    </row>
    <row r="9" spans="2:8" x14ac:dyDescent="0.25">
      <c r="B9" s="53" t="s">
        <v>834</v>
      </c>
      <c r="C9" s="53" t="s">
        <v>829</v>
      </c>
      <c r="D9" s="53" t="s">
        <v>46</v>
      </c>
      <c r="E9" s="53" t="s">
        <v>46</v>
      </c>
    </row>
    <row r="11" spans="2:8" x14ac:dyDescent="0.25">
      <c r="B11" s="53" t="s">
        <v>834</v>
      </c>
      <c r="C11" s="53" t="s">
        <v>832</v>
      </c>
      <c r="D11" s="53" t="s">
        <v>46</v>
      </c>
      <c r="E11" s="53" t="s">
        <v>46</v>
      </c>
    </row>
    <row r="13" spans="2:8" x14ac:dyDescent="0.25">
      <c r="B13" s="53" t="s">
        <v>835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836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837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838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839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840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841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842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843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844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845</v>
      </c>
      <c r="C23" s="53" t="s">
        <v>46</v>
      </c>
      <c r="D23" s="53" t="s">
        <v>46</v>
      </c>
      <c r="E23" s="53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1088</vt:i4>
      </vt:variant>
    </vt:vector>
  </HeadingPairs>
  <TitlesOfParts>
    <vt:vector size="10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2026-07-01T17:54:00Z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