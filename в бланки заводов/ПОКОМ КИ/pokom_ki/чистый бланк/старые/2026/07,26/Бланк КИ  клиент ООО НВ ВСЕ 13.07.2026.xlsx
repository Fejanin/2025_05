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чистый бланк\"/>
    </mc:Choice>
  </mc:AlternateContent>
  <xr:revisionPtr revIDLastSave="0" documentId="13_ncr:1_{BE093A25-D0CE-4E51-BDE6-9889596A679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заказа'!$X$534:$X$534</definedName>
    <definedName name="GrossWeightTotalR">'Бланк заказа'!$Y$534:$Y$534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заказа'!$X$535:$X$535</definedName>
    <definedName name="PalletQtyTotalR">'Бланк заказа'!$Y$535:$Y$535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заказа'!$B$428:$B$428</definedName>
    <definedName name="ProductId22">'Бланк заказа'!$B$63:$B$63</definedName>
    <definedName name="ProductId220">'Бланк заказа'!$B$433:$B$433</definedName>
    <definedName name="ProductId221">'Бланк заказа'!$B$434:$B$434</definedName>
    <definedName name="ProductId222">'Бланк заказа'!$B$438:$B$438</definedName>
    <definedName name="ProductId223">'Бланк заказа'!$B$442:$B$442</definedName>
    <definedName name="ProductId224">'Бланк заказа'!$B$443:$B$443</definedName>
    <definedName name="ProductId225">'Бланк заказа'!$B$444:$B$444</definedName>
    <definedName name="ProductId226">'Бланк заказа'!$B$450:$B$450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заказа'!$B$459:$B$459</definedName>
    <definedName name="ProductId233">'Бланк заказа'!$B$460:$B$460</definedName>
    <definedName name="ProductId234">'Бланк заказа'!$B$465:$B$465</definedName>
    <definedName name="ProductId235">'Бланк заказа'!$B$469:$B$469</definedName>
    <definedName name="ProductId236">'Бланк заказа'!$B$470:$B$470</definedName>
    <definedName name="ProductId237">'Бланк заказа'!$B$471:$B$471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заказа'!$B$507:$B$507</definedName>
    <definedName name="ProductId258">'Бланк заказа'!$B$511:$B$511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заказа'!$B$520:$B$520</definedName>
    <definedName name="ProductId262">'Бланк заказа'!$B$524:$B$524</definedName>
    <definedName name="ProductId263">'Бланк заказа'!$B$525:$B$525</definedName>
    <definedName name="ProductId264">'Бланк заказа'!$B$530:$B$530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заказа'!$X$428:$X$428</definedName>
    <definedName name="SalesQty22">'Бланк заказа'!$X$63:$X$63</definedName>
    <definedName name="SalesQty220">'Бланк заказа'!$X$433:$X$433</definedName>
    <definedName name="SalesQty221">'Бланк заказа'!$X$434:$X$434</definedName>
    <definedName name="SalesQty222">'Бланк заказа'!$X$438:$X$438</definedName>
    <definedName name="SalesQty223">'Бланк заказа'!$X$442:$X$442</definedName>
    <definedName name="SalesQty224">'Бланк заказа'!$X$443:$X$443</definedName>
    <definedName name="SalesQty225">'Бланк заказа'!$X$444:$X$444</definedName>
    <definedName name="SalesQty226">'Бланк заказа'!$X$450:$X$450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заказа'!$X$459:$X$459</definedName>
    <definedName name="SalesQty233">'Бланк заказа'!$X$460:$X$460</definedName>
    <definedName name="SalesQty234">'Бланк заказа'!$X$465:$X$465</definedName>
    <definedName name="SalesQty235">'Бланк заказа'!$X$469:$X$469</definedName>
    <definedName name="SalesQty236">'Бланк заказа'!$X$470:$X$470</definedName>
    <definedName name="SalesQty237">'Бланк заказа'!$X$471:$X$471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заказа'!$X$507:$X$507</definedName>
    <definedName name="SalesQty258">'Бланк заказа'!$X$511:$X$511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заказа'!$X$520:$X$520</definedName>
    <definedName name="SalesQty262">'Бланк заказа'!$X$524:$X$524</definedName>
    <definedName name="SalesQty263">'Бланк заказа'!$X$525:$X$525</definedName>
    <definedName name="SalesQty264">'Бланк заказа'!$X$530:$X$530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заказа'!$Y$428:$Y$428</definedName>
    <definedName name="SalesRoundBox22">'Бланк заказа'!$Y$63:$Y$63</definedName>
    <definedName name="SalesRoundBox220">'Бланк заказа'!$Y$433:$Y$433</definedName>
    <definedName name="SalesRoundBox221">'Бланк заказа'!$Y$434:$Y$434</definedName>
    <definedName name="SalesRoundBox222">'Бланк заказа'!$Y$438:$Y$438</definedName>
    <definedName name="SalesRoundBox223">'Бланк заказа'!$Y$442:$Y$442</definedName>
    <definedName name="SalesRoundBox224">'Бланк заказа'!$Y$443:$Y$443</definedName>
    <definedName name="SalesRoundBox225">'Бланк заказа'!$Y$444:$Y$444</definedName>
    <definedName name="SalesRoundBox226">'Бланк заказа'!$Y$450:$Y$450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заказа'!$Y$459:$Y$459</definedName>
    <definedName name="SalesRoundBox233">'Бланк заказа'!$Y$460:$Y$460</definedName>
    <definedName name="SalesRoundBox234">'Бланк заказа'!$Y$465:$Y$465</definedName>
    <definedName name="SalesRoundBox235">'Бланк заказа'!$Y$469:$Y$469</definedName>
    <definedName name="SalesRoundBox236">'Бланк заказа'!$Y$470:$Y$470</definedName>
    <definedName name="SalesRoundBox237">'Бланк заказа'!$Y$471:$Y$471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заказа'!$Y$507:$Y$507</definedName>
    <definedName name="SalesRoundBox258">'Бланк заказа'!$Y$511:$Y$511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заказа'!$Y$520:$Y$520</definedName>
    <definedName name="SalesRoundBox262">'Бланк заказа'!$Y$524:$Y$524</definedName>
    <definedName name="SalesRoundBox263">'Бланк заказа'!$Y$525:$Y$525</definedName>
    <definedName name="SalesRoundBox264">'Бланк заказа'!$Y$530:$Y$530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заказа'!$W$428:$W$428</definedName>
    <definedName name="UnitOfMeasure22">'Бланк заказа'!$W$63:$W$63</definedName>
    <definedName name="UnitOfMeasure220">'Бланк заказа'!$W$433:$W$433</definedName>
    <definedName name="UnitOfMeasure221">'Бланк заказа'!$W$434:$W$434</definedName>
    <definedName name="UnitOfMeasure222">'Бланк заказа'!$W$438:$W$438</definedName>
    <definedName name="UnitOfMeasure223">'Бланк заказа'!$W$442:$W$442</definedName>
    <definedName name="UnitOfMeasure224">'Бланк заказа'!$W$443:$W$443</definedName>
    <definedName name="UnitOfMeasure225">'Бланк заказа'!$W$444:$W$444</definedName>
    <definedName name="UnitOfMeasure226">'Бланк заказа'!$W$450:$W$450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заказа'!$W$459:$W$459</definedName>
    <definedName name="UnitOfMeasure233">'Бланк заказа'!$W$460:$W$460</definedName>
    <definedName name="UnitOfMeasure234">'Бланк заказа'!$W$465:$W$465</definedName>
    <definedName name="UnitOfMeasure235">'Бланк заказа'!$W$469:$W$469</definedName>
    <definedName name="UnitOfMeasure236">'Бланк заказа'!$W$470:$W$470</definedName>
    <definedName name="UnitOfMeasure237">'Бланк заказа'!$W$471:$W$471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заказа'!$W$507:$W$507</definedName>
    <definedName name="UnitOfMeasure258">'Бланк заказа'!$W$511:$W$511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заказа'!$W$520:$W$520</definedName>
    <definedName name="UnitOfMeasure262">'Бланк заказа'!$W$524:$W$524</definedName>
    <definedName name="UnitOfMeasure263">'Бланк заказа'!$W$525:$W$525</definedName>
    <definedName name="UnitOfMeasure264">'Бланк заказа'!$W$530:$W$530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2" i="2" l="1"/>
  <c r="X531" i="2"/>
  <c r="BO530" i="2"/>
  <c r="BM530" i="2"/>
  <c r="Y530" i="2"/>
  <c r="AB543" i="2" s="1"/>
  <c r="P530" i="2"/>
  <c r="X527" i="2"/>
  <c r="X526" i="2"/>
  <c r="BO525" i="2"/>
  <c r="BM525" i="2"/>
  <c r="Y525" i="2"/>
  <c r="P525" i="2"/>
  <c r="BO524" i="2"/>
  <c r="BM524" i="2"/>
  <c r="Y524" i="2"/>
  <c r="Z524" i="2" s="1"/>
  <c r="P524" i="2"/>
  <c r="X522" i="2"/>
  <c r="X521" i="2"/>
  <c r="BO520" i="2"/>
  <c r="BM520" i="2"/>
  <c r="Y520" i="2"/>
  <c r="BN520" i="2" s="1"/>
  <c r="P520" i="2"/>
  <c r="X518" i="2"/>
  <c r="X517" i="2"/>
  <c r="BO516" i="2"/>
  <c r="BM516" i="2"/>
  <c r="Y516" i="2"/>
  <c r="P516" i="2"/>
  <c r="BO515" i="2"/>
  <c r="BM515" i="2"/>
  <c r="Y515" i="2"/>
  <c r="BN515" i="2" s="1"/>
  <c r="P515" i="2"/>
  <c r="X513" i="2"/>
  <c r="X512" i="2"/>
  <c r="BO511" i="2"/>
  <c r="BM511" i="2"/>
  <c r="Y511" i="2"/>
  <c r="Z511" i="2" s="1"/>
  <c r="Z512" i="2" s="1"/>
  <c r="P511" i="2"/>
  <c r="X509" i="2"/>
  <c r="X508" i="2"/>
  <c r="BO507" i="2"/>
  <c r="BM507" i="2"/>
  <c r="Y507" i="2"/>
  <c r="P507" i="2"/>
  <c r="X503" i="2"/>
  <c r="X502" i="2"/>
  <c r="BO501" i="2"/>
  <c r="BM501" i="2"/>
  <c r="Y501" i="2"/>
  <c r="P501" i="2"/>
  <c r="BO500" i="2"/>
  <c r="BM500" i="2"/>
  <c r="Y500" i="2"/>
  <c r="BN500" i="2" s="1"/>
  <c r="P500" i="2"/>
  <c r="BO499" i="2"/>
  <c r="BM499" i="2"/>
  <c r="Y499" i="2"/>
  <c r="BN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BN496" i="2" s="1"/>
  <c r="P496" i="2"/>
  <c r="BO495" i="2"/>
  <c r="BM495" i="2"/>
  <c r="Y495" i="2"/>
  <c r="P495" i="2"/>
  <c r="X493" i="2"/>
  <c r="X492" i="2"/>
  <c r="BO491" i="2"/>
  <c r="BM491" i="2"/>
  <c r="Y491" i="2"/>
  <c r="BN491" i="2" s="1"/>
  <c r="P491" i="2"/>
  <c r="BO490" i="2"/>
  <c r="BM490" i="2"/>
  <c r="Y490" i="2"/>
  <c r="BP490" i="2" s="1"/>
  <c r="P490" i="2"/>
  <c r="BO489" i="2"/>
  <c r="BM489" i="2"/>
  <c r="Y489" i="2"/>
  <c r="Z489" i="2" s="1"/>
  <c r="P489" i="2"/>
  <c r="X487" i="2"/>
  <c r="X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P482" i="2"/>
  <c r="BO481" i="2"/>
  <c r="BM481" i="2"/>
  <c r="Y481" i="2"/>
  <c r="BN481" i="2" s="1"/>
  <c r="P481" i="2"/>
  <c r="BO480" i="2"/>
  <c r="BM480" i="2"/>
  <c r="Y480" i="2"/>
  <c r="BN480" i="2" s="1"/>
  <c r="P480" i="2"/>
  <c r="BO479" i="2"/>
  <c r="BM479" i="2"/>
  <c r="Y479" i="2"/>
  <c r="P479" i="2"/>
  <c r="BO478" i="2"/>
  <c r="BM478" i="2"/>
  <c r="Y478" i="2"/>
  <c r="P478" i="2"/>
  <c r="BO477" i="2"/>
  <c r="BM477" i="2"/>
  <c r="Y477" i="2"/>
  <c r="P477" i="2"/>
  <c r="X473" i="2"/>
  <c r="X472" i="2"/>
  <c r="BO471" i="2"/>
  <c r="BM471" i="2"/>
  <c r="Y471" i="2"/>
  <c r="BP471" i="2" s="1"/>
  <c r="P471" i="2"/>
  <c r="BO470" i="2"/>
  <c r="BM470" i="2"/>
  <c r="Y470" i="2"/>
  <c r="BP470" i="2" s="1"/>
  <c r="P470" i="2"/>
  <c r="BO469" i="2"/>
  <c r="BM469" i="2"/>
  <c r="Y469" i="2"/>
  <c r="P469" i="2"/>
  <c r="X467" i="2"/>
  <c r="X466" i="2"/>
  <c r="BO465" i="2"/>
  <c r="BM465" i="2"/>
  <c r="Y465" i="2"/>
  <c r="Z465" i="2" s="1"/>
  <c r="Z466" i="2" s="1"/>
  <c r="P465" i="2"/>
  <c r="X462" i="2"/>
  <c r="X461" i="2"/>
  <c r="BO460" i="2"/>
  <c r="BM460" i="2"/>
  <c r="Y460" i="2"/>
  <c r="BP460" i="2" s="1"/>
  <c r="P460" i="2"/>
  <c r="BO459" i="2"/>
  <c r="BM459" i="2"/>
  <c r="Y459" i="2"/>
  <c r="Z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P454" i="2"/>
  <c r="BP453" i="2"/>
  <c r="BO453" i="2"/>
  <c r="BM453" i="2"/>
  <c r="Y453" i="2"/>
  <c r="P453" i="2"/>
  <c r="BO452" i="2"/>
  <c r="BM452" i="2"/>
  <c r="Y452" i="2"/>
  <c r="BP452" i="2" s="1"/>
  <c r="P452" i="2"/>
  <c r="BO451" i="2"/>
  <c r="BM451" i="2"/>
  <c r="Y451" i="2"/>
  <c r="Z451" i="2" s="1"/>
  <c r="P451" i="2"/>
  <c r="BO450" i="2"/>
  <c r="BM450" i="2"/>
  <c r="Y450" i="2"/>
  <c r="P450" i="2"/>
  <c r="X446" i="2"/>
  <c r="X445" i="2"/>
  <c r="BO444" i="2"/>
  <c r="BM444" i="2"/>
  <c r="Y444" i="2"/>
  <c r="BN444" i="2" s="1"/>
  <c r="P444" i="2"/>
  <c r="BO443" i="2"/>
  <c r="BM443" i="2"/>
  <c r="Y443" i="2"/>
  <c r="BP443" i="2" s="1"/>
  <c r="P443" i="2"/>
  <c r="BO442" i="2"/>
  <c r="BM442" i="2"/>
  <c r="Y442" i="2"/>
  <c r="Z442" i="2" s="1"/>
  <c r="P442" i="2"/>
  <c r="X440" i="2"/>
  <c r="X439" i="2"/>
  <c r="BO438" i="2"/>
  <c r="BM438" i="2"/>
  <c r="Y438" i="2"/>
  <c r="Y440" i="2" s="1"/>
  <c r="P438" i="2"/>
  <c r="X436" i="2"/>
  <c r="X435" i="2"/>
  <c r="BO434" i="2"/>
  <c r="BM434" i="2"/>
  <c r="Y434" i="2"/>
  <c r="P434" i="2"/>
  <c r="BO433" i="2"/>
  <c r="BM433" i="2"/>
  <c r="Y433" i="2"/>
  <c r="P433" i="2"/>
  <c r="X430" i="2"/>
  <c r="X429" i="2"/>
  <c r="BO428" i="2"/>
  <c r="BM428" i="2"/>
  <c r="Y428" i="2"/>
  <c r="Y430" i="2" s="1"/>
  <c r="P428" i="2"/>
  <c r="X426" i="2"/>
  <c r="X425" i="2"/>
  <c r="BO424" i="2"/>
  <c r="BM424" i="2"/>
  <c r="Y424" i="2"/>
  <c r="BN424" i="2" s="1"/>
  <c r="P424" i="2"/>
  <c r="BO423" i="2"/>
  <c r="BM423" i="2"/>
  <c r="Y423" i="2"/>
  <c r="BP423" i="2" s="1"/>
  <c r="P423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Z417" i="2" s="1"/>
  <c r="P417" i="2"/>
  <c r="X415" i="2"/>
  <c r="X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BP411" i="2" s="1"/>
  <c r="P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P408" i="2"/>
  <c r="BO407" i="2"/>
  <c r="BM407" i="2"/>
  <c r="Y407" i="2"/>
  <c r="Z407" i="2" s="1"/>
  <c r="P407" i="2"/>
  <c r="BO406" i="2"/>
  <c r="BM406" i="2"/>
  <c r="Y406" i="2"/>
  <c r="BN406" i="2" s="1"/>
  <c r="P406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U543" i="2" s="1"/>
  <c r="P398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Y394" i="2" s="1"/>
  <c r="P391" i="2"/>
  <c r="X389" i="2"/>
  <c r="X388" i="2"/>
  <c r="BP387" i="2"/>
  <c r="BO387" i="2"/>
  <c r="BN387" i="2"/>
  <c r="BM387" i="2"/>
  <c r="Z387" i="2"/>
  <c r="Y387" i="2"/>
  <c r="P387" i="2"/>
  <c r="BO386" i="2"/>
  <c r="BM386" i="2"/>
  <c r="Y386" i="2"/>
  <c r="P386" i="2"/>
  <c r="BO385" i="2"/>
  <c r="BM385" i="2"/>
  <c r="Y385" i="2"/>
  <c r="BN385" i="2" s="1"/>
  <c r="P385" i="2"/>
  <c r="BO384" i="2"/>
  <c r="BM384" i="2"/>
  <c r="Y384" i="2"/>
  <c r="P384" i="2"/>
  <c r="X382" i="2"/>
  <c r="X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N371" i="2" s="1"/>
  <c r="P371" i="2"/>
  <c r="X369" i="2"/>
  <c r="X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BO362" i="2"/>
  <c r="BM362" i="2"/>
  <c r="Y362" i="2"/>
  <c r="Z362" i="2" s="1"/>
  <c r="P362" i="2"/>
  <c r="BO361" i="2"/>
  <c r="BM361" i="2"/>
  <c r="Y361" i="2"/>
  <c r="BN361" i="2" s="1"/>
  <c r="P361" i="2"/>
  <c r="X359" i="2"/>
  <c r="X358" i="2"/>
  <c r="BO357" i="2"/>
  <c r="BM357" i="2"/>
  <c r="Y357" i="2"/>
  <c r="BP357" i="2" s="1"/>
  <c r="P357" i="2"/>
  <c r="BO356" i="2"/>
  <c r="BM356" i="2"/>
  <c r="Y356" i="2"/>
  <c r="BP356" i="2" s="1"/>
  <c r="P356" i="2"/>
  <c r="BO355" i="2"/>
  <c r="BM355" i="2"/>
  <c r="Y355" i="2"/>
  <c r="P355" i="2"/>
  <c r="BO354" i="2"/>
  <c r="BM354" i="2"/>
  <c r="Y354" i="2"/>
  <c r="P354" i="2"/>
  <c r="BO353" i="2"/>
  <c r="BM353" i="2"/>
  <c r="Y353" i="2"/>
  <c r="BN353" i="2" s="1"/>
  <c r="P353" i="2"/>
  <c r="X350" i="2"/>
  <c r="X349" i="2"/>
  <c r="BO348" i="2"/>
  <c r="BM348" i="2"/>
  <c r="Y348" i="2"/>
  <c r="Z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BN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BP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Z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BP310" i="2" s="1"/>
  <c r="P310" i="2"/>
  <c r="BO309" i="2"/>
  <c r="BM309" i="2"/>
  <c r="Y309" i="2"/>
  <c r="Y313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Z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P271" i="2" s="1"/>
  <c r="P271" i="2"/>
  <c r="BO270" i="2"/>
  <c r="BM270" i="2"/>
  <c r="Y270" i="2"/>
  <c r="P270" i="2"/>
  <c r="X268" i="2"/>
  <c r="X267" i="2"/>
  <c r="BO266" i="2"/>
  <c r="BM266" i="2"/>
  <c r="Y266" i="2"/>
  <c r="BP266" i="2" s="1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BP263" i="2" s="1"/>
  <c r="P263" i="2"/>
  <c r="BO262" i="2"/>
  <c r="BM262" i="2"/>
  <c r="Y262" i="2"/>
  <c r="Z262" i="2" s="1"/>
  <c r="P262" i="2"/>
  <c r="BO261" i="2"/>
  <c r="BM261" i="2"/>
  <c r="Y261" i="2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Z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P216" i="2"/>
  <c r="BO216" i="2"/>
  <c r="BN216" i="2"/>
  <c r="BM216" i="2"/>
  <c r="Z216" i="2"/>
  <c r="Y216" i="2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Z209" i="2" s="1"/>
  <c r="Z210" i="2" s="1"/>
  <c r="P209" i="2"/>
  <c r="X206" i="2"/>
  <c r="X205" i="2"/>
  <c r="BO204" i="2"/>
  <c r="BM204" i="2"/>
  <c r="Y204" i="2"/>
  <c r="BP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P200" i="2"/>
  <c r="BO199" i="2"/>
  <c r="BM199" i="2"/>
  <c r="Y199" i="2"/>
  <c r="P199" i="2"/>
  <c r="BO198" i="2"/>
  <c r="BM198" i="2"/>
  <c r="Y198" i="2"/>
  <c r="Z198" i="2" s="1"/>
  <c r="P198" i="2"/>
  <c r="X194" i="2"/>
  <c r="X193" i="2"/>
  <c r="BO192" i="2"/>
  <c r="BM192" i="2"/>
  <c r="Y192" i="2"/>
  <c r="Y194" i="2" s="1"/>
  <c r="P192" i="2"/>
  <c r="X190" i="2"/>
  <c r="X189" i="2"/>
  <c r="BO188" i="2"/>
  <c r="BM188" i="2"/>
  <c r="Y188" i="2"/>
  <c r="BN188" i="2" s="1"/>
  <c r="P188" i="2"/>
  <c r="BO187" i="2"/>
  <c r="BM187" i="2"/>
  <c r="Y187" i="2"/>
  <c r="P187" i="2"/>
  <c r="X185" i="2"/>
  <c r="X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Z174" i="2" s="1"/>
  <c r="P174" i="2"/>
  <c r="BO173" i="2"/>
  <c r="BM173" i="2"/>
  <c r="Y173" i="2"/>
  <c r="BN173" i="2" s="1"/>
  <c r="P173" i="2"/>
  <c r="BO172" i="2"/>
  <c r="BM172" i="2"/>
  <c r="Y172" i="2"/>
  <c r="BP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P169" i="2"/>
  <c r="BO168" i="2"/>
  <c r="BM168" i="2"/>
  <c r="Y168" i="2"/>
  <c r="BN168" i="2" s="1"/>
  <c r="P168" i="2"/>
  <c r="BO167" i="2"/>
  <c r="BM167" i="2"/>
  <c r="Y167" i="2"/>
  <c r="P167" i="2"/>
  <c r="X165" i="2"/>
  <c r="X164" i="2"/>
  <c r="BO163" i="2"/>
  <c r="BM163" i="2"/>
  <c r="Y163" i="2"/>
  <c r="BN163" i="2" s="1"/>
  <c r="P163" i="2"/>
  <c r="X161" i="2"/>
  <c r="X160" i="2"/>
  <c r="BO159" i="2"/>
  <c r="BM159" i="2"/>
  <c r="Y159" i="2"/>
  <c r="Z159" i="2" s="1"/>
  <c r="P159" i="2"/>
  <c r="BO158" i="2"/>
  <c r="BM158" i="2"/>
  <c r="Y158" i="2"/>
  <c r="BP158" i="2" s="1"/>
  <c r="P158" i="2"/>
  <c r="X155" i="2"/>
  <c r="X154" i="2"/>
  <c r="BO153" i="2"/>
  <c r="BM153" i="2"/>
  <c r="Y153" i="2"/>
  <c r="BN153" i="2" s="1"/>
  <c r="P153" i="2"/>
  <c r="BO152" i="2"/>
  <c r="BM152" i="2"/>
  <c r="Y152" i="2"/>
  <c r="P152" i="2"/>
  <c r="BO151" i="2"/>
  <c r="BM151" i="2"/>
  <c r="Y151" i="2"/>
  <c r="P151" i="2"/>
  <c r="BO150" i="2"/>
  <c r="BM150" i="2"/>
  <c r="Y150" i="2"/>
  <c r="I543" i="2" s="1"/>
  <c r="P150" i="2"/>
  <c r="X147" i="2"/>
  <c r="X146" i="2"/>
  <c r="BO145" i="2"/>
  <c r="BM145" i="2"/>
  <c r="Y145" i="2"/>
  <c r="P145" i="2"/>
  <c r="BO144" i="2"/>
  <c r="BM144" i="2"/>
  <c r="Y144" i="2"/>
  <c r="BN144" i="2" s="1"/>
  <c r="P144" i="2"/>
  <c r="X142" i="2"/>
  <c r="X141" i="2"/>
  <c r="BO140" i="2"/>
  <c r="BM140" i="2"/>
  <c r="Y140" i="2"/>
  <c r="P140" i="2"/>
  <c r="BO139" i="2"/>
  <c r="BM139" i="2"/>
  <c r="Y139" i="2"/>
  <c r="BN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BN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BP123" i="2" s="1"/>
  <c r="P123" i="2"/>
  <c r="BO122" i="2"/>
  <c r="BM122" i="2"/>
  <c r="Y122" i="2"/>
  <c r="P122" i="2"/>
  <c r="X120" i="2"/>
  <c r="X119" i="2"/>
  <c r="BO118" i="2"/>
  <c r="BM118" i="2"/>
  <c r="Y118" i="2"/>
  <c r="BN118" i="2" s="1"/>
  <c r="P118" i="2"/>
  <c r="BO117" i="2"/>
  <c r="BM117" i="2"/>
  <c r="Y117" i="2"/>
  <c r="Z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BP88" i="2" s="1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Z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Z63" i="2" s="1"/>
  <c r="P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Z45" i="2" s="1"/>
  <c r="P45" i="2"/>
  <c r="BO44" i="2"/>
  <c r="BM44" i="2"/>
  <c r="Y44" i="2"/>
  <c r="BP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Z41" i="2"/>
  <c r="Y41" i="2"/>
  <c r="BN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P22" i="2" s="1"/>
  <c r="P22" i="2"/>
  <c r="H10" i="2"/>
  <c r="A9" i="2"/>
  <c r="F9" i="2" s="1"/>
  <c r="D7" i="2"/>
  <c r="Q6" i="2"/>
  <c r="P2" i="2"/>
  <c r="Z65" i="2" l="1"/>
  <c r="BN65" i="2"/>
  <c r="Z173" i="2"/>
  <c r="Z363" i="2"/>
  <c r="Z424" i="2"/>
  <c r="BP520" i="2"/>
  <c r="Z88" i="2"/>
  <c r="BN88" i="2"/>
  <c r="Z114" i="2"/>
  <c r="BN114" i="2"/>
  <c r="Y211" i="2"/>
  <c r="Z371" i="2"/>
  <c r="Z400" i="2"/>
  <c r="Y36" i="2"/>
  <c r="Y429" i="2"/>
  <c r="Z42" i="2"/>
  <c r="BN42" i="2"/>
  <c r="E543" i="2"/>
  <c r="Z95" i="2"/>
  <c r="Z106" i="2"/>
  <c r="Z163" i="2"/>
  <c r="Z164" i="2" s="1"/>
  <c r="Y164" i="2"/>
  <c r="Z171" i="2"/>
  <c r="Z183" i="2"/>
  <c r="Z214" i="2"/>
  <c r="Z231" i="2"/>
  <c r="Z285" i="2"/>
  <c r="BN285" i="2"/>
  <c r="Y287" i="2"/>
  <c r="Z364" i="2"/>
  <c r="BN364" i="2"/>
  <c r="Z385" i="2"/>
  <c r="Z398" i="2"/>
  <c r="BP444" i="2"/>
  <c r="Z455" i="2"/>
  <c r="BP491" i="2"/>
  <c r="BN23" i="2"/>
  <c r="Z23" i="2"/>
  <c r="BN62" i="2"/>
  <c r="Z62" i="2"/>
  <c r="BN89" i="2"/>
  <c r="BN108" i="2"/>
  <c r="BP122" i="2"/>
  <c r="BN122" i="2"/>
  <c r="Z122" i="2"/>
  <c r="BP152" i="2"/>
  <c r="BN152" i="2"/>
  <c r="Z152" i="2"/>
  <c r="BN176" i="2"/>
  <c r="Z176" i="2"/>
  <c r="BN200" i="2"/>
  <c r="Z200" i="2"/>
  <c r="BN213" i="2"/>
  <c r="BP213" i="2"/>
  <c r="BN220" i="2"/>
  <c r="Z220" i="2"/>
  <c r="Y246" i="2"/>
  <c r="Y245" i="2"/>
  <c r="BN244" i="2"/>
  <c r="BN261" i="2"/>
  <c r="Z261" i="2"/>
  <c r="BN265" i="2"/>
  <c r="Z265" i="2"/>
  <c r="BP277" i="2"/>
  <c r="Z277" i="2"/>
  <c r="BN305" i="2"/>
  <c r="Z305" i="2"/>
  <c r="Z306" i="2" s="1"/>
  <c r="BP319" i="2"/>
  <c r="BN319" i="2"/>
  <c r="Z319" i="2"/>
  <c r="BN341" i="2"/>
  <c r="BN384" i="2"/>
  <c r="Z384" i="2"/>
  <c r="BN391" i="2"/>
  <c r="BN408" i="2"/>
  <c r="Z408" i="2"/>
  <c r="BN419" i="2"/>
  <c r="BN454" i="2"/>
  <c r="Z454" i="2"/>
  <c r="BP23" i="2"/>
  <c r="BN27" i="2"/>
  <c r="BN43" i="2"/>
  <c r="BN54" i="2"/>
  <c r="Z54" i="2"/>
  <c r="BN72" i="2"/>
  <c r="Z72" i="2"/>
  <c r="BP176" i="2"/>
  <c r="BP177" i="2"/>
  <c r="BN177" i="2"/>
  <c r="Z177" i="2"/>
  <c r="BP200" i="2"/>
  <c r="BP201" i="2"/>
  <c r="BN201" i="2"/>
  <c r="Z201" i="2"/>
  <c r="BP220" i="2"/>
  <c r="BP221" i="2"/>
  <c r="BN221" i="2"/>
  <c r="Z221" i="2"/>
  <c r="Z249" i="2"/>
  <c r="Y252" i="2"/>
  <c r="BN255" i="2"/>
  <c r="BP265" i="2"/>
  <c r="Y283" i="2"/>
  <c r="BN273" i="2"/>
  <c r="BN281" i="2"/>
  <c r="BN294" i="2"/>
  <c r="BP355" i="2"/>
  <c r="BN355" i="2"/>
  <c r="Z355" i="2"/>
  <c r="BN365" i="2"/>
  <c r="BN373" i="2"/>
  <c r="BN386" i="2"/>
  <c r="BP386" i="2"/>
  <c r="BP408" i="2"/>
  <c r="BP409" i="2"/>
  <c r="BN409" i="2"/>
  <c r="Z409" i="2"/>
  <c r="BN418" i="2"/>
  <c r="Z418" i="2"/>
  <c r="BN453" i="2"/>
  <c r="Z453" i="2"/>
  <c r="BP478" i="2"/>
  <c r="BN478" i="2"/>
  <c r="BN484" i="2"/>
  <c r="BN524" i="2"/>
  <c r="X534" i="2"/>
  <c r="X537" i="2"/>
  <c r="BN35" i="2"/>
  <c r="BP41" i="2"/>
  <c r="BN82" i="2"/>
  <c r="Y85" i="2"/>
  <c r="BP171" i="2"/>
  <c r="BP214" i="2"/>
  <c r="BN222" i="2"/>
  <c r="BP231" i="2"/>
  <c r="BN232" i="2"/>
  <c r="BN240" i="2"/>
  <c r="BN254" i="2"/>
  <c r="Y256" i="2"/>
  <c r="BN263" i="2"/>
  <c r="BN274" i="2"/>
  <c r="BN295" i="2"/>
  <c r="BN317" i="2"/>
  <c r="BN333" i="2"/>
  <c r="BP363" i="2"/>
  <c r="BN379" i="2"/>
  <c r="BN393" i="2"/>
  <c r="BP398" i="2"/>
  <c r="BN410" i="2"/>
  <c r="BP424" i="2"/>
  <c r="BN428" i="2"/>
  <c r="BN470" i="2"/>
  <c r="BN483" i="2"/>
  <c r="BP496" i="2"/>
  <c r="BN498" i="2"/>
  <c r="BP515" i="2"/>
  <c r="X535" i="2"/>
  <c r="Z29" i="2"/>
  <c r="Z31" i="2"/>
  <c r="BP31" i="2"/>
  <c r="Y24" i="2"/>
  <c r="Z27" i="2"/>
  <c r="BP30" i="2"/>
  <c r="Z43" i="2"/>
  <c r="D543" i="2"/>
  <c r="BP51" i="2"/>
  <c r="Z64" i="2"/>
  <c r="BP66" i="2"/>
  <c r="Z66" i="2"/>
  <c r="Y74" i="2"/>
  <c r="BN70" i="2"/>
  <c r="Y75" i="2"/>
  <c r="BP70" i="2"/>
  <c r="BP98" i="2"/>
  <c r="G543" i="2"/>
  <c r="Y110" i="2"/>
  <c r="BP104" i="2"/>
  <c r="Z104" i="2"/>
  <c r="Z118" i="2"/>
  <c r="H543" i="2"/>
  <c r="BN145" i="2"/>
  <c r="BP145" i="2"/>
  <c r="Z145" i="2"/>
  <c r="BN175" i="2"/>
  <c r="BP175" i="2"/>
  <c r="Z175" i="2"/>
  <c r="Z226" i="2"/>
  <c r="BN226" i="2"/>
  <c r="BN259" i="2"/>
  <c r="BP259" i="2"/>
  <c r="Z259" i="2"/>
  <c r="BN318" i="2"/>
  <c r="BP318" i="2"/>
  <c r="Z318" i="2"/>
  <c r="BN332" i="2"/>
  <c r="BP332" i="2"/>
  <c r="BP367" i="2"/>
  <c r="Z367" i="2"/>
  <c r="BN374" i="2"/>
  <c r="BP374" i="2"/>
  <c r="Z374" i="2"/>
  <c r="W543" i="2"/>
  <c r="BN433" i="2"/>
  <c r="BP433" i="2"/>
  <c r="Z433" i="2"/>
  <c r="Y472" i="2"/>
  <c r="Y473" i="2"/>
  <c r="BP469" i="2"/>
  <c r="BN501" i="2"/>
  <c r="BP501" i="2"/>
  <c r="X533" i="2"/>
  <c r="BN29" i="2"/>
  <c r="C543" i="2"/>
  <c r="BN53" i="2"/>
  <c r="BN60" i="2"/>
  <c r="BP62" i="2"/>
  <c r="Y67" i="2"/>
  <c r="BN77" i="2"/>
  <c r="BP77" i="2"/>
  <c r="BP78" i="2"/>
  <c r="Z78" i="2"/>
  <c r="BP106" i="2"/>
  <c r="Y179" i="2"/>
  <c r="BN167" i="2"/>
  <c r="Y178" i="2"/>
  <c r="BP167" i="2"/>
  <c r="Z167" i="2"/>
  <c r="BN169" i="2"/>
  <c r="BP169" i="2"/>
  <c r="Z169" i="2"/>
  <c r="BN275" i="2"/>
  <c r="BP275" i="2"/>
  <c r="Z275" i="2"/>
  <c r="BN326" i="2"/>
  <c r="Z326" i="2"/>
  <c r="BN335" i="2"/>
  <c r="BP335" i="2"/>
  <c r="Z335" i="2"/>
  <c r="BN354" i="2"/>
  <c r="BP354" i="2"/>
  <c r="Z354" i="2"/>
  <c r="BP412" i="2"/>
  <c r="Z412" i="2"/>
  <c r="BN443" i="2"/>
  <c r="Z443" i="2"/>
  <c r="Z471" i="2"/>
  <c r="BN471" i="2"/>
  <c r="BN479" i="2"/>
  <c r="Z479" i="2"/>
  <c r="BN482" i="2"/>
  <c r="BP482" i="2"/>
  <c r="Z482" i="2"/>
  <c r="BP525" i="2"/>
  <c r="BN525" i="2"/>
  <c r="Y119" i="2"/>
  <c r="BN112" i="2"/>
  <c r="BP112" i="2"/>
  <c r="Y120" i="2"/>
  <c r="Z140" i="2"/>
  <c r="Y142" i="2"/>
  <c r="Y189" i="2"/>
  <c r="BN187" i="2"/>
  <c r="BP187" i="2"/>
  <c r="Z187" i="2"/>
  <c r="BN199" i="2"/>
  <c r="BP199" i="2"/>
  <c r="Z199" i="2"/>
  <c r="BN264" i="2"/>
  <c r="BP264" i="2"/>
  <c r="Z264" i="2"/>
  <c r="BN271" i="2"/>
  <c r="Z271" i="2"/>
  <c r="Z279" i="2"/>
  <c r="BN279" i="2"/>
  <c r="BN296" i="2"/>
  <c r="BP296" i="2"/>
  <c r="Z296" i="2"/>
  <c r="S543" i="2"/>
  <c r="Z346" i="2"/>
  <c r="BN490" i="2"/>
  <c r="Z490" i="2"/>
  <c r="BP35" i="2"/>
  <c r="Y37" i="2"/>
  <c r="Z53" i="2"/>
  <c r="Z55" i="2" s="1"/>
  <c r="Z60" i="2"/>
  <c r="BP64" i="2"/>
  <c r="BN78" i="2"/>
  <c r="BP97" i="2"/>
  <c r="Z97" i="2"/>
  <c r="Z99" i="2" s="1"/>
  <c r="Z112" i="2"/>
  <c r="BP118" i="2"/>
  <c r="BP124" i="2"/>
  <c r="Z124" i="2"/>
  <c r="Y185" i="2"/>
  <c r="BN181" i="2"/>
  <c r="Y184" i="2"/>
  <c r="BP181" i="2"/>
  <c r="Z181" i="2"/>
  <c r="Y236" i="2"/>
  <c r="BN230" i="2"/>
  <c r="BP230" i="2"/>
  <c r="Z230" i="2"/>
  <c r="BN292" i="2"/>
  <c r="Z292" i="2"/>
  <c r="BP485" i="2"/>
  <c r="Z485" i="2"/>
  <c r="BN516" i="2"/>
  <c r="BP516" i="2"/>
  <c r="BP150" i="2"/>
  <c r="BP218" i="2"/>
  <c r="BP249" i="2"/>
  <c r="Y342" i="2"/>
  <c r="BP348" i="2"/>
  <c r="T543" i="2"/>
  <c r="BP361" i="2"/>
  <c r="Y382" i="2"/>
  <c r="BP406" i="2"/>
  <c r="X543" i="2"/>
  <c r="BP451" i="2"/>
  <c r="Z543" i="2"/>
  <c r="BP480" i="2"/>
  <c r="Y502" i="2"/>
  <c r="BP82" i="2"/>
  <c r="BP116" i="2"/>
  <c r="Y127" i="2"/>
  <c r="BP139" i="2"/>
  <c r="BP144" i="2"/>
  <c r="BP168" i="2"/>
  <c r="BP173" i="2"/>
  <c r="BP188" i="2"/>
  <c r="Z218" i="2"/>
  <c r="Z222" i="2"/>
  <c r="Z240" i="2"/>
  <c r="Z255" i="2"/>
  <c r="Y257" i="2"/>
  <c r="Z263" i="2"/>
  <c r="Z274" i="2"/>
  <c r="Z295" i="2"/>
  <c r="Z317" i="2"/>
  <c r="Z333" i="2"/>
  <c r="Z340" i="2"/>
  <c r="Z353" i="2"/>
  <c r="BP353" i="2"/>
  <c r="Z361" i="2"/>
  <c r="Z365" i="2"/>
  <c r="Z373" i="2"/>
  <c r="Z379" i="2"/>
  <c r="Z393" i="2"/>
  <c r="BN398" i="2"/>
  <c r="Z406" i="2"/>
  <c r="Z410" i="2"/>
  <c r="Y425" i="2"/>
  <c r="Z428" i="2"/>
  <c r="Z429" i="2" s="1"/>
  <c r="BP428" i="2"/>
  <c r="Z470" i="2"/>
  <c r="Z478" i="2"/>
  <c r="Z480" i="2"/>
  <c r="BP481" i="2"/>
  <c r="Z484" i="2"/>
  <c r="Z499" i="2"/>
  <c r="BP500" i="2"/>
  <c r="BP524" i="2"/>
  <c r="BP72" i="2"/>
  <c r="F543" i="2"/>
  <c r="Z89" i="2"/>
  <c r="BP95" i="2"/>
  <c r="Z108" i="2"/>
  <c r="Z116" i="2"/>
  <c r="Z139" i="2"/>
  <c r="Z141" i="2" s="1"/>
  <c r="BN150" i="2"/>
  <c r="Y155" i="2"/>
  <c r="Z153" i="2"/>
  <c r="BP163" i="2"/>
  <c r="BP183" i="2"/>
  <c r="Z232" i="2"/>
  <c r="Y241" i="2"/>
  <c r="BP238" i="2"/>
  <c r="Z244" i="2"/>
  <c r="Z245" i="2" s="1"/>
  <c r="BP244" i="2"/>
  <c r="BN249" i="2"/>
  <c r="Z254" i="2"/>
  <c r="BP261" i="2"/>
  <c r="Z273" i="2"/>
  <c r="Z281" i="2"/>
  <c r="Z294" i="2"/>
  <c r="Z310" i="2"/>
  <c r="Z341" i="2"/>
  <c r="BN348" i="2"/>
  <c r="Z357" i="2"/>
  <c r="BP371" i="2"/>
  <c r="BP385" i="2"/>
  <c r="Y395" i="2"/>
  <c r="BP391" i="2"/>
  <c r="Z419" i="2"/>
  <c r="Y435" i="2"/>
  <c r="Y445" i="2"/>
  <c r="BN451" i="2"/>
  <c r="BP455" i="2"/>
  <c r="Y462" i="2"/>
  <c r="BP483" i="2"/>
  <c r="Y492" i="2"/>
  <c r="Z498" i="2"/>
  <c r="Z500" i="2"/>
  <c r="AA543" i="2"/>
  <c r="Z241" i="2"/>
  <c r="H9" i="2"/>
  <c r="BN159" i="2"/>
  <c r="BN203" i="2"/>
  <c r="BN224" i="2"/>
  <c r="BN234" i="2"/>
  <c r="Y268" i="2"/>
  <c r="BN277" i="2"/>
  <c r="Y288" i="2"/>
  <c r="Y299" i="2"/>
  <c r="BN310" i="2"/>
  <c r="Y322" i="2"/>
  <c r="BN346" i="2"/>
  <c r="Y349" i="2"/>
  <c r="BN357" i="2"/>
  <c r="BN367" i="2"/>
  <c r="BN400" i="2"/>
  <c r="BN412" i="2"/>
  <c r="Y436" i="2"/>
  <c r="BN459" i="2"/>
  <c r="Z516" i="2"/>
  <c r="Y521" i="2"/>
  <c r="J543" i="2"/>
  <c r="Z135" i="2"/>
  <c r="BN45" i="2"/>
  <c r="BN91" i="2"/>
  <c r="BN135" i="2"/>
  <c r="Y227" i="2"/>
  <c r="J9" i="2"/>
  <c r="BP28" i="2"/>
  <c r="BN52" i="2"/>
  <c r="Y55" i="2"/>
  <c r="BN63" i="2"/>
  <c r="BN73" i="2"/>
  <c r="Z83" i="2"/>
  <c r="Z84" i="2" s="1"/>
  <c r="BN96" i="2"/>
  <c r="Y99" i="2"/>
  <c r="BN107" i="2"/>
  <c r="BN117" i="2"/>
  <c r="BP129" i="2"/>
  <c r="BN140" i="2"/>
  <c r="Z151" i="2"/>
  <c r="BP153" i="2"/>
  <c r="Y165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Y375" i="2"/>
  <c r="BP384" i="2"/>
  <c r="Z392" i="2"/>
  <c r="BN407" i="2"/>
  <c r="BN417" i="2"/>
  <c r="Y420" i="2"/>
  <c r="BP442" i="2"/>
  <c r="Z452" i="2"/>
  <c r="BP454" i="2"/>
  <c r="BN465" i="2"/>
  <c r="Z477" i="2"/>
  <c r="BP479" i="2"/>
  <c r="BP489" i="2"/>
  <c r="Z497" i="2"/>
  <c r="BP499" i="2"/>
  <c r="BN511" i="2"/>
  <c r="Y526" i="2"/>
  <c r="K543" i="2"/>
  <c r="BP224" i="2"/>
  <c r="BP234" i="2"/>
  <c r="BP346" i="2"/>
  <c r="Y446" i="2"/>
  <c r="BP459" i="2"/>
  <c r="Y493" i="2"/>
  <c r="Y503" i="2"/>
  <c r="L543" i="2"/>
  <c r="Z129" i="2"/>
  <c r="Z130" i="2" s="1"/>
  <c r="A10" i="2"/>
  <c r="BP45" i="2"/>
  <c r="BP91" i="2"/>
  <c r="BP159" i="2"/>
  <c r="Y190" i="2"/>
  <c r="BP203" i="2"/>
  <c r="F10" i="2"/>
  <c r="BP52" i="2"/>
  <c r="Z61" i="2"/>
  <c r="BP63" i="2"/>
  <c r="Z71" i="2"/>
  <c r="Z74" i="2" s="1"/>
  <c r="BP73" i="2"/>
  <c r="BN83" i="2"/>
  <c r="BP96" i="2"/>
  <c r="Z105" i="2"/>
  <c r="BP107" i="2"/>
  <c r="Z115" i="2"/>
  <c r="BP117" i="2"/>
  <c r="Z125" i="2"/>
  <c r="Y130" i="2"/>
  <c r="BP140" i="2"/>
  <c r="BN151" i="2"/>
  <c r="Y154" i="2"/>
  <c r="Z172" i="2"/>
  <c r="BP174" i="2"/>
  <c r="Z182" i="2"/>
  <c r="BP198" i="2"/>
  <c r="BP209" i="2"/>
  <c r="Z217" i="2"/>
  <c r="BP219" i="2"/>
  <c r="Y228" i="2"/>
  <c r="BP239" i="2"/>
  <c r="BN250" i="2"/>
  <c r="Z260" i="2"/>
  <c r="BP262" i="2"/>
  <c r="Z270" i="2"/>
  <c r="BP272" i="2"/>
  <c r="BN280" i="2"/>
  <c r="Z291" i="2"/>
  <c r="BP293" i="2"/>
  <c r="Z301" i="2"/>
  <c r="Z302" i="2" s="1"/>
  <c r="Y306" i="2"/>
  <c r="BP316" i="2"/>
  <c r="Z325" i="2"/>
  <c r="Z328" i="2" s="1"/>
  <c r="BP327" i="2"/>
  <c r="Z336" i="2"/>
  <c r="Y350" i="2"/>
  <c r="BP362" i="2"/>
  <c r="BP372" i="2"/>
  <c r="Z380" i="2"/>
  <c r="BN392" i="2"/>
  <c r="BP407" i="2"/>
  <c r="BP417" i="2"/>
  <c r="Z438" i="2"/>
  <c r="Z439" i="2" s="1"/>
  <c r="BN452" i="2"/>
  <c r="BP465" i="2"/>
  <c r="BN477" i="2"/>
  <c r="BN497" i="2"/>
  <c r="BP511" i="2"/>
  <c r="Y522" i="2"/>
  <c r="M543" i="2"/>
  <c r="Y56" i="2"/>
  <c r="Y92" i="2"/>
  <c r="Y358" i="2"/>
  <c r="Y368" i="2"/>
  <c r="Y376" i="2"/>
  <c r="Y401" i="2"/>
  <c r="Y421" i="2"/>
  <c r="Y527" i="2"/>
  <c r="O543" i="2"/>
  <c r="Y46" i="2"/>
  <c r="Y100" i="2"/>
  <c r="Y235" i="2"/>
  <c r="Y25" i="2"/>
  <c r="BN61" i="2"/>
  <c r="BN71" i="2"/>
  <c r="BN105" i="2"/>
  <c r="BN115" i="2"/>
  <c r="BN125" i="2"/>
  <c r="Y141" i="2"/>
  <c r="BP151" i="2"/>
  <c r="BN172" i="2"/>
  <c r="BN182" i="2"/>
  <c r="Z192" i="2"/>
  <c r="Z193" i="2" s="1"/>
  <c r="Z204" i="2"/>
  <c r="Y210" i="2"/>
  <c r="BN217" i="2"/>
  <c r="Z225" i="2"/>
  <c r="BN260" i="2"/>
  <c r="BN270" i="2"/>
  <c r="Z278" i="2"/>
  <c r="BN291" i="2"/>
  <c r="BN301" i="2"/>
  <c r="Z311" i="2"/>
  <c r="BN325" i="2"/>
  <c r="Y328" i="2"/>
  <c r="BN336" i="2"/>
  <c r="Z347" i="2"/>
  <c r="Z349" i="2" s="1"/>
  <c r="BN380" i="2"/>
  <c r="Z413" i="2"/>
  <c r="Y426" i="2"/>
  <c r="BN438" i="2"/>
  <c r="Z450" i="2"/>
  <c r="Z460" i="2"/>
  <c r="Z461" i="2" s="1"/>
  <c r="Y466" i="2"/>
  <c r="BP477" i="2"/>
  <c r="BN485" i="2"/>
  <c r="Z495" i="2"/>
  <c r="Z507" i="2"/>
  <c r="Z508" i="2" s="1"/>
  <c r="Y512" i="2"/>
  <c r="P543" i="2"/>
  <c r="Y79" i="2"/>
  <c r="Y307" i="2"/>
  <c r="Y388" i="2"/>
  <c r="Y517" i="2"/>
  <c r="Q543" i="2"/>
  <c r="Y136" i="2"/>
  <c r="Y160" i="2"/>
  <c r="Y32" i="2"/>
  <c r="Y131" i="2"/>
  <c r="Y146" i="2"/>
  <c r="Z22" i="2"/>
  <c r="Y47" i="2"/>
  <c r="Z59" i="2"/>
  <c r="Y84" i="2"/>
  <c r="Y93" i="2"/>
  <c r="Z103" i="2"/>
  <c r="Z113" i="2"/>
  <c r="Z123" i="2"/>
  <c r="Y137" i="2"/>
  <c r="Y161" i="2"/>
  <c r="Z170" i="2"/>
  <c r="BN192" i="2"/>
  <c r="BN204" i="2"/>
  <c r="Z215" i="2"/>
  <c r="BN225" i="2"/>
  <c r="Y251" i="2"/>
  <c r="BP270" i="2"/>
  <c r="BN278" i="2"/>
  <c r="BP301" i="2"/>
  <c r="BN311" i="2"/>
  <c r="Z334" i="2"/>
  <c r="BN347" i="2"/>
  <c r="Y359" i="2"/>
  <c r="Y369" i="2"/>
  <c r="Z378" i="2"/>
  <c r="Z381" i="2" s="1"/>
  <c r="Y402" i="2"/>
  <c r="BN413" i="2"/>
  <c r="Z423" i="2"/>
  <c r="Z425" i="2" s="1"/>
  <c r="BP438" i="2"/>
  <c r="BN450" i="2"/>
  <c r="BN460" i="2"/>
  <c r="BN495" i="2"/>
  <c r="BN507" i="2"/>
  <c r="Z530" i="2"/>
  <c r="Z531" i="2" s="1"/>
  <c r="R543" i="2"/>
  <c r="Y329" i="2"/>
  <c r="Y467" i="2"/>
  <c r="Y513" i="2"/>
  <c r="BN22" i="2"/>
  <c r="Y33" i="2"/>
  <c r="Z44" i="2"/>
  <c r="BN59" i="2"/>
  <c r="Y80" i="2"/>
  <c r="Z90" i="2"/>
  <c r="BN103" i="2"/>
  <c r="BN113" i="2"/>
  <c r="BN123" i="2"/>
  <c r="Y126" i="2"/>
  <c r="Z134" i="2"/>
  <c r="Y147" i="2"/>
  <c r="Z158" i="2"/>
  <c r="Z160" i="2" s="1"/>
  <c r="BN170" i="2"/>
  <c r="BP192" i="2"/>
  <c r="Z202" i="2"/>
  <c r="BN215" i="2"/>
  <c r="Z223" i="2"/>
  <c r="Z233" i="2"/>
  <c r="Z266" i="2"/>
  <c r="Z276" i="2"/>
  <c r="Z286" i="2"/>
  <c r="Z297" i="2"/>
  <c r="Y302" i="2"/>
  <c r="Z309" i="2"/>
  <c r="Z320" i="2"/>
  <c r="BN334" i="2"/>
  <c r="Y337" i="2"/>
  <c r="Z356" i="2"/>
  <c r="Z366" i="2"/>
  <c r="BN378" i="2"/>
  <c r="Y381" i="2"/>
  <c r="Y389" i="2"/>
  <c r="Z399" i="2"/>
  <c r="Z411" i="2"/>
  <c r="BN423" i="2"/>
  <c r="Z434" i="2"/>
  <c r="Z435" i="2" s="1"/>
  <c r="Y439" i="2"/>
  <c r="BP450" i="2"/>
  <c r="Y486" i="2"/>
  <c r="BP495" i="2"/>
  <c r="BP507" i="2"/>
  <c r="Y518" i="2"/>
  <c r="BN530" i="2"/>
  <c r="Y456" i="2"/>
  <c r="B543" i="2"/>
  <c r="Z30" i="2"/>
  <c r="BP59" i="2"/>
  <c r="Z77" i="2"/>
  <c r="Z79" i="2" s="1"/>
  <c r="BN90" i="2"/>
  <c r="BN134" i="2"/>
  <c r="Z144" i="2"/>
  <c r="BN158" i="2"/>
  <c r="Z168" i="2"/>
  <c r="Z188" i="2"/>
  <c r="Y193" i="2"/>
  <c r="BN202" i="2"/>
  <c r="Y205" i="2"/>
  <c r="Z213" i="2"/>
  <c r="BN223" i="2"/>
  <c r="BN233" i="2"/>
  <c r="BN266" i="2"/>
  <c r="BN276" i="2"/>
  <c r="BN286" i="2"/>
  <c r="BN297" i="2"/>
  <c r="BN309" i="2"/>
  <c r="Y312" i="2"/>
  <c r="BN320" i="2"/>
  <c r="Z332" i="2"/>
  <c r="BN356" i="2"/>
  <c r="BN366" i="2"/>
  <c r="BP378" i="2"/>
  <c r="Z386" i="2"/>
  <c r="BN399" i="2"/>
  <c r="BN411" i="2"/>
  <c r="Y414" i="2"/>
  <c r="BN434" i="2"/>
  <c r="Z444" i="2"/>
  <c r="Y461" i="2"/>
  <c r="Z469" i="2"/>
  <c r="Z481" i="2"/>
  <c r="Z491" i="2"/>
  <c r="Z501" i="2"/>
  <c r="Y508" i="2"/>
  <c r="Z515" i="2"/>
  <c r="Z517" i="2" s="1"/>
  <c r="BP530" i="2"/>
  <c r="V543" i="2"/>
  <c r="BN44" i="2"/>
  <c r="Y68" i="2"/>
  <c r="BP103" i="2"/>
  <c r="BN51" i="2"/>
  <c r="Y109" i="2"/>
  <c r="Z150" i="2"/>
  <c r="BN238" i="2"/>
  <c r="Y338" i="2"/>
  <c r="Z391" i="2"/>
  <c r="Y487" i="2"/>
  <c r="Z496" i="2"/>
  <c r="Z520" i="2"/>
  <c r="Z521" i="2" s="1"/>
  <c r="BP134" i="2"/>
  <c r="BP286" i="2"/>
  <c r="BP309" i="2"/>
  <c r="Y343" i="2"/>
  <c r="BP434" i="2"/>
  <c r="Y457" i="2"/>
  <c r="BN469" i="2"/>
  <c r="Z525" i="2"/>
  <c r="Z526" i="2" s="1"/>
  <c r="Y531" i="2"/>
  <c r="Y206" i="2"/>
  <c r="Y282" i="2"/>
  <c r="Y415" i="2"/>
  <c r="Y509" i="2"/>
  <c r="Y543" i="2"/>
  <c r="Y242" i="2"/>
  <c r="Y267" i="2"/>
  <c r="Y298" i="2"/>
  <c r="Y321" i="2"/>
  <c r="Z28" i="2"/>
  <c r="Y532" i="2"/>
  <c r="BN442" i="2"/>
  <c r="BN489" i="2"/>
  <c r="Z388" i="2" l="1"/>
  <c r="X536" i="2"/>
  <c r="Z420" i="2"/>
  <c r="Z32" i="2"/>
  <c r="Z394" i="2"/>
  <c r="Z492" i="2"/>
  <c r="Z472" i="2"/>
  <c r="Z445" i="2"/>
  <c r="Z146" i="2"/>
  <c r="Z401" i="2"/>
  <c r="Z368" i="2"/>
  <c r="Z321" i="2"/>
  <c r="Z287" i="2"/>
  <c r="Z205" i="2"/>
  <c r="Z92" i="2"/>
  <c r="Z126" i="2"/>
  <c r="Z109" i="2"/>
  <c r="Z456" i="2"/>
  <c r="Z251" i="2"/>
  <c r="Z375" i="2"/>
  <c r="Z337" i="2"/>
  <c r="Z189" i="2"/>
  <c r="Z358" i="2"/>
  <c r="Z312" i="2"/>
  <c r="Z235" i="2"/>
  <c r="Z136" i="2"/>
  <c r="Z46" i="2"/>
  <c r="Z119" i="2"/>
  <c r="Z24" i="2"/>
  <c r="Z184" i="2"/>
  <c r="Z256" i="2"/>
  <c r="Z342" i="2"/>
  <c r="Z178" i="2"/>
  <c r="Z414" i="2"/>
  <c r="Y537" i="2"/>
  <c r="Y535" i="2"/>
  <c r="Z298" i="2"/>
  <c r="Z486" i="2"/>
  <c r="Z227" i="2"/>
  <c r="Z154" i="2"/>
  <c r="Z282" i="2"/>
  <c r="Z67" i="2"/>
  <c r="Z267" i="2"/>
  <c r="Y533" i="2"/>
  <c r="Z502" i="2"/>
  <c r="Y534" i="2"/>
  <c r="Y536" i="2" s="1"/>
  <c r="Z538" i="2" l="1"/>
</calcChain>
</file>

<file path=xl/sharedStrings.xml><?xml version="1.0" encoding="utf-8"?>
<sst xmlns="http://schemas.openxmlformats.org/spreadsheetml/2006/main" count="4065" uniqueCount="873">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</sst>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41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29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55" t="s">
        <v>26</v>
      </c>
      <c r="E1" s="955"/>
      <c r="F1" s="955"/>
      <c r="G1" s="14" t="s">
        <v>67</v>
      </c>
      <c r="H1" s="955" t="s">
        <v>47</v>
      </c>
      <c r="I1" s="955"/>
      <c r="J1" s="955"/>
      <c r="K1" s="955"/>
      <c r="L1" s="955"/>
      <c r="M1" s="955"/>
      <c r="N1" s="955"/>
      <c r="O1" s="955"/>
      <c r="P1" s="955"/>
      <c r="Q1" s="955"/>
      <c r="R1" s="956" t="s">
        <v>68</v>
      </c>
      <c r="S1" s="957"/>
      <c r="T1" s="95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58"/>
      <c r="R2" s="958"/>
      <c r="S2" s="958"/>
      <c r="T2" s="958"/>
      <c r="U2" s="958"/>
      <c r="V2" s="958"/>
      <c r="W2" s="95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58"/>
      <c r="Q3" s="958"/>
      <c r="R3" s="958"/>
      <c r="S3" s="958"/>
      <c r="T3" s="958"/>
      <c r="U3" s="958"/>
      <c r="V3" s="958"/>
      <c r="W3" s="95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36" t="s">
        <v>8</v>
      </c>
      <c r="B5" s="936"/>
      <c r="C5" s="936"/>
      <c r="D5" s="959"/>
      <c r="E5" s="959"/>
      <c r="F5" s="960" t="s">
        <v>14</v>
      </c>
      <c r="G5" s="960"/>
      <c r="H5" s="959"/>
      <c r="I5" s="959"/>
      <c r="J5" s="959"/>
      <c r="K5" s="959"/>
      <c r="L5" s="959"/>
      <c r="M5" s="959"/>
      <c r="N5" s="72"/>
      <c r="P5" s="27" t="s">
        <v>4</v>
      </c>
      <c r="Q5" s="961">
        <v>46216</v>
      </c>
      <c r="R5" s="961"/>
      <c r="T5" s="962" t="s">
        <v>3</v>
      </c>
      <c r="U5" s="963"/>
      <c r="V5" s="964" t="s">
        <v>833</v>
      </c>
      <c r="W5" s="965"/>
      <c r="AB5" s="59"/>
      <c r="AC5" s="59"/>
      <c r="AD5" s="59"/>
      <c r="AE5" s="59"/>
    </row>
    <row r="6" spans="1:32" s="17" customFormat="1" ht="24" customHeight="1" x14ac:dyDescent="0.2">
      <c r="A6" s="936" t="s">
        <v>1</v>
      </c>
      <c r="B6" s="936"/>
      <c r="C6" s="936"/>
      <c r="D6" s="937"/>
      <c r="E6" s="937"/>
      <c r="F6" s="937"/>
      <c r="G6" s="937"/>
      <c r="H6" s="937"/>
      <c r="I6" s="937"/>
      <c r="J6" s="937"/>
      <c r="K6" s="937"/>
      <c r="L6" s="937"/>
      <c r="M6" s="937"/>
      <c r="N6" s="73"/>
      <c r="P6" s="27" t="s">
        <v>27</v>
      </c>
      <c r="Q6" s="938" t="str">
        <f>IF(Q5=0," ",CHOOSE(WEEKDAY(Q5,2),"Понедельник","Вторник","Среда","Четверг","Пятница","Суббота","Воскресенье"))</f>
        <v>Понедельник</v>
      </c>
      <c r="R6" s="938"/>
      <c r="T6" s="939" t="s">
        <v>5</v>
      </c>
      <c r="U6" s="940"/>
      <c r="V6" s="941" t="s">
        <v>70</v>
      </c>
      <c r="W6" s="94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47">
        <f>IFERROR(VLOOKUP(DeliveryAddress,Table,3,0),1)</f>
        <v>1</v>
      </c>
      <c r="E7" s="948"/>
      <c r="F7" s="948"/>
      <c r="G7" s="948"/>
      <c r="H7" s="948"/>
      <c r="I7" s="948"/>
      <c r="J7" s="948"/>
      <c r="K7" s="948"/>
      <c r="L7" s="948"/>
      <c r="M7" s="949"/>
      <c r="N7" s="74"/>
      <c r="P7" s="29"/>
      <c r="Q7" s="48"/>
      <c r="R7" s="48"/>
      <c r="T7" s="939"/>
      <c r="U7" s="940"/>
      <c r="V7" s="943"/>
      <c r="W7" s="944"/>
      <c r="AB7" s="59"/>
      <c r="AC7" s="59"/>
      <c r="AD7" s="59"/>
      <c r="AE7" s="59"/>
    </row>
    <row r="8" spans="1:32" s="17" customFormat="1" ht="25.5" customHeight="1" x14ac:dyDescent="0.2">
      <c r="A8" s="950" t="s">
        <v>58</v>
      </c>
      <c r="B8" s="950"/>
      <c r="C8" s="950"/>
      <c r="D8" s="951"/>
      <c r="E8" s="951"/>
      <c r="F8" s="951"/>
      <c r="G8" s="951"/>
      <c r="H8" s="951"/>
      <c r="I8" s="951"/>
      <c r="J8" s="951"/>
      <c r="K8" s="951"/>
      <c r="L8" s="951"/>
      <c r="M8" s="951"/>
      <c r="N8" s="75"/>
      <c r="P8" s="27" t="s">
        <v>11</v>
      </c>
      <c r="Q8" s="934">
        <v>0.41666666666666669</v>
      </c>
      <c r="R8" s="952"/>
      <c r="T8" s="939"/>
      <c r="U8" s="940"/>
      <c r="V8" s="943"/>
      <c r="W8" s="944"/>
      <c r="AB8" s="59"/>
      <c r="AC8" s="59"/>
      <c r="AD8" s="59"/>
      <c r="AE8" s="59"/>
    </row>
    <row r="9" spans="1:32" s="17" customFormat="1" ht="39.950000000000003" customHeight="1" x14ac:dyDescent="0.2">
      <c r="A9" s="92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26"/>
      <c r="C9" s="926"/>
      <c r="D9" s="927" t="s">
        <v>46</v>
      </c>
      <c r="E9" s="928"/>
      <c r="F9" s="92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26"/>
      <c r="H9" s="953" t="str">
        <f>IF(AND($A$9="Тип доверенности/получателя при получении в адресе перегруза:",$D$9="Разовая доверенность"),"Введите ФИО","")</f>
        <v/>
      </c>
      <c r="I9" s="953"/>
      <c r="J9" s="9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53"/>
      <c r="L9" s="953"/>
      <c r="M9" s="953"/>
      <c r="N9" s="70"/>
      <c r="P9" s="31" t="s">
        <v>15</v>
      </c>
      <c r="Q9" s="954"/>
      <c r="R9" s="954"/>
      <c r="T9" s="939"/>
      <c r="U9" s="940"/>
      <c r="V9" s="945"/>
      <c r="W9" s="94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2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26"/>
      <c r="C10" s="926"/>
      <c r="D10" s="927"/>
      <c r="E10" s="928"/>
      <c r="F10" s="92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26"/>
      <c r="H10" s="929" t="str">
        <f>IFERROR(VLOOKUP($D$10,Proxy,2,FALSE),"")</f>
        <v/>
      </c>
      <c r="I10" s="929"/>
      <c r="J10" s="929"/>
      <c r="K10" s="929"/>
      <c r="L10" s="929"/>
      <c r="M10" s="929"/>
      <c r="N10" s="71"/>
      <c r="P10" s="31" t="s">
        <v>32</v>
      </c>
      <c r="Q10" s="930"/>
      <c r="R10" s="930"/>
      <c r="U10" s="29" t="s">
        <v>12</v>
      </c>
      <c r="V10" s="931" t="s">
        <v>71</v>
      </c>
      <c r="W10" s="93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33"/>
      <c r="R11" s="933"/>
      <c r="U11" s="29" t="s">
        <v>28</v>
      </c>
      <c r="V11" s="912" t="s">
        <v>55</v>
      </c>
      <c r="W11" s="91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11" t="s">
        <v>72</v>
      </c>
      <c r="B12" s="911"/>
      <c r="C12" s="911"/>
      <c r="D12" s="911"/>
      <c r="E12" s="911"/>
      <c r="F12" s="911"/>
      <c r="G12" s="911"/>
      <c r="H12" s="911"/>
      <c r="I12" s="911"/>
      <c r="J12" s="911"/>
      <c r="K12" s="911"/>
      <c r="L12" s="911"/>
      <c r="M12" s="911"/>
      <c r="N12" s="76"/>
      <c r="P12" s="27" t="s">
        <v>30</v>
      </c>
      <c r="Q12" s="934"/>
      <c r="R12" s="934"/>
      <c r="S12" s="28"/>
      <c r="T12"/>
      <c r="U12" s="29" t="s">
        <v>46</v>
      </c>
      <c r="V12" s="935"/>
      <c r="W12" s="935"/>
      <c r="X12"/>
      <c r="AB12" s="59"/>
      <c r="AC12" s="59"/>
      <c r="AD12" s="59"/>
      <c r="AE12" s="59"/>
    </row>
    <row r="13" spans="1:32" s="17" customFormat="1" ht="23.25" customHeight="1" x14ac:dyDescent="0.2">
      <c r="A13" s="911" t="s">
        <v>73</v>
      </c>
      <c r="B13" s="911"/>
      <c r="C13" s="911"/>
      <c r="D13" s="911"/>
      <c r="E13" s="911"/>
      <c r="F13" s="911"/>
      <c r="G13" s="911"/>
      <c r="H13" s="911"/>
      <c r="I13" s="911"/>
      <c r="J13" s="911"/>
      <c r="K13" s="911"/>
      <c r="L13" s="911"/>
      <c r="M13" s="911"/>
      <c r="N13" s="76"/>
      <c r="O13" s="31"/>
      <c r="P13" s="31" t="s">
        <v>31</v>
      </c>
      <c r="Q13" s="912"/>
      <c r="R13" s="91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11" t="s">
        <v>74</v>
      </c>
      <c r="B14" s="911"/>
      <c r="C14" s="911"/>
      <c r="D14" s="911"/>
      <c r="E14" s="911"/>
      <c r="F14" s="911"/>
      <c r="G14" s="911"/>
      <c r="H14" s="911"/>
      <c r="I14" s="911"/>
      <c r="J14" s="911"/>
      <c r="K14" s="911"/>
      <c r="L14" s="911"/>
      <c r="M14" s="91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13" t="s">
        <v>75</v>
      </c>
      <c r="B15" s="913"/>
      <c r="C15" s="913"/>
      <c r="D15" s="913"/>
      <c r="E15" s="913"/>
      <c r="F15" s="913"/>
      <c r="G15" s="913"/>
      <c r="H15" s="913"/>
      <c r="I15" s="913"/>
      <c r="J15" s="913"/>
      <c r="K15" s="913"/>
      <c r="L15" s="913"/>
      <c r="M15" s="913"/>
      <c r="N15" s="77"/>
      <c r="O15"/>
      <c r="P15" s="914" t="s">
        <v>61</v>
      </c>
      <c r="Q15" s="914"/>
      <c r="R15" s="914"/>
      <c r="S15" s="914"/>
      <c r="T15" s="91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15"/>
      <c r="Q16" s="915"/>
      <c r="R16" s="915"/>
      <c r="S16" s="915"/>
      <c r="T16" s="91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97" t="s">
        <v>59</v>
      </c>
      <c r="B17" s="897" t="s">
        <v>49</v>
      </c>
      <c r="C17" s="918" t="s">
        <v>48</v>
      </c>
      <c r="D17" s="920" t="s">
        <v>50</v>
      </c>
      <c r="E17" s="921"/>
      <c r="F17" s="897" t="s">
        <v>21</v>
      </c>
      <c r="G17" s="897" t="s">
        <v>24</v>
      </c>
      <c r="H17" s="897" t="s">
        <v>22</v>
      </c>
      <c r="I17" s="897" t="s">
        <v>23</v>
      </c>
      <c r="J17" s="897" t="s">
        <v>16</v>
      </c>
      <c r="K17" s="897" t="s">
        <v>66</v>
      </c>
      <c r="L17" s="897" t="s">
        <v>64</v>
      </c>
      <c r="M17" s="897" t="s">
        <v>2</v>
      </c>
      <c r="N17" s="897" t="s">
        <v>63</v>
      </c>
      <c r="O17" s="897" t="s">
        <v>25</v>
      </c>
      <c r="P17" s="920" t="s">
        <v>17</v>
      </c>
      <c r="Q17" s="924"/>
      <c r="R17" s="924"/>
      <c r="S17" s="924"/>
      <c r="T17" s="921"/>
      <c r="U17" s="916" t="s">
        <v>56</v>
      </c>
      <c r="V17" s="917"/>
      <c r="W17" s="897" t="s">
        <v>6</v>
      </c>
      <c r="X17" s="897" t="s">
        <v>41</v>
      </c>
      <c r="Y17" s="899" t="s">
        <v>54</v>
      </c>
      <c r="Z17" s="901" t="s">
        <v>18</v>
      </c>
      <c r="AA17" s="903" t="s">
        <v>60</v>
      </c>
      <c r="AB17" s="903" t="s">
        <v>19</v>
      </c>
      <c r="AC17" s="903" t="s">
        <v>65</v>
      </c>
      <c r="AD17" s="905" t="s">
        <v>57</v>
      </c>
      <c r="AE17" s="906"/>
      <c r="AF17" s="907"/>
      <c r="AG17" s="82"/>
      <c r="BD17" s="81" t="s">
        <v>62</v>
      </c>
    </row>
    <row r="18" spans="1:68" ht="14.25" customHeight="1" x14ac:dyDescent="0.2">
      <c r="A18" s="898"/>
      <c r="B18" s="898"/>
      <c r="C18" s="919"/>
      <c r="D18" s="922"/>
      <c r="E18" s="923"/>
      <c r="F18" s="898"/>
      <c r="G18" s="898"/>
      <c r="H18" s="898"/>
      <c r="I18" s="898"/>
      <c r="J18" s="898"/>
      <c r="K18" s="898"/>
      <c r="L18" s="898"/>
      <c r="M18" s="898"/>
      <c r="N18" s="898"/>
      <c r="O18" s="898"/>
      <c r="P18" s="922"/>
      <c r="Q18" s="925"/>
      <c r="R18" s="925"/>
      <c r="S18" s="925"/>
      <c r="T18" s="923"/>
      <c r="U18" s="83" t="s">
        <v>44</v>
      </c>
      <c r="V18" s="83" t="s">
        <v>43</v>
      </c>
      <c r="W18" s="898"/>
      <c r="X18" s="898"/>
      <c r="Y18" s="900"/>
      <c r="Z18" s="902"/>
      <c r="AA18" s="904"/>
      <c r="AB18" s="904"/>
      <c r="AC18" s="904"/>
      <c r="AD18" s="908"/>
      <c r="AE18" s="909"/>
      <c r="AF18" s="910"/>
      <c r="AG18" s="82"/>
      <c r="BD18" s="81"/>
    </row>
    <row r="19" spans="1:68" ht="27.75" customHeight="1" x14ac:dyDescent="0.2">
      <c r="A19" s="639" t="s">
        <v>76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54"/>
      <c r="AB19" s="54"/>
      <c r="AC19" s="54"/>
    </row>
    <row r="20" spans="1:68" ht="16.5" customHeight="1" x14ac:dyDescent="0.25">
      <c r="A20" s="634" t="s">
        <v>76</v>
      </c>
      <c r="B20" s="634"/>
      <c r="C20" s="634"/>
      <c r="D20" s="634"/>
      <c r="E20" s="634"/>
      <c r="F20" s="634"/>
      <c r="G20" s="634"/>
      <c r="H20" s="634"/>
      <c r="I20" s="634"/>
      <c r="J20" s="634"/>
      <c r="K20" s="634"/>
      <c r="L20" s="634"/>
      <c r="M20" s="634"/>
      <c r="N20" s="634"/>
      <c r="O20" s="634"/>
      <c r="P20" s="634"/>
      <c r="Q20" s="634"/>
      <c r="R20" s="634"/>
      <c r="S20" s="634"/>
      <c r="T20" s="634"/>
      <c r="U20" s="634"/>
      <c r="V20" s="634"/>
      <c r="W20" s="634"/>
      <c r="X20" s="634"/>
      <c r="Y20" s="634"/>
      <c r="Z20" s="634"/>
      <c r="AA20" s="65"/>
      <c r="AB20" s="65"/>
      <c r="AC20" s="79"/>
    </row>
    <row r="21" spans="1:68" ht="14.25" customHeight="1" x14ac:dyDescent="0.25">
      <c r="A21" s="618" t="s">
        <v>77</v>
      </c>
      <c r="B21" s="618"/>
      <c r="C21" s="618"/>
      <c r="D21" s="618"/>
      <c r="E21" s="618"/>
      <c r="F21" s="618"/>
      <c r="G21" s="618"/>
      <c r="H21" s="618"/>
      <c r="I21" s="618"/>
      <c r="J21" s="618"/>
      <c r="K21" s="618"/>
      <c r="L21" s="618"/>
      <c r="M21" s="618"/>
      <c r="N21" s="618"/>
      <c r="O21" s="618"/>
      <c r="P21" s="618"/>
      <c r="Q21" s="618"/>
      <c r="R21" s="618"/>
      <c r="S21" s="618"/>
      <c r="T21" s="618"/>
      <c r="U21" s="618"/>
      <c r="V21" s="618"/>
      <c r="W21" s="618"/>
      <c r="X21" s="618"/>
      <c r="Y21" s="618"/>
      <c r="Z21" s="61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19">
        <v>4680115886643</v>
      </c>
      <c r="E22" s="6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89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1"/>
      <c r="R22" s="621"/>
      <c r="S22" s="621"/>
      <c r="T22" s="6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19">
        <v>4680115889071</v>
      </c>
      <c r="E23" s="6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89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1"/>
      <c r="R23" s="621"/>
      <c r="S23" s="621"/>
      <c r="T23" s="6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6"/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  <c r="N24" s="626"/>
      <c r="O24" s="627"/>
      <c r="P24" s="623" t="s">
        <v>40</v>
      </c>
      <c r="Q24" s="624"/>
      <c r="R24" s="624"/>
      <c r="S24" s="624"/>
      <c r="T24" s="624"/>
      <c r="U24" s="624"/>
      <c r="V24" s="625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6"/>
      <c r="B25" s="626"/>
      <c r="C25" s="626"/>
      <c r="D25" s="626"/>
      <c r="E25" s="626"/>
      <c r="F25" s="626"/>
      <c r="G25" s="626"/>
      <c r="H25" s="626"/>
      <c r="I25" s="626"/>
      <c r="J25" s="626"/>
      <c r="K25" s="626"/>
      <c r="L25" s="626"/>
      <c r="M25" s="626"/>
      <c r="N25" s="626"/>
      <c r="O25" s="627"/>
      <c r="P25" s="623" t="s">
        <v>40</v>
      </c>
      <c r="Q25" s="624"/>
      <c r="R25" s="624"/>
      <c r="S25" s="624"/>
      <c r="T25" s="624"/>
      <c r="U25" s="624"/>
      <c r="V25" s="625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18" t="s">
        <v>86</v>
      </c>
      <c r="B26" s="618"/>
      <c r="C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  <c r="P26" s="618"/>
      <c r="Q26" s="618"/>
      <c r="R26" s="618"/>
      <c r="S26" s="618"/>
      <c r="T26" s="618"/>
      <c r="U26" s="618"/>
      <c r="V26" s="618"/>
      <c r="W26" s="618"/>
      <c r="X26" s="618"/>
      <c r="Y26" s="618"/>
      <c r="Z26" s="618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19">
        <v>4680115885912</v>
      </c>
      <c r="E27" s="6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89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1"/>
      <c r="R27" s="621"/>
      <c r="S27" s="621"/>
      <c r="T27" s="6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19">
        <v>4607091388237</v>
      </c>
      <c r="E28" s="6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8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1"/>
      <c r="R28" s="621"/>
      <c r="S28" s="621"/>
      <c r="T28" s="6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19">
        <v>4680115887350</v>
      </c>
      <c r="E29" s="6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89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1"/>
      <c r="R29" s="621"/>
      <c r="S29" s="621"/>
      <c r="T29" s="6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19">
        <v>4680115885905</v>
      </c>
      <c r="E30" s="6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8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1"/>
      <c r="R30" s="621"/>
      <c r="S30" s="621"/>
      <c r="T30" s="6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19">
        <v>4680115887619</v>
      </c>
      <c r="E31" s="6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88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1"/>
      <c r="R31" s="621"/>
      <c r="S31" s="621"/>
      <c r="T31" s="6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26"/>
      <c r="B32" s="626"/>
      <c r="C32" s="626"/>
      <c r="D32" s="626"/>
      <c r="E32" s="626"/>
      <c r="F32" s="626"/>
      <c r="G32" s="626"/>
      <c r="H32" s="626"/>
      <c r="I32" s="626"/>
      <c r="J32" s="626"/>
      <c r="K32" s="626"/>
      <c r="L32" s="626"/>
      <c r="M32" s="626"/>
      <c r="N32" s="626"/>
      <c r="O32" s="627"/>
      <c r="P32" s="623" t="s">
        <v>40</v>
      </c>
      <c r="Q32" s="624"/>
      <c r="R32" s="624"/>
      <c r="S32" s="624"/>
      <c r="T32" s="624"/>
      <c r="U32" s="624"/>
      <c r="V32" s="625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26"/>
      <c r="B33" s="626"/>
      <c r="C33" s="626"/>
      <c r="D33" s="626"/>
      <c r="E33" s="626"/>
      <c r="F33" s="626"/>
      <c r="G33" s="626"/>
      <c r="H33" s="626"/>
      <c r="I33" s="626"/>
      <c r="J33" s="626"/>
      <c r="K33" s="626"/>
      <c r="L33" s="626"/>
      <c r="M33" s="626"/>
      <c r="N33" s="626"/>
      <c r="O33" s="627"/>
      <c r="P33" s="623" t="s">
        <v>40</v>
      </c>
      <c r="Q33" s="624"/>
      <c r="R33" s="624"/>
      <c r="S33" s="624"/>
      <c r="T33" s="624"/>
      <c r="U33" s="624"/>
      <c r="V33" s="625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18" t="s">
        <v>104</v>
      </c>
      <c r="B34" s="618"/>
      <c r="C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  <c r="P34" s="618"/>
      <c r="Q34" s="618"/>
      <c r="R34" s="618"/>
      <c r="S34" s="618"/>
      <c r="T34" s="618"/>
      <c r="U34" s="618"/>
      <c r="V34" s="618"/>
      <c r="W34" s="618"/>
      <c r="X34" s="618"/>
      <c r="Y34" s="618"/>
      <c r="Z34" s="618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19">
        <v>4607091388503</v>
      </c>
      <c r="E35" s="61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89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1"/>
      <c r="R35" s="621"/>
      <c r="S35" s="621"/>
      <c r="T35" s="62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26"/>
      <c r="B36" s="626"/>
      <c r="C36" s="626"/>
      <c r="D36" s="626"/>
      <c r="E36" s="626"/>
      <c r="F36" s="626"/>
      <c r="G36" s="626"/>
      <c r="H36" s="626"/>
      <c r="I36" s="626"/>
      <c r="J36" s="626"/>
      <c r="K36" s="626"/>
      <c r="L36" s="626"/>
      <c r="M36" s="626"/>
      <c r="N36" s="626"/>
      <c r="O36" s="627"/>
      <c r="P36" s="623" t="s">
        <v>40</v>
      </c>
      <c r="Q36" s="624"/>
      <c r="R36" s="624"/>
      <c r="S36" s="624"/>
      <c r="T36" s="624"/>
      <c r="U36" s="624"/>
      <c r="V36" s="625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26"/>
      <c r="B37" s="626"/>
      <c r="C37" s="626"/>
      <c r="D37" s="626"/>
      <c r="E37" s="626"/>
      <c r="F37" s="626"/>
      <c r="G37" s="626"/>
      <c r="H37" s="626"/>
      <c r="I37" s="626"/>
      <c r="J37" s="626"/>
      <c r="K37" s="626"/>
      <c r="L37" s="626"/>
      <c r="M37" s="626"/>
      <c r="N37" s="626"/>
      <c r="O37" s="627"/>
      <c r="P37" s="623" t="s">
        <v>40</v>
      </c>
      <c r="Q37" s="624"/>
      <c r="R37" s="624"/>
      <c r="S37" s="624"/>
      <c r="T37" s="624"/>
      <c r="U37" s="624"/>
      <c r="V37" s="625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39" t="s">
        <v>45</v>
      </c>
      <c r="B38" s="639"/>
      <c r="C38" s="639"/>
      <c r="D38" s="639"/>
      <c r="E38" s="639"/>
      <c r="F38" s="639"/>
      <c r="G38" s="639"/>
      <c r="H38" s="639"/>
      <c r="I38" s="639"/>
      <c r="J38" s="639"/>
      <c r="K38" s="639"/>
      <c r="L38" s="639"/>
      <c r="M38" s="639"/>
      <c r="N38" s="639"/>
      <c r="O38" s="639"/>
      <c r="P38" s="639"/>
      <c r="Q38" s="639"/>
      <c r="R38" s="639"/>
      <c r="S38" s="639"/>
      <c r="T38" s="639"/>
      <c r="U38" s="639"/>
      <c r="V38" s="639"/>
      <c r="W38" s="639"/>
      <c r="X38" s="639"/>
      <c r="Y38" s="639"/>
      <c r="Z38" s="639"/>
      <c r="AA38" s="54"/>
      <c r="AB38" s="54"/>
      <c r="AC38" s="54"/>
    </row>
    <row r="39" spans="1:68" ht="16.5" customHeight="1" x14ac:dyDescent="0.25">
      <c r="A39" s="634" t="s">
        <v>110</v>
      </c>
      <c r="B39" s="634"/>
      <c r="C39" s="634"/>
      <c r="D39" s="634"/>
      <c r="E39" s="634"/>
      <c r="F39" s="634"/>
      <c r="G39" s="634"/>
      <c r="H39" s="634"/>
      <c r="I39" s="634"/>
      <c r="J39" s="634"/>
      <c r="K39" s="634"/>
      <c r="L39" s="634"/>
      <c r="M39" s="634"/>
      <c r="N39" s="634"/>
      <c r="O39" s="634"/>
      <c r="P39" s="634"/>
      <c r="Q39" s="634"/>
      <c r="R39" s="634"/>
      <c r="S39" s="634"/>
      <c r="T39" s="634"/>
      <c r="U39" s="634"/>
      <c r="V39" s="634"/>
      <c r="W39" s="634"/>
      <c r="X39" s="634"/>
      <c r="Y39" s="634"/>
      <c r="Z39" s="634"/>
      <c r="AA39" s="65"/>
      <c r="AB39" s="65"/>
      <c r="AC39" s="79"/>
    </row>
    <row r="40" spans="1:68" ht="14.25" customHeight="1" x14ac:dyDescent="0.25">
      <c r="A40" s="618" t="s">
        <v>86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19">
        <v>4680115889354</v>
      </c>
      <c r="E41" s="6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88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1"/>
      <c r="R41" s="621"/>
      <c r="S41" s="621"/>
      <c r="T41" s="6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115</v>
      </c>
      <c r="B42" s="63" t="s">
        <v>116</v>
      </c>
      <c r="C42" s="36">
        <v>4301052198</v>
      </c>
      <c r="D42" s="619">
        <v>4680115888463</v>
      </c>
      <c r="E42" s="61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1"/>
      <c r="R42" s="621"/>
      <c r="S42" s="621"/>
      <c r="T42" s="62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118</v>
      </c>
      <c r="B43" s="63" t="s">
        <v>119</v>
      </c>
      <c r="C43" s="36">
        <v>4301052202</v>
      </c>
      <c r="D43" s="619">
        <v>4680115888494</v>
      </c>
      <c r="E43" s="61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1"/>
      <c r="R43" s="621"/>
      <c r="S43" s="621"/>
      <c r="T43" s="62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121</v>
      </c>
      <c r="B44" s="63" t="s">
        <v>122</v>
      </c>
      <c r="C44" s="36">
        <v>4301052184</v>
      </c>
      <c r="D44" s="619">
        <v>4680115888272</v>
      </c>
      <c r="E44" s="61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8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1"/>
      <c r="R44" s="621"/>
      <c r="S44" s="621"/>
      <c r="T44" s="62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124</v>
      </c>
      <c r="B45" s="63" t="s">
        <v>125</v>
      </c>
      <c r="C45" s="36">
        <v>4301052188</v>
      </c>
      <c r="D45" s="619">
        <v>4680115888364</v>
      </c>
      <c r="E45" s="61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88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1"/>
      <c r="R45" s="621"/>
      <c r="S45" s="621"/>
      <c r="T45" s="62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26"/>
      <c r="B46" s="626"/>
      <c r="C46" s="626"/>
      <c r="D46" s="626"/>
      <c r="E46" s="626"/>
      <c r="F46" s="626"/>
      <c r="G46" s="626"/>
      <c r="H46" s="626"/>
      <c r="I46" s="626"/>
      <c r="J46" s="626"/>
      <c r="K46" s="626"/>
      <c r="L46" s="626"/>
      <c r="M46" s="626"/>
      <c r="N46" s="626"/>
      <c r="O46" s="627"/>
      <c r="P46" s="623" t="s">
        <v>40</v>
      </c>
      <c r="Q46" s="624"/>
      <c r="R46" s="624"/>
      <c r="S46" s="624"/>
      <c r="T46" s="624"/>
      <c r="U46" s="624"/>
      <c r="V46" s="625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26"/>
      <c r="B47" s="626"/>
      <c r="C47" s="626"/>
      <c r="D47" s="626"/>
      <c r="E47" s="626"/>
      <c r="F47" s="626"/>
      <c r="G47" s="626"/>
      <c r="H47" s="626"/>
      <c r="I47" s="626"/>
      <c r="J47" s="626"/>
      <c r="K47" s="626"/>
      <c r="L47" s="626"/>
      <c r="M47" s="626"/>
      <c r="N47" s="626"/>
      <c r="O47" s="627"/>
      <c r="P47" s="623" t="s">
        <v>40</v>
      </c>
      <c r="Q47" s="624"/>
      <c r="R47" s="624"/>
      <c r="S47" s="624"/>
      <c r="T47" s="624"/>
      <c r="U47" s="624"/>
      <c r="V47" s="625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39" t="s">
        <v>127</v>
      </c>
      <c r="B48" s="639"/>
      <c r="C48" s="639"/>
      <c r="D48" s="639"/>
      <c r="E48" s="639"/>
      <c r="F48" s="639"/>
      <c r="G48" s="639"/>
      <c r="H48" s="639"/>
      <c r="I48" s="639"/>
      <c r="J48" s="639"/>
      <c r="K48" s="639"/>
      <c r="L48" s="639"/>
      <c r="M48" s="639"/>
      <c r="N48" s="639"/>
      <c r="O48" s="639"/>
      <c r="P48" s="639"/>
      <c r="Q48" s="639"/>
      <c r="R48" s="639"/>
      <c r="S48" s="639"/>
      <c r="T48" s="639"/>
      <c r="U48" s="639"/>
      <c r="V48" s="639"/>
      <c r="W48" s="639"/>
      <c r="X48" s="639"/>
      <c r="Y48" s="639"/>
      <c r="Z48" s="639"/>
      <c r="AA48" s="54"/>
      <c r="AB48" s="54"/>
      <c r="AC48" s="54"/>
    </row>
    <row r="49" spans="1:68" ht="16.5" customHeight="1" x14ac:dyDescent="0.25">
      <c r="A49" s="634" t="s">
        <v>128</v>
      </c>
      <c r="B49" s="634"/>
      <c r="C49" s="634"/>
      <c r="D49" s="634"/>
      <c r="E49" s="634"/>
      <c r="F49" s="634"/>
      <c r="G49" s="634"/>
      <c r="H49" s="634"/>
      <c r="I49" s="634"/>
      <c r="J49" s="634"/>
      <c r="K49" s="634"/>
      <c r="L49" s="634"/>
      <c r="M49" s="634"/>
      <c r="N49" s="634"/>
      <c r="O49" s="634"/>
      <c r="P49" s="634"/>
      <c r="Q49" s="634"/>
      <c r="R49" s="634"/>
      <c r="S49" s="634"/>
      <c r="T49" s="634"/>
      <c r="U49" s="634"/>
      <c r="V49" s="634"/>
      <c r="W49" s="634"/>
      <c r="X49" s="634"/>
      <c r="Y49" s="634"/>
      <c r="Z49" s="634"/>
      <c r="AA49" s="65"/>
      <c r="AB49" s="65"/>
      <c r="AC49" s="79"/>
    </row>
    <row r="50" spans="1:68" ht="14.25" customHeight="1" x14ac:dyDescent="0.25">
      <c r="A50" s="618" t="s">
        <v>129</v>
      </c>
      <c r="B50" s="618"/>
      <c r="C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  <c r="P50" s="618"/>
      <c r="Q50" s="618"/>
      <c r="R50" s="618"/>
      <c r="S50" s="618"/>
      <c r="T50" s="618"/>
      <c r="U50" s="618"/>
      <c r="V50" s="618"/>
      <c r="W50" s="618"/>
      <c r="X50" s="618"/>
      <c r="Y50" s="618"/>
      <c r="Z50" s="618"/>
      <c r="AA50" s="66"/>
      <c r="AB50" s="66"/>
      <c r="AC50" s="80"/>
    </row>
    <row r="51" spans="1:68" ht="16.5" customHeight="1" x14ac:dyDescent="0.25">
      <c r="A51" s="63" t="s">
        <v>130</v>
      </c>
      <c r="B51" s="63" t="s">
        <v>131</v>
      </c>
      <c r="C51" s="36">
        <v>4301011380</v>
      </c>
      <c r="D51" s="619">
        <v>4607091385670</v>
      </c>
      <c r="E51" s="61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88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1"/>
      <c r="R51" s="621"/>
      <c r="S51" s="621"/>
      <c r="T51" s="62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135</v>
      </c>
      <c r="B52" s="63" t="s">
        <v>136</v>
      </c>
      <c r="C52" s="36">
        <v>4301012053</v>
      </c>
      <c r="D52" s="619">
        <v>4680115887725</v>
      </c>
      <c r="E52" s="61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88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1"/>
      <c r="R52" s="621"/>
      <c r="S52" s="621"/>
      <c r="T52" s="62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139</v>
      </c>
      <c r="B53" s="63" t="s">
        <v>140</v>
      </c>
      <c r="C53" s="36">
        <v>4301011382</v>
      </c>
      <c r="D53" s="619">
        <v>4607091385687</v>
      </c>
      <c r="E53" s="61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8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1"/>
      <c r="R53" s="621"/>
      <c r="S53" s="621"/>
      <c r="T53" s="62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142</v>
      </c>
      <c r="B54" s="63" t="s">
        <v>143</v>
      </c>
      <c r="C54" s="36">
        <v>4301011565</v>
      </c>
      <c r="D54" s="619">
        <v>4680115882539</v>
      </c>
      <c r="E54" s="61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88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1"/>
      <c r="R54" s="621"/>
      <c r="S54" s="621"/>
      <c r="T54" s="62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26"/>
      <c r="B55" s="626"/>
      <c r="C55" s="626"/>
      <c r="D55" s="626"/>
      <c r="E55" s="626"/>
      <c r="F55" s="626"/>
      <c r="G55" s="626"/>
      <c r="H55" s="626"/>
      <c r="I55" s="626"/>
      <c r="J55" s="626"/>
      <c r="K55" s="626"/>
      <c r="L55" s="626"/>
      <c r="M55" s="626"/>
      <c r="N55" s="626"/>
      <c r="O55" s="627"/>
      <c r="P55" s="623" t="s">
        <v>40</v>
      </c>
      <c r="Q55" s="624"/>
      <c r="R55" s="624"/>
      <c r="S55" s="624"/>
      <c r="T55" s="624"/>
      <c r="U55" s="624"/>
      <c r="V55" s="625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26"/>
      <c r="B56" s="626"/>
      <c r="C56" s="626"/>
      <c r="D56" s="626"/>
      <c r="E56" s="626"/>
      <c r="F56" s="626"/>
      <c r="G56" s="626"/>
      <c r="H56" s="626"/>
      <c r="I56" s="626"/>
      <c r="J56" s="626"/>
      <c r="K56" s="626"/>
      <c r="L56" s="626"/>
      <c r="M56" s="626"/>
      <c r="N56" s="626"/>
      <c r="O56" s="627"/>
      <c r="P56" s="623" t="s">
        <v>40</v>
      </c>
      <c r="Q56" s="624"/>
      <c r="R56" s="624"/>
      <c r="S56" s="624"/>
      <c r="T56" s="624"/>
      <c r="U56" s="624"/>
      <c r="V56" s="625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34" t="s">
        <v>144</v>
      </c>
      <c r="B57" s="634"/>
      <c r="C57" s="634"/>
      <c r="D57" s="634"/>
      <c r="E57" s="634"/>
      <c r="F57" s="634"/>
      <c r="G57" s="634"/>
      <c r="H57" s="634"/>
      <c r="I57" s="634"/>
      <c r="J57" s="634"/>
      <c r="K57" s="634"/>
      <c r="L57" s="634"/>
      <c r="M57" s="634"/>
      <c r="N57" s="634"/>
      <c r="O57" s="634"/>
      <c r="P57" s="634"/>
      <c r="Q57" s="634"/>
      <c r="R57" s="634"/>
      <c r="S57" s="634"/>
      <c r="T57" s="634"/>
      <c r="U57" s="634"/>
      <c r="V57" s="634"/>
      <c r="W57" s="634"/>
      <c r="X57" s="634"/>
      <c r="Y57" s="634"/>
      <c r="Z57" s="634"/>
      <c r="AA57" s="65"/>
      <c r="AB57" s="65"/>
      <c r="AC57" s="79"/>
    </row>
    <row r="58" spans="1:68" ht="14.25" customHeight="1" x14ac:dyDescent="0.25">
      <c r="A58" s="618" t="s">
        <v>129</v>
      </c>
      <c r="B58" s="618"/>
      <c r="C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  <c r="P58" s="618"/>
      <c r="Q58" s="618"/>
      <c r="R58" s="618"/>
      <c r="S58" s="618"/>
      <c r="T58" s="618"/>
      <c r="U58" s="618"/>
      <c r="V58" s="618"/>
      <c r="W58" s="618"/>
      <c r="X58" s="618"/>
      <c r="Y58" s="618"/>
      <c r="Z58" s="618"/>
      <c r="AA58" s="66"/>
      <c r="AB58" s="66"/>
      <c r="AC58" s="80"/>
    </row>
    <row r="59" spans="1:68" ht="27" customHeight="1" x14ac:dyDescent="0.25">
      <c r="A59" s="63" t="s">
        <v>145</v>
      </c>
      <c r="B59" s="63" t="s">
        <v>146</v>
      </c>
      <c r="C59" s="36">
        <v>4301012030</v>
      </c>
      <c r="D59" s="619">
        <v>4680115885882</v>
      </c>
      <c r="E59" s="61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8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1"/>
      <c r="R59" s="621"/>
      <c r="S59" s="621"/>
      <c r="T59" s="6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145</v>
      </c>
      <c r="B60" s="63" t="s">
        <v>148</v>
      </c>
      <c r="C60" s="36">
        <v>4301012161</v>
      </c>
      <c r="D60" s="619">
        <v>4680115885882</v>
      </c>
      <c r="E60" s="61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87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1"/>
      <c r="R60" s="621"/>
      <c r="S60" s="621"/>
      <c r="T60" s="6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150</v>
      </c>
      <c r="B61" s="63" t="s">
        <v>151</v>
      </c>
      <c r="C61" s="36">
        <v>4301011816</v>
      </c>
      <c r="D61" s="619">
        <v>4680115881426</v>
      </c>
      <c r="E61" s="61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87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1"/>
      <c r="R61" s="621"/>
      <c r="S61" s="621"/>
      <c r="T61" s="6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153</v>
      </c>
      <c r="B62" s="63" t="s">
        <v>154</v>
      </c>
      <c r="C62" s="36">
        <v>4301011386</v>
      </c>
      <c r="D62" s="619">
        <v>4680115880283</v>
      </c>
      <c r="E62" s="61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1"/>
      <c r="R62" s="621"/>
      <c r="S62" s="621"/>
      <c r="T62" s="62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153</v>
      </c>
      <c r="B63" s="63" t="s">
        <v>157</v>
      </c>
      <c r="C63" s="36">
        <v>4301012259</v>
      </c>
      <c r="D63" s="619">
        <v>4680115880283</v>
      </c>
      <c r="E63" s="61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87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1"/>
      <c r="R63" s="621"/>
      <c r="S63" s="621"/>
      <c r="T63" s="622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158</v>
      </c>
      <c r="B64" s="63" t="s">
        <v>159</v>
      </c>
      <c r="C64" s="36">
        <v>4301011806</v>
      </c>
      <c r="D64" s="619">
        <v>4680115881525</v>
      </c>
      <c r="E64" s="61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8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1"/>
      <c r="R64" s="621"/>
      <c r="S64" s="621"/>
      <c r="T64" s="62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161</v>
      </c>
      <c r="B65" s="63" t="s">
        <v>162</v>
      </c>
      <c r="C65" s="36">
        <v>4301012165</v>
      </c>
      <c r="D65" s="619">
        <v>4680115885899</v>
      </c>
      <c r="E65" s="61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87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1"/>
      <c r="R65" s="621"/>
      <c r="S65" s="621"/>
      <c r="T65" s="62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163</v>
      </c>
      <c r="B66" s="63" t="s">
        <v>164</v>
      </c>
      <c r="C66" s="36">
        <v>4301011801</v>
      </c>
      <c r="D66" s="619">
        <v>4680115881419</v>
      </c>
      <c r="E66" s="61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87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1"/>
      <c r="R66" s="621"/>
      <c r="S66" s="621"/>
      <c r="T66" s="62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26"/>
      <c r="B67" s="626"/>
      <c r="C67" s="626"/>
      <c r="D67" s="626"/>
      <c r="E67" s="626"/>
      <c r="F67" s="626"/>
      <c r="G67" s="626"/>
      <c r="H67" s="626"/>
      <c r="I67" s="626"/>
      <c r="J67" s="626"/>
      <c r="K67" s="626"/>
      <c r="L67" s="626"/>
      <c r="M67" s="626"/>
      <c r="N67" s="626"/>
      <c r="O67" s="627"/>
      <c r="P67" s="623" t="s">
        <v>40</v>
      </c>
      <c r="Q67" s="624"/>
      <c r="R67" s="624"/>
      <c r="S67" s="624"/>
      <c r="T67" s="624"/>
      <c r="U67" s="624"/>
      <c r="V67" s="625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26"/>
      <c r="B68" s="626"/>
      <c r="C68" s="626"/>
      <c r="D68" s="626"/>
      <c r="E68" s="626"/>
      <c r="F68" s="626"/>
      <c r="G68" s="626"/>
      <c r="H68" s="626"/>
      <c r="I68" s="626"/>
      <c r="J68" s="626"/>
      <c r="K68" s="626"/>
      <c r="L68" s="626"/>
      <c r="M68" s="626"/>
      <c r="N68" s="626"/>
      <c r="O68" s="627"/>
      <c r="P68" s="623" t="s">
        <v>40</v>
      </c>
      <c r="Q68" s="624"/>
      <c r="R68" s="624"/>
      <c r="S68" s="624"/>
      <c r="T68" s="624"/>
      <c r="U68" s="624"/>
      <c r="V68" s="625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18" t="s">
        <v>166</v>
      </c>
      <c r="B69" s="618"/>
      <c r="C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  <c r="P69" s="618"/>
      <c r="Q69" s="618"/>
      <c r="R69" s="618"/>
      <c r="S69" s="618"/>
      <c r="T69" s="618"/>
      <c r="U69" s="618"/>
      <c r="V69" s="618"/>
      <c r="W69" s="618"/>
      <c r="X69" s="618"/>
      <c r="Y69" s="618"/>
      <c r="Z69" s="618"/>
      <c r="AA69" s="66"/>
      <c r="AB69" s="66"/>
      <c r="AC69" s="80"/>
    </row>
    <row r="70" spans="1:68" ht="16.5" customHeight="1" x14ac:dyDescent="0.25">
      <c r="A70" s="63" t="s">
        <v>167</v>
      </c>
      <c r="B70" s="63" t="s">
        <v>168</v>
      </c>
      <c r="C70" s="36">
        <v>4301020298</v>
      </c>
      <c r="D70" s="619">
        <v>4680115881440</v>
      </c>
      <c r="E70" s="61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8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1"/>
      <c r="R70" s="621"/>
      <c r="S70" s="621"/>
      <c r="T70" s="62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170</v>
      </c>
      <c r="B71" s="63" t="s">
        <v>171</v>
      </c>
      <c r="C71" s="36">
        <v>4301020358</v>
      </c>
      <c r="D71" s="619">
        <v>4680115885950</v>
      </c>
      <c r="E71" s="61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7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1"/>
      <c r="R71" s="621"/>
      <c r="S71" s="621"/>
      <c r="T71" s="62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172</v>
      </c>
      <c r="B72" s="63" t="s">
        <v>173</v>
      </c>
      <c r="C72" s="36">
        <v>4301020371</v>
      </c>
      <c r="D72" s="619">
        <v>4680115887688</v>
      </c>
      <c r="E72" s="61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86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1"/>
      <c r="R72" s="621"/>
      <c r="S72" s="621"/>
      <c r="T72" s="6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175</v>
      </c>
      <c r="B73" s="63" t="s">
        <v>176</v>
      </c>
      <c r="C73" s="36">
        <v>4301020296</v>
      </c>
      <c r="D73" s="619">
        <v>4680115881433</v>
      </c>
      <c r="E73" s="61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86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1"/>
      <c r="R73" s="621"/>
      <c r="S73" s="621"/>
      <c r="T73" s="6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26"/>
      <c r="B74" s="626"/>
      <c r="C74" s="626"/>
      <c r="D74" s="626"/>
      <c r="E74" s="626"/>
      <c r="F74" s="626"/>
      <c r="G74" s="626"/>
      <c r="H74" s="626"/>
      <c r="I74" s="626"/>
      <c r="J74" s="626"/>
      <c r="K74" s="626"/>
      <c r="L74" s="626"/>
      <c r="M74" s="626"/>
      <c r="N74" s="626"/>
      <c r="O74" s="627"/>
      <c r="P74" s="623" t="s">
        <v>40</v>
      </c>
      <c r="Q74" s="624"/>
      <c r="R74" s="624"/>
      <c r="S74" s="624"/>
      <c r="T74" s="624"/>
      <c r="U74" s="624"/>
      <c r="V74" s="625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26"/>
      <c r="B75" s="626"/>
      <c r="C75" s="626"/>
      <c r="D75" s="626"/>
      <c r="E75" s="626"/>
      <c r="F75" s="626"/>
      <c r="G75" s="626"/>
      <c r="H75" s="626"/>
      <c r="I75" s="626"/>
      <c r="J75" s="626"/>
      <c r="K75" s="626"/>
      <c r="L75" s="626"/>
      <c r="M75" s="626"/>
      <c r="N75" s="626"/>
      <c r="O75" s="627"/>
      <c r="P75" s="623" t="s">
        <v>40</v>
      </c>
      <c r="Q75" s="624"/>
      <c r="R75" s="624"/>
      <c r="S75" s="624"/>
      <c r="T75" s="624"/>
      <c r="U75" s="624"/>
      <c r="V75" s="625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18" t="s">
        <v>86</v>
      </c>
      <c r="B76" s="618"/>
      <c r="C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  <c r="P76" s="618"/>
      <c r="Q76" s="618"/>
      <c r="R76" s="618"/>
      <c r="S76" s="618"/>
      <c r="T76" s="618"/>
      <c r="U76" s="618"/>
      <c r="V76" s="618"/>
      <c r="W76" s="618"/>
      <c r="X76" s="618"/>
      <c r="Y76" s="618"/>
      <c r="Z76" s="618"/>
      <c r="AA76" s="66"/>
      <c r="AB76" s="66"/>
      <c r="AC76" s="80"/>
    </row>
    <row r="77" spans="1:68" ht="16.5" customHeight="1" x14ac:dyDescent="0.25">
      <c r="A77" s="63" t="s">
        <v>177</v>
      </c>
      <c r="B77" s="63" t="s">
        <v>178</v>
      </c>
      <c r="C77" s="36">
        <v>4301051837</v>
      </c>
      <c r="D77" s="619">
        <v>4680115884311</v>
      </c>
      <c r="E77" s="61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6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1"/>
      <c r="R77" s="621"/>
      <c r="S77" s="621"/>
      <c r="T77" s="62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180</v>
      </c>
      <c r="B78" s="63" t="s">
        <v>181</v>
      </c>
      <c r="C78" s="36">
        <v>4301051929</v>
      </c>
      <c r="D78" s="619">
        <v>4680115884403</v>
      </c>
      <c r="E78" s="61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6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1"/>
      <c r="R78" s="621"/>
      <c r="S78" s="621"/>
      <c r="T78" s="6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26"/>
      <c r="B79" s="626"/>
      <c r="C79" s="626"/>
      <c r="D79" s="626"/>
      <c r="E79" s="626"/>
      <c r="F79" s="626"/>
      <c r="G79" s="626"/>
      <c r="H79" s="626"/>
      <c r="I79" s="626"/>
      <c r="J79" s="626"/>
      <c r="K79" s="626"/>
      <c r="L79" s="626"/>
      <c r="M79" s="626"/>
      <c r="N79" s="626"/>
      <c r="O79" s="627"/>
      <c r="P79" s="623" t="s">
        <v>40</v>
      </c>
      <c r="Q79" s="624"/>
      <c r="R79" s="624"/>
      <c r="S79" s="624"/>
      <c r="T79" s="624"/>
      <c r="U79" s="624"/>
      <c r="V79" s="625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26"/>
      <c r="B80" s="626"/>
      <c r="C80" s="626"/>
      <c r="D80" s="626"/>
      <c r="E80" s="626"/>
      <c r="F80" s="626"/>
      <c r="G80" s="626"/>
      <c r="H80" s="626"/>
      <c r="I80" s="626"/>
      <c r="J80" s="626"/>
      <c r="K80" s="626"/>
      <c r="L80" s="626"/>
      <c r="M80" s="626"/>
      <c r="N80" s="626"/>
      <c r="O80" s="627"/>
      <c r="P80" s="623" t="s">
        <v>40</v>
      </c>
      <c r="Q80" s="624"/>
      <c r="R80" s="624"/>
      <c r="S80" s="624"/>
      <c r="T80" s="624"/>
      <c r="U80" s="624"/>
      <c r="V80" s="625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18" t="s">
        <v>183</v>
      </c>
      <c r="B81" s="618"/>
      <c r="C81" s="618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  <c r="S81" s="618"/>
      <c r="T81" s="618"/>
      <c r="U81" s="618"/>
      <c r="V81" s="618"/>
      <c r="W81" s="618"/>
      <c r="X81" s="618"/>
      <c r="Y81" s="618"/>
      <c r="Z81" s="618"/>
      <c r="AA81" s="66"/>
      <c r="AB81" s="66"/>
      <c r="AC81" s="80"/>
    </row>
    <row r="82" spans="1:68" ht="27" customHeight="1" x14ac:dyDescent="0.25">
      <c r="A82" s="63" t="s">
        <v>184</v>
      </c>
      <c r="B82" s="63" t="s">
        <v>185</v>
      </c>
      <c r="C82" s="36">
        <v>4301060455</v>
      </c>
      <c r="D82" s="619">
        <v>4680115881532</v>
      </c>
      <c r="E82" s="61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86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1"/>
      <c r="R82" s="621"/>
      <c r="S82" s="621"/>
      <c r="T82" s="62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187</v>
      </c>
      <c r="B83" s="63" t="s">
        <v>188</v>
      </c>
      <c r="C83" s="36">
        <v>4301060351</v>
      </c>
      <c r="D83" s="619">
        <v>4680115881464</v>
      </c>
      <c r="E83" s="61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86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1"/>
      <c r="R83" s="621"/>
      <c r="S83" s="621"/>
      <c r="T83" s="62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26"/>
      <c r="B84" s="626"/>
      <c r="C84" s="626"/>
      <c r="D84" s="626"/>
      <c r="E84" s="626"/>
      <c r="F84" s="626"/>
      <c r="G84" s="626"/>
      <c r="H84" s="626"/>
      <c r="I84" s="626"/>
      <c r="J84" s="626"/>
      <c r="K84" s="626"/>
      <c r="L84" s="626"/>
      <c r="M84" s="626"/>
      <c r="N84" s="626"/>
      <c r="O84" s="627"/>
      <c r="P84" s="623" t="s">
        <v>40</v>
      </c>
      <c r="Q84" s="624"/>
      <c r="R84" s="624"/>
      <c r="S84" s="624"/>
      <c r="T84" s="624"/>
      <c r="U84" s="624"/>
      <c r="V84" s="625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26"/>
      <c r="B85" s="626"/>
      <c r="C85" s="626"/>
      <c r="D85" s="626"/>
      <c r="E85" s="626"/>
      <c r="F85" s="626"/>
      <c r="G85" s="626"/>
      <c r="H85" s="626"/>
      <c r="I85" s="626"/>
      <c r="J85" s="626"/>
      <c r="K85" s="626"/>
      <c r="L85" s="626"/>
      <c r="M85" s="626"/>
      <c r="N85" s="626"/>
      <c r="O85" s="627"/>
      <c r="P85" s="623" t="s">
        <v>40</v>
      </c>
      <c r="Q85" s="624"/>
      <c r="R85" s="624"/>
      <c r="S85" s="624"/>
      <c r="T85" s="624"/>
      <c r="U85" s="624"/>
      <c r="V85" s="625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34" t="s">
        <v>190</v>
      </c>
      <c r="B86" s="634"/>
      <c r="C86" s="634"/>
      <c r="D86" s="634"/>
      <c r="E86" s="634"/>
      <c r="F86" s="634"/>
      <c r="G86" s="634"/>
      <c r="H86" s="634"/>
      <c r="I86" s="634"/>
      <c r="J86" s="634"/>
      <c r="K86" s="634"/>
      <c r="L86" s="634"/>
      <c r="M86" s="634"/>
      <c r="N86" s="634"/>
      <c r="O86" s="634"/>
      <c r="P86" s="634"/>
      <c r="Q86" s="634"/>
      <c r="R86" s="634"/>
      <c r="S86" s="634"/>
      <c r="T86" s="634"/>
      <c r="U86" s="634"/>
      <c r="V86" s="634"/>
      <c r="W86" s="634"/>
      <c r="X86" s="634"/>
      <c r="Y86" s="634"/>
      <c r="Z86" s="634"/>
      <c r="AA86" s="65"/>
      <c r="AB86" s="65"/>
      <c r="AC86" s="79"/>
    </row>
    <row r="87" spans="1:68" ht="14.25" customHeight="1" x14ac:dyDescent="0.25">
      <c r="A87" s="618" t="s">
        <v>129</v>
      </c>
      <c r="B87" s="618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  <c r="S87" s="618"/>
      <c r="T87" s="618"/>
      <c r="U87" s="618"/>
      <c r="V87" s="618"/>
      <c r="W87" s="618"/>
      <c r="X87" s="618"/>
      <c r="Y87" s="618"/>
      <c r="Z87" s="618"/>
      <c r="AA87" s="66"/>
      <c r="AB87" s="66"/>
      <c r="AC87" s="80"/>
    </row>
    <row r="88" spans="1:68" ht="27" customHeight="1" x14ac:dyDescent="0.25">
      <c r="A88" s="63" t="s">
        <v>191</v>
      </c>
      <c r="B88" s="63" t="s">
        <v>192</v>
      </c>
      <c r="C88" s="36">
        <v>4301011468</v>
      </c>
      <c r="D88" s="619">
        <v>4680115881327</v>
      </c>
      <c r="E88" s="61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86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1"/>
      <c r="R88" s="621"/>
      <c r="S88" s="621"/>
      <c r="T88" s="6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194</v>
      </c>
      <c r="B89" s="63" t="s">
        <v>195</v>
      </c>
      <c r="C89" s="36">
        <v>4301011261</v>
      </c>
      <c r="D89" s="619">
        <v>4680115887732</v>
      </c>
      <c r="E89" s="61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1"/>
      <c r="R89" s="621"/>
      <c r="S89" s="621"/>
      <c r="T89" s="6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197</v>
      </c>
      <c r="B90" s="63" t="s">
        <v>198</v>
      </c>
      <c r="C90" s="36">
        <v>4301011476</v>
      </c>
      <c r="D90" s="619">
        <v>4680115881518</v>
      </c>
      <c r="E90" s="61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8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1"/>
      <c r="R90" s="621"/>
      <c r="S90" s="621"/>
      <c r="T90" s="62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199</v>
      </c>
      <c r="B91" s="63" t="s">
        <v>200</v>
      </c>
      <c r="C91" s="36">
        <v>4301011443</v>
      </c>
      <c r="D91" s="619">
        <v>4680115881303</v>
      </c>
      <c r="E91" s="61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8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1"/>
      <c r="R91" s="621"/>
      <c r="S91" s="621"/>
      <c r="T91" s="62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26"/>
      <c r="B92" s="626"/>
      <c r="C92" s="626"/>
      <c r="D92" s="626"/>
      <c r="E92" s="626"/>
      <c r="F92" s="626"/>
      <c r="G92" s="626"/>
      <c r="H92" s="626"/>
      <c r="I92" s="626"/>
      <c r="J92" s="626"/>
      <c r="K92" s="626"/>
      <c r="L92" s="626"/>
      <c r="M92" s="626"/>
      <c r="N92" s="626"/>
      <c r="O92" s="627"/>
      <c r="P92" s="623" t="s">
        <v>40</v>
      </c>
      <c r="Q92" s="624"/>
      <c r="R92" s="624"/>
      <c r="S92" s="624"/>
      <c r="T92" s="624"/>
      <c r="U92" s="624"/>
      <c r="V92" s="625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26"/>
      <c r="B93" s="626"/>
      <c r="C93" s="626"/>
      <c r="D93" s="626"/>
      <c r="E93" s="626"/>
      <c r="F93" s="626"/>
      <c r="G93" s="626"/>
      <c r="H93" s="626"/>
      <c r="I93" s="626"/>
      <c r="J93" s="626"/>
      <c r="K93" s="626"/>
      <c r="L93" s="626"/>
      <c r="M93" s="626"/>
      <c r="N93" s="626"/>
      <c r="O93" s="627"/>
      <c r="P93" s="623" t="s">
        <v>40</v>
      </c>
      <c r="Q93" s="624"/>
      <c r="R93" s="624"/>
      <c r="S93" s="624"/>
      <c r="T93" s="624"/>
      <c r="U93" s="624"/>
      <c r="V93" s="625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18" t="s">
        <v>86</v>
      </c>
      <c r="B94" s="618"/>
      <c r="C94" s="618"/>
      <c r="D94" s="618"/>
      <c r="E94" s="618"/>
      <c r="F94" s="618"/>
      <c r="G94" s="618"/>
      <c r="H94" s="618"/>
      <c r="I94" s="618"/>
      <c r="J94" s="618"/>
      <c r="K94" s="618"/>
      <c r="L94" s="618"/>
      <c r="M94" s="618"/>
      <c r="N94" s="618"/>
      <c r="O94" s="618"/>
      <c r="P94" s="618"/>
      <c r="Q94" s="618"/>
      <c r="R94" s="618"/>
      <c r="S94" s="618"/>
      <c r="T94" s="618"/>
      <c r="U94" s="618"/>
      <c r="V94" s="618"/>
      <c r="W94" s="618"/>
      <c r="X94" s="618"/>
      <c r="Y94" s="618"/>
      <c r="Z94" s="618"/>
      <c r="AA94" s="66"/>
      <c r="AB94" s="66"/>
      <c r="AC94" s="80"/>
    </row>
    <row r="95" spans="1:68" ht="27" customHeight="1" x14ac:dyDescent="0.25">
      <c r="A95" s="63" t="s">
        <v>201</v>
      </c>
      <c r="B95" s="63" t="s">
        <v>202</v>
      </c>
      <c r="C95" s="36">
        <v>4301051712</v>
      </c>
      <c r="D95" s="619">
        <v>4607091386967</v>
      </c>
      <c r="E95" s="61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8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1"/>
      <c r="R95" s="621"/>
      <c r="S95" s="621"/>
      <c r="T95" s="6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204</v>
      </c>
      <c r="B96" s="63" t="s">
        <v>205</v>
      </c>
      <c r="C96" s="36">
        <v>4301051788</v>
      </c>
      <c r="D96" s="619">
        <v>4680115884953</v>
      </c>
      <c r="E96" s="61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5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1"/>
      <c r="R96" s="621"/>
      <c r="S96" s="621"/>
      <c r="T96" s="6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206</v>
      </c>
      <c r="B97" s="63" t="s">
        <v>207</v>
      </c>
      <c r="C97" s="36">
        <v>4301051718</v>
      </c>
      <c r="D97" s="619">
        <v>4607091385731</v>
      </c>
      <c r="E97" s="61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5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1"/>
      <c r="R97" s="621"/>
      <c r="S97" s="621"/>
      <c r="T97" s="62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208</v>
      </c>
      <c r="B98" s="63" t="s">
        <v>209</v>
      </c>
      <c r="C98" s="36">
        <v>4301052092</v>
      </c>
      <c r="D98" s="619">
        <v>4680115880894</v>
      </c>
      <c r="E98" s="61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5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1"/>
      <c r="R98" s="621"/>
      <c r="S98" s="621"/>
      <c r="T98" s="62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26"/>
      <c r="B99" s="626"/>
      <c r="C99" s="626"/>
      <c r="D99" s="626"/>
      <c r="E99" s="626"/>
      <c r="F99" s="626"/>
      <c r="G99" s="626"/>
      <c r="H99" s="626"/>
      <c r="I99" s="626"/>
      <c r="J99" s="626"/>
      <c r="K99" s="626"/>
      <c r="L99" s="626"/>
      <c r="M99" s="626"/>
      <c r="N99" s="626"/>
      <c r="O99" s="627"/>
      <c r="P99" s="623" t="s">
        <v>40</v>
      </c>
      <c r="Q99" s="624"/>
      <c r="R99" s="624"/>
      <c r="S99" s="624"/>
      <c r="T99" s="624"/>
      <c r="U99" s="624"/>
      <c r="V99" s="625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26"/>
      <c r="B100" s="626"/>
      <c r="C100" s="626"/>
      <c r="D100" s="626"/>
      <c r="E100" s="626"/>
      <c r="F100" s="626"/>
      <c r="G100" s="626"/>
      <c r="H100" s="626"/>
      <c r="I100" s="626"/>
      <c r="J100" s="626"/>
      <c r="K100" s="626"/>
      <c r="L100" s="626"/>
      <c r="M100" s="626"/>
      <c r="N100" s="626"/>
      <c r="O100" s="627"/>
      <c r="P100" s="623" t="s">
        <v>40</v>
      </c>
      <c r="Q100" s="624"/>
      <c r="R100" s="624"/>
      <c r="S100" s="624"/>
      <c r="T100" s="624"/>
      <c r="U100" s="624"/>
      <c r="V100" s="625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34" t="s">
        <v>211</v>
      </c>
      <c r="B101" s="634"/>
      <c r="C101" s="634"/>
      <c r="D101" s="634"/>
      <c r="E101" s="634"/>
      <c r="F101" s="634"/>
      <c r="G101" s="634"/>
      <c r="H101" s="634"/>
      <c r="I101" s="634"/>
      <c r="J101" s="634"/>
      <c r="K101" s="634"/>
      <c r="L101" s="634"/>
      <c r="M101" s="634"/>
      <c r="N101" s="634"/>
      <c r="O101" s="634"/>
      <c r="P101" s="634"/>
      <c r="Q101" s="634"/>
      <c r="R101" s="634"/>
      <c r="S101" s="634"/>
      <c r="T101" s="634"/>
      <c r="U101" s="634"/>
      <c r="V101" s="634"/>
      <c r="W101" s="634"/>
      <c r="X101" s="634"/>
      <c r="Y101" s="634"/>
      <c r="Z101" s="634"/>
      <c r="AA101" s="65"/>
      <c r="AB101" s="65"/>
      <c r="AC101" s="79"/>
    </row>
    <row r="102" spans="1:68" ht="14.25" customHeight="1" x14ac:dyDescent="0.25">
      <c r="A102" s="618" t="s">
        <v>129</v>
      </c>
      <c r="B102" s="618"/>
      <c r="C102" s="618"/>
      <c r="D102" s="618"/>
      <c r="E102" s="618"/>
      <c r="F102" s="618"/>
      <c r="G102" s="618"/>
      <c r="H102" s="618"/>
      <c r="I102" s="618"/>
      <c r="J102" s="618"/>
      <c r="K102" s="618"/>
      <c r="L102" s="618"/>
      <c r="M102" s="618"/>
      <c r="N102" s="618"/>
      <c r="O102" s="618"/>
      <c r="P102" s="618"/>
      <c r="Q102" s="618"/>
      <c r="R102" s="618"/>
      <c r="S102" s="618"/>
      <c r="T102" s="618"/>
      <c r="U102" s="618"/>
      <c r="V102" s="618"/>
      <c r="W102" s="618"/>
      <c r="X102" s="618"/>
      <c r="Y102" s="618"/>
      <c r="Z102" s="618"/>
      <c r="AA102" s="66"/>
      <c r="AB102" s="66"/>
      <c r="AC102" s="80"/>
    </row>
    <row r="103" spans="1:68" ht="37.5" customHeight="1" x14ac:dyDescent="0.25">
      <c r="A103" s="63" t="s">
        <v>212</v>
      </c>
      <c r="B103" s="63" t="s">
        <v>213</v>
      </c>
      <c r="C103" s="36">
        <v>4301011514</v>
      </c>
      <c r="D103" s="619">
        <v>4680115882133</v>
      </c>
      <c r="E103" s="61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85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1"/>
      <c r="R103" s="621"/>
      <c r="S103" s="621"/>
      <c r="T103" s="6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215</v>
      </c>
      <c r="B104" s="63" t="s">
        <v>216</v>
      </c>
      <c r="C104" s="36">
        <v>4301012051</v>
      </c>
      <c r="D104" s="619">
        <v>4680115887718</v>
      </c>
      <c r="E104" s="61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85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1"/>
      <c r="R104" s="621"/>
      <c r="S104" s="621"/>
      <c r="T104" s="6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215</v>
      </c>
      <c r="B105" s="63" t="s">
        <v>218</v>
      </c>
      <c r="C105" s="36">
        <v>4301012334</v>
      </c>
      <c r="D105" s="619">
        <v>4680115887718</v>
      </c>
      <c r="E105" s="61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85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1"/>
      <c r="R105" s="621"/>
      <c r="S105" s="621"/>
      <c r="T105" s="6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219</v>
      </c>
      <c r="B106" s="63" t="s">
        <v>220</v>
      </c>
      <c r="C106" s="36">
        <v>4301011417</v>
      </c>
      <c r="D106" s="619">
        <v>4680115880269</v>
      </c>
      <c r="E106" s="61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85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1"/>
      <c r="R106" s="621"/>
      <c r="S106" s="621"/>
      <c r="T106" s="6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221</v>
      </c>
      <c r="B107" s="63" t="s">
        <v>222</v>
      </c>
      <c r="C107" s="36">
        <v>4301011415</v>
      </c>
      <c r="D107" s="619">
        <v>4680115880429</v>
      </c>
      <c r="E107" s="61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84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1"/>
      <c r="R107" s="621"/>
      <c r="S107" s="621"/>
      <c r="T107" s="6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223</v>
      </c>
      <c r="B108" s="63" t="s">
        <v>224</v>
      </c>
      <c r="C108" s="36">
        <v>4301011462</v>
      </c>
      <c r="D108" s="619">
        <v>4680115881457</v>
      </c>
      <c r="E108" s="61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85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1"/>
      <c r="R108" s="621"/>
      <c r="S108" s="621"/>
      <c r="T108" s="6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26"/>
      <c r="B109" s="626"/>
      <c r="C109" s="626"/>
      <c r="D109" s="626"/>
      <c r="E109" s="626"/>
      <c r="F109" s="626"/>
      <c r="G109" s="626"/>
      <c r="H109" s="626"/>
      <c r="I109" s="626"/>
      <c r="J109" s="626"/>
      <c r="K109" s="626"/>
      <c r="L109" s="626"/>
      <c r="M109" s="626"/>
      <c r="N109" s="626"/>
      <c r="O109" s="627"/>
      <c r="P109" s="623" t="s">
        <v>40</v>
      </c>
      <c r="Q109" s="624"/>
      <c r="R109" s="624"/>
      <c r="S109" s="624"/>
      <c r="T109" s="624"/>
      <c r="U109" s="624"/>
      <c r="V109" s="625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6"/>
      <c r="B110" s="626"/>
      <c r="C110" s="626"/>
      <c r="D110" s="626"/>
      <c r="E110" s="626"/>
      <c r="F110" s="626"/>
      <c r="G110" s="626"/>
      <c r="H110" s="626"/>
      <c r="I110" s="626"/>
      <c r="J110" s="626"/>
      <c r="K110" s="626"/>
      <c r="L110" s="626"/>
      <c r="M110" s="626"/>
      <c r="N110" s="626"/>
      <c r="O110" s="627"/>
      <c r="P110" s="623" t="s">
        <v>40</v>
      </c>
      <c r="Q110" s="624"/>
      <c r="R110" s="624"/>
      <c r="S110" s="624"/>
      <c r="T110" s="624"/>
      <c r="U110" s="624"/>
      <c r="V110" s="625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18" t="s">
        <v>166</v>
      </c>
      <c r="B111" s="618"/>
      <c r="C111" s="618"/>
      <c r="D111" s="618"/>
      <c r="E111" s="618"/>
      <c r="F111" s="618"/>
      <c r="G111" s="618"/>
      <c r="H111" s="618"/>
      <c r="I111" s="618"/>
      <c r="J111" s="618"/>
      <c r="K111" s="618"/>
      <c r="L111" s="618"/>
      <c r="M111" s="618"/>
      <c r="N111" s="618"/>
      <c r="O111" s="618"/>
      <c r="P111" s="618"/>
      <c r="Q111" s="618"/>
      <c r="R111" s="618"/>
      <c r="S111" s="618"/>
      <c r="T111" s="618"/>
      <c r="U111" s="618"/>
      <c r="V111" s="618"/>
      <c r="W111" s="618"/>
      <c r="X111" s="618"/>
      <c r="Y111" s="618"/>
      <c r="Z111" s="618"/>
      <c r="AA111" s="66"/>
      <c r="AB111" s="66"/>
      <c r="AC111" s="80"/>
    </row>
    <row r="112" spans="1:68" ht="16.5" customHeight="1" x14ac:dyDescent="0.25">
      <c r="A112" s="63" t="s">
        <v>225</v>
      </c>
      <c r="B112" s="63" t="s">
        <v>226</v>
      </c>
      <c r="C112" s="36">
        <v>4301020345</v>
      </c>
      <c r="D112" s="619">
        <v>4680115881488</v>
      </c>
      <c r="E112" s="6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85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21"/>
      <c r="R112" s="621"/>
      <c r="S112" s="621"/>
      <c r="T112" s="622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customHeight="1" x14ac:dyDescent="0.25">
      <c r="A113" s="63" t="s">
        <v>225</v>
      </c>
      <c r="B113" s="63" t="s">
        <v>228</v>
      </c>
      <c r="C113" s="36">
        <v>4301020391</v>
      </c>
      <c r="D113" s="619">
        <v>4680115881488</v>
      </c>
      <c r="E113" s="619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8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21"/>
      <c r="R113" s="621"/>
      <c r="S113" s="621"/>
      <c r="T113" s="622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customHeight="1" x14ac:dyDescent="0.25">
      <c r="A114" s="63" t="s">
        <v>230</v>
      </c>
      <c r="B114" s="63" t="s">
        <v>231</v>
      </c>
      <c r="C114" s="36">
        <v>4301020186</v>
      </c>
      <c r="D114" s="619">
        <v>4680115887664</v>
      </c>
      <c r="E114" s="619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84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1"/>
      <c r="R114" s="621"/>
      <c r="S114" s="621"/>
      <c r="T114" s="622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customHeight="1" x14ac:dyDescent="0.25">
      <c r="A115" s="63" t="s">
        <v>230</v>
      </c>
      <c r="B115" s="63" t="s">
        <v>234</v>
      </c>
      <c r="C115" s="36">
        <v>4301020430</v>
      </c>
      <c r="D115" s="619">
        <v>4680115887664</v>
      </c>
      <c r="E115" s="619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84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21"/>
      <c r="R115" s="621"/>
      <c r="S115" s="621"/>
      <c r="T115" s="622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customHeight="1" x14ac:dyDescent="0.25">
      <c r="A116" s="63" t="s">
        <v>235</v>
      </c>
      <c r="B116" s="63" t="s">
        <v>236</v>
      </c>
      <c r="C116" s="36">
        <v>4301020393</v>
      </c>
      <c r="D116" s="619">
        <v>4680115882775</v>
      </c>
      <c r="E116" s="619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84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21"/>
      <c r="R116" s="621"/>
      <c r="S116" s="621"/>
      <c r="T116" s="622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customHeight="1" x14ac:dyDescent="0.25">
      <c r="A117" s="63" t="s">
        <v>237</v>
      </c>
      <c r="B117" s="63" t="s">
        <v>238</v>
      </c>
      <c r="C117" s="36">
        <v>4301020344</v>
      </c>
      <c r="D117" s="619">
        <v>4680115880658</v>
      </c>
      <c r="E117" s="619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84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21"/>
      <c r="R117" s="621"/>
      <c r="S117" s="621"/>
      <c r="T117" s="622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customHeight="1" x14ac:dyDescent="0.25">
      <c r="A118" s="63" t="s">
        <v>237</v>
      </c>
      <c r="B118" s="63" t="s">
        <v>239</v>
      </c>
      <c r="C118" s="36">
        <v>4301020392</v>
      </c>
      <c r="D118" s="619">
        <v>4680115880658</v>
      </c>
      <c r="E118" s="619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84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21"/>
      <c r="R118" s="621"/>
      <c r="S118" s="621"/>
      <c r="T118" s="622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x14ac:dyDescent="0.2">
      <c r="A119" s="626"/>
      <c r="B119" s="626"/>
      <c r="C119" s="626"/>
      <c r="D119" s="626"/>
      <c r="E119" s="626"/>
      <c r="F119" s="626"/>
      <c r="G119" s="626"/>
      <c r="H119" s="626"/>
      <c r="I119" s="626"/>
      <c r="J119" s="626"/>
      <c r="K119" s="626"/>
      <c r="L119" s="626"/>
      <c r="M119" s="626"/>
      <c r="N119" s="626"/>
      <c r="O119" s="627"/>
      <c r="P119" s="623" t="s">
        <v>40</v>
      </c>
      <c r="Q119" s="624"/>
      <c r="R119" s="624"/>
      <c r="S119" s="624"/>
      <c r="T119" s="624"/>
      <c r="U119" s="624"/>
      <c r="V119" s="625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26"/>
      <c r="B120" s="626"/>
      <c r="C120" s="626"/>
      <c r="D120" s="626"/>
      <c r="E120" s="626"/>
      <c r="F120" s="626"/>
      <c r="G120" s="626"/>
      <c r="H120" s="626"/>
      <c r="I120" s="626"/>
      <c r="J120" s="626"/>
      <c r="K120" s="626"/>
      <c r="L120" s="626"/>
      <c r="M120" s="626"/>
      <c r="N120" s="626"/>
      <c r="O120" s="627"/>
      <c r="P120" s="623" t="s">
        <v>40</v>
      </c>
      <c r="Q120" s="624"/>
      <c r="R120" s="624"/>
      <c r="S120" s="624"/>
      <c r="T120" s="624"/>
      <c r="U120" s="624"/>
      <c r="V120" s="625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customHeight="1" x14ac:dyDescent="0.25">
      <c r="A121" s="618" t="s">
        <v>86</v>
      </c>
      <c r="B121" s="618"/>
      <c r="C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  <c r="Q121" s="618"/>
      <c r="R121" s="618"/>
      <c r="S121" s="618"/>
      <c r="T121" s="618"/>
      <c r="U121" s="618"/>
      <c r="V121" s="618"/>
      <c r="W121" s="618"/>
      <c r="X121" s="618"/>
      <c r="Y121" s="618"/>
      <c r="Z121" s="618"/>
      <c r="AA121" s="66"/>
      <c r="AB121" s="66"/>
      <c r="AC121" s="80"/>
    </row>
    <row r="122" spans="1:68" ht="27" customHeight="1" x14ac:dyDescent="0.25">
      <c r="A122" s="63" t="s">
        <v>240</v>
      </c>
      <c r="B122" s="63" t="s">
        <v>241</v>
      </c>
      <c r="C122" s="36">
        <v>4301051724</v>
      </c>
      <c r="D122" s="619">
        <v>4607091385168</v>
      </c>
      <c r="E122" s="619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84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21"/>
      <c r="R122" s="621"/>
      <c r="S122" s="621"/>
      <c r="T122" s="6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customHeight="1" x14ac:dyDescent="0.25">
      <c r="A123" s="63" t="s">
        <v>243</v>
      </c>
      <c r="B123" s="63" t="s">
        <v>244</v>
      </c>
      <c r="C123" s="36">
        <v>4301051730</v>
      </c>
      <c r="D123" s="619">
        <v>4607091383256</v>
      </c>
      <c r="E123" s="619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84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21"/>
      <c r="R123" s="621"/>
      <c r="S123" s="621"/>
      <c r="T123" s="6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245</v>
      </c>
      <c r="B124" s="63" t="s">
        <v>246</v>
      </c>
      <c r="C124" s="36">
        <v>4301051721</v>
      </c>
      <c r="D124" s="619">
        <v>4607091385748</v>
      </c>
      <c r="E124" s="619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8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21"/>
      <c r="R124" s="621"/>
      <c r="S124" s="621"/>
      <c r="T124" s="622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customHeight="1" x14ac:dyDescent="0.25">
      <c r="A125" s="63" t="s">
        <v>247</v>
      </c>
      <c r="B125" s="63" t="s">
        <v>248</v>
      </c>
      <c r="C125" s="36">
        <v>4301051740</v>
      </c>
      <c r="D125" s="619">
        <v>4680115884533</v>
      </c>
      <c r="E125" s="619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83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21"/>
      <c r="R125" s="621"/>
      <c r="S125" s="621"/>
      <c r="T125" s="62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6"/>
      <c r="B126" s="626"/>
      <c r="C126" s="626"/>
      <c r="D126" s="626"/>
      <c r="E126" s="626"/>
      <c r="F126" s="626"/>
      <c r="G126" s="626"/>
      <c r="H126" s="626"/>
      <c r="I126" s="626"/>
      <c r="J126" s="626"/>
      <c r="K126" s="626"/>
      <c r="L126" s="626"/>
      <c r="M126" s="626"/>
      <c r="N126" s="626"/>
      <c r="O126" s="627"/>
      <c r="P126" s="623" t="s">
        <v>40</v>
      </c>
      <c r="Q126" s="624"/>
      <c r="R126" s="624"/>
      <c r="S126" s="624"/>
      <c r="T126" s="624"/>
      <c r="U126" s="624"/>
      <c r="V126" s="625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x14ac:dyDescent="0.2">
      <c r="A127" s="626"/>
      <c r="B127" s="626"/>
      <c r="C127" s="626"/>
      <c r="D127" s="626"/>
      <c r="E127" s="626"/>
      <c r="F127" s="626"/>
      <c r="G127" s="626"/>
      <c r="H127" s="626"/>
      <c r="I127" s="626"/>
      <c r="J127" s="626"/>
      <c r="K127" s="626"/>
      <c r="L127" s="626"/>
      <c r="M127" s="626"/>
      <c r="N127" s="626"/>
      <c r="O127" s="627"/>
      <c r="P127" s="623" t="s">
        <v>40</v>
      </c>
      <c r="Q127" s="624"/>
      <c r="R127" s="624"/>
      <c r="S127" s="624"/>
      <c r="T127" s="624"/>
      <c r="U127" s="624"/>
      <c r="V127" s="625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customHeight="1" x14ac:dyDescent="0.25">
      <c r="A128" s="618" t="s">
        <v>183</v>
      </c>
      <c r="B128" s="618"/>
      <c r="C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  <c r="Q128" s="618"/>
      <c r="R128" s="618"/>
      <c r="S128" s="618"/>
      <c r="T128" s="618"/>
      <c r="U128" s="618"/>
      <c r="V128" s="618"/>
      <c r="W128" s="618"/>
      <c r="X128" s="618"/>
      <c r="Y128" s="618"/>
      <c r="Z128" s="618"/>
      <c r="AA128" s="66"/>
      <c r="AB128" s="66"/>
      <c r="AC128" s="80"/>
    </row>
    <row r="129" spans="1:68" ht="16.5" customHeight="1" x14ac:dyDescent="0.25">
      <c r="A129" s="63" t="s">
        <v>250</v>
      </c>
      <c r="B129" s="63" t="s">
        <v>251</v>
      </c>
      <c r="C129" s="36">
        <v>4301060317</v>
      </c>
      <c r="D129" s="619">
        <v>4680115880238</v>
      </c>
      <c r="E129" s="619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21"/>
      <c r="R129" s="621"/>
      <c r="S129" s="621"/>
      <c r="T129" s="622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x14ac:dyDescent="0.2">
      <c r="A130" s="626"/>
      <c r="B130" s="626"/>
      <c r="C130" s="626"/>
      <c r="D130" s="626"/>
      <c r="E130" s="626"/>
      <c r="F130" s="626"/>
      <c r="G130" s="626"/>
      <c r="H130" s="626"/>
      <c r="I130" s="626"/>
      <c r="J130" s="626"/>
      <c r="K130" s="626"/>
      <c r="L130" s="626"/>
      <c r="M130" s="626"/>
      <c r="N130" s="626"/>
      <c r="O130" s="627"/>
      <c r="P130" s="623" t="s">
        <v>40</v>
      </c>
      <c r="Q130" s="624"/>
      <c r="R130" s="624"/>
      <c r="S130" s="624"/>
      <c r="T130" s="624"/>
      <c r="U130" s="624"/>
      <c r="V130" s="625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626"/>
      <c r="B131" s="626"/>
      <c r="C131" s="626"/>
      <c r="D131" s="626"/>
      <c r="E131" s="626"/>
      <c r="F131" s="626"/>
      <c r="G131" s="626"/>
      <c r="H131" s="626"/>
      <c r="I131" s="626"/>
      <c r="J131" s="626"/>
      <c r="K131" s="626"/>
      <c r="L131" s="626"/>
      <c r="M131" s="626"/>
      <c r="N131" s="626"/>
      <c r="O131" s="627"/>
      <c r="P131" s="623" t="s">
        <v>40</v>
      </c>
      <c r="Q131" s="624"/>
      <c r="R131" s="624"/>
      <c r="S131" s="624"/>
      <c r="T131" s="624"/>
      <c r="U131" s="624"/>
      <c r="V131" s="625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customHeight="1" x14ac:dyDescent="0.25">
      <c r="A132" s="634" t="s">
        <v>253</v>
      </c>
      <c r="B132" s="634"/>
      <c r="C132" s="634"/>
      <c r="D132" s="634"/>
      <c r="E132" s="634"/>
      <c r="F132" s="634"/>
      <c r="G132" s="634"/>
      <c r="H132" s="634"/>
      <c r="I132" s="634"/>
      <c r="J132" s="634"/>
      <c r="K132" s="634"/>
      <c r="L132" s="634"/>
      <c r="M132" s="634"/>
      <c r="N132" s="634"/>
      <c r="O132" s="634"/>
      <c r="P132" s="634"/>
      <c r="Q132" s="634"/>
      <c r="R132" s="634"/>
      <c r="S132" s="634"/>
      <c r="T132" s="634"/>
      <c r="U132" s="634"/>
      <c r="V132" s="634"/>
      <c r="W132" s="634"/>
      <c r="X132" s="634"/>
      <c r="Y132" s="634"/>
      <c r="Z132" s="634"/>
      <c r="AA132" s="65"/>
      <c r="AB132" s="65"/>
      <c r="AC132" s="79"/>
    </row>
    <row r="133" spans="1:68" ht="14.25" customHeight="1" x14ac:dyDescent="0.25">
      <c r="A133" s="618" t="s">
        <v>129</v>
      </c>
      <c r="B133" s="618"/>
      <c r="C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  <c r="Q133" s="618"/>
      <c r="R133" s="618"/>
      <c r="S133" s="618"/>
      <c r="T133" s="618"/>
      <c r="U133" s="618"/>
      <c r="V133" s="618"/>
      <c r="W133" s="618"/>
      <c r="X133" s="618"/>
      <c r="Y133" s="618"/>
      <c r="Z133" s="618"/>
      <c r="AA133" s="66"/>
      <c r="AB133" s="66"/>
      <c r="AC133" s="80"/>
    </row>
    <row r="134" spans="1:68" ht="27" customHeight="1" x14ac:dyDescent="0.25">
      <c r="A134" s="63" t="s">
        <v>254</v>
      </c>
      <c r="B134" s="63" t="s">
        <v>255</v>
      </c>
      <c r="C134" s="36">
        <v>4301011562</v>
      </c>
      <c r="D134" s="619">
        <v>4680115882577</v>
      </c>
      <c r="E134" s="61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3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21"/>
      <c r="R134" s="621"/>
      <c r="S134" s="621"/>
      <c r="T134" s="62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257</v>
      </c>
      <c r="C135" s="36">
        <v>4301011564</v>
      </c>
      <c r="D135" s="619">
        <v>4680115882577</v>
      </c>
      <c r="E135" s="61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3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21"/>
      <c r="R135" s="621"/>
      <c r="S135" s="621"/>
      <c r="T135" s="62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6"/>
      <c r="B136" s="626"/>
      <c r="C136" s="626"/>
      <c r="D136" s="626"/>
      <c r="E136" s="626"/>
      <c r="F136" s="626"/>
      <c r="G136" s="626"/>
      <c r="H136" s="626"/>
      <c r="I136" s="626"/>
      <c r="J136" s="626"/>
      <c r="K136" s="626"/>
      <c r="L136" s="626"/>
      <c r="M136" s="626"/>
      <c r="N136" s="626"/>
      <c r="O136" s="627"/>
      <c r="P136" s="623" t="s">
        <v>40</v>
      </c>
      <c r="Q136" s="624"/>
      <c r="R136" s="624"/>
      <c r="S136" s="624"/>
      <c r="T136" s="624"/>
      <c r="U136" s="624"/>
      <c r="V136" s="625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6"/>
      <c r="B137" s="626"/>
      <c r="C137" s="626"/>
      <c r="D137" s="626"/>
      <c r="E137" s="626"/>
      <c r="F137" s="626"/>
      <c r="G137" s="626"/>
      <c r="H137" s="626"/>
      <c r="I137" s="626"/>
      <c r="J137" s="626"/>
      <c r="K137" s="626"/>
      <c r="L137" s="626"/>
      <c r="M137" s="626"/>
      <c r="N137" s="626"/>
      <c r="O137" s="627"/>
      <c r="P137" s="623" t="s">
        <v>40</v>
      </c>
      <c r="Q137" s="624"/>
      <c r="R137" s="624"/>
      <c r="S137" s="624"/>
      <c r="T137" s="624"/>
      <c r="U137" s="624"/>
      <c r="V137" s="625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customHeight="1" x14ac:dyDescent="0.25">
      <c r="A138" s="618" t="s">
        <v>77</v>
      </c>
      <c r="B138" s="618"/>
      <c r="C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  <c r="Q138" s="618"/>
      <c r="R138" s="618"/>
      <c r="S138" s="618"/>
      <c r="T138" s="618"/>
      <c r="U138" s="618"/>
      <c r="V138" s="618"/>
      <c r="W138" s="618"/>
      <c r="X138" s="618"/>
      <c r="Y138" s="618"/>
      <c r="Z138" s="618"/>
      <c r="AA138" s="66"/>
      <c r="AB138" s="66"/>
      <c r="AC138" s="80"/>
    </row>
    <row r="139" spans="1:68" ht="27" customHeight="1" x14ac:dyDescent="0.25">
      <c r="A139" s="63" t="s">
        <v>258</v>
      </c>
      <c r="B139" s="63" t="s">
        <v>259</v>
      </c>
      <c r="C139" s="36">
        <v>4301031234</v>
      </c>
      <c r="D139" s="619">
        <v>4680115883444</v>
      </c>
      <c r="E139" s="619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8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21"/>
      <c r="R139" s="621"/>
      <c r="S139" s="621"/>
      <c r="T139" s="62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customHeight="1" x14ac:dyDescent="0.25">
      <c r="A140" s="63" t="s">
        <v>258</v>
      </c>
      <c r="B140" s="63" t="s">
        <v>261</v>
      </c>
      <c r="C140" s="36">
        <v>4301031235</v>
      </c>
      <c r="D140" s="619">
        <v>4680115883444</v>
      </c>
      <c r="E140" s="619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83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21"/>
      <c r="R140" s="621"/>
      <c r="S140" s="621"/>
      <c r="T140" s="62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26"/>
      <c r="B141" s="626"/>
      <c r="C141" s="626"/>
      <c r="D141" s="626"/>
      <c r="E141" s="626"/>
      <c r="F141" s="626"/>
      <c r="G141" s="626"/>
      <c r="H141" s="626"/>
      <c r="I141" s="626"/>
      <c r="J141" s="626"/>
      <c r="K141" s="626"/>
      <c r="L141" s="626"/>
      <c r="M141" s="626"/>
      <c r="N141" s="626"/>
      <c r="O141" s="627"/>
      <c r="P141" s="623" t="s">
        <v>40</v>
      </c>
      <c r="Q141" s="624"/>
      <c r="R141" s="624"/>
      <c r="S141" s="624"/>
      <c r="T141" s="624"/>
      <c r="U141" s="624"/>
      <c r="V141" s="625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626"/>
      <c r="B142" s="626"/>
      <c r="C142" s="626"/>
      <c r="D142" s="626"/>
      <c r="E142" s="626"/>
      <c r="F142" s="626"/>
      <c r="G142" s="626"/>
      <c r="H142" s="626"/>
      <c r="I142" s="626"/>
      <c r="J142" s="626"/>
      <c r="K142" s="626"/>
      <c r="L142" s="626"/>
      <c r="M142" s="626"/>
      <c r="N142" s="626"/>
      <c r="O142" s="627"/>
      <c r="P142" s="623" t="s">
        <v>40</v>
      </c>
      <c r="Q142" s="624"/>
      <c r="R142" s="624"/>
      <c r="S142" s="624"/>
      <c r="T142" s="624"/>
      <c r="U142" s="624"/>
      <c r="V142" s="625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customHeight="1" x14ac:dyDescent="0.25">
      <c r="A143" s="618" t="s">
        <v>86</v>
      </c>
      <c r="B143" s="618"/>
      <c r="C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  <c r="Q143" s="618"/>
      <c r="R143" s="618"/>
      <c r="S143" s="618"/>
      <c r="T143" s="618"/>
      <c r="U143" s="618"/>
      <c r="V143" s="618"/>
      <c r="W143" s="618"/>
      <c r="X143" s="618"/>
      <c r="Y143" s="618"/>
      <c r="Z143" s="618"/>
      <c r="AA143" s="66"/>
      <c r="AB143" s="66"/>
      <c r="AC143" s="80"/>
    </row>
    <row r="144" spans="1:68" ht="16.5" customHeight="1" x14ac:dyDescent="0.25">
      <c r="A144" s="63" t="s">
        <v>262</v>
      </c>
      <c r="B144" s="63" t="s">
        <v>263</v>
      </c>
      <c r="C144" s="36">
        <v>4301051476</v>
      </c>
      <c r="D144" s="619">
        <v>4680115882584</v>
      </c>
      <c r="E144" s="619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83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21"/>
      <c r="R144" s="621"/>
      <c r="S144" s="621"/>
      <c r="T144" s="622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customHeight="1" x14ac:dyDescent="0.25">
      <c r="A145" s="63" t="s">
        <v>262</v>
      </c>
      <c r="B145" s="63" t="s">
        <v>264</v>
      </c>
      <c r="C145" s="36">
        <v>4301051477</v>
      </c>
      <c r="D145" s="619">
        <v>4680115882584</v>
      </c>
      <c r="E145" s="619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83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21"/>
      <c r="R145" s="621"/>
      <c r="S145" s="621"/>
      <c r="T145" s="622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626"/>
      <c r="B146" s="626"/>
      <c r="C146" s="626"/>
      <c r="D146" s="626"/>
      <c r="E146" s="626"/>
      <c r="F146" s="626"/>
      <c r="G146" s="626"/>
      <c r="H146" s="626"/>
      <c r="I146" s="626"/>
      <c r="J146" s="626"/>
      <c r="K146" s="626"/>
      <c r="L146" s="626"/>
      <c r="M146" s="626"/>
      <c r="N146" s="626"/>
      <c r="O146" s="627"/>
      <c r="P146" s="623" t="s">
        <v>40</v>
      </c>
      <c r="Q146" s="624"/>
      <c r="R146" s="624"/>
      <c r="S146" s="624"/>
      <c r="T146" s="624"/>
      <c r="U146" s="624"/>
      <c r="V146" s="625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626"/>
      <c r="B147" s="626"/>
      <c r="C147" s="626"/>
      <c r="D147" s="626"/>
      <c r="E147" s="626"/>
      <c r="F147" s="626"/>
      <c r="G147" s="626"/>
      <c r="H147" s="626"/>
      <c r="I147" s="626"/>
      <c r="J147" s="626"/>
      <c r="K147" s="626"/>
      <c r="L147" s="626"/>
      <c r="M147" s="626"/>
      <c r="N147" s="626"/>
      <c r="O147" s="627"/>
      <c r="P147" s="623" t="s">
        <v>40</v>
      </c>
      <c r="Q147" s="624"/>
      <c r="R147" s="624"/>
      <c r="S147" s="624"/>
      <c r="T147" s="624"/>
      <c r="U147" s="624"/>
      <c r="V147" s="625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customHeight="1" x14ac:dyDescent="0.25">
      <c r="A148" s="634" t="s">
        <v>265</v>
      </c>
      <c r="B148" s="634"/>
      <c r="C148" s="634"/>
      <c r="D148" s="634"/>
      <c r="E148" s="634"/>
      <c r="F148" s="634"/>
      <c r="G148" s="634"/>
      <c r="H148" s="634"/>
      <c r="I148" s="634"/>
      <c r="J148" s="634"/>
      <c r="K148" s="634"/>
      <c r="L148" s="634"/>
      <c r="M148" s="634"/>
      <c r="N148" s="634"/>
      <c r="O148" s="634"/>
      <c r="P148" s="634"/>
      <c r="Q148" s="634"/>
      <c r="R148" s="634"/>
      <c r="S148" s="634"/>
      <c r="T148" s="634"/>
      <c r="U148" s="634"/>
      <c r="V148" s="634"/>
      <c r="W148" s="634"/>
      <c r="X148" s="634"/>
      <c r="Y148" s="634"/>
      <c r="Z148" s="634"/>
      <c r="AA148" s="65"/>
      <c r="AB148" s="65"/>
      <c r="AC148" s="79"/>
    </row>
    <row r="149" spans="1:68" ht="14.25" customHeight="1" x14ac:dyDescent="0.25">
      <c r="A149" s="618" t="s">
        <v>86</v>
      </c>
      <c r="B149" s="618"/>
      <c r="C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  <c r="Q149" s="618"/>
      <c r="R149" s="618"/>
      <c r="S149" s="618"/>
      <c r="T149" s="618"/>
      <c r="U149" s="618"/>
      <c r="V149" s="618"/>
      <c r="W149" s="618"/>
      <c r="X149" s="618"/>
      <c r="Y149" s="618"/>
      <c r="Z149" s="618"/>
      <c r="AA149" s="66"/>
      <c r="AB149" s="66"/>
      <c r="AC149" s="80"/>
    </row>
    <row r="150" spans="1:68" ht="27" customHeight="1" x14ac:dyDescent="0.25">
      <c r="A150" s="63" t="s">
        <v>266</v>
      </c>
      <c r="B150" s="63" t="s">
        <v>267</v>
      </c>
      <c r="C150" s="36">
        <v>4301052174</v>
      </c>
      <c r="D150" s="619">
        <v>4680115888203</v>
      </c>
      <c r="E150" s="619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2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21"/>
      <c r="R150" s="621"/>
      <c r="S150" s="621"/>
      <c r="T150" s="62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customHeight="1" x14ac:dyDescent="0.25">
      <c r="A151" s="63" t="s">
        <v>269</v>
      </c>
      <c r="B151" s="63" t="s">
        <v>270</v>
      </c>
      <c r="C151" s="36">
        <v>4301052172</v>
      </c>
      <c r="D151" s="619">
        <v>4680115888180</v>
      </c>
      <c r="E151" s="619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2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21"/>
      <c r="R151" s="621"/>
      <c r="S151" s="621"/>
      <c r="T151" s="622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customHeight="1" x14ac:dyDescent="0.25">
      <c r="A152" s="63" t="s">
        <v>272</v>
      </c>
      <c r="B152" s="63" t="s">
        <v>273</v>
      </c>
      <c r="C152" s="36">
        <v>4301052173</v>
      </c>
      <c r="D152" s="619">
        <v>4680115888197</v>
      </c>
      <c r="E152" s="6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3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21"/>
      <c r="R152" s="621"/>
      <c r="S152" s="621"/>
      <c r="T152" s="622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customHeight="1" x14ac:dyDescent="0.25">
      <c r="A153" s="63" t="s">
        <v>275</v>
      </c>
      <c r="B153" s="63" t="s">
        <v>276</v>
      </c>
      <c r="C153" s="36">
        <v>4301052175</v>
      </c>
      <c r="D153" s="619">
        <v>4680115888210</v>
      </c>
      <c r="E153" s="619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3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21"/>
      <c r="R153" s="621"/>
      <c r="S153" s="621"/>
      <c r="T153" s="62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x14ac:dyDescent="0.2">
      <c r="A154" s="626"/>
      <c r="B154" s="626"/>
      <c r="C154" s="626"/>
      <c r="D154" s="626"/>
      <c r="E154" s="626"/>
      <c r="F154" s="626"/>
      <c r="G154" s="626"/>
      <c r="H154" s="626"/>
      <c r="I154" s="626"/>
      <c r="J154" s="626"/>
      <c r="K154" s="626"/>
      <c r="L154" s="626"/>
      <c r="M154" s="626"/>
      <c r="N154" s="626"/>
      <c r="O154" s="627"/>
      <c r="P154" s="623" t="s">
        <v>40</v>
      </c>
      <c r="Q154" s="624"/>
      <c r="R154" s="624"/>
      <c r="S154" s="624"/>
      <c r="T154" s="624"/>
      <c r="U154" s="624"/>
      <c r="V154" s="625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x14ac:dyDescent="0.2">
      <c r="A155" s="626"/>
      <c r="B155" s="626"/>
      <c r="C155" s="626"/>
      <c r="D155" s="626"/>
      <c r="E155" s="626"/>
      <c r="F155" s="626"/>
      <c r="G155" s="626"/>
      <c r="H155" s="626"/>
      <c r="I155" s="626"/>
      <c r="J155" s="626"/>
      <c r="K155" s="626"/>
      <c r="L155" s="626"/>
      <c r="M155" s="626"/>
      <c r="N155" s="626"/>
      <c r="O155" s="627"/>
      <c r="P155" s="623" t="s">
        <v>40</v>
      </c>
      <c r="Q155" s="624"/>
      <c r="R155" s="624"/>
      <c r="S155" s="624"/>
      <c r="T155" s="624"/>
      <c r="U155" s="624"/>
      <c r="V155" s="625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customHeight="1" x14ac:dyDescent="0.25">
      <c r="A156" s="634" t="s">
        <v>127</v>
      </c>
      <c r="B156" s="634"/>
      <c r="C156" s="634"/>
      <c r="D156" s="634"/>
      <c r="E156" s="634"/>
      <c r="F156" s="634"/>
      <c r="G156" s="634"/>
      <c r="H156" s="634"/>
      <c r="I156" s="634"/>
      <c r="J156" s="634"/>
      <c r="K156" s="634"/>
      <c r="L156" s="634"/>
      <c r="M156" s="634"/>
      <c r="N156" s="634"/>
      <c r="O156" s="634"/>
      <c r="P156" s="634"/>
      <c r="Q156" s="634"/>
      <c r="R156" s="634"/>
      <c r="S156" s="634"/>
      <c r="T156" s="634"/>
      <c r="U156" s="634"/>
      <c r="V156" s="634"/>
      <c r="W156" s="634"/>
      <c r="X156" s="634"/>
      <c r="Y156" s="634"/>
      <c r="Z156" s="634"/>
      <c r="AA156" s="65"/>
      <c r="AB156" s="65"/>
      <c r="AC156" s="79"/>
    </row>
    <row r="157" spans="1:68" ht="14.25" customHeight="1" x14ac:dyDescent="0.25">
      <c r="A157" s="618" t="s">
        <v>129</v>
      </c>
      <c r="B157" s="618"/>
      <c r="C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  <c r="Q157" s="618"/>
      <c r="R157" s="618"/>
      <c r="S157" s="618"/>
      <c r="T157" s="618"/>
      <c r="U157" s="618"/>
      <c r="V157" s="618"/>
      <c r="W157" s="618"/>
      <c r="X157" s="618"/>
      <c r="Y157" s="618"/>
      <c r="Z157" s="618"/>
      <c r="AA157" s="66"/>
      <c r="AB157" s="66"/>
      <c r="AC157" s="80"/>
    </row>
    <row r="158" spans="1:68" ht="27" customHeight="1" x14ac:dyDescent="0.25">
      <c r="A158" s="63" t="s">
        <v>278</v>
      </c>
      <c r="B158" s="63" t="s">
        <v>279</v>
      </c>
      <c r="C158" s="36">
        <v>4301012244</v>
      </c>
      <c r="D158" s="619">
        <v>4680115887374</v>
      </c>
      <c r="E158" s="619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82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21"/>
      <c r="R158" s="621"/>
      <c r="S158" s="621"/>
      <c r="T158" s="62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customHeight="1" x14ac:dyDescent="0.25">
      <c r="A159" s="63" t="s">
        <v>281</v>
      </c>
      <c r="B159" s="63" t="s">
        <v>282</v>
      </c>
      <c r="C159" s="36">
        <v>4301011705</v>
      </c>
      <c r="D159" s="619">
        <v>4607091384604</v>
      </c>
      <c r="E159" s="61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82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21"/>
      <c r="R159" s="621"/>
      <c r="S159" s="621"/>
      <c r="T159" s="62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626"/>
      <c r="B160" s="626"/>
      <c r="C160" s="626"/>
      <c r="D160" s="626"/>
      <c r="E160" s="626"/>
      <c r="F160" s="626"/>
      <c r="G160" s="626"/>
      <c r="H160" s="626"/>
      <c r="I160" s="626"/>
      <c r="J160" s="626"/>
      <c r="K160" s="626"/>
      <c r="L160" s="626"/>
      <c r="M160" s="626"/>
      <c r="N160" s="626"/>
      <c r="O160" s="627"/>
      <c r="P160" s="623" t="s">
        <v>40</v>
      </c>
      <c r="Q160" s="624"/>
      <c r="R160" s="624"/>
      <c r="S160" s="624"/>
      <c r="T160" s="624"/>
      <c r="U160" s="624"/>
      <c r="V160" s="625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x14ac:dyDescent="0.2">
      <c r="A161" s="626"/>
      <c r="B161" s="626"/>
      <c r="C161" s="626"/>
      <c r="D161" s="626"/>
      <c r="E161" s="626"/>
      <c r="F161" s="626"/>
      <c r="G161" s="626"/>
      <c r="H161" s="626"/>
      <c r="I161" s="626"/>
      <c r="J161" s="626"/>
      <c r="K161" s="626"/>
      <c r="L161" s="626"/>
      <c r="M161" s="626"/>
      <c r="N161" s="626"/>
      <c r="O161" s="627"/>
      <c r="P161" s="623" t="s">
        <v>40</v>
      </c>
      <c r="Q161" s="624"/>
      <c r="R161" s="624"/>
      <c r="S161" s="624"/>
      <c r="T161" s="624"/>
      <c r="U161" s="624"/>
      <c r="V161" s="625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customHeight="1" x14ac:dyDescent="0.25">
      <c r="A162" s="618" t="s">
        <v>166</v>
      </c>
      <c r="B162" s="618"/>
      <c r="C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  <c r="Q162" s="618"/>
      <c r="R162" s="618"/>
      <c r="S162" s="618"/>
      <c r="T162" s="618"/>
      <c r="U162" s="618"/>
      <c r="V162" s="618"/>
      <c r="W162" s="618"/>
      <c r="X162" s="618"/>
      <c r="Y162" s="618"/>
      <c r="Z162" s="618"/>
      <c r="AA162" s="66"/>
      <c r="AB162" s="66"/>
      <c r="AC162" s="80"/>
    </row>
    <row r="163" spans="1:68" ht="16.5" customHeight="1" x14ac:dyDescent="0.25">
      <c r="A163" s="63" t="s">
        <v>284</v>
      </c>
      <c r="B163" s="63" t="s">
        <v>285</v>
      </c>
      <c r="C163" s="36">
        <v>4301020410</v>
      </c>
      <c r="D163" s="619">
        <v>4680115887695</v>
      </c>
      <c r="E163" s="619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82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21"/>
      <c r="R163" s="621"/>
      <c r="S163" s="621"/>
      <c r="T163" s="6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x14ac:dyDescent="0.2">
      <c r="A164" s="626"/>
      <c r="B164" s="626"/>
      <c r="C164" s="626"/>
      <c r="D164" s="626"/>
      <c r="E164" s="626"/>
      <c r="F164" s="626"/>
      <c r="G164" s="626"/>
      <c r="H164" s="626"/>
      <c r="I164" s="626"/>
      <c r="J164" s="626"/>
      <c r="K164" s="626"/>
      <c r="L164" s="626"/>
      <c r="M164" s="626"/>
      <c r="N164" s="626"/>
      <c r="O164" s="627"/>
      <c r="P164" s="623" t="s">
        <v>40</v>
      </c>
      <c r="Q164" s="624"/>
      <c r="R164" s="624"/>
      <c r="S164" s="624"/>
      <c r="T164" s="624"/>
      <c r="U164" s="624"/>
      <c r="V164" s="625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626"/>
      <c r="B165" s="626"/>
      <c r="C165" s="626"/>
      <c r="D165" s="626"/>
      <c r="E165" s="626"/>
      <c r="F165" s="626"/>
      <c r="G165" s="626"/>
      <c r="H165" s="626"/>
      <c r="I165" s="626"/>
      <c r="J165" s="626"/>
      <c r="K165" s="626"/>
      <c r="L165" s="626"/>
      <c r="M165" s="626"/>
      <c r="N165" s="626"/>
      <c r="O165" s="627"/>
      <c r="P165" s="623" t="s">
        <v>40</v>
      </c>
      <c r="Q165" s="624"/>
      <c r="R165" s="624"/>
      <c r="S165" s="624"/>
      <c r="T165" s="624"/>
      <c r="U165" s="624"/>
      <c r="V165" s="625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customHeight="1" x14ac:dyDescent="0.25">
      <c r="A166" s="618" t="s">
        <v>77</v>
      </c>
      <c r="B166" s="618"/>
      <c r="C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  <c r="Q166" s="618"/>
      <c r="R166" s="618"/>
      <c r="S166" s="618"/>
      <c r="T166" s="618"/>
      <c r="U166" s="618"/>
      <c r="V166" s="618"/>
      <c r="W166" s="618"/>
      <c r="X166" s="618"/>
      <c r="Y166" s="618"/>
      <c r="Z166" s="618"/>
      <c r="AA166" s="66"/>
      <c r="AB166" s="66"/>
      <c r="AC166" s="80"/>
    </row>
    <row r="167" spans="1:68" ht="27" customHeight="1" x14ac:dyDescent="0.25">
      <c r="A167" s="63" t="s">
        <v>287</v>
      </c>
      <c r="B167" s="63" t="s">
        <v>288</v>
      </c>
      <c r="C167" s="36">
        <v>4301031496</v>
      </c>
      <c r="D167" s="619">
        <v>4680115887428</v>
      </c>
      <c r="E167" s="619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82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21"/>
      <c r="R167" s="621"/>
      <c r="S167" s="621"/>
      <c r="T167" s="622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customHeight="1" x14ac:dyDescent="0.25">
      <c r="A168" s="63" t="s">
        <v>290</v>
      </c>
      <c r="B168" s="63" t="s">
        <v>291</v>
      </c>
      <c r="C168" s="36">
        <v>4301030963</v>
      </c>
      <c r="D168" s="619">
        <v>4607091382426</v>
      </c>
      <c r="E168" s="619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82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21"/>
      <c r="R168" s="621"/>
      <c r="S168" s="621"/>
      <c r="T168" s="622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customHeight="1" x14ac:dyDescent="0.25">
      <c r="A169" s="63" t="s">
        <v>293</v>
      </c>
      <c r="B169" s="63" t="s">
        <v>294</v>
      </c>
      <c r="C169" s="36">
        <v>4301031498</v>
      </c>
      <c r="D169" s="619">
        <v>4680115887398</v>
      </c>
      <c r="E169" s="619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82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1"/>
      <c r="R169" s="621"/>
      <c r="S169" s="621"/>
      <c r="T169" s="622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customHeight="1" x14ac:dyDescent="0.25">
      <c r="A170" s="63" t="s">
        <v>296</v>
      </c>
      <c r="B170" s="63" t="s">
        <v>297</v>
      </c>
      <c r="C170" s="36">
        <v>4301031497</v>
      </c>
      <c r="D170" s="619">
        <v>4680115887336</v>
      </c>
      <c r="E170" s="619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824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1"/>
      <c r="R170" s="621"/>
      <c r="S170" s="621"/>
      <c r="T170" s="62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customHeight="1" x14ac:dyDescent="0.25">
      <c r="A171" s="63" t="s">
        <v>299</v>
      </c>
      <c r="B171" s="63" t="s">
        <v>300</v>
      </c>
      <c r="C171" s="36">
        <v>4301032049</v>
      </c>
      <c r="D171" s="619">
        <v>4680115887787</v>
      </c>
      <c r="E171" s="619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1"/>
      <c r="R171" s="621"/>
      <c r="S171" s="621"/>
      <c r="T171" s="62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customHeight="1" x14ac:dyDescent="0.25">
      <c r="A172" s="63" t="s">
        <v>302</v>
      </c>
      <c r="B172" s="63" t="s">
        <v>303</v>
      </c>
      <c r="C172" s="36">
        <v>4301031448</v>
      </c>
      <c r="D172" s="619">
        <v>4680115887503</v>
      </c>
      <c r="E172" s="619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1"/>
      <c r="R172" s="621"/>
      <c r="S172" s="621"/>
      <c r="T172" s="62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customHeight="1" x14ac:dyDescent="0.25">
      <c r="A173" s="63" t="s">
        <v>304</v>
      </c>
      <c r="B173" s="63" t="s">
        <v>305</v>
      </c>
      <c r="C173" s="36">
        <v>4301031389</v>
      </c>
      <c r="D173" s="619">
        <v>4680115887763</v>
      </c>
      <c r="E173" s="619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1"/>
      <c r="R173" s="621"/>
      <c r="S173" s="621"/>
      <c r="T173" s="6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customHeight="1" x14ac:dyDescent="0.25">
      <c r="A174" s="63" t="s">
        <v>304</v>
      </c>
      <c r="B174" s="63" t="s">
        <v>307</v>
      </c>
      <c r="C174" s="36">
        <v>4301031510</v>
      </c>
      <c r="D174" s="619">
        <v>4680115887763</v>
      </c>
      <c r="E174" s="619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81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1"/>
      <c r="R174" s="621"/>
      <c r="S174" s="621"/>
      <c r="T174" s="6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customHeight="1" x14ac:dyDescent="0.25">
      <c r="A175" s="63" t="s">
        <v>308</v>
      </c>
      <c r="B175" s="63" t="s">
        <v>309</v>
      </c>
      <c r="C175" s="36">
        <v>4301031454</v>
      </c>
      <c r="D175" s="619">
        <v>4680115887480</v>
      </c>
      <c r="E175" s="619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2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1"/>
      <c r="R175" s="621"/>
      <c r="S175" s="621"/>
      <c r="T175" s="6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customHeight="1" x14ac:dyDescent="0.25">
      <c r="A176" s="63" t="s">
        <v>310</v>
      </c>
      <c r="B176" s="63" t="s">
        <v>311</v>
      </c>
      <c r="C176" s="36">
        <v>4301031434</v>
      </c>
      <c r="D176" s="619">
        <v>4680115888067</v>
      </c>
      <c r="E176" s="619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81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1"/>
      <c r="R176" s="621"/>
      <c r="S176" s="621"/>
      <c r="T176" s="6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customHeight="1" x14ac:dyDescent="0.25">
      <c r="A177" s="63" t="s">
        <v>313</v>
      </c>
      <c r="B177" s="63" t="s">
        <v>314</v>
      </c>
      <c r="C177" s="36">
        <v>4301031451</v>
      </c>
      <c r="D177" s="619">
        <v>4680115887435</v>
      </c>
      <c r="E177" s="619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1"/>
      <c r="R177" s="621"/>
      <c r="S177" s="621"/>
      <c r="T177" s="6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x14ac:dyDescent="0.2">
      <c r="A178" s="626"/>
      <c r="B178" s="626"/>
      <c r="C178" s="626"/>
      <c r="D178" s="626"/>
      <c r="E178" s="626"/>
      <c r="F178" s="626"/>
      <c r="G178" s="626"/>
      <c r="H178" s="626"/>
      <c r="I178" s="626"/>
      <c r="J178" s="626"/>
      <c r="K178" s="626"/>
      <c r="L178" s="626"/>
      <c r="M178" s="626"/>
      <c r="N178" s="626"/>
      <c r="O178" s="627"/>
      <c r="P178" s="623" t="s">
        <v>40</v>
      </c>
      <c r="Q178" s="624"/>
      <c r="R178" s="624"/>
      <c r="S178" s="624"/>
      <c r="T178" s="624"/>
      <c r="U178" s="624"/>
      <c r="V178" s="625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26"/>
      <c r="B179" s="626"/>
      <c r="C179" s="626"/>
      <c r="D179" s="626"/>
      <c r="E179" s="626"/>
      <c r="F179" s="626"/>
      <c r="G179" s="626"/>
      <c r="H179" s="626"/>
      <c r="I179" s="626"/>
      <c r="J179" s="626"/>
      <c r="K179" s="626"/>
      <c r="L179" s="626"/>
      <c r="M179" s="626"/>
      <c r="N179" s="626"/>
      <c r="O179" s="627"/>
      <c r="P179" s="623" t="s">
        <v>40</v>
      </c>
      <c r="Q179" s="624"/>
      <c r="R179" s="624"/>
      <c r="S179" s="624"/>
      <c r="T179" s="624"/>
      <c r="U179" s="624"/>
      <c r="V179" s="625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customHeight="1" x14ac:dyDescent="0.25">
      <c r="A180" s="618" t="s">
        <v>86</v>
      </c>
      <c r="B180" s="618"/>
      <c r="C180" s="618"/>
      <c r="D180" s="618"/>
      <c r="E180" s="618"/>
      <c r="F180" s="618"/>
      <c r="G180" s="618"/>
      <c r="H180" s="618"/>
      <c r="I180" s="618"/>
      <c r="J180" s="618"/>
      <c r="K180" s="618"/>
      <c r="L180" s="618"/>
      <c r="M180" s="618"/>
      <c r="N180" s="618"/>
      <c r="O180" s="618"/>
      <c r="P180" s="618"/>
      <c r="Q180" s="618"/>
      <c r="R180" s="618"/>
      <c r="S180" s="618"/>
      <c r="T180" s="618"/>
      <c r="U180" s="618"/>
      <c r="V180" s="618"/>
      <c r="W180" s="618"/>
      <c r="X180" s="618"/>
      <c r="Y180" s="618"/>
      <c r="Z180" s="618"/>
      <c r="AA180" s="66"/>
      <c r="AB180" s="66"/>
      <c r="AC180" s="80"/>
    </row>
    <row r="181" spans="1:68" ht="16.5" customHeight="1" x14ac:dyDescent="0.25">
      <c r="A181" s="63" t="s">
        <v>315</v>
      </c>
      <c r="B181" s="63" t="s">
        <v>316</v>
      </c>
      <c r="C181" s="36">
        <v>4301052193</v>
      </c>
      <c r="D181" s="619">
        <v>4680115888395</v>
      </c>
      <c r="E181" s="619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1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1"/>
      <c r="R181" s="621"/>
      <c r="S181" s="621"/>
      <c r="T181" s="622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customHeight="1" x14ac:dyDescent="0.25">
      <c r="A182" s="63" t="s">
        <v>318</v>
      </c>
      <c r="B182" s="63" t="s">
        <v>319</v>
      </c>
      <c r="C182" s="36">
        <v>4301052191</v>
      </c>
      <c r="D182" s="619">
        <v>4680115888371</v>
      </c>
      <c r="E182" s="619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1"/>
      <c r="R182" s="621"/>
      <c r="S182" s="621"/>
      <c r="T182" s="622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customHeight="1" x14ac:dyDescent="0.25">
      <c r="A183" s="63" t="s">
        <v>321</v>
      </c>
      <c r="B183" s="63" t="s">
        <v>322</v>
      </c>
      <c r="C183" s="36">
        <v>4301052064</v>
      </c>
      <c r="D183" s="619">
        <v>4680115887459</v>
      </c>
      <c r="E183" s="619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1"/>
      <c r="R183" s="621"/>
      <c r="S183" s="621"/>
      <c r="T183" s="622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6"/>
      <c r="B184" s="626"/>
      <c r="C184" s="626"/>
      <c r="D184" s="626"/>
      <c r="E184" s="626"/>
      <c r="F184" s="626"/>
      <c r="G184" s="626"/>
      <c r="H184" s="626"/>
      <c r="I184" s="626"/>
      <c r="J184" s="626"/>
      <c r="K184" s="626"/>
      <c r="L184" s="626"/>
      <c r="M184" s="626"/>
      <c r="N184" s="626"/>
      <c r="O184" s="627"/>
      <c r="P184" s="623" t="s">
        <v>40</v>
      </c>
      <c r="Q184" s="624"/>
      <c r="R184" s="624"/>
      <c r="S184" s="624"/>
      <c r="T184" s="624"/>
      <c r="U184" s="624"/>
      <c r="V184" s="625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x14ac:dyDescent="0.2">
      <c r="A185" s="626"/>
      <c r="B185" s="626"/>
      <c r="C185" s="626"/>
      <c r="D185" s="626"/>
      <c r="E185" s="626"/>
      <c r="F185" s="626"/>
      <c r="G185" s="626"/>
      <c r="H185" s="626"/>
      <c r="I185" s="626"/>
      <c r="J185" s="626"/>
      <c r="K185" s="626"/>
      <c r="L185" s="626"/>
      <c r="M185" s="626"/>
      <c r="N185" s="626"/>
      <c r="O185" s="627"/>
      <c r="P185" s="623" t="s">
        <v>40</v>
      </c>
      <c r="Q185" s="624"/>
      <c r="R185" s="624"/>
      <c r="S185" s="624"/>
      <c r="T185" s="624"/>
      <c r="U185" s="624"/>
      <c r="V185" s="625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customHeight="1" x14ac:dyDescent="0.25">
      <c r="A186" s="618" t="s">
        <v>104</v>
      </c>
      <c r="B186" s="618"/>
      <c r="C186" s="618"/>
      <c r="D186" s="618"/>
      <c r="E186" s="618"/>
      <c r="F186" s="618"/>
      <c r="G186" s="618"/>
      <c r="H186" s="618"/>
      <c r="I186" s="618"/>
      <c r="J186" s="618"/>
      <c r="K186" s="618"/>
      <c r="L186" s="618"/>
      <c r="M186" s="618"/>
      <c r="N186" s="618"/>
      <c r="O186" s="618"/>
      <c r="P186" s="618"/>
      <c r="Q186" s="618"/>
      <c r="R186" s="618"/>
      <c r="S186" s="618"/>
      <c r="T186" s="618"/>
      <c r="U186" s="618"/>
      <c r="V186" s="618"/>
      <c r="W186" s="618"/>
      <c r="X186" s="618"/>
      <c r="Y186" s="618"/>
      <c r="Z186" s="618"/>
      <c r="AA186" s="66"/>
      <c r="AB186" s="66"/>
      <c r="AC186" s="80"/>
    </row>
    <row r="187" spans="1:68" ht="16.5" customHeight="1" x14ac:dyDescent="0.25">
      <c r="A187" s="63" t="s">
        <v>324</v>
      </c>
      <c r="B187" s="63" t="s">
        <v>325</v>
      </c>
      <c r="C187" s="36">
        <v>4301032058</v>
      </c>
      <c r="D187" s="619">
        <v>4680115889026</v>
      </c>
      <c r="E187" s="619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1"/>
      <c r="R187" s="621"/>
      <c r="S187" s="621"/>
      <c r="T187" s="622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customHeight="1" x14ac:dyDescent="0.25">
      <c r="A188" s="63" t="s">
        <v>329</v>
      </c>
      <c r="B188" s="63" t="s">
        <v>330</v>
      </c>
      <c r="C188" s="36">
        <v>4301032057</v>
      </c>
      <c r="D188" s="619">
        <v>4680115889088</v>
      </c>
      <c r="E188" s="619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80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1"/>
      <c r="R188" s="621"/>
      <c r="S188" s="621"/>
      <c r="T188" s="6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x14ac:dyDescent="0.2">
      <c r="A189" s="626"/>
      <c r="B189" s="626"/>
      <c r="C189" s="626"/>
      <c r="D189" s="626"/>
      <c r="E189" s="626"/>
      <c r="F189" s="626"/>
      <c r="G189" s="626"/>
      <c r="H189" s="626"/>
      <c r="I189" s="626"/>
      <c r="J189" s="626"/>
      <c r="K189" s="626"/>
      <c r="L189" s="626"/>
      <c r="M189" s="626"/>
      <c r="N189" s="626"/>
      <c r="O189" s="627"/>
      <c r="P189" s="623" t="s">
        <v>40</v>
      </c>
      <c r="Q189" s="624"/>
      <c r="R189" s="624"/>
      <c r="S189" s="624"/>
      <c r="T189" s="624"/>
      <c r="U189" s="624"/>
      <c r="V189" s="625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x14ac:dyDescent="0.2">
      <c r="A190" s="626"/>
      <c r="B190" s="626"/>
      <c r="C190" s="626"/>
      <c r="D190" s="626"/>
      <c r="E190" s="626"/>
      <c r="F190" s="626"/>
      <c r="G190" s="626"/>
      <c r="H190" s="626"/>
      <c r="I190" s="626"/>
      <c r="J190" s="626"/>
      <c r="K190" s="626"/>
      <c r="L190" s="626"/>
      <c r="M190" s="626"/>
      <c r="N190" s="626"/>
      <c r="O190" s="627"/>
      <c r="P190" s="623" t="s">
        <v>40</v>
      </c>
      <c r="Q190" s="624"/>
      <c r="R190" s="624"/>
      <c r="S190" s="624"/>
      <c r="T190" s="624"/>
      <c r="U190" s="624"/>
      <c r="V190" s="625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customHeight="1" x14ac:dyDescent="0.25">
      <c r="A191" s="618" t="s">
        <v>332</v>
      </c>
      <c r="B191" s="618"/>
      <c r="C191" s="618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  <c r="R191" s="618"/>
      <c r="S191" s="618"/>
      <c r="T191" s="618"/>
      <c r="U191" s="618"/>
      <c r="V191" s="618"/>
      <c r="W191" s="618"/>
      <c r="X191" s="618"/>
      <c r="Y191" s="618"/>
      <c r="Z191" s="618"/>
      <c r="AA191" s="66"/>
      <c r="AB191" s="66"/>
      <c r="AC191" s="80"/>
    </row>
    <row r="192" spans="1:68" ht="27" customHeight="1" x14ac:dyDescent="0.25">
      <c r="A192" s="63" t="s">
        <v>333</v>
      </c>
      <c r="B192" s="63" t="s">
        <v>334</v>
      </c>
      <c r="C192" s="36">
        <v>4301041009</v>
      </c>
      <c r="D192" s="619">
        <v>4680115889033</v>
      </c>
      <c r="E192" s="619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80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1"/>
      <c r="R192" s="621"/>
      <c r="S192" s="621"/>
      <c r="T192" s="62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26"/>
      <c r="B193" s="626"/>
      <c r="C193" s="626"/>
      <c r="D193" s="626"/>
      <c r="E193" s="626"/>
      <c r="F193" s="626"/>
      <c r="G193" s="626"/>
      <c r="H193" s="626"/>
      <c r="I193" s="626"/>
      <c r="J193" s="626"/>
      <c r="K193" s="626"/>
      <c r="L193" s="626"/>
      <c r="M193" s="626"/>
      <c r="N193" s="626"/>
      <c r="O193" s="627"/>
      <c r="P193" s="623" t="s">
        <v>40</v>
      </c>
      <c r="Q193" s="624"/>
      <c r="R193" s="624"/>
      <c r="S193" s="624"/>
      <c r="T193" s="624"/>
      <c r="U193" s="624"/>
      <c r="V193" s="625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626"/>
      <c r="B194" s="626"/>
      <c r="C194" s="626"/>
      <c r="D194" s="626"/>
      <c r="E194" s="626"/>
      <c r="F194" s="626"/>
      <c r="G194" s="626"/>
      <c r="H194" s="626"/>
      <c r="I194" s="626"/>
      <c r="J194" s="626"/>
      <c r="K194" s="626"/>
      <c r="L194" s="626"/>
      <c r="M194" s="626"/>
      <c r="N194" s="626"/>
      <c r="O194" s="627"/>
      <c r="P194" s="623" t="s">
        <v>40</v>
      </c>
      <c r="Q194" s="624"/>
      <c r="R194" s="624"/>
      <c r="S194" s="624"/>
      <c r="T194" s="624"/>
      <c r="U194" s="624"/>
      <c r="V194" s="625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customHeight="1" x14ac:dyDescent="0.2">
      <c r="A195" s="639" t="s">
        <v>336</v>
      </c>
      <c r="B195" s="639"/>
      <c r="C195" s="639"/>
      <c r="D195" s="639"/>
      <c r="E195" s="639"/>
      <c r="F195" s="639"/>
      <c r="G195" s="639"/>
      <c r="H195" s="639"/>
      <c r="I195" s="639"/>
      <c r="J195" s="639"/>
      <c r="K195" s="639"/>
      <c r="L195" s="639"/>
      <c r="M195" s="639"/>
      <c r="N195" s="639"/>
      <c r="O195" s="639"/>
      <c r="P195" s="639"/>
      <c r="Q195" s="639"/>
      <c r="R195" s="639"/>
      <c r="S195" s="639"/>
      <c r="T195" s="639"/>
      <c r="U195" s="639"/>
      <c r="V195" s="639"/>
      <c r="W195" s="639"/>
      <c r="X195" s="639"/>
      <c r="Y195" s="639"/>
      <c r="Z195" s="639"/>
      <c r="AA195" s="54"/>
      <c r="AB195" s="54"/>
      <c r="AC195" s="54"/>
    </row>
    <row r="196" spans="1:68" ht="16.5" customHeight="1" x14ac:dyDescent="0.25">
      <c r="A196" s="634" t="s">
        <v>337</v>
      </c>
      <c r="B196" s="634"/>
      <c r="C196" s="634"/>
      <c r="D196" s="634"/>
      <c r="E196" s="634"/>
      <c r="F196" s="634"/>
      <c r="G196" s="634"/>
      <c r="H196" s="634"/>
      <c r="I196" s="634"/>
      <c r="J196" s="634"/>
      <c r="K196" s="634"/>
      <c r="L196" s="634"/>
      <c r="M196" s="634"/>
      <c r="N196" s="634"/>
      <c r="O196" s="634"/>
      <c r="P196" s="634"/>
      <c r="Q196" s="634"/>
      <c r="R196" s="634"/>
      <c r="S196" s="634"/>
      <c r="T196" s="634"/>
      <c r="U196" s="634"/>
      <c r="V196" s="634"/>
      <c r="W196" s="634"/>
      <c r="X196" s="634"/>
      <c r="Y196" s="634"/>
      <c r="Z196" s="634"/>
      <c r="AA196" s="65"/>
      <c r="AB196" s="65"/>
      <c r="AC196" s="79"/>
    </row>
    <row r="197" spans="1:68" ht="14.25" customHeight="1" x14ac:dyDescent="0.25">
      <c r="A197" s="618" t="s">
        <v>129</v>
      </c>
      <c r="B197" s="618"/>
      <c r="C197" s="618"/>
      <c r="D197" s="618"/>
      <c r="E197" s="618"/>
      <c r="F197" s="618"/>
      <c r="G197" s="618"/>
      <c r="H197" s="618"/>
      <c r="I197" s="618"/>
      <c r="J197" s="618"/>
      <c r="K197" s="618"/>
      <c r="L197" s="618"/>
      <c r="M197" s="618"/>
      <c r="N197" s="618"/>
      <c r="O197" s="618"/>
      <c r="P197" s="618"/>
      <c r="Q197" s="618"/>
      <c r="R197" s="618"/>
      <c r="S197" s="618"/>
      <c r="T197" s="618"/>
      <c r="U197" s="618"/>
      <c r="V197" s="618"/>
      <c r="W197" s="618"/>
      <c r="X197" s="618"/>
      <c r="Y197" s="618"/>
      <c r="Z197" s="618"/>
      <c r="AA197" s="66"/>
      <c r="AB197" s="66"/>
      <c r="AC197" s="80"/>
    </row>
    <row r="198" spans="1:68" ht="27" customHeight="1" x14ac:dyDescent="0.25">
      <c r="A198" s="63" t="s">
        <v>338</v>
      </c>
      <c r="B198" s="63" t="s">
        <v>339</v>
      </c>
      <c r="C198" s="36">
        <v>4301012340</v>
      </c>
      <c r="D198" s="619">
        <v>4680115888760</v>
      </c>
      <c r="E198" s="619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8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21"/>
      <c r="R198" s="621"/>
      <c r="S198" s="621"/>
      <c r="T198" s="622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customHeight="1" x14ac:dyDescent="0.25">
      <c r="A199" s="63" t="s">
        <v>341</v>
      </c>
      <c r="B199" s="63" t="s">
        <v>342</v>
      </c>
      <c r="C199" s="36">
        <v>4301012341</v>
      </c>
      <c r="D199" s="619">
        <v>4680115888807</v>
      </c>
      <c r="E199" s="619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80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21"/>
      <c r="R199" s="621"/>
      <c r="S199" s="621"/>
      <c r="T199" s="62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customHeight="1" x14ac:dyDescent="0.25">
      <c r="A200" s="63" t="s">
        <v>344</v>
      </c>
      <c r="B200" s="63" t="s">
        <v>345</v>
      </c>
      <c r="C200" s="36">
        <v>4301012342</v>
      </c>
      <c r="D200" s="619">
        <v>4680115888852</v>
      </c>
      <c r="E200" s="619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80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21"/>
      <c r="R200" s="621"/>
      <c r="S200" s="621"/>
      <c r="T200" s="6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customHeight="1" x14ac:dyDescent="0.25">
      <c r="A201" s="63" t="s">
        <v>347</v>
      </c>
      <c r="B201" s="63" t="s">
        <v>348</v>
      </c>
      <c r="C201" s="36">
        <v>4301011223</v>
      </c>
      <c r="D201" s="619">
        <v>4607091383423</v>
      </c>
      <c r="E201" s="619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80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21"/>
      <c r="R201" s="621"/>
      <c r="S201" s="621"/>
      <c r="T201" s="6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customHeight="1" x14ac:dyDescent="0.25">
      <c r="A202" s="63" t="s">
        <v>349</v>
      </c>
      <c r="B202" s="63" t="s">
        <v>350</v>
      </c>
      <c r="C202" s="36">
        <v>4301012370</v>
      </c>
      <c r="D202" s="619">
        <v>4680115886957</v>
      </c>
      <c r="E202" s="619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80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1"/>
      <c r="R202" s="621"/>
      <c r="S202" s="621"/>
      <c r="T202" s="6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customHeight="1" x14ac:dyDescent="0.25">
      <c r="A203" s="63" t="s">
        <v>352</v>
      </c>
      <c r="B203" s="63" t="s">
        <v>353</v>
      </c>
      <c r="C203" s="36">
        <v>4301012098</v>
      </c>
      <c r="D203" s="619">
        <v>4680115885660</v>
      </c>
      <c r="E203" s="619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80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1"/>
      <c r="R203" s="621"/>
      <c r="S203" s="621"/>
      <c r="T203" s="6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customHeight="1" x14ac:dyDescent="0.25">
      <c r="A204" s="63" t="s">
        <v>355</v>
      </c>
      <c r="B204" s="63" t="s">
        <v>356</v>
      </c>
      <c r="C204" s="36">
        <v>4301012369</v>
      </c>
      <c r="D204" s="619">
        <v>4680115886773</v>
      </c>
      <c r="E204" s="619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80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1"/>
      <c r="R204" s="621"/>
      <c r="S204" s="621"/>
      <c r="T204" s="6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x14ac:dyDescent="0.2">
      <c r="A205" s="626"/>
      <c r="B205" s="626"/>
      <c r="C205" s="626"/>
      <c r="D205" s="626"/>
      <c r="E205" s="626"/>
      <c r="F205" s="626"/>
      <c r="G205" s="626"/>
      <c r="H205" s="626"/>
      <c r="I205" s="626"/>
      <c r="J205" s="626"/>
      <c r="K205" s="626"/>
      <c r="L205" s="626"/>
      <c r="M205" s="626"/>
      <c r="N205" s="626"/>
      <c r="O205" s="627"/>
      <c r="P205" s="623" t="s">
        <v>40</v>
      </c>
      <c r="Q205" s="624"/>
      <c r="R205" s="624"/>
      <c r="S205" s="624"/>
      <c r="T205" s="624"/>
      <c r="U205" s="624"/>
      <c r="V205" s="625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x14ac:dyDescent="0.2">
      <c r="A206" s="626"/>
      <c r="B206" s="626"/>
      <c r="C206" s="626"/>
      <c r="D206" s="626"/>
      <c r="E206" s="626"/>
      <c r="F206" s="626"/>
      <c r="G206" s="626"/>
      <c r="H206" s="626"/>
      <c r="I206" s="626"/>
      <c r="J206" s="626"/>
      <c r="K206" s="626"/>
      <c r="L206" s="626"/>
      <c r="M206" s="626"/>
      <c r="N206" s="626"/>
      <c r="O206" s="627"/>
      <c r="P206" s="623" t="s">
        <v>40</v>
      </c>
      <c r="Q206" s="624"/>
      <c r="R206" s="624"/>
      <c r="S206" s="624"/>
      <c r="T206" s="624"/>
      <c r="U206" s="624"/>
      <c r="V206" s="625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customHeight="1" x14ac:dyDescent="0.25">
      <c r="A207" s="634" t="s">
        <v>358</v>
      </c>
      <c r="B207" s="634"/>
      <c r="C207" s="634"/>
      <c r="D207" s="634"/>
      <c r="E207" s="634"/>
      <c r="F207" s="634"/>
      <c r="G207" s="634"/>
      <c r="H207" s="634"/>
      <c r="I207" s="634"/>
      <c r="J207" s="634"/>
      <c r="K207" s="634"/>
      <c r="L207" s="634"/>
      <c r="M207" s="634"/>
      <c r="N207" s="634"/>
      <c r="O207" s="634"/>
      <c r="P207" s="634"/>
      <c r="Q207" s="634"/>
      <c r="R207" s="634"/>
      <c r="S207" s="634"/>
      <c r="T207" s="634"/>
      <c r="U207" s="634"/>
      <c r="V207" s="634"/>
      <c r="W207" s="634"/>
      <c r="X207" s="634"/>
      <c r="Y207" s="634"/>
      <c r="Z207" s="634"/>
      <c r="AA207" s="65"/>
      <c r="AB207" s="65"/>
      <c r="AC207" s="79"/>
    </row>
    <row r="208" spans="1:68" ht="14.25" customHeight="1" x14ac:dyDescent="0.25">
      <c r="A208" s="618" t="s">
        <v>166</v>
      </c>
      <c r="B208" s="618"/>
      <c r="C208" s="618"/>
      <c r="D208" s="618"/>
      <c r="E208" s="618"/>
      <c r="F208" s="618"/>
      <c r="G208" s="618"/>
      <c r="H208" s="618"/>
      <c r="I208" s="618"/>
      <c r="J208" s="618"/>
      <c r="K208" s="618"/>
      <c r="L208" s="618"/>
      <c r="M208" s="618"/>
      <c r="N208" s="618"/>
      <c r="O208" s="618"/>
      <c r="P208" s="618"/>
      <c r="Q208" s="618"/>
      <c r="R208" s="618"/>
      <c r="S208" s="618"/>
      <c r="T208" s="618"/>
      <c r="U208" s="618"/>
      <c r="V208" s="618"/>
      <c r="W208" s="618"/>
      <c r="X208" s="618"/>
      <c r="Y208" s="618"/>
      <c r="Z208" s="618"/>
      <c r="AA208" s="66"/>
      <c r="AB208" s="66"/>
      <c r="AC208" s="80"/>
    </row>
    <row r="209" spans="1:68" ht="27" customHeight="1" x14ac:dyDescent="0.25">
      <c r="A209" s="63" t="s">
        <v>359</v>
      </c>
      <c r="B209" s="63" t="s">
        <v>360</v>
      </c>
      <c r="C209" s="36">
        <v>4301020323</v>
      </c>
      <c r="D209" s="619">
        <v>4680115886223</v>
      </c>
      <c r="E209" s="619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1"/>
      <c r="R209" s="621"/>
      <c r="S209" s="621"/>
      <c r="T209" s="622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x14ac:dyDescent="0.2">
      <c r="A210" s="626"/>
      <c r="B210" s="626"/>
      <c r="C210" s="626"/>
      <c r="D210" s="626"/>
      <c r="E210" s="626"/>
      <c r="F210" s="626"/>
      <c r="G210" s="626"/>
      <c r="H210" s="626"/>
      <c r="I210" s="626"/>
      <c r="J210" s="626"/>
      <c r="K210" s="626"/>
      <c r="L210" s="626"/>
      <c r="M210" s="626"/>
      <c r="N210" s="626"/>
      <c r="O210" s="627"/>
      <c r="P210" s="623" t="s">
        <v>40</v>
      </c>
      <c r="Q210" s="624"/>
      <c r="R210" s="624"/>
      <c r="S210" s="624"/>
      <c r="T210" s="624"/>
      <c r="U210" s="624"/>
      <c r="V210" s="625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626"/>
      <c r="B211" s="626"/>
      <c r="C211" s="626"/>
      <c r="D211" s="626"/>
      <c r="E211" s="626"/>
      <c r="F211" s="626"/>
      <c r="G211" s="626"/>
      <c r="H211" s="626"/>
      <c r="I211" s="626"/>
      <c r="J211" s="626"/>
      <c r="K211" s="626"/>
      <c r="L211" s="626"/>
      <c r="M211" s="626"/>
      <c r="N211" s="626"/>
      <c r="O211" s="627"/>
      <c r="P211" s="623" t="s">
        <v>40</v>
      </c>
      <c r="Q211" s="624"/>
      <c r="R211" s="624"/>
      <c r="S211" s="624"/>
      <c r="T211" s="624"/>
      <c r="U211" s="624"/>
      <c r="V211" s="625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customHeight="1" x14ac:dyDescent="0.25">
      <c r="A212" s="618" t="s">
        <v>77</v>
      </c>
      <c r="B212" s="618"/>
      <c r="C212" s="618"/>
      <c r="D212" s="618"/>
      <c r="E212" s="618"/>
      <c r="F212" s="618"/>
      <c r="G212" s="618"/>
      <c r="H212" s="618"/>
      <c r="I212" s="618"/>
      <c r="J212" s="618"/>
      <c r="K212" s="618"/>
      <c r="L212" s="618"/>
      <c r="M212" s="618"/>
      <c r="N212" s="618"/>
      <c r="O212" s="618"/>
      <c r="P212" s="618"/>
      <c r="Q212" s="618"/>
      <c r="R212" s="618"/>
      <c r="S212" s="618"/>
      <c r="T212" s="618"/>
      <c r="U212" s="618"/>
      <c r="V212" s="618"/>
      <c r="W212" s="618"/>
      <c r="X212" s="618"/>
      <c r="Y212" s="618"/>
      <c r="Z212" s="618"/>
      <c r="AA212" s="66"/>
      <c r="AB212" s="66"/>
      <c r="AC212" s="80"/>
    </row>
    <row r="213" spans="1:68" ht="27" customHeight="1" x14ac:dyDescent="0.25">
      <c r="A213" s="63" t="s">
        <v>362</v>
      </c>
      <c r="B213" s="63" t="s">
        <v>363</v>
      </c>
      <c r="C213" s="36">
        <v>4301031191</v>
      </c>
      <c r="D213" s="619">
        <v>4680115880993</v>
      </c>
      <c r="E213" s="619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8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1"/>
      <c r="R213" s="621"/>
      <c r="S213" s="621"/>
      <c r="T213" s="62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customHeight="1" x14ac:dyDescent="0.25">
      <c r="A214" s="63" t="s">
        <v>365</v>
      </c>
      <c r="B214" s="63" t="s">
        <v>366</v>
      </c>
      <c r="C214" s="36">
        <v>4301031204</v>
      </c>
      <c r="D214" s="619">
        <v>4680115881761</v>
      </c>
      <c r="E214" s="61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1"/>
      <c r="R214" s="621"/>
      <c r="S214" s="621"/>
      <c r="T214" s="62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customHeight="1" x14ac:dyDescent="0.25">
      <c r="A215" s="63" t="s">
        <v>368</v>
      </c>
      <c r="B215" s="63" t="s">
        <v>369</v>
      </c>
      <c r="C215" s="36">
        <v>4301031201</v>
      </c>
      <c r="D215" s="619">
        <v>4680115881563</v>
      </c>
      <c r="E215" s="619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1"/>
      <c r="R215" s="621"/>
      <c r="S215" s="621"/>
      <c r="T215" s="6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customHeight="1" x14ac:dyDescent="0.25">
      <c r="A216" s="63" t="s">
        <v>371</v>
      </c>
      <c r="B216" s="63" t="s">
        <v>372</v>
      </c>
      <c r="C216" s="36">
        <v>4301031447</v>
      </c>
      <c r="D216" s="619">
        <v>4680115887565</v>
      </c>
      <c r="E216" s="619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1"/>
      <c r="R216" s="621"/>
      <c r="S216" s="621"/>
      <c r="T216" s="6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customHeight="1" x14ac:dyDescent="0.25">
      <c r="A217" s="63" t="s">
        <v>374</v>
      </c>
      <c r="B217" s="63" t="s">
        <v>375</v>
      </c>
      <c r="C217" s="36">
        <v>4301031199</v>
      </c>
      <c r="D217" s="619">
        <v>4680115880986</v>
      </c>
      <c r="E217" s="619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1"/>
      <c r="R217" s="621"/>
      <c r="S217" s="621"/>
      <c r="T217" s="6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376</v>
      </c>
      <c r="B218" s="63" t="s">
        <v>377</v>
      </c>
      <c r="C218" s="36">
        <v>4301031443</v>
      </c>
      <c r="D218" s="619">
        <v>4680115887213</v>
      </c>
      <c r="E218" s="619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1"/>
      <c r="R218" s="621"/>
      <c r="S218" s="621"/>
      <c r="T218" s="6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379</v>
      </c>
      <c r="B219" s="63" t="s">
        <v>380</v>
      </c>
      <c r="C219" s="36">
        <v>4301031205</v>
      </c>
      <c r="D219" s="619">
        <v>4680115881785</v>
      </c>
      <c r="E219" s="6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1"/>
      <c r="R219" s="621"/>
      <c r="S219" s="621"/>
      <c r="T219" s="6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381</v>
      </c>
      <c r="B220" s="63" t="s">
        <v>382</v>
      </c>
      <c r="C220" s="36">
        <v>4301031499</v>
      </c>
      <c r="D220" s="619">
        <v>4680115888432</v>
      </c>
      <c r="E220" s="619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1"/>
      <c r="R220" s="621"/>
      <c r="S220" s="621"/>
      <c r="T220" s="6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384</v>
      </c>
      <c r="B221" s="63" t="s">
        <v>385</v>
      </c>
      <c r="C221" s="36">
        <v>4301031427</v>
      </c>
      <c r="D221" s="619">
        <v>4680115888104</v>
      </c>
      <c r="E221" s="619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79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1"/>
      <c r="R221" s="621"/>
      <c r="S221" s="621"/>
      <c r="T221" s="6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387</v>
      </c>
      <c r="B222" s="63" t="s">
        <v>388</v>
      </c>
      <c r="C222" s="36">
        <v>4301031399</v>
      </c>
      <c r="D222" s="619">
        <v>4680115886537</v>
      </c>
      <c r="E222" s="6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79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1"/>
      <c r="R222" s="621"/>
      <c r="S222" s="621"/>
      <c r="T222" s="6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390</v>
      </c>
      <c r="B223" s="63" t="s">
        <v>391</v>
      </c>
      <c r="C223" s="36">
        <v>4301031279</v>
      </c>
      <c r="D223" s="619">
        <v>4680115887596</v>
      </c>
      <c r="E223" s="61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79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1"/>
      <c r="R223" s="621"/>
      <c r="S223" s="621"/>
      <c r="T223" s="6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393</v>
      </c>
      <c r="B224" s="63" t="s">
        <v>394</v>
      </c>
      <c r="C224" s="36">
        <v>4301031202</v>
      </c>
      <c r="D224" s="619">
        <v>4680115881679</v>
      </c>
      <c r="E224" s="61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78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1"/>
      <c r="R224" s="621"/>
      <c r="S224" s="621"/>
      <c r="T224" s="6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customHeight="1" x14ac:dyDescent="0.25">
      <c r="A225" s="63" t="s">
        <v>395</v>
      </c>
      <c r="B225" s="63" t="s">
        <v>396</v>
      </c>
      <c r="C225" s="36">
        <v>4301031158</v>
      </c>
      <c r="D225" s="619">
        <v>4680115880191</v>
      </c>
      <c r="E225" s="61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78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1"/>
      <c r="R225" s="621"/>
      <c r="S225" s="621"/>
      <c r="T225" s="6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397</v>
      </c>
      <c r="B226" s="63" t="s">
        <v>398</v>
      </c>
      <c r="C226" s="36">
        <v>4301031245</v>
      </c>
      <c r="D226" s="619">
        <v>4680115883963</v>
      </c>
      <c r="E226" s="61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7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1"/>
      <c r="R226" s="621"/>
      <c r="S226" s="621"/>
      <c r="T226" s="6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26"/>
      <c r="B227" s="626"/>
      <c r="C227" s="626"/>
      <c r="D227" s="626"/>
      <c r="E227" s="626"/>
      <c r="F227" s="626"/>
      <c r="G227" s="626"/>
      <c r="H227" s="626"/>
      <c r="I227" s="626"/>
      <c r="J227" s="626"/>
      <c r="K227" s="626"/>
      <c r="L227" s="626"/>
      <c r="M227" s="626"/>
      <c r="N227" s="626"/>
      <c r="O227" s="627"/>
      <c r="P227" s="623" t="s">
        <v>40</v>
      </c>
      <c r="Q227" s="624"/>
      <c r="R227" s="624"/>
      <c r="S227" s="624"/>
      <c r="T227" s="624"/>
      <c r="U227" s="624"/>
      <c r="V227" s="625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x14ac:dyDescent="0.2">
      <c r="A228" s="626"/>
      <c r="B228" s="626"/>
      <c r="C228" s="626"/>
      <c r="D228" s="626"/>
      <c r="E228" s="626"/>
      <c r="F228" s="626"/>
      <c r="G228" s="626"/>
      <c r="H228" s="626"/>
      <c r="I228" s="626"/>
      <c r="J228" s="626"/>
      <c r="K228" s="626"/>
      <c r="L228" s="626"/>
      <c r="M228" s="626"/>
      <c r="N228" s="626"/>
      <c r="O228" s="627"/>
      <c r="P228" s="623" t="s">
        <v>40</v>
      </c>
      <c r="Q228" s="624"/>
      <c r="R228" s="624"/>
      <c r="S228" s="624"/>
      <c r="T228" s="624"/>
      <c r="U228" s="624"/>
      <c r="V228" s="625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customHeight="1" x14ac:dyDescent="0.25">
      <c r="A229" s="618" t="s">
        <v>86</v>
      </c>
      <c r="B229" s="618"/>
      <c r="C229" s="618"/>
      <c r="D229" s="618"/>
      <c r="E229" s="618"/>
      <c r="F229" s="618"/>
      <c r="G229" s="618"/>
      <c r="H229" s="618"/>
      <c r="I229" s="618"/>
      <c r="J229" s="618"/>
      <c r="K229" s="618"/>
      <c r="L229" s="618"/>
      <c r="M229" s="618"/>
      <c r="N229" s="618"/>
      <c r="O229" s="618"/>
      <c r="P229" s="618"/>
      <c r="Q229" s="618"/>
      <c r="R229" s="618"/>
      <c r="S229" s="618"/>
      <c r="T229" s="618"/>
      <c r="U229" s="618"/>
      <c r="V229" s="618"/>
      <c r="W229" s="618"/>
      <c r="X229" s="618"/>
      <c r="Y229" s="618"/>
      <c r="Z229" s="618"/>
      <c r="AA229" s="66"/>
      <c r="AB229" s="66"/>
      <c r="AC229" s="80"/>
    </row>
    <row r="230" spans="1:68" ht="27" customHeight="1" x14ac:dyDescent="0.25">
      <c r="A230" s="63" t="s">
        <v>400</v>
      </c>
      <c r="B230" s="63" t="s">
        <v>401</v>
      </c>
      <c r="C230" s="36">
        <v>4301052178</v>
      </c>
      <c r="D230" s="619">
        <v>4680115888975</v>
      </c>
      <c r="E230" s="619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7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1"/>
      <c r="R230" s="621"/>
      <c r="S230" s="621"/>
      <c r="T230" s="62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customHeight="1" x14ac:dyDescent="0.25">
      <c r="A231" s="63" t="s">
        <v>403</v>
      </c>
      <c r="B231" s="63" t="s">
        <v>404</v>
      </c>
      <c r="C231" s="36">
        <v>4301052209</v>
      </c>
      <c r="D231" s="619">
        <v>4680115888692</v>
      </c>
      <c r="E231" s="61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78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1"/>
      <c r="R231" s="621"/>
      <c r="S231" s="621"/>
      <c r="T231" s="62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customHeight="1" x14ac:dyDescent="0.25">
      <c r="A232" s="63" t="s">
        <v>406</v>
      </c>
      <c r="B232" s="63" t="s">
        <v>407</v>
      </c>
      <c r="C232" s="36">
        <v>4301052213</v>
      </c>
      <c r="D232" s="619">
        <v>4680115888722</v>
      </c>
      <c r="E232" s="619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78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1"/>
      <c r="R232" s="621"/>
      <c r="S232" s="621"/>
      <c r="T232" s="62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409</v>
      </c>
      <c r="B233" s="63" t="s">
        <v>410</v>
      </c>
      <c r="C233" s="36">
        <v>4301052177</v>
      </c>
      <c r="D233" s="619">
        <v>4680115888951</v>
      </c>
      <c r="E233" s="619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78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1"/>
      <c r="R233" s="621"/>
      <c r="S233" s="621"/>
      <c r="T233" s="62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412</v>
      </c>
      <c r="B234" s="63" t="s">
        <v>413</v>
      </c>
      <c r="C234" s="36">
        <v>4301052176</v>
      </c>
      <c r="D234" s="619">
        <v>4680115888982</v>
      </c>
      <c r="E234" s="61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77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1"/>
      <c r="R234" s="621"/>
      <c r="S234" s="621"/>
      <c r="T234" s="62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626"/>
      <c r="B235" s="626"/>
      <c r="C235" s="626"/>
      <c r="D235" s="626"/>
      <c r="E235" s="626"/>
      <c r="F235" s="626"/>
      <c r="G235" s="626"/>
      <c r="H235" s="626"/>
      <c r="I235" s="626"/>
      <c r="J235" s="626"/>
      <c r="K235" s="626"/>
      <c r="L235" s="626"/>
      <c r="M235" s="626"/>
      <c r="N235" s="626"/>
      <c r="O235" s="627"/>
      <c r="P235" s="623" t="s">
        <v>40</v>
      </c>
      <c r="Q235" s="624"/>
      <c r="R235" s="624"/>
      <c r="S235" s="624"/>
      <c r="T235" s="624"/>
      <c r="U235" s="624"/>
      <c r="V235" s="62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26"/>
      <c r="B236" s="626"/>
      <c r="C236" s="626"/>
      <c r="D236" s="626"/>
      <c r="E236" s="626"/>
      <c r="F236" s="626"/>
      <c r="G236" s="626"/>
      <c r="H236" s="626"/>
      <c r="I236" s="626"/>
      <c r="J236" s="626"/>
      <c r="K236" s="626"/>
      <c r="L236" s="626"/>
      <c r="M236" s="626"/>
      <c r="N236" s="626"/>
      <c r="O236" s="627"/>
      <c r="P236" s="623" t="s">
        <v>40</v>
      </c>
      <c r="Q236" s="624"/>
      <c r="R236" s="624"/>
      <c r="S236" s="624"/>
      <c r="T236" s="624"/>
      <c r="U236" s="624"/>
      <c r="V236" s="62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customHeight="1" x14ac:dyDescent="0.25">
      <c r="A237" s="618" t="s">
        <v>104</v>
      </c>
      <c r="B237" s="618"/>
      <c r="C237" s="618"/>
      <c r="D237" s="618"/>
      <c r="E237" s="618"/>
      <c r="F237" s="618"/>
      <c r="G237" s="618"/>
      <c r="H237" s="618"/>
      <c r="I237" s="618"/>
      <c r="J237" s="618"/>
      <c r="K237" s="618"/>
      <c r="L237" s="618"/>
      <c r="M237" s="618"/>
      <c r="N237" s="618"/>
      <c r="O237" s="618"/>
      <c r="P237" s="618"/>
      <c r="Q237" s="618"/>
      <c r="R237" s="618"/>
      <c r="S237" s="618"/>
      <c r="T237" s="618"/>
      <c r="U237" s="618"/>
      <c r="V237" s="618"/>
      <c r="W237" s="618"/>
      <c r="X237" s="618"/>
      <c r="Y237" s="618"/>
      <c r="Z237" s="618"/>
      <c r="AA237" s="66"/>
      <c r="AB237" s="66"/>
      <c r="AC237" s="80"/>
    </row>
    <row r="238" spans="1:68" ht="27" customHeight="1" x14ac:dyDescent="0.25">
      <c r="A238" s="63" t="s">
        <v>414</v>
      </c>
      <c r="B238" s="63" t="s">
        <v>415</v>
      </c>
      <c r="C238" s="36">
        <v>4301032053</v>
      </c>
      <c r="D238" s="619">
        <v>4680115886780</v>
      </c>
      <c r="E238" s="61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1"/>
      <c r="R238" s="621"/>
      <c r="S238" s="621"/>
      <c r="T238" s="62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417</v>
      </c>
      <c r="B239" s="63" t="s">
        <v>418</v>
      </c>
      <c r="C239" s="36">
        <v>4301032051</v>
      </c>
      <c r="D239" s="619">
        <v>4680115886742</v>
      </c>
      <c r="E239" s="61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1"/>
      <c r="R239" s="621"/>
      <c r="S239" s="621"/>
      <c r="T239" s="62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420</v>
      </c>
      <c r="B240" s="63" t="s">
        <v>421</v>
      </c>
      <c r="C240" s="36">
        <v>4301032052</v>
      </c>
      <c r="D240" s="619">
        <v>4680115886766</v>
      </c>
      <c r="E240" s="61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7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1"/>
      <c r="R240" s="621"/>
      <c r="S240" s="621"/>
      <c r="T240" s="62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6"/>
      <c r="B241" s="626"/>
      <c r="C241" s="626"/>
      <c r="D241" s="626"/>
      <c r="E241" s="626"/>
      <c r="F241" s="626"/>
      <c r="G241" s="626"/>
      <c r="H241" s="626"/>
      <c r="I241" s="626"/>
      <c r="J241" s="626"/>
      <c r="K241" s="626"/>
      <c r="L241" s="626"/>
      <c r="M241" s="626"/>
      <c r="N241" s="626"/>
      <c r="O241" s="627"/>
      <c r="P241" s="623" t="s">
        <v>40</v>
      </c>
      <c r="Q241" s="624"/>
      <c r="R241" s="624"/>
      <c r="S241" s="624"/>
      <c r="T241" s="624"/>
      <c r="U241" s="624"/>
      <c r="V241" s="62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6"/>
      <c r="B242" s="626"/>
      <c r="C242" s="626"/>
      <c r="D242" s="626"/>
      <c r="E242" s="626"/>
      <c r="F242" s="626"/>
      <c r="G242" s="626"/>
      <c r="H242" s="626"/>
      <c r="I242" s="626"/>
      <c r="J242" s="626"/>
      <c r="K242" s="626"/>
      <c r="L242" s="626"/>
      <c r="M242" s="626"/>
      <c r="N242" s="626"/>
      <c r="O242" s="627"/>
      <c r="P242" s="623" t="s">
        <v>40</v>
      </c>
      <c r="Q242" s="624"/>
      <c r="R242" s="624"/>
      <c r="S242" s="624"/>
      <c r="T242" s="624"/>
      <c r="U242" s="624"/>
      <c r="V242" s="62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customHeight="1" x14ac:dyDescent="0.25">
      <c r="A243" s="618" t="s">
        <v>422</v>
      </c>
      <c r="B243" s="618"/>
      <c r="C243" s="618"/>
      <c r="D243" s="618"/>
      <c r="E243" s="618"/>
      <c r="F243" s="618"/>
      <c r="G243" s="618"/>
      <c r="H243" s="618"/>
      <c r="I243" s="618"/>
      <c r="J243" s="618"/>
      <c r="K243" s="618"/>
      <c r="L243" s="618"/>
      <c r="M243" s="618"/>
      <c r="N243" s="618"/>
      <c r="O243" s="618"/>
      <c r="P243" s="618"/>
      <c r="Q243" s="618"/>
      <c r="R243" s="618"/>
      <c r="S243" s="618"/>
      <c r="T243" s="618"/>
      <c r="U243" s="618"/>
      <c r="V243" s="618"/>
      <c r="W243" s="618"/>
      <c r="X243" s="618"/>
      <c r="Y243" s="618"/>
      <c r="Z243" s="618"/>
      <c r="AA243" s="66"/>
      <c r="AB243" s="66"/>
      <c r="AC243" s="80"/>
    </row>
    <row r="244" spans="1:68" ht="27" customHeight="1" x14ac:dyDescent="0.25">
      <c r="A244" s="63" t="s">
        <v>423</v>
      </c>
      <c r="B244" s="63" t="s">
        <v>424</v>
      </c>
      <c r="C244" s="36">
        <v>4301170013</v>
      </c>
      <c r="D244" s="619">
        <v>4680115886797</v>
      </c>
      <c r="E244" s="61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7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1"/>
      <c r="R244" s="621"/>
      <c r="S244" s="621"/>
      <c r="T244" s="62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26"/>
      <c r="B245" s="626"/>
      <c r="C245" s="626"/>
      <c r="D245" s="626"/>
      <c r="E245" s="626"/>
      <c r="F245" s="626"/>
      <c r="G245" s="626"/>
      <c r="H245" s="626"/>
      <c r="I245" s="626"/>
      <c r="J245" s="626"/>
      <c r="K245" s="626"/>
      <c r="L245" s="626"/>
      <c r="M245" s="626"/>
      <c r="N245" s="626"/>
      <c r="O245" s="627"/>
      <c r="P245" s="623" t="s">
        <v>40</v>
      </c>
      <c r="Q245" s="624"/>
      <c r="R245" s="624"/>
      <c r="S245" s="624"/>
      <c r="T245" s="624"/>
      <c r="U245" s="624"/>
      <c r="V245" s="62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626"/>
      <c r="B246" s="626"/>
      <c r="C246" s="626"/>
      <c r="D246" s="626"/>
      <c r="E246" s="626"/>
      <c r="F246" s="626"/>
      <c r="G246" s="626"/>
      <c r="H246" s="626"/>
      <c r="I246" s="626"/>
      <c r="J246" s="626"/>
      <c r="K246" s="626"/>
      <c r="L246" s="626"/>
      <c r="M246" s="626"/>
      <c r="N246" s="626"/>
      <c r="O246" s="627"/>
      <c r="P246" s="623" t="s">
        <v>40</v>
      </c>
      <c r="Q246" s="624"/>
      <c r="R246" s="624"/>
      <c r="S246" s="624"/>
      <c r="T246" s="624"/>
      <c r="U246" s="624"/>
      <c r="V246" s="62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customHeight="1" x14ac:dyDescent="0.25">
      <c r="A247" s="634" t="s">
        <v>425</v>
      </c>
      <c r="B247" s="634"/>
      <c r="C247" s="634"/>
      <c r="D247" s="634"/>
      <c r="E247" s="634"/>
      <c r="F247" s="634"/>
      <c r="G247" s="634"/>
      <c r="H247" s="634"/>
      <c r="I247" s="634"/>
      <c r="J247" s="634"/>
      <c r="K247" s="634"/>
      <c r="L247" s="634"/>
      <c r="M247" s="634"/>
      <c r="N247" s="634"/>
      <c r="O247" s="634"/>
      <c r="P247" s="634"/>
      <c r="Q247" s="634"/>
      <c r="R247" s="634"/>
      <c r="S247" s="634"/>
      <c r="T247" s="634"/>
      <c r="U247" s="634"/>
      <c r="V247" s="634"/>
      <c r="W247" s="634"/>
      <c r="X247" s="634"/>
      <c r="Y247" s="634"/>
      <c r="Z247" s="634"/>
      <c r="AA247" s="65"/>
      <c r="AB247" s="65"/>
      <c r="AC247" s="79"/>
    </row>
    <row r="248" spans="1:68" ht="14.25" customHeight="1" x14ac:dyDescent="0.25">
      <c r="A248" s="618" t="s">
        <v>129</v>
      </c>
      <c r="B248" s="618"/>
      <c r="C248" s="618"/>
      <c r="D248" s="618"/>
      <c r="E248" s="618"/>
      <c r="F248" s="618"/>
      <c r="G248" s="618"/>
      <c r="H248" s="618"/>
      <c r="I248" s="618"/>
      <c r="J248" s="618"/>
      <c r="K248" s="618"/>
      <c r="L248" s="618"/>
      <c r="M248" s="618"/>
      <c r="N248" s="618"/>
      <c r="O248" s="618"/>
      <c r="P248" s="618"/>
      <c r="Q248" s="618"/>
      <c r="R248" s="618"/>
      <c r="S248" s="618"/>
      <c r="T248" s="618"/>
      <c r="U248" s="618"/>
      <c r="V248" s="618"/>
      <c r="W248" s="618"/>
      <c r="X248" s="618"/>
      <c r="Y248" s="618"/>
      <c r="Z248" s="618"/>
      <c r="AA248" s="66"/>
      <c r="AB248" s="66"/>
      <c r="AC248" s="80"/>
    </row>
    <row r="249" spans="1:68" ht="27" customHeight="1" x14ac:dyDescent="0.25">
      <c r="A249" s="63" t="s">
        <v>426</v>
      </c>
      <c r="B249" s="63" t="s">
        <v>427</v>
      </c>
      <c r="C249" s="36">
        <v>4301011450</v>
      </c>
      <c r="D249" s="619">
        <v>4680115881402</v>
      </c>
      <c r="E249" s="61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77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1"/>
      <c r="R249" s="621"/>
      <c r="S249" s="621"/>
      <c r="T249" s="62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429</v>
      </c>
      <c r="B250" s="63" t="s">
        <v>430</v>
      </c>
      <c r="C250" s="36">
        <v>4301011768</v>
      </c>
      <c r="D250" s="619">
        <v>4680115881396</v>
      </c>
      <c r="E250" s="61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77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1"/>
      <c r="R250" s="621"/>
      <c r="S250" s="621"/>
      <c r="T250" s="62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26"/>
      <c r="B251" s="626"/>
      <c r="C251" s="626"/>
      <c r="D251" s="626"/>
      <c r="E251" s="626"/>
      <c r="F251" s="626"/>
      <c r="G251" s="626"/>
      <c r="H251" s="626"/>
      <c r="I251" s="626"/>
      <c r="J251" s="626"/>
      <c r="K251" s="626"/>
      <c r="L251" s="626"/>
      <c r="M251" s="626"/>
      <c r="N251" s="626"/>
      <c r="O251" s="627"/>
      <c r="P251" s="623" t="s">
        <v>40</v>
      </c>
      <c r="Q251" s="624"/>
      <c r="R251" s="624"/>
      <c r="S251" s="624"/>
      <c r="T251" s="624"/>
      <c r="U251" s="624"/>
      <c r="V251" s="625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x14ac:dyDescent="0.2">
      <c r="A252" s="626"/>
      <c r="B252" s="626"/>
      <c r="C252" s="626"/>
      <c r="D252" s="626"/>
      <c r="E252" s="626"/>
      <c r="F252" s="626"/>
      <c r="G252" s="626"/>
      <c r="H252" s="626"/>
      <c r="I252" s="626"/>
      <c r="J252" s="626"/>
      <c r="K252" s="626"/>
      <c r="L252" s="626"/>
      <c r="M252" s="626"/>
      <c r="N252" s="626"/>
      <c r="O252" s="627"/>
      <c r="P252" s="623" t="s">
        <v>40</v>
      </c>
      <c r="Q252" s="624"/>
      <c r="R252" s="624"/>
      <c r="S252" s="624"/>
      <c r="T252" s="624"/>
      <c r="U252" s="624"/>
      <c r="V252" s="625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customHeight="1" x14ac:dyDescent="0.25">
      <c r="A253" s="618" t="s">
        <v>166</v>
      </c>
      <c r="B253" s="618"/>
      <c r="C253" s="618"/>
      <c r="D253" s="618"/>
      <c r="E253" s="618"/>
      <c r="F253" s="618"/>
      <c r="G253" s="618"/>
      <c r="H253" s="618"/>
      <c r="I253" s="618"/>
      <c r="J253" s="618"/>
      <c r="K253" s="618"/>
      <c r="L253" s="618"/>
      <c r="M253" s="618"/>
      <c r="N253" s="618"/>
      <c r="O253" s="618"/>
      <c r="P253" s="618"/>
      <c r="Q253" s="618"/>
      <c r="R253" s="618"/>
      <c r="S253" s="618"/>
      <c r="T253" s="618"/>
      <c r="U253" s="618"/>
      <c r="V253" s="618"/>
      <c r="W253" s="618"/>
      <c r="X253" s="618"/>
      <c r="Y253" s="618"/>
      <c r="Z253" s="618"/>
      <c r="AA253" s="66"/>
      <c r="AB253" s="66"/>
      <c r="AC253" s="80"/>
    </row>
    <row r="254" spans="1:68" ht="16.5" customHeight="1" x14ac:dyDescent="0.25">
      <c r="A254" s="63" t="s">
        <v>431</v>
      </c>
      <c r="B254" s="63" t="s">
        <v>432</v>
      </c>
      <c r="C254" s="36">
        <v>4301020261</v>
      </c>
      <c r="D254" s="619">
        <v>4680115882935</v>
      </c>
      <c r="E254" s="61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7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1"/>
      <c r="R254" s="621"/>
      <c r="S254" s="621"/>
      <c r="T254" s="62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customHeight="1" x14ac:dyDescent="0.25">
      <c r="A255" s="63" t="s">
        <v>434</v>
      </c>
      <c r="B255" s="63" t="s">
        <v>435</v>
      </c>
      <c r="C255" s="36">
        <v>4301020220</v>
      </c>
      <c r="D255" s="619">
        <v>4680115880764</v>
      </c>
      <c r="E255" s="61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77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1"/>
      <c r="R255" s="621"/>
      <c r="S255" s="621"/>
      <c r="T255" s="62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x14ac:dyDescent="0.2">
      <c r="A256" s="626"/>
      <c r="B256" s="626"/>
      <c r="C256" s="626"/>
      <c r="D256" s="626"/>
      <c r="E256" s="626"/>
      <c r="F256" s="626"/>
      <c r="G256" s="626"/>
      <c r="H256" s="626"/>
      <c r="I256" s="626"/>
      <c r="J256" s="626"/>
      <c r="K256" s="626"/>
      <c r="L256" s="626"/>
      <c r="M256" s="626"/>
      <c r="N256" s="626"/>
      <c r="O256" s="627"/>
      <c r="P256" s="623" t="s">
        <v>40</v>
      </c>
      <c r="Q256" s="624"/>
      <c r="R256" s="624"/>
      <c r="S256" s="624"/>
      <c r="T256" s="624"/>
      <c r="U256" s="624"/>
      <c r="V256" s="625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x14ac:dyDescent="0.2">
      <c r="A257" s="626"/>
      <c r="B257" s="626"/>
      <c r="C257" s="626"/>
      <c r="D257" s="626"/>
      <c r="E257" s="626"/>
      <c r="F257" s="626"/>
      <c r="G257" s="626"/>
      <c r="H257" s="626"/>
      <c r="I257" s="626"/>
      <c r="J257" s="626"/>
      <c r="K257" s="626"/>
      <c r="L257" s="626"/>
      <c r="M257" s="626"/>
      <c r="N257" s="626"/>
      <c r="O257" s="627"/>
      <c r="P257" s="623" t="s">
        <v>40</v>
      </c>
      <c r="Q257" s="624"/>
      <c r="R257" s="624"/>
      <c r="S257" s="624"/>
      <c r="T257" s="624"/>
      <c r="U257" s="624"/>
      <c r="V257" s="625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customHeight="1" x14ac:dyDescent="0.25">
      <c r="A258" s="618" t="s">
        <v>77</v>
      </c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  <c r="P258" s="618"/>
      <c r="Q258" s="618"/>
      <c r="R258" s="618"/>
      <c r="S258" s="618"/>
      <c r="T258" s="618"/>
      <c r="U258" s="618"/>
      <c r="V258" s="618"/>
      <c r="W258" s="618"/>
      <c r="X258" s="618"/>
      <c r="Y258" s="618"/>
      <c r="Z258" s="618"/>
      <c r="AA258" s="66"/>
      <c r="AB258" s="66"/>
      <c r="AC258" s="80"/>
    </row>
    <row r="259" spans="1:68" ht="27" customHeight="1" x14ac:dyDescent="0.25">
      <c r="A259" s="63" t="s">
        <v>436</v>
      </c>
      <c r="B259" s="63" t="s">
        <v>437</v>
      </c>
      <c r="C259" s="36">
        <v>4301031224</v>
      </c>
      <c r="D259" s="619">
        <v>4680115882683</v>
      </c>
      <c r="E259" s="61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1"/>
      <c r="R259" s="621"/>
      <c r="S259" s="621"/>
      <c r="T259" s="62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customHeight="1" x14ac:dyDescent="0.25">
      <c r="A260" s="63" t="s">
        <v>439</v>
      </c>
      <c r="B260" s="63" t="s">
        <v>440</v>
      </c>
      <c r="C260" s="36">
        <v>4301031230</v>
      </c>
      <c r="D260" s="619">
        <v>4680115882690</v>
      </c>
      <c r="E260" s="61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7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1"/>
      <c r="R260" s="621"/>
      <c r="S260" s="621"/>
      <c r="T260" s="62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4301031220</v>
      </c>
      <c r="D261" s="619">
        <v>4680115882669</v>
      </c>
      <c r="E261" s="61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7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1"/>
      <c r="R261" s="621"/>
      <c r="S261" s="621"/>
      <c r="T261" s="62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customHeight="1" x14ac:dyDescent="0.25">
      <c r="A262" s="63" t="s">
        <v>445</v>
      </c>
      <c r="B262" s="63" t="s">
        <v>446</v>
      </c>
      <c r="C262" s="36">
        <v>4301031221</v>
      </c>
      <c r="D262" s="619">
        <v>4680115882676</v>
      </c>
      <c r="E262" s="61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7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1"/>
      <c r="R262" s="621"/>
      <c r="S262" s="621"/>
      <c r="T262" s="62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customHeight="1" x14ac:dyDescent="0.25">
      <c r="A263" s="63" t="s">
        <v>448</v>
      </c>
      <c r="B263" s="63" t="s">
        <v>449</v>
      </c>
      <c r="C263" s="36">
        <v>4301031223</v>
      </c>
      <c r="D263" s="619">
        <v>4680115884014</v>
      </c>
      <c r="E263" s="61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1"/>
      <c r="R263" s="621"/>
      <c r="S263" s="621"/>
      <c r="T263" s="62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customHeight="1" x14ac:dyDescent="0.25">
      <c r="A264" s="63" t="s">
        <v>450</v>
      </c>
      <c r="B264" s="63" t="s">
        <v>451</v>
      </c>
      <c r="C264" s="36">
        <v>4301031222</v>
      </c>
      <c r="D264" s="619">
        <v>4680115884007</v>
      </c>
      <c r="E264" s="61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6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1"/>
      <c r="R264" s="621"/>
      <c r="S264" s="621"/>
      <c r="T264" s="62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customHeight="1" x14ac:dyDescent="0.25">
      <c r="A265" s="63" t="s">
        <v>452</v>
      </c>
      <c r="B265" s="63" t="s">
        <v>453</v>
      </c>
      <c r="C265" s="36">
        <v>4301031229</v>
      </c>
      <c r="D265" s="619">
        <v>4680115884038</v>
      </c>
      <c r="E265" s="61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6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1"/>
      <c r="R265" s="621"/>
      <c r="S265" s="621"/>
      <c r="T265" s="62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customHeight="1" x14ac:dyDescent="0.25">
      <c r="A266" s="63" t="s">
        <v>454</v>
      </c>
      <c r="B266" s="63" t="s">
        <v>455</v>
      </c>
      <c r="C266" s="36">
        <v>4301031225</v>
      </c>
      <c r="D266" s="619">
        <v>4680115884021</v>
      </c>
      <c r="E266" s="61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1"/>
      <c r="R266" s="621"/>
      <c r="S266" s="621"/>
      <c r="T266" s="6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x14ac:dyDescent="0.2">
      <c r="A267" s="626"/>
      <c r="B267" s="626"/>
      <c r="C267" s="626"/>
      <c r="D267" s="626"/>
      <c r="E267" s="626"/>
      <c r="F267" s="626"/>
      <c r="G267" s="626"/>
      <c r="H267" s="626"/>
      <c r="I267" s="626"/>
      <c r="J267" s="626"/>
      <c r="K267" s="626"/>
      <c r="L267" s="626"/>
      <c r="M267" s="626"/>
      <c r="N267" s="626"/>
      <c r="O267" s="627"/>
      <c r="P267" s="623" t="s">
        <v>40</v>
      </c>
      <c r="Q267" s="624"/>
      <c r="R267" s="624"/>
      <c r="S267" s="624"/>
      <c r="T267" s="624"/>
      <c r="U267" s="624"/>
      <c r="V267" s="625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6"/>
      <c r="B268" s="626"/>
      <c r="C268" s="626"/>
      <c r="D268" s="626"/>
      <c r="E268" s="626"/>
      <c r="F268" s="626"/>
      <c r="G268" s="626"/>
      <c r="H268" s="626"/>
      <c r="I268" s="626"/>
      <c r="J268" s="626"/>
      <c r="K268" s="626"/>
      <c r="L268" s="626"/>
      <c r="M268" s="626"/>
      <c r="N268" s="626"/>
      <c r="O268" s="627"/>
      <c r="P268" s="623" t="s">
        <v>40</v>
      </c>
      <c r="Q268" s="624"/>
      <c r="R268" s="624"/>
      <c r="S268" s="624"/>
      <c r="T268" s="624"/>
      <c r="U268" s="624"/>
      <c r="V268" s="625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customHeight="1" x14ac:dyDescent="0.25">
      <c r="A269" s="618" t="s">
        <v>86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6"/>
      <c r="AB269" s="66"/>
      <c r="AC269" s="80"/>
    </row>
    <row r="270" spans="1:68" ht="27" customHeight="1" x14ac:dyDescent="0.25">
      <c r="A270" s="63" t="s">
        <v>456</v>
      </c>
      <c r="B270" s="63" t="s">
        <v>457</v>
      </c>
      <c r="C270" s="36">
        <v>4301051408</v>
      </c>
      <c r="D270" s="619">
        <v>4680115881594</v>
      </c>
      <c r="E270" s="61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76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1"/>
      <c r="R270" s="621"/>
      <c r="S270" s="621"/>
      <c r="T270" s="6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customHeight="1" x14ac:dyDescent="0.25">
      <c r="A271" s="63" t="s">
        <v>459</v>
      </c>
      <c r="B271" s="63" t="s">
        <v>460</v>
      </c>
      <c r="C271" s="36">
        <v>4301051411</v>
      </c>
      <c r="D271" s="619">
        <v>4680115881617</v>
      </c>
      <c r="E271" s="61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76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1"/>
      <c r="R271" s="621"/>
      <c r="S271" s="621"/>
      <c r="T271" s="6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customHeight="1" x14ac:dyDescent="0.25">
      <c r="A272" s="63" t="s">
        <v>462</v>
      </c>
      <c r="B272" s="63" t="s">
        <v>463</v>
      </c>
      <c r="C272" s="36">
        <v>4301051656</v>
      </c>
      <c r="D272" s="619">
        <v>4680115880573</v>
      </c>
      <c r="E272" s="61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76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1"/>
      <c r="R272" s="621"/>
      <c r="S272" s="621"/>
      <c r="T272" s="6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customHeight="1" x14ac:dyDescent="0.25">
      <c r="A273" s="63" t="s">
        <v>465</v>
      </c>
      <c r="B273" s="63" t="s">
        <v>466</v>
      </c>
      <c r="C273" s="36">
        <v>4301051407</v>
      </c>
      <c r="D273" s="619">
        <v>4680115882195</v>
      </c>
      <c r="E273" s="61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6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1"/>
      <c r="R273" s="621"/>
      <c r="S273" s="621"/>
      <c r="T273" s="6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customHeight="1" x14ac:dyDescent="0.25">
      <c r="A274" s="63" t="s">
        <v>467</v>
      </c>
      <c r="B274" s="63" t="s">
        <v>468</v>
      </c>
      <c r="C274" s="36">
        <v>4301051752</v>
      </c>
      <c r="D274" s="619">
        <v>4680115882607</v>
      </c>
      <c r="E274" s="61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5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1"/>
      <c r="R274" s="621"/>
      <c r="S274" s="621"/>
      <c r="T274" s="62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customHeight="1" x14ac:dyDescent="0.25">
      <c r="A275" s="63" t="s">
        <v>469</v>
      </c>
      <c r="B275" s="63" t="s">
        <v>470</v>
      </c>
      <c r="C275" s="36">
        <v>4301052143</v>
      </c>
      <c r="D275" s="619">
        <v>4680115882607</v>
      </c>
      <c r="E275" s="61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75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1"/>
      <c r="R275" s="621"/>
      <c r="S275" s="621"/>
      <c r="T275" s="62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customHeight="1" x14ac:dyDescent="0.25">
      <c r="A276" s="63" t="s">
        <v>472</v>
      </c>
      <c r="B276" s="63" t="s">
        <v>473</v>
      </c>
      <c r="C276" s="36">
        <v>4301051666</v>
      </c>
      <c r="D276" s="619">
        <v>4680115880092</v>
      </c>
      <c r="E276" s="61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1"/>
      <c r="R276" s="621"/>
      <c r="S276" s="621"/>
      <c r="T276" s="62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4301052214</v>
      </c>
      <c r="D277" s="619">
        <v>4680115889064</v>
      </c>
      <c r="E277" s="61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75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1"/>
      <c r="R277" s="621"/>
      <c r="S277" s="621"/>
      <c r="T277" s="6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customHeight="1" x14ac:dyDescent="0.25">
      <c r="A278" s="63" t="s">
        <v>476</v>
      </c>
      <c r="B278" s="63" t="s">
        <v>477</v>
      </c>
      <c r="C278" s="36">
        <v>4301051668</v>
      </c>
      <c r="D278" s="619">
        <v>4680115880221</v>
      </c>
      <c r="E278" s="61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6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1"/>
      <c r="R278" s="621"/>
      <c r="S278" s="621"/>
      <c r="T278" s="6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4301051945</v>
      </c>
      <c r="D279" s="619">
        <v>4680115880504</v>
      </c>
      <c r="E279" s="61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1"/>
      <c r="R279" s="621"/>
      <c r="S279" s="621"/>
      <c r="T279" s="6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4301051410</v>
      </c>
      <c r="D280" s="619">
        <v>4680115882164</v>
      </c>
      <c r="E280" s="61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5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1"/>
      <c r="R280" s="621"/>
      <c r="S280" s="621"/>
      <c r="T280" s="6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customHeight="1" x14ac:dyDescent="0.25">
      <c r="A281" s="63" t="s">
        <v>484</v>
      </c>
      <c r="B281" s="63" t="s">
        <v>485</v>
      </c>
      <c r="C281" s="36">
        <v>4301052180</v>
      </c>
      <c r="D281" s="619">
        <v>4680115888340</v>
      </c>
      <c r="E281" s="61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5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1"/>
      <c r="R281" s="621"/>
      <c r="S281" s="621"/>
      <c r="T281" s="6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x14ac:dyDescent="0.2">
      <c r="A282" s="626"/>
      <c r="B282" s="626"/>
      <c r="C282" s="626"/>
      <c r="D282" s="626"/>
      <c r="E282" s="626"/>
      <c r="F282" s="626"/>
      <c r="G282" s="626"/>
      <c r="H282" s="626"/>
      <c r="I282" s="626"/>
      <c r="J282" s="626"/>
      <c r="K282" s="626"/>
      <c r="L282" s="626"/>
      <c r="M282" s="626"/>
      <c r="N282" s="626"/>
      <c r="O282" s="627"/>
      <c r="P282" s="623" t="s">
        <v>40</v>
      </c>
      <c r="Q282" s="624"/>
      <c r="R282" s="624"/>
      <c r="S282" s="624"/>
      <c r="T282" s="624"/>
      <c r="U282" s="624"/>
      <c r="V282" s="625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x14ac:dyDescent="0.2">
      <c r="A283" s="626"/>
      <c r="B283" s="626"/>
      <c r="C283" s="626"/>
      <c r="D283" s="626"/>
      <c r="E283" s="626"/>
      <c r="F283" s="626"/>
      <c r="G283" s="626"/>
      <c r="H283" s="626"/>
      <c r="I283" s="626"/>
      <c r="J283" s="626"/>
      <c r="K283" s="626"/>
      <c r="L283" s="626"/>
      <c r="M283" s="626"/>
      <c r="N283" s="626"/>
      <c r="O283" s="627"/>
      <c r="P283" s="623" t="s">
        <v>40</v>
      </c>
      <c r="Q283" s="624"/>
      <c r="R283" s="624"/>
      <c r="S283" s="624"/>
      <c r="T283" s="624"/>
      <c r="U283" s="624"/>
      <c r="V283" s="625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customHeight="1" x14ac:dyDescent="0.25">
      <c r="A284" s="618" t="s">
        <v>183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6"/>
      <c r="AB284" s="66"/>
      <c r="AC284" s="80"/>
    </row>
    <row r="285" spans="1:68" ht="27" customHeight="1" x14ac:dyDescent="0.25">
      <c r="A285" s="63" t="s">
        <v>487</v>
      </c>
      <c r="B285" s="63" t="s">
        <v>488</v>
      </c>
      <c r="C285" s="36">
        <v>4301060463</v>
      </c>
      <c r="D285" s="619">
        <v>4680115880818</v>
      </c>
      <c r="E285" s="6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5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1"/>
      <c r="R285" s="621"/>
      <c r="S285" s="621"/>
      <c r="T285" s="622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4301060389</v>
      </c>
      <c r="D286" s="619">
        <v>4680115880801</v>
      </c>
      <c r="E286" s="6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5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1"/>
      <c r="R286" s="621"/>
      <c r="S286" s="621"/>
      <c r="T286" s="62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x14ac:dyDescent="0.2">
      <c r="A287" s="626"/>
      <c r="B287" s="626"/>
      <c r="C287" s="626"/>
      <c r="D287" s="626"/>
      <c r="E287" s="626"/>
      <c r="F287" s="626"/>
      <c r="G287" s="626"/>
      <c r="H287" s="626"/>
      <c r="I287" s="626"/>
      <c r="J287" s="626"/>
      <c r="K287" s="626"/>
      <c r="L287" s="626"/>
      <c r="M287" s="626"/>
      <c r="N287" s="626"/>
      <c r="O287" s="627"/>
      <c r="P287" s="623" t="s">
        <v>40</v>
      </c>
      <c r="Q287" s="624"/>
      <c r="R287" s="624"/>
      <c r="S287" s="624"/>
      <c r="T287" s="624"/>
      <c r="U287" s="624"/>
      <c r="V287" s="625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x14ac:dyDescent="0.2">
      <c r="A288" s="626"/>
      <c r="B288" s="626"/>
      <c r="C288" s="626"/>
      <c r="D288" s="626"/>
      <c r="E288" s="626"/>
      <c r="F288" s="626"/>
      <c r="G288" s="626"/>
      <c r="H288" s="626"/>
      <c r="I288" s="626"/>
      <c r="J288" s="626"/>
      <c r="K288" s="626"/>
      <c r="L288" s="626"/>
      <c r="M288" s="626"/>
      <c r="N288" s="626"/>
      <c r="O288" s="627"/>
      <c r="P288" s="623" t="s">
        <v>40</v>
      </c>
      <c r="Q288" s="624"/>
      <c r="R288" s="624"/>
      <c r="S288" s="624"/>
      <c r="T288" s="624"/>
      <c r="U288" s="624"/>
      <c r="V288" s="625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customHeight="1" x14ac:dyDescent="0.25">
      <c r="A289" s="634" t="s">
        <v>493</v>
      </c>
      <c r="B289" s="634"/>
      <c r="C289" s="634"/>
      <c r="D289" s="634"/>
      <c r="E289" s="634"/>
      <c r="F289" s="634"/>
      <c r="G289" s="634"/>
      <c r="H289" s="634"/>
      <c r="I289" s="634"/>
      <c r="J289" s="634"/>
      <c r="K289" s="634"/>
      <c r="L289" s="634"/>
      <c r="M289" s="634"/>
      <c r="N289" s="634"/>
      <c r="O289" s="634"/>
      <c r="P289" s="634"/>
      <c r="Q289" s="634"/>
      <c r="R289" s="634"/>
      <c r="S289" s="634"/>
      <c r="T289" s="634"/>
      <c r="U289" s="634"/>
      <c r="V289" s="634"/>
      <c r="W289" s="634"/>
      <c r="X289" s="634"/>
      <c r="Y289" s="634"/>
      <c r="Z289" s="634"/>
      <c r="AA289" s="65"/>
      <c r="AB289" s="65"/>
      <c r="AC289" s="79"/>
    </row>
    <row r="290" spans="1:68" ht="14.25" customHeight="1" x14ac:dyDescent="0.25">
      <c r="A290" s="618" t="s">
        <v>129</v>
      </c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  <c r="P290" s="618"/>
      <c r="Q290" s="618"/>
      <c r="R290" s="618"/>
      <c r="S290" s="618"/>
      <c r="T290" s="618"/>
      <c r="U290" s="618"/>
      <c r="V290" s="618"/>
      <c r="W290" s="618"/>
      <c r="X290" s="618"/>
      <c r="Y290" s="618"/>
      <c r="Z290" s="618"/>
      <c r="AA290" s="66"/>
      <c r="AB290" s="66"/>
      <c r="AC290" s="80"/>
    </row>
    <row r="291" spans="1:68" ht="27" customHeight="1" x14ac:dyDescent="0.25">
      <c r="A291" s="63" t="s">
        <v>494</v>
      </c>
      <c r="B291" s="63" t="s">
        <v>495</v>
      </c>
      <c r="C291" s="36">
        <v>4301011826</v>
      </c>
      <c r="D291" s="619">
        <v>4680115884137</v>
      </c>
      <c r="E291" s="61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1"/>
      <c r="R291" s="621"/>
      <c r="S291" s="621"/>
      <c r="T291" s="62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customHeight="1" x14ac:dyDescent="0.25">
      <c r="A292" s="63" t="s">
        <v>497</v>
      </c>
      <c r="B292" s="63" t="s">
        <v>498</v>
      </c>
      <c r="C292" s="36">
        <v>4301011724</v>
      </c>
      <c r="D292" s="619">
        <v>4680115884236</v>
      </c>
      <c r="E292" s="61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7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1"/>
      <c r="R292" s="621"/>
      <c r="S292" s="621"/>
      <c r="T292" s="62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customHeight="1" x14ac:dyDescent="0.25">
      <c r="A293" s="63" t="s">
        <v>500</v>
      </c>
      <c r="B293" s="63" t="s">
        <v>501</v>
      </c>
      <c r="C293" s="36">
        <v>4301011721</v>
      </c>
      <c r="D293" s="619">
        <v>4680115884175</v>
      </c>
      <c r="E293" s="61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74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1"/>
      <c r="R293" s="621"/>
      <c r="S293" s="621"/>
      <c r="T293" s="62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customHeight="1" x14ac:dyDescent="0.25">
      <c r="A294" s="63" t="s">
        <v>502</v>
      </c>
      <c r="B294" s="63" t="s">
        <v>503</v>
      </c>
      <c r="C294" s="36">
        <v>4301011824</v>
      </c>
      <c r="D294" s="619">
        <v>4680115884144</v>
      </c>
      <c r="E294" s="61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75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1"/>
      <c r="R294" s="621"/>
      <c r="S294" s="621"/>
      <c r="T294" s="62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customHeight="1" x14ac:dyDescent="0.25">
      <c r="A295" s="63" t="s">
        <v>504</v>
      </c>
      <c r="B295" s="63" t="s">
        <v>505</v>
      </c>
      <c r="C295" s="36">
        <v>4301012149</v>
      </c>
      <c r="D295" s="619">
        <v>4680115886551</v>
      </c>
      <c r="E295" s="61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74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1"/>
      <c r="R295" s="621"/>
      <c r="S295" s="621"/>
      <c r="T295" s="62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customHeight="1" x14ac:dyDescent="0.25">
      <c r="A296" s="63" t="s">
        <v>507</v>
      </c>
      <c r="B296" s="63" t="s">
        <v>508</v>
      </c>
      <c r="C296" s="36">
        <v>4301012228</v>
      </c>
      <c r="D296" s="619">
        <v>4680115887282</v>
      </c>
      <c r="E296" s="61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7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1"/>
      <c r="R296" s="621"/>
      <c r="S296" s="621"/>
      <c r="T296" s="62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customHeight="1" x14ac:dyDescent="0.25">
      <c r="A297" s="63" t="s">
        <v>510</v>
      </c>
      <c r="B297" s="63" t="s">
        <v>511</v>
      </c>
      <c r="C297" s="36">
        <v>4301011722</v>
      </c>
      <c r="D297" s="619">
        <v>4680115884205</v>
      </c>
      <c r="E297" s="61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1"/>
      <c r="R297" s="621"/>
      <c r="S297" s="621"/>
      <c r="T297" s="62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x14ac:dyDescent="0.2">
      <c r="A298" s="626"/>
      <c r="B298" s="626"/>
      <c r="C298" s="626"/>
      <c r="D298" s="626"/>
      <c r="E298" s="626"/>
      <c r="F298" s="626"/>
      <c r="G298" s="626"/>
      <c r="H298" s="626"/>
      <c r="I298" s="626"/>
      <c r="J298" s="626"/>
      <c r="K298" s="626"/>
      <c r="L298" s="626"/>
      <c r="M298" s="626"/>
      <c r="N298" s="626"/>
      <c r="O298" s="627"/>
      <c r="P298" s="623" t="s">
        <v>40</v>
      </c>
      <c r="Q298" s="624"/>
      <c r="R298" s="624"/>
      <c r="S298" s="624"/>
      <c r="T298" s="624"/>
      <c r="U298" s="624"/>
      <c r="V298" s="625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x14ac:dyDescent="0.2">
      <c r="A299" s="626"/>
      <c r="B299" s="626"/>
      <c r="C299" s="626"/>
      <c r="D299" s="626"/>
      <c r="E299" s="626"/>
      <c r="F299" s="626"/>
      <c r="G299" s="626"/>
      <c r="H299" s="626"/>
      <c r="I299" s="626"/>
      <c r="J299" s="626"/>
      <c r="K299" s="626"/>
      <c r="L299" s="626"/>
      <c r="M299" s="626"/>
      <c r="N299" s="626"/>
      <c r="O299" s="627"/>
      <c r="P299" s="623" t="s">
        <v>40</v>
      </c>
      <c r="Q299" s="624"/>
      <c r="R299" s="624"/>
      <c r="S299" s="624"/>
      <c r="T299" s="624"/>
      <c r="U299" s="624"/>
      <c r="V299" s="625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customHeight="1" x14ac:dyDescent="0.25">
      <c r="A300" s="618" t="s">
        <v>166</v>
      </c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  <c r="P300" s="618"/>
      <c r="Q300" s="618"/>
      <c r="R300" s="618"/>
      <c r="S300" s="618"/>
      <c r="T300" s="618"/>
      <c r="U300" s="618"/>
      <c r="V300" s="618"/>
      <c r="W300" s="618"/>
      <c r="X300" s="618"/>
      <c r="Y300" s="618"/>
      <c r="Z300" s="618"/>
      <c r="AA300" s="66"/>
      <c r="AB300" s="66"/>
      <c r="AC300" s="80"/>
    </row>
    <row r="301" spans="1:68" ht="27" customHeight="1" x14ac:dyDescent="0.25">
      <c r="A301" s="63" t="s">
        <v>512</v>
      </c>
      <c r="B301" s="63" t="s">
        <v>513</v>
      </c>
      <c r="C301" s="36">
        <v>4301020377</v>
      </c>
      <c r="D301" s="619">
        <v>4680115885981</v>
      </c>
      <c r="E301" s="61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4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1"/>
      <c r="R301" s="621"/>
      <c r="S301" s="621"/>
      <c r="T301" s="62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6"/>
      <c r="B302" s="626"/>
      <c r="C302" s="626"/>
      <c r="D302" s="626"/>
      <c r="E302" s="626"/>
      <c r="F302" s="626"/>
      <c r="G302" s="626"/>
      <c r="H302" s="626"/>
      <c r="I302" s="626"/>
      <c r="J302" s="626"/>
      <c r="K302" s="626"/>
      <c r="L302" s="626"/>
      <c r="M302" s="626"/>
      <c r="N302" s="626"/>
      <c r="O302" s="627"/>
      <c r="P302" s="623" t="s">
        <v>40</v>
      </c>
      <c r="Q302" s="624"/>
      <c r="R302" s="624"/>
      <c r="S302" s="624"/>
      <c r="T302" s="624"/>
      <c r="U302" s="624"/>
      <c r="V302" s="625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626"/>
      <c r="B303" s="626"/>
      <c r="C303" s="626"/>
      <c r="D303" s="626"/>
      <c r="E303" s="626"/>
      <c r="F303" s="626"/>
      <c r="G303" s="626"/>
      <c r="H303" s="626"/>
      <c r="I303" s="626"/>
      <c r="J303" s="626"/>
      <c r="K303" s="626"/>
      <c r="L303" s="626"/>
      <c r="M303" s="626"/>
      <c r="N303" s="626"/>
      <c r="O303" s="627"/>
      <c r="P303" s="623" t="s">
        <v>40</v>
      </c>
      <c r="Q303" s="624"/>
      <c r="R303" s="624"/>
      <c r="S303" s="624"/>
      <c r="T303" s="624"/>
      <c r="U303" s="624"/>
      <c r="V303" s="625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618" t="s">
        <v>515</v>
      </c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  <c r="P304" s="618"/>
      <c r="Q304" s="618"/>
      <c r="R304" s="618"/>
      <c r="S304" s="618"/>
      <c r="T304" s="618"/>
      <c r="U304" s="618"/>
      <c r="V304" s="618"/>
      <c r="W304" s="618"/>
      <c r="X304" s="618"/>
      <c r="Y304" s="618"/>
      <c r="Z304" s="618"/>
      <c r="AA304" s="66"/>
      <c r="AB304" s="66"/>
      <c r="AC304" s="80"/>
    </row>
    <row r="305" spans="1:68" ht="27" customHeight="1" x14ac:dyDescent="0.25">
      <c r="A305" s="63" t="s">
        <v>516</v>
      </c>
      <c r="B305" s="63" t="s">
        <v>517</v>
      </c>
      <c r="C305" s="36">
        <v>4301040362</v>
      </c>
      <c r="D305" s="619">
        <v>4680115886803</v>
      </c>
      <c r="E305" s="61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7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1"/>
      <c r="R305" s="621"/>
      <c r="S305" s="621"/>
      <c r="T305" s="62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626"/>
      <c r="B306" s="626"/>
      <c r="C306" s="626"/>
      <c r="D306" s="626"/>
      <c r="E306" s="626"/>
      <c r="F306" s="626"/>
      <c r="G306" s="626"/>
      <c r="H306" s="626"/>
      <c r="I306" s="626"/>
      <c r="J306" s="626"/>
      <c r="K306" s="626"/>
      <c r="L306" s="626"/>
      <c r="M306" s="626"/>
      <c r="N306" s="626"/>
      <c r="O306" s="627"/>
      <c r="P306" s="623" t="s">
        <v>40</v>
      </c>
      <c r="Q306" s="624"/>
      <c r="R306" s="624"/>
      <c r="S306" s="624"/>
      <c r="T306" s="624"/>
      <c r="U306" s="624"/>
      <c r="V306" s="625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626"/>
      <c r="B307" s="626"/>
      <c r="C307" s="626"/>
      <c r="D307" s="626"/>
      <c r="E307" s="626"/>
      <c r="F307" s="626"/>
      <c r="G307" s="626"/>
      <c r="H307" s="626"/>
      <c r="I307" s="626"/>
      <c r="J307" s="626"/>
      <c r="K307" s="626"/>
      <c r="L307" s="626"/>
      <c r="M307" s="626"/>
      <c r="N307" s="626"/>
      <c r="O307" s="627"/>
      <c r="P307" s="623" t="s">
        <v>40</v>
      </c>
      <c r="Q307" s="624"/>
      <c r="R307" s="624"/>
      <c r="S307" s="624"/>
      <c r="T307" s="624"/>
      <c r="U307" s="624"/>
      <c r="V307" s="625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customHeight="1" x14ac:dyDescent="0.25">
      <c r="A308" s="618" t="s">
        <v>332</v>
      </c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  <c r="P308" s="618"/>
      <c r="Q308" s="618"/>
      <c r="R308" s="618"/>
      <c r="S308" s="618"/>
      <c r="T308" s="618"/>
      <c r="U308" s="618"/>
      <c r="V308" s="618"/>
      <c r="W308" s="618"/>
      <c r="X308" s="618"/>
      <c r="Y308" s="618"/>
      <c r="Z308" s="618"/>
      <c r="AA308" s="66"/>
      <c r="AB308" s="66"/>
      <c r="AC308" s="80"/>
    </row>
    <row r="309" spans="1:68" ht="27" customHeight="1" x14ac:dyDescent="0.25">
      <c r="A309" s="63" t="s">
        <v>519</v>
      </c>
      <c r="B309" s="63" t="s">
        <v>520</v>
      </c>
      <c r="C309" s="36">
        <v>4301041004</v>
      </c>
      <c r="D309" s="619">
        <v>4680115886704</v>
      </c>
      <c r="E309" s="619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1"/>
      <c r="R309" s="621"/>
      <c r="S309" s="621"/>
      <c r="T309" s="622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522</v>
      </c>
      <c r="B310" s="63" t="s">
        <v>523</v>
      </c>
      <c r="C310" s="36">
        <v>4301041008</v>
      </c>
      <c r="D310" s="619">
        <v>4680115886681</v>
      </c>
      <c r="E310" s="61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1"/>
      <c r="R310" s="621"/>
      <c r="S310" s="621"/>
      <c r="T310" s="62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customHeight="1" x14ac:dyDescent="0.25">
      <c r="A311" s="63" t="s">
        <v>524</v>
      </c>
      <c r="B311" s="63" t="s">
        <v>525</v>
      </c>
      <c r="C311" s="36">
        <v>4301041007</v>
      </c>
      <c r="D311" s="619">
        <v>4680115886735</v>
      </c>
      <c r="E311" s="61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1"/>
      <c r="R311" s="621"/>
      <c r="S311" s="621"/>
      <c r="T311" s="62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26"/>
      <c r="B312" s="626"/>
      <c r="C312" s="626"/>
      <c r="D312" s="626"/>
      <c r="E312" s="626"/>
      <c r="F312" s="626"/>
      <c r="G312" s="626"/>
      <c r="H312" s="626"/>
      <c r="I312" s="626"/>
      <c r="J312" s="626"/>
      <c r="K312" s="626"/>
      <c r="L312" s="626"/>
      <c r="M312" s="626"/>
      <c r="N312" s="626"/>
      <c r="O312" s="627"/>
      <c r="P312" s="623" t="s">
        <v>40</v>
      </c>
      <c r="Q312" s="624"/>
      <c r="R312" s="624"/>
      <c r="S312" s="624"/>
      <c r="T312" s="624"/>
      <c r="U312" s="624"/>
      <c r="V312" s="625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x14ac:dyDescent="0.2">
      <c r="A313" s="626"/>
      <c r="B313" s="626"/>
      <c r="C313" s="626"/>
      <c r="D313" s="626"/>
      <c r="E313" s="626"/>
      <c r="F313" s="626"/>
      <c r="G313" s="626"/>
      <c r="H313" s="626"/>
      <c r="I313" s="626"/>
      <c r="J313" s="626"/>
      <c r="K313" s="626"/>
      <c r="L313" s="626"/>
      <c r="M313" s="626"/>
      <c r="N313" s="626"/>
      <c r="O313" s="627"/>
      <c r="P313" s="623" t="s">
        <v>40</v>
      </c>
      <c r="Q313" s="624"/>
      <c r="R313" s="624"/>
      <c r="S313" s="624"/>
      <c r="T313" s="624"/>
      <c r="U313" s="624"/>
      <c r="V313" s="625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customHeight="1" x14ac:dyDescent="0.25">
      <c r="A314" s="634" t="s">
        <v>526</v>
      </c>
      <c r="B314" s="634"/>
      <c r="C314" s="634"/>
      <c r="D314" s="634"/>
      <c r="E314" s="634"/>
      <c r="F314" s="634"/>
      <c r="G314" s="634"/>
      <c r="H314" s="634"/>
      <c r="I314" s="634"/>
      <c r="J314" s="634"/>
      <c r="K314" s="634"/>
      <c r="L314" s="634"/>
      <c r="M314" s="634"/>
      <c r="N314" s="634"/>
      <c r="O314" s="634"/>
      <c r="P314" s="634"/>
      <c r="Q314" s="634"/>
      <c r="R314" s="634"/>
      <c r="S314" s="634"/>
      <c r="T314" s="634"/>
      <c r="U314" s="634"/>
      <c r="V314" s="634"/>
      <c r="W314" s="634"/>
      <c r="X314" s="634"/>
      <c r="Y314" s="634"/>
      <c r="Z314" s="634"/>
      <c r="AA314" s="65"/>
      <c r="AB314" s="65"/>
      <c r="AC314" s="79"/>
    </row>
    <row r="315" spans="1:68" ht="14.25" customHeight="1" x14ac:dyDescent="0.25">
      <c r="A315" s="618" t="s">
        <v>129</v>
      </c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  <c r="P315" s="618"/>
      <c r="Q315" s="618"/>
      <c r="R315" s="618"/>
      <c r="S315" s="618"/>
      <c r="T315" s="618"/>
      <c r="U315" s="618"/>
      <c r="V315" s="618"/>
      <c r="W315" s="618"/>
      <c r="X315" s="618"/>
      <c r="Y315" s="618"/>
      <c r="Z315" s="618"/>
      <c r="AA315" s="66"/>
      <c r="AB315" s="66"/>
      <c r="AC315" s="80"/>
    </row>
    <row r="316" spans="1:68" ht="27" customHeight="1" x14ac:dyDescent="0.25">
      <c r="A316" s="63" t="s">
        <v>527</v>
      </c>
      <c r="B316" s="63" t="s">
        <v>528</v>
      </c>
      <c r="C316" s="36">
        <v>4301011855</v>
      </c>
      <c r="D316" s="619">
        <v>4680115885837</v>
      </c>
      <c r="E316" s="61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73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1"/>
      <c r="R316" s="621"/>
      <c r="S316" s="621"/>
      <c r="T316" s="6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customHeight="1" x14ac:dyDescent="0.25">
      <c r="A317" s="63" t="s">
        <v>530</v>
      </c>
      <c r="B317" s="63" t="s">
        <v>531</v>
      </c>
      <c r="C317" s="36">
        <v>4301012234</v>
      </c>
      <c r="D317" s="619">
        <v>4680115887237</v>
      </c>
      <c r="E317" s="61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73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1"/>
      <c r="R317" s="621"/>
      <c r="S317" s="621"/>
      <c r="T317" s="622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533</v>
      </c>
      <c r="B318" s="63" t="s">
        <v>534</v>
      </c>
      <c r="C318" s="36">
        <v>4301011850</v>
      </c>
      <c r="D318" s="619">
        <v>4680115885806</v>
      </c>
      <c r="E318" s="61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73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1"/>
      <c r="R318" s="621"/>
      <c r="S318" s="621"/>
      <c r="T318" s="622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536</v>
      </c>
      <c r="B319" s="63" t="s">
        <v>537</v>
      </c>
      <c r="C319" s="36">
        <v>4301011852</v>
      </c>
      <c r="D319" s="619">
        <v>4680115885844</v>
      </c>
      <c r="E319" s="61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73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1"/>
      <c r="R319" s="621"/>
      <c r="S319" s="621"/>
      <c r="T319" s="62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customHeight="1" x14ac:dyDescent="0.25">
      <c r="A320" s="63" t="s">
        <v>539</v>
      </c>
      <c r="B320" s="63" t="s">
        <v>540</v>
      </c>
      <c r="C320" s="36">
        <v>4301011851</v>
      </c>
      <c r="D320" s="619">
        <v>4680115885820</v>
      </c>
      <c r="E320" s="61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73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1"/>
      <c r="R320" s="621"/>
      <c r="S320" s="621"/>
      <c r="T320" s="62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6"/>
      <c r="B321" s="626"/>
      <c r="C321" s="626"/>
      <c r="D321" s="626"/>
      <c r="E321" s="626"/>
      <c r="F321" s="626"/>
      <c r="G321" s="626"/>
      <c r="H321" s="626"/>
      <c r="I321" s="626"/>
      <c r="J321" s="626"/>
      <c r="K321" s="626"/>
      <c r="L321" s="626"/>
      <c r="M321" s="626"/>
      <c r="N321" s="626"/>
      <c r="O321" s="627"/>
      <c r="P321" s="623" t="s">
        <v>40</v>
      </c>
      <c r="Q321" s="624"/>
      <c r="R321" s="624"/>
      <c r="S321" s="624"/>
      <c r="T321" s="624"/>
      <c r="U321" s="624"/>
      <c r="V321" s="625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6"/>
      <c r="B322" s="626"/>
      <c r="C322" s="626"/>
      <c r="D322" s="626"/>
      <c r="E322" s="626"/>
      <c r="F322" s="626"/>
      <c r="G322" s="626"/>
      <c r="H322" s="626"/>
      <c r="I322" s="626"/>
      <c r="J322" s="626"/>
      <c r="K322" s="626"/>
      <c r="L322" s="626"/>
      <c r="M322" s="626"/>
      <c r="N322" s="626"/>
      <c r="O322" s="627"/>
      <c r="P322" s="623" t="s">
        <v>40</v>
      </c>
      <c r="Q322" s="624"/>
      <c r="R322" s="624"/>
      <c r="S322" s="624"/>
      <c r="T322" s="624"/>
      <c r="U322" s="624"/>
      <c r="V322" s="625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customHeight="1" x14ac:dyDescent="0.25">
      <c r="A323" s="634" t="s">
        <v>542</v>
      </c>
      <c r="B323" s="634"/>
      <c r="C323" s="634"/>
      <c r="D323" s="634"/>
      <c r="E323" s="634"/>
      <c r="F323" s="634"/>
      <c r="G323" s="634"/>
      <c r="H323" s="634"/>
      <c r="I323" s="634"/>
      <c r="J323" s="634"/>
      <c r="K323" s="634"/>
      <c r="L323" s="634"/>
      <c r="M323" s="634"/>
      <c r="N323" s="634"/>
      <c r="O323" s="634"/>
      <c r="P323" s="634"/>
      <c r="Q323" s="634"/>
      <c r="R323" s="634"/>
      <c r="S323" s="634"/>
      <c r="T323" s="634"/>
      <c r="U323" s="634"/>
      <c r="V323" s="634"/>
      <c r="W323" s="634"/>
      <c r="X323" s="634"/>
      <c r="Y323" s="634"/>
      <c r="Z323" s="634"/>
      <c r="AA323" s="65"/>
      <c r="AB323" s="65"/>
      <c r="AC323" s="79"/>
    </row>
    <row r="324" spans="1:68" ht="14.25" customHeight="1" x14ac:dyDescent="0.25">
      <c r="A324" s="618" t="s">
        <v>86</v>
      </c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  <c r="P324" s="618"/>
      <c r="Q324" s="618"/>
      <c r="R324" s="618"/>
      <c r="S324" s="618"/>
      <c r="T324" s="618"/>
      <c r="U324" s="618"/>
      <c r="V324" s="618"/>
      <c r="W324" s="618"/>
      <c r="X324" s="618"/>
      <c r="Y324" s="618"/>
      <c r="Z324" s="618"/>
      <c r="AA324" s="66"/>
      <c r="AB324" s="66"/>
      <c r="AC324" s="80"/>
    </row>
    <row r="325" spans="1:68" ht="27" customHeight="1" x14ac:dyDescent="0.25">
      <c r="A325" s="63" t="s">
        <v>543</v>
      </c>
      <c r="B325" s="63" t="s">
        <v>544</v>
      </c>
      <c r="C325" s="36">
        <v>4301051893</v>
      </c>
      <c r="D325" s="619">
        <v>4680115886186</v>
      </c>
      <c r="E325" s="61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3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1"/>
      <c r="R325" s="621"/>
      <c r="S325" s="621"/>
      <c r="T325" s="62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546</v>
      </c>
      <c r="B326" s="63" t="s">
        <v>547</v>
      </c>
      <c r="C326" s="36">
        <v>4301051795</v>
      </c>
      <c r="D326" s="619">
        <v>4680115881228</v>
      </c>
      <c r="E326" s="61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3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1"/>
      <c r="R326" s="621"/>
      <c r="S326" s="621"/>
      <c r="T326" s="62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549</v>
      </c>
      <c r="B327" s="63" t="s">
        <v>550</v>
      </c>
      <c r="C327" s="36">
        <v>4301051388</v>
      </c>
      <c r="D327" s="619">
        <v>4680115881211</v>
      </c>
      <c r="E327" s="61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3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1"/>
      <c r="R327" s="621"/>
      <c r="S327" s="621"/>
      <c r="T327" s="62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6"/>
      <c r="B328" s="626"/>
      <c r="C328" s="626"/>
      <c r="D328" s="626"/>
      <c r="E328" s="626"/>
      <c r="F328" s="626"/>
      <c r="G328" s="626"/>
      <c r="H328" s="626"/>
      <c r="I328" s="626"/>
      <c r="J328" s="626"/>
      <c r="K328" s="626"/>
      <c r="L328" s="626"/>
      <c r="M328" s="626"/>
      <c r="N328" s="626"/>
      <c r="O328" s="627"/>
      <c r="P328" s="623" t="s">
        <v>40</v>
      </c>
      <c r="Q328" s="624"/>
      <c r="R328" s="624"/>
      <c r="S328" s="624"/>
      <c r="T328" s="624"/>
      <c r="U328" s="624"/>
      <c r="V328" s="625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6"/>
      <c r="B329" s="626"/>
      <c r="C329" s="626"/>
      <c r="D329" s="626"/>
      <c r="E329" s="626"/>
      <c r="F329" s="626"/>
      <c r="G329" s="626"/>
      <c r="H329" s="626"/>
      <c r="I329" s="626"/>
      <c r="J329" s="626"/>
      <c r="K329" s="626"/>
      <c r="L329" s="626"/>
      <c r="M329" s="626"/>
      <c r="N329" s="626"/>
      <c r="O329" s="627"/>
      <c r="P329" s="623" t="s">
        <v>40</v>
      </c>
      <c r="Q329" s="624"/>
      <c r="R329" s="624"/>
      <c r="S329" s="624"/>
      <c r="T329" s="624"/>
      <c r="U329" s="624"/>
      <c r="V329" s="625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customHeight="1" x14ac:dyDescent="0.25">
      <c r="A330" s="634" t="s">
        <v>551</v>
      </c>
      <c r="B330" s="634"/>
      <c r="C330" s="634"/>
      <c r="D330" s="634"/>
      <c r="E330" s="634"/>
      <c r="F330" s="634"/>
      <c r="G330" s="634"/>
      <c r="H330" s="634"/>
      <c r="I330" s="634"/>
      <c r="J330" s="634"/>
      <c r="K330" s="634"/>
      <c r="L330" s="634"/>
      <c r="M330" s="634"/>
      <c r="N330" s="634"/>
      <c r="O330" s="634"/>
      <c r="P330" s="634"/>
      <c r="Q330" s="634"/>
      <c r="R330" s="634"/>
      <c r="S330" s="634"/>
      <c r="T330" s="634"/>
      <c r="U330" s="634"/>
      <c r="V330" s="634"/>
      <c r="W330" s="634"/>
      <c r="X330" s="634"/>
      <c r="Y330" s="634"/>
      <c r="Z330" s="634"/>
      <c r="AA330" s="65"/>
      <c r="AB330" s="65"/>
      <c r="AC330" s="79"/>
    </row>
    <row r="331" spans="1:68" ht="14.25" customHeight="1" x14ac:dyDescent="0.25">
      <c r="A331" s="618" t="s">
        <v>77</v>
      </c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  <c r="P331" s="618"/>
      <c r="Q331" s="618"/>
      <c r="R331" s="618"/>
      <c r="S331" s="618"/>
      <c r="T331" s="618"/>
      <c r="U331" s="618"/>
      <c r="V331" s="618"/>
      <c r="W331" s="618"/>
      <c r="X331" s="618"/>
      <c r="Y331" s="618"/>
      <c r="Z331" s="618"/>
      <c r="AA331" s="66"/>
      <c r="AB331" s="66"/>
      <c r="AC331" s="80"/>
    </row>
    <row r="332" spans="1:68" ht="27" customHeight="1" x14ac:dyDescent="0.25">
      <c r="A332" s="63" t="s">
        <v>552</v>
      </c>
      <c r="B332" s="63" t="s">
        <v>553</v>
      </c>
      <c r="C332" s="36">
        <v>4301031445</v>
      </c>
      <c r="D332" s="619">
        <v>4680115888319</v>
      </c>
      <c r="E332" s="61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2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1"/>
      <c r="R332" s="621"/>
      <c r="S332" s="621"/>
      <c r="T332" s="6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customHeight="1" x14ac:dyDescent="0.25">
      <c r="A333" s="63" t="s">
        <v>554</v>
      </c>
      <c r="B333" s="63" t="s">
        <v>555</v>
      </c>
      <c r="C333" s="36">
        <v>4301031502</v>
      </c>
      <c r="D333" s="619">
        <v>4680115884700</v>
      </c>
      <c r="E333" s="61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2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1"/>
      <c r="R333" s="621"/>
      <c r="S333" s="621"/>
      <c r="T333" s="6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557</v>
      </c>
      <c r="B334" s="63" t="s">
        <v>558</v>
      </c>
      <c r="C334" s="36">
        <v>4301031307</v>
      </c>
      <c r="D334" s="619">
        <v>4680115880344</v>
      </c>
      <c r="E334" s="61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2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1"/>
      <c r="R334" s="621"/>
      <c r="S334" s="621"/>
      <c r="T334" s="62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560</v>
      </c>
      <c r="B335" s="63" t="s">
        <v>561</v>
      </c>
      <c r="C335" s="36">
        <v>4301031501</v>
      </c>
      <c r="D335" s="619">
        <v>4680115886919</v>
      </c>
      <c r="E335" s="61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3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1"/>
      <c r="R335" s="621"/>
      <c r="S335" s="621"/>
      <c r="T335" s="62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563</v>
      </c>
      <c r="B336" s="63" t="s">
        <v>564</v>
      </c>
      <c r="C336" s="36">
        <v>4301031246</v>
      </c>
      <c r="D336" s="619">
        <v>4680115883970</v>
      </c>
      <c r="E336" s="619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2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1"/>
      <c r="R336" s="621"/>
      <c r="S336" s="621"/>
      <c r="T336" s="62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6"/>
      <c r="B337" s="626"/>
      <c r="C337" s="626"/>
      <c r="D337" s="626"/>
      <c r="E337" s="626"/>
      <c r="F337" s="626"/>
      <c r="G337" s="626"/>
      <c r="H337" s="626"/>
      <c r="I337" s="626"/>
      <c r="J337" s="626"/>
      <c r="K337" s="626"/>
      <c r="L337" s="626"/>
      <c r="M337" s="626"/>
      <c r="N337" s="626"/>
      <c r="O337" s="627"/>
      <c r="P337" s="623" t="s">
        <v>40</v>
      </c>
      <c r="Q337" s="624"/>
      <c r="R337" s="624"/>
      <c r="S337" s="624"/>
      <c r="T337" s="624"/>
      <c r="U337" s="624"/>
      <c r="V337" s="625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6"/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7"/>
      <c r="P338" s="623" t="s">
        <v>40</v>
      </c>
      <c r="Q338" s="624"/>
      <c r="R338" s="624"/>
      <c r="S338" s="624"/>
      <c r="T338" s="624"/>
      <c r="U338" s="624"/>
      <c r="V338" s="625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customHeight="1" x14ac:dyDescent="0.25">
      <c r="A339" s="618" t="s">
        <v>86</v>
      </c>
      <c r="B339" s="618"/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  <c r="S339" s="618"/>
      <c r="T339" s="618"/>
      <c r="U339" s="618"/>
      <c r="V339" s="618"/>
      <c r="W339" s="618"/>
      <c r="X339" s="618"/>
      <c r="Y339" s="618"/>
      <c r="Z339" s="618"/>
      <c r="AA339" s="66"/>
      <c r="AB339" s="66"/>
      <c r="AC339" s="80"/>
    </row>
    <row r="340" spans="1:68" ht="27" customHeight="1" x14ac:dyDescent="0.25">
      <c r="A340" s="63" t="s">
        <v>566</v>
      </c>
      <c r="B340" s="63" t="s">
        <v>567</v>
      </c>
      <c r="C340" s="36">
        <v>4301051782</v>
      </c>
      <c r="D340" s="619">
        <v>4680115884618</v>
      </c>
      <c r="E340" s="619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72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1"/>
      <c r="R340" s="621"/>
      <c r="S340" s="621"/>
      <c r="T340" s="6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569</v>
      </c>
      <c r="B341" s="63" t="s">
        <v>570</v>
      </c>
      <c r="C341" s="36">
        <v>4301052057</v>
      </c>
      <c r="D341" s="619">
        <v>4680115887114</v>
      </c>
      <c r="E341" s="619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72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1"/>
      <c r="R341" s="621"/>
      <c r="S341" s="621"/>
      <c r="T341" s="6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x14ac:dyDescent="0.2">
      <c r="A342" s="626"/>
      <c r="B342" s="626"/>
      <c r="C342" s="626"/>
      <c r="D342" s="626"/>
      <c r="E342" s="626"/>
      <c r="F342" s="626"/>
      <c r="G342" s="626"/>
      <c r="H342" s="626"/>
      <c r="I342" s="626"/>
      <c r="J342" s="626"/>
      <c r="K342" s="626"/>
      <c r="L342" s="626"/>
      <c r="M342" s="626"/>
      <c r="N342" s="626"/>
      <c r="O342" s="627"/>
      <c r="P342" s="623" t="s">
        <v>40</v>
      </c>
      <c r="Q342" s="624"/>
      <c r="R342" s="624"/>
      <c r="S342" s="624"/>
      <c r="T342" s="624"/>
      <c r="U342" s="624"/>
      <c r="V342" s="625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x14ac:dyDescent="0.2">
      <c r="A343" s="626"/>
      <c r="B343" s="626"/>
      <c r="C343" s="626"/>
      <c r="D343" s="626"/>
      <c r="E343" s="626"/>
      <c r="F343" s="626"/>
      <c r="G343" s="626"/>
      <c r="H343" s="626"/>
      <c r="I343" s="626"/>
      <c r="J343" s="626"/>
      <c r="K343" s="626"/>
      <c r="L343" s="626"/>
      <c r="M343" s="626"/>
      <c r="N343" s="626"/>
      <c r="O343" s="627"/>
      <c r="P343" s="623" t="s">
        <v>40</v>
      </c>
      <c r="Q343" s="624"/>
      <c r="R343" s="624"/>
      <c r="S343" s="624"/>
      <c r="T343" s="624"/>
      <c r="U343" s="624"/>
      <c r="V343" s="625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customHeight="1" x14ac:dyDescent="0.25">
      <c r="A344" s="634" t="s">
        <v>572</v>
      </c>
      <c r="B344" s="634"/>
      <c r="C344" s="634"/>
      <c r="D344" s="634"/>
      <c r="E344" s="634"/>
      <c r="F344" s="634"/>
      <c r="G344" s="634"/>
      <c r="H344" s="634"/>
      <c r="I344" s="634"/>
      <c r="J344" s="634"/>
      <c r="K344" s="634"/>
      <c r="L344" s="634"/>
      <c r="M344" s="634"/>
      <c r="N344" s="634"/>
      <c r="O344" s="634"/>
      <c r="P344" s="634"/>
      <c r="Q344" s="634"/>
      <c r="R344" s="634"/>
      <c r="S344" s="634"/>
      <c r="T344" s="634"/>
      <c r="U344" s="634"/>
      <c r="V344" s="634"/>
      <c r="W344" s="634"/>
      <c r="X344" s="634"/>
      <c r="Y344" s="634"/>
      <c r="Z344" s="634"/>
      <c r="AA344" s="65"/>
      <c r="AB344" s="65"/>
      <c r="AC344" s="79"/>
    </row>
    <row r="345" spans="1:68" ht="14.25" customHeight="1" x14ac:dyDescent="0.25">
      <c r="A345" s="618" t="s">
        <v>129</v>
      </c>
      <c r="B345" s="618"/>
      <c r="C345" s="618"/>
      <c r="D345" s="618"/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  <c r="S345" s="618"/>
      <c r="T345" s="618"/>
      <c r="U345" s="618"/>
      <c r="V345" s="618"/>
      <c r="W345" s="618"/>
      <c r="X345" s="618"/>
      <c r="Y345" s="618"/>
      <c r="Z345" s="618"/>
      <c r="AA345" s="66"/>
      <c r="AB345" s="66"/>
      <c r="AC345" s="80"/>
    </row>
    <row r="346" spans="1:68" ht="27" customHeight="1" x14ac:dyDescent="0.25">
      <c r="A346" s="63" t="s">
        <v>573</v>
      </c>
      <c r="B346" s="63" t="s">
        <v>574</v>
      </c>
      <c r="C346" s="36">
        <v>4301012324</v>
      </c>
      <c r="D346" s="619">
        <v>4680115887947</v>
      </c>
      <c r="E346" s="61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72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1"/>
      <c r="R346" s="621"/>
      <c r="S346" s="621"/>
      <c r="T346" s="6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customHeight="1" x14ac:dyDescent="0.25">
      <c r="A347" s="63" t="s">
        <v>575</v>
      </c>
      <c r="B347" s="63" t="s">
        <v>576</v>
      </c>
      <c r="C347" s="36">
        <v>4301012325</v>
      </c>
      <c r="D347" s="619">
        <v>4680115887978</v>
      </c>
      <c r="E347" s="61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72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1"/>
      <c r="R347" s="621"/>
      <c r="S347" s="621"/>
      <c r="T347" s="6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customHeight="1" x14ac:dyDescent="0.25">
      <c r="A348" s="63" t="s">
        <v>578</v>
      </c>
      <c r="B348" s="63" t="s">
        <v>579</v>
      </c>
      <c r="C348" s="36">
        <v>4301012327</v>
      </c>
      <c r="D348" s="619">
        <v>4680115887992</v>
      </c>
      <c r="E348" s="61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72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1"/>
      <c r="R348" s="621"/>
      <c r="S348" s="621"/>
      <c r="T348" s="622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x14ac:dyDescent="0.2">
      <c r="A349" s="626"/>
      <c r="B349" s="626"/>
      <c r="C349" s="626"/>
      <c r="D349" s="626"/>
      <c r="E349" s="626"/>
      <c r="F349" s="626"/>
      <c r="G349" s="626"/>
      <c r="H349" s="626"/>
      <c r="I349" s="626"/>
      <c r="J349" s="626"/>
      <c r="K349" s="626"/>
      <c r="L349" s="626"/>
      <c r="M349" s="626"/>
      <c r="N349" s="626"/>
      <c r="O349" s="627"/>
      <c r="P349" s="623" t="s">
        <v>40</v>
      </c>
      <c r="Q349" s="624"/>
      <c r="R349" s="624"/>
      <c r="S349" s="624"/>
      <c r="T349" s="624"/>
      <c r="U349" s="624"/>
      <c r="V349" s="625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6"/>
      <c r="B350" s="626"/>
      <c r="C350" s="626"/>
      <c r="D350" s="626"/>
      <c r="E350" s="626"/>
      <c r="F350" s="626"/>
      <c r="G350" s="626"/>
      <c r="H350" s="626"/>
      <c r="I350" s="626"/>
      <c r="J350" s="626"/>
      <c r="K350" s="626"/>
      <c r="L350" s="626"/>
      <c r="M350" s="626"/>
      <c r="N350" s="626"/>
      <c r="O350" s="627"/>
      <c r="P350" s="623" t="s">
        <v>40</v>
      </c>
      <c r="Q350" s="624"/>
      <c r="R350" s="624"/>
      <c r="S350" s="624"/>
      <c r="T350" s="624"/>
      <c r="U350" s="624"/>
      <c r="V350" s="625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customHeight="1" x14ac:dyDescent="0.25">
      <c r="A351" s="634" t="s">
        <v>581</v>
      </c>
      <c r="B351" s="634"/>
      <c r="C351" s="634"/>
      <c r="D351" s="634"/>
      <c r="E351" s="634"/>
      <c r="F351" s="634"/>
      <c r="G351" s="634"/>
      <c r="H351" s="634"/>
      <c r="I351" s="634"/>
      <c r="J351" s="634"/>
      <c r="K351" s="634"/>
      <c r="L351" s="634"/>
      <c r="M351" s="634"/>
      <c r="N351" s="634"/>
      <c r="O351" s="634"/>
      <c r="P351" s="634"/>
      <c r="Q351" s="634"/>
      <c r="R351" s="634"/>
      <c r="S351" s="634"/>
      <c r="T351" s="634"/>
      <c r="U351" s="634"/>
      <c r="V351" s="634"/>
      <c r="W351" s="634"/>
      <c r="X351" s="634"/>
      <c r="Y351" s="634"/>
      <c r="Z351" s="634"/>
      <c r="AA351" s="65"/>
      <c r="AB351" s="65"/>
      <c r="AC351" s="79"/>
    </row>
    <row r="352" spans="1:68" ht="14.25" customHeight="1" x14ac:dyDescent="0.25">
      <c r="A352" s="618" t="s">
        <v>129</v>
      </c>
      <c r="B352" s="618"/>
      <c r="C352" s="618"/>
      <c r="D352" s="618"/>
      <c r="E352" s="618"/>
      <c r="F352" s="618"/>
      <c r="G352" s="618"/>
      <c r="H352" s="618"/>
      <c r="I352" s="618"/>
      <c r="J352" s="618"/>
      <c r="K352" s="618"/>
      <c r="L352" s="618"/>
      <c r="M352" s="618"/>
      <c r="N352" s="618"/>
      <c r="O352" s="618"/>
      <c r="P352" s="618"/>
      <c r="Q352" s="618"/>
      <c r="R352" s="618"/>
      <c r="S352" s="618"/>
      <c r="T352" s="618"/>
      <c r="U352" s="618"/>
      <c r="V352" s="618"/>
      <c r="W352" s="618"/>
      <c r="X352" s="618"/>
      <c r="Y352" s="618"/>
      <c r="Z352" s="618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4301012235</v>
      </c>
      <c r="D353" s="619">
        <v>4680115887190</v>
      </c>
      <c r="E353" s="61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7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1"/>
      <c r="R353" s="621"/>
      <c r="S353" s="621"/>
      <c r="T353" s="6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37.5" customHeight="1" x14ac:dyDescent="0.25">
      <c r="A354" s="63" t="s">
        <v>585</v>
      </c>
      <c r="B354" s="63" t="s">
        <v>586</v>
      </c>
      <c r="C354" s="36">
        <v>4301012233</v>
      </c>
      <c r="D354" s="619">
        <v>4680115887138</v>
      </c>
      <c r="E354" s="61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7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1"/>
      <c r="R354" s="621"/>
      <c r="S354" s="621"/>
      <c r="T354" s="6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588</v>
      </c>
      <c r="B355" s="63" t="s">
        <v>589</v>
      </c>
      <c r="C355" s="36">
        <v>4301012016</v>
      </c>
      <c r="D355" s="619">
        <v>4680115885554</v>
      </c>
      <c r="E355" s="61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90</v>
      </c>
      <c r="N355" s="38"/>
      <c r="O355" s="37">
        <v>55</v>
      </c>
      <c r="P355" s="7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1"/>
      <c r="R355" s="621"/>
      <c r="S355" s="621"/>
      <c r="T355" s="62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591</v>
      </c>
      <c r="B356" s="63" t="s">
        <v>592</v>
      </c>
      <c r="C356" s="36">
        <v>4301012236</v>
      </c>
      <c r="D356" s="619">
        <v>4680115887220</v>
      </c>
      <c r="E356" s="619"/>
      <c r="F356" s="62">
        <v>0.4</v>
      </c>
      <c r="G356" s="37">
        <v>10</v>
      </c>
      <c r="H356" s="62">
        <v>4</v>
      </c>
      <c r="I356" s="62">
        <v>4.1900000000000004</v>
      </c>
      <c r="J356" s="37">
        <v>132</v>
      </c>
      <c r="K356" s="37" t="s">
        <v>141</v>
      </c>
      <c r="L356" s="37" t="s">
        <v>46</v>
      </c>
      <c r="M356" s="38" t="s">
        <v>133</v>
      </c>
      <c r="N356" s="38"/>
      <c r="O356" s="37">
        <v>55</v>
      </c>
      <c r="P356" s="7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1"/>
      <c r="R356" s="621"/>
      <c r="S356" s="621"/>
      <c r="T356" s="62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IFERROR(IF(Y356=0,"",ROUNDUP(Y356/H356,0)*0.00902),"")</f>
        <v/>
      </c>
      <c r="AA356" s="68" t="s">
        <v>46</v>
      </c>
      <c r="AB356" s="69" t="s">
        <v>46</v>
      </c>
      <c r="AC356" s="444" t="s">
        <v>584</v>
      </c>
      <c r="AG356" s="78"/>
      <c r="AJ356" s="84" t="s">
        <v>46</v>
      </c>
      <c r="AK356" s="84">
        <v>0</v>
      </c>
      <c r="BB356" s="445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593</v>
      </c>
      <c r="B357" s="63" t="s">
        <v>594</v>
      </c>
      <c r="C357" s="36">
        <v>4301011859</v>
      </c>
      <c r="D357" s="619">
        <v>4680115885608</v>
      </c>
      <c r="E357" s="619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7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1"/>
      <c r="R357" s="621"/>
      <c r="S357" s="621"/>
      <c r="T357" s="62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x14ac:dyDescent="0.2">
      <c r="A358" s="626"/>
      <c r="B358" s="626"/>
      <c r="C358" s="626"/>
      <c r="D358" s="626"/>
      <c r="E358" s="626"/>
      <c r="F358" s="626"/>
      <c r="G358" s="626"/>
      <c r="H358" s="626"/>
      <c r="I358" s="626"/>
      <c r="J358" s="626"/>
      <c r="K358" s="626"/>
      <c r="L358" s="626"/>
      <c r="M358" s="626"/>
      <c r="N358" s="626"/>
      <c r="O358" s="627"/>
      <c r="P358" s="623" t="s">
        <v>40</v>
      </c>
      <c r="Q358" s="624"/>
      <c r="R358" s="624"/>
      <c r="S358" s="624"/>
      <c r="T358" s="624"/>
      <c r="U358" s="624"/>
      <c r="V358" s="625"/>
      <c r="W358" s="42" t="s">
        <v>39</v>
      </c>
      <c r="X358" s="43">
        <f>IFERROR(X353/H353,"0")+IFERROR(X354/H354,"0")+IFERROR(X355/H355,"0")+IFERROR(X356/H356,"0")+IFERROR(X357/H357,"0")</f>
        <v>0</v>
      </c>
      <c r="Y358" s="43">
        <f>IFERROR(Y353/H353,"0")+IFERROR(Y354/H354,"0")+IFERROR(Y355/H355,"0")+IFERROR(Y356/H356,"0")+IFERROR(Y357/H357,"0")</f>
        <v>0</v>
      </c>
      <c r="Z358" s="43">
        <f>IFERROR(IF(Z353="",0,Z353),"0")+IFERROR(IF(Z354="",0,Z354),"0")+IFERROR(IF(Z355="",0,Z355),"0")+IFERROR(IF(Z356="",0,Z356),"0")+IFERROR(IF(Z357="",0,Z357),"0")</f>
        <v>0</v>
      </c>
      <c r="AA358" s="67"/>
      <c r="AB358" s="67"/>
      <c r="AC358" s="67"/>
    </row>
    <row r="359" spans="1:68" x14ac:dyDescent="0.2">
      <c r="A359" s="626"/>
      <c r="B359" s="626"/>
      <c r="C359" s="626"/>
      <c r="D359" s="626"/>
      <c r="E359" s="626"/>
      <c r="F359" s="626"/>
      <c r="G359" s="626"/>
      <c r="H359" s="626"/>
      <c r="I359" s="626"/>
      <c r="J359" s="626"/>
      <c r="K359" s="626"/>
      <c r="L359" s="626"/>
      <c r="M359" s="626"/>
      <c r="N359" s="626"/>
      <c r="O359" s="627"/>
      <c r="P359" s="623" t="s">
        <v>40</v>
      </c>
      <c r="Q359" s="624"/>
      <c r="R359" s="624"/>
      <c r="S359" s="624"/>
      <c r="T359" s="624"/>
      <c r="U359" s="624"/>
      <c r="V359" s="625"/>
      <c r="W359" s="42" t="s">
        <v>0</v>
      </c>
      <c r="X359" s="43">
        <f>IFERROR(SUM(X353:X357),"0")</f>
        <v>0</v>
      </c>
      <c r="Y359" s="43">
        <f>IFERROR(SUM(Y353:Y357),"0")</f>
        <v>0</v>
      </c>
      <c r="Z359" s="42"/>
      <c r="AA359" s="67"/>
      <c r="AB359" s="67"/>
      <c r="AC359" s="67"/>
    </row>
    <row r="360" spans="1:68" ht="14.25" customHeight="1" x14ac:dyDescent="0.25">
      <c r="A360" s="618" t="s">
        <v>77</v>
      </c>
      <c r="B360" s="618"/>
      <c r="C360" s="618"/>
      <c r="D360" s="618"/>
      <c r="E360" s="618"/>
      <c r="F360" s="618"/>
      <c r="G360" s="618"/>
      <c r="H360" s="618"/>
      <c r="I360" s="618"/>
      <c r="J360" s="618"/>
      <c r="K360" s="618"/>
      <c r="L360" s="618"/>
      <c r="M360" s="618"/>
      <c r="N360" s="618"/>
      <c r="O360" s="618"/>
      <c r="P360" s="618"/>
      <c r="Q360" s="618"/>
      <c r="R360" s="618"/>
      <c r="S360" s="618"/>
      <c r="T360" s="618"/>
      <c r="U360" s="618"/>
      <c r="V360" s="618"/>
      <c r="W360" s="618"/>
      <c r="X360" s="618"/>
      <c r="Y360" s="618"/>
      <c r="Z360" s="618"/>
      <c r="AA360" s="66"/>
      <c r="AB360" s="66"/>
      <c r="AC360" s="80"/>
    </row>
    <row r="361" spans="1:68" ht="27" customHeight="1" x14ac:dyDescent="0.25">
      <c r="A361" s="63" t="s">
        <v>596</v>
      </c>
      <c r="B361" s="63" t="s">
        <v>597</v>
      </c>
      <c r="C361" s="36">
        <v>4301030878</v>
      </c>
      <c r="D361" s="619">
        <v>4607091387193</v>
      </c>
      <c r="E361" s="619"/>
      <c r="F361" s="62">
        <v>0.7</v>
      </c>
      <c r="G361" s="37">
        <v>6</v>
      </c>
      <c r="H361" s="62">
        <v>4.2</v>
      </c>
      <c r="I361" s="62">
        <v>4.45</v>
      </c>
      <c r="J361" s="37">
        <v>132</v>
      </c>
      <c r="K361" s="37" t="s">
        <v>141</v>
      </c>
      <c r="L361" s="37" t="s">
        <v>46</v>
      </c>
      <c r="M361" s="38" t="s">
        <v>81</v>
      </c>
      <c r="N361" s="38"/>
      <c r="O361" s="37">
        <v>35</v>
      </c>
      <c r="P361" s="7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1"/>
      <c r="R361" s="621"/>
      <c r="S361" s="621"/>
      <c r="T361" s="6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7" si="47">IFERROR(IF(X361="",0,CEILING((X361/$H361),1)*$H361),"")</f>
        <v>0</v>
      </c>
      <c r="Z361" s="41" t="str">
        <f>IFERROR(IF(Y361=0,"",ROUNDUP(Y361/H361,0)*0.00902),"")</f>
        <v/>
      </c>
      <c r="AA361" s="68" t="s">
        <v>46</v>
      </c>
      <c r="AB361" s="69" t="s">
        <v>46</v>
      </c>
      <c r="AC361" s="448" t="s">
        <v>598</v>
      </c>
      <c r="AG361" s="78"/>
      <c r="AJ361" s="84" t="s">
        <v>46</v>
      </c>
      <c r="AK361" s="84">
        <v>0</v>
      </c>
      <c r="BB361" s="449" t="s">
        <v>67</v>
      </c>
      <c r="BM361" s="78">
        <f t="shared" ref="BM361:BM367" si="48">IFERROR(X361*I361/H361,"0")</f>
        <v>0</v>
      </c>
      <c r="BN361" s="78">
        <f t="shared" ref="BN361:BN367" si="49">IFERROR(Y361*I361/H361,"0")</f>
        <v>0</v>
      </c>
      <c r="BO361" s="78">
        <f t="shared" ref="BO361:BO367" si="50">IFERROR(1/J361*(X361/H361),"0")</f>
        <v>0</v>
      </c>
      <c r="BP361" s="78">
        <f t="shared" ref="BP361:BP367" si="51">IFERROR(1/J361*(Y361/H361),"0")</f>
        <v>0</v>
      </c>
    </row>
    <row r="362" spans="1:68" ht="27" customHeight="1" x14ac:dyDescent="0.25">
      <c r="A362" s="63" t="s">
        <v>599</v>
      </c>
      <c r="B362" s="63" t="s">
        <v>600</v>
      </c>
      <c r="C362" s="36">
        <v>4301031153</v>
      </c>
      <c r="D362" s="619">
        <v>4607091387230</v>
      </c>
      <c r="E362" s="619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40</v>
      </c>
      <c r="P362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1"/>
      <c r="R362" s="621"/>
      <c r="S362" s="621"/>
      <c r="T362" s="6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customHeight="1" x14ac:dyDescent="0.25">
      <c r="A363" s="63" t="s">
        <v>602</v>
      </c>
      <c r="B363" s="63" t="s">
        <v>603</v>
      </c>
      <c r="C363" s="36">
        <v>4301031154</v>
      </c>
      <c r="D363" s="619">
        <v>4607091387292</v>
      </c>
      <c r="E363" s="619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45</v>
      </c>
      <c r="P363" s="71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1"/>
      <c r="R363" s="621"/>
      <c r="S363" s="621"/>
      <c r="T363" s="6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customHeight="1" x14ac:dyDescent="0.25">
      <c r="A364" s="63" t="s">
        <v>605</v>
      </c>
      <c r="B364" s="63" t="s">
        <v>606</v>
      </c>
      <c r="C364" s="36">
        <v>4301031152</v>
      </c>
      <c r="D364" s="619">
        <v>4607091387285</v>
      </c>
      <c r="E364" s="619"/>
      <c r="F364" s="62">
        <v>0.35</v>
      </c>
      <c r="G364" s="37">
        <v>6</v>
      </c>
      <c r="H364" s="62">
        <v>2.1</v>
      </c>
      <c r="I364" s="62">
        <v>2.23</v>
      </c>
      <c r="J364" s="37">
        <v>234</v>
      </c>
      <c r="K364" s="37" t="s">
        <v>82</v>
      </c>
      <c r="L364" s="37" t="s">
        <v>46</v>
      </c>
      <c r="M364" s="38" t="s">
        <v>81</v>
      </c>
      <c r="N364" s="38"/>
      <c r="O364" s="37">
        <v>40</v>
      </c>
      <c r="P364" s="71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1"/>
      <c r="R364" s="621"/>
      <c r="S364" s="621"/>
      <c r="T364" s="6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IFERROR(IF(Y364=0,"",ROUNDUP(Y364/H364,0)*0.00502),"")</f>
        <v/>
      </c>
      <c r="AA364" s="68" t="s">
        <v>46</v>
      </c>
      <c r="AB364" s="69" t="s">
        <v>46</v>
      </c>
      <c r="AC364" s="454" t="s">
        <v>601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customHeight="1" x14ac:dyDescent="0.25">
      <c r="A365" s="63" t="s">
        <v>607</v>
      </c>
      <c r="B365" s="63" t="s">
        <v>608</v>
      </c>
      <c r="C365" s="36">
        <v>4301031305</v>
      </c>
      <c r="D365" s="619">
        <v>4607091389845</v>
      </c>
      <c r="E365" s="619"/>
      <c r="F365" s="62">
        <v>0.35</v>
      </c>
      <c r="G365" s="37">
        <v>6</v>
      </c>
      <c r="H365" s="62">
        <v>2.1</v>
      </c>
      <c r="I365" s="62">
        <v>2.2000000000000002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1"/>
      <c r="R365" s="621"/>
      <c r="S365" s="621"/>
      <c r="T365" s="6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4301031460</v>
      </c>
      <c r="D366" s="619">
        <v>4680115887442</v>
      </c>
      <c r="E366" s="619"/>
      <c r="F366" s="62">
        <v>0.73</v>
      </c>
      <c r="G366" s="37">
        <v>6</v>
      </c>
      <c r="H366" s="62">
        <v>4.38</v>
      </c>
      <c r="I366" s="62">
        <v>4.63</v>
      </c>
      <c r="J366" s="37">
        <v>132</v>
      </c>
      <c r="K366" s="37" t="s">
        <v>141</v>
      </c>
      <c r="L366" s="37" t="s">
        <v>46</v>
      </c>
      <c r="M366" s="38" t="s">
        <v>81</v>
      </c>
      <c r="N366" s="38"/>
      <c r="O366" s="37">
        <v>45</v>
      </c>
      <c r="P366" s="71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1"/>
      <c r="R366" s="621"/>
      <c r="S366" s="621"/>
      <c r="T366" s="62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customHeight="1" x14ac:dyDescent="0.25">
      <c r="A367" s="63" t="s">
        <v>612</v>
      </c>
      <c r="B367" s="63" t="s">
        <v>613</v>
      </c>
      <c r="C367" s="36">
        <v>4301031066</v>
      </c>
      <c r="D367" s="619">
        <v>4607091383836</v>
      </c>
      <c r="E367" s="619"/>
      <c r="F367" s="62">
        <v>0.3</v>
      </c>
      <c r="G367" s="37">
        <v>6</v>
      </c>
      <c r="H367" s="62">
        <v>1.8</v>
      </c>
      <c r="I367" s="62">
        <v>2.028</v>
      </c>
      <c r="J367" s="37">
        <v>182</v>
      </c>
      <c r="K367" s="37" t="s">
        <v>91</v>
      </c>
      <c r="L367" s="37" t="s">
        <v>46</v>
      </c>
      <c r="M367" s="38" t="s">
        <v>81</v>
      </c>
      <c r="N367" s="38"/>
      <c r="O367" s="37">
        <v>40</v>
      </c>
      <c r="P367" s="71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1"/>
      <c r="R367" s="621"/>
      <c r="S367" s="621"/>
      <c r="T367" s="62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IFERROR(IF(Y367=0,"",ROUNDUP(Y367/H367,0)*0.00651),"")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x14ac:dyDescent="0.2">
      <c r="A368" s="626"/>
      <c r="B368" s="626"/>
      <c r="C368" s="626"/>
      <c r="D368" s="626"/>
      <c r="E368" s="626"/>
      <c r="F368" s="626"/>
      <c r="G368" s="626"/>
      <c r="H368" s="626"/>
      <c r="I368" s="626"/>
      <c r="J368" s="626"/>
      <c r="K368" s="626"/>
      <c r="L368" s="626"/>
      <c r="M368" s="626"/>
      <c r="N368" s="626"/>
      <c r="O368" s="627"/>
      <c r="P368" s="623" t="s">
        <v>40</v>
      </c>
      <c r="Q368" s="624"/>
      <c r="R368" s="624"/>
      <c r="S368" s="624"/>
      <c r="T368" s="624"/>
      <c r="U368" s="624"/>
      <c r="V368" s="625"/>
      <c r="W368" s="42" t="s">
        <v>39</v>
      </c>
      <c r="X368" s="43">
        <f>IFERROR(X361/H361,"0")+IFERROR(X362/H362,"0")+IFERROR(X363/H363,"0")+IFERROR(X364/H364,"0")+IFERROR(X365/H365,"0")+IFERROR(X366/H366,"0")+IFERROR(X367/H367,"0")</f>
        <v>0</v>
      </c>
      <c r="Y368" s="43">
        <f>IFERROR(Y361/H361,"0")+IFERROR(Y362/H362,"0")+IFERROR(Y363/H363,"0")+IFERROR(Y364/H364,"0")+IFERROR(Y365/H365,"0")+IFERROR(Y366/H366,"0")+IFERROR(Y367/H367,"0")</f>
        <v>0</v>
      </c>
      <c r="Z368" s="43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26"/>
      <c r="B369" s="626"/>
      <c r="C369" s="626"/>
      <c r="D369" s="626"/>
      <c r="E369" s="626"/>
      <c r="F369" s="626"/>
      <c r="G369" s="626"/>
      <c r="H369" s="626"/>
      <c r="I369" s="626"/>
      <c r="J369" s="626"/>
      <c r="K369" s="626"/>
      <c r="L369" s="626"/>
      <c r="M369" s="626"/>
      <c r="N369" s="626"/>
      <c r="O369" s="627"/>
      <c r="P369" s="623" t="s">
        <v>40</v>
      </c>
      <c r="Q369" s="624"/>
      <c r="R369" s="624"/>
      <c r="S369" s="624"/>
      <c r="T369" s="624"/>
      <c r="U369" s="624"/>
      <c r="V369" s="625"/>
      <c r="W369" s="42" t="s">
        <v>0</v>
      </c>
      <c r="X369" s="43">
        <f>IFERROR(SUM(X361:X367),"0")</f>
        <v>0</v>
      </c>
      <c r="Y369" s="43">
        <f>IFERROR(SUM(Y361:Y367),"0")</f>
        <v>0</v>
      </c>
      <c r="Z369" s="42"/>
      <c r="AA369" s="67"/>
      <c r="AB369" s="67"/>
      <c r="AC369" s="67"/>
    </row>
    <row r="370" spans="1:68" ht="14.25" customHeight="1" x14ac:dyDescent="0.25">
      <c r="A370" s="618" t="s">
        <v>86</v>
      </c>
      <c r="B370" s="618"/>
      <c r="C370" s="618"/>
      <c r="D370" s="618"/>
      <c r="E370" s="618"/>
      <c r="F370" s="618"/>
      <c r="G370" s="618"/>
      <c r="H370" s="618"/>
      <c r="I370" s="618"/>
      <c r="J370" s="618"/>
      <c r="K370" s="618"/>
      <c r="L370" s="618"/>
      <c r="M370" s="618"/>
      <c r="N370" s="618"/>
      <c r="O370" s="618"/>
      <c r="P370" s="618"/>
      <c r="Q370" s="618"/>
      <c r="R370" s="618"/>
      <c r="S370" s="618"/>
      <c r="T370" s="618"/>
      <c r="U370" s="618"/>
      <c r="V370" s="618"/>
      <c r="W370" s="618"/>
      <c r="X370" s="618"/>
      <c r="Y370" s="618"/>
      <c r="Z370" s="618"/>
      <c r="AA370" s="66"/>
      <c r="AB370" s="66"/>
      <c r="AC370" s="80"/>
    </row>
    <row r="371" spans="1:68" ht="27" customHeight="1" x14ac:dyDescent="0.25">
      <c r="A371" s="63" t="s">
        <v>615</v>
      </c>
      <c r="B371" s="63" t="s">
        <v>616</v>
      </c>
      <c r="C371" s="36">
        <v>4301051100</v>
      </c>
      <c r="D371" s="619">
        <v>4607091387766</v>
      </c>
      <c r="E371" s="619"/>
      <c r="F371" s="62">
        <v>1.3</v>
      </c>
      <c r="G371" s="37">
        <v>6</v>
      </c>
      <c r="H371" s="62">
        <v>7.8</v>
      </c>
      <c r="I371" s="62">
        <v>8.2880000000000003</v>
      </c>
      <c r="J371" s="37">
        <v>64</v>
      </c>
      <c r="K371" s="37" t="s">
        <v>134</v>
      </c>
      <c r="L371" s="37" t="s">
        <v>46</v>
      </c>
      <c r="M371" s="38" t="s">
        <v>90</v>
      </c>
      <c r="N371" s="38"/>
      <c r="O371" s="37">
        <v>40</v>
      </c>
      <c r="P371" s="70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1"/>
      <c r="R371" s="621"/>
      <c r="S371" s="621"/>
      <c r="T371" s="622"/>
      <c r="U371" s="39" t="s">
        <v>46</v>
      </c>
      <c r="V371" s="39" t="s">
        <v>46</v>
      </c>
      <c r="W371" s="40" t="s">
        <v>0</v>
      </c>
      <c r="X371" s="58">
        <v>0</v>
      </c>
      <c r="Y371" s="55">
        <f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2" t="s">
        <v>617</v>
      </c>
      <c r="AG371" s="78"/>
      <c r="AJ371" s="84" t="s">
        <v>46</v>
      </c>
      <c r="AK371" s="84">
        <v>0</v>
      </c>
      <c r="BB371" s="463" t="s">
        <v>67</v>
      </c>
      <c r="BM371" s="78">
        <f>IFERROR(X371*I371/H371,"0")</f>
        <v>0</v>
      </c>
      <c r="BN371" s="78">
        <f>IFERROR(Y371*I371/H371,"0")</f>
        <v>0</v>
      </c>
      <c r="BO371" s="78">
        <f>IFERROR(1/J371*(X371/H371),"0")</f>
        <v>0</v>
      </c>
      <c r="BP371" s="78">
        <f>IFERROR(1/J371*(Y371/H371),"0")</f>
        <v>0</v>
      </c>
    </row>
    <row r="372" spans="1:68" ht="27" customHeight="1" x14ac:dyDescent="0.25">
      <c r="A372" s="63" t="s">
        <v>618</v>
      </c>
      <c r="B372" s="63" t="s">
        <v>619</v>
      </c>
      <c r="C372" s="36">
        <v>4301051818</v>
      </c>
      <c r="D372" s="619">
        <v>4607091387957</v>
      </c>
      <c r="E372" s="619"/>
      <c r="F372" s="62">
        <v>1.3</v>
      </c>
      <c r="G372" s="37">
        <v>6</v>
      </c>
      <c r="H372" s="62">
        <v>7.8</v>
      </c>
      <c r="I372" s="62">
        <v>8.2940000000000005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70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1"/>
      <c r="R372" s="621"/>
      <c r="S372" s="621"/>
      <c r="T372" s="622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621</v>
      </c>
      <c r="B373" s="63" t="s">
        <v>622</v>
      </c>
      <c r="C373" s="36">
        <v>4301051819</v>
      </c>
      <c r="D373" s="619">
        <v>4607091387964</v>
      </c>
      <c r="E373" s="619"/>
      <c r="F373" s="62">
        <v>1.35</v>
      </c>
      <c r="G373" s="37">
        <v>6</v>
      </c>
      <c r="H373" s="62">
        <v>8.1</v>
      </c>
      <c r="I373" s="62">
        <v>8.5760000000000005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70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1"/>
      <c r="R373" s="621"/>
      <c r="S373" s="621"/>
      <c r="T373" s="622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customHeight="1" x14ac:dyDescent="0.25">
      <c r="A374" s="63" t="s">
        <v>624</v>
      </c>
      <c r="B374" s="63" t="s">
        <v>625</v>
      </c>
      <c r="C374" s="36">
        <v>4301051734</v>
      </c>
      <c r="D374" s="619">
        <v>4680115884588</v>
      </c>
      <c r="E374" s="619"/>
      <c r="F374" s="62">
        <v>0.5</v>
      </c>
      <c r="G374" s="37">
        <v>6</v>
      </c>
      <c r="H374" s="62">
        <v>3</v>
      </c>
      <c r="I374" s="62">
        <v>3.246</v>
      </c>
      <c r="J374" s="37">
        <v>182</v>
      </c>
      <c r="K374" s="37" t="s">
        <v>91</v>
      </c>
      <c r="L374" s="37" t="s">
        <v>46</v>
      </c>
      <c r="M374" s="38" t="s">
        <v>90</v>
      </c>
      <c r="N374" s="38"/>
      <c r="O374" s="37">
        <v>40</v>
      </c>
      <c r="P374" s="70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1"/>
      <c r="R374" s="621"/>
      <c r="S374" s="621"/>
      <c r="T374" s="62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68" t="s">
        <v>617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x14ac:dyDescent="0.2">
      <c r="A375" s="626"/>
      <c r="B375" s="626"/>
      <c r="C375" s="626"/>
      <c r="D375" s="626"/>
      <c r="E375" s="626"/>
      <c r="F375" s="626"/>
      <c r="G375" s="626"/>
      <c r="H375" s="626"/>
      <c r="I375" s="626"/>
      <c r="J375" s="626"/>
      <c r="K375" s="626"/>
      <c r="L375" s="626"/>
      <c r="M375" s="626"/>
      <c r="N375" s="626"/>
      <c r="O375" s="627"/>
      <c r="P375" s="623" t="s">
        <v>40</v>
      </c>
      <c r="Q375" s="624"/>
      <c r="R375" s="624"/>
      <c r="S375" s="624"/>
      <c r="T375" s="624"/>
      <c r="U375" s="624"/>
      <c r="V375" s="625"/>
      <c r="W375" s="42" t="s">
        <v>39</v>
      </c>
      <c r="X375" s="43">
        <f>IFERROR(X371/H371,"0")+IFERROR(X372/H372,"0")+IFERROR(X373/H373,"0")+IFERROR(X374/H374,"0")</f>
        <v>0</v>
      </c>
      <c r="Y375" s="43">
        <f>IFERROR(Y371/H371,"0")+IFERROR(Y372/H372,"0")+IFERROR(Y373/H373,"0")+IFERROR(Y374/H374,"0")</f>
        <v>0</v>
      </c>
      <c r="Z375" s="43">
        <f>IFERROR(IF(Z371="",0,Z371),"0")+IFERROR(IF(Z372="",0,Z372),"0")+IFERROR(IF(Z373="",0,Z373),"0")+IFERROR(IF(Z374="",0,Z374),"0")</f>
        <v>0</v>
      </c>
      <c r="AA375" s="67"/>
      <c r="AB375" s="67"/>
      <c r="AC375" s="67"/>
    </row>
    <row r="376" spans="1:68" x14ac:dyDescent="0.2">
      <c r="A376" s="626"/>
      <c r="B376" s="626"/>
      <c r="C376" s="626"/>
      <c r="D376" s="626"/>
      <c r="E376" s="626"/>
      <c r="F376" s="626"/>
      <c r="G376" s="626"/>
      <c r="H376" s="626"/>
      <c r="I376" s="626"/>
      <c r="J376" s="626"/>
      <c r="K376" s="626"/>
      <c r="L376" s="626"/>
      <c r="M376" s="626"/>
      <c r="N376" s="626"/>
      <c r="O376" s="627"/>
      <c r="P376" s="623" t="s">
        <v>40</v>
      </c>
      <c r="Q376" s="624"/>
      <c r="R376" s="624"/>
      <c r="S376" s="624"/>
      <c r="T376" s="624"/>
      <c r="U376" s="624"/>
      <c r="V376" s="625"/>
      <c r="W376" s="42" t="s">
        <v>0</v>
      </c>
      <c r="X376" s="43">
        <f>IFERROR(SUM(X371:X374),"0")</f>
        <v>0</v>
      </c>
      <c r="Y376" s="43">
        <f>IFERROR(SUM(Y371:Y374),"0")</f>
        <v>0</v>
      </c>
      <c r="Z376" s="42"/>
      <c r="AA376" s="67"/>
      <c r="AB376" s="67"/>
      <c r="AC376" s="67"/>
    </row>
    <row r="377" spans="1:68" ht="14.25" customHeight="1" x14ac:dyDescent="0.25">
      <c r="A377" s="618" t="s">
        <v>183</v>
      </c>
      <c r="B377" s="618"/>
      <c r="C377" s="618"/>
      <c r="D377" s="618"/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  <c r="S377" s="618"/>
      <c r="T377" s="618"/>
      <c r="U377" s="618"/>
      <c r="V377" s="618"/>
      <c r="W377" s="618"/>
      <c r="X377" s="618"/>
      <c r="Y377" s="618"/>
      <c r="Z377" s="618"/>
      <c r="AA377" s="66"/>
      <c r="AB377" s="66"/>
      <c r="AC377" s="80"/>
    </row>
    <row r="378" spans="1:68" ht="27" customHeight="1" x14ac:dyDescent="0.25">
      <c r="A378" s="63" t="s">
        <v>626</v>
      </c>
      <c r="B378" s="63" t="s">
        <v>627</v>
      </c>
      <c r="C378" s="36">
        <v>4301060387</v>
      </c>
      <c r="D378" s="619">
        <v>4607091380880</v>
      </c>
      <c r="E378" s="619"/>
      <c r="F378" s="62">
        <v>1.4</v>
      </c>
      <c r="G378" s="37">
        <v>6</v>
      </c>
      <c r="H378" s="62">
        <v>8.4</v>
      </c>
      <c r="I378" s="62">
        <v>8.8940000000000001</v>
      </c>
      <c r="J378" s="37">
        <v>64</v>
      </c>
      <c r="K378" s="37" t="s">
        <v>134</v>
      </c>
      <c r="L378" s="37" t="s">
        <v>46</v>
      </c>
      <c r="M378" s="38" t="s">
        <v>90</v>
      </c>
      <c r="N378" s="38"/>
      <c r="O378" s="37">
        <v>30</v>
      </c>
      <c r="P378" s="70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1"/>
      <c r="R378" s="621"/>
      <c r="S378" s="621"/>
      <c r="T378" s="622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0" t="s">
        <v>628</v>
      </c>
      <c r="AG378" s="78"/>
      <c r="AJ378" s="84" t="s">
        <v>46</v>
      </c>
      <c r="AK378" s="84">
        <v>0</v>
      </c>
      <c r="BB378" s="471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4301060406</v>
      </c>
      <c r="D379" s="619">
        <v>4607091384482</v>
      </c>
      <c r="E379" s="619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70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1"/>
      <c r="R379" s="621"/>
      <c r="S379" s="621"/>
      <c r="T379" s="622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16.5" customHeight="1" x14ac:dyDescent="0.25">
      <c r="A380" s="63" t="s">
        <v>632</v>
      </c>
      <c r="B380" s="63" t="s">
        <v>633</v>
      </c>
      <c r="C380" s="36">
        <v>4301060484</v>
      </c>
      <c r="D380" s="619">
        <v>4607091380897</v>
      </c>
      <c r="E380" s="61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134</v>
      </c>
      <c r="L380" s="37" t="s">
        <v>46</v>
      </c>
      <c r="M380" s="38" t="s">
        <v>97</v>
      </c>
      <c r="N380" s="38"/>
      <c r="O380" s="37">
        <v>30</v>
      </c>
      <c r="P380" s="70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1"/>
      <c r="R380" s="621"/>
      <c r="S380" s="621"/>
      <c r="T380" s="6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x14ac:dyDescent="0.2">
      <c r="A381" s="626"/>
      <c r="B381" s="626"/>
      <c r="C381" s="626"/>
      <c r="D381" s="626"/>
      <c r="E381" s="626"/>
      <c r="F381" s="626"/>
      <c r="G381" s="626"/>
      <c r="H381" s="626"/>
      <c r="I381" s="626"/>
      <c r="J381" s="626"/>
      <c r="K381" s="626"/>
      <c r="L381" s="626"/>
      <c r="M381" s="626"/>
      <c r="N381" s="626"/>
      <c r="O381" s="627"/>
      <c r="P381" s="623" t="s">
        <v>40</v>
      </c>
      <c r="Q381" s="624"/>
      <c r="R381" s="624"/>
      <c r="S381" s="624"/>
      <c r="T381" s="624"/>
      <c r="U381" s="624"/>
      <c r="V381" s="625"/>
      <c r="W381" s="42" t="s">
        <v>39</v>
      </c>
      <c r="X381" s="43">
        <f>IFERROR(X378/H378,"0")+IFERROR(X379/H379,"0")+IFERROR(X380/H380,"0")</f>
        <v>0</v>
      </c>
      <c r="Y381" s="43">
        <f>IFERROR(Y378/H378,"0")+IFERROR(Y379/H379,"0")+IFERROR(Y380/H380,"0")</f>
        <v>0</v>
      </c>
      <c r="Z381" s="43">
        <f>IFERROR(IF(Z378="",0,Z378),"0")+IFERROR(IF(Z379="",0,Z379),"0")+IFERROR(IF(Z380="",0,Z380),"0")</f>
        <v>0</v>
      </c>
      <c r="AA381" s="67"/>
      <c r="AB381" s="67"/>
      <c r="AC381" s="67"/>
    </row>
    <row r="382" spans="1:68" x14ac:dyDescent="0.2">
      <c r="A382" s="626"/>
      <c r="B382" s="626"/>
      <c r="C382" s="626"/>
      <c r="D382" s="626"/>
      <c r="E382" s="626"/>
      <c r="F382" s="626"/>
      <c r="G382" s="626"/>
      <c r="H382" s="626"/>
      <c r="I382" s="626"/>
      <c r="J382" s="626"/>
      <c r="K382" s="626"/>
      <c r="L382" s="626"/>
      <c r="M382" s="626"/>
      <c r="N382" s="626"/>
      <c r="O382" s="627"/>
      <c r="P382" s="623" t="s">
        <v>40</v>
      </c>
      <c r="Q382" s="624"/>
      <c r="R382" s="624"/>
      <c r="S382" s="624"/>
      <c r="T382" s="624"/>
      <c r="U382" s="624"/>
      <c r="V382" s="625"/>
      <c r="W382" s="42" t="s">
        <v>0</v>
      </c>
      <c r="X382" s="43">
        <f>IFERROR(SUM(X378:X380),"0")</f>
        <v>0</v>
      </c>
      <c r="Y382" s="43">
        <f>IFERROR(SUM(Y378:Y380),"0")</f>
        <v>0</v>
      </c>
      <c r="Z382" s="42"/>
      <c r="AA382" s="67"/>
      <c r="AB382" s="67"/>
      <c r="AC382" s="67"/>
    </row>
    <row r="383" spans="1:68" ht="14.25" customHeight="1" x14ac:dyDescent="0.25">
      <c r="A383" s="618" t="s">
        <v>104</v>
      </c>
      <c r="B383" s="618"/>
      <c r="C383" s="618"/>
      <c r="D383" s="618"/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  <c r="R383" s="618"/>
      <c r="S383" s="618"/>
      <c r="T383" s="618"/>
      <c r="U383" s="618"/>
      <c r="V383" s="618"/>
      <c r="W383" s="618"/>
      <c r="X383" s="618"/>
      <c r="Y383" s="618"/>
      <c r="Z383" s="618"/>
      <c r="AA383" s="66"/>
      <c r="AB383" s="66"/>
      <c r="AC383" s="80"/>
    </row>
    <row r="384" spans="1:68" ht="27" customHeight="1" x14ac:dyDescent="0.25">
      <c r="A384" s="63" t="s">
        <v>635</v>
      </c>
      <c r="B384" s="63" t="s">
        <v>636</v>
      </c>
      <c r="C384" s="36">
        <v>4301030235</v>
      </c>
      <c r="D384" s="619">
        <v>4607091388381</v>
      </c>
      <c r="E384" s="619"/>
      <c r="F384" s="62">
        <v>0.38</v>
      </c>
      <c r="G384" s="37">
        <v>8</v>
      </c>
      <c r="H384" s="62">
        <v>3.04</v>
      </c>
      <c r="I384" s="62">
        <v>3.31</v>
      </c>
      <c r="J384" s="37">
        <v>132</v>
      </c>
      <c r="K384" s="37" t="s">
        <v>141</v>
      </c>
      <c r="L384" s="37" t="s">
        <v>46</v>
      </c>
      <c r="M384" s="38" t="s">
        <v>109</v>
      </c>
      <c r="N384" s="38"/>
      <c r="O384" s="37">
        <v>180</v>
      </c>
      <c r="P384" s="69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1"/>
      <c r="R384" s="621"/>
      <c r="S384" s="621"/>
      <c r="T384" s="62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76" t="s">
        <v>637</v>
      </c>
      <c r="AG384" s="78"/>
      <c r="AJ384" s="84" t="s">
        <v>46</v>
      </c>
      <c r="AK384" s="84">
        <v>0</v>
      </c>
      <c r="BB384" s="477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638</v>
      </c>
      <c r="B385" s="63" t="s">
        <v>639</v>
      </c>
      <c r="C385" s="36">
        <v>4301030232</v>
      </c>
      <c r="D385" s="619">
        <v>4607091388374</v>
      </c>
      <c r="E385" s="619"/>
      <c r="F385" s="62">
        <v>0.38</v>
      </c>
      <c r="G385" s="37">
        <v>8</v>
      </c>
      <c r="H385" s="62">
        <v>3.04</v>
      </c>
      <c r="I385" s="62">
        <v>3.27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70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1"/>
      <c r="R385" s="621"/>
      <c r="S385" s="621"/>
      <c r="T385" s="62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637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640</v>
      </c>
      <c r="B386" s="63" t="s">
        <v>641</v>
      </c>
      <c r="C386" s="36">
        <v>4301032015</v>
      </c>
      <c r="D386" s="619">
        <v>4607091383102</v>
      </c>
      <c r="E386" s="619"/>
      <c r="F386" s="62">
        <v>0.17</v>
      </c>
      <c r="G386" s="37">
        <v>15</v>
      </c>
      <c r="H386" s="62">
        <v>2.5499999999999998</v>
      </c>
      <c r="I386" s="62">
        <v>2.9550000000000001</v>
      </c>
      <c r="J386" s="37">
        <v>182</v>
      </c>
      <c r="K386" s="37" t="s">
        <v>91</v>
      </c>
      <c r="L386" s="37" t="s">
        <v>46</v>
      </c>
      <c r="M386" s="38" t="s">
        <v>109</v>
      </c>
      <c r="N386" s="38"/>
      <c r="O386" s="37">
        <v>180</v>
      </c>
      <c r="P386" s="70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1"/>
      <c r="R386" s="621"/>
      <c r="S386" s="621"/>
      <c r="T386" s="6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46</v>
      </c>
      <c r="AB386" s="69" t="s">
        <v>46</v>
      </c>
      <c r="AC386" s="480" t="s">
        <v>637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4301030233</v>
      </c>
      <c r="D387" s="619">
        <v>4607091388404</v>
      </c>
      <c r="E387" s="619"/>
      <c r="F387" s="62">
        <v>0.17</v>
      </c>
      <c r="G387" s="37">
        <v>15</v>
      </c>
      <c r="H387" s="62">
        <v>2.5499999999999998</v>
      </c>
      <c r="I387" s="62">
        <v>2.88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6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1"/>
      <c r="R387" s="621"/>
      <c r="S387" s="621"/>
      <c r="T387" s="6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637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626"/>
      <c r="B388" s="626"/>
      <c r="C388" s="626"/>
      <c r="D388" s="626"/>
      <c r="E388" s="626"/>
      <c r="F388" s="626"/>
      <c r="G388" s="626"/>
      <c r="H388" s="626"/>
      <c r="I388" s="626"/>
      <c r="J388" s="626"/>
      <c r="K388" s="626"/>
      <c r="L388" s="626"/>
      <c r="M388" s="626"/>
      <c r="N388" s="626"/>
      <c r="O388" s="627"/>
      <c r="P388" s="623" t="s">
        <v>40</v>
      </c>
      <c r="Q388" s="624"/>
      <c r="R388" s="624"/>
      <c r="S388" s="624"/>
      <c r="T388" s="624"/>
      <c r="U388" s="624"/>
      <c r="V388" s="625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x14ac:dyDescent="0.2">
      <c r="A389" s="626"/>
      <c r="B389" s="626"/>
      <c r="C389" s="626"/>
      <c r="D389" s="626"/>
      <c r="E389" s="626"/>
      <c r="F389" s="626"/>
      <c r="G389" s="626"/>
      <c r="H389" s="626"/>
      <c r="I389" s="626"/>
      <c r="J389" s="626"/>
      <c r="K389" s="626"/>
      <c r="L389" s="626"/>
      <c r="M389" s="626"/>
      <c r="N389" s="626"/>
      <c r="O389" s="627"/>
      <c r="P389" s="623" t="s">
        <v>40</v>
      </c>
      <c r="Q389" s="624"/>
      <c r="R389" s="624"/>
      <c r="S389" s="624"/>
      <c r="T389" s="624"/>
      <c r="U389" s="624"/>
      <c r="V389" s="625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customHeight="1" x14ac:dyDescent="0.25">
      <c r="A390" s="618" t="s">
        <v>644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6"/>
      <c r="AB390" s="66"/>
      <c r="AC390" s="80"/>
    </row>
    <row r="391" spans="1:68" ht="16.5" customHeight="1" x14ac:dyDescent="0.25">
      <c r="A391" s="63" t="s">
        <v>645</v>
      </c>
      <c r="B391" s="63" t="s">
        <v>646</v>
      </c>
      <c r="C391" s="36">
        <v>4301180007</v>
      </c>
      <c r="D391" s="619">
        <v>4680115881808</v>
      </c>
      <c r="E391" s="619"/>
      <c r="F391" s="62">
        <v>0.1</v>
      </c>
      <c r="G391" s="37">
        <v>20</v>
      </c>
      <c r="H391" s="62">
        <v>2</v>
      </c>
      <c r="I391" s="62">
        <v>2.2400000000000002</v>
      </c>
      <c r="J391" s="37">
        <v>238</v>
      </c>
      <c r="K391" s="37" t="s">
        <v>91</v>
      </c>
      <c r="L391" s="37" t="s">
        <v>46</v>
      </c>
      <c r="M391" s="38" t="s">
        <v>648</v>
      </c>
      <c r="N391" s="38"/>
      <c r="O391" s="37">
        <v>731</v>
      </c>
      <c r="P391" s="69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1"/>
      <c r="R391" s="621"/>
      <c r="S391" s="621"/>
      <c r="T391" s="62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IFERROR(IF(Y391=0,"",ROUNDUP(Y391/H391,0)*0.00474),"")</f>
        <v/>
      </c>
      <c r="AA391" s="68" t="s">
        <v>46</v>
      </c>
      <c r="AB391" s="69" t="s">
        <v>46</v>
      </c>
      <c r="AC391" s="484" t="s">
        <v>647</v>
      </c>
      <c r="AG391" s="78"/>
      <c r="AJ391" s="84" t="s">
        <v>46</v>
      </c>
      <c r="AK391" s="84">
        <v>0</v>
      </c>
      <c r="BB391" s="485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customHeight="1" x14ac:dyDescent="0.25">
      <c r="A392" s="63" t="s">
        <v>649</v>
      </c>
      <c r="B392" s="63" t="s">
        <v>650</v>
      </c>
      <c r="C392" s="36">
        <v>4301180006</v>
      </c>
      <c r="D392" s="619">
        <v>4680115881822</v>
      </c>
      <c r="E392" s="619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648</v>
      </c>
      <c r="N392" s="38"/>
      <c r="O392" s="37">
        <v>731</v>
      </c>
      <c r="P392" s="69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1"/>
      <c r="R392" s="621"/>
      <c r="S392" s="621"/>
      <c r="T392" s="6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647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customHeight="1" x14ac:dyDescent="0.25">
      <c r="A393" s="63" t="s">
        <v>651</v>
      </c>
      <c r="B393" s="63" t="s">
        <v>652</v>
      </c>
      <c r="C393" s="36">
        <v>4301180001</v>
      </c>
      <c r="D393" s="619">
        <v>4680115880016</v>
      </c>
      <c r="E393" s="61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648</v>
      </c>
      <c r="N393" s="38"/>
      <c r="O393" s="37">
        <v>731</v>
      </c>
      <c r="P393" s="69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1"/>
      <c r="R393" s="621"/>
      <c r="S393" s="621"/>
      <c r="T393" s="6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647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626"/>
      <c r="B394" s="626"/>
      <c r="C394" s="626"/>
      <c r="D394" s="626"/>
      <c r="E394" s="626"/>
      <c r="F394" s="626"/>
      <c r="G394" s="626"/>
      <c r="H394" s="626"/>
      <c r="I394" s="626"/>
      <c r="J394" s="626"/>
      <c r="K394" s="626"/>
      <c r="L394" s="626"/>
      <c r="M394" s="626"/>
      <c r="N394" s="626"/>
      <c r="O394" s="627"/>
      <c r="P394" s="623" t="s">
        <v>40</v>
      </c>
      <c r="Q394" s="624"/>
      <c r="R394" s="624"/>
      <c r="S394" s="624"/>
      <c r="T394" s="624"/>
      <c r="U394" s="624"/>
      <c r="V394" s="625"/>
      <c r="W394" s="42" t="s">
        <v>39</v>
      </c>
      <c r="X394" s="43">
        <f>IFERROR(X391/H391,"0")+IFERROR(X392/H392,"0")+IFERROR(X393/H393,"0")</f>
        <v>0</v>
      </c>
      <c r="Y394" s="43">
        <f>IFERROR(Y391/H391,"0")+IFERROR(Y392/H392,"0")+IFERROR(Y393/H393,"0")</f>
        <v>0</v>
      </c>
      <c r="Z394" s="43">
        <f>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6"/>
      <c r="B395" s="626"/>
      <c r="C395" s="626"/>
      <c r="D395" s="626"/>
      <c r="E395" s="626"/>
      <c r="F395" s="626"/>
      <c r="G395" s="626"/>
      <c r="H395" s="626"/>
      <c r="I395" s="626"/>
      <c r="J395" s="626"/>
      <c r="K395" s="626"/>
      <c r="L395" s="626"/>
      <c r="M395" s="626"/>
      <c r="N395" s="626"/>
      <c r="O395" s="627"/>
      <c r="P395" s="623" t="s">
        <v>40</v>
      </c>
      <c r="Q395" s="624"/>
      <c r="R395" s="624"/>
      <c r="S395" s="624"/>
      <c r="T395" s="624"/>
      <c r="U395" s="624"/>
      <c r="V395" s="625"/>
      <c r="W395" s="42" t="s">
        <v>0</v>
      </c>
      <c r="X395" s="43">
        <f>IFERROR(SUM(X391:X393),"0")</f>
        <v>0</v>
      </c>
      <c r="Y395" s="43">
        <f>IFERROR(SUM(Y391:Y393),"0")</f>
        <v>0</v>
      </c>
      <c r="Z395" s="42"/>
      <c r="AA395" s="67"/>
      <c r="AB395" s="67"/>
      <c r="AC395" s="67"/>
    </row>
    <row r="396" spans="1:68" ht="16.5" customHeight="1" x14ac:dyDescent="0.25">
      <c r="A396" s="634" t="s">
        <v>653</v>
      </c>
      <c r="B396" s="634"/>
      <c r="C396" s="634"/>
      <c r="D396" s="634"/>
      <c r="E396" s="634"/>
      <c r="F396" s="634"/>
      <c r="G396" s="634"/>
      <c r="H396" s="634"/>
      <c r="I396" s="634"/>
      <c r="J396" s="634"/>
      <c r="K396" s="634"/>
      <c r="L396" s="634"/>
      <c r="M396" s="634"/>
      <c r="N396" s="634"/>
      <c r="O396" s="634"/>
      <c r="P396" s="634"/>
      <c r="Q396" s="634"/>
      <c r="R396" s="634"/>
      <c r="S396" s="634"/>
      <c r="T396" s="634"/>
      <c r="U396" s="634"/>
      <c r="V396" s="634"/>
      <c r="W396" s="634"/>
      <c r="X396" s="634"/>
      <c r="Y396" s="634"/>
      <c r="Z396" s="634"/>
      <c r="AA396" s="65"/>
      <c r="AB396" s="65"/>
      <c r="AC396" s="79"/>
    </row>
    <row r="397" spans="1:68" ht="14.25" customHeight="1" x14ac:dyDescent="0.25">
      <c r="A397" s="618" t="s">
        <v>86</v>
      </c>
      <c r="B397" s="618"/>
      <c r="C397" s="618"/>
      <c r="D397" s="618"/>
      <c r="E397" s="618"/>
      <c r="F397" s="618"/>
      <c r="G397" s="618"/>
      <c r="H397" s="618"/>
      <c r="I397" s="618"/>
      <c r="J397" s="618"/>
      <c r="K397" s="618"/>
      <c r="L397" s="618"/>
      <c r="M397" s="618"/>
      <c r="N397" s="618"/>
      <c r="O397" s="618"/>
      <c r="P397" s="618"/>
      <c r="Q397" s="618"/>
      <c r="R397" s="618"/>
      <c r="S397" s="618"/>
      <c r="T397" s="618"/>
      <c r="U397" s="618"/>
      <c r="V397" s="618"/>
      <c r="W397" s="618"/>
      <c r="X397" s="618"/>
      <c r="Y397" s="618"/>
      <c r="Z397" s="618"/>
      <c r="AA397" s="66"/>
      <c r="AB397" s="66"/>
      <c r="AC397" s="80"/>
    </row>
    <row r="398" spans="1:68" ht="27" customHeight="1" x14ac:dyDescent="0.25">
      <c r="A398" s="63" t="s">
        <v>654</v>
      </c>
      <c r="B398" s="63" t="s">
        <v>655</v>
      </c>
      <c r="C398" s="36">
        <v>4301051489</v>
      </c>
      <c r="D398" s="619">
        <v>4607091387919</v>
      </c>
      <c r="E398" s="619"/>
      <c r="F398" s="62">
        <v>1.35</v>
      </c>
      <c r="G398" s="37">
        <v>6</v>
      </c>
      <c r="H398" s="62">
        <v>8.1</v>
      </c>
      <c r="I398" s="62">
        <v>8.5939999999999994</v>
      </c>
      <c r="J398" s="37">
        <v>64</v>
      </c>
      <c r="K398" s="37" t="s">
        <v>134</v>
      </c>
      <c r="L398" s="37" t="s">
        <v>46</v>
      </c>
      <c r="M398" s="38" t="s">
        <v>97</v>
      </c>
      <c r="N398" s="38"/>
      <c r="O398" s="37">
        <v>45</v>
      </c>
      <c r="P398" s="6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8" s="621"/>
      <c r="R398" s="621"/>
      <c r="S398" s="621"/>
      <c r="T398" s="62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656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657</v>
      </c>
      <c r="B399" s="63" t="s">
        <v>658</v>
      </c>
      <c r="C399" s="36">
        <v>4301051461</v>
      </c>
      <c r="D399" s="619">
        <v>4680115883604</v>
      </c>
      <c r="E399" s="619"/>
      <c r="F399" s="62">
        <v>0.35</v>
      </c>
      <c r="G399" s="37">
        <v>6</v>
      </c>
      <c r="H399" s="62">
        <v>2.1</v>
      </c>
      <c r="I399" s="62">
        <v>2.3519999999999999</v>
      </c>
      <c r="J399" s="37">
        <v>182</v>
      </c>
      <c r="K399" s="37" t="s">
        <v>91</v>
      </c>
      <c r="L399" s="37" t="s">
        <v>46</v>
      </c>
      <c r="M399" s="38" t="s">
        <v>90</v>
      </c>
      <c r="N399" s="38"/>
      <c r="O399" s="37">
        <v>45</v>
      </c>
      <c r="P399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9" s="621"/>
      <c r="R399" s="621"/>
      <c r="S399" s="621"/>
      <c r="T399" s="6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660</v>
      </c>
      <c r="B400" s="63" t="s">
        <v>661</v>
      </c>
      <c r="C400" s="36">
        <v>4301051864</v>
      </c>
      <c r="D400" s="619">
        <v>4680115883567</v>
      </c>
      <c r="E400" s="619"/>
      <c r="F400" s="62">
        <v>0.35</v>
      </c>
      <c r="G400" s="37">
        <v>6</v>
      </c>
      <c r="H400" s="62">
        <v>2.1</v>
      </c>
      <c r="I400" s="62">
        <v>2.34</v>
      </c>
      <c r="J400" s="37">
        <v>182</v>
      </c>
      <c r="K400" s="37" t="s">
        <v>91</v>
      </c>
      <c r="L400" s="37" t="s">
        <v>46</v>
      </c>
      <c r="M400" s="38" t="s">
        <v>97</v>
      </c>
      <c r="N400" s="38"/>
      <c r="O400" s="37">
        <v>40</v>
      </c>
      <c r="P400" s="69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0" s="621"/>
      <c r="R400" s="621"/>
      <c r="S400" s="621"/>
      <c r="T400" s="6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x14ac:dyDescent="0.2">
      <c r="A401" s="626"/>
      <c r="B401" s="626"/>
      <c r="C401" s="626"/>
      <c r="D401" s="626"/>
      <c r="E401" s="626"/>
      <c r="F401" s="626"/>
      <c r="G401" s="626"/>
      <c r="H401" s="626"/>
      <c r="I401" s="626"/>
      <c r="J401" s="626"/>
      <c r="K401" s="626"/>
      <c r="L401" s="626"/>
      <c r="M401" s="626"/>
      <c r="N401" s="626"/>
      <c r="O401" s="627"/>
      <c r="P401" s="623" t="s">
        <v>40</v>
      </c>
      <c r="Q401" s="624"/>
      <c r="R401" s="624"/>
      <c r="S401" s="624"/>
      <c r="T401" s="624"/>
      <c r="U401" s="624"/>
      <c r="V401" s="625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x14ac:dyDescent="0.2">
      <c r="A402" s="626"/>
      <c r="B402" s="626"/>
      <c r="C402" s="626"/>
      <c r="D402" s="626"/>
      <c r="E402" s="626"/>
      <c r="F402" s="626"/>
      <c r="G402" s="626"/>
      <c r="H402" s="626"/>
      <c r="I402" s="626"/>
      <c r="J402" s="626"/>
      <c r="K402" s="626"/>
      <c r="L402" s="626"/>
      <c r="M402" s="626"/>
      <c r="N402" s="626"/>
      <c r="O402" s="627"/>
      <c r="P402" s="623" t="s">
        <v>40</v>
      </c>
      <c r="Q402" s="624"/>
      <c r="R402" s="624"/>
      <c r="S402" s="624"/>
      <c r="T402" s="624"/>
      <c r="U402" s="624"/>
      <c r="V402" s="625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27.75" customHeight="1" x14ac:dyDescent="0.2">
      <c r="A403" s="639" t="s">
        <v>663</v>
      </c>
      <c r="B403" s="639"/>
      <c r="C403" s="639"/>
      <c r="D403" s="639"/>
      <c r="E403" s="639"/>
      <c r="F403" s="639"/>
      <c r="G403" s="639"/>
      <c r="H403" s="639"/>
      <c r="I403" s="639"/>
      <c r="J403" s="639"/>
      <c r="K403" s="639"/>
      <c r="L403" s="639"/>
      <c r="M403" s="639"/>
      <c r="N403" s="639"/>
      <c r="O403" s="639"/>
      <c r="P403" s="639"/>
      <c r="Q403" s="639"/>
      <c r="R403" s="639"/>
      <c r="S403" s="639"/>
      <c r="T403" s="639"/>
      <c r="U403" s="639"/>
      <c r="V403" s="639"/>
      <c r="W403" s="639"/>
      <c r="X403" s="639"/>
      <c r="Y403" s="639"/>
      <c r="Z403" s="639"/>
      <c r="AA403" s="54"/>
      <c r="AB403" s="54"/>
      <c r="AC403" s="54"/>
    </row>
    <row r="404" spans="1:68" ht="16.5" customHeight="1" x14ac:dyDescent="0.25">
      <c r="A404" s="634" t="s">
        <v>664</v>
      </c>
      <c r="B404" s="634"/>
      <c r="C404" s="634"/>
      <c r="D404" s="634"/>
      <c r="E404" s="634"/>
      <c r="F404" s="634"/>
      <c r="G404" s="634"/>
      <c r="H404" s="634"/>
      <c r="I404" s="634"/>
      <c r="J404" s="634"/>
      <c r="K404" s="634"/>
      <c r="L404" s="634"/>
      <c r="M404" s="634"/>
      <c r="N404" s="634"/>
      <c r="O404" s="634"/>
      <c r="P404" s="634"/>
      <c r="Q404" s="634"/>
      <c r="R404" s="634"/>
      <c r="S404" s="634"/>
      <c r="T404" s="634"/>
      <c r="U404" s="634"/>
      <c r="V404" s="634"/>
      <c r="W404" s="634"/>
      <c r="X404" s="634"/>
      <c r="Y404" s="634"/>
      <c r="Z404" s="634"/>
      <c r="AA404" s="65"/>
      <c r="AB404" s="65"/>
      <c r="AC404" s="79"/>
    </row>
    <row r="405" spans="1:68" ht="14.25" customHeight="1" x14ac:dyDescent="0.25">
      <c r="A405" s="618" t="s">
        <v>129</v>
      </c>
      <c r="B405" s="618"/>
      <c r="C405" s="618"/>
      <c r="D405" s="618"/>
      <c r="E405" s="618"/>
      <c r="F405" s="618"/>
      <c r="G405" s="618"/>
      <c r="H405" s="618"/>
      <c r="I405" s="618"/>
      <c r="J405" s="618"/>
      <c r="K405" s="618"/>
      <c r="L405" s="618"/>
      <c r="M405" s="618"/>
      <c r="N405" s="618"/>
      <c r="O405" s="618"/>
      <c r="P405" s="618"/>
      <c r="Q405" s="618"/>
      <c r="R405" s="618"/>
      <c r="S405" s="618"/>
      <c r="T405" s="618"/>
      <c r="U405" s="618"/>
      <c r="V405" s="618"/>
      <c r="W405" s="618"/>
      <c r="X405" s="618"/>
      <c r="Y405" s="618"/>
      <c r="Z405" s="618"/>
      <c r="AA405" s="66"/>
      <c r="AB405" s="66"/>
      <c r="AC405" s="80"/>
    </row>
    <row r="406" spans="1:68" ht="27" customHeight="1" x14ac:dyDescent="0.25">
      <c r="A406" s="63" t="s">
        <v>665</v>
      </c>
      <c r="B406" s="63" t="s">
        <v>666</v>
      </c>
      <c r="C406" s="36">
        <v>4301012332</v>
      </c>
      <c r="D406" s="619">
        <v>4680115888401</v>
      </c>
      <c r="E406" s="619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134</v>
      </c>
      <c r="L406" s="37" t="s">
        <v>46</v>
      </c>
      <c r="M406" s="38" t="s">
        <v>97</v>
      </c>
      <c r="N406" s="38"/>
      <c r="O406" s="37">
        <v>60</v>
      </c>
      <c r="P406" s="68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6" s="621"/>
      <c r="R406" s="621"/>
      <c r="S406" s="621"/>
      <c r="T406" s="622"/>
      <c r="U406" s="39" t="s">
        <v>46</v>
      </c>
      <c r="V406" s="39" t="s">
        <v>46</v>
      </c>
      <c r="W406" s="40" t="s">
        <v>0</v>
      </c>
      <c r="X406" s="58">
        <v>0</v>
      </c>
      <c r="Y406" s="55">
        <f t="shared" ref="Y406:Y413" si="52">IFERROR(IF(X406="",0,CEILING((X406/$H406),1)*$H406),"")</f>
        <v>0</v>
      </c>
      <c r="Z406" s="41" t="str">
        <f>IFERROR(IF(Y406=0,"",ROUNDUP(Y406/H406,0)*0.02175),"")</f>
        <v/>
      </c>
      <c r="AA406" s="68" t="s">
        <v>46</v>
      </c>
      <c r="AB406" s="69" t="s">
        <v>46</v>
      </c>
      <c r="AC406" s="496" t="s">
        <v>667</v>
      </c>
      <c r="AG406" s="78"/>
      <c r="AJ406" s="84" t="s">
        <v>46</v>
      </c>
      <c r="AK406" s="84">
        <v>0</v>
      </c>
      <c r="BB406" s="497" t="s">
        <v>67</v>
      </c>
      <c r="BM406" s="78">
        <f t="shared" ref="BM406:BM413" si="53">IFERROR(X406*I406/H406,"0")</f>
        <v>0</v>
      </c>
      <c r="BN406" s="78">
        <f t="shared" ref="BN406:BN413" si="54">IFERROR(Y406*I406/H406,"0")</f>
        <v>0</v>
      </c>
      <c r="BO406" s="78">
        <f t="shared" ref="BO406:BO413" si="55">IFERROR(1/J406*(X406/H406),"0")</f>
        <v>0</v>
      </c>
      <c r="BP406" s="78">
        <f t="shared" ref="BP406:BP413" si="56">IFERROR(1/J406*(Y406/H406),"0")</f>
        <v>0</v>
      </c>
    </row>
    <row r="407" spans="1:68" ht="37.5" customHeight="1" x14ac:dyDescent="0.25">
      <c r="A407" s="63" t="s">
        <v>668</v>
      </c>
      <c r="B407" s="63" t="s">
        <v>669</v>
      </c>
      <c r="C407" s="36">
        <v>4301011869</v>
      </c>
      <c r="D407" s="619">
        <v>4680115884847</v>
      </c>
      <c r="E407" s="619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81</v>
      </c>
      <c r="N407" s="38"/>
      <c r="O407" s="37">
        <v>60</v>
      </c>
      <c r="P407" s="6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7" s="621"/>
      <c r="R407" s="621"/>
      <c r="S407" s="621"/>
      <c r="T407" s="622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customHeight="1" x14ac:dyDescent="0.25">
      <c r="A408" s="63" t="s">
        <v>671</v>
      </c>
      <c r="B408" s="63" t="s">
        <v>672</v>
      </c>
      <c r="C408" s="36">
        <v>4301012083</v>
      </c>
      <c r="D408" s="619">
        <v>4680115884854</v>
      </c>
      <c r="E408" s="619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133</v>
      </c>
      <c r="N408" s="38"/>
      <c r="O408" s="37">
        <v>60</v>
      </c>
      <c r="P408" s="6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8" s="621"/>
      <c r="R408" s="621"/>
      <c r="S408" s="621"/>
      <c r="T408" s="622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2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0</v>
      </c>
      <c r="BN408" s="78">
        <f t="shared" si="54"/>
        <v>0</v>
      </c>
      <c r="BO408" s="78">
        <f t="shared" si="55"/>
        <v>0</v>
      </c>
      <c r="BP408" s="78">
        <f t="shared" si="56"/>
        <v>0</v>
      </c>
    </row>
    <row r="409" spans="1:68" ht="27" customHeight="1" x14ac:dyDescent="0.25">
      <c r="A409" s="63" t="s">
        <v>674</v>
      </c>
      <c r="B409" s="63" t="s">
        <v>675</v>
      </c>
      <c r="C409" s="36">
        <v>4301011867</v>
      </c>
      <c r="D409" s="619">
        <v>4680115884830</v>
      </c>
      <c r="E409" s="619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81</v>
      </c>
      <c r="N409" s="38"/>
      <c r="O409" s="37">
        <v>60</v>
      </c>
      <c r="P409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9" s="621"/>
      <c r="R409" s="621"/>
      <c r="S409" s="621"/>
      <c r="T409" s="622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ht="27" customHeight="1" x14ac:dyDescent="0.25">
      <c r="A410" s="63" t="s">
        <v>677</v>
      </c>
      <c r="B410" s="63" t="s">
        <v>678</v>
      </c>
      <c r="C410" s="36">
        <v>4301012356</v>
      </c>
      <c r="D410" s="619">
        <v>4680115889231</v>
      </c>
      <c r="E410" s="619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97</v>
      </c>
      <c r="N410" s="38"/>
      <c r="O410" s="37">
        <v>60</v>
      </c>
      <c r="P410" s="68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0" s="621"/>
      <c r="R410" s="621"/>
      <c r="S410" s="621"/>
      <c r="T410" s="622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2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3"/>
        <v>0</v>
      </c>
      <c r="BN410" s="78">
        <f t="shared" si="54"/>
        <v>0</v>
      </c>
      <c r="BO410" s="78">
        <f t="shared" si="55"/>
        <v>0</v>
      </c>
      <c r="BP410" s="78">
        <f t="shared" si="56"/>
        <v>0</v>
      </c>
    </row>
    <row r="411" spans="1:68" ht="27" customHeight="1" x14ac:dyDescent="0.25">
      <c r="A411" s="63" t="s">
        <v>680</v>
      </c>
      <c r="B411" s="63" t="s">
        <v>681</v>
      </c>
      <c r="C411" s="36">
        <v>4301011433</v>
      </c>
      <c r="D411" s="619">
        <v>4680115882638</v>
      </c>
      <c r="E411" s="619"/>
      <c r="F411" s="62">
        <v>0.4</v>
      </c>
      <c r="G411" s="37">
        <v>10</v>
      </c>
      <c r="H411" s="62">
        <v>4</v>
      </c>
      <c r="I411" s="62">
        <v>4.1900000000000004</v>
      </c>
      <c r="J411" s="37">
        <v>132</v>
      </c>
      <c r="K411" s="37" t="s">
        <v>141</v>
      </c>
      <c r="L411" s="37" t="s">
        <v>46</v>
      </c>
      <c r="M411" s="38" t="s">
        <v>133</v>
      </c>
      <c r="N411" s="38"/>
      <c r="O411" s="37">
        <v>90</v>
      </c>
      <c r="P411" s="68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1" s="621"/>
      <c r="R411" s="621"/>
      <c r="S411" s="621"/>
      <c r="T411" s="622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2"/>
        <v>0</v>
      </c>
      <c r="Z411" s="41" t="str">
        <f>IFERROR(IF(Y411=0,"",ROUNDUP(Y411/H411,0)*0.00902),"")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3"/>
        <v>0</v>
      </c>
      <c r="BN411" s="78">
        <f t="shared" si="54"/>
        <v>0</v>
      </c>
      <c r="BO411" s="78">
        <f t="shared" si="55"/>
        <v>0</v>
      </c>
      <c r="BP411" s="78">
        <f t="shared" si="56"/>
        <v>0</v>
      </c>
    </row>
    <row r="412" spans="1:68" ht="27" customHeight="1" x14ac:dyDescent="0.25">
      <c r="A412" s="63" t="s">
        <v>683</v>
      </c>
      <c r="B412" s="63" t="s">
        <v>684</v>
      </c>
      <c r="C412" s="36">
        <v>4301011952</v>
      </c>
      <c r="D412" s="619">
        <v>4680115884922</v>
      </c>
      <c r="E412" s="619"/>
      <c r="F412" s="62">
        <v>0.5</v>
      </c>
      <c r="G412" s="37">
        <v>10</v>
      </c>
      <c r="H412" s="62">
        <v>5</v>
      </c>
      <c r="I412" s="62">
        <v>5.19</v>
      </c>
      <c r="J412" s="37">
        <v>132</v>
      </c>
      <c r="K412" s="37" t="s">
        <v>141</v>
      </c>
      <c r="L412" s="37" t="s">
        <v>46</v>
      </c>
      <c r="M412" s="38" t="s">
        <v>81</v>
      </c>
      <c r="N412" s="38"/>
      <c r="O412" s="37">
        <v>60</v>
      </c>
      <c r="P412" s="68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2" s="621"/>
      <c r="R412" s="621"/>
      <c r="S412" s="621"/>
      <c r="T412" s="622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2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3"/>
        <v>0</v>
      </c>
      <c r="BN412" s="78">
        <f t="shared" si="54"/>
        <v>0</v>
      </c>
      <c r="BO412" s="78">
        <f t="shared" si="55"/>
        <v>0</v>
      </c>
      <c r="BP412" s="78">
        <f t="shared" si="56"/>
        <v>0</v>
      </c>
    </row>
    <row r="413" spans="1:68" ht="37.5" customHeight="1" x14ac:dyDescent="0.25">
      <c r="A413" s="63" t="s">
        <v>686</v>
      </c>
      <c r="B413" s="63" t="s">
        <v>687</v>
      </c>
      <c r="C413" s="36">
        <v>4301011868</v>
      </c>
      <c r="D413" s="619">
        <v>4680115884861</v>
      </c>
      <c r="E413" s="619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68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3" s="621"/>
      <c r="R413" s="621"/>
      <c r="S413" s="621"/>
      <c r="T413" s="622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2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3"/>
        <v>0</v>
      </c>
      <c r="BN413" s="78">
        <f t="shared" si="54"/>
        <v>0</v>
      </c>
      <c r="BO413" s="78">
        <f t="shared" si="55"/>
        <v>0</v>
      </c>
      <c r="BP413" s="78">
        <f t="shared" si="56"/>
        <v>0</v>
      </c>
    </row>
    <row r="414" spans="1:68" x14ac:dyDescent="0.2">
      <c r="A414" s="626"/>
      <c r="B414" s="626"/>
      <c r="C414" s="626"/>
      <c r="D414" s="626"/>
      <c r="E414" s="626"/>
      <c r="F414" s="626"/>
      <c r="G414" s="626"/>
      <c r="H414" s="626"/>
      <c r="I414" s="626"/>
      <c r="J414" s="626"/>
      <c r="K414" s="626"/>
      <c r="L414" s="626"/>
      <c r="M414" s="626"/>
      <c r="N414" s="626"/>
      <c r="O414" s="627"/>
      <c r="P414" s="623" t="s">
        <v>40</v>
      </c>
      <c r="Q414" s="624"/>
      <c r="R414" s="624"/>
      <c r="S414" s="624"/>
      <c r="T414" s="624"/>
      <c r="U414" s="624"/>
      <c r="V414" s="625"/>
      <c r="W414" s="42" t="s">
        <v>39</v>
      </c>
      <c r="X414" s="43">
        <f>IFERROR(X406/H406,"0")+IFERROR(X407/H407,"0")+IFERROR(X408/H408,"0")+IFERROR(X409/H409,"0")+IFERROR(X410/H410,"0")+IFERROR(X411/H411,"0")+IFERROR(X412/H412,"0")+IFERROR(X413/H413,"0")</f>
        <v>0</v>
      </c>
      <c r="Y414" s="43">
        <f>IFERROR(Y406/H406,"0")+IFERROR(Y407/H407,"0")+IFERROR(Y408/H408,"0")+IFERROR(Y409/H409,"0")+IFERROR(Y410/H410,"0")+IFERROR(Y411/H411,"0")+IFERROR(Y412/H412,"0")+IFERROR(Y413/H413,"0")</f>
        <v>0</v>
      </c>
      <c r="Z414" s="43">
        <f>IFERROR(IF(Z406="",0,Z406),"0")+IFERROR(IF(Z407="",0,Z407),"0")+IFERROR(IF(Z408="",0,Z408),"0")+IFERROR(IF(Z409="",0,Z409),"0")+IFERROR(IF(Z410="",0,Z410),"0")+IFERROR(IF(Z411="",0,Z411),"0")+IFERROR(IF(Z412="",0,Z412),"0")+IFERROR(IF(Z413="",0,Z413),"0")</f>
        <v>0</v>
      </c>
      <c r="AA414" s="67"/>
      <c r="AB414" s="67"/>
      <c r="AC414" s="67"/>
    </row>
    <row r="415" spans="1:68" x14ac:dyDescent="0.2">
      <c r="A415" s="626"/>
      <c r="B415" s="626"/>
      <c r="C415" s="626"/>
      <c r="D415" s="626"/>
      <c r="E415" s="626"/>
      <c r="F415" s="626"/>
      <c r="G415" s="626"/>
      <c r="H415" s="626"/>
      <c r="I415" s="626"/>
      <c r="J415" s="626"/>
      <c r="K415" s="626"/>
      <c r="L415" s="626"/>
      <c r="M415" s="626"/>
      <c r="N415" s="626"/>
      <c r="O415" s="627"/>
      <c r="P415" s="623" t="s">
        <v>40</v>
      </c>
      <c r="Q415" s="624"/>
      <c r="R415" s="624"/>
      <c r="S415" s="624"/>
      <c r="T415" s="624"/>
      <c r="U415" s="624"/>
      <c r="V415" s="625"/>
      <c r="W415" s="42" t="s">
        <v>0</v>
      </c>
      <c r="X415" s="43">
        <f>IFERROR(SUM(X406:X413),"0")</f>
        <v>0</v>
      </c>
      <c r="Y415" s="43">
        <f>IFERROR(SUM(Y406:Y413),"0")</f>
        <v>0</v>
      </c>
      <c r="Z415" s="42"/>
      <c r="AA415" s="67"/>
      <c r="AB415" s="67"/>
      <c r="AC415" s="67"/>
    </row>
    <row r="416" spans="1:68" ht="14.25" customHeight="1" x14ac:dyDescent="0.25">
      <c r="A416" s="618" t="s">
        <v>166</v>
      </c>
      <c r="B416" s="618"/>
      <c r="C416" s="618"/>
      <c r="D416" s="618"/>
      <c r="E416" s="618"/>
      <c r="F416" s="618"/>
      <c r="G416" s="618"/>
      <c r="H416" s="618"/>
      <c r="I416" s="618"/>
      <c r="J416" s="618"/>
      <c r="K416" s="618"/>
      <c r="L416" s="618"/>
      <c r="M416" s="618"/>
      <c r="N416" s="618"/>
      <c r="O416" s="618"/>
      <c r="P416" s="618"/>
      <c r="Q416" s="618"/>
      <c r="R416" s="618"/>
      <c r="S416" s="618"/>
      <c r="T416" s="618"/>
      <c r="U416" s="618"/>
      <c r="V416" s="618"/>
      <c r="W416" s="618"/>
      <c r="X416" s="618"/>
      <c r="Y416" s="618"/>
      <c r="Z416" s="618"/>
      <c r="AA416" s="66"/>
      <c r="AB416" s="66"/>
      <c r="AC416" s="80"/>
    </row>
    <row r="417" spans="1:68" ht="27" customHeight="1" x14ac:dyDescent="0.25">
      <c r="A417" s="63" t="s">
        <v>689</v>
      </c>
      <c r="B417" s="63" t="s">
        <v>690</v>
      </c>
      <c r="C417" s="36">
        <v>4301020178</v>
      </c>
      <c r="D417" s="619">
        <v>4607091383980</v>
      </c>
      <c r="E417" s="619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134</v>
      </c>
      <c r="L417" s="37" t="s">
        <v>46</v>
      </c>
      <c r="M417" s="38" t="s">
        <v>133</v>
      </c>
      <c r="N417" s="38"/>
      <c r="O417" s="37">
        <v>50</v>
      </c>
      <c r="P417" s="6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7" s="621"/>
      <c r="R417" s="621"/>
      <c r="S417" s="621"/>
      <c r="T417" s="62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691</v>
      </c>
      <c r="AG417" s="78"/>
      <c r="AJ417" s="84" t="s">
        <v>46</v>
      </c>
      <c r="AK417" s="84">
        <v>0</v>
      </c>
      <c r="BB417" s="51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692</v>
      </c>
      <c r="B418" s="63" t="s">
        <v>693</v>
      </c>
      <c r="C418" s="36">
        <v>4301020355</v>
      </c>
      <c r="D418" s="619">
        <v>4680115888425</v>
      </c>
      <c r="E418" s="619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68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8" s="621"/>
      <c r="R418" s="621"/>
      <c r="S418" s="621"/>
      <c r="T418" s="6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customHeight="1" x14ac:dyDescent="0.25">
      <c r="A419" s="63" t="s">
        <v>695</v>
      </c>
      <c r="B419" s="63" t="s">
        <v>696</v>
      </c>
      <c r="C419" s="36">
        <v>4301020179</v>
      </c>
      <c r="D419" s="619">
        <v>4607091384178</v>
      </c>
      <c r="E419" s="619"/>
      <c r="F419" s="62">
        <v>0.4</v>
      </c>
      <c r="G419" s="37">
        <v>10</v>
      </c>
      <c r="H419" s="62">
        <v>4</v>
      </c>
      <c r="I419" s="62">
        <v>4.1900000000000004</v>
      </c>
      <c r="J419" s="37">
        <v>132</v>
      </c>
      <c r="K419" s="37" t="s">
        <v>141</v>
      </c>
      <c r="L419" s="37" t="s">
        <v>46</v>
      </c>
      <c r="M419" s="38" t="s">
        <v>133</v>
      </c>
      <c r="N419" s="38"/>
      <c r="O419" s="37">
        <v>50</v>
      </c>
      <c r="P419" s="6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9" s="621"/>
      <c r="R419" s="621"/>
      <c r="S419" s="621"/>
      <c r="T419" s="6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x14ac:dyDescent="0.2">
      <c r="A420" s="626"/>
      <c r="B420" s="626"/>
      <c r="C420" s="626"/>
      <c r="D420" s="626"/>
      <c r="E420" s="626"/>
      <c r="F420" s="626"/>
      <c r="G420" s="626"/>
      <c r="H420" s="626"/>
      <c r="I420" s="626"/>
      <c r="J420" s="626"/>
      <c r="K420" s="626"/>
      <c r="L420" s="626"/>
      <c r="M420" s="626"/>
      <c r="N420" s="626"/>
      <c r="O420" s="627"/>
      <c r="P420" s="623" t="s">
        <v>40</v>
      </c>
      <c r="Q420" s="624"/>
      <c r="R420" s="624"/>
      <c r="S420" s="624"/>
      <c r="T420" s="624"/>
      <c r="U420" s="624"/>
      <c r="V420" s="625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x14ac:dyDescent="0.2">
      <c r="A421" s="626"/>
      <c r="B421" s="626"/>
      <c r="C421" s="626"/>
      <c r="D421" s="626"/>
      <c r="E421" s="626"/>
      <c r="F421" s="626"/>
      <c r="G421" s="626"/>
      <c r="H421" s="626"/>
      <c r="I421" s="626"/>
      <c r="J421" s="626"/>
      <c r="K421" s="626"/>
      <c r="L421" s="626"/>
      <c r="M421" s="626"/>
      <c r="N421" s="626"/>
      <c r="O421" s="627"/>
      <c r="P421" s="623" t="s">
        <v>40</v>
      </c>
      <c r="Q421" s="624"/>
      <c r="R421" s="624"/>
      <c r="S421" s="624"/>
      <c r="T421" s="624"/>
      <c r="U421" s="624"/>
      <c r="V421" s="625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4.25" customHeight="1" x14ac:dyDescent="0.25">
      <c r="A422" s="618" t="s">
        <v>86</v>
      </c>
      <c r="B422" s="618"/>
      <c r="C422" s="618"/>
      <c r="D422" s="618"/>
      <c r="E422" s="618"/>
      <c r="F422" s="618"/>
      <c r="G422" s="618"/>
      <c r="H422" s="618"/>
      <c r="I422" s="618"/>
      <c r="J422" s="618"/>
      <c r="K422" s="618"/>
      <c r="L422" s="618"/>
      <c r="M422" s="618"/>
      <c r="N422" s="618"/>
      <c r="O422" s="618"/>
      <c r="P422" s="618"/>
      <c r="Q422" s="618"/>
      <c r="R422" s="618"/>
      <c r="S422" s="618"/>
      <c r="T422" s="618"/>
      <c r="U422" s="618"/>
      <c r="V422" s="618"/>
      <c r="W422" s="618"/>
      <c r="X422" s="618"/>
      <c r="Y422" s="618"/>
      <c r="Z422" s="618"/>
      <c r="AA422" s="66"/>
      <c r="AB422" s="66"/>
      <c r="AC422" s="80"/>
    </row>
    <row r="423" spans="1:68" ht="27" customHeight="1" x14ac:dyDescent="0.25">
      <c r="A423" s="63" t="s">
        <v>698</v>
      </c>
      <c r="B423" s="63" t="s">
        <v>699</v>
      </c>
      <c r="C423" s="36">
        <v>4301051903</v>
      </c>
      <c r="D423" s="619">
        <v>4607091383928</v>
      </c>
      <c r="E423" s="619"/>
      <c r="F423" s="62">
        <v>1.5</v>
      </c>
      <c r="G423" s="37">
        <v>6</v>
      </c>
      <c r="H423" s="62">
        <v>9</v>
      </c>
      <c r="I423" s="62">
        <v>9.5</v>
      </c>
      <c r="J423" s="37">
        <v>64</v>
      </c>
      <c r="K423" s="37" t="s">
        <v>134</v>
      </c>
      <c r="L423" s="37" t="s">
        <v>46</v>
      </c>
      <c r="M423" s="38" t="s">
        <v>90</v>
      </c>
      <c r="N423" s="38"/>
      <c r="O423" s="37">
        <v>40</v>
      </c>
      <c r="P423" s="67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3" s="621"/>
      <c r="R423" s="621"/>
      <c r="S423" s="621"/>
      <c r="T423" s="62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customHeight="1" x14ac:dyDescent="0.25">
      <c r="A424" s="63" t="s">
        <v>701</v>
      </c>
      <c r="B424" s="63" t="s">
        <v>702</v>
      </c>
      <c r="C424" s="36">
        <v>4301051897</v>
      </c>
      <c r="D424" s="619">
        <v>4607091384260</v>
      </c>
      <c r="E424" s="619"/>
      <c r="F424" s="62">
        <v>1.5</v>
      </c>
      <c r="G424" s="37">
        <v>6</v>
      </c>
      <c r="H424" s="62">
        <v>9</v>
      </c>
      <c r="I424" s="62">
        <v>9.4939999999999998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68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4" s="621"/>
      <c r="R424" s="621"/>
      <c r="S424" s="621"/>
      <c r="T424" s="622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x14ac:dyDescent="0.2">
      <c r="A425" s="626"/>
      <c r="B425" s="626"/>
      <c r="C425" s="626"/>
      <c r="D425" s="626"/>
      <c r="E425" s="626"/>
      <c r="F425" s="626"/>
      <c r="G425" s="626"/>
      <c r="H425" s="626"/>
      <c r="I425" s="626"/>
      <c r="J425" s="626"/>
      <c r="K425" s="626"/>
      <c r="L425" s="626"/>
      <c r="M425" s="626"/>
      <c r="N425" s="626"/>
      <c r="O425" s="627"/>
      <c r="P425" s="623" t="s">
        <v>40</v>
      </c>
      <c r="Q425" s="624"/>
      <c r="R425" s="624"/>
      <c r="S425" s="624"/>
      <c r="T425" s="624"/>
      <c r="U425" s="624"/>
      <c r="V425" s="625"/>
      <c r="W425" s="42" t="s">
        <v>39</v>
      </c>
      <c r="X425" s="43">
        <f>IFERROR(X423/H423,"0")+IFERROR(X424/H424,"0")</f>
        <v>0</v>
      </c>
      <c r="Y425" s="43">
        <f>IFERROR(Y423/H423,"0")+IFERROR(Y424/H424,"0")</f>
        <v>0</v>
      </c>
      <c r="Z425" s="43">
        <f>IFERROR(IF(Z423="",0,Z423),"0")+IFERROR(IF(Z424="",0,Z424),"0")</f>
        <v>0</v>
      </c>
      <c r="AA425" s="67"/>
      <c r="AB425" s="67"/>
      <c r="AC425" s="67"/>
    </row>
    <row r="426" spans="1:68" x14ac:dyDescent="0.2">
      <c r="A426" s="626"/>
      <c r="B426" s="626"/>
      <c r="C426" s="626"/>
      <c r="D426" s="626"/>
      <c r="E426" s="626"/>
      <c r="F426" s="626"/>
      <c r="G426" s="626"/>
      <c r="H426" s="626"/>
      <c r="I426" s="626"/>
      <c r="J426" s="626"/>
      <c r="K426" s="626"/>
      <c r="L426" s="626"/>
      <c r="M426" s="626"/>
      <c r="N426" s="626"/>
      <c r="O426" s="627"/>
      <c r="P426" s="623" t="s">
        <v>40</v>
      </c>
      <c r="Q426" s="624"/>
      <c r="R426" s="624"/>
      <c r="S426" s="624"/>
      <c r="T426" s="624"/>
      <c r="U426" s="624"/>
      <c r="V426" s="625"/>
      <c r="W426" s="42" t="s">
        <v>0</v>
      </c>
      <c r="X426" s="43">
        <f>IFERROR(SUM(X423:X424),"0")</f>
        <v>0</v>
      </c>
      <c r="Y426" s="43">
        <f>IFERROR(SUM(Y423:Y424),"0")</f>
        <v>0</v>
      </c>
      <c r="Z426" s="42"/>
      <c r="AA426" s="67"/>
      <c r="AB426" s="67"/>
      <c r="AC426" s="67"/>
    </row>
    <row r="427" spans="1:68" ht="14.25" customHeight="1" x14ac:dyDescent="0.25">
      <c r="A427" s="618" t="s">
        <v>183</v>
      </c>
      <c r="B427" s="618"/>
      <c r="C427" s="618"/>
      <c r="D427" s="618"/>
      <c r="E427" s="618"/>
      <c r="F427" s="618"/>
      <c r="G427" s="618"/>
      <c r="H427" s="618"/>
      <c r="I427" s="618"/>
      <c r="J427" s="618"/>
      <c r="K427" s="618"/>
      <c r="L427" s="618"/>
      <c r="M427" s="618"/>
      <c r="N427" s="618"/>
      <c r="O427" s="618"/>
      <c r="P427" s="618"/>
      <c r="Q427" s="618"/>
      <c r="R427" s="618"/>
      <c r="S427" s="618"/>
      <c r="T427" s="618"/>
      <c r="U427" s="618"/>
      <c r="V427" s="618"/>
      <c r="W427" s="618"/>
      <c r="X427" s="618"/>
      <c r="Y427" s="618"/>
      <c r="Z427" s="618"/>
      <c r="AA427" s="66"/>
      <c r="AB427" s="66"/>
      <c r="AC427" s="80"/>
    </row>
    <row r="428" spans="1:68" ht="16.5" customHeight="1" x14ac:dyDescent="0.25">
      <c r="A428" s="63" t="s">
        <v>704</v>
      </c>
      <c r="B428" s="63" t="s">
        <v>705</v>
      </c>
      <c r="C428" s="36">
        <v>4301060524</v>
      </c>
      <c r="D428" s="619">
        <v>4607091384673</v>
      </c>
      <c r="E428" s="619"/>
      <c r="F428" s="62">
        <v>1.5</v>
      </c>
      <c r="G428" s="37">
        <v>6</v>
      </c>
      <c r="H428" s="62">
        <v>9</v>
      </c>
      <c r="I428" s="62">
        <v>9.4939999999999998</v>
      </c>
      <c r="J428" s="37">
        <v>64</v>
      </c>
      <c r="K428" s="37" t="s">
        <v>134</v>
      </c>
      <c r="L428" s="37" t="s">
        <v>46</v>
      </c>
      <c r="M428" s="38" t="s">
        <v>90</v>
      </c>
      <c r="N428" s="38"/>
      <c r="O428" s="37">
        <v>40</v>
      </c>
      <c r="P428" s="6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8" s="621"/>
      <c r="R428" s="621"/>
      <c r="S428" s="621"/>
      <c r="T428" s="62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706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x14ac:dyDescent="0.2">
      <c r="A429" s="626"/>
      <c r="B429" s="626"/>
      <c r="C429" s="626"/>
      <c r="D429" s="626"/>
      <c r="E429" s="626"/>
      <c r="F429" s="626"/>
      <c r="G429" s="626"/>
      <c r="H429" s="626"/>
      <c r="I429" s="626"/>
      <c r="J429" s="626"/>
      <c r="K429" s="626"/>
      <c r="L429" s="626"/>
      <c r="M429" s="626"/>
      <c r="N429" s="626"/>
      <c r="O429" s="627"/>
      <c r="P429" s="623" t="s">
        <v>40</v>
      </c>
      <c r="Q429" s="624"/>
      <c r="R429" s="624"/>
      <c r="S429" s="624"/>
      <c r="T429" s="624"/>
      <c r="U429" s="624"/>
      <c r="V429" s="625"/>
      <c r="W429" s="42" t="s">
        <v>39</v>
      </c>
      <c r="X429" s="43">
        <f>IFERROR(X428/H428,"0")</f>
        <v>0</v>
      </c>
      <c r="Y429" s="43">
        <f>IFERROR(Y428/H428,"0")</f>
        <v>0</v>
      </c>
      <c r="Z429" s="43">
        <f>IFERROR(IF(Z428="",0,Z428),"0")</f>
        <v>0</v>
      </c>
      <c r="AA429" s="67"/>
      <c r="AB429" s="67"/>
      <c r="AC429" s="67"/>
    </row>
    <row r="430" spans="1:68" x14ac:dyDescent="0.2">
      <c r="A430" s="626"/>
      <c r="B430" s="626"/>
      <c r="C430" s="626"/>
      <c r="D430" s="626"/>
      <c r="E430" s="626"/>
      <c r="F430" s="626"/>
      <c r="G430" s="626"/>
      <c r="H430" s="626"/>
      <c r="I430" s="626"/>
      <c r="J430" s="626"/>
      <c r="K430" s="626"/>
      <c r="L430" s="626"/>
      <c r="M430" s="626"/>
      <c r="N430" s="626"/>
      <c r="O430" s="627"/>
      <c r="P430" s="623" t="s">
        <v>40</v>
      </c>
      <c r="Q430" s="624"/>
      <c r="R430" s="624"/>
      <c r="S430" s="624"/>
      <c r="T430" s="624"/>
      <c r="U430" s="624"/>
      <c r="V430" s="625"/>
      <c r="W430" s="42" t="s">
        <v>0</v>
      </c>
      <c r="X430" s="43">
        <f>IFERROR(SUM(X428:X428),"0")</f>
        <v>0</v>
      </c>
      <c r="Y430" s="43">
        <f>IFERROR(SUM(Y428:Y428),"0")</f>
        <v>0</v>
      </c>
      <c r="Z430" s="42"/>
      <c r="AA430" s="67"/>
      <c r="AB430" s="67"/>
      <c r="AC430" s="67"/>
    </row>
    <row r="431" spans="1:68" ht="16.5" customHeight="1" x14ac:dyDescent="0.25">
      <c r="A431" s="634" t="s">
        <v>707</v>
      </c>
      <c r="B431" s="634"/>
      <c r="C431" s="634"/>
      <c r="D431" s="634"/>
      <c r="E431" s="634"/>
      <c r="F431" s="634"/>
      <c r="G431" s="634"/>
      <c r="H431" s="634"/>
      <c r="I431" s="634"/>
      <c r="J431" s="634"/>
      <c r="K431" s="634"/>
      <c r="L431" s="634"/>
      <c r="M431" s="634"/>
      <c r="N431" s="634"/>
      <c r="O431" s="634"/>
      <c r="P431" s="634"/>
      <c r="Q431" s="634"/>
      <c r="R431" s="634"/>
      <c r="S431" s="634"/>
      <c r="T431" s="634"/>
      <c r="U431" s="634"/>
      <c r="V431" s="634"/>
      <c r="W431" s="634"/>
      <c r="X431" s="634"/>
      <c r="Y431" s="634"/>
      <c r="Z431" s="634"/>
      <c r="AA431" s="65"/>
      <c r="AB431" s="65"/>
      <c r="AC431" s="79"/>
    </row>
    <row r="432" spans="1:68" ht="14.25" customHeight="1" x14ac:dyDescent="0.25">
      <c r="A432" s="618" t="s">
        <v>129</v>
      </c>
      <c r="B432" s="618"/>
      <c r="C432" s="618"/>
      <c r="D432" s="618"/>
      <c r="E432" s="618"/>
      <c r="F432" s="618"/>
      <c r="G432" s="618"/>
      <c r="H432" s="618"/>
      <c r="I432" s="618"/>
      <c r="J432" s="618"/>
      <c r="K432" s="618"/>
      <c r="L432" s="618"/>
      <c r="M432" s="618"/>
      <c r="N432" s="618"/>
      <c r="O432" s="618"/>
      <c r="P432" s="618"/>
      <c r="Q432" s="618"/>
      <c r="R432" s="618"/>
      <c r="S432" s="618"/>
      <c r="T432" s="618"/>
      <c r="U432" s="618"/>
      <c r="V432" s="618"/>
      <c r="W432" s="618"/>
      <c r="X432" s="618"/>
      <c r="Y432" s="618"/>
      <c r="Z432" s="618"/>
      <c r="AA432" s="66"/>
      <c r="AB432" s="66"/>
      <c r="AC432" s="80"/>
    </row>
    <row r="433" spans="1:68" ht="27" customHeight="1" x14ac:dyDescent="0.25">
      <c r="A433" s="63" t="s">
        <v>708</v>
      </c>
      <c r="B433" s="63" t="s">
        <v>709</v>
      </c>
      <c r="C433" s="36">
        <v>4301011875</v>
      </c>
      <c r="D433" s="619">
        <v>4680115884885</v>
      </c>
      <c r="E433" s="619"/>
      <c r="F433" s="62">
        <v>0.8</v>
      </c>
      <c r="G433" s="37">
        <v>15</v>
      </c>
      <c r="H433" s="62">
        <v>12</v>
      </c>
      <c r="I433" s="62">
        <v>12.41</v>
      </c>
      <c r="J433" s="37">
        <v>64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67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3" s="621"/>
      <c r="R433" s="621"/>
      <c r="S433" s="621"/>
      <c r="T433" s="62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IFERROR(IF(Y433=0,"",ROUNDUP(Y433/H433,0)*0.01898),"")</f>
        <v/>
      </c>
      <c r="AA433" s="68" t="s">
        <v>46</v>
      </c>
      <c r="AB433" s="69" t="s">
        <v>46</v>
      </c>
      <c r="AC433" s="524" t="s">
        <v>710</v>
      </c>
      <c r="AG433" s="78"/>
      <c r="AJ433" s="84" t="s">
        <v>46</v>
      </c>
      <c r="AK433" s="84">
        <v>0</v>
      </c>
      <c r="BB433" s="525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37.5" customHeight="1" x14ac:dyDescent="0.25">
      <c r="A434" s="63" t="s">
        <v>711</v>
      </c>
      <c r="B434" s="63" t="s">
        <v>712</v>
      </c>
      <c r="C434" s="36">
        <v>4301011871</v>
      </c>
      <c r="D434" s="619">
        <v>4680115884908</v>
      </c>
      <c r="E434" s="619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141</v>
      </c>
      <c r="L434" s="37" t="s">
        <v>46</v>
      </c>
      <c r="M434" s="38" t="s">
        <v>81</v>
      </c>
      <c r="N434" s="38"/>
      <c r="O434" s="37">
        <v>60</v>
      </c>
      <c r="P434" s="6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4" s="621"/>
      <c r="R434" s="621"/>
      <c r="S434" s="621"/>
      <c r="T434" s="62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26" t="s">
        <v>710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x14ac:dyDescent="0.2">
      <c r="A435" s="626"/>
      <c r="B435" s="626"/>
      <c r="C435" s="626"/>
      <c r="D435" s="626"/>
      <c r="E435" s="626"/>
      <c r="F435" s="626"/>
      <c r="G435" s="626"/>
      <c r="H435" s="626"/>
      <c r="I435" s="626"/>
      <c r="J435" s="626"/>
      <c r="K435" s="626"/>
      <c r="L435" s="626"/>
      <c r="M435" s="626"/>
      <c r="N435" s="626"/>
      <c r="O435" s="627"/>
      <c r="P435" s="623" t="s">
        <v>40</v>
      </c>
      <c r="Q435" s="624"/>
      <c r="R435" s="624"/>
      <c r="S435" s="624"/>
      <c r="T435" s="624"/>
      <c r="U435" s="624"/>
      <c r="V435" s="625"/>
      <c r="W435" s="42" t="s">
        <v>39</v>
      </c>
      <c r="X435" s="43">
        <f>IFERROR(X433/H433,"0")+IFERROR(X434/H434,"0")</f>
        <v>0</v>
      </c>
      <c r="Y435" s="43">
        <f>IFERROR(Y433/H433,"0")+IFERROR(Y434/H434,"0")</f>
        <v>0</v>
      </c>
      <c r="Z435" s="43">
        <f>IFERROR(IF(Z433="",0,Z433),"0")+IFERROR(IF(Z434="",0,Z434),"0")</f>
        <v>0</v>
      </c>
      <c r="AA435" s="67"/>
      <c r="AB435" s="67"/>
      <c r="AC435" s="67"/>
    </row>
    <row r="436" spans="1:68" x14ac:dyDescent="0.2">
      <c r="A436" s="626"/>
      <c r="B436" s="626"/>
      <c r="C436" s="626"/>
      <c r="D436" s="626"/>
      <c r="E436" s="626"/>
      <c r="F436" s="626"/>
      <c r="G436" s="626"/>
      <c r="H436" s="626"/>
      <c r="I436" s="626"/>
      <c r="J436" s="626"/>
      <c r="K436" s="626"/>
      <c r="L436" s="626"/>
      <c r="M436" s="626"/>
      <c r="N436" s="626"/>
      <c r="O436" s="627"/>
      <c r="P436" s="623" t="s">
        <v>40</v>
      </c>
      <c r="Q436" s="624"/>
      <c r="R436" s="624"/>
      <c r="S436" s="624"/>
      <c r="T436" s="624"/>
      <c r="U436" s="624"/>
      <c r="V436" s="625"/>
      <c r="W436" s="42" t="s">
        <v>0</v>
      </c>
      <c r="X436" s="43">
        <f>IFERROR(SUM(X433:X434),"0")</f>
        <v>0</v>
      </c>
      <c r="Y436" s="43">
        <f>IFERROR(SUM(Y433:Y434),"0")</f>
        <v>0</v>
      </c>
      <c r="Z436" s="42"/>
      <c r="AA436" s="67"/>
      <c r="AB436" s="67"/>
      <c r="AC436" s="67"/>
    </row>
    <row r="437" spans="1:68" ht="14.25" customHeight="1" x14ac:dyDescent="0.25">
      <c r="A437" s="618" t="s">
        <v>77</v>
      </c>
      <c r="B437" s="618"/>
      <c r="C437" s="618"/>
      <c r="D437" s="618"/>
      <c r="E437" s="618"/>
      <c r="F437" s="618"/>
      <c r="G437" s="618"/>
      <c r="H437" s="618"/>
      <c r="I437" s="618"/>
      <c r="J437" s="618"/>
      <c r="K437" s="618"/>
      <c r="L437" s="618"/>
      <c r="M437" s="618"/>
      <c r="N437" s="618"/>
      <c r="O437" s="618"/>
      <c r="P437" s="618"/>
      <c r="Q437" s="618"/>
      <c r="R437" s="618"/>
      <c r="S437" s="618"/>
      <c r="T437" s="618"/>
      <c r="U437" s="618"/>
      <c r="V437" s="618"/>
      <c r="W437" s="618"/>
      <c r="X437" s="618"/>
      <c r="Y437" s="618"/>
      <c r="Z437" s="618"/>
      <c r="AA437" s="66"/>
      <c r="AB437" s="66"/>
      <c r="AC437" s="80"/>
    </row>
    <row r="438" spans="1:68" ht="27" customHeight="1" x14ac:dyDescent="0.25">
      <c r="A438" s="63" t="s">
        <v>713</v>
      </c>
      <c r="B438" s="63" t="s">
        <v>714</v>
      </c>
      <c r="C438" s="36">
        <v>4301031457</v>
      </c>
      <c r="D438" s="619">
        <v>4607091384802</v>
      </c>
      <c r="E438" s="619"/>
      <c r="F438" s="62">
        <v>0.7</v>
      </c>
      <c r="G438" s="37">
        <v>6</v>
      </c>
      <c r="H438" s="62">
        <v>4.2</v>
      </c>
      <c r="I438" s="62">
        <v>4.45</v>
      </c>
      <c r="J438" s="37">
        <v>132</v>
      </c>
      <c r="K438" s="37" t="s">
        <v>141</v>
      </c>
      <c r="L438" s="37" t="s">
        <v>46</v>
      </c>
      <c r="M438" s="38" t="s">
        <v>81</v>
      </c>
      <c r="N438" s="38"/>
      <c r="O438" s="37">
        <v>50</v>
      </c>
      <c r="P438" s="67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8" s="621"/>
      <c r="R438" s="621"/>
      <c r="S438" s="621"/>
      <c r="T438" s="6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28" t="s">
        <v>715</v>
      </c>
      <c r="AG438" s="78"/>
      <c r="AJ438" s="84" t="s">
        <v>46</v>
      </c>
      <c r="AK438" s="84">
        <v>0</v>
      </c>
      <c r="BB438" s="529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26"/>
      <c r="B439" s="626"/>
      <c r="C439" s="626"/>
      <c r="D439" s="626"/>
      <c r="E439" s="626"/>
      <c r="F439" s="626"/>
      <c r="G439" s="626"/>
      <c r="H439" s="626"/>
      <c r="I439" s="626"/>
      <c r="J439" s="626"/>
      <c r="K439" s="626"/>
      <c r="L439" s="626"/>
      <c r="M439" s="626"/>
      <c r="N439" s="626"/>
      <c r="O439" s="627"/>
      <c r="P439" s="623" t="s">
        <v>40</v>
      </c>
      <c r="Q439" s="624"/>
      <c r="R439" s="624"/>
      <c r="S439" s="624"/>
      <c r="T439" s="624"/>
      <c r="U439" s="624"/>
      <c r="V439" s="625"/>
      <c r="W439" s="42" t="s">
        <v>39</v>
      </c>
      <c r="X439" s="43">
        <f>IFERROR(X438/H438,"0")</f>
        <v>0</v>
      </c>
      <c r="Y439" s="43">
        <f>IFERROR(Y438/H438,"0")</f>
        <v>0</v>
      </c>
      <c r="Z439" s="43">
        <f>IFERROR(IF(Z438="",0,Z438),"0")</f>
        <v>0</v>
      </c>
      <c r="AA439" s="67"/>
      <c r="AB439" s="67"/>
      <c r="AC439" s="67"/>
    </row>
    <row r="440" spans="1:68" x14ac:dyDescent="0.2">
      <c r="A440" s="626"/>
      <c r="B440" s="626"/>
      <c r="C440" s="626"/>
      <c r="D440" s="626"/>
      <c r="E440" s="626"/>
      <c r="F440" s="626"/>
      <c r="G440" s="626"/>
      <c r="H440" s="626"/>
      <c r="I440" s="626"/>
      <c r="J440" s="626"/>
      <c r="K440" s="626"/>
      <c r="L440" s="626"/>
      <c r="M440" s="626"/>
      <c r="N440" s="626"/>
      <c r="O440" s="627"/>
      <c r="P440" s="623" t="s">
        <v>40</v>
      </c>
      <c r="Q440" s="624"/>
      <c r="R440" s="624"/>
      <c r="S440" s="624"/>
      <c r="T440" s="624"/>
      <c r="U440" s="624"/>
      <c r="V440" s="625"/>
      <c r="W440" s="42" t="s">
        <v>0</v>
      </c>
      <c r="X440" s="43">
        <f>IFERROR(SUM(X438:X438),"0")</f>
        <v>0</v>
      </c>
      <c r="Y440" s="43">
        <f>IFERROR(SUM(Y438:Y438),"0")</f>
        <v>0</v>
      </c>
      <c r="Z440" s="42"/>
      <c r="AA440" s="67"/>
      <c r="AB440" s="67"/>
      <c r="AC440" s="67"/>
    </row>
    <row r="441" spans="1:68" ht="14.25" customHeight="1" x14ac:dyDescent="0.25">
      <c r="A441" s="618" t="s">
        <v>86</v>
      </c>
      <c r="B441" s="618"/>
      <c r="C441" s="618"/>
      <c r="D441" s="618"/>
      <c r="E441" s="618"/>
      <c r="F441" s="618"/>
      <c r="G441" s="618"/>
      <c r="H441" s="618"/>
      <c r="I441" s="618"/>
      <c r="J441" s="618"/>
      <c r="K441" s="618"/>
      <c r="L441" s="618"/>
      <c r="M441" s="618"/>
      <c r="N441" s="618"/>
      <c r="O441" s="618"/>
      <c r="P441" s="618"/>
      <c r="Q441" s="618"/>
      <c r="R441" s="618"/>
      <c r="S441" s="618"/>
      <c r="T441" s="618"/>
      <c r="U441" s="618"/>
      <c r="V441" s="618"/>
      <c r="W441" s="618"/>
      <c r="X441" s="618"/>
      <c r="Y441" s="618"/>
      <c r="Z441" s="618"/>
      <c r="AA441" s="66"/>
      <c r="AB441" s="66"/>
      <c r="AC441" s="80"/>
    </row>
    <row r="442" spans="1:68" ht="27" customHeight="1" x14ac:dyDescent="0.25">
      <c r="A442" s="63" t="s">
        <v>716</v>
      </c>
      <c r="B442" s="63" t="s">
        <v>717</v>
      </c>
      <c r="C442" s="36">
        <v>4301051899</v>
      </c>
      <c r="D442" s="619">
        <v>4607091384246</v>
      </c>
      <c r="E442" s="619"/>
      <c r="F442" s="62">
        <v>1.5</v>
      </c>
      <c r="G442" s="37">
        <v>6</v>
      </c>
      <c r="H442" s="62">
        <v>9</v>
      </c>
      <c r="I442" s="62">
        <v>9.4939999999999998</v>
      </c>
      <c r="J442" s="37">
        <v>64</v>
      </c>
      <c r="K442" s="37" t="s">
        <v>134</v>
      </c>
      <c r="L442" s="37" t="s">
        <v>46</v>
      </c>
      <c r="M442" s="38" t="s">
        <v>90</v>
      </c>
      <c r="N442" s="38"/>
      <c r="O442" s="37">
        <v>40</v>
      </c>
      <c r="P442" s="67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2" s="621"/>
      <c r="R442" s="621"/>
      <c r="S442" s="621"/>
      <c r="T442" s="62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0" t="s">
        <v>718</v>
      </c>
      <c r="AG442" s="78"/>
      <c r="AJ442" s="84" t="s">
        <v>46</v>
      </c>
      <c r="AK442" s="84">
        <v>0</v>
      </c>
      <c r="BB442" s="531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719</v>
      </c>
      <c r="B443" s="63" t="s">
        <v>720</v>
      </c>
      <c r="C443" s="36">
        <v>4301051660</v>
      </c>
      <c r="D443" s="619">
        <v>4607091384253</v>
      </c>
      <c r="E443" s="619"/>
      <c r="F443" s="62">
        <v>0.4</v>
      </c>
      <c r="G443" s="37">
        <v>6</v>
      </c>
      <c r="H443" s="62">
        <v>2.4</v>
      </c>
      <c r="I443" s="62">
        <v>2.6640000000000001</v>
      </c>
      <c r="J443" s="37">
        <v>182</v>
      </c>
      <c r="K443" s="37" t="s">
        <v>91</v>
      </c>
      <c r="L443" s="37" t="s">
        <v>46</v>
      </c>
      <c r="M443" s="38" t="s">
        <v>90</v>
      </c>
      <c r="N443" s="38"/>
      <c r="O443" s="37">
        <v>40</v>
      </c>
      <c r="P443" s="6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3" s="621"/>
      <c r="R443" s="621"/>
      <c r="S443" s="621"/>
      <c r="T443" s="6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IFERROR(IF(Y443=0,"",ROUNDUP(Y443/H443,0)*0.00651),"")</f>
        <v/>
      </c>
      <c r="AA443" s="68" t="s">
        <v>46</v>
      </c>
      <c r="AB443" s="69" t="s">
        <v>46</v>
      </c>
      <c r="AC443" s="532" t="s">
        <v>718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customHeight="1" x14ac:dyDescent="0.25">
      <c r="A444" s="63" t="s">
        <v>719</v>
      </c>
      <c r="B444" s="63" t="s">
        <v>721</v>
      </c>
      <c r="C444" s="36">
        <v>4301052069</v>
      </c>
      <c r="D444" s="619">
        <v>4607091384253</v>
      </c>
      <c r="E444" s="619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6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4" s="621"/>
      <c r="R444" s="621"/>
      <c r="S444" s="621"/>
      <c r="T444" s="6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722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26"/>
      <c r="B445" s="626"/>
      <c r="C445" s="626"/>
      <c r="D445" s="626"/>
      <c r="E445" s="626"/>
      <c r="F445" s="626"/>
      <c r="G445" s="626"/>
      <c r="H445" s="626"/>
      <c r="I445" s="626"/>
      <c r="J445" s="626"/>
      <c r="K445" s="626"/>
      <c r="L445" s="626"/>
      <c r="M445" s="626"/>
      <c r="N445" s="626"/>
      <c r="O445" s="627"/>
      <c r="P445" s="623" t="s">
        <v>40</v>
      </c>
      <c r="Q445" s="624"/>
      <c r="R445" s="624"/>
      <c r="S445" s="624"/>
      <c r="T445" s="624"/>
      <c r="U445" s="624"/>
      <c r="V445" s="625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x14ac:dyDescent="0.2">
      <c r="A446" s="626"/>
      <c r="B446" s="626"/>
      <c r="C446" s="626"/>
      <c r="D446" s="626"/>
      <c r="E446" s="626"/>
      <c r="F446" s="626"/>
      <c r="G446" s="626"/>
      <c r="H446" s="626"/>
      <c r="I446" s="626"/>
      <c r="J446" s="626"/>
      <c r="K446" s="626"/>
      <c r="L446" s="626"/>
      <c r="M446" s="626"/>
      <c r="N446" s="626"/>
      <c r="O446" s="627"/>
      <c r="P446" s="623" t="s">
        <v>40</v>
      </c>
      <c r="Q446" s="624"/>
      <c r="R446" s="624"/>
      <c r="S446" s="624"/>
      <c r="T446" s="624"/>
      <c r="U446" s="624"/>
      <c r="V446" s="625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27.75" customHeight="1" x14ac:dyDescent="0.2">
      <c r="A447" s="639" t="s">
        <v>723</v>
      </c>
      <c r="B447" s="639"/>
      <c r="C447" s="639"/>
      <c r="D447" s="639"/>
      <c r="E447" s="639"/>
      <c r="F447" s="639"/>
      <c r="G447" s="639"/>
      <c r="H447" s="639"/>
      <c r="I447" s="639"/>
      <c r="J447" s="639"/>
      <c r="K447" s="639"/>
      <c r="L447" s="639"/>
      <c r="M447" s="639"/>
      <c r="N447" s="639"/>
      <c r="O447" s="639"/>
      <c r="P447" s="639"/>
      <c r="Q447" s="639"/>
      <c r="R447" s="639"/>
      <c r="S447" s="639"/>
      <c r="T447" s="639"/>
      <c r="U447" s="639"/>
      <c r="V447" s="639"/>
      <c r="W447" s="639"/>
      <c r="X447" s="639"/>
      <c r="Y447" s="639"/>
      <c r="Z447" s="639"/>
      <c r="AA447" s="54"/>
      <c r="AB447" s="54"/>
      <c r="AC447" s="54"/>
    </row>
    <row r="448" spans="1:68" ht="16.5" customHeight="1" x14ac:dyDescent="0.25">
      <c r="A448" s="634" t="s">
        <v>724</v>
      </c>
      <c r="B448" s="634"/>
      <c r="C448" s="634"/>
      <c r="D448" s="634"/>
      <c r="E448" s="634"/>
      <c r="F448" s="634"/>
      <c r="G448" s="634"/>
      <c r="H448" s="634"/>
      <c r="I448" s="634"/>
      <c r="J448" s="634"/>
      <c r="K448" s="634"/>
      <c r="L448" s="634"/>
      <c r="M448" s="634"/>
      <c r="N448" s="634"/>
      <c r="O448" s="634"/>
      <c r="P448" s="634"/>
      <c r="Q448" s="634"/>
      <c r="R448" s="634"/>
      <c r="S448" s="634"/>
      <c r="T448" s="634"/>
      <c r="U448" s="634"/>
      <c r="V448" s="634"/>
      <c r="W448" s="634"/>
      <c r="X448" s="634"/>
      <c r="Y448" s="634"/>
      <c r="Z448" s="634"/>
      <c r="AA448" s="65"/>
      <c r="AB448" s="65"/>
      <c r="AC448" s="79"/>
    </row>
    <row r="449" spans="1:68" ht="14.25" customHeight="1" x14ac:dyDescent="0.25">
      <c r="A449" s="618" t="s">
        <v>77</v>
      </c>
      <c r="B449" s="618"/>
      <c r="C449" s="618"/>
      <c r="D449" s="618"/>
      <c r="E449" s="618"/>
      <c r="F449" s="618"/>
      <c r="G449" s="618"/>
      <c r="H449" s="618"/>
      <c r="I449" s="618"/>
      <c r="J449" s="618"/>
      <c r="K449" s="618"/>
      <c r="L449" s="618"/>
      <c r="M449" s="618"/>
      <c r="N449" s="618"/>
      <c r="O449" s="618"/>
      <c r="P449" s="618"/>
      <c r="Q449" s="618"/>
      <c r="R449" s="618"/>
      <c r="S449" s="618"/>
      <c r="T449" s="618"/>
      <c r="U449" s="618"/>
      <c r="V449" s="618"/>
      <c r="W449" s="618"/>
      <c r="X449" s="618"/>
      <c r="Y449" s="618"/>
      <c r="Z449" s="618"/>
      <c r="AA449" s="66"/>
      <c r="AB449" s="66"/>
      <c r="AC449" s="80"/>
    </row>
    <row r="450" spans="1:68" ht="27" customHeight="1" x14ac:dyDescent="0.25">
      <c r="A450" s="63" t="s">
        <v>725</v>
      </c>
      <c r="B450" s="63" t="s">
        <v>726</v>
      </c>
      <c r="C450" s="36">
        <v>4301031405</v>
      </c>
      <c r="D450" s="619">
        <v>4680115886100</v>
      </c>
      <c r="E450" s="619"/>
      <c r="F450" s="62">
        <v>0.9</v>
      </c>
      <c r="G450" s="37">
        <v>6</v>
      </c>
      <c r="H450" s="62">
        <v>5.4</v>
      </c>
      <c r="I450" s="62">
        <v>5.59</v>
      </c>
      <c r="J450" s="37">
        <v>132</v>
      </c>
      <c r="K450" s="37" t="s">
        <v>141</v>
      </c>
      <c r="L450" s="37" t="s">
        <v>46</v>
      </c>
      <c r="M450" s="38" t="s">
        <v>81</v>
      </c>
      <c r="N450" s="38"/>
      <c r="O450" s="37">
        <v>50</v>
      </c>
      <c r="P450" s="66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0" s="621"/>
      <c r="R450" s="621"/>
      <c r="S450" s="621"/>
      <c r="T450" s="622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ref="Y450:Y455" si="57"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36" t="s">
        <v>727</v>
      </c>
      <c r="AG450" s="78"/>
      <c r="AJ450" s="84" t="s">
        <v>46</v>
      </c>
      <c r="AK450" s="84">
        <v>0</v>
      </c>
      <c r="BB450" s="537" t="s">
        <v>67</v>
      </c>
      <c r="BM450" s="78">
        <f t="shared" ref="BM450:BM455" si="58">IFERROR(X450*I450/H450,"0")</f>
        <v>0</v>
      </c>
      <c r="BN450" s="78">
        <f t="shared" ref="BN450:BN455" si="59">IFERROR(Y450*I450/H450,"0")</f>
        <v>0</v>
      </c>
      <c r="BO450" s="78">
        <f t="shared" ref="BO450:BO455" si="60">IFERROR(1/J450*(X450/H450),"0")</f>
        <v>0</v>
      </c>
      <c r="BP450" s="78">
        <f t="shared" ref="BP450:BP455" si="61">IFERROR(1/J450*(Y450/H450),"0")</f>
        <v>0</v>
      </c>
    </row>
    <row r="451" spans="1:68" ht="27" customHeight="1" x14ac:dyDescent="0.25">
      <c r="A451" s="63" t="s">
        <v>728</v>
      </c>
      <c r="B451" s="63" t="s">
        <v>729</v>
      </c>
      <c r="C451" s="36">
        <v>4301031402</v>
      </c>
      <c r="D451" s="619">
        <v>4680115886124</v>
      </c>
      <c r="E451" s="619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6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1" s="621"/>
      <c r="R451" s="621"/>
      <c r="S451" s="621"/>
      <c r="T451" s="622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ht="27" customHeight="1" x14ac:dyDescent="0.25">
      <c r="A452" s="63" t="s">
        <v>731</v>
      </c>
      <c r="B452" s="63" t="s">
        <v>732</v>
      </c>
      <c r="C452" s="36">
        <v>4301031362</v>
      </c>
      <c r="D452" s="619">
        <v>4607091384338</v>
      </c>
      <c r="E452" s="619"/>
      <c r="F452" s="62">
        <v>0.35</v>
      </c>
      <c r="G452" s="37">
        <v>6</v>
      </c>
      <c r="H452" s="62">
        <v>2.1</v>
      </c>
      <c r="I452" s="62">
        <v>2.23</v>
      </c>
      <c r="J452" s="37">
        <v>234</v>
      </c>
      <c r="K452" s="37" t="s">
        <v>82</v>
      </c>
      <c r="L452" s="37" t="s">
        <v>46</v>
      </c>
      <c r="M452" s="38" t="s">
        <v>81</v>
      </c>
      <c r="N452" s="38"/>
      <c r="O452" s="37">
        <v>50</v>
      </c>
      <c r="P452" s="6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2" s="621"/>
      <c r="R452" s="621"/>
      <c r="S452" s="621"/>
      <c r="T452" s="622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57"/>
        <v>0</v>
      </c>
      <c r="Z452" s="41" t="str">
        <f>IFERROR(IF(Y452=0,"",ROUNDUP(Y452/H452,0)*0.00502),"")</f>
        <v/>
      </c>
      <c r="AA452" s="68" t="s">
        <v>46</v>
      </c>
      <c r="AB452" s="69" t="s">
        <v>46</v>
      </c>
      <c r="AC452" s="540" t="s">
        <v>727</v>
      </c>
      <c r="AG452" s="78"/>
      <c r="AJ452" s="84" t="s">
        <v>46</v>
      </c>
      <c r="AK452" s="84">
        <v>0</v>
      </c>
      <c r="BB452" s="541" t="s">
        <v>67</v>
      </c>
      <c r="BM452" s="78">
        <f t="shared" si="58"/>
        <v>0</v>
      </c>
      <c r="BN452" s="78">
        <f t="shared" si="59"/>
        <v>0</v>
      </c>
      <c r="BO452" s="78">
        <f t="shared" si="60"/>
        <v>0</v>
      </c>
      <c r="BP452" s="78">
        <f t="shared" si="61"/>
        <v>0</v>
      </c>
    </row>
    <row r="453" spans="1:68" ht="27" customHeight="1" x14ac:dyDescent="0.25">
      <c r="A453" s="63" t="s">
        <v>733</v>
      </c>
      <c r="B453" s="63" t="s">
        <v>734</v>
      </c>
      <c r="C453" s="36">
        <v>4301031364</v>
      </c>
      <c r="D453" s="619">
        <v>4680115883161</v>
      </c>
      <c r="E453" s="619"/>
      <c r="F453" s="62">
        <v>0.28000000000000003</v>
      </c>
      <c r="G453" s="37">
        <v>6</v>
      </c>
      <c r="H453" s="62">
        <v>1.68</v>
      </c>
      <c r="I453" s="62">
        <v>1.81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6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3" s="621"/>
      <c r="R453" s="621"/>
      <c r="S453" s="621"/>
      <c r="T453" s="622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57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735</v>
      </c>
      <c r="AG453" s="78"/>
      <c r="AJ453" s="84" t="s">
        <v>46</v>
      </c>
      <c r="AK453" s="84">
        <v>0</v>
      </c>
      <c r="BB453" s="543" t="s">
        <v>67</v>
      </c>
      <c r="BM453" s="78">
        <f t="shared" si="58"/>
        <v>0</v>
      </c>
      <c r="BN453" s="78">
        <f t="shared" si="59"/>
        <v>0</v>
      </c>
      <c r="BO453" s="78">
        <f t="shared" si="60"/>
        <v>0</v>
      </c>
      <c r="BP453" s="78">
        <f t="shared" si="61"/>
        <v>0</v>
      </c>
    </row>
    <row r="454" spans="1:68" ht="27" customHeight="1" x14ac:dyDescent="0.25">
      <c r="A454" s="63" t="s">
        <v>736</v>
      </c>
      <c r="B454" s="63" t="s">
        <v>737</v>
      </c>
      <c r="C454" s="36">
        <v>4301031358</v>
      </c>
      <c r="D454" s="619">
        <v>4607091389531</v>
      </c>
      <c r="E454" s="619"/>
      <c r="F454" s="62">
        <v>0.35</v>
      </c>
      <c r="G454" s="37">
        <v>6</v>
      </c>
      <c r="H454" s="62">
        <v>2.1</v>
      </c>
      <c r="I454" s="62">
        <v>2.23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66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4" s="621"/>
      <c r="R454" s="621"/>
      <c r="S454" s="621"/>
      <c r="T454" s="622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57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58"/>
        <v>0</v>
      </c>
      <c r="BN454" s="78">
        <f t="shared" si="59"/>
        <v>0</v>
      </c>
      <c r="BO454" s="78">
        <f t="shared" si="60"/>
        <v>0</v>
      </c>
      <c r="BP454" s="78">
        <f t="shared" si="61"/>
        <v>0</v>
      </c>
    </row>
    <row r="455" spans="1:68" ht="37.5" customHeight="1" x14ac:dyDescent="0.25">
      <c r="A455" s="63" t="s">
        <v>739</v>
      </c>
      <c r="B455" s="63" t="s">
        <v>740</v>
      </c>
      <c r="C455" s="36">
        <v>4301031360</v>
      </c>
      <c r="D455" s="619">
        <v>4607091384345</v>
      </c>
      <c r="E455" s="619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6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5" s="621"/>
      <c r="R455" s="621"/>
      <c r="S455" s="621"/>
      <c r="T455" s="622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57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735</v>
      </c>
      <c r="AG455" s="78"/>
      <c r="AJ455" s="84" t="s">
        <v>46</v>
      </c>
      <c r="AK455" s="84">
        <v>0</v>
      </c>
      <c r="BB455" s="547" t="s">
        <v>67</v>
      </c>
      <c r="BM455" s="78">
        <f t="shared" si="58"/>
        <v>0</v>
      </c>
      <c r="BN455" s="78">
        <f t="shared" si="59"/>
        <v>0</v>
      </c>
      <c r="BO455" s="78">
        <f t="shared" si="60"/>
        <v>0</v>
      </c>
      <c r="BP455" s="78">
        <f t="shared" si="61"/>
        <v>0</v>
      </c>
    </row>
    <row r="456" spans="1:68" x14ac:dyDescent="0.2">
      <c r="A456" s="626"/>
      <c r="B456" s="626"/>
      <c r="C456" s="626"/>
      <c r="D456" s="626"/>
      <c r="E456" s="626"/>
      <c r="F456" s="626"/>
      <c r="G456" s="626"/>
      <c r="H456" s="626"/>
      <c r="I456" s="626"/>
      <c r="J456" s="626"/>
      <c r="K456" s="626"/>
      <c r="L456" s="626"/>
      <c r="M456" s="626"/>
      <c r="N456" s="626"/>
      <c r="O456" s="627"/>
      <c r="P456" s="623" t="s">
        <v>40</v>
      </c>
      <c r="Q456" s="624"/>
      <c r="R456" s="624"/>
      <c r="S456" s="624"/>
      <c r="T456" s="624"/>
      <c r="U456" s="624"/>
      <c r="V456" s="625"/>
      <c r="W456" s="42" t="s">
        <v>39</v>
      </c>
      <c r="X456" s="43">
        <f>IFERROR(X450/H450,"0")+IFERROR(X451/H451,"0")+IFERROR(X452/H452,"0")+IFERROR(X453/H453,"0")+IFERROR(X454/H454,"0")+IFERROR(X455/H455,"0")</f>
        <v>0</v>
      </c>
      <c r="Y456" s="43">
        <f>IFERROR(Y450/H450,"0")+IFERROR(Y451/H451,"0")+IFERROR(Y452/H452,"0")+IFERROR(Y453/H453,"0")+IFERROR(Y454/H454,"0")+IFERROR(Y455/H455,"0")</f>
        <v>0</v>
      </c>
      <c r="Z456" s="43">
        <f>IFERROR(IF(Z450="",0,Z450),"0")+IFERROR(IF(Z451="",0,Z451),"0")+IFERROR(IF(Z452="",0,Z452),"0")+IFERROR(IF(Z453="",0,Z453),"0")+IFERROR(IF(Z454="",0,Z454),"0")+IFERROR(IF(Z455="",0,Z455),"0")</f>
        <v>0</v>
      </c>
      <c r="AA456" s="67"/>
      <c r="AB456" s="67"/>
      <c r="AC456" s="67"/>
    </row>
    <row r="457" spans="1:68" x14ac:dyDescent="0.2">
      <c r="A457" s="626"/>
      <c r="B457" s="626"/>
      <c r="C457" s="626"/>
      <c r="D457" s="626"/>
      <c r="E457" s="626"/>
      <c r="F457" s="626"/>
      <c r="G457" s="626"/>
      <c r="H457" s="626"/>
      <c r="I457" s="626"/>
      <c r="J457" s="626"/>
      <c r="K457" s="626"/>
      <c r="L457" s="626"/>
      <c r="M457" s="626"/>
      <c r="N457" s="626"/>
      <c r="O457" s="627"/>
      <c r="P457" s="623" t="s">
        <v>40</v>
      </c>
      <c r="Q457" s="624"/>
      <c r="R457" s="624"/>
      <c r="S457" s="624"/>
      <c r="T457" s="624"/>
      <c r="U457" s="624"/>
      <c r="V457" s="625"/>
      <c r="W457" s="42" t="s">
        <v>0</v>
      </c>
      <c r="X457" s="43">
        <f>IFERROR(SUM(X450:X455),"0")</f>
        <v>0</v>
      </c>
      <c r="Y457" s="43">
        <f>IFERROR(SUM(Y450:Y455),"0")</f>
        <v>0</v>
      </c>
      <c r="Z457" s="42"/>
      <c r="AA457" s="67"/>
      <c r="AB457" s="67"/>
      <c r="AC457" s="67"/>
    </row>
    <row r="458" spans="1:68" ht="14.25" customHeight="1" x14ac:dyDescent="0.25">
      <c r="A458" s="618" t="s">
        <v>86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6"/>
      <c r="AB458" s="66"/>
      <c r="AC458" s="80"/>
    </row>
    <row r="459" spans="1:68" ht="27" customHeight="1" x14ac:dyDescent="0.25">
      <c r="A459" s="63" t="s">
        <v>741</v>
      </c>
      <c r="B459" s="63" t="s">
        <v>742</v>
      </c>
      <c r="C459" s="36">
        <v>4301051284</v>
      </c>
      <c r="D459" s="619">
        <v>4607091384352</v>
      </c>
      <c r="E459" s="619"/>
      <c r="F459" s="62">
        <v>0.6</v>
      </c>
      <c r="G459" s="37">
        <v>4</v>
      </c>
      <c r="H459" s="62">
        <v>2.4</v>
      </c>
      <c r="I459" s="62">
        <v>2.6259999999999999</v>
      </c>
      <c r="J459" s="37">
        <v>132</v>
      </c>
      <c r="K459" s="37" t="s">
        <v>141</v>
      </c>
      <c r="L459" s="37" t="s">
        <v>46</v>
      </c>
      <c r="M459" s="38" t="s">
        <v>90</v>
      </c>
      <c r="N459" s="38"/>
      <c r="O459" s="37">
        <v>45</v>
      </c>
      <c r="P459" s="6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9" s="621"/>
      <c r="R459" s="621"/>
      <c r="S459" s="621"/>
      <c r="T459" s="62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743</v>
      </c>
      <c r="AG459" s="78"/>
      <c r="AJ459" s="84" t="s">
        <v>46</v>
      </c>
      <c r="AK459" s="84">
        <v>0</v>
      </c>
      <c r="BB459" s="549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744</v>
      </c>
      <c r="B460" s="63" t="s">
        <v>745</v>
      </c>
      <c r="C460" s="36">
        <v>4301051431</v>
      </c>
      <c r="D460" s="619">
        <v>4607091389654</v>
      </c>
      <c r="E460" s="619"/>
      <c r="F460" s="62">
        <v>0.33</v>
      </c>
      <c r="G460" s="37">
        <v>6</v>
      </c>
      <c r="H460" s="62">
        <v>1.98</v>
      </c>
      <c r="I460" s="62">
        <v>2.238</v>
      </c>
      <c r="J460" s="37">
        <v>182</v>
      </c>
      <c r="K460" s="37" t="s">
        <v>91</v>
      </c>
      <c r="L460" s="37" t="s">
        <v>46</v>
      </c>
      <c r="M460" s="38" t="s">
        <v>90</v>
      </c>
      <c r="N460" s="38"/>
      <c r="O460" s="37">
        <v>45</v>
      </c>
      <c r="P460" s="6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0" s="621"/>
      <c r="R460" s="621"/>
      <c r="S460" s="621"/>
      <c r="T460" s="6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6"/>
      <c r="B461" s="626"/>
      <c r="C461" s="626"/>
      <c r="D461" s="626"/>
      <c r="E461" s="626"/>
      <c r="F461" s="626"/>
      <c r="G461" s="626"/>
      <c r="H461" s="626"/>
      <c r="I461" s="626"/>
      <c r="J461" s="626"/>
      <c r="K461" s="626"/>
      <c r="L461" s="626"/>
      <c r="M461" s="626"/>
      <c r="N461" s="626"/>
      <c r="O461" s="627"/>
      <c r="P461" s="623" t="s">
        <v>40</v>
      </c>
      <c r="Q461" s="624"/>
      <c r="R461" s="624"/>
      <c r="S461" s="624"/>
      <c r="T461" s="624"/>
      <c r="U461" s="624"/>
      <c r="V461" s="625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x14ac:dyDescent="0.2">
      <c r="A462" s="626"/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7"/>
      <c r="P462" s="623" t="s">
        <v>40</v>
      </c>
      <c r="Q462" s="624"/>
      <c r="R462" s="624"/>
      <c r="S462" s="624"/>
      <c r="T462" s="624"/>
      <c r="U462" s="624"/>
      <c r="V462" s="625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customHeight="1" x14ac:dyDescent="0.25">
      <c r="A463" s="634" t="s">
        <v>747</v>
      </c>
      <c r="B463" s="634"/>
      <c r="C463" s="634"/>
      <c r="D463" s="634"/>
      <c r="E463" s="634"/>
      <c r="F463" s="634"/>
      <c r="G463" s="634"/>
      <c r="H463" s="634"/>
      <c r="I463" s="634"/>
      <c r="J463" s="634"/>
      <c r="K463" s="634"/>
      <c r="L463" s="634"/>
      <c r="M463" s="634"/>
      <c r="N463" s="634"/>
      <c r="O463" s="634"/>
      <c r="P463" s="634"/>
      <c r="Q463" s="634"/>
      <c r="R463" s="634"/>
      <c r="S463" s="634"/>
      <c r="T463" s="634"/>
      <c r="U463" s="634"/>
      <c r="V463" s="634"/>
      <c r="W463" s="634"/>
      <c r="X463" s="634"/>
      <c r="Y463" s="634"/>
      <c r="Z463" s="634"/>
      <c r="AA463" s="65"/>
      <c r="AB463" s="65"/>
      <c r="AC463" s="79"/>
    </row>
    <row r="464" spans="1:68" ht="14.25" customHeight="1" x14ac:dyDescent="0.25">
      <c r="A464" s="618" t="s">
        <v>166</v>
      </c>
      <c r="B464" s="618"/>
      <c r="C464" s="618"/>
      <c r="D464" s="618"/>
      <c r="E464" s="618"/>
      <c r="F464" s="618"/>
      <c r="G464" s="618"/>
      <c r="H464" s="618"/>
      <c r="I464" s="618"/>
      <c r="J464" s="618"/>
      <c r="K464" s="618"/>
      <c r="L464" s="618"/>
      <c r="M464" s="618"/>
      <c r="N464" s="618"/>
      <c r="O464" s="618"/>
      <c r="P464" s="618"/>
      <c r="Q464" s="618"/>
      <c r="R464" s="618"/>
      <c r="S464" s="618"/>
      <c r="T464" s="618"/>
      <c r="U464" s="618"/>
      <c r="V464" s="618"/>
      <c r="W464" s="618"/>
      <c r="X464" s="618"/>
      <c r="Y464" s="618"/>
      <c r="Z464" s="618"/>
      <c r="AA464" s="66"/>
      <c r="AB464" s="66"/>
      <c r="AC464" s="80"/>
    </row>
    <row r="465" spans="1:68" ht="27" customHeight="1" x14ac:dyDescent="0.25">
      <c r="A465" s="63" t="s">
        <v>748</v>
      </c>
      <c r="B465" s="63" t="s">
        <v>749</v>
      </c>
      <c r="C465" s="36">
        <v>4301020416</v>
      </c>
      <c r="D465" s="619">
        <v>4680115885240</v>
      </c>
      <c r="E465" s="619"/>
      <c r="F465" s="62">
        <v>0.35</v>
      </c>
      <c r="G465" s="37">
        <v>6</v>
      </c>
      <c r="H465" s="62">
        <v>2.1</v>
      </c>
      <c r="I465" s="62">
        <v>2.31</v>
      </c>
      <c r="J465" s="37">
        <v>182</v>
      </c>
      <c r="K465" s="37" t="s">
        <v>91</v>
      </c>
      <c r="L465" s="37" t="s">
        <v>46</v>
      </c>
      <c r="M465" s="38" t="s">
        <v>81</v>
      </c>
      <c r="N465" s="38"/>
      <c r="O465" s="37">
        <v>40</v>
      </c>
      <c r="P465" s="6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5" s="621"/>
      <c r="R465" s="621"/>
      <c r="S465" s="621"/>
      <c r="T465" s="6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52" t="s">
        <v>750</v>
      </c>
      <c r="AG465" s="78"/>
      <c r="AJ465" s="84" t="s">
        <v>46</v>
      </c>
      <c r="AK465" s="84">
        <v>0</v>
      </c>
      <c r="BB465" s="55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626"/>
      <c r="B466" s="626"/>
      <c r="C466" s="626"/>
      <c r="D466" s="626"/>
      <c r="E466" s="626"/>
      <c r="F466" s="626"/>
      <c r="G466" s="626"/>
      <c r="H466" s="626"/>
      <c r="I466" s="626"/>
      <c r="J466" s="626"/>
      <c r="K466" s="626"/>
      <c r="L466" s="626"/>
      <c r="M466" s="626"/>
      <c r="N466" s="626"/>
      <c r="O466" s="627"/>
      <c r="P466" s="623" t="s">
        <v>40</v>
      </c>
      <c r="Q466" s="624"/>
      <c r="R466" s="624"/>
      <c r="S466" s="624"/>
      <c r="T466" s="624"/>
      <c r="U466" s="624"/>
      <c r="V466" s="625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x14ac:dyDescent="0.2">
      <c r="A467" s="626"/>
      <c r="B467" s="626"/>
      <c r="C467" s="626"/>
      <c r="D467" s="626"/>
      <c r="E467" s="626"/>
      <c r="F467" s="626"/>
      <c r="G467" s="626"/>
      <c r="H467" s="626"/>
      <c r="I467" s="626"/>
      <c r="J467" s="626"/>
      <c r="K467" s="626"/>
      <c r="L467" s="626"/>
      <c r="M467" s="626"/>
      <c r="N467" s="626"/>
      <c r="O467" s="627"/>
      <c r="P467" s="623" t="s">
        <v>40</v>
      </c>
      <c r="Q467" s="624"/>
      <c r="R467" s="624"/>
      <c r="S467" s="624"/>
      <c r="T467" s="624"/>
      <c r="U467" s="624"/>
      <c r="V467" s="625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customHeight="1" x14ac:dyDescent="0.25">
      <c r="A468" s="618" t="s">
        <v>77</v>
      </c>
      <c r="B468" s="618"/>
      <c r="C468" s="618"/>
      <c r="D468" s="618"/>
      <c r="E468" s="618"/>
      <c r="F468" s="618"/>
      <c r="G468" s="618"/>
      <c r="H468" s="618"/>
      <c r="I468" s="618"/>
      <c r="J468" s="618"/>
      <c r="K468" s="618"/>
      <c r="L468" s="618"/>
      <c r="M468" s="618"/>
      <c r="N468" s="618"/>
      <c r="O468" s="618"/>
      <c r="P468" s="618"/>
      <c r="Q468" s="618"/>
      <c r="R468" s="618"/>
      <c r="S468" s="618"/>
      <c r="T468" s="618"/>
      <c r="U468" s="618"/>
      <c r="V468" s="618"/>
      <c r="W468" s="618"/>
      <c r="X468" s="618"/>
      <c r="Y468" s="618"/>
      <c r="Z468" s="618"/>
      <c r="AA468" s="66"/>
      <c r="AB468" s="66"/>
      <c r="AC468" s="80"/>
    </row>
    <row r="469" spans="1:68" ht="27" customHeight="1" x14ac:dyDescent="0.25">
      <c r="A469" s="63" t="s">
        <v>751</v>
      </c>
      <c r="B469" s="63" t="s">
        <v>752</v>
      </c>
      <c r="C469" s="36">
        <v>4301031407</v>
      </c>
      <c r="D469" s="619">
        <v>4680115886094</v>
      </c>
      <c r="E469" s="61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141</v>
      </c>
      <c r="L469" s="37" t="s">
        <v>46</v>
      </c>
      <c r="M469" s="38" t="s">
        <v>81</v>
      </c>
      <c r="N469" s="38"/>
      <c r="O469" s="37">
        <v>50</v>
      </c>
      <c r="P469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9" s="621"/>
      <c r="R469" s="621"/>
      <c r="S469" s="621"/>
      <c r="T469" s="622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54" t="s">
        <v>753</v>
      </c>
      <c r="AG469" s="78"/>
      <c r="AJ469" s="84" t="s">
        <v>46</v>
      </c>
      <c r="AK469" s="84">
        <v>0</v>
      </c>
      <c r="BB469" s="555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customHeight="1" x14ac:dyDescent="0.25">
      <c r="A470" s="63" t="s">
        <v>754</v>
      </c>
      <c r="B470" s="63" t="s">
        <v>755</v>
      </c>
      <c r="C470" s="36">
        <v>4301031373</v>
      </c>
      <c r="D470" s="619">
        <v>4680115880771</v>
      </c>
      <c r="E470" s="619"/>
      <c r="F470" s="62">
        <v>0.28000000000000003</v>
      </c>
      <c r="G470" s="37">
        <v>6</v>
      </c>
      <c r="H470" s="62">
        <v>1.68</v>
      </c>
      <c r="I470" s="62">
        <v>1.81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6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0" s="621"/>
      <c r="R470" s="621"/>
      <c r="S470" s="621"/>
      <c r="T470" s="62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customHeight="1" x14ac:dyDescent="0.25">
      <c r="A471" s="63" t="s">
        <v>757</v>
      </c>
      <c r="B471" s="63" t="s">
        <v>758</v>
      </c>
      <c r="C471" s="36">
        <v>4301031359</v>
      </c>
      <c r="D471" s="619">
        <v>4607091389500</v>
      </c>
      <c r="E471" s="61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6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1" s="621"/>
      <c r="R471" s="621"/>
      <c r="S471" s="621"/>
      <c r="T471" s="622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756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x14ac:dyDescent="0.2">
      <c r="A472" s="626"/>
      <c r="B472" s="626"/>
      <c r="C472" s="626"/>
      <c r="D472" s="626"/>
      <c r="E472" s="626"/>
      <c r="F472" s="626"/>
      <c r="G472" s="626"/>
      <c r="H472" s="626"/>
      <c r="I472" s="626"/>
      <c r="J472" s="626"/>
      <c r="K472" s="626"/>
      <c r="L472" s="626"/>
      <c r="M472" s="626"/>
      <c r="N472" s="626"/>
      <c r="O472" s="627"/>
      <c r="P472" s="623" t="s">
        <v>40</v>
      </c>
      <c r="Q472" s="624"/>
      <c r="R472" s="624"/>
      <c r="S472" s="624"/>
      <c r="T472" s="624"/>
      <c r="U472" s="624"/>
      <c r="V472" s="625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x14ac:dyDescent="0.2">
      <c r="A473" s="626"/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7"/>
      <c r="P473" s="623" t="s">
        <v>40</v>
      </c>
      <c r="Q473" s="624"/>
      <c r="R473" s="624"/>
      <c r="S473" s="624"/>
      <c r="T473" s="624"/>
      <c r="U473" s="624"/>
      <c r="V473" s="625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customHeight="1" x14ac:dyDescent="0.2">
      <c r="A474" s="639" t="s">
        <v>759</v>
      </c>
      <c r="B474" s="639"/>
      <c r="C474" s="639"/>
      <c r="D474" s="639"/>
      <c r="E474" s="639"/>
      <c r="F474" s="639"/>
      <c r="G474" s="639"/>
      <c r="H474" s="639"/>
      <c r="I474" s="639"/>
      <c r="J474" s="639"/>
      <c r="K474" s="639"/>
      <c r="L474" s="639"/>
      <c r="M474" s="639"/>
      <c r="N474" s="639"/>
      <c r="O474" s="639"/>
      <c r="P474" s="639"/>
      <c r="Q474" s="639"/>
      <c r="R474" s="639"/>
      <c r="S474" s="639"/>
      <c r="T474" s="639"/>
      <c r="U474" s="639"/>
      <c r="V474" s="639"/>
      <c r="W474" s="639"/>
      <c r="X474" s="639"/>
      <c r="Y474" s="639"/>
      <c r="Z474" s="639"/>
      <c r="AA474" s="54"/>
      <c r="AB474" s="54"/>
      <c r="AC474" s="54"/>
    </row>
    <row r="475" spans="1:68" ht="16.5" customHeight="1" x14ac:dyDescent="0.25">
      <c r="A475" s="634" t="s">
        <v>759</v>
      </c>
      <c r="B475" s="634"/>
      <c r="C475" s="634"/>
      <c r="D475" s="634"/>
      <c r="E475" s="634"/>
      <c r="F475" s="634"/>
      <c r="G475" s="634"/>
      <c r="H475" s="634"/>
      <c r="I475" s="634"/>
      <c r="J475" s="634"/>
      <c r="K475" s="634"/>
      <c r="L475" s="634"/>
      <c r="M475" s="634"/>
      <c r="N475" s="634"/>
      <c r="O475" s="634"/>
      <c r="P475" s="634"/>
      <c r="Q475" s="634"/>
      <c r="R475" s="634"/>
      <c r="S475" s="634"/>
      <c r="T475" s="634"/>
      <c r="U475" s="634"/>
      <c r="V475" s="634"/>
      <c r="W475" s="634"/>
      <c r="X475" s="634"/>
      <c r="Y475" s="634"/>
      <c r="Z475" s="634"/>
      <c r="AA475" s="65"/>
      <c r="AB475" s="65"/>
      <c r="AC475" s="79"/>
    </row>
    <row r="476" spans="1:68" ht="14.25" customHeight="1" x14ac:dyDescent="0.25">
      <c r="A476" s="618" t="s">
        <v>129</v>
      </c>
      <c r="B476" s="618"/>
      <c r="C476" s="618"/>
      <c r="D476" s="618"/>
      <c r="E476" s="618"/>
      <c r="F476" s="618"/>
      <c r="G476" s="618"/>
      <c r="H476" s="618"/>
      <c r="I476" s="618"/>
      <c r="J476" s="618"/>
      <c r="K476" s="618"/>
      <c r="L476" s="618"/>
      <c r="M476" s="618"/>
      <c r="N476" s="618"/>
      <c r="O476" s="618"/>
      <c r="P476" s="618"/>
      <c r="Q476" s="618"/>
      <c r="R476" s="618"/>
      <c r="S476" s="618"/>
      <c r="T476" s="618"/>
      <c r="U476" s="618"/>
      <c r="V476" s="618"/>
      <c r="W476" s="618"/>
      <c r="X476" s="618"/>
      <c r="Y476" s="618"/>
      <c r="Z476" s="618"/>
      <c r="AA476" s="66"/>
      <c r="AB476" s="66"/>
      <c r="AC476" s="80"/>
    </row>
    <row r="477" spans="1:68" ht="27" customHeight="1" x14ac:dyDescent="0.25">
      <c r="A477" s="63" t="s">
        <v>760</v>
      </c>
      <c r="B477" s="63" t="s">
        <v>761</v>
      </c>
      <c r="C477" s="36">
        <v>4301011769</v>
      </c>
      <c r="D477" s="619">
        <v>4607091389067</v>
      </c>
      <c r="E477" s="619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134</v>
      </c>
      <c r="L477" s="37" t="s">
        <v>46</v>
      </c>
      <c r="M477" s="38" t="s">
        <v>90</v>
      </c>
      <c r="N477" s="38"/>
      <c r="O477" s="37">
        <v>60</v>
      </c>
      <c r="P477" s="65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7" s="621"/>
      <c r="R477" s="621"/>
      <c r="S477" s="621"/>
      <c r="T477" s="6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ref="Y477:Y485" si="62">IFERROR(IF(X477="",0,CEILING((X477/$H477),1)*$H477),"")</f>
        <v>0</v>
      </c>
      <c r="Z477" s="41" t="str">
        <f t="shared" ref="Z477:Z482" si="63">IFERROR(IF(Y477=0,"",ROUNDUP(Y477/H477,0)*0.01196),"")</f>
        <v/>
      </c>
      <c r="AA477" s="68" t="s">
        <v>46</v>
      </c>
      <c r="AB477" s="69" t="s">
        <v>46</v>
      </c>
      <c r="AC477" s="560" t="s">
        <v>132</v>
      </c>
      <c r="AG477" s="78"/>
      <c r="AJ477" s="84" t="s">
        <v>46</v>
      </c>
      <c r="AK477" s="84">
        <v>0</v>
      </c>
      <c r="BB477" s="561" t="s">
        <v>67</v>
      </c>
      <c r="BM477" s="78">
        <f t="shared" ref="BM477:BM485" si="64">IFERROR(X477*I477/H477,"0")</f>
        <v>0</v>
      </c>
      <c r="BN477" s="78">
        <f t="shared" ref="BN477:BN485" si="65">IFERROR(Y477*I477/H477,"0")</f>
        <v>0</v>
      </c>
      <c r="BO477" s="78">
        <f t="shared" ref="BO477:BO485" si="66">IFERROR(1/J477*(X477/H477),"0")</f>
        <v>0</v>
      </c>
      <c r="BP477" s="78">
        <f t="shared" ref="BP477:BP485" si="67">IFERROR(1/J477*(Y477/H477),"0")</f>
        <v>0</v>
      </c>
    </row>
    <row r="478" spans="1:68" ht="16.5" customHeight="1" x14ac:dyDescent="0.25">
      <c r="A478" s="63" t="s">
        <v>762</v>
      </c>
      <c r="B478" s="63" t="s">
        <v>763</v>
      </c>
      <c r="C478" s="36">
        <v>4301012380</v>
      </c>
      <c r="D478" s="619">
        <v>4680115889576</v>
      </c>
      <c r="E478" s="619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133</v>
      </c>
      <c r="N478" s="38"/>
      <c r="O478" s="37">
        <v>60</v>
      </c>
      <c r="P478" s="6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8" s="621"/>
      <c r="R478" s="621"/>
      <c r="S478" s="621"/>
      <c r="T478" s="622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2"/>
        <v>0</v>
      </c>
      <c r="Z478" s="41" t="str">
        <f t="shared" si="63"/>
        <v/>
      </c>
      <c r="AA478" s="68" t="s">
        <v>46</v>
      </c>
      <c r="AB478" s="69" t="s">
        <v>46</v>
      </c>
      <c r="AC478" s="562" t="s">
        <v>764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t="27" customHeight="1" x14ac:dyDescent="0.25">
      <c r="A479" s="63" t="s">
        <v>765</v>
      </c>
      <c r="B479" s="63" t="s">
        <v>766</v>
      </c>
      <c r="C479" s="36">
        <v>4301011961</v>
      </c>
      <c r="D479" s="619">
        <v>4680115885271</v>
      </c>
      <c r="E479" s="619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6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9" s="621"/>
      <c r="R479" s="621"/>
      <c r="S479" s="621"/>
      <c r="T479" s="622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 t="shared" si="63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customHeight="1" x14ac:dyDescent="0.25">
      <c r="A480" s="63" t="s">
        <v>768</v>
      </c>
      <c r="B480" s="63" t="s">
        <v>769</v>
      </c>
      <c r="C480" s="36">
        <v>4301011369</v>
      </c>
      <c r="D480" s="619">
        <v>4680115885226</v>
      </c>
      <c r="E480" s="619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65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0" s="621"/>
      <c r="R480" s="621"/>
      <c r="S480" s="621"/>
      <c r="T480" s="622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 t="shared" si="63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16.5" customHeight="1" x14ac:dyDescent="0.25">
      <c r="A481" s="63" t="s">
        <v>771</v>
      </c>
      <c r="B481" s="63" t="s">
        <v>772</v>
      </c>
      <c r="C481" s="36">
        <v>4301011797</v>
      </c>
      <c r="D481" s="619">
        <v>4680115884502</v>
      </c>
      <c r="E481" s="619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90</v>
      </c>
      <c r="N481" s="38"/>
      <c r="O481" s="37">
        <v>60</v>
      </c>
      <c r="P481" s="65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1" s="621"/>
      <c r="R481" s="621"/>
      <c r="S481" s="621"/>
      <c r="T481" s="622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 t="shared" si="63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ht="27" customHeight="1" x14ac:dyDescent="0.25">
      <c r="A482" s="63" t="s">
        <v>774</v>
      </c>
      <c r="B482" s="63" t="s">
        <v>775</v>
      </c>
      <c r="C482" s="36">
        <v>4301011771</v>
      </c>
      <c r="D482" s="619">
        <v>4607091389104</v>
      </c>
      <c r="E482" s="619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133</v>
      </c>
      <c r="N482" s="38"/>
      <c r="O482" s="37">
        <v>60</v>
      </c>
      <c r="P482" s="6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2" s="621"/>
      <c r="R482" s="621"/>
      <c r="S482" s="621"/>
      <c r="T482" s="622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2"/>
        <v>0</v>
      </c>
      <c r="Z482" s="41" t="str">
        <f t="shared" si="63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4"/>
        <v>0</v>
      </c>
      <c r="BN482" s="78">
        <f t="shared" si="65"/>
        <v>0</v>
      </c>
      <c r="BO482" s="78">
        <f t="shared" si="66"/>
        <v>0</v>
      </c>
      <c r="BP482" s="78">
        <f t="shared" si="67"/>
        <v>0</v>
      </c>
    </row>
    <row r="483" spans="1:68" ht="27" customHeight="1" x14ac:dyDescent="0.25">
      <c r="A483" s="63" t="s">
        <v>777</v>
      </c>
      <c r="B483" s="63" t="s">
        <v>778</v>
      </c>
      <c r="C483" s="36">
        <v>4301012125</v>
      </c>
      <c r="D483" s="619">
        <v>4680115886391</v>
      </c>
      <c r="E483" s="619"/>
      <c r="F483" s="62">
        <v>0.4</v>
      </c>
      <c r="G483" s="37">
        <v>6</v>
      </c>
      <c r="H483" s="62">
        <v>2.4</v>
      </c>
      <c r="I483" s="62">
        <v>2.58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60</v>
      </c>
      <c r="P483" s="6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3" s="621"/>
      <c r="R483" s="621"/>
      <c r="S483" s="621"/>
      <c r="T483" s="622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2"/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2" t="s">
        <v>132</v>
      </c>
      <c r="AG483" s="78"/>
      <c r="AJ483" s="84" t="s">
        <v>46</v>
      </c>
      <c r="AK483" s="84">
        <v>0</v>
      </c>
      <c r="BB483" s="573" t="s">
        <v>67</v>
      </c>
      <c r="BM483" s="78">
        <f t="shared" si="64"/>
        <v>0</v>
      </c>
      <c r="BN483" s="78">
        <f t="shared" si="65"/>
        <v>0</v>
      </c>
      <c r="BO483" s="78">
        <f t="shared" si="66"/>
        <v>0</v>
      </c>
      <c r="BP483" s="78">
        <f t="shared" si="67"/>
        <v>0</v>
      </c>
    </row>
    <row r="484" spans="1:68" ht="27" customHeight="1" x14ac:dyDescent="0.25">
      <c r="A484" s="63" t="s">
        <v>779</v>
      </c>
      <c r="B484" s="63" t="s">
        <v>780</v>
      </c>
      <c r="C484" s="36">
        <v>4301012048</v>
      </c>
      <c r="D484" s="619">
        <v>4680115880603</v>
      </c>
      <c r="E484" s="619"/>
      <c r="F484" s="62">
        <v>0.6</v>
      </c>
      <c r="G484" s="37">
        <v>8</v>
      </c>
      <c r="H484" s="62">
        <v>4.8</v>
      </c>
      <c r="I484" s="62">
        <v>6.91</v>
      </c>
      <c r="J484" s="37">
        <v>132</v>
      </c>
      <c r="K484" s="37" t="s">
        <v>141</v>
      </c>
      <c r="L484" s="37" t="s">
        <v>46</v>
      </c>
      <c r="M484" s="38" t="s">
        <v>90</v>
      </c>
      <c r="N484" s="38"/>
      <c r="O484" s="37">
        <v>60</v>
      </c>
      <c r="P484" s="65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4" s="621"/>
      <c r="R484" s="621"/>
      <c r="S484" s="621"/>
      <c r="T484" s="62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2"/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4"/>
        <v>0</v>
      </c>
      <c r="BN484" s="78">
        <f t="shared" si="65"/>
        <v>0</v>
      </c>
      <c r="BO484" s="78">
        <f t="shared" si="66"/>
        <v>0</v>
      </c>
      <c r="BP484" s="78">
        <f t="shared" si="67"/>
        <v>0</v>
      </c>
    </row>
    <row r="485" spans="1:68" ht="27" customHeight="1" x14ac:dyDescent="0.25">
      <c r="A485" s="63" t="s">
        <v>781</v>
      </c>
      <c r="B485" s="63" t="s">
        <v>782</v>
      </c>
      <c r="C485" s="36">
        <v>4301012034</v>
      </c>
      <c r="D485" s="619">
        <v>4607091389982</v>
      </c>
      <c r="E485" s="619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133</v>
      </c>
      <c r="N485" s="38"/>
      <c r="O485" s="37">
        <v>60</v>
      </c>
      <c r="P485" s="65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5" s="621"/>
      <c r="R485" s="621"/>
      <c r="S485" s="621"/>
      <c r="T485" s="62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2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776</v>
      </c>
      <c r="AG485" s="78"/>
      <c r="AJ485" s="84" t="s">
        <v>46</v>
      </c>
      <c r="AK485" s="84">
        <v>0</v>
      </c>
      <c r="BB485" s="577" t="s">
        <v>67</v>
      </c>
      <c r="BM485" s="78">
        <f t="shared" si="64"/>
        <v>0</v>
      </c>
      <c r="BN485" s="78">
        <f t="shared" si="65"/>
        <v>0</v>
      </c>
      <c r="BO485" s="78">
        <f t="shared" si="66"/>
        <v>0</v>
      </c>
      <c r="BP485" s="78">
        <f t="shared" si="67"/>
        <v>0</v>
      </c>
    </row>
    <row r="486" spans="1:68" x14ac:dyDescent="0.2">
      <c r="A486" s="626"/>
      <c r="B486" s="626"/>
      <c r="C486" s="626"/>
      <c r="D486" s="626"/>
      <c r="E486" s="626"/>
      <c r="F486" s="626"/>
      <c r="G486" s="626"/>
      <c r="H486" s="626"/>
      <c r="I486" s="626"/>
      <c r="J486" s="626"/>
      <c r="K486" s="626"/>
      <c r="L486" s="626"/>
      <c r="M486" s="626"/>
      <c r="N486" s="626"/>
      <c r="O486" s="627"/>
      <c r="P486" s="623" t="s">
        <v>40</v>
      </c>
      <c r="Q486" s="624"/>
      <c r="R486" s="624"/>
      <c r="S486" s="624"/>
      <c r="T486" s="624"/>
      <c r="U486" s="624"/>
      <c r="V486" s="625"/>
      <c r="W486" s="42" t="s">
        <v>39</v>
      </c>
      <c r="X486" s="43">
        <f>IFERROR(X477/H477,"0")+IFERROR(X478/H478,"0")+IFERROR(X479/H479,"0")+IFERROR(X480/H480,"0")+IFERROR(X481/H481,"0")+IFERROR(X482/H482,"0")+IFERROR(X483/H483,"0")+IFERROR(X484/H484,"0")+IFERROR(X485/H485,"0")</f>
        <v>0</v>
      </c>
      <c r="Y486" s="43">
        <f>IFERROR(Y477/H477,"0")+IFERROR(Y478/H478,"0")+IFERROR(Y479/H479,"0")+IFERROR(Y480/H480,"0")+IFERROR(Y481/H481,"0")+IFERROR(Y482/H482,"0")+IFERROR(Y483/H483,"0")+IFERROR(Y484/H484,"0")+IFERROR(Y485/H485,"0")</f>
        <v>0</v>
      </c>
      <c r="Z486" s="43">
        <f>IFERROR(IF(Z477="",0,Z477),"0")+IFERROR(IF(Z478="",0,Z478),"0")+IFERROR(IF(Z479="",0,Z479),"0")+IFERROR(IF(Z480="",0,Z480),"0")+IFERROR(IF(Z481="",0,Z481),"0")+IFERROR(IF(Z482="",0,Z482),"0")+IFERROR(IF(Z483="",0,Z483),"0")+IFERROR(IF(Z484="",0,Z484),"0")+IFERROR(IF(Z485="",0,Z485),"0")</f>
        <v>0</v>
      </c>
      <c r="AA486" s="67"/>
      <c r="AB486" s="67"/>
      <c r="AC486" s="67"/>
    </row>
    <row r="487" spans="1:68" x14ac:dyDescent="0.2">
      <c r="A487" s="626"/>
      <c r="B487" s="626"/>
      <c r="C487" s="626"/>
      <c r="D487" s="626"/>
      <c r="E487" s="626"/>
      <c r="F487" s="626"/>
      <c r="G487" s="626"/>
      <c r="H487" s="626"/>
      <c r="I487" s="626"/>
      <c r="J487" s="626"/>
      <c r="K487" s="626"/>
      <c r="L487" s="626"/>
      <c r="M487" s="626"/>
      <c r="N487" s="626"/>
      <c r="O487" s="627"/>
      <c r="P487" s="623" t="s">
        <v>40</v>
      </c>
      <c r="Q487" s="624"/>
      <c r="R487" s="624"/>
      <c r="S487" s="624"/>
      <c r="T487" s="624"/>
      <c r="U487" s="624"/>
      <c r="V487" s="625"/>
      <c r="W487" s="42" t="s">
        <v>0</v>
      </c>
      <c r="X487" s="43">
        <f>IFERROR(SUM(X477:X485),"0")</f>
        <v>0</v>
      </c>
      <c r="Y487" s="43">
        <f>IFERROR(SUM(Y477:Y485),"0")</f>
        <v>0</v>
      </c>
      <c r="Z487" s="42"/>
      <c r="AA487" s="67"/>
      <c r="AB487" s="67"/>
      <c r="AC487" s="67"/>
    </row>
    <row r="488" spans="1:68" ht="14.25" customHeight="1" x14ac:dyDescent="0.25">
      <c r="A488" s="618" t="s">
        <v>166</v>
      </c>
      <c r="B488" s="618"/>
      <c r="C488" s="618"/>
      <c r="D488" s="618"/>
      <c r="E488" s="618"/>
      <c r="F488" s="618"/>
      <c r="G488" s="618"/>
      <c r="H488" s="618"/>
      <c r="I488" s="618"/>
      <c r="J488" s="618"/>
      <c r="K488" s="618"/>
      <c r="L488" s="618"/>
      <c r="M488" s="618"/>
      <c r="N488" s="618"/>
      <c r="O488" s="618"/>
      <c r="P488" s="618"/>
      <c r="Q488" s="618"/>
      <c r="R488" s="618"/>
      <c r="S488" s="618"/>
      <c r="T488" s="618"/>
      <c r="U488" s="618"/>
      <c r="V488" s="618"/>
      <c r="W488" s="618"/>
      <c r="X488" s="618"/>
      <c r="Y488" s="618"/>
      <c r="Z488" s="618"/>
      <c r="AA488" s="66"/>
      <c r="AB488" s="66"/>
      <c r="AC488" s="80"/>
    </row>
    <row r="489" spans="1:68" ht="16.5" customHeight="1" x14ac:dyDescent="0.25">
      <c r="A489" s="63" t="s">
        <v>783</v>
      </c>
      <c r="B489" s="63" t="s">
        <v>784</v>
      </c>
      <c r="C489" s="36">
        <v>4301020334</v>
      </c>
      <c r="D489" s="619">
        <v>4607091388930</v>
      </c>
      <c r="E489" s="619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134</v>
      </c>
      <c r="L489" s="37" t="s">
        <v>46</v>
      </c>
      <c r="M489" s="38" t="s">
        <v>90</v>
      </c>
      <c r="N489" s="38"/>
      <c r="O489" s="37">
        <v>70</v>
      </c>
      <c r="P489" s="64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9" s="621"/>
      <c r="R489" s="621"/>
      <c r="S489" s="621"/>
      <c r="T489" s="62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IFERROR(IF(Y489=0,"",ROUNDUP(Y489/H489,0)*0.01196),"")</f>
        <v/>
      </c>
      <c r="AA489" s="68" t="s">
        <v>46</v>
      </c>
      <c r="AB489" s="69" t="s">
        <v>46</v>
      </c>
      <c r="AC489" s="578" t="s">
        <v>785</v>
      </c>
      <c r="AG489" s="78"/>
      <c r="AJ489" s="84" t="s">
        <v>46</v>
      </c>
      <c r="AK489" s="84">
        <v>0</v>
      </c>
      <c r="BB489" s="579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16.5" customHeight="1" x14ac:dyDescent="0.25">
      <c r="A490" s="63" t="s">
        <v>786</v>
      </c>
      <c r="B490" s="63" t="s">
        <v>787</v>
      </c>
      <c r="C490" s="36">
        <v>4301020374</v>
      </c>
      <c r="D490" s="619">
        <v>4680115886407</v>
      </c>
      <c r="E490" s="619"/>
      <c r="F490" s="62">
        <v>0.4</v>
      </c>
      <c r="G490" s="37">
        <v>6</v>
      </c>
      <c r="H490" s="62">
        <v>2.4</v>
      </c>
      <c r="I490" s="62">
        <v>2.58</v>
      </c>
      <c r="J490" s="37">
        <v>182</v>
      </c>
      <c r="K490" s="37" t="s">
        <v>91</v>
      </c>
      <c r="L490" s="37" t="s">
        <v>46</v>
      </c>
      <c r="M490" s="38" t="s">
        <v>133</v>
      </c>
      <c r="N490" s="38"/>
      <c r="O490" s="37">
        <v>70</v>
      </c>
      <c r="P490" s="6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0" s="621"/>
      <c r="R490" s="621"/>
      <c r="S490" s="621"/>
      <c r="T490" s="62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0" t="s">
        <v>785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customHeight="1" x14ac:dyDescent="0.25">
      <c r="A491" s="63" t="s">
        <v>788</v>
      </c>
      <c r="B491" s="63" t="s">
        <v>789</v>
      </c>
      <c r="C491" s="36">
        <v>4301020385</v>
      </c>
      <c r="D491" s="619">
        <v>4680115880054</v>
      </c>
      <c r="E491" s="619"/>
      <c r="F491" s="62">
        <v>0.6</v>
      </c>
      <c r="G491" s="37">
        <v>8</v>
      </c>
      <c r="H491" s="62">
        <v>4.8</v>
      </c>
      <c r="I491" s="62">
        <v>6.91</v>
      </c>
      <c r="J491" s="37">
        <v>132</v>
      </c>
      <c r="K491" s="37" t="s">
        <v>141</v>
      </c>
      <c r="L491" s="37" t="s">
        <v>46</v>
      </c>
      <c r="M491" s="38" t="s">
        <v>133</v>
      </c>
      <c r="N491" s="38"/>
      <c r="O491" s="37">
        <v>70</v>
      </c>
      <c r="P491" s="6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1" s="621"/>
      <c r="R491" s="621"/>
      <c r="S491" s="621"/>
      <c r="T491" s="6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2" t="s">
        <v>785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x14ac:dyDescent="0.2">
      <c r="A492" s="626"/>
      <c r="B492" s="626"/>
      <c r="C492" s="626"/>
      <c r="D492" s="626"/>
      <c r="E492" s="626"/>
      <c r="F492" s="626"/>
      <c r="G492" s="626"/>
      <c r="H492" s="626"/>
      <c r="I492" s="626"/>
      <c r="J492" s="626"/>
      <c r="K492" s="626"/>
      <c r="L492" s="626"/>
      <c r="M492" s="626"/>
      <c r="N492" s="626"/>
      <c r="O492" s="627"/>
      <c r="P492" s="623" t="s">
        <v>40</v>
      </c>
      <c r="Q492" s="624"/>
      <c r="R492" s="624"/>
      <c r="S492" s="624"/>
      <c r="T492" s="624"/>
      <c r="U492" s="624"/>
      <c r="V492" s="625"/>
      <c r="W492" s="42" t="s">
        <v>39</v>
      </c>
      <c r="X492" s="43">
        <f>IFERROR(X489/H489,"0")+IFERROR(X490/H490,"0")+IFERROR(X491/H491,"0")</f>
        <v>0</v>
      </c>
      <c r="Y492" s="43">
        <f>IFERROR(Y489/H489,"0")+IFERROR(Y490/H490,"0")+IFERROR(Y491/H491,"0")</f>
        <v>0</v>
      </c>
      <c r="Z492" s="43">
        <f>IFERROR(IF(Z489="",0,Z489),"0")+IFERROR(IF(Z490="",0,Z490),"0")+IFERROR(IF(Z491="",0,Z491),"0")</f>
        <v>0</v>
      </c>
      <c r="AA492" s="67"/>
      <c r="AB492" s="67"/>
      <c r="AC492" s="67"/>
    </row>
    <row r="493" spans="1:68" x14ac:dyDescent="0.2">
      <c r="A493" s="626"/>
      <c r="B493" s="626"/>
      <c r="C493" s="626"/>
      <c r="D493" s="626"/>
      <c r="E493" s="626"/>
      <c r="F493" s="626"/>
      <c r="G493" s="626"/>
      <c r="H493" s="626"/>
      <c r="I493" s="626"/>
      <c r="J493" s="626"/>
      <c r="K493" s="626"/>
      <c r="L493" s="626"/>
      <c r="M493" s="626"/>
      <c r="N493" s="626"/>
      <c r="O493" s="627"/>
      <c r="P493" s="623" t="s">
        <v>40</v>
      </c>
      <c r="Q493" s="624"/>
      <c r="R493" s="624"/>
      <c r="S493" s="624"/>
      <c r="T493" s="624"/>
      <c r="U493" s="624"/>
      <c r="V493" s="625"/>
      <c r="W493" s="42" t="s">
        <v>0</v>
      </c>
      <c r="X493" s="43">
        <f>IFERROR(SUM(X489:X491),"0")</f>
        <v>0</v>
      </c>
      <c r="Y493" s="43">
        <f>IFERROR(SUM(Y489:Y491),"0")</f>
        <v>0</v>
      </c>
      <c r="Z493" s="42"/>
      <c r="AA493" s="67"/>
      <c r="AB493" s="67"/>
      <c r="AC493" s="67"/>
    </row>
    <row r="494" spans="1:68" ht="14.25" customHeight="1" x14ac:dyDescent="0.25">
      <c r="A494" s="618" t="s">
        <v>77</v>
      </c>
      <c r="B494" s="618"/>
      <c r="C494" s="618"/>
      <c r="D494" s="618"/>
      <c r="E494" s="618"/>
      <c r="F494" s="618"/>
      <c r="G494" s="618"/>
      <c r="H494" s="618"/>
      <c r="I494" s="618"/>
      <c r="J494" s="618"/>
      <c r="K494" s="618"/>
      <c r="L494" s="618"/>
      <c r="M494" s="618"/>
      <c r="N494" s="618"/>
      <c r="O494" s="618"/>
      <c r="P494" s="618"/>
      <c r="Q494" s="618"/>
      <c r="R494" s="618"/>
      <c r="S494" s="618"/>
      <c r="T494" s="618"/>
      <c r="U494" s="618"/>
      <c r="V494" s="618"/>
      <c r="W494" s="618"/>
      <c r="X494" s="618"/>
      <c r="Y494" s="618"/>
      <c r="Z494" s="618"/>
      <c r="AA494" s="66"/>
      <c r="AB494" s="66"/>
      <c r="AC494" s="80"/>
    </row>
    <row r="495" spans="1:68" ht="27" customHeight="1" x14ac:dyDescent="0.25">
      <c r="A495" s="63" t="s">
        <v>790</v>
      </c>
      <c r="B495" s="63" t="s">
        <v>791</v>
      </c>
      <c r="C495" s="36">
        <v>4301031349</v>
      </c>
      <c r="D495" s="619">
        <v>4680115883116</v>
      </c>
      <c r="E495" s="61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134</v>
      </c>
      <c r="L495" s="37" t="s">
        <v>46</v>
      </c>
      <c r="M495" s="38" t="s">
        <v>133</v>
      </c>
      <c r="N495" s="38"/>
      <c r="O495" s="37">
        <v>70</v>
      </c>
      <c r="P495" s="6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5" s="621"/>
      <c r="R495" s="621"/>
      <c r="S495" s="621"/>
      <c r="T495" s="62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1" si="68">IFERROR(IF(X495="",0,CEILING((X495/$H495),1)*$H495),"")</f>
        <v>0</v>
      </c>
      <c r="Z495" s="41" t="str">
        <f>IFERROR(IF(Y495=0,"",ROUNDUP(Y495/H495,0)*0.01196),"")</f>
        <v/>
      </c>
      <c r="AA495" s="68" t="s">
        <v>46</v>
      </c>
      <c r="AB495" s="69" t="s">
        <v>46</v>
      </c>
      <c r="AC495" s="584" t="s">
        <v>792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1" si="69">IFERROR(X495*I495/H495,"0")</f>
        <v>0</v>
      </c>
      <c r="BN495" s="78">
        <f t="shared" ref="BN495:BN501" si="70">IFERROR(Y495*I495/H495,"0")</f>
        <v>0</v>
      </c>
      <c r="BO495" s="78">
        <f t="shared" ref="BO495:BO501" si="71">IFERROR(1/J495*(X495/H495),"0")</f>
        <v>0</v>
      </c>
      <c r="BP495" s="78">
        <f t="shared" ref="BP495:BP501" si="72">IFERROR(1/J495*(Y495/H495),"0")</f>
        <v>0</v>
      </c>
    </row>
    <row r="496" spans="1:68" ht="27" customHeight="1" x14ac:dyDescent="0.25">
      <c r="A496" s="63" t="s">
        <v>793</v>
      </c>
      <c r="B496" s="63" t="s">
        <v>794</v>
      </c>
      <c r="C496" s="36">
        <v>4301031350</v>
      </c>
      <c r="D496" s="619">
        <v>4680115883093</v>
      </c>
      <c r="E496" s="61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81</v>
      </c>
      <c r="N496" s="38"/>
      <c r="O496" s="37">
        <v>70</v>
      </c>
      <c r="P496" s="6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6" s="621"/>
      <c r="R496" s="621"/>
      <c r="S496" s="621"/>
      <c r="T496" s="62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customHeight="1" x14ac:dyDescent="0.25">
      <c r="A497" s="63" t="s">
        <v>796</v>
      </c>
      <c r="B497" s="63" t="s">
        <v>797</v>
      </c>
      <c r="C497" s="36">
        <v>4301031353</v>
      </c>
      <c r="D497" s="619">
        <v>4680115883109</v>
      </c>
      <c r="E497" s="61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6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7" s="621"/>
      <c r="R497" s="621"/>
      <c r="S497" s="621"/>
      <c r="T497" s="62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ht="27" customHeight="1" x14ac:dyDescent="0.25">
      <c r="A498" s="63" t="s">
        <v>799</v>
      </c>
      <c r="B498" s="63" t="s">
        <v>800</v>
      </c>
      <c r="C498" s="36">
        <v>4301031419</v>
      </c>
      <c r="D498" s="619">
        <v>4680115882072</v>
      </c>
      <c r="E498" s="61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141</v>
      </c>
      <c r="L498" s="37" t="s">
        <v>46</v>
      </c>
      <c r="M498" s="38" t="s">
        <v>133</v>
      </c>
      <c r="N498" s="38"/>
      <c r="O498" s="37">
        <v>70</v>
      </c>
      <c r="P498" s="6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8" s="621"/>
      <c r="R498" s="621"/>
      <c r="S498" s="621"/>
      <c r="T498" s="62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8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0" t="s">
        <v>792</v>
      </c>
      <c r="AG498" s="78"/>
      <c r="AJ498" s="84" t="s">
        <v>46</v>
      </c>
      <c r="AK498" s="84">
        <v>0</v>
      </c>
      <c r="BB498" s="591" t="s">
        <v>67</v>
      </c>
      <c r="BM498" s="78">
        <f t="shared" si="69"/>
        <v>0</v>
      </c>
      <c r="BN498" s="78">
        <f t="shared" si="70"/>
        <v>0</v>
      </c>
      <c r="BO498" s="78">
        <f t="shared" si="71"/>
        <v>0</v>
      </c>
      <c r="BP498" s="78">
        <f t="shared" si="72"/>
        <v>0</v>
      </c>
    </row>
    <row r="499" spans="1:68" ht="27" customHeight="1" x14ac:dyDescent="0.25">
      <c r="A499" s="63" t="s">
        <v>801</v>
      </c>
      <c r="B499" s="63" t="s">
        <v>802</v>
      </c>
      <c r="C499" s="36">
        <v>4301031352</v>
      </c>
      <c r="D499" s="619">
        <v>4680115882102</v>
      </c>
      <c r="E499" s="619"/>
      <c r="F499" s="62">
        <v>0.6</v>
      </c>
      <c r="G499" s="37">
        <v>6</v>
      </c>
      <c r="H499" s="62">
        <v>3.6</v>
      </c>
      <c r="I499" s="62">
        <v>3.79</v>
      </c>
      <c r="J499" s="37">
        <v>132</v>
      </c>
      <c r="K499" s="37" t="s">
        <v>141</v>
      </c>
      <c r="L499" s="37" t="s">
        <v>46</v>
      </c>
      <c r="M499" s="38" t="s">
        <v>81</v>
      </c>
      <c r="N499" s="38"/>
      <c r="O499" s="37">
        <v>70</v>
      </c>
      <c r="P499" s="64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9" s="621"/>
      <c r="R499" s="621"/>
      <c r="S499" s="621"/>
      <c r="T499" s="6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8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69"/>
        <v>0</v>
      </c>
      <c r="BN499" s="78">
        <f t="shared" si="70"/>
        <v>0</v>
      </c>
      <c r="BO499" s="78">
        <f t="shared" si="71"/>
        <v>0</v>
      </c>
      <c r="BP499" s="78">
        <f t="shared" si="72"/>
        <v>0</v>
      </c>
    </row>
    <row r="500" spans="1:68" ht="27" customHeight="1" x14ac:dyDescent="0.25">
      <c r="A500" s="63" t="s">
        <v>801</v>
      </c>
      <c r="B500" s="63" t="s">
        <v>803</v>
      </c>
      <c r="C500" s="36">
        <v>4301031418</v>
      </c>
      <c r="D500" s="619">
        <v>4680115882102</v>
      </c>
      <c r="E500" s="619"/>
      <c r="F500" s="62">
        <v>0.6</v>
      </c>
      <c r="G500" s="37">
        <v>8</v>
      </c>
      <c r="H500" s="62">
        <v>4.8</v>
      </c>
      <c r="I500" s="62">
        <v>6.67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6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0" s="621"/>
      <c r="R500" s="621"/>
      <c r="S500" s="621"/>
      <c r="T500" s="6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8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795</v>
      </c>
      <c r="AG500" s="78"/>
      <c r="AJ500" s="84" t="s">
        <v>46</v>
      </c>
      <c r="AK500" s="84">
        <v>0</v>
      </c>
      <c r="BB500" s="595" t="s">
        <v>67</v>
      </c>
      <c r="BM500" s="78">
        <f t="shared" si="69"/>
        <v>0</v>
      </c>
      <c r="BN500" s="78">
        <f t="shared" si="70"/>
        <v>0</v>
      </c>
      <c r="BO500" s="78">
        <f t="shared" si="71"/>
        <v>0</v>
      </c>
      <c r="BP500" s="78">
        <f t="shared" si="72"/>
        <v>0</v>
      </c>
    </row>
    <row r="501" spans="1:68" ht="27" customHeight="1" x14ac:dyDescent="0.25">
      <c r="A501" s="63" t="s">
        <v>804</v>
      </c>
      <c r="B501" s="63" t="s">
        <v>805</v>
      </c>
      <c r="C501" s="36">
        <v>4301031417</v>
      </c>
      <c r="D501" s="619">
        <v>4680115882096</v>
      </c>
      <c r="E501" s="619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1" s="621"/>
      <c r="R501" s="621"/>
      <c r="S501" s="621"/>
      <c r="T501" s="6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69"/>
        <v>0</v>
      </c>
      <c r="BN501" s="78">
        <f t="shared" si="70"/>
        <v>0</v>
      </c>
      <c r="BO501" s="78">
        <f t="shared" si="71"/>
        <v>0</v>
      </c>
      <c r="BP501" s="78">
        <f t="shared" si="72"/>
        <v>0</v>
      </c>
    </row>
    <row r="502" spans="1:68" x14ac:dyDescent="0.2">
      <c r="A502" s="626"/>
      <c r="B502" s="626"/>
      <c r="C502" s="626"/>
      <c r="D502" s="626"/>
      <c r="E502" s="626"/>
      <c r="F502" s="626"/>
      <c r="G502" s="626"/>
      <c r="H502" s="626"/>
      <c r="I502" s="626"/>
      <c r="J502" s="626"/>
      <c r="K502" s="626"/>
      <c r="L502" s="626"/>
      <c r="M502" s="626"/>
      <c r="N502" s="626"/>
      <c r="O502" s="627"/>
      <c r="P502" s="623" t="s">
        <v>40</v>
      </c>
      <c r="Q502" s="624"/>
      <c r="R502" s="624"/>
      <c r="S502" s="624"/>
      <c r="T502" s="624"/>
      <c r="U502" s="624"/>
      <c r="V502" s="625"/>
      <c r="W502" s="42" t="s">
        <v>39</v>
      </c>
      <c r="X502" s="43">
        <f>IFERROR(X495/H495,"0")+IFERROR(X496/H496,"0")+IFERROR(X497/H497,"0")+IFERROR(X498/H498,"0")+IFERROR(X499/H499,"0")+IFERROR(X500/H500,"0")+IFERROR(X501/H501,"0")</f>
        <v>0</v>
      </c>
      <c r="Y502" s="43">
        <f>IFERROR(Y495/H495,"0")+IFERROR(Y496/H496,"0")+IFERROR(Y497/H497,"0")+IFERROR(Y498/H498,"0")+IFERROR(Y499/H499,"0")+IFERROR(Y500/H500,"0")+IFERROR(Y501/H501,"0")</f>
        <v>0</v>
      </c>
      <c r="Z502" s="43">
        <f>IFERROR(IF(Z495="",0,Z495),"0")+IFERROR(IF(Z496="",0,Z496),"0")+IFERROR(IF(Z497="",0,Z497),"0")+IFERROR(IF(Z498="",0,Z498),"0")+IFERROR(IF(Z499="",0,Z499),"0")+IFERROR(IF(Z500="",0,Z500),"0")+IFERROR(IF(Z501="",0,Z501),"0")</f>
        <v>0</v>
      </c>
      <c r="AA502" s="67"/>
      <c r="AB502" s="67"/>
      <c r="AC502" s="67"/>
    </row>
    <row r="503" spans="1:68" x14ac:dyDescent="0.2">
      <c r="A503" s="626"/>
      <c r="B503" s="626"/>
      <c r="C503" s="626"/>
      <c r="D503" s="626"/>
      <c r="E503" s="626"/>
      <c r="F503" s="626"/>
      <c r="G503" s="626"/>
      <c r="H503" s="626"/>
      <c r="I503" s="626"/>
      <c r="J503" s="626"/>
      <c r="K503" s="626"/>
      <c r="L503" s="626"/>
      <c r="M503" s="626"/>
      <c r="N503" s="626"/>
      <c r="O503" s="627"/>
      <c r="P503" s="623" t="s">
        <v>40</v>
      </c>
      <c r="Q503" s="624"/>
      <c r="R503" s="624"/>
      <c r="S503" s="624"/>
      <c r="T503" s="624"/>
      <c r="U503" s="624"/>
      <c r="V503" s="625"/>
      <c r="W503" s="42" t="s">
        <v>0</v>
      </c>
      <c r="X503" s="43">
        <f>IFERROR(SUM(X495:X501),"0")</f>
        <v>0</v>
      </c>
      <c r="Y503" s="43">
        <f>IFERROR(SUM(Y495:Y501),"0")</f>
        <v>0</v>
      </c>
      <c r="Z503" s="42"/>
      <c r="AA503" s="67"/>
      <c r="AB503" s="67"/>
      <c r="AC503" s="67"/>
    </row>
    <row r="504" spans="1:68" ht="27.75" customHeight="1" x14ac:dyDescent="0.2">
      <c r="A504" s="639" t="s">
        <v>806</v>
      </c>
      <c r="B504" s="639"/>
      <c r="C504" s="639"/>
      <c r="D504" s="639"/>
      <c r="E504" s="639"/>
      <c r="F504" s="639"/>
      <c r="G504" s="639"/>
      <c r="H504" s="639"/>
      <c r="I504" s="639"/>
      <c r="J504" s="639"/>
      <c r="K504" s="639"/>
      <c r="L504" s="639"/>
      <c r="M504" s="639"/>
      <c r="N504" s="639"/>
      <c r="O504" s="639"/>
      <c r="P504" s="639"/>
      <c r="Q504" s="639"/>
      <c r="R504" s="639"/>
      <c r="S504" s="639"/>
      <c r="T504" s="639"/>
      <c r="U504" s="639"/>
      <c r="V504" s="639"/>
      <c r="W504" s="639"/>
      <c r="X504" s="639"/>
      <c r="Y504" s="639"/>
      <c r="Z504" s="639"/>
      <c r="AA504" s="54"/>
      <c r="AB504" s="54"/>
      <c r="AC504" s="54"/>
    </row>
    <row r="505" spans="1:68" ht="16.5" customHeight="1" x14ac:dyDescent="0.25">
      <c r="A505" s="634" t="s">
        <v>806</v>
      </c>
      <c r="B505" s="634"/>
      <c r="C505" s="634"/>
      <c r="D505" s="634"/>
      <c r="E505" s="634"/>
      <c r="F505" s="634"/>
      <c r="G505" s="634"/>
      <c r="H505" s="634"/>
      <c r="I505" s="634"/>
      <c r="J505" s="634"/>
      <c r="K505" s="634"/>
      <c r="L505" s="634"/>
      <c r="M505" s="634"/>
      <c r="N505" s="634"/>
      <c r="O505" s="634"/>
      <c r="P505" s="634"/>
      <c r="Q505" s="634"/>
      <c r="R505" s="634"/>
      <c r="S505" s="634"/>
      <c r="T505" s="634"/>
      <c r="U505" s="634"/>
      <c r="V505" s="634"/>
      <c r="W505" s="634"/>
      <c r="X505" s="634"/>
      <c r="Y505" s="634"/>
      <c r="Z505" s="634"/>
      <c r="AA505" s="65"/>
      <c r="AB505" s="65"/>
      <c r="AC505" s="79"/>
    </row>
    <row r="506" spans="1:68" ht="14.25" customHeight="1" x14ac:dyDescent="0.25">
      <c r="A506" s="618" t="s">
        <v>129</v>
      </c>
      <c r="B506" s="618"/>
      <c r="C506" s="618"/>
      <c r="D506" s="618"/>
      <c r="E506" s="618"/>
      <c r="F506" s="618"/>
      <c r="G506" s="618"/>
      <c r="H506" s="618"/>
      <c r="I506" s="618"/>
      <c r="J506" s="618"/>
      <c r="K506" s="618"/>
      <c r="L506" s="618"/>
      <c r="M506" s="618"/>
      <c r="N506" s="618"/>
      <c r="O506" s="618"/>
      <c r="P506" s="618"/>
      <c r="Q506" s="618"/>
      <c r="R506" s="618"/>
      <c r="S506" s="618"/>
      <c r="T506" s="618"/>
      <c r="U506" s="618"/>
      <c r="V506" s="618"/>
      <c r="W506" s="618"/>
      <c r="X506" s="618"/>
      <c r="Y506" s="618"/>
      <c r="Z506" s="618"/>
      <c r="AA506" s="66"/>
      <c r="AB506" s="66"/>
      <c r="AC506" s="80"/>
    </row>
    <row r="507" spans="1:68" ht="27" customHeight="1" x14ac:dyDescent="0.25">
      <c r="A507" s="63" t="s">
        <v>807</v>
      </c>
      <c r="B507" s="63" t="s">
        <v>808</v>
      </c>
      <c r="C507" s="36">
        <v>4301011584</v>
      </c>
      <c r="D507" s="619">
        <v>4640242180564</v>
      </c>
      <c r="E507" s="619"/>
      <c r="F507" s="62">
        <v>1.5</v>
      </c>
      <c r="G507" s="37">
        <v>8</v>
      </c>
      <c r="H507" s="62">
        <v>12</v>
      </c>
      <c r="I507" s="62">
        <v>12.41</v>
      </c>
      <c r="J507" s="37">
        <v>64</v>
      </c>
      <c r="K507" s="37" t="s">
        <v>134</v>
      </c>
      <c r="L507" s="37" t="s">
        <v>46</v>
      </c>
      <c r="M507" s="38" t="s">
        <v>133</v>
      </c>
      <c r="N507" s="38"/>
      <c r="O507" s="37">
        <v>50</v>
      </c>
      <c r="P507" s="6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7" s="621"/>
      <c r="R507" s="621"/>
      <c r="S507" s="621"/>
      <c r="T507" s="62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IFERROR(IF(Y507=0,"",ROUNDUP(Y507/H507,0)*0.01898),"")</f>
        <v/>
      </c>
      <c r="AA507" s="68" t="s">
        <v>46</v>
      </c>
      <c r="AB507" s="69" t="s">
        <v>46</v>
      </c>
      <c r="AC507" s="598" t="s">
        <v>809</v>
      </c>
      <c r="AG507" s="78"/>
      <c r="AJ507" s="84" t="s">
        <v>46</v>
      </c>
      <c r="AK507" s="84">
        <v>0</v>
      </c>
      <c r="BB507" s="599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x14ac:dyDescent="0.2">
      <c r="A508" s="626"/>
      <c r="B508" s="626"/>
      <c r="C508" s="626"/>
      <c r="D508" s="626"/>
      <c r="E508" s="626"/>
      <c r="F508" s="626"/>
      <c r="G508" s="626"/>
      <c r="H508" s="626"/>
      <c r="I508" s="626"/>
      <c r="J508" s="626"/>
      <c r="K508" s="626"/>
      <c r="L508" s="626"/>
      <c r="M508" s="626"/>
      <c r="N508" s="626"/>
      <c r="O508" s="627"/>
      <c r="P508" s="623" t="s">
        <v>40</v>
      </c>
      <c r="Q508" s="624"/>
      <c r="R508" s="624"/>
      <c r="S508" s="624"/>
      <c r="T508" s="624"/>
      <c r="U508" s="624"/>
      <c r="V508" s="625"/>
      <c r="W508" s="42" t="s">
        <v>39</v>
      </c>
      <c r="X508" s="43">
        <f>IFERROR(X507/H507,"0")</f>
        <v>0</v>
      </c>
      <c r="Y508" s="43">
        <f>IFERROR(Y507/H507,"0")</f>
        <v>0</v>
      </c>
      <c r="Z508" s="43">
        <f>IFERROR(IF(Z507="",0,Z507),"0")</f>
        <v>0</v>
      </c>
      <c r="AA508" s="67"/>
      <c r="AB508" s="67"/>
      <c r="AC508" s="67"/>
    </row>
    <row r="509" spans="1:68" x14ac:dyDescent="0.2">
      <c r="A509" s="626"/>
      <c r="B509" s="626"/>
      <c r="C509" s="626"/>
      <c r="D509" s="626"/>
      <c r="E509" s="626"/>
      <c r="F509" s="626"/>
      <c r="G509" s="626"/>
      <c r="H509" s="626"/>
      <c r="I509" s="626"/>
      <c r="J509" s="626"/>
      <c r="K509" s="626"/>
      <c r="L509" s="626"/>
      <c r="M509" s="626"/>
      <c r="N509" s="626"/>
      <c r="O509" s="627"/>
      <c r="P509" s="623" t="s">
        <v>40</v>
      </c>
      <c r="Q509" s="624"/>
      <c r="R509" s="624"/>
      <c r="S509" s="624"/>
      <c r="T509" s="624"/>
      <c r="U509" s="624"/>
      <c r="V509" s="625"/>
      <c r="W509" s="42" t="s">
        <v>0</v>
      </c>
      <c r="X509" s="43">
        <f>IFERROR(SUM(X507:X507),"0")</f>
        <v>0</v>
      </c>
      <c r="Y509" s="43">
        <f>IFERROR(SUM(Y507:Y507),"0")</f>
        <v>0</v>
      </c>
      <c r="Z509" s="42"/>
      <c r="AA509" s="67"/>
      <c r="AB509" s="67"/>
      <c r="AC509" s="67"/>
    </row>
    <row r="510" spans="1:68" ht="14.25" customHeight="1" x14ac:dyDescent="0.25">
      <c r="A510" s="618" t="s">
        <v>166</v>
      </c>
      <c r="B510" s="618"/>
      <c r="C510" s="618"/>
      <c r="D510" s="618"/>
      <c r="E510" s="618"/>
      <c r="F510" s="618"/>
      <c r="G510" s="618"/>
      <c r="H510" s="618"/>
      <c r="I510" s="618"/>
      <c r="J510" s="618"/>
      <c r="K510" s="618"/>
      <c r="L510" s="618"/>
      <c r="M510" s="618"/>
      <c r="N510" s="618"/>
      <c r="O510" s="618"/>
      <c r="P510" s="618"/>
      <c r="Q510" s="618"/>
      <c r="R510" s="618"/>
      <c r="S510" s="618"/>
      <c r="T510" s="618"/>
      <c r="U510" s="618"/>
      <c r="V510" s="618"/>
      <c r="W510" s="618"/>
      <c r="X510" s="618"/>
      <c r="Y510" s="618"/>
      <c r="Z510" s="618"/>
      <c r="AA510" s="66"/>
      <c r="AB510" s="66"/>
      <c r="AC510" s="80"/>
    </row>
    <row r="511" spans="1:68" ht="27" customHeight="1" x14ac:dyDescent="0.25">
      <c r="A511" s="63" t="s">
        <v>810</v>
      </c>
      <c r="B511" s="63" t="s">
        <v>811</v>
      </c>
      <c r="C511" s="36">
        <v>4301020400</v>
      </c>
      <c r="D511" s="619">
        <v>4640242180519</v>
      </c>
      <c r="E511" s="619"/>
      <c r="F511" s="62">
        <v>1.5</v>
      </c>
      <c r="G511" s="37">
        <v>8</v>
      </c>
      <c r="H511" s="62">
        <v>12</v>
      </c>
      <c r="I511" s="62">
        <v>12.41</v>
      </c>
      <c r="J511" s="37">
        <v>64</v>
      </c>
      <c r="K511" s="37" t="s">
        <v>134</v>
      </c>
      <c r="L511" s="37" t="s">
        <v>46</v>
      </c>
      <c r="M511" s="38" t="s">
        <v>133</v>
      </c>
      <c r="N511" s="38"/>
      <c r="O511" s="37">
        <v>50</v>
      </c>
      <c r="P511" s="63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1" s="621"/>
      <c r="R511" s="621"/>
      <c r="S511" s="621"/>
      <c r="T511" s="6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IFERROR(IF(Y511=0,"",ROUNDUP(Y511/H511,0)*0.01898),"")</f>
        <v/>
      </c>
      <c r="AA511" s="68" t="s">
        <v>46</v>
      </c>
      <c r="AB511" s="69" t="s">
        <v>46</v>
      </c>
      <c r="AC511" s="600" t="s">
        <v>812</v>
      </c>
      <c r="AG511" s="78"/>
      <c r="AJ511" s="84" t="s">
        <v>46</v>
      </c>
      <c r="AK511" s="84">
        <v>0</v>
      </c>
      <c r="BB511" s="601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x14ac:dyDescent="0.2">
      <c r="A512" s="626"/>
      <c r="B512" s="626"/>
      <c r="C512" s="626"/>
      <c r="D512" s="626"/>
      <c r="E512" s="626"/>
      <c r="F512" s="626"/>
      <c r="G512" s="626"/>
      <c r="H512" s="626"/>
      <c r="I512" s="626"/>
      <c r="J512" s="626"/>
      <c r="K512" s="626"/>
      <c r="L512" s="626"/>
      <c r="M512" s="626"/>
      <c r="N512" s="626"/>
      <c r="O512" s="627"/>
      <c r="P512" s="623" t="s">
        <v>40</v>
      </c>
      <c r="Q512" s="624"/>
      <c r="R512" s="624"/>
      <c r="S512" s="624"/>
      <c r="T512" s="624"/>
      <c r="U512" s="624"/>
      <c r="V512" s="625"/>
      <c r="W512" s="42" t="s">
        <v>39</v>
      </c>
      <c r="X512" s="43">
        <f>IFERROR(X511/H511,"0")</f>
        <v>0</v>
      </c>
      <c r="Y512" s="43">
        <f>IFERROR(Y511/H511,"0")</f>
        <v>0</v>
      </c>
      <c r="Z512" s="43">
        <f>IFERROR(IF(Z511="",0,Z511),"0")</f>
        <v>0</v>
      </c>
      <c r="AA512" s="67"/>
      <c r="AB512" s="67"/>
      <c r="AC512" s="67"/>
    </row>
    <row r="513" spans="1:68" x14ac:dyDescent="0.2">
      <c r="A513" s="626"/>
      <c r="B513" s="626"/>
      <c r="C513" s="626"/>
      <c r="D513" s="626"/>
      <c r="E513" s="626"/>
      <c r="F513" s="626"/>
      <c r="G513" s="626"/>
      <c r="H513" s="626"/>
      <c r="I513" s="626"/>
      <c r="J513" s="626"/>
      <c r="K513" s="626"/>
      <c r="L513" s="626"/>
      <c r="M513" s="626"/>
      <c r="N513" s="626"/>
      <c r="O513" s="627"/>
      <c r="P513" s="623" t="s">
        <v>40</v>
      </c>
      <c r="Q513" s="624"/>
      <c r="R513" s="624"/>
      <c r="S513" s="624"/>
      <c r="T513" s="624"/>
      <c r="U513" s="624"/>
      <c r="V513" s="625"/>
      <c r="W513" s="42" t="s">
        <v>0</v>
      </c>
      <c r="X513" s="43">
        <f>IFERROR(SUM(X511:X511),"0")</f>
        <v>0</v>
      </c>
      <c r="Y513" s="43">
        <f>IFERROR(SUM(Y511:Y511),"0")</f>
        <v>0</v>
      </c>
      <c r="Z513" s="42"/>
      <c r="AA513" s="67"/>
      <c r="AB513" s="67"/>
      <c r="AC513" s="67"/>
    </row>
    <row r="514" spans="1:68" ht="14.25" customHeight="1" x14ac:dyDescent="0.25">
      <c r="A514" s="618" t="s">
        <v>77</v>
      </c>
      <c r="B514" s="618"/>
      <c r="C514" s="618"/>
      <c r="D514" s="618"/>
      <c r="E514" s="618"/>
      <c r="F514" s="618"/>
      <c r="G514" s="618"/>
      <c r="H514" s="618"/>
      <c r="I514" s="618"/>
      <c r="J514" s="618"/>
      <c r="K514" s="618"/>
      <c r="L514" s="618"/>
      <c r="M514" s="618"/>
      <c r="N514" s="618"/>
      <c r="O514" s="618"/>
      <c r="P514" s="618"/>
      <c r="Q514" s="618"/>
      <c r="R514" s="618"/>
      <c r="S514" s="618"/>
      <c r="T514" s="618"/>
      <c r="U514" s="618"/>
      <c r="V514" s="618"/>
      <c r="W514" s="618"/>
      <c r="X514" s="618"/>
      <c r="Y514" s="618"/>
      <c r="Z514" s="618"/>
      <c r="AA514" s="66"/>
      <c r="AB514" s="66"/>
      <c r="AC514" s="80"/>
    </row>
    <row r="515" spans="1:68" ht="27" customHeight="1" x14ac:dyDescent="0.25">
      <c r="A515" s="63" t="s">
        <v>813</v>
      </c>
      <c r="B515" s="63" t="s">
        <v>814</v>
      </c>
      <c r="C515" s="36">
        <v>4301031467</v>
      </c>
      <c r="D515" s="619">
        <v>4640242180595</v>
      </c>
      <c r="E515" s="619"/>
      <c r="F515" s="62">
        <v>0.8</v>
      </c>
      <c r="G515" s="37">
        <v>6</v>
      </c>
      <c r="H515" s="62">
        <v>4.8</v>
      </c>
      <c r="I515" s="62">
        <v>5.05</v>
      </c>
      <c r="J515" s="37">
        <v>132</v>
      </c>
      <c r="K515" s="37" t="s">
        <v>141</v>
      </c>
      <c r="L515" s="37" t="s">
        <v>46</v>
      </c>
      <c r="M515" s="38" t="s">
        <v>81</v>
      </c>
      <c r="N515" s="38"/>
      <c r="O515" s="37">
        <v>40</v>
      </c>
      <c r="P515" s="63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5" s="621"/>
      <c r="R515" s="621"/>
      <c r="S515" s="621"/>
      <c r="T515" s="622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2" t="s">
        <v>815</v>
      </c>
      <c r="AG515" s="78"/>
      <c r="AJ515" s="84" t="s">
        <v>46</v>
      </c>
      <c r="AK515" s="84">
        <v>0</v>
      </c>
      <c r="BB515" s="603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27" customHeight="1" x14ac:dyDescent="0.25">
      <c r="A516" s="63" t="s">
        <v>813</v>
      </c>
      <c r="B516" s="63" t="s">
        <v>816</v>
      </c>
      <c r="C516" s="36">
        <v>4301031500</v>
      </c>
      <c r="D516" s="619">
        <v>4640242180595</v>
      </c>
      <c r="E516" s="619"/>
      <c r="F516" s="62">
        <v>0.7</v>
      </c>
      <c r="G516" s="37">
        <v>6</v>
      </c>
      <c r="H516" s="62">
        <v>4.2</v>
      </c>
      <c r="I516" s="62">
        <v>4.45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63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21"/>
      <c r="R516" s="621"/>
      <c r="S516" s="621"/>
      <c r="T516" s="622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817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26"/>
      <c r="B517" s="626"/>
      <c r="C517" s="626"/>
      <c r="D517" s="626"/>
      <c r="E517" s="626"/>
      <c r="F517" s="626"/>
      <c r="G517" s="626"/>
      <c r="H517" s="626"/>
      <c r="I517" s="626"/>
      <c r="J517" s="626"/>
      <c r="K517" s="626"/>
      <c r="L517" s="626"/>
      <c r="M517" s="626"/>
      <c r="N517" s="626"/>
      <c r="O517" s="627"/>
      <c r="P517" s="623" t="s">
        <v>40</v>
      </c>
      <c r="Q517" s="624"/>
      <c r="R517" s="624"/>
      <c r="S517" s="624"/>
      <c r="T517" s="624"/>
      <c r="U517" s="624"/>
      <c r="V517" s="625"/>
      <c r="W517" s="42" t="s">
        <v>39</v>
      </c>
      <c r="X517" s="43">
        <f>IFERROR(X515/H515,"0")+IFERROR(X516/H516,"0")</f>
        <v>0</v>
      </c>
      <c r="Y517" s="43">
        <f>IFERROR(Y515/H515,"0")+IFERROR(Y516/H516,"0")</f>
        <v>0</v>
      </c>
      <c r="Z517" s="43">
        <f>IFERROR(IF(Z515="",0,Z515),"0")+IFERROR(IF(Z516="",0,Z516),"0")</f>
        <v>0</v>
      </c>
      <c r="AA517" s="67"/>
      <c r="AB517" s="67"/>
      <c r="AC517" s="67"/>
    </row>
    <row r="518" spans="1:68" x14ac:dyDescent="0.2">
      <c r="A518" s="626"/>
      <c r="B518" s="626"/>
      <c r="C518" s="626"/>
      <c r="D518" s="626"/>
      <c r="E518" s="626"/>
      <c r="F518" s="626"/>
      <c r="G518" s="626"/>
      <c r="H518" s="626"/>
      <c r="I518" s="626"/>
      <c r="J518" s="626"/>
      <c r="K518" s="626"/>
      <c r="L518" s="626"/>
      <c r="M518" s="626"/>
      <c r="N518" s="626"/>
      <c r="O518" s="627"/>
      <c r="P518" s="623" t="s">
        <v>40</v>
      </c>
      <c r="Q518" s="624"/>
      <c r="R518" s="624"/>
      <c r="S518" s="624"/>
      <c r="T518" s="624"/>
      <c r="U518" s="624"/>
      <c r="V518" s="625"/>
      <c r="W518" s="42" t="s">
        <v>0</v>
      </c>
      <c r="X518" s="43">
        <f>IFERROR(SUM(X515:X516),"0")</f>
        <v>0</v>
      </c>
      <c r="Y518" s="43">
        <f>IFERROR(SUM(Y515:Y516),"0")</f>
        <v>0</v>
      </c>
      <c r="Z518" s="42"/>
      <c r="AA518" s="67"/>
      <c r="AB518" s="67"/>
      <c r="AC518" s="67"/>
    </row>
    <row r="519" spans="1:68" ht="14.25" customHeight="1" x14ac:dyDescent="0.25">
      <c r="A519" s="618" t="s">
        <v>86</v>
      </c>
      <c r="B519" s="618"/>
      <c r="C519" s="618"/>
      <c r="D519" s="618"/>
      <c r="E519" s="618"/>
      <c r="F519" s="618"/>
      <c r="G519" s="618"/>
      <c r="H519" s="618"/>
      <c r="I519" s="618"/>
      <c r="J519" s="618"/>
      <c r="K519" s="618"/>
      <c r="L519" s="618"/>
      <c r="M519" s="618"/>
      <c r="N519" s="618"/>
      <c r="O519" s="618"/>
      <c r="P519" s="618"/>
      <c r="Q519" s="618"/>
      <c r="R519" s="618"/>
      <c r="S519" s="618"/>
      <c r="T519" s="618"/>
      <c r="U519" s="618"/>
      <c r="V519" s="618"/>
      <c r="W519" s="618"/>
      <c r="X519" s="618"/>
      <c r="Y519" s="618"/>
      <c r="Z519" s="618"/>
      <c r="AA519" s="66"/>
      <c r="AB519" s="66"/>
      <c r="AC519" s="80"/>
    </row>
    <row r="520" spans="1:68" ht="27" customHeight="1" x14ac:dyDescent="0.25">
      <c r="A520" s="63" t="s">
        <v>818</v>
      </c>
      <c r="B520" s="63" t="s">
        <v>819</v>
      </c>
      <c r="C520" s="36">
        <v>4301052043</v>
      </c>
      <c r="D520" s="619">
        <v>4640242180533</v>
      </c>
      <c r="E520" s="619"/>
      <c r="F520" s="62">
        <v>1.5</v>
      </c>
      <c r="G520" s="37">
        <v>6</v>
      </c>
      <c r="H520" s="62">
        <v>9</v>
      </c>
      <c r="I520" s="62">
        <v>9.4939999999999998</v>
      </c>
      <c r="J520" s="37">
        <v>64</v>
      </c>
      <c r="K520" s="37" t="s">
        <v>134</v>
      </c>
      <c r="L520" s="37" t="s">
        <v>46</v>
      </c>
      <c r="M520" s="38" t="s">
        <v>90</v>
      </c>
      <c r="N520" s="38"/>
      <c r="O520" s="37">
        <v>45</v>
      </c>
      <c r="P520" s="63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0" s="621"/>
      <c r="R520" s="621"/>
      <c r="S520" s="621"/>
      <c r="T520" s="62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06" t="s">
        <v>820</v>
      </c>
      <c r="AG520" s="78"/>
      <c r="AJ520" s="84" t="s">
        <v>46</v>
      </c>
      <c r="AK520" s="84">
        <v>0</v>
      </c>
      <c r="BB520" s="60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26"/>
      <c r="B521" s="626"/>
      <c r="C521" s="626"/>
      <c r="D521" s="626"/>
      <c r="E521" s="626"/>
      <c r="F521" s="626"/>
      <c r="G521" s="626"/>
      <c r="H521" s="626"/>
      <c r="I521" s="626"/>
      <c r="J521" s="626"/>
      <c r="K521" s="626"/>
      <c r="L521" s="626"/>
      <c r="M521" s="626"/>
      <c r="N521" s="626"/>
      <c r="O521" s="627"/>
      <c r="P521" s="623" t="s">
        <v>40</v>
      </c>
      <c r="Q521" s="624"/>
      <c r="R521" s="624"/>
      <c r="S521" s="624"/>
      <c r="T521" s="624"/>
      <c r="U521" s="624"/>
      <c r="V521" s="625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x14ac:dyDescent="0.2">
      <c r="A522" s="626"/>
      <c r="B522" s="626"/>
      <c r="C522" s="626"/>
      <c r="D522" s="626"/>
      <c r="E522" s="626"/>
      <c r="F522" s="626"/>
      <c r="G522" s="626"/>
      <c r="H522" s="626"/>
      <c r="I522" s="626"/>
      <c r="J522" s="626"/>
      <c r="K522" s="626"/>
      <c r="L522" s="626"/>
      <c r="M522" s="626"/>
      <c r="N522" s="626"/>
      <c r="O522" s="627"/>
      <c r="P522" s="623" t="s">
        <v>40</v>
      </c>
      <c r="Q522" s="624"/>
      <c r="R522" s="624"/>
      <c r="S522" s="624"/>
      <c r="T522" s="624"/>
      <c r="U522" s="624"/>
      <c r="V522" s="625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customHeight="1" x14ac:dyDescent="0.25">
      <c r="A523" s="618" t="s">
        <v>183</v>
      </c>
      <c r="B523" s="618"/>
      <c r="C523" s="618"/>
      <c r="D523" s="618"/>
      <c r="E523" s="618"/>
      <c r="F523" s="618"/>
      <c r="G523" s="618"/>
      <c r="H523" s="618"/>
      <c r="I523" s="618"/>
      <c r="J523" s="618"/>
      <c r="K523" s="618"/>
      <c r="L523" s="618"/>
      <c r="M523" s="618"/>
      <c r="N523" s="618"/>
      <c r="O523" s="618"/>
      <c r="P523" s="618"/>
      <c r="Q523" s="618"/>
      <c r="R523" s="618"/>
      <c r="S523" s="618"/>
      <c r="T523" s="618"/>
      <c r="U523" s="618"/>
      <c r="V523" s="618"/>
      <c r="W523" s="618"/>
      <c r="X523" s="618"/>
      <c r="Y523" s="618"/>
      <c r="Z523" s="618"/>
      <c r="AA523" s="66"/>
      <c r="AB523" s="66"/>
      <c r="AC523" s="80"/>
    </row>
    <row r="524" spans="1:68" ht="27" customHeight="1" x14ac:dyDescent="0.25">
      <c r="A524" s="63" t="s">
        <v>821</v>
      </c>
      <c r="B524" s="63" t="s">
        <v>822</v>
      </c>
      <c r="C524" s="36">
        <v>4301060535</v>
      </c>
      <c r="D524" s="619">
        <v>4640242180120</v>
      </c>
      <c r="E524" s="619"/>
      <c r="F524" s="62">
        <v>1.5</v>
      </c>
      <c r="G524" s="37">
        <v>6</v>
      </c>
      <c r="H524" s="62">
        <v>9</v>
      </c>
      <c r="I524" s="62">
        <v>9.41</v>
      </c>
      <c r="J524" s="37">
        <v>64</v>
      </c>
      <c r="K524" s="37" t="s">
        <v>134</v>
      </c>
      <c r="L524" s="37" t="s">
        <v>46</v>
      </c>
      <c r="M524" s="38" t="s">
        <v>90</v>
      </c>
      <c r="N524" s="38"/>
      <c r="O524" s="37">
        <v>40</v>
      </c>
      <c r="P524" s="63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4" s="621"/>
      <c r="R524" s="621"/>
      <c r="S524" s="621"/>
      <c r="T524" s="622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IFERROR(IF(Y524=0,"",ROUNDUP(Y524/H524,0)*0.01898),"")</f>
        <v/>
      </c>
      <c r="AA524" s="68" t="s">
        <v>46</v>
      </c>
      <c r="AB524" s="69" t="s">
        <v>46</v>
      </c>
      <c r="AC524" s="608" t="s">
        <v>823</v>
      </c>
      <c r="AG524" s="78"/>
      <c r="AJ524" s="84" t="s">
        <v>46</v>
      </c>
      <c r="AK524" s="84">
        <v>0</v>
      </c>
      <c r="BB524" s="609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customHeight="1" x14ac:dyDescent="0.25">
      <c r="A525" s="63" t="s">
        <v>824</v>
      </c>
      <c r="B525" s="63" t="s">
        <v>825</v>
      </c>
      <c r="C525" s="36">
        <v>4301060536</v>
      </c>
      <c r="D525" s="619">
        <v>4640242180137</v>
      </c>
      <c r="E525" s="619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63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5" s="621"/>
      <c r="R525" s="621"/>
      <c r="S525" s="621"/>
      <c r="T525" s="62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26"/>
      <c r="B526" s="626"/>
      <c r="C526" s="626"/>
      <c r="D526" s="626"/>
      <c r="E526" s="626"/>
      <c r="F526" s="626"/>
      <c r="G526" s="626"/>
      <c r="H526" s="626"/>
      <c r="I526" s="626"/>
      <c r="J526" s="626"/>
      <c r="K526" s="626"/>
      <c r="L526" s="626"/>
      <c r="M526" s="626"/>
      <c r="N526" s="626"/>
      <c r="O526" s="627"/>
      <c r="P526" s="623" t="s">
        <v>40</v>
      </c>
      <c r="Q526" s="624"/>
      <c r="R526" s="624"/>
      <c r="S526" s="624"/>
      <c r="T526" s="624"/>
      <c r="U526" s="624"/>
      <c r="V526" s="625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x14ac:dyDescent="0.2">
      <c r="A527" s="626"/>
      <c r="B527" s="626"/>
      <c r="C527" s="626"/>
      <c r="D527" s="626"/>
      <c r="E527" s="626"/>
      <c r="F527" s="626"/>
      <c r="G527" s="626"/>
      <c r="H527" s="626"/>
      <c r="I527" s="626"/>
      <c r="J527" s="626"/>
      <c r="K527" s="626"/>
      <c r="L527" s="626"/>
      <c r="M527" s="626"/>
      <c r="N527" s="626"/>
      <c r="O527" s="627"/>
      <c r="P527" s="623" t="s">
        <v>40</v>
      </c>
      <c r="Q527" s="624"/>
      <c r="R527" s="624"/>
      <c r="S527" s="624"/>
      <c r="T527" s="624"/>
      <c r="U527" s="624"/>
      <c r="V527" s="625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6.5" customHeight="1" x14ac:dyDescent="0.25">
      <c r="A528" s="634" t="s">
        <v>827</v>
      </c>
      <c r="B528" s="634"/>
      <c r="C528" s="634"/>
      <c r="D528" s="634"/>
      <c r="E528" s="634"/>
      <c r="F528" s="634"/>
      <c r="G528" s="634"/>
      <c r="H528" s="634"/>
      <c r="I528" s="634"/>
      <c r="J528" s="634"/>
      <c r="K528" s="634"/>
      <c r="L528" s="634"/>
      <c r="M528" s="634"/>
      <c r="N528" s="634"/>
      <c r="O528" s="634"/>
      <c r="P528" s="634"/>
      <c r="Q528" s="634"/>
      <c r="R528" s="634"/>
      <c r="S528" s="634"/>
      <c r="T528" s="634"/>
      <c r="U528" s="634"/>
      <c r="V528" s="634"/>
      <c r="W528" s="634"/>
      <c r="X528" s="634"/>
      <c r="Y528" s="634"/>
      <c r="Z528" s="634"/>
      <c r="AA528" s="65"/>
      <c r="AB528" s="65"/>
      <c r="AC528" s="79"/>
    </row>
    <row r="529" spans="1:68" ht="14.25" customHeight="1" x14ac:dyDescent="0.25">
      <c r="A529" s="618" t="s">
        <v>166</v>
      </c>
      <c r="B529" s="618"/>
      <c r="C529" s="618"/>
      <c r="D529" s="618"/>
      <c r="E529" s="618"/>
      <c r="F529" s="618"/>
      <c r="G529" s="618"/>
      <c r="H529" s="618"/>
      <c r="I529" s="618"/>
      <c r="J529" s="618"/>
      <c r="K529" s="618"/>
      <c r="L529" s="618"/>
      <c r="M529" s="618"/>
      <c r="N529" s="618"/>
      <c r="O529" s="618"/>
      <c r="P529" s="618"/>
      <c r="Q529" s="618"/>
      <c r="R529" s="618"/>
      <c r="S529" s="618"/>
      <c r="T529" s="618"/>
      <c r="U529" s="618"/>
      <c r="V529" s="618"/>
      <c r="W529" s="618"/>
      <c r="X529" s="618"/>
      <c r="Y529" s="618"/>
      <c r="Z529" s="618"/>
      <c r="AA529" s="66"/>
      <c r="AB529" s="66"/>
      <c r="AC529" s="80"/>
    </row>
    <row r="530" spans="1:68" ht="27" customHeight="1" x14ac:dyDescent="0.25">
      <c r="A530" s="63" t="s">
        <v>828</v>
      </c>
      <c r="B530" s="63" t="s">
        <v>829</v>
      </c>
      <c r="C530" s="36">
        <v>4301020428</v>
      </c>
      <c r="D530" s="619">
        <v>4640242180090</v>
      </c>
      <c r="E530" s="61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134</v>
      </c>
      <c r="L530" s="37" t="s">
        <v>46</v>
      </c>
      <c r="M530" s="38" t="s">
        <v>133</v>
      </c>
      <c r="N530" s="38"/>
      <c r="O530" s="37">
        <v>50</v>
      </c>
      <c r="P530" s="6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0" s="621"/>
      <c r="R530" s="621"/>
      <c r="S530" s="621"/>
      <c r="T530" s="62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12" t="s">
        <v>830</v>
      </c>
      <c r="AG530" s="78"/>
      <c r="AJ530" s="84" t="s">
        <v>46</v>
      </c>
      <c r="AK530" s="84">
        <v>0</v>
      </c>
      <c r="BB530" s="613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626"/>
      <c r="B531" s="626"/>
      <c r="C531" s="626"/>
      <c r="D531" s="626"/>
      <c r="E531" s="626"/>
      <c r="F531" s="626"/>
      <c r="G531" s="626"/>
      <c r="H531" s="626"/>
      <c r="I531" s="626"/>
      <c r="J531" s="626"/>
      <c r="K531" s="626"/>
      <c r="L531" s="626"/>
      <c r="M531" s="626"/>
      <c r="N531" s="626"/>
      <c r="O531" s="627"/>
      <c r="P531" s="623" t="s">
        <v>40</v>
      </c>
      <c r="Q531" s="624"/>
      <c r="R531" s="624"/>
      <c r="S531" s="624"/>
      <c r="T531" s="624"/>
      <c r="U531" s="624"/>
      <c r="V531" s="625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626"/>
      <c r="B532" s="626"/>
      <c r="C532" s="626"/>
      <c r="D532" s="626"/>
      <c r="E532" s="626"/>
      <c r="F532" s="626"/>
      <c r="G532" s="626"/>
      <c r="H532" s="626"/>
      <c r="I532" s="626"/>
      <c r="J532" s="626"/>
      <c r="K532" s="626"/>
      <c r="L532" s="626"/>
      <c r="M532" s="626"/>
      <c r="N532" s="626"/>
      <c r="O532" s="627"/>
      <c r="P532" s="623" t="s">
        <v>40</v>
      </c>
      <c r="Q532" s="624"/>
      <c r="R532" s="624"/>
      <c r="S532" s="624"/>
      <c r="T532" s="624"/>
      <c r="U532" s="624"/>
      <c r="V532" s="625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5" customHeight="1" x14ac:dyDescent="0.2">
      <c r="A533" s="626"/>
      <c r="B533" s="626"/>
      <c r="C533" s="626"/>
      <c r="D533" s="626"/>
      <c r="E533" s="626"/>
      <c r="F533" s="626"/>
      <c r="G533" s="626"/>
      <c r="H533" s="626"/>
      <c r="I533" s="626"/>
      <c r="J533" s="626"/>
      <c r="K533" s="626"/>
      <c r="L533" s="626"/>
      <c r="M533" s="626"/>
      <c r="N533" s="626"/>
      <c r="O533" s="631"/>
      <c r="P533" s="628" t="s">
        <v>33</v>
      </c>
      <c r="Q533" s="629"/>
      <c r="R533" s="629"/>
      <c r="S533" s="629"/>
      <c r="T533" s="629"/>
      <c r="U533" s="629"/>
      <c r="V533" s="630"/>
      <c r="W533" s="42" t="s">
        <v>0</v>
      </c>
      <c r="X533" s="43">
        <f>IFERROR(X25+X33+X37+X47+X56+X68+X75+X80+X85+X93+X100+X110+X120+X127+X131+X137+X142+X147+X155+X161+X165+X179+X185+X190+X194+X206+X211+X228+X236+X242+X246+X252+X257+X268+X283+X288+X299+X303+X307+X313+X322+X329+X338+X343+X350+X359+X369+X376+X382+X389+X395+X402+X415+X421+X426+X430+X436+X440+X446+X457+X462+X467+X473+X487+X493+X503+X509+X513+X518+X522+X527+X532,"0")</f>
        <v>0</v>
      </c>
      <c r="Y533" s="43">
        <f>IFERROR(Y25+Y33+Y37+Y47+Y56+Y68+Y75+Y80+Y85+Y93+Y100+Y110+Y120+Y127+Y131+Y137+Y142+Y147+Y155+Y161+Y165+Y179+Y185+Y190+Y194+Y206+Y211+Y228+Y236+Y242+Y246+Y252+Y257+Y268+Y283+Y288+Y299+Y303+Y307+Y313+Y322+Y329+Y338+Y343+Y350+Y359+Y369+Y376+Y382+Y389+Y395+Y402+Y415+Y421+Y426+Y430+Y436+Y440+Y446+Y457+Y462+Y467+Y473+Y487+Y493+Y503+Y509+Y513+Y518+Y522+Y527+Y532,"0")</f>
        <v>0</v>
      </c>
      <c r="Z533" s="42"/>
      <c r="AA533" s="67"/>
      <c r="AB533" s="67"/>
      <c r="AC533" s="67"/>
    </row>
    <row r="534" spans="1:68" x14ac:dyDescent="0.2">
      <c r="A534" s="626"/>
      <c r="B534" s="626"/>
      <c r="C534" s="626"/>
      <c r="D534" s="626"/>
      <c r="E534" s="626"/>
      <c r="F534" s="626"/>
      <c r="G534" s="626"/>
      <c r="H534" s="626"/>
      <c r="I534" s="626"/>
      <c r="J534" s="626"/>
      <c r="K534" s="626"/>
      <c r="L534" s="626"/>
      <c r="M534" s="626"/>
      <c r="N534" s="626"/>
      <c r="O534" s="631"/>
      <c r="P534" s="628" t="s">
        <v>34</v>
      </c>
      <c r="Q534" s="629"/>
      <c r="R534" s="629"/>
      <c r="S534" s="629"/>
      <c r="T534" s="629"/>
      <c r="U534" s="629"/>
      <c r="V534" s="630"/>
      <c r="W534" s="42" t="s">
        <v>0</v>
      </c>
      <c r="X534" s="43">
        <f>IFERROR(SUM(BM22:BM530),"0")</f>
        <v>0</v>
      </c>
      <c r="Y534" s="43">
        <f>IFERROR(SUM(BN22:BN530),"0")</f>
        <v>0</v>
      </c>
      <c r="Z534" s="42"/>
      <c r="AA534" s="67"/>
      <c r="AB534" s="67"/>
      <c r="AC534" s="67"/>
    </row>
    <row r="535" spans="1:68" x14ac:dyDescent="0.2">
      <c r="A535" s="626"/>
      <c r="B535" s="626"/>
      <c r="C535" s="626"/>
      <c r="D535" s="626"/>
      <c r="E535" s="626"/>
      <c r="F535" s="626"/>
      <c r="G535" s="626"/>
      <c r="H535" s="626"/>
      <c r="I535" s="626"/>
      <c r="J535" s="626"/>
      <c r="K535" s="626"/>
      <c r="L535" s="626"/>
      <c r="M535" s="626"/>
      <c r="N535" s="626"/>
      <c r="O535" s="631"/>
      <c r="P535" s="628" t="s">
        <v>35</v>
      </c>
      <c r="Q535" s="629"/>
      <c r="R535" s="629"/>
      <c r="S535" s="629"/>
      <c r="T535" s="629"/>
      <c r="U535" s="629"/>
      <c r="V535" s="630"/>
      <c r="W535" s="42" t="s">
        <v>20</v>
      </c>
      <c r="X535" s="44">
        <f>ROUNDUP(SUM(BO22:BO530),0)</f>
        <v>0</v>
      </c>
      <c r="Y535" s="44">
        <f>ROUNDUP(SUM(BP22:BP530),0)</f>
        <v>0</v>
      </c>
      <c r="Z535" s="42"/>
      <c r="AA535" s="67"/>
      <c r="AB535" s="67"/>
      <c r="AC535" s="67"/>
    </row>
    <row r="536" spans="1:68" x14ac:dyDescent="0.2">
      <c r="A536" s="626"/>
      <c r="B536" s="626"/>
      <c r="C536" s="626"/>
      <c r="D536" s="626"/>
      <c r="E536" s="626"/>
      <c r="F536" s="626"/>
      <c r="G536" s="626"/>
      <c r="H536" s="626"/>
      <c r="I536" s="626"/>
      <c r="J536" s="626"/>
      <c r="K536" s="626"/>
      <c r="L536" s="626"/>
      <c r="M536" s="626"/>
      <c r="N536" s="626"/>
      <c r="O536" s="631"/>
      <c r="P536" s="628" t="s">
        <v>36</v>
      </c>
      <c r="Q536" s="629"/>
      <c r="R536" s="629"/>
      <c r="S536" s="629"/>
      <c r="T536" s="629"/>
      <c r="U536" s="629"/>
      <c r="V536" s="630"/>
      <c r="W536" s="42" t="s">
        <v>0</v>
      </c>
      <c r="X536" s="43">
        <f>GrossWeightTotal+PalletQtyTotal*25</f>
        <v>0</v>
      </c>
      <c r="Y536" s="43">
        <f>GrossWeightTotalR+PalletQtyTotalR*25</f>
        <v>0</v>
      </c>
      <c r="Z536" s="42"/>
      <c r="AA536" s="67"/>
      <c r="AB536" s="67"/>
      <c r="AC536" s="67"/>
    </row>
    <row r="537" spans="1:68" x14ac:dyDescent="0.2">
      <c r="A537" s="626"/>
      <c r="B537" s="626"/>
      <c r="C537" s="626"/>
      <c r="D537" s="626"/>
      <c r="E537" s="626"/>
      <c r="F537" s="626"/>
      <c r="G537" s="626"/>
      <c r="H537" s="626"/>
      <c r="I537" s="626"/>
      <c r="J537" s="626"/>
      <c r="K537" s="626"/>
      <c r="L537" s="626"/>
      <c r="M537" s="626"/>
      <c r="N537" s="626"/>
      <c r="O537" s="631"/>
      <c r="P537" s="628" t="s">
        <v>37</v>
      </c>
      <c r="Q537" s="629"/>
      <c r="R537" s="629"/>
      <c r="S537" s="629"/>
      <c r="T537" s="629"/>
      <c r="U537" s="629"/>
      <c r="V537" s="630"/>
      <c r="W537" s="42" t="s">
        <v>20</v>
      </c>
      <c r="X537" s="43">
        <f>IFERROR(X24+X32+X36+X46+X55+X67+X74+X79+X84+X92+X99+X109+X119+X126+X130+X136+X141+X146+X154+X160+X164+X178+X184+X189+X193+X205+X210+X227+X235+X241+X245+X251+X256+X267+X282+X287+X298+X302+X306+X312+X321+X328+X337+X342+X349+X358+X368+X375+X381+X388+X394+X401+X414+X420+X425+X429+X435+X439+X445+X456+X461+X466+X472+X486+X492+X502+X508+X512+X517+X521+X526+X531,"0")</f>
        <v>0</v>
      </c>
      <c r="Y537" s="43">
        <f>IFERROR(Y24+Y32+Y36+Y46+Y55+Y67+Y74+Y79+Y84+Y92+Y99+Y109+Y119+Y126+Y130+Y136+Y141+Y146+Y154+Y160+Y164+Y178+Y184+Y189+Y193+Y205+Y210+Y227+Y235+Y241+Y245+Y251+Y256+Y267+Y282+Y287+Y298+Y302+Y306+Y312+Y321+Y328+Y337+Y342+Y349+Y358+Y368+Y375+Y381+Y388+Y394+Y401+Y414+Y420+Y425+Y429+Y435+Y439+Y445+Y456+Y461+Y466+Y472+Y486+Y492+Y502+Y508+Y512+Y517+Y521+Y526+Y531,"0")</f>
        <v>0</v>
      </c>
      <c r="Z537" s="42"/>
      <c r="AA537" s="67"/>
      <c r="AB537" s="67"/>
      <c r="AC537" s="67"/>
    </row>
    <row r="538" spans="1:68" ht="14.25" x14ac:dyDescent="0.2">
      <c r="A538" s="626"/>
      <c r="B538" s="626"/>
      <c r="C538" s="626"/>
      <c r="D538" s="626"/>
      <c r="E538" s="626"/>
      <c r="F538" s="626"/>
      <c r="G538" s="626"/>
      <c r="H538" s="626"/>
      <c r="I538" s="626"/>
      <c r="J538" s="626"/>
      <c r="K538" s="626"/>
      <c r="L538" s="626"/>
      <c r="M538" s="626"/>
      <c r="N538" s="626"/>
      <c r="O538" s="631"/>
      <c r="P538" s="628" t="s">
        <v>38</v>
      </c>
      <c r="Q538" s="629"/>
      <c r="R538" s="629"/>
      <c r="S538" s="629"/>
      <c r="T538" s="629"/>
      <c r="U538" s="629"/>
      <c r="V538" s="630"/>
      <c r="W538" s="45" t="s">
        <v>52</v>
      </c>
      <c r="X538" s="42"/>
      <c r="Y538" s="42"/>
      <c r="Z538" s="42">
        <f>IFERROR(Z24+Z32+Z36+Z46+Z55+Z67+Z74+Z79+Z84+Z92+Z99+Z109+Z119+Z126+Z130+Z136+Z141+Z146+Z154+Z160+Z164+Z178+Z184+Z189+Z193+Z205+Z210+Z227+Z235+Z241+Z245+Z251+Z256+Z267+Z282+Z287+Z298+Z302+Z306+Z312+Z321+Z328+Z337+Z342+Z349+Z358+Z368+Z375+Z381+Z388+Z394+Z401+Z414+Z420+Z425+Z429+Z435+Z439+Z445+Z456+Z461+Z466+Z472+Z486+Z492+Z502+Z508+Z512+Z517+Z521+Z526+Z531,"0")</f>
        <v>0</v>
      </c>
      <c r="AA538" s="67"/>
      <c r="AB538" s="67"/>
      <c r="AC538" s="67"/>
    </row>
    <row r="539" spans="1:68" ht="13.5" thickBot="1" x14ac:dyDescent="0.25"/>
    <row r="540" spans="1:68" ht="27" thickTop="1" thickBot="1" x14ac:dyDescent="0.25">
      <c r="A540" s="46" t="s">
        <v>9</v>
      </c>
      <c r="B540" s="85" t="s">
        <v>76</v>
      </c>
      <c r="C540" s="85" t="s">
        <v>45</v>
      </c>
      <c r="D540" s="614" t="s">
        <v>127</v>
      </c>
      <c r="E540" s="614" t="s">
        <v>127</v>
      </c>
      <c r="F540" s="614" t="s">
        <v>127</v>
      </c>
      <c r="G540" s="614" t="s">
        <v>127</v>
      </c>
      <c r="H540" s="614" t="s">
        <v>127</v>
      </c>
      <c r="I540" s="614" t="s">
        <v>127</v>
      </c>
      <c r="J540" s="614" t="s">
        <v>127</v>
      </c>
      <c r="K540" s="614" t="s">
        <v>336</v>
      </c>
      <c r="L540" s="614" t="s">
        <v>336</v>
      </c>
      <c r="M540" s="614" t="s">
        <v>336</v>
      </c>
      <c r="N540" s="615"/>
      <c r="O540" s="614" t="s">
        <v>336</v>
      </c>
      <c r="P540" s="614" t="s">
        <v>336</v>
      </c>
      <c r="Q540" s="614" t="s">
        <v>336</v>
      </c>
      <c r="R540" s="614" t="s">
        <v>336</v>
      </c>
      <c r="S540" s="614" t="s">
        <v>336</v>
      </c>
      <c r="T540" s="614" t="s">
        <v>336</v>
      </c>
      <c r="U540" s="614" t="s">
        <v>336</v>
      </c>
      <c r="V540" s="614" t="s">
        <v>663</v>
      </c>
      <c r="W540" s="614" t="s">
        <v>663</v>
      </c>
      <c r="X540" s="614" t="s">
        <v>723</v>
      </c>
      <c r="Y540" s="614" t="s">
        <v>723</v>
      </c>
      <c r="Z540" s="85" t="s">
        <v>759</v>
      </c>
      <c r="AA540" s="614" t="s">
        <v>806</v>
      </c>
      <c r="AB540" s="614" t="s">
        <v>806</v>
      </c>
      <c r="AC540" s="60"/>
      <c r="AF540" s="1"/>
    </row>
    <row r="541" spans="1:68" ht="14.25" customHeight="1" thickTop="1" x14ac:dyDescent="0.2">
      <c r="A541" s="616" t="s">
        <v>10</v>
      </c>
      <c r="B541" s="614" t="s">
        <v>76</v>
      </c>
      <c r="C541" s="614" t="s">
        <v>110</v>
      </c>
      <c r="D541" s="614" t="s">
        <v>128</v>
      </c>
      <c r="E541" s="614" t="s">
        <v>144</v>
      </c>
      <c r="F541" s="614" t="s">
        <v>190</v>
      </c>
      <c r="G541" s="614" t="s">
        <v>211</v>
      </c>
      <c r="H541" s="614" t="s">
        <v>253</v>
      </c>
      <c r="I541" s="614" t="s">
        <v>265</v>
      </c>
      <c r="J541" s="614" t="s">
        <v>127</v>
      </c>
      <c r="K541" s="614" t="s">
        <v>337</v>
      </c>
      <c r="L541" s="614" t="s">
        <v>358</v>
      </c>
      <c r="M541" s="614" t="s">
        <v>425</v>
      </c>
      <c r="N541" s="1"/>
      <c r="O541" s="614" t="s">
        <v>493</v>
      </c>
      <c r="P541" s="614" t="s">
        <v>526</v>
      </c>
      <c r="Q541" s="614" t="s">
        <v>542</v>
      </c>
      <c r="R541" s="614" t="s">
        <v>551</v>
      </c>
      <c r="S541" s="614" t="s">
        <v>572</v>
      </c>
      <c r="T541" s="614" t="s">
        <v>581</v>
      </c>
      <c r="U541" s="614" t="s">
        <v>653</v>
      </c>
      <c r="V541" s="614" t="s">
        <v>664</v>
      </c>
      <c r="W541" s="614" t="s">
        <v>707</v>
      </c>
      <c r="X541" s="614" t="s">
        <v>724</v>
      </c>
      <c r="Y541" s="614" t="s">
        <v>747</v>
      </c>
      <c r="Z541" s="614" t="s">
        <v>759</v>
      </c>
      <c r="AA541" s="614" t="s">
        <v>806</v>
      </c>
      <c r="AB541" s="614" t="s">
        <v>827</v>
      </c>
      <c r="AC541" s="60"/>
      <c r="AF541" s="1"/>
    </row>
    <row r="542" spans="1:68" ht="13.5" thickBot="1" x14ac:dyDescent="0.25">
      <c r="A542" s="617"/>
      <c r="B542" s="614"/>
      <c r="C542" s="614"/>
      <c r="D542" s="614"/>
      <c r="E542" s="614"/>
      <c r="F542" s="614"/>
      <c r="G542" s="614"/>
      <c r="H542" s="614"/>
      <c r="I542" s="614"/>
      <c r="J542" s="614"/>
      <c r="K542" s="614"/>
      <c r="L542" s="614"/>
      <c r="M542" s="614"/>
      <c r="N542" s="1"/>
      <c r="O542" s="614"/>
      <c r="P542" s="614"/>
      <c r="Q542" s="614"/>
      <c r="R542" s="614"/>
      <c r="S542" s="614"/>
      <c r="T542" s="614"/>
      <c r="U542" s="614"/>
      <c r="V542" s="614"/>
      <c r="W542" s="614"/>
      <c r="X542" s="614"/>
      <c r="Y542" s="614"/>
      <c r="Z542" s="614"/>
      <c r="AA542" s="614"/>
      <c r="AB542" s="614"/>
      <c r="AC542" s="60"/>
      <c r="AF542" s="1"/>
    </row>
    <row r="543" spans="1:68" ht="18" thickTop="1" thickBot="1" x14ac:dyDescent="0.25">
      <c r="A543" s="46" t="s">
        <v>13</v>
      </c>
      <c r="B543" s="52">
        <f>IFERROR(Y22*1,"0")+IFERROR(Y23*1,"0")+IFERROR(Y27*1,"0")+IFERROR(Y28*1,"0")+IFERROR(Y29*1,"0")+IFERROR(Y30*1,"0")+IFERROR(Y31*1,"0")+IFERROR(Y35*1,"0")</f>
        <v>0</v>
      </c>
      <c r="C543" s="52">
        <f>IFERROR(Y41*1,"0")+IFERROR(Y42*1,"0")+IFERROR(Y43*1,"0")+IFERROR(Y44*1,"0")+IFERROR(Y45*1,"0")</f>
        <v>0</v>
      </c>
      <c r="D543" s="52">
        <f>IFERROR(Y51*1,"0")+IFERROR(Y52*1,"0")+IFERROR(Y53*1,"0")+IFERROR(Y54*1,"0")</f>
        <v>0</v>
      </c>
      <c r="E543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3" s="52">
        <f>IFERROR(Y88*1,"0")+IFERROR(Y89*1,"0")+IFERROR(Y90*1,"0")+IFERROR(Y91*1,"0")+IFERROR(Y95*1,"0")+IFERROR(Y96*1,"0")+IFERROR(Y97*1,"0")+IFERROR(Y98*1,"0")</f>
        <v>0</v>
      </c>
      <c r="G543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3" s="52">
        <f>IFERROR(Y134*1,"0")+IFERROR(Y135*1,"0")+IFERROR(Y139*1,"0")+IFERROR(Y140*1,"0")+IFERROR(Y144*1,"0")+IFERROR(Y145*1,"0")</f>
        <v>0</v>
      </c>
      <c r="I543" s="52">
        <f>IFERROR(Y150*1,"0")+IFERROR(Y151*1,"0")+IFERROR(Y152*1,"0")+IFERROR(Y153*1,"0")</f>
        <v>0</v>
      </c>
      <c r="J543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3" s="52">
        <f>IFERROR(Y198*1,"0")+IFERROR(Y199*1,"0")+IFERROR(Y200*1,"0")+IFERROR(Y201*1,"0")+IFERROR(Y202*1,"0")+IFERROR(Y203*1,"0")+IFERROR(Y204*1,"0")</f>
        <v>0</v>
      </c>
      <c r="L543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3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3" s="1"/>
      <c r="O543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3" s="52">
        <f>IFERROR(Y316*1,"0")+IFERROR(Y317*1,"0")+IFERROR(Y318*1,"0")+IFERROR(Y319*1,"0")+IFERROR(Y320*1,"0")</f>
        <v>0</v>
      </c>
      <c r="Q543" s="52">
        <f>IFERROR(Y325*1,"0")+IFERROR(Y326*1,"0")+IFERROR(Y327*1,"0")</f>
        <v>0</v>
      </c>
      <c r="R543" s="52">
        <f>IFERROR(Y332*1,"0")+IFERROR(Y333*1,"0")+IFERROR(Y334*1,"0")+IFERROR(Y335*1,"0")+IFERROR(Y336*1,"0")+IFERROR(Y340*1,"0")+IFERROR(Y341*1,"0")</f>
        <v>0</v>
      </c>
      <c r="S543" s="52">
        <f>IFERROR(Y346*1,"0")+IFERROR(Y347*1,"0")+IFERROR(Y348*1,"0")</f>
        <v>0</v>
      </c>
      <c r="T543" s="52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</f>
        <v>0</v>
      </c>
      <c r="U543" s="52">
        <f>IFERROR(Y398*1,"0")+IFERROR(Y399*1,"0")+IFERROR(Y400*1,"0")</f>
        <v>0</v>
      </c>
      <c r="V543" s="52">
        <f>IFERROR(Y406*1,"0")+IFERROR(Y407*1,"0")+IFERROR(Y408*1,"0")+IFERROR(Y409*1,"0")+IFERROR(Y410*1,"0")+IFERROR(Y411*1,"0")+IFERROR(Y412*1,"0")+IFERROR(Y413*1,"0")+IFERROR(Y417*1,"0")+IFERROR(Y418*1,"0")+IFERROR(Y419*1,"0")+IFERROR(Y423*1,"0")+IFERROR(Y424*1,"0")+IFERROR(Y428*1,"0")</f>
        <v>0</v>
      </c>
      <c r="W543" s="52">
        <f>IFERROR(Y433*1,"0")+IFERROR(Y434*1,"0")+IFERROR(Y438*1,"0")+IFERROR(Y442*1,"0")+IFERROR(Y443*1,"0")+IFERROR(Y444*1,"0")</f>
        <v>0</v>
      </c>
      <c r="X543" s="52">
        <f>IFERROR(Y450*1,"0")+IFERROR(Y451*1,"0")+IFERROR(Y452*1,"0")+IFERROR(Y453*1,"0")+IFERROR(Y454*1,"0")+IFERROR(Y455*1,"0")+IFERROR(Y459*1,"0")+IFERROR(Y460*1,"0")</f>
        <v>0</v>
      </c>
      <c r="Y543" s="52">
        <f>IFERROR(Y465*1,"0")+IFERROR(Y469*1,"0")+IFERROR(Y470*1,"0")+IFERROR(Y471*1,"0")</f>
        <v>0</v>
      </c>
      <c r="Z543" s="52">
        <f>IFERROR(Y477*1,"0")+IFERROR(Y478*1,"0")+IFERROR(Y479*1,"0")+IFERROR(Y480*1,"0")+IFERROR(Y481*1,"0")+IFERROR(Y482*1,"0")+IFERROR(Y483*1,"0")+IFERROR(Y484*1,"0")+IFERROR(Y485*1,"0")+IFERROR(Y489*1,"0")+IFERROR(Y490*1,"0")+IFERROR(Y491*1,"0")+IFERROR(Y495*1,"0")+IFERROR(Y496*1,"0")+IFERROR(Y497*1,"0")+IFERROR(Y498*1,"0")+IFERROR(Y499*1,"0")+IFERROR(Y500*1,"0")+IFERROR(Y501*1,"0")</f>
        <v>0</v>
      </c>
      <c r="AA543" s="52">
        <f>IFERROR(Y507*1,"0")+IFERROR(Y511*1,"0")+IFERROR(Y515*1,"0")+IFERROR(Y516*1,"0")+IFERROR(Y520*1,"0")+IFERROR(Y524*1,"0")+IFERROR(Y525*1,"0")</f>
        <v>0</v>
      </c>
      <c r="AB543" s="52">
        <f>IFERROR(Y530*1,"0")</f>
        <v>0</v>
      </c>
      <c r="AC543" s="60"/>
      <c r="AF543" s="1"/>
    </row>
  </sheetData>
  <sheetProtection algorithmName="SHA-512" hashValue="MfT3qpi6jEy04nrfOXEP2gvl71k1HuNhDcZAxWJYOTVriJ12s53Bj8fpJa45FR/iWWOJLhZpdxNMq+fXwxoPQA==" saltValue="w7RaBKJwZCQE1FHVofl8ig==" spinCount="100000" sheet="1" objects="1" scenarios="1" sort="0" autoFilter="0" pivotTables="0"/>
  <autoFilter ref="A18:AF53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5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P358:V358"/>
    <mergeCell ref="A358:O359"/>
    <mergeCell ref="P359:V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A405:Z405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23:E423"/>
    <mergeCell ref="P423:T423"/>
    <mergeCell ref="D424:E424"/>
    <mergeCell ref="P424:T424"/>
    <mergeCell ref="P425:V425"/>
    <mergeCell ref="A425:O426"/>
    <mergeCell ref="P426:V426"/>
    <mergeCell ref="A427:Z427"/>
    <mergeCell ref="D428:E428"/>
    <mergeCell ref="P428:T428"/>
    <mergeCell ref="P429:V429"/>
    <mergeCell ref="A429:O430"/>
    <mergeCell ref="P430:V430"/>
    <mergeCell ref="A431:Z431"/>
    <mergeCell ref="A432:Z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A449:Z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D489:E489"/>
    <mergeCell ref="P489:T489"/>
    <mergeCell ref="D490:E490"/>
    <mergeCell ref="P490:T490"/>
    <mergeCell ref="D491:E491"/>
    <mergeCell ref="P491:T491"/>
    <mergeCell ref="P492:V492"/>
    <mergeCell ref="A492:O493"/>
    <mergeCell ref="P493:V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A504:Z504"/>
    <mergeCell ref="A505:Z505"/>
    <mergeCell ref="A506:Z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A529:Z529"/>
    <mergeCell ref="D530:E530"/>
    <mergeCell ref="P530:T530"/>
    <mergeCell ref="P531:V531"/>
    <mergeCell ref="A531:O532"/>
    <mergeCell ref="P532:V532"/>
    <mergeCell ref="P533:V533"/>
    <mergeCell ref="A533:O538"/>
    <mergeCell ref="P534:V534"/>
    <mergeCell ref="P535:V535"/>
    <mergeCell ref="P536:V536"/>
    <mergeCell ref="P537:V537"/>
    <mergeCell ref="P538:V538"/>
    <mergeCell ref="A541:A542"/>
    <mergeCell ref="B541:B542"/>
    <mergeCell ref="C541:C542"/>
    <mergeCell ref="D541:D542"/>
    <mergeCell ref="E541:E542"/>
    <mergeCell ref="F541:F542"/>
    <mergeCell ref="G541:G542"/>
    <mergeCell ref="H541:H542"/>
    <mergeCell ref="I541:I542"/>
    <mergeCell ref="U541:U542"/>
    <mergeCell ref="V541:V542"/>
    <mergeCell ref="W541:W542"/>
    <mergeCell ref="X541:X542"/>
    <mergeCell ref="Y541:Y542"/>
    <mergeCell ref="Z541:Z542"/>
    <mergeCell ref="AA541:AA542"/>
    <mergeCell ref="AB541:AB542"/>
    <mergeCell ref="D540:J540"/>
    <mergeCell ref="K540:U540"/>
    <mergeCell ref="V540:W540"/>
    <mergeCell ref="X540:Y540"/>
    <mergeCell ref="AA540:AB540"/>
    <mergeCell ref="J541:J542"/>
    <mergeCell ref="K541:K542"/>
    <mergeCell ref="L541:L542"/>
    <mergeCell ref="M541:M542"/>
    <mergeCell ref="O541:O542"/>
    <mergeCell ref="P541:P542"/>
    <mergeCell ref="Q541:Q542"/>
    <mergeCell ref="R541:R542"/>
    <mergeCell ref="S541:S542"/>
    <mergeCell ref="T541:T54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831</v>
      </c>
      <c r="H1" s="9"/>
    </row>
    <row r="3" spans="2:8" x14ac:dyDescent="0.2">
      <c r="B3" s="53" t="s">
        <v>832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834</v>
      </c>
      <c r="C6" s="53" t="s">
        <v>835</v>
      </c>
      <c r="D6" s="53" t="s">
        <v>836</v>
      </c>
      <c r="E6" s="53" t="s">
        <v>46</v>
      </c>
    </row>
    <row r="7" spans="2:8" x14ac:dyDescent="0.2">
      <c r="B7" s="53" t="s">
        <v>837</v>
      </c>
      <c r="C7" s="53" t="s">
        <v>838</v>
      </c>
      <c r="D7" s="53" t="s">
        <v>839</v>
      </c>
      <c r="E7" s="53" t="s">
        <v>46</v>
      </c>
    </row>
    <row r="8" spans="2:8" x14ac:dyDescent="0.2">
      <c r="B8" s="53" t="s">
        <v>840</v>
      </c>
      <c r="C8" s="53" t="s">
        <v>841</v>
      </c>
      <c r="D8" s="53" t="s">
        <v>842</v>
      </c>
      <c r="E8" s="53" t="s">
        <v>46</v>
      </c>
    </row>
    <row r="9" spans="2:8" x14ac:dyDescent="0.2">
      <c r="B9" s="53" t="s">
        <v>843</v>
      </c>
      <c r="C9" s="53" t="s">
        <v>844</v>
      </c>
      <c r="D9" s="53" t="s">
        <v>845</v>
      </c>
      <c r="E9" s="53" t="s">
        <v>46</v>
      </c>
    </row>
    <row r="10" spans="2:8" x14ac:dyDescent="0.2">
      <c r="B10" s="53" t="s">
        <v>846</v>
      </c>
      <c r="C10" s="53" t="s">
        <v>847</v>
      </c>
      <c r="D10" s="53" t="s">
        <v>848</v>
      </c>
      <c r="E10" s="53" t="s">
        <v>46</v>
      </c>
    </row>
    <row r="11" spans="2:8" x14ac:dyDescent="0.2">
      <c r="B11" s="53" t="s">
        <v>849</v>
      </c>
      <c r="C11" s="53" t="s">
        <v>850</v>
      </c>
      <c r="D11" s="53" t="s">
        <v>851</v>
      </c>
      <c r="E11" s="53" t="s">
        <v>46</v>
      </c>
    </row>
    <row r="12" spans="2:8" x14ac:dyDescent="0.2">
      <c r="B12" s="53" t="s">
        <v>852</v>
      </c>
      <c r="C12" s="53" t="s">
        <v>853</v>
      </c>
      <c r="D12" s="53" t="s">
        <v>854</v>
      </c>
      <c r="E12" s="53" t="s">
        <v>46</v>
      </c>
    </row>
    <row r="14" spans="2:8" x14ac:dyDescent="0.2">
      <c r="B14" s="53" t="s">
        <v>855</v>
      </c>
      <c r="C14" s="53" t="s">
        <v>835</v>
      </c>
      <c r="D14" s="53" t="s">
        <v>46</v>
      </c>
      <c r="E14" s="53" t="s">
        <v>46</v>
      </c>
    </row>
    <row r="16" spans="2:8" x14ac:dyDescent="0.2">
      <c r="B16" s="53" t="s">
        <v>856</v>
      </c>
      <c r="C16" s="53" t="s">
        <v>838</v>
      </c>
      <c r="D16" s="53" t="s">
        <v>46</v>
      </c>
      <c r="E16" s="53" t="s">
        <v>46</v>
      </c>
    </row>
    <row r="18" spans="2:5" x14ac:dyDescent="0.2">
      <c r="B18" s="53" t="s">
        <v>857</v>
      </c>
      <c r="C18" s="53" t="s">
        <v>841</v>
      </c>
      <c r="D18" s="53" t="s">
        <v>46</v>
      </c>
      <c r="E18" s="53" t="s">
        <v>46</v>
      </c>
    </row>
    <row r="20" spans="2:5" x14ac:dyDescent="0.2">
      <c r="B20" s="53" t="s">
        <v>858</v>
      </c>
      <c r="C20" s="53" t="s">
        <v>844</v>
      </c>
      <c r="D20" s="53" t="s">
        <v>46</v>
      </c>
      <c r="E20" s="53" t="s">
        <v>46</v>
      </c>
    </row>
    <row r="22" spans="2:5" x14ac:dyDescent="0.2">
      <c r="B22" s="53" t="s">
        <v>859</v>
      </c>
      <c r="C22" s="53" t="s">
        <v>847</v>
      </c>
      <c r="D22" s="53" t="s">
        <v>46</v>
      </c>
      <c r="E22" s="53" t="s">
        <v>46</v>
      </c>
    </row>
    <row r="24" spans="2:5" x14ac:dyDescent="0.2">
      <c r="B24" s="53" t="s">
        <v>860</v>
      </c>
      <c r="C24" s="53" t="s">
        <v>850</v>
      </c>
      <c r="D24" s="53" t="s">
        <v>46</v>
      </c>
      <c r="E24" s="53" t="s">
        <v>46</v>
      </c>
    </row>
    <row r="26" spans="2:5" x14ac:dyDescent="0.2">
      <c r="B26" s="53" t="s">
        <v>861</v>
      </c>
      <c r="C26" s="53" t="s">
        <v>853</v>
      </c>
      <c r="D26" s="53" t="s">
        <v>46</v>
      </c>
      <c r="E26" s="53" t="s">
        <v>46</v>
      </c>
    </row>
    <row r="28" spans="2:5" x14ac:dyDescent="0.2">
      <c r="B28" s="53" t="s">
        <v>862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863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864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865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866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867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868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869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870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871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872</v>
      </c>
      <c r="C38" s="53" t="s">
        <v>46</v>
      </c>
      <c r="D38" s="53" t="s">
        <v>46</v>
      </c>
      <c r="E38" s="53" t="s">
        <v>46</v>
      </c>
    </row>
  </sheetData>
  <sheetProtection algorithmName="SHA-512" hashValue="6O/0/p7GxMOcPbCdRHixoo/RsjBUv0+xgU5B07xzJ9ATzVQUGsFm2LX1DaiRtMZM5lU5qOlgaR+q0/hPtGwjiQ==" saltValue="b0S3NvEUu2BpDEsAjebVE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1109</vt:i4>
      </vt:variant>
    </vt:vector>
  </HeadingPairs>
  <TitlesOfParts>
    <vt:vector size="111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2026-07-09T13:03:25Z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