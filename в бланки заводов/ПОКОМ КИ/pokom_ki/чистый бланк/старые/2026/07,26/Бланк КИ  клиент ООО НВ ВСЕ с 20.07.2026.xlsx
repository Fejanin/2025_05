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66E8D2D7-ED83-4963-B659-83112304420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0" i="2" l="1"/>
  <c r="X539" i="2"/>
  <c r="BO538" i="2"/>
  <c r="BM538" i="2"/>
  <c r="Y538" i="2"/>
  <c r="AB551" i="2" s="1"/>
  <c r="P538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X530" i="2"/>
  <c r="X529" i="2"/>
  <c r="BO528" i="2"/>
  <c r="BM528" i="2"/>
  <c r="Y528" i="2"/>
  <c r="BP528" i="2" s="1"/>
  <c r="P528" i="2"/>
  <c r="X526" i="2"/>
  <c r="X525" i="2"/>
  <c r="BO524" i="2"/>
  <c r="BM524" i="2"/>
  <c r="Y524" i="2"/>
  <c r="BP524" i="2" s="1"/>
  <c r="P524" i="2"/>
  <c r="BO523" i="2"/>
  <c r="BM523" i="2"/>
  <c r="Y523" i="2"/>
  <c r="BP523" i="2" s="1"/>
  <c r="P523" i="2"/>
  <c r="X521" i="2"/>
  <c r="X520" i="2"/>
  <c r="BO519" i="2"/>
  <c r="BM519" i="2"/>
  <c r="Y519" i="2"/>
  <c r="BP519" i="2" s="1"/>
  <c r="P519" i="2"/>
  <c r="X517" i="2"/>
  <c r="X516" i="2"/>
  <c r="BO515" i="2"/>
  <c r="BM515" i="2"/>
  <c r="Y515" i="2"/>
  <c r="P515" i="2"/>
  <c r="X511" i="2"/>
  <c r="X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P487" i="2"/>
  <c r="BO487" i="2"/>
  <c r="BM487" i="2"/>
  <c r="Y487" i="2"/>
  <c r="BN487" i="2" s="1"/>
  <c r="P487" i="2"/>
  <c r="BO486" i="2"/>
  <c r="BM486" i="2"/>
  <c r="Y486" i="2"/>
  <c r="BP486" i="2" s="1"/>
  <c r="P486" i="2"/>
  <c r="BO485" i="2"/>
  <c r="BM485" i="2"/>
  <c r="Y485" i="2"/>
  <c r="P485" i="2"/>
  <c r="X481" i="2"/>
  <c r="X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Y473" i="2"/>
  <c r="Z473" i="2" s="1"/>
  <c r="Z474" i="2" s="1"/>
  <c r="P473" i="2"/>
  <c r="X470" i="2"/>
  <c r="X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BP459" i="2" s="1"/>
  <c r="P459" i="2"/>
  <c r="BO458" i="2"/>
  <c r="BM458" i="2"/>
  <c r="Y458" i="2"/>
  <c r="P458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Y453" i="2" s="1"/>
  <c r="P450" i="2"/>
  <c r="X448" i="2"/>
  <c r="X447" i="2"/>
  <c r="BO446" i="2"/>
  <c r="BM446" i="2"/>
  <c r="Y446" i="2"/>
  <c r="P446" i="2"/>
  <c r="X444" i="2"/>
  <c r="X443" i="2"/>
  <c r="BO442" i="2"/>
  <c r="BM442" i="2"/>
  <c r="Y442" i="2"/>
  <c r="BP442" i="2" s="1"/>
  <c r="P442" i="2"/>
  <c r="BO441" i="2"/>
  <c r="BM441" i="2"/>
  <c r="Y441" i="2"/>
  <c r="Y444" i="2" s="1"/>
  <c r="P441" i="2"/>
  <c r="X438" i="2"/>
  <c r="X437" i="2"/>
  <c r="BO436" i="2"/>
  <c r="BM436" i="2"/>
  <c r="Y436" i="2"/>
  <c r="BP436" i="2" s="1"/>
  <c r="P436" i="2"/>
  <c r="BO435" i="2"/>
  <c r="BM435" i="2"/>
  <c r="Y435" i="2"/>
  <c r="Z435" i="2" s="1"/>
  <c r="P435" i="2"/>
  <c r="X433" i="2"/>
  <c r="X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X421" i="2"/>
  <c r="X420" i="2"/>
  <c r="BO419" i="2"/>
  <c r="BM419" i="2"/>
  <c r="Y419" i="2"/>
  <c r="BP419" i="2" s="1"/>
  <c r="P419" i="2"/>
  <c r="BO418" i="2"/>
  <c r="BM418" i="2"/>
  <c r="Y418" i="2"/>
  <c r="P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BP412" i="2" s="1"/>
  <c r="P412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1" i="2"/>
  <c r="X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O393" i="2"/>
  <c r="BM393" i="2"/>
  <c r="Y393" i="2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N385" i="2" s="1"/>
  <c r="P385" i="2"/>
  <c r="BO384" i="2"/>
  <c r="BM384" i="2"/>
  <c r="Y384" i="2"/>
  <c r="BN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X369" i="2"/>
  <c r="X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P362" i="2"/>
  <c r="BO361" i="2"/>
  <c r="BM361" i="2"/>
  <c r="Y361" i="2"/>
  <c r="P361" i="2"/>
  <c r="X359" i="2"/>
  <c r="X358" i="2"/>
  <c r="BO357" i="2"/>
  <c r="BM357" i="2"/>
  <c r="Y357" i="2"/>
  <c r="BP357" i="2" s="1"/>
  <c r="P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BN340" i="2" s="1"/>
  <c r="P340" i="2"/>
  <c r="X338" i="2"/>
  <c r="X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Y313" i="2" s="1"/>
  <c r="P309" i="2"/>
  <c r="X307" i="2"/>
  <c r="X306" i="2"/>
  <c r="BO305" i="2"/>
  <c r="BM305" i="2"/>
  <c r="Y305" i="2"/>
  <c r="Y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Z291" i="2" s="1"/>
  <c r="P291" i="2"/>
  <c r="X288" i="2"/>
  <c r="X287" i="2"/>
  <c r="BO286" i="2"/>
  <c r="BM286" i="2"/>
  <c r="Y286" i="2"/>
  <c r="P286" i="2"/>
  <c r="BO285" i="2"/>
  <c r="BM285" i="2"/>
  <c r="Y285" i="2"/>
  <c r="Z285" i="2" s="1"/>
  <c r="P285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P274" i="2"/>
  <c r="BO273" i="2"/>
  <c r="BM273" i="2"/>
  <c r="Z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Z260" i="2" s="1"/>
  <c r="P260" i="2"/>
  <c r="BO259" i="2"/>
  <c r="BM259" i="2"/>
  <c r="Y259" i="2"/>
  <c r="P259" i="2"/>
  <c r="X257" i="2"/>
  <c r="X256" i="2"/>
  <c r="BO255" i="2"/>
  <c r="BM255" i="2"/>
  <c r="Y255" i="2"/>
  <c r="Z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BN213" i="2" s="1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BP204" i="2" s="1"/>
  <c r="P204" i="2"/>
  <c r="BO203" i="2"/>
  <c r="BM203" i="2"/>
  <c r="Y203" i="2"/>
  <c r="P203" i="2"/>
  <c r="BO202" i="2"/>
  <c r="BM202" i="2"/>
  <c r="Y202" i="2"/>
  <c r="BP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Z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BN183" i="2" s="1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P158" i="2"/>
  <c r="BO157" i="2"/>
  <c r="BM157" i="2"/>
  <c r="Y157" i="2"/>
  <c r="Z157" i="2" s="1"/>
  <c r="P157" i="2"/>
  <c r="BO156" i="2"/>
  <c r="BM156" i="2"/>
  <c r="Y156" i="2"/>
  <c r="Y159" i="2" s="1"/>
  <c r="P156" i="2"/>
  <c r="X153" i="2"/>
  <c r="X152" i="2"/>
  <c r="BP151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Y152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Z133" i="2" s="1"/>
  <c r="P133" i="2"/>
  <c r="BO132" i="2"/>
  <c r="BM132" i="2"/>
  <c r="Y132" i="2"/>
  <c r="Y134" i="2" s="1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Z123" i="2" s="1"/>
  <c r="P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BP112" i="2" s="1"/>
  <c r="P112" i="2"/>
  <c r="X110" i="2"/>
  <c r="X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N95" i="2" s="1"/>
  <c r="P95" i="2"/>
  <c r="X93" i="2"/>
  <c r="X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N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P78" i="2"/>
  <c r="BO78" i="2"/>
  <c r="BN78" i="2"/>
  <c r="BM78" i="2"/>
  <c r="Z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X56" i="2"/>
  <c r="X55" i="2"/>
  <c r="BO54" i="2"/>
  <c r="BM54" i="2"/>
  <c r="Y54" i="2"/>
  <c r="Z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P51" i="2" s="1"/>
  <c r="P51" i="2"/>
  <c r="X47" i="2"/>
  <c r="X46" i="2"/>
  <c r="BO45" i="2"/>
  <c r="BM45" i="2"/>
  <c r="Y45" i="2"/>
  <c r="P45" i="2"/>
  <c r="BO44" i="2"/>
  <c r="BM44" i="2"/>
  <c r="Y44" i="2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P31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D7" i="2"/>
  <c r="Q6" i="2"/>
  <c r="P2" i="2"/>
  <c r="BP183" i="2" l="1"/>
  <c r="Z387" i="2"/>
  <c r="BN387" i="2"/>
  <c r="Z509" i="2"/>
  <c r="Z28" i="2"/>
  <c r="Z42" i="2"/>
  <c r="BN42" i="2"/>
  <c r="BP83" i="2"/>
  <c r="Y84" i="2"/>
  <c r="Z88" i="2"/>
  <c r="BP95" i="2"/>
  <c r="BP116" i="2"/>
  <c r="Z244" i="2"/>
  <c r="Z245" i="2" s="1"/>
  <c r="BN244" i="2"/>
  <c r="BP244" i="2"/>
  <c r="Y245" i="2"/>
  <c r="BP280" i="2"/>
  <c r="Y302" i="2"/>
  <c r="Z311" i="2"/>
  <c r="BN311" i="2"/>
  <c r="Z384" i="2"/>
  <c r="Y470" i="2"/>
  <c r="Z491" i="2"/>
  <c r="BN491" i="2"/>
  <c r="Y500" i="2"/>
  <c r="Z524" i="2"/>
  <c r="BN524" i="2"/>
  <c r="BP31" i="2"/>
  <c r="BN31" i="2"/>
  <c r="Z31" i="2"/>
  <c r="BN52" i="2"/>
  <c r="BN61" i="2"/>
  <c r="BP143" i="2"/>
  <c r="BN143" i="2"/>
  <c r="Z143" i="2"/>
  <c r="BN176" i="2"/>
  <c r="BP221" i="2"/>
  <c r="BN221" i="2"/>
  <c r="Z221" i="2"/>
  <c r="BP225" i="2"/>
  <c r="BN225" i="2"/>
  <c r="Z225" i="2"/>
  <c r="BP239" i="2"/>
  <c r="BN239" i="2"/>
  <c r="BN44" i="2"/>
  <c r="BP44" i="2"/>
  <c r="BN72" i="2"/>
  <c r="BP72" i="2"/>
  <c r="Y80" i="2"/>
  <c r="Z77" i="2"/>
  <c r="Z79" i="2" s="1"/>
  <c r="BN96" i="2"/>
  <c r="BN106" i="2"/>
  <c r="BP106" i="2"/>
  <c r="BN112" i="2"/>
  <c r="BN120" i="2"/>
  <c r="BN157" i="2"/>
  <c r="BP167" i="2"/>
  <c r="BN167" i="2"/>
  <c r="Z167" i="2"/>
  <c r="BN169" i="2"/>
  <c r="BN182" i="2"/>
  <c r="BP188" i="2"/>
  <c r="BN188" i="2"/>
  <c r="Z188" i="2"/>
  <c r="BP200" i="2"/>
  <c r="BN200" i="2"/>
  <c r="Z200" i="2"/>
  <c r="BP209" i="2"/>
  <c r="Y211" i="2"/>
  <c r="BN214" i="2"/>
  <c r="BN260" i="2"/>
  <c r="BN275" i="2"/>
  <c r="BN291" i="2"/>
  <c r="BN296" i="2"/>
  <c r="BN319" i="2"/>
  <c r="BN332" i="2"/>
  <c r="BN347" i="2"/>
  <c r="BN419" i="2"/>
  <c r="BN272" i="2"/>
  <c r="BN380" i="2"/>
  <c r="BN431" i="2"/>
  <c r="BN442" i="2"/>
  <c r="Y454" i="2"/>
  <c r="BN473" i="2"/>
  <c r="BN478" i="2"/>
  <c r="BN492" i="2"/>
  <c r="BN538" i="2"/>
  <c r="Y32" i="2"/>
  <c r="BN65" i="2"/>
  <c r="BN73" i="2"/>
  <c r="Y100" i="2"/>
  <c r="BN107" i="2"/>
  <c r="BN133" i="2"/>
  <c r="BN168" i="2"/>
  <c r="BN174" i="2"/>
  <c r="BN177" i="2"/>
  <c r="BN192" i="2"/>
  <c r="BN219" i="2"/>
  <c r="BN232" i="2"/>
  <c r="Y242" i="2"/>
  <c r="BP250" i="2"/>
  <c r="Y251" i="2"/>
  <c r="Z254" i="2"/>
  <c r="BN254" i="2"/>
  <c r="BN264" i="2"/>
  <c r="BN295" i="2"/>
  <c r="BN301" i="2"/>
  <c r="BN316" i="2"/>
  <c r="BN325" i="2"/>
  <c r="BN336" i="2"/>
  <c r="Z340" i="2"/>
  <c r="BN341" i="2"/>
  <c r="BN354" i="2"/>
  <c r="Y369" i="2"/>
  <c r="BN364" i="2"/>
  <c r="BN372" i="2"/>
  <c r="Z374" i="2"/>
  <c r="BN374" i="2"/>
  <c r="BP392" i="2"/>
  <c r="BN405" i="2"/>
  <c r="Z412" i="2"/>
  <c r="BN412" i="2"/>
  <c r="BN415" i="2"/>
  <c r="BN430" i="2"/>
  <c r="BP450" i="2"/>
  <c r="BP462" i="2"/>
  <c r="BN467" i="2"/>
  <c r="Y474" i="2"/>
  <c r="Z489" i="2"/>
  <c r="BN497" i="2"/>
  <c r="BP507" i="2"/>
  <c r="Y521" i="2"/>
  <c r="Z105" i="2"/>
  <c r="BN105" i="2"/>
  <c r="BP29" i="2"/>
  <c r="Z29" i="2"/>
  <c r="Z43" i="2"/>
  <c r="BN43" i="2"/>
  <c r="Y56" i="2"/>
  <c r="BN77" i="2"/>
  <c r="Y79" i="2"/>
  <c r="BP77" i="2"/>
  <c r="Y93" i="2"/>
  <c r="BP98" i="2"/>
  <c r="BN98" i="2"/>
  <c r="Z122" i="2"/>
  <c r="BN132" i="2"/>
  <c r="Z162" i="2"/>
  <c r="Z163" i="2" s="1"/>
  <c r="Y163" i="2"/>
  <c r="BN162" i="2"/>
  <c r="BP274" i="2"/>
  <c r="BN274" i="2"/>
  <c r="Z274" i="2"/>
  <c r="Z355" i="2"/>
  <c r="BN355" i="2"/>
  <c r="Z365" i="2"/>
  <c r="BN365" i="2"/>
  <c r="BP417" i="2"/>
  <c r="BN417" i="2"/>
  <c r="BP477" i="2"/>
  <c r="Z477" i="2"/>
  <c r="F10" i="2"/>
  <c r="J9" i="2"/>
  <c r="BP30" i="2"/>
  <c r="Z115" i="2"/>
  <c r="BN115" i="2"/>
  <c r="BN156" i="2"/>
  <c r="Y160" i="2"/>
  <c r="Y189" i="2"/>
  <c r="Y190" i="2"/>
  <c r="BN187" i="2"/>
  <c r="Z187" i="2"/>
  <c r="BP187" i="2"/>
  <c r="Z270" i="2"/>
  <c r="BN270" i="2"/>
  <c r="BP278" i="2"/>
  <c r="BN278" i="2"/>
  <c r="Z278" i="2"/>
  <c r="BN333" i="2"/>
  <c r="BP333" i="2"/>
  <c r="Z333" i="2"/>
  <c r="Y388" i="2"/>
  <c r="BN479" i="2"/>
  <c r="BP479" i="2"/>
  <c r="Z479" i="2"/>
  <c r="Z519" i="2"/>
  <c r="Z520" i="2" s="1"/>
  <c r="Y520" i="2"/>
  <c r="BN519" i="2"/>
  <c r="H9" i="2"/>
  <c r="BP54" i="2"/>
  <c r="BN54" i="2"/>
  <c r="BN62" i="2"/>
  <c r="BP62" i="2"/>
  <c r="BP63" i="2"/>
  <c r="BN63" i="2"/>
  <c r="BP70" i="2"/>
  <c r="Y75" i="2"/>
  <c r="Z71" i="2"/>
  <c r="BN71" i="2"/>
  <c r="Z89" i="2"/>
  <c r="BN89" i="2"/>
  <c r="BP105" i="2"/>
  <c r="BP121" i="2"/>
  <c r="Z121" i="2"/>
  <c r="H551" i="2"/>
  <c r="Y135" i="2"/>
  <c r="Z132" i="2"/>
  <c r="BN142" i="2"/>
  <c r="Y145" i="2"/>
  <c r="Z142" i="2"/>
  <c r="Z144" i="2" s="1"/>
  <c r="Z217" i="2"/>
  <c r="BN217" i="2"/>
  <c r="Z265" i="2"/>
  <c r="BN265" i="2"/>
  <c r="BP318" i="2"/>
  <c r="BN318" i="2"/>
  <c r="Z318" i="2"/>
  <c r="BP326" i="2"/>
  <c r="Y328" i="2"/>
  <c r="BP327" i="2"/>
  <c r="BN327" i="2"/>
  <c r="BN386" i="2"/>
  <c r="BP386" i="2"/>
  <c r="Z386" i="2"/>
  <c r="Y389" i="2"/>
  <c r="Y481" i="2"/>
  <c r="BN490" i="2"/>
  <c r="BP490" i="2"/>
  <c r="Z490" i="2"/>
  <c r="Z66" i="2"/>
  <c r="BN66" i="2"/>
  <c r="BP122" i="2"/>
  <c r="BN127" i="2"/>
  <c r="Y128" i="2"/>
  <c r="Z138" i="2"/>
  <c r="BN138" i="2"/>
  <c r="BP156" i="2"/>
  <c r="Z156" i="2"/>
  <c r="BN166" i="2"/>
  <c r="Z166" i="2"/>
  <c r="BP166" i="2"/>
  <c r="BP231" i="2"/>
  <c r="BN231" i="2"/>
  <c r="Y236" i="2"/>
  <c r="Z231" i="2"/>
  <c r="BP293" i="2"/>
  <c r="BN293" i="2"/>
  <c r="BP361" i="2"/>
  <c r="Y368" i="2"/>
  <c r="BP362" i="2"/>
  <c r="BN362" i="2"/>
  <c r="BP172" i="2"/>
  <c r="BP255" i="2"/>
  <c r="Y307" i="2"/>
  <c r="Y343" i="2"/>
  <c r="BP397" i="2"/>
  <c r="Y401" i="2"/>
  <c r="BP425" i="2"/>
  <c r="Y433" i="2"/>
  <c r="Y529" i="2"/>
  <c r="Y534" i="2"/>
  <c r="BP201" i="2"/>
  <c r="BP222" i="2"/>
  <c r="Y257" i="2"/>
  <c r="BP285" i="2"/>
  <c r="BP305" i="2"/>
  <c r="X542" i="2"/>
  <c r="BP61" i="2"/>
  <c r="Z169" i="2"/>
  <c r="Z176" i="2"/>
  <c r="Y210" i="2"/>
  <c r="Y228" i="2"/>
  <c r="Z214" i="2"/>
  <c r="BP232" i="2"/>
  <c r="BP275" i="2"/>
  <c r="BP291" i="2"/>
  <c r="Z295" i="2"/>
  <c r="Z305" i="2"/>
  <c r="Z306" i="2" s="1"/>
  <c r="BP319" i="2"/>
  <c r="BP325" i="2"/>
  <c r="Z332" i="2"/>
  <c r="Z341" i="2"/>
  <c r="Z342" i="2" s="1"/>
  <c r="Y359" i="2"/>
  <c r="Z385" i="2"/>
  <c r="Z388" i="2" s="1"/>
  <c r="BP385" i="2"/>
  <c r="Y421" i="2"/>
  <c r="BP415" i="2"/>
  <c r="Z419" i="2"/>
  <c r="Z429" i="2"/>
  <c r="Z431" i="2"/>
  <c r="Z467" i="2"/>
  <c r="BP473" i="2"/>
  <c r="Y475" i="2"/>
  <c r="Z478" i="2"/>
  <c r="Z499" i="2"/>
  <c r="AA551" i="2"/>
  <c r="Z538" i="2"/>
  <c r="Z539" i="2" s="1"/>
  <c r="BP28" i="2"/>
  <c r="Z65" i="2"/>
  <c r="Z112" i="2"/>
  <c r="Z120" i="2"/>
  <c r="BP133" i="2"/>
  <c r="BP157" i="2"/>
  <c r="Z168" i="2"/>
  <c r="BN172" i="2"/>
  <c r="BP177" i="2"/>
  <c r="Y185" i="2"/>
  <c r="BP182" i="2"/>
  <c r="BN198" i="2"/>
  <c r="BN201" i="2"/>
  <c r="BN209" i="2"/>
  <c r="Z213" i="2"/>
  <c r="BP213" i="2"/>
  <c r="BN222" i="2"/>
  <c r="BN255" i="2"/>
  <c r="Y256" i="2"/>
  <c r="Y268" i="2"/>
  <c r="BP260" i="2"/>
  <c r="BN262" i="2"/>
  <c r="Z264" i="2"/>
  <c r="BN285" i="2"/>
  <c r="Y288" i="2"/>
  <c r="Y287" i="2"/>
  <c r="BP296" i="2"/>
  <c r="BP301" i="2"/>
  <c r="Y303" i="2"/>
  <c r="Y329" i="2"/>
  <c r="BP336" i="2"/>
  <c r="BP340" i="2"/>
  <c r="Z354" i="2"/>
  <c r="Z364" i="2"/>
  <c r="BP380" i="2"/>
  <c r="BP384" i="2"/>
  <c r="BN397" i="2"/>
  <c r="Y400" i="2"/>
  <c r="U551" i="2"/>
  <c r="BN425" i="2"/>
  <c r="Z430" i="2"/>
  <c r="Z432" i="2" s="1"/>
  <c r="Z442" i="2"/>
  <c r="Z452" i="2"/>
  <c r="Z492" i="2"/>
  <c r="BP497" i="2"/>
  <c r="Y501" i="2"/>
  <c r="Z523" i="2"/>
  <c r="Y526" i="2"/>
  <c r="Y530" i="2"/>
  <c r="Y535" i="2"/>
  <c r="X543" i="2"/>
  <c r="Z134" i="2"/>
  <c r="BP175" i="2"/>
  <c r="BN175" i="2"/>
  <c r="Y408" i="2"/>
  <c r="BP406" i="2"/>
  <c r="BN406" i="2"/>
  <c r="BP505" i="2"/>
  <c r="BN505" i="2"/>
  <c r="Y338" i="2"/>
  <c r="BP334" i="2"/>
  <c r="Y337" i="2"/>
  <c r="BN334" i="2"/>
  <c r="BP418" i="2"/>
  <c r="BN418" i="2"/>
  <c r="Y267" i="2"/>
  <c r="BP263" i="2"/>
  <c r="BN263" i="2"/>
  <c r="M551" i="2"/>
  <c r="Z334" i="2"/>
  <c r="BP373" i="2"/>
  <c r="BN373" i="2"/>
  <c r="BP393" i="2"/>
  <c r="BN393" i="2"/>
  <c r="Z393" i="2"/>
  <c r="Z418" i="2"/>
  <c r="BP460" i="2"/>
  <c r="BN460" i="2"/>
  <c r="Y24" i="2"/>
  <c r="B551" i="2"/>
  <c r="BP22" i="2"/>
  <c r="BN22" i="2"/>
  <c r="C551" i="2"/>
  <c r="BP41" i="2"/>
  <c r="BN41" i="2"/>
  <c r="Z347" i="2"/>
  <c r="Y358" i="2"/>
  <c r="Z373" i="2"/>
  <c r="Z460" i="2"/>
  <c r="BP493" i="2"/>
  <c r="BN493" i="2"/>
  <c r="Z493" i="2"/>
  <c r="BP220" i="2"/>
  <c r="BN220" i="2"/>
  <c r="Z263" i="2"/>
  <c r="Z22" i="2"/>
  <c r="Z41" i="2"/>
  <c r="E551" i="2"/>
  <c r="Y68" i="2"/>
  <c r="BP59" i="2"/>
  <c r="Y67" i="2"/>
  <c r="BN59" i="2"/>
  <c r="Y110" i="2"/>
  <c r="BN204" i="2"/>
  <c r="Z220" i="2"/>
  <c r="BP230" i="2"/>
  <c r="BN230" i="2"/>
  <c r="Z256" i="2"/>
  <c r="BP273" i="2"/>
  <c r="BN273" i="2"/>
  <c r="R551" i="2"/>
  <c r="Z204" i="2"/>
  <c r="BP224" i="2"/>
  <c r="BN224" i="2"/>
  <c r="Z224" i="2"/>
  <c r="Y298" i="2"/>
  <c r="Y299" i="2"/>
  <c r="BP294" i="2"/>
  <c r="BN294" i="2"/>
  <c r="Y448" i="2"/>
  <c r="Y447" i="2"/>
  <c r="BP446" i="2"/>
  <c r="BN446" i="2"/>
  <c r="Z446" i="2"/>
  <c r="Z447" i="2" s="1"/>
  <c r="Y124" i="2"/>
  <c r="BP123" i="2"/>
  <c r="BN123" i="2"/>
  <c r="BP45" i="2"/>
  <c r="BN45" i="2"/>
  <c r="Z45" i="2"/>
  <c r="I551" i="2"/>
  <c r="BP148" i="2"/>
  <c r="BN148" i="2"/>
  <c r="Z148" i="2"/>
  <c r="Y153" i="2"/>
  <c r="BP234" i="2"/>
  <c r="BN234" i="2"/>
  <c r="Z234" i="2"/>
  <c r="BP240" i="2"/>
  <c r="BN240" i="2"/>
  <c r="Z294" i="2"/>
  <c r="V551" i="2"/>
  <c r="Y511" i="2"/>
  <c r="Z240" i="2"/>
  <c r="BP281" i="2"/>
  <c r="BN281" i="2"/>
  <c r="Z281" i="2"/>
  <c r="Y443" i="2"/>
  <c r="W551" i="2"/>
  <c r="BP441" i="2"/>
  <c r="BN441" i="2"/>
  <c r="Y510" i="2"/>
  <c r="Y55" i="2"/>
  <c r="BP53" i="2"/>
  <c r="BN53" i="2"/>
  <c r="BP64" i="2"/>
  <c r="BN64" i="2"/>
  <c r="Y235" i="2"/>
  <c r="Y375" i="2"/>
  <c r="Y395" i="2"/>
  <c r="Z441" i="2"/>
  <c r="Y46" i="2"/>
  <c r="X541" i="2"/>
  <c r="Z64" i="2"/>
  <c r="BP91" i="2"/>
  <c r="BN91" i="2"/>
  <c r="Z91" i="2"/>
  <c r="Z149" i="2"/>
  <c r="Y179" i="2"/>
  <c r="BP170" i="2"/>
  <c r="BN170" i="2"/>
  <c r="Y178" i="2"/>
  <c r="J551" i="2"/>
  <c r="Y206" i="2"/>
  <c r="Y205" i="2"/>
  <c r="BP199" i="2"/>
  <c r="BN199" i="2"/>
  <c r="K551" i="2"/>
  <c r="X551" i="2"/>
  <c r="G551" i="2"/>
  <c r="Y109" i="2"/>
  <c r="BP103" i="2"/>
  <c r="BN103" i="2"/>
  <c r="Y99" i="2"/>
  <c r="BP97" i="2"/>
  <c r="BN97" i="2"/>
  <c r="Y118" i="2"/>
  <c r="Y117" i="2"/>
  <c r="BP113" i="2"/>
  <c r="BN113" i="2"/>
  <c r="Z551" i="2"/>
  <c r="Y495" i="2"/>
  <c r="Y494" i="2"/>
  <c r="BP485" i="2"/>
  <c r="BN485" i="2"/>
  <c r="Z53" i="2"/>
  <c r="Y47" i="2"/>
  <c r="T551" i="2"/>
  <c r="BP353" i="2"/>
  <c r="BN353" i="2"/>
  <c r="Y376" i="2"/>
  <c r="Z485" i="2"/>
  <c r="BP23" i="2"/>
  <c r="BN23" i="2"/>
  <c r="Z23" i="2"/>
  <c r="X545" i="2"/>
  <c r="Z113" i="2"/>
  <c r="BP203" i="2"/>
  <c r="BN203" i="2"/>
  <c r="Z203" i="2"/>
  <c r="Y227" i="2"/>
  <c r="BP215" i="2"/>
  <c r="BN215" i="2"/>
  <c r="L551" i="2"/>
  <c r="Z353" i="2"/>
  <c r="Y427" i="2"/>
  <c r="BP423" i="2"/>
  <c r="Y426" i="2"/>
  <c r="BN423" i="2"/>
  <c r="Z423" i="2"/>
  <c r="Y25" i="2"/>
  <c r="BN149" i="2"/>
  <c r="BP27" i="2"/>
  <c r="BN27" i="2"/>
  <c r="Y33" i="2"/>
  <c r="D551" i="2"/>
  <c r="Y92" i="2"/>
  <c r="BP108" i="2"/>
  <c r="BN108" i="2"/>
  <c r="Z215" i="2"/>
  <c r="Y322" i="2"/>
  <c r="Y321" i="2"/>
  <c r="BP317" i="2"/>
  <c r="BN317" i="2"/>
  <c r="Y350" i="2"/>
  <c r="Y382" i="2"/>
  <c r="BP378" i="2"/>
  <c r="Y381" i="2"/>
  <c r="BN378" i="2"/>
  <c r="F551" i="2"/>
  <c r="Z97" i="2"/>
  <c r="Y420" i="2"/>
  <c r="BP413" i="2"/>
  <c r="BN413" i="2"/>
  <c r="Z413" i="2"/>
  <c r="Z27" i="2"/>
  <c r="Z108" i="2"/>
  <c r="Y125" i="2"/>
  <c r="Y194" i="2"/>
  <c r="Y193" i="2"/>
  <c r="BP192" i="2"/>
  <c r="Z317" i="2"/>
  <c r="BP363" i="2"/>
  <c r="BN363" i="2"/>
  <c r="Z378" i="2"/>
  <c r="Y438" i="2"/>
  <c r="Y437" i="2"/>
  <c r="BP435" i="2"/>
  <c r="BN435" i="2"/>
  <c r="Z451" i="2"/>
  <c r="Z463" i="2"/>
  <c r="Z488" i="2"/>
  <c r="Z498" i="2"/>
  <c r="Z500" i="2" s="1"/>
  <c r="Z508" i="2"/>
  <c r="O551" i="2"/>
  <c r="Z202" i="2"/>
  <c r="Z223" i="2"/>
  <c r="Z233" i="2"/>
  <c r="Z266" i="2"/>
  <c r="Z276" i="2"/>
  <c r="Z286" i="2"/>
  <c r="Z287" i="2" s="1"/>
  <c r="Z297" i="2"/>
  <c r="Z309" i="2"/>
  <c r="Z320" i="2"/>
  <c r="Z356" i="2"/>
  <c r="Z366" i="2"/>
  <c r="Z398" i="2"/>
  <c r="Z458" i="2"/>
  <c r="Z468" i="2"/>
  <c r="Z469" i="2" s="1"/>
  <c r="Z503" i="2"/>
  <c r="Z515" i="2"/>
  <c r="Z516" i="2" s="1"/>
  <c r="P551" i="2"/>
  <c r="Z44" i="2"/>
  <c r="Z90" i="2"/>
  <c r="Y139" i="2"/>
  <c r="Z158" i="2"/>
  <c r="Z51" i="2"/>
  <c r="Z62" i="2"/>
  <c r="Z72" i="2"/>
  <c r="Y85" i="2"/>
  <c r="Z95" i="2"/>
  <c r="Z106" i="2"/>
  <c r="Z116" i="2"/>
  <c r="Y129" i="2"/>
  <c r="Y144" i="2"/>
  <c r="Z173" i="2"/>
  <c r="Z183" i="2"/>
  <c r="Z218" i="2"/>
  <c r="Z238" i="2"/>
  <c r="Y252" i="2"/>
  <c r="Z261" i="2"/>
  <c r="Z271" i="2"/>
  <c r="Z292" i="2"/>
  <c r="Z326" i="2"/>
  <c r="Y342" i="2"/>
  <c r="Z361" i="2"/>
  <c r="Z371" i="2"/>
  <c r="Z404" i="2"/>
  <c r="Z416" i="2"/>
  <c r="BN451" i="2"/>
  <c r="BN463" i="2"/>
  <c r="BN488" i="2"/>
  <c r="BN498" i="2"/>
  <c r="BN508" i="2"/>
  <c r="Y525" i="2"/>
  <c r="Z532" i="2"/>
  <c r="Q551" i="2"/>
  <c r="BN202" i="2"/>
  <c r="BN223" i="2"/>
  <c r="BN233" i="2"/>
  <c r="BN266" i="2"/>
  <c r="BN276" i="2"/>
  <c r="BN286" i="2"/>
  <c r="BN297" i="2"/>
  <c r="BN309" i="2"/>
  <c r="Y312" i="2"/>
  <c r="BN320" i="2"/>
  <c r="BN356" i="2"/>
  <c r="BN366" i="2"/>
  <c r="BN398" i="2"/>
  <c r="BN458" i="2"/>
  <c r="BN468" i="2"/>
  <c r="BN503" i="2"/>
  <c r="BN515" i="2"/>
  <c r="BN90" i="2"/>
  <c r="BN158" i="2"/>
  <c r="Z35" i="2"/>
  <c r="Z36" i="2" s="1"/>
  <c r="BN51" i="2"/>
  <c r="Z82" i="2"/>
  <c r="Y140" i="2"/>
  <c r="Z150" i="2"/>
  <c r="Y164" i="2"/>
  <c r="BN173" i="2"/>
  <c r="BN218" i="2"/>
  <c r="Z226" i="2"/>
  <c r="BN238" i="2"/>
  <c r="Y241" i="2"/>
  <c r="Z249" i="2"/>
  <c r="BN261" i="2"/>
  <c r="BN271" i="2"/>
  <c r="Z279" i="2"/>
  <c r="BN292" i="2"/>
  <c r="BN326" i="2"/>
  <c r="Z348" i="2"/>
  <c r="BN361" i="2"/>
  <c r="BN371" i="2"/>
  <c r="Z391" i="2"/>
  <c r="BN404" i="2"/>
  <c r="Y407" i="2"/>
  <c r="BN416" i="2"/>
  <c r="Z436" i="2"/>
  <c r="Z437" i="2" s="1"/>
  <c r="Z461" i="2"/>
  <c r="Z486" i="2"/>
  <c r="BP498" i="2"/>
  <c r="Z506" i="2"/>
  <c r="BN532" i="2"/>
  <c r="S551" i="2"/>
  <c r="BP286" i="2"/>
  <c r="BP309" i="2"/>
  <c r="BP458" i="2"/>
  <c r="BP468" i="2"/>
  <c r="BP503" i="2"/>
  <c r="BP515" i="2"/>
  <c r="BP158" i="2"/>
  <c r="BN35" i="2"/>
  <c r="Z60" i="2"/>
  <c r="Z70" i="2"/>
  <c r="BN82" i="2"/>
  <c r="Z104" i="2"/>
  <c r="Z114" i="2"/>
  <c r="Z137" i="2"/>
  <c r="Z139" i="2" s="1"/>
  <c r="BN150" i="2"/>
  <c r="Z171" i="2"/>
  <c r="Z181" i="2"/>
  <c r="Z216" i="2"/>
  <c r="BN226" i="2"/>
  <c r="BN249" i="2"/>
  <c r="Z259" i="2"/>
  <c r="BN279" i="2"/>
  <c r="Y282" i="2"/>
  <c r="Z335" i="2"/>
  <c r="Z337" i="2" s="1"/>
  <c r="BN348" i="2"/>
  <c r="BP371" i="2"/>
  <c r="Z379" i="2"/>
  <c r="BN391" i="2"/>
  <c r="Y394" i="2"/>
  <c r="BP404" i="2"/>
  <c r="Z414" i="2"/>
  <c r="Z424" i="2"/>
  <c r="BN436" i="2"/>
  <c r="BN461" i="2"/>
  <c r="Y464" i="2"/>
  <c r="BN486" i="2"/>
  <c r="BN506" i="2"/>
  <c r="Y469" i="2"/>
  <c r="Y516" i="2"/>
  <c r="BP538" i="2"/>
  <c r="BP35" i="2"/>
  <c r="BN60" i="2"/>
  <c r="BN70" i="2"/>
  <c r="BN104" i="2"/>
  <c r="BN114" i="2"/>
  <c r="BN137" i="2"/>
  <c r="BN171" i="2"/>
  <c r="BN216" i="2"/>
  <c r="BN335" i="2"/>
  <c r="Z357" i="2"/>
  <c r="Z367" i="2"/>
  <c r="BN379" i="2"/>
  <c r="BP391" i="2"/>
  <c r="Z399" i="2"/>
  <c r="BN414" i="2"/>
  <c r="BN424" i="2"/>
  <c r="Z459" i="2"/>
  <c r="Z504" i="2"/>
  <c r="Z528" i="2"/>
  <c r="Z529" i="2" s="1"/>
  <c r="BN181" i="2"/>
  <c r="Y184" i="2"/>
  <c r="BN259" i="2"/>
  <c r="Z277" i="2"/>
  <c r="Z310" i="2"/>
  <c r="Z346" i="2"/>
  <c r="F9" i="2"/>
  <c r="Z52" i="2"/>
  <c r="Z63" i="2"/>
  <c r="Z73" i="2"/>
  <c r="BP88" i="2"/>
  <c r="Z96" i="2"/>
  <c r="Z107" i="2"/>
  <c r="BP132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Z362" i="2"/>
  <c r="Z372" i="2"/>
  <c r="Z405" i="2"/>
  <c r="Z417" i="2"/>
  <c r="BN429" i="2"/>
  <c r="Y432" i="2"/>
  <c r="BN452" i="2"/>
  <c r="Y465" i="2"/>
  <c r="BN477" i="2"/>
  <c r="Y480" i="2"/>
  <c r="BN489" i="2"/>
  <c r="BN499" i="2"/>
  <c r="BN509" i="2"/>
  <c r="BN523" i="2"/>
  <c r="Z533" i="2"/>
  <c r="Y539" i="2"/>
  <c r="BP259" i="2"/>
  <c r="BN277" i="2"/>
  <c r="BN310" i="2"/>
  <c r="BN346" i="2"/>
  <c r="Y349" i="2"/>
  <c r="BN357" i="2"/>
  <c r="BN367" i="2"/>
  <c r="BN399" i="2"/>
  <c r="BN459" i="2"/>
  <c r="BN504" i="2"/>
  <c r="Y517" i="2"/>
  <c r="BN528" i="2"/>
  <c r="Y551" i="2"/>
  <c r="Y36" i="2"/>
  <c r="BP181" i="2"/>
  <c r="Z83" i="2"/>
  <c r="Z151" i="2"/>
  <c r="Z250" i="2"/>
  <c r="Z280" i="2"/>
  <c r="Z392" i="2"/>
  <c r="Z450" i="2"/>
  <c r="Z462" i="2"/>
  <c r="Z487" i="2"/>
  <c r="Z507" i="2"/>
  <c r="BN533" i="2"/>
  <c r="Z127" i="2"/>
  <c r="Z128" i="2" s="1"/>
  <c r="A10" i="2"/>
  <c r="BP346" i="2"/>
  <c r="Y540" i="2"/>
  <c r="BN450" i="2"/>
  <c r="Z321" i="2" l="1"/>
  <c r="Z375" i="2"/>
  <c r="Z32" i="2"/>
  <c r="Z443" i="2"/>
  <c r="X544" i="2"/>
  <c r="Z525" i="2"/>
  <c r="Z124" i="2"/>
  <c r="Z189" i="2"/>
  <c r="Z178" i="2"/>
  <c r="Z298" i="2"/>
  <c r="Z117" i="2"/>
  <c r="Z67" i="2"/>
  <c r="Z159" i="2"/>
  <c r="Z92" i="2"/>
  <c r="Z235" i="2"/>
  <c r="Z109" i="2"/>
  <c r="Z312" i="2"/>
  <c r="Z420" i="2"/>
  <c r="Z24" i="2"/>
  <c r="Z251" i="2"/>
  <c r="Z534" i="2"/>
  <c r="Z152" i="2"/>
  <c r="Z381" i="2"/>
  <c r="Z282" i="2"/>
  <c r="Z227" i="2"/>
  <c r="Z480" i="2"/>
  <c r="Z46" i="2"/>
  <c r="Y545" i="2"/>
  <c r="Z510" i="2"/>
  <c r="Z400" i="2"/>
  <c r="Z464" i="2"/>
  <c r="Z205" i="2"/>
  <c r="Y541" i="2"/>
  <c r="Z184" i="2"/>
  <c r="Z453" i="2"/>
  <c r="Z99" i="2"/>
  <c r="Z426" i="2"/>
  <c r="Z494" i="2"/>
  <c r="Z407" i="2"/>
  <c r="Z241" i="2"/>
  <c r="Z267" i="2"/>
  <c r="Z368" i="2"/>
  <c r="Z55" i="2"/>
  <c r="Z349" i="2"/>
  <c r="Z328" i="2"/>
  <c r="Z358" i="2"/>
  <c r="Y542" i="2"/>
  <c r="Z74" i="2"/>
  <c r="Z394" i="2"/>
  <c r="Z84" i="2"/>
  <c r="Y543" i="2"/>
  <c r="Z546" i="2" l="1"/>
  <c r="Y544" i="2"/>
</calcChain>
</file>

<file path=xl/sharedStrings.xml><?xml version="1.0" encoding="utf-8"?>
<sst xmlns="http://schemas.openxmlformats.org/spreadsheetml/2006/main" count="4135" uniqueCount="890">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</sst>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6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4" t="s">
        <v>26</v>
      </c>
      <c r="E1" s="624"/>
      <c r="F1" s="624"/>
      <c r="G1" s="14" t="s">
        <v>67</v>
      </c>
      <c r="H1" s="624" t="s">
        <v>47</v>
      </c>
      <c r="I1" s="624"/>
      <c r="J1" s="624"/>
      <c r="K1" s="624"/>
      <c r="L1" s="624"/>
      <c r="M1" s="624"/>
      <c r="N1" s="624"/>
      <c r="O1" s="624"/>
      <c r="P1" s="624"/>
      <c r="Q1" s="624"/>
      <c r="R1" s="625" t="s">
        <v>68</v>
      </c>
      <c r="S1" s="626"/>
      <c r="T1" s="62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7"/>
      <c r="Q3" s="627"/>
      <c r="R3" s="627"/>
      <c r="S3" s="627"/>
      <c r="T3" s="627"/>
      <c r="U3" s="627"/>
      <c r="V3" s="627"/>
      <c r="W3" s="62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8" t="s">
        <v>8</v>
      </c>
      <c r="B5" s="628"/>
      <c r="C5" s="628"/>
      <c r="D5" s="629"/>
      <c r="E5" s="629"/>
      <c r="F5" s="630" t="s">
        <v>14</v>
      </c>
      <c r="G5" s="630"/>
      <c r="H5" s="629"/>
      <c r="I5" s="629"/>
      <c r="J5" s="629"/>
      <c r="K5" s="629"/>
      <c r="L5" s="629"/>
      <c r="M5" s="629"/>
      <c r="N5" s="72"/>
      <c r="P5" s="27" t="s">
        <v>4</v>
      </c>
      <c r="Q5" s="631">
        <v>46223</v>
      </c>
      <c r="R5" s="631"/>
      <c r="T5" s="632" t="s">
        <v>3</v>
      </c>
      <c r="U5" s="633"/>
      <c r="V5" s="634" t="s">
        <v>850</v>
      </c>
      <c r="W5" s="635"/>
      <c r="AB5" s="59"/>
      <c r="AC5" s="59"/>
      <c r="AD5" s="59"/>
      <c r="AE5" s="59"/>
    </row>
    <row r="6" spans="1:32" s="17" customFormat="1" ht="24" customHeight="1" x14ac:dyDescent="0.2">
      <c r="A6" s="628" t="s">
        <v>1</v>
      </c>
      <c r="B6" s="628"/>
      <c r="C6" s="628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73"/>
      <c r="P6" s="27" t="s">
        <v>27</v>
      </c>
      <c r="Q6" s="637" t="str">
        <f>IF(Q5=0," ",CHOOSE(WEEKDAY(Q5,2),"Понедельник","Вторник","Среда","Четверг","Пятница","Суббота","Воскресенье"))</f>
        <v>Понедельник</v>
      </c>
      <c r="R6" s="637"/>
      <c r="T6" s="638" t="s">
        <v>5</v>
      </c>
      <c r="U6" s="639"/>
      <c r="V6" s="640" t="s">
        <v>70</v>
      </c>
      <c r="W6" s="64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6">
        <f>IFERROR(VLOOKUP(DeliveryAddress,Table,3,0),1)</f>
        <v>1</v>
      </c>
      <c r="E7" s="647"/>
      <c r="F7" s="647"/>
      <c r="G7" s="647"/>
      <c r="H7" s="647"/>
      <c r="I7" s="647"/>
      <c r="J7" s="647"/>
      <c r="K7" s="647"/>
      <c r="L7" s="647"/>
      <c r="M7" s="648"/>
      <c r="N7" s="74"/>
      <c r="P7" s="29"/>
      <c r="Q7" s="48"/>
      <c r="R7" s="48"/>
      <c r="T7" s="638"/>
      <c r="U7" s="639"/>
      <c r="V7" s="642"/>
      <c r="W7" s="643"/>
      <c r="AB7" s="59"/>
      <c r="AC7" s="59"/>
      <c r="AD7" s="59"/>
      <c r="AE7" s="59"/>
    </row>
    <row r="8" spans="1:32" s="17" customFormat="1" ht="25.5" customHeight="1" x14ac:dyDescent="0.2">
      <c r="A8" s="649" t="s">
        <v>58</v>
      </c>
      <c r="B8" s="649"/>
      <c r="C8" s="649"/>
      <c r="D8" s="650"/>
      <c r="E8" s="650"/>
      <c r="F8" s="650"/>
      <c r="G8" s="650"/>
      <c r="H8" s="650"/>
      <c r="I8" s="650"/>
      <c r="J8" s="650"/>
      <c r="K8" s="650"/>
      <c r="L8" s="650"/>
      <c r="M8" s="650"/>
      <c r="N8" s="75"/>
      <c r="P8" s="27" t="s">
        <v>11</v>
      </c>
      <c r="Q8" s="651">
        <v>0.41666666666666669</v>
      </c>
      <c r="R8" s="651"/>
      <c r="T8" s="638"/>
      <c r="U8" s="639"/>
      <c r="V8" s="642"/>
      <c r="W8" s="643"/>
      <c r="AB8" s="59"/>
      <c r="AC8" s="59"/>
      <c r="AD8" s="59"/>
      <c r="AE8" s="59"/>
    </row>
    <row r="9" spans="1:32" s="17" customFormat="1" ht="39.950000000000003" customHeight="1" x14ac:dyDescent="0.2">
      <c r="A9" s="6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2"/>
      <c r="C9" s="652"/>
      <c r="D9" s="653" t="s">
        <v>46</v>
      </c>
      <c r="E9" s="654"/>
      <c r="F9" s="6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5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5"/>
      <c r="L9" s="655"/>
      <c r="M9" s="655"/>
      <c r="N9" s="70"/>
      <c r="P9" s="31" t="s">
        <v>15</v>
      </c>
      <c r="Q9" s="656"/>
      <c r="R9" s="656"/>
      <c r="T9" s="638"/>
      <c r="U9" s="639"/>
      <c r="V9" s="644"/>
      <c r="W9" s="64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2"/>
      <c r="C10" s="652"/>
      <c r="D10" s="653"/>
      <c r="E10" s="654"/>
      <c r="F10" s="6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2"/>
      <c r="H10" s="657" t="str">
        <f>IFERROR(VLOOKUP($D$10,Proxy,2,FALSE),"")</f>
        <v/>
      </c>
      <c r="I10" s="657"/>
      <c r="J10" s="657"/>
      <c r="K10" s="657"/>
      <c r="L10" s="657"/>
      <c r="M10" s="657"/>
      <c r="N10" s="71"/>
      <c r="P10" s="31" t="s">
        <v>32</v>
      </c>
      <c r="Q10" s="658"/>
      <c r="R10" s="658"/>
      <c r="U10" s="29" t="s">
        <v>12</v>
      </c>
      <c r="V10" s="659" t="s">
        <v>71</v>
      </c>
      <c r="W10" s="66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1"/>
      <c r="R11" s="661"/>
      <c r="U11" s="29" t="s">
        <v>28</v>
      </c>
      <c r="V11" s="662" t="s">
        <v>55</v>
      </c>
      <c r="W11" s="66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3" t="s">
        <v>72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3"/>
      <c r="N12" s="76"/>
      <c r="P12" s="27" t="s">
        <v>30</v>
      </c>
      <c r="Q12" s="651"/>
      <c r="R12" s="651"/>
      <c r="S12" s="28"/>
      <c r="T12"/>
      <c r="U12" s="29" t="s">
        <v>46</v>
      </c>
      <c r="V12" s="664"/>
      <c r="W12" s="664"/>
      <c r="X12"/>
      <c r="AB12" s="59"/>
      <c r="AC12" s="59"/>
      <c r="AD12" s="59"/>
      <c r="AE12" s="59"/>
    </row>
    <row r="13" spans="1:32" s="17" customFormat="1" ht="23.25" customHeight="1" x14ac:dyDescent="0.2">
      <c r="A13" s="663" t="s">
        <v>73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3"/>
      <c r="N13" s="76"/>
      <c r="O13" s="31"/>
      <c r="P13" s="31" t="s">
        <v>31</v>
      </c>
      <c r="Q13" s="662"/>
      <c r="R13" s="66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3" t="s">
        <v>74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5" t="s">
        <v>75</v>
      </c>
      <c r="B15" s="665"/>
      <c r="C15" s="665"/>
      <c r="D15" s="665"/>
      <c r="E15" s="665"/>
      <c r="F15" s="665"/>
      <c r="G15" s="665"/>
      <c r="H15" s="665"/>
      <c r="I15" s="665"/>
      <c r="J15" s="665"/>
      <c r="K15" s="665"/>
      <c r="L15" s="665"/>
      <c r="M15" s="665"/>
      <c r="N15" s="77"/>
      <c r="O15"/>
      <c r="P15" s="666" t="s">
        <v>61</v>
      </c>
      <c r="Q15" s="666"/>
      <c r="R15" s="666"/>
      <c r="S15" s="666"/>
      <c r="T15" s="6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7"/>
      <c r="Q16" s="667"/>
      <c r="R16" s="667"/>
      <c r="S16" s="667"/>
      <c r="T16" s="6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0" t="s">
        <v>59</v>
      </c>
      <c r="B17" s="670" t="s">
        <v>49</v>
      </c>
      <c r="C17" s="672" t="s">
        <v>48</v>
      </c>
      <c r="D17" s="674" t="s">
        <v>50</v>
      </c>
      <c r="E17" s="675"/>
      <c r="F17" s="670" t="s">
        <v>21</v>
      </c>
      <c r="G17" s="670" t="s">
        <v>24</v>
      </c>
      <c r="H17" s="670" t="s">
        <v>22</v>
      </c>
      <c r="I17" s="670" t="s">
        <v>23</v>
      </c>
      <c r="J17" s="670" t="s">
        <v>16</v>
      </c>
      <c r="K17" s="670" t="s">
        <v>66</v>
      </c>
      <c r="L17" s="670" t="s">
        <v>64</v>
      </c>
      <c r="M17" s="670" t="s">
        <v>2</v>
      </c>
      <c r="N17" s="670" t="s">
        <v>63</v>
      </c>
      <c r="O17" s="670" t="s">
        <v>25</v>
      </c>
      <c r="P17" s="674" t="s">
        <v>17</v>
      </c>
      <c r="Q17" s="678"/>
      <c r="R17" s="678"/>
      <c r="S17" s="678"/>
      <c r="T17" s="675"/>
      <c r="U17" s="668" t="s">
        <v>56</v>
      </c>
      <c r="V17" s="669"/>
      <c r="W17" s="670" t="s">
        <v>6</v>
      </c>
      <c r="X17" s="670" t="s">
        <v>41</v>
      </c>
      <c r="Y17" s="680" t="s">
        <v>54</v>
      </c>
      <c r="Z17" s="682" t="s">
        <v>18</v>
      </c>
      <c r="AA17" s="684" t="s">
        <v>60</v>
      </c>
      <c r="AB17" s="684" t="s">
        <v>19</v>
      </c>
      <c r="AC17" s="684" t="s">
        <v>65</v>
      </c>
      <c r="AD17" s="686" t="s">
        <v>57</v>
      </c>
      <c r="AE17" s="687"/>
      <c r="AF17" s="688"/>
      <c r="AG17" s="82"/>
      <c r="BD17" s="81" t="s">
        <v>62</v>
      </c>
    </row>
    <row r="18" spans="1:68" ht="14.25" customHeight="1" x14ac:dyDescent="0.2">
      <c r="A18" s="671"/>
      <c r="B18" s="671"/>
      <c r="C18" s="673"/>
      <c r="D18" s="676"/>
      <c r="E18" s="677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676"/>
      <c r="Q18" s="679"/>
      <c r="R18" s="679"/>
      <c r="S18" s="679"/>
      <c r="T18" s="677"/>
      <c r="U18" s="83" t="s">
        <v>44</v>
      </c>
      <c r="V18" s="83" t="s">
        <v>43</v>
      </c>
      <c r="W18" s="671"/>
      <c r="X18" s="671"/>
      <c r="Y18" s="681"/>
      <c r="Z18" s="683"/>
      <c r="AA18" s="685"/>
      <c r="AB18" s="685"/>
      <c r="AC18" s="685"/>
      <c r="AD18" s="689"/>
      <c r="AE18" s="690"/>
      <c r="AF18" s="691"/>
      <c r="AG18" s="82"/>
      <c r="BD18" s="81"/>
    </row>
    <row r="19" spans="1:68" ht="27.75" customHeight="1" x14ac:dyDescent="0.2">
      <c r="A19" s="692" t="s">
        <v>76</v>
      </c>
      <c r="B19" s="692"/>
      <c r="C19" s="692"/>
      <c r="D19" s="692"/>
      <c r="E19" s="692"/>
      <c r="F19" s="692"/>
      <c r="G19" s="692"/>
      <c r="H19" s="692"/>
      <c r="I19" s="692"/>
      <c r="J19" s="692"/>
      <c r="K19" s="692"/>
      <c r="L19" s="692"/>
      <c r="M19" s="692"/>
      <c r="N19" s="692"/>
      <c r="O19" s="692"/>
      <c r="P19" s="692"/>
      <c r="Q19" s="692"/>
      <c r="R19" s="692"/>
      <c r="S19" s="692"/>
      <c r="T19" s="692"/>
      <c r="U19" s="692"/>
      <c r="V19" s="692"/>
      <c r="W19" s="692"/>
      <c r="X19" s="692"/>
      <c r="Y19" s="692"/>
      <c r="Z19" s="692"/>
      <c r="AA19" s="54"/>
      <c r="AB19" s="54"/>
      <c r="AC19" s="54"/>
    </row>
    <row r="20" spans="1:68" ht="16.5" customHeight="1" x14ac:dyDescent="0.25">
      <c r="A20" s="693" t="s">
        <v>76</v>
      </c>
      <c r="B20" s="693"/>
      <c r="C20" s="693"/>
      <c r="D20" s="693"/>
      <c r="E20" s="693"/>
      <c r="F20" s="693"/>
      <c r="G20" s="693"/>
      <c r="H20" s="693"/>
      <c r="I20" s="693"/>
      <c r="J20" s="693"/>
      <c r="K20" s="693"/>
      <c r="L20" s="693"/>
      <c r="M20" s="693"/>
      <c r="N20" s="693"/>
      <c r="O20" s="693"/>
      <c r="P20" s="693"/>
      <c r="Q20" s="693"/>
      <c r="R20" s="693"/>
      <c r="S20" s="693"/>
      <c r="T20" s="693"/>
      <c r="U20" s="693"/>
      <c r="V20" s="693"/>
      <c r="W20" s="693"/>
      <c r="X20" s="693"/>
      <c r="Y20" s="693"/>
      <c r="Z20" s="693"/>
      <c r="AA20" s="65"/>
      <c r="AB20" s="65"/>
      <c r="AC20" s="79"/>
    </row>
    <row r="21" spans="1:68" ht="14.25" customHeight="1" x14ac:dyDescent="0.25">
      <c r="A21" s="694" t="s">
        <v>77</v>
      </c>
      <c r="B21" s="694"/>
      <c r="C21" s="694"/>
      <c r="D21" s="694"/>
      <c r="E21" s="694"/>
      <c r="F21" s="694"/>
      <c r="G21" s="694"/>
      <c r="H21" s="694"/>
      <c r="I21" s="694"/>
      <c r="J21" s="694"/>
      <c r="K21" s="694"/>
      <c r="L21" s="694"/>
      <c r="M21" s="694"/>
      <c r="N21" s="694"/>
      <c r="O21" s="694"/>
      <c r="P21" s="694"/>
      <c r="Q21" s="694"/>
      <c r="R21" s="694"/>
      <c r="S21" s="694"/>
      <c r="T21" s="694"/>
      <c r="U21" s="694"/>
      <c r="V21" s="694"/>
      <c r="W21" s="694"/>
      <c r="X21" s="694"/>
      <c r="Y21" s="694"/>
      <c r="Z21" s="69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95">
        <v>4680115886643</v>
      </c>
      <c r="E22" s="69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7"/>
      <c r="R22" s="697"/>
      <c r="S22" s="697"/>
      <c r="T22" s="69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95">
        <v>4680115889071</v>
      </c>
      <c r="E23" s="69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7"/>
      <c r="R23" s="697"/>
      <c r="S23" s="697"/>
      <c r="T23" s="69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03"/>
      <c r="B24" s="703"/>
      <c r="C24" s="703"/>
      <c r="D24" s="703"/>
      <c r="E24" s="703"/>
      <c r="F24" s="703"/>
      <c r="G24" s="703"/>
      <c r="H24" s="703"/>
      <c r="I24" s="703"/>
      <c r="J24" s="703"/>
      <c r="K24" s="703"/>
      <c r="L24" s="703"/>
      <c r="M24" s="703"/>
      <c r="N24" s="703"/>
      <c r="O24" s="704"/>
      <c r="P24" s="700" t="s">
        <v>40</v>
      </c>
      <c r="Q24" s="701"/>
      <c r="R24" s="701"/>
      <c r="S24" s="701"/>
      <c r="T24" s="701"/>
      <c r="U24" s="701"/>
      <c r="V24" s="70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03"/>
      <c r="B25" s="703"/>
      <c r="C25" s="703"/>
      <c r="D25" s="703"/>
      <c r="E25" s="703"/>
      <c r="F25" s="703"/>
      <c r="G25" s="703"/>
      <c r="H25" s="703"/>
      <c r="I25" s="703"/>
      <c r="J25" s="703"/>
      <c r="K25" s="703"/>
      <c r="L25" s="703"/>
      <c r="M25" s="703"/>
      <c r="N25" s="703"/>
      <c r="O25" s="704"/>
      <c r="P25" s="700" t="s">
        <v>40</v>
      </c>
      <c r="Q25" s="701"/>
      <c r="R25" s="701"/>
      <c r="S25" s="701"/>
      <c r="T25" s="701"/>
      <c r="U25" s="701"/>
      <c r="V25" s="70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94" t="s">
        <v>86</v>
      </c>
      <c r="B26" s="694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4"/>
      <c r="R26" s="694"/>
      <c r="S26" s="694"/>
      <c r="T26" s="694"/>
      <c r="U26" s="694"/>
      <c r="V26" s="694"/>
      <c r="W26" s="694"/>
      <c r="X26" s="694"/>
      <c r="Y26" s="694"/>
      <c r="Z26" s="69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95">
        <v>4680115885912</v>
      </c>
      <c r="E27" s="69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7"/>
      <c r="R27" s="697"/>
      <c r="S27" s="697"/>
      <c r="T27" s="69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95">
        <v>4607091388237</v>
      </c>
      <c r="E28" s="69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7"/>
      <c r="R28" s="697"/>
      <c r="S28" s="697"/>
      <c r="T28" s="69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95">
        <v>4680115887350</v>
      </c>
      <c r="E29" s="69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7"/>
      <c r="R29" s="697"/>
      <c r="S29" s="697"/>
      <c r="T29" s="69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95">
        <v>4680115885905</v>
      </c>
      <c r="E30" s="69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7"/>
      <c r="R30" s="697"/>
      <c r="S30" s="697"/>
      <c r="T30" s="69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95">
        <v>4680115887619</v>
      </c>
      <c r="E31" s="69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7"/>
      <c r="R31" s="697"/>
      <c r="S31" s="697"/>
      <c r="T31" s="69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03"/>
      <c r="B32" s="703"/>
      <c r="C32" s="703"/>
      <c r="D32" s="703"/>
      <c r="E32" s="703"/>
      <c r="F32" s="703"/>
      <c r="G32" s="703"/>
      <c r="H32" s="703"/>
      <c r="I32" s="703"/>
      <c r="J32" s="703"/>
      <c r="K32" s="703"/>
      <c r="L32" s="703"/>
      <c r="M32" s="703"/>
      <c r="N32" s="703"/>
      <c r="O32" s="704"/>
      <c r="P32" s="700" t="s">
        <v>40</v>
      </c>
      <c r="Q32" s="701"/>
      <c r="R32" s="701"/>
      <c r="S32" s="701"/>
      <c r="T32" s="701"/>
      <c r="U32" s="701"/>
      <c r="V32" s="70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03"/>
      <c r="B33" s="703"/>
      <c r="C33" s="703"/>
      <c r="D33" s="703"/>
      <c r="E33" s="703"/>
      <c r="F33" s="703"/>
      <c r="G33" s="703"/>
      <c r="H33" s="703"/>
      <c r="I33" s="703"/>
      <c r="J33" s="703"/>
      <c r="K33" s="703"/>
      <c r="L33" s="703"/>
      <c r="M33" s="703"/>
      <c r="N33" s="703"/>
      <c r="O33" s="704"/>
      <c r="P33" s="700" t="s">
        <v>40</v>
      </c>
      <c r="Q33" s="701"/>
      <c r="R33" s="701"/>
      <c r="S33" s="701"/>
      <c r="T33" s="701"/>
      <c r="U33" s="701"/>
      <c r="V33" s="70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94" t="s">
        <v>104</v>
      </c>
      <c r="B34" s="694"/>
      <c r="C34" s="694"/>
      <c r="D34" s="694"/>
      <c r="E34" s="694"/>
      <c r="F34" s="694"/>
      <c r="G34" s="694"/>
      <c r="H34" s="694"/>
      <c r="I34" s="694"/>
      <c r="J34" s="694"/>
      <c r="K34" s="694"/>
      <c r="L34" s="694"/>
      <c r="M34" s="694"/>
      <c r="N34" s="694"/>
      <c r="O34" s="694"/>
      <c r="P34" s="694"/>
      <c r="Q34" s="694"/>
      <c r="R34" s="694"/>
      <c r="S34" s="694"/>
      <c r="T34" s="694"/>
      <c r="U34" s="694"/>
      <c r="V34" s="694"/>
      <c r="W34" s="694"/>
      <c r="X34" s="694"/>
      <c r="Y34" s="694"/>
      <c r="Z34" s="694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95">
        <v>4607091388503</v>
      </c>
      <c r="E35" s="69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7"/>
      <c r="R35" s="697"/>
      <c r="S35" s="697"/>
      <c r="T35" s="69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03"/>
      <c r="B36" s="703"/>
      <c r="C36" s="703"/>
      <c r="D36" s="703"/>
      <c r="E36" s="703"/>
      <c r="F36" s="703"/>
      <c r="G36" s="703"/>
      <c r="H36" s="703"/>
      <c r="I36" s="703"/>
      <c r="J36" s="703"/>
      <c r="K36" s="703"/>
      <c r="L36" s="703"/>
      <c r="M36" s="703"/>
      <c r="N36" s="703"/>
      <c r="O36" s="704"/>
      <c r="P36" s="700" t="s">
        <v>40</v>
      </c>
      <c r="Q36" s="701"/>
      <c r="R36" s="701"/>
      <c r="S36" s="701"/>
      <c r="T36" s="701"/>
      <c r="U36" s="701"/>
      <c r="V36" s="70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03"/>
      <c r="B37" s="703"/>
      <c r="C37" s="703"/>
      <c r="D37" s="703"/>
      <c r="E37" s="703"/>
      <c r="F37" s="703"/>
      <c r="G37" s="703"/>
      <c r="H37" s="703"/>
      <c r="I37" s="703"/>
      <c r="J37" s="703"/>
      <c r="K37" s="703"/>
      <c r="L37" s="703"/>
      <c r="M37" s="703"/>
      <c r="N37" s="703"/>
      <c r="O37" s="704"/>
      <c r="P37" s="700" t="s">
        <v>40</v>
      </c>
      <c r="Q37" s="701"/>
      <c r="R37" s="701"/>
      <c r="S37" s="701"/>
      <c r="T37" s="701"/>
      <c r="U37" s="701"/>
      <c r="V37" s="70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92" t="s">
        <v>45</v>
      </c>
      <c r="B38" s="692"/>
      <c r="C38" s="692"/>
      <c r="D38" s="692"/>
      <c r="E38" s="692"/>
      <c r="F38" s="692"/>
      <c r="G38" s="692"/>
      <c r="H38" s="692"/>
      <c r="I38" s="692"/>
      <c r="J38" s="692"/>
      <c r="K38" s="692"/>
      <c r="L38" s="692"/>
      <c r="M38" s="692"/>
      <c r="N38" s="692"/>
      <c r="O38" s="692"/>
      <c r="P38" s="692"/>
      <c r="Q38" s="692"/>
      <c r="R38" s="692"/>
      <c r="S38" s="692"/>
      <c r="T38" s="692"/>
      <c r="U38" s="692"/>
      <c r="V38" s="692"/>
      <c r="W38" s="692"/>
      <c r="X38" s="692"/>
      <c r="Y38" s="692"/>
      <c r="Z38" s="692"/>
      <c r="AA38" s="54"/>
      <c r="AB38" s="54"/>
      <c r="AC38" s="54"/>
    </row>
    <row r="39" spans="1:68" ht="16.5" customHeight="1" x14ac:dyDescent="0.25">
      <c r="A39" s="693" t="s">
        <v>110</v>
      </c>
      <c r="B39" s="693"/>
      <c r="C39" s="693"/>
      <c r="D39" s="693"/>
      <c r="E39" s="693"/>
      <c r="F39" s="693"/>
      <c r="G39" s="693"/>
      <c r="H39" s="693"/>
      <c r="I39" s="693"/>
      <c r="J39" s="693"/>
      <c r="K39" s="693"/>
      <c r="L39" s="693"/>
      <c r="M39" s="693"/>
      <c r="N39" s="693"/>
      <c r="O39" s="693"/>
      <c r="P39" s="693"/>
      <c r="Q39" s="693"/>
      <c r="R39" s="693"/>
      <c r="S39" s="693"/>
      <c r="T39" s="693"/>
      <c r="U39" s="693"/>
      <c r="V39" s="693"/>
      <c r="W39" s="693"/>
      <c r="X39" s="693"/>
      <c r="Y39" s="693"/>
      <c r="Z39" s="693"/>
      <c r="AA39" s="65"/>
      <c r="AB39" s="65"/>
      <c r="AC39" s="79"/>
    </row>
    <row r="40" spans="1:68" ht="14.25" customHeight="1" x14ac:dyDescent="0.25">
      <c r="A40" s="694" t="s">
        <v>86</v>
      </c>
      <c r="B40" s="694"/>
      <c r="C40" s="694"/>
      <c r="D40" s="694"/>
      <c r="E40" s="694"/>
      <c r="F40" s="694"/>
      <c r="G40" s="694"/>
      <c r="H40" s="694"/>
      <c r="I40" s="694"/>
      <c r="J40" s="694"/>
      <c r="K40" s="694"/>
      <c r="L40" s="694"/>
      <c r="M40" s="694"/>
      <c r="N40" s="694"/>
      <c r="O40" s="694"/>
      <c r="P40" s="694"/>
      <c r="Q40" s="694"/>
      <c r="R40" s="694"/>
      <c r="S40" s="694"/>
      <c r="T40" s="694"/>
      <c r="U40" s="694"/>
      <c r="V40" s="694"/>
      <c r="W40" s="694"/>
      <c r="X40" s="694"/>
      <c r="Y40" s="694"/>
      <c r="Z40" s="694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95">
        <v>4680115889354</v>
      </c>
      <c r="E41" s="69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7"/>
      <c r="R41" s="697"/>
      <c r="S41" s="697"/>
      <c r="T41" s="69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95">
        <v>4680115888463</v>
      </c>
      <c r="E42" s="69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7"/>
      <c r="R42" s="697"/>
      <c r="S42" s="697"/>
      <c r="T42" s="69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95">
        <v>4680115888494</v>
      </c>
      <c r="E43" s="695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7"/>
      <c r="R43" s="697"/>
      <c r="S43" s="697"/>
      <c r="T43" s="69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95">
        <v>4680115888272</v>
      </c>
      <c r="E44" s="69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7"/>
      <c r="R44" s="697"/>
      <c r="S44" s="697"/>
      <c r="T44" s="69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95">
        <v>4680115888364</v>
      </c>
      <c r="E45" s="69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7"/>
      <c r="R45" s="697"/>
      <c r="S45" s="697"/>
      <c r="T45" s="69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03"/>
      <c r="B46" s="703"/>
      <c r="C46" s="703"/>
      <c r="D46" s="703"/>
      <c r="E46" s="703"/>
      <c r="F46" s="703"/>
      <c r="G46" s="703"/>
      <c r="H46" s="703"/>
      <c r="I46" s="703"/>
      <c r="J46" s="703"/>
      <c r="K46" s="703"/>
      <c r="L46" s="703"/>
      <c r="M46" s="703"/>
      <c r="N46" s="703"/>
      <c r="O46" s="704"/>
      <c r="P46" s="700" t="s">
        <v>40</v>
      </c>
      <c r="Q46" s="701"/>
      <c r="R46" s="701"/>
      <c r="S46" s="701"/>
      <c r="T46" s="701"/>
      <c r="U46" s="701"/>
      <c r="V46" s="70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03"/>
      <c r="B47" s="703"/>
      <c r="C47" s="703"/>
      <c r="D47" s="703"/>
      <c r="E47" s="703"/>
      <c r="F47" s="703"/>
      <c r="G47" s="703"/>
      <c r="H47" s="703"/>
      <c r="I47" s="703"/>
      <c r="J47" s="703"/>
      <c r="K47" s="703"/>
      <c r="L47" s="703"/>
      <c r="M47" s="703"/>
      <c r="N47" s="703"/>
      <c r="O47" s="704"/>
      <c r="P47" s="700" t="s">
        <v>40</v>
      </c>
      <c r="Q47" s="701"/>
      <c r="R47" s="701"/>
      <c r="S47" s="701"/>
      <c r="T47" s="701"/>
      <c r="U47" s="701"/>
      <c r="V47" s="70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92" t="s">
        <v>126</v>
      </c>
      <c r="B48" s="692"/>
      <c r="C48" s="692"/>
      <c r="D48" s="692"/>
      <c r="E48" s="692"/>
      <c r="F48" s="692"/>
      <c r="G48" s="692"/>
      <c r="H48" s="692"/>
      <c r="I48" s="692"/>
      <c r="J48" s="692"/>
      <c r="K48" s="692"/>
      <c r="L48" s="692"/>
      <c r="M48" s="692"/>
      <c r="N48" s="692"/>
      <c r="O48" s="692"/>
      <c r="P48" s="692"/>
      <c r="Q48" s="692"/>
      <c r="R48" s="692"/>
      <c r="S48" s="692"/>
      <c r="T48" s="692"/>
      <c r="U48" s="692"/>
      <c r="V48" s="692"/>
      <c r="W48" s="692"/>
      <c r="X48" s="692"/>
      <c r="Y48" s="692"/>
      <c r="Z48" s="692"/>
      <c r="AA48" s="54"/>
      <c r="AB48" s="54"/>
      <c r="AC48" s="54"/>
    </row>
    <row r="49" spans="1:68" ht="16.5" customHeight="1" x14ac:dyDescent="0.25">
      <c r="A49" s="693" t="s">
        <v>127</v>
      </c>
      <c r="B49" s="693"/>
      <c r="C49" s="693"/>
      <c r="D49" s="693"/>
      <c r="E49" s="693"/>
      <c r="F49" s="693"/>
      <c r="G49" s="693"/>
      <c r="H49" s="693"/>
      <c r="I49" s="693"/>
      <c r="J49" s="693"/>
      <c r="K49" s="693"/>
      <c r="L49" s="693"/>
      <c r="M49" s="693"/>
      <c r="N49" s="693"/>
      <c r="O49" s="693"/>
      <c r="P49" s="693"/>
      <c r="Q49" s="693"/>
      <c r="R49" s="693"/>
      <c r="S49" s="693"/>
      <c r="T49" s="693"/>
      <c r="U49" s="693"/>
      <c r="V49" s="693"/>
      <c r="W49" s="693"/>
      <c r="X49" s="693"/>
      <c r="Y49" s="693"/>
      <c r="Z49" s="693"/>
      <c r="AA49" s="65"/>
      <c r="AB49" s="65"/>
      <c r="AC49" s="79"/>
    </row>
    <row r="50" spans="1:68" ht="14.25" customHeight="1" x14ac:dyDescent="0.25">
      <c r="A50" s="694" t="s">
        <v>128</v>
      </c>
      <c r="B50" s="694"/>
      <c r="C50" s="694"/>
      <c r="D50" s="694"/>
      <c r="E50" s="694"/>
      <c r="F50" s="694"/>
      <c r="G50" s="694"/>
      <c r="H50" s="694"/>
      <c r="I50" s="694"/>
      <c r="J50" s="694"/>
      <c r="K50" s="694"/>
      <c r="L50" s="694"/>
      <c r="M50" s="694"/>
      <c r="N50" s="694"/>
      <c r="O50" s="694"/>
      <c r="P50" s="694"/>
      <c r="Q50" s="694"/>
      <c r="R50" s="694"/>
      <c r="S50" s="694"/>
      <c r="T50" s="694"/>
      <c r="U50" s="694"/>
      <c r="V50" s="694"/>
      <c r="W50" s="694"/>
      <c r="X50" s="694"/>
      <c r="Y50" s="694"/>
      <c r="Z50" s="694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5">
        <v>4607091385670</v>
      </c>
      <c r="E51" s="69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7"/>
      <c r="R51" s="697"/>
      <c r="S51" s="697"/>
      <c r="T51" s="69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95">
        <v>4680115887725</v>
      </c>
      <c r="E52" s="69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7"/>
      <c r="R52" s="697"/>
      <c r="S52" s="697"/>
      <c r="T52" s="69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95">
        <v>4607091385687</v>
      </c>
      <c r="E53" s="69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7"/>
      <c r="R53" s="697"/>
      <c r="S53" s="697"/>
      <c r="T53" s="69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95">
        <v>4680115882539</v>
      </c>
      <c r="E54" s="69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7"/>
      <c r="R54" s="697"/>
      <c r="S54" s="697"/>
      <c r="T54" s="69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3"/>
      <c r="B55" s="703"/>
      <c r="C55" s="703"/>
      <c r="D55" s="703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4"/>
      <c r="P55" s="700" t="s">
        <v>40</v>
      </c>
      <c r="Q55" s="701"/>
      <c r="R55" s="701"/>
      <c r="S55" s="701"/>
      <c r="T55" s="701"/>
      <c r="U55" s="701"/>
      <c r="V55" s="702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03"/>
      <c r="B56" s="703"/>
      <c r="C56" s="703"/>
      <c r="D56" s="703"/>
      <c r="E56" s="703"/>
      <c r="F56" s="703"/>
      <c r="G56" s="703"/>
      <c r="H56" s="703"/>
      <c r="I56" s="703"/>
      <c r="J56" s="703"/>
      <c r="K56" s="703"/>
      <c r="L56" s="703"/>
      <c r="M56" s="703"/>
      <c r="N56" s="703"/>
      <c r="O56" s="704"/>
      <c r="P56" s="700" t="s">
        <v>40</v>
      </c>
      <c r="Q56" s="701"/>
      <c r="R56" s="701"/>
      <c r="S56" s="701"/>
      <c r="T56" s="701"/>
      <c r="U56" s="701"/>
      <c r="V56" s="702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93" t="s">
        <v>143</v>
      </c>
      <c r="B57" s="693"/>
      <c r="C57" s="693"/>
      <c r="D57" s="693"/>
      <c r="E57" s="693"/>
      <c r="F57" s="693"/>
      <c r="G57" s="693"/>
      <c r="H57" s="693"/>
      <c r="I57" s="693"/>
      <c r="J57" s="693"/>
      <c r="K57" s="693"/>
      <c r="L57" s="693"/>
      <c r="M57" s="693"/>
      <c r="N57" s="693"/>
      <c r="O57" s="693"/>
      <c r="P57" s="693"/>
      <c r="Q57" s="693"/>
      <c r="R57" s="693"/>
      <c r="S57" s="693"/>
      <c r="T57" s="693"/>
      <c r="U57" s="693"/>
      <c r="V57" s="693"/>
      <c r="W57" s="693"/>
      <c r="X57" s="693"/>
      <c r="Y57" s="693"/>
      <c r="Z57" s="693"/>
      <c r="AA57" s="65"/>
      <c r="AB57" s="65"/>
      <c r="AC57" s="79"/>
    </row>
    <row r="58" spans="1:68" ht="14.25" customHeight="1" x14ac:dyDescent="0.25">
      <c r="A58" s="694" t="s">
        <v>128</v>
      </c>
      <c r="B58" s="694"/>
      <c r="C58" s="694"/>
      <c r="D58" s="694"/>
      <c r="E58" s="694"/>
      <c r="F58" s="694"/>
      <c r="G58" s="694"/>
      <c r="H58" s="694"/>
      <c r="I58" s="694"/>
      <c r="J58" s="694"/>
      <c r="K58" s="694"/>
      <c r="L58" s="694"/>
      <c r="M58" s="694"/>
      <c r="N58" s="694"/>
      <c r="O58" s="694"/>
      <c r="P58" s="694"/>
      <c r="Q58" s="694"/>
      <c r="R58" s="694"/>
      <c r="S58" s="694"/>
      <c r="T58" s="694"/>
      <c r="U58" s="694"/>
      <c r="V58" s="694"/>
      <c r="W58" s="694"/>
      <c r="X58" s="694"/>
      <c r="Y58" s="694"/>
      <c r="Z58" s="694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95">
        <v>4680115885882</v>
      </c>
      <c r="E59" s="69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7"/>
      <c r="R59" s="697"/>
      <c r="S59" s="697"/>
      <c r="T59" s="69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95">
        <v>4680115885882</v>
      </c>
      <c r="E60" s="695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7"/>
      <c r="R60" s="697"/>
      <c r="S60" s="697"/>
      <c r="T60" s="69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5">
        <v>4680115881426</v>
      </c>
      <c r="E61" s="69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7"/>
      <c r="R61" s="697"/>
      <c r="S61" s="697"/>
      <c r="T61" s="69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95">
        <v>4680115880283</v>
      </c>
      <c r="E62" s="69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7"/>
      <c r="R62" s="697"/>
      <c r="S62" s="697"/>
      <c r="T62" s="69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95">
        <v>4680115880283</v>
      </c>
      <c r="E63" s="695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7"/>
      <c r="R63" s="697"/>
      <c r="S63" s="697"/>
      <c r="T63" s="69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95">
        <v>4680115881525</v>
      </c>
      <c r="E64" s="69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7"/>
      <c r="R64" s="697"/>
      <c r="S64" s="697"/>
      <c r="T64" s="69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95">
        <v>4680115885899</v>
      </c>
      <c r="E65" s="69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7"/>
      <c r="R65" s="697"/>
      <c r="S65" s="697"/>
      <c r="T65" s="69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95">
        <v>4680115881419</v>
      </c>
      <c r="E66" s="69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7"/>
      <c r="R66" s="697"/>
      <c r="S66" s="697"/>
      <c r="T66" s="69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03"/>
      <c r="B67" s="703"/>
      <c r="C67" s="703"/>
      <c r="D67" s="703"/>
      <c r="E67" s="703"/>
      <c r="F67" s="703"/>
      <c r="G67" s="703"/>
      <c r="H67" s="703"/>
      <c r="I67" s="703"/>
      <c r="J67" s="703"/>
      <c r="K67" s="703"/>
      <c r="L67" s="703"/>
      <c r="M67" s="703"/>
      <c r="N67" s="703"/>
      <c r="O67" s="704"/>
      <c r="P67" s="700" t="s">
        <v>40</v>
      </c>
      <c r="Q67" s="701"/>
      <c r="R67" s="701"/>
      <c r="S67" s="701"/>
      <c r="T67" s="701"/>
      <c r="U67" s="701"/>
      <c r="V67" s="70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03"/>
      <c r="B68" s="703"/>
      <c r="C68" s="703"/>
      <c r="D68" s="703"/>
      <c r="E68" s="703"/>
      <c r="F68" s="703"/>
      <c r="G68" s="703"/>
      <c r="H68" s="703"/>
      <c r="I68" s="703"/>
      <c r="J68" s="703"/>
      <c r="K68" s="703"/>
      <c r="L68" s="703"/>
      <c r="M68" s="703"/>
      <c r="N68" s="703"/>
      <c r="O68" s="704"/>
      <c r="P68" s="700" t="s">
        <v>40</v>
      </c>
      <c r="Q68" s="701"/>
      <c r="R68" s="701"/>
      <c r="S68" s="701"/>
      <c r="T68" s="701"/>
      <c r="U68" s="701"/>
      <c r="V68" s="70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94" t="s">
        <v>164</v>
      </c>
      <c r="B69" s="694"/>
      <c r="C69" s="694"/>
      <c r="D69" s="694"/>
      <c r="E69" s="694"/>
      <c r="F69" s="694"/>
      <c r="G69" s="694"/>
      <c r="H69" s="694"/>
      <c r="I69" s="694"/>
      <c r="J69" s="694"/>
      <c r="K69" s="694"/>
      <c r="L69" s="694"/>
      <c r="M69" s="694"/>
      <c r="N69" s="694"/>
      <c r="O69" s="694"/>
      <c r="P69" s="694"/>
      <c r="Q69" s="694"/>
      <c r="R69" s="694"/>
      <c r="S69" s="694"/>
      <c r="T69" s="694"/>
      <c r="U69" s="694"/>
      <c r="V69" s="694"/>
      <c r="W69" s="694"/>
      <c r="X69" s="694"/>
      <c r="Y69" s="694"/>
      <c r="Z69" s="694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95">
        <v>4680115881440</v>
      </c>
      <c r="E70" s="69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2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7"/>
      <c r="R70" s="697"/>
      <c r="S70" s="697"/>
      <c r="T70" s="69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95">
        <v>4680115885950</v>
      </c>
      <c r="E71" s="69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7"/>
      <c r="R71" s="697"/>
      <c r="S71" s="697"/>
      <c r="T71" s="69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95">
        <v>4680115887688</v>
      </c>
      <c r="E72" s="69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7"/>
      <c r="R72" s="697"/>
      <c r="S72" s="697"/>
      <c r="T72" s="69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95">
        <v>4680115881433</v>
      </c>
      <c r="E73" s="69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7"/>
      <c r="R73" s="697"/>
      <c r="S73" s="697"/>
      <c r="T73" s="69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03"/>
      <c r="B74" s="703"/>
      <c r="C74" s="703"/>
      <c r="D74" s="703"/>
      <c r="E74" s="703"/>
      <c r="F74" s="703"/>
      <c r="G74" s="703"/>
      <c r="H74" s="703"/>
      <c r="I74" s="703"/>
      <c r="J74" s="703"/>
      <c r="K74" s="703"/>
      <c r="L74" s="703"/>
      <c r="M74" s="703"/>
      <c r="N74" s="703"/>
      <c r="O74" s="704"/>
      <c r="P74" s="700" t="s">
        <v>40</v>
      </c>
      <c r="Q74" s="701"/>
      <c r="R74" s="701"/>
      <c r="S74" s="701"/>
      <c r="T74" s="701"/>
      <c r="U74" s="701"/>
      <c r="V74" s="70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03"/>
      <c r="B75" s="703"/>
      <c r="C75" s="703"/>
      <c r="D75" s="703"/>
      <c r="E75" s="703"/>
      <c r="F75" s="703"/>
      <c r="G75" s="703"/>
      <c r="H75" s="703"/>
      <c r="I75" s="703"/>
      <c r="J75" s="703"/>
      <c r="K75" s="703"/>
      <c r="L75" s="703"/>
      <c r="M75" s="703"/>
      <c r="N75" s="703"/>
      <c r="O75" s="704"/>
      <c r="P75" s="700" t="s">
        <v>40</v>
      </c>
      <c r="Q75" s="701"/>
      <c r="R75" s="701"/>
      <c r="S75" s="701"/>
      <c r="T75" s="701"/>
      <c r="U75" s="701"/>
      <c r="V75" s="70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94" t="s">
        <v>86</v>
      </c>
      <c r="B76" s="694"/>
      <c r="C76" s="694"/>
      <c r="D76" s="694"/>
      <c r="E76" s="694"/>
      <c r="F76" s="694"/>
      <c r="G76" s="694"/>
      <c r="H76" s="694"/>
      <c r="I76" s="694"/>
      <c r="J76" s="694"/>
      <c r="K76" s="694"/>
      <c r="L76" s="694"/>
      <c r="M76" s="694"/>
      <c r="N76" s="694"/>
      <c r="O76" s="694"/>
      <c r="P76" s="694"/>
      <c r="Q76" s="694"/>
      <c r="R76" s="694"/>
      <c r="S76" s="694"/>
      <c r="T76" s="694"/>
      <c r="U76" s="694"/>
      <c r="V76" s="694"/>
      <c r="W76" s="694"/>
      <c r="X76" s="694"/>
      <c r="Y76" s="694"/>
      <c r="Z76" s="694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95">
        <v>4680115884311</v>
      </c>
      <c r="E77" s="69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7"/>
      <c r="R77" s="697"/>
      <c r="S77" s="697"/>
      <c r="T77" s="69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95">
        <v>4680115884403</v>
      </c>
      <c r="E78" s="69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7"/>
      <c r="R78" s="697"/>
      <c r="S78" s="697"/>
      <c r="T78" s="69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03"/>
      <c r="B79" s="703"/>
      <c r="C79" s="703"/>
      <c r="D79" s="703"/>
      <c r="E79" s="703"/>
      <c r="F79" s="703"/>
      <c r="G79" s="703"/>
      <c r="H79" s="703"/>
      <c r="I79" s="703"/>
      <c r="J79" s="703"/>
      <c r="K79" s="703"/>
      <c r="L79" s="703"/>
      <c r="M79" s="703"/>
      <c r="N79" s="703"/>
      <c r="O79" s="704"/>
      <c r="P79" s="700" t="s">
        <v>40</v>
      </c>
      <c r="Q79" s="701"/>
      <c r="R79" s="701"/>
      <c r="S79" s="701"/>
      <c r="T79" s="701"/>
      <c r="U79" s="701"/>
      <c r="V79" s="70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03"/>
      <c r="B80" s="703"/>
      <c r="C80" s="703"/>
      <c r="D80" s="703"/>
      <c r="E80" s="703"/>
      <c r="F80" s="703"/>
      <c r="G80" s="703"/>
      <c r="H80" s="703"/>
      <c r="I80" s="703"/>
      <c r="J80" s="703"/>
      <c r="K80" s="703"/>
      <c r="L80" s="703"/>
      <c r="M80" s="703"/>
      <c r="N80" s="703"/>
      <c r="O80" s="704"/>
      <c r="P80" s="700" t="s">
        <v>40</v>
      </c>
      <c r="Q80" s="701"/>
      <c r="R80" s="701"/>
      <c r="S80" s="701"/>
      <c r="T80" s="701"/>
      <c r="U80" s="701"/>
      <c r="V80" s="70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94" t="s">
        <v>181</v>
      </c>
      <c r="B81" s="694"/>
      <c r="C81" s="694"/>
      <c r="D81" s="694"/>
      <c r="E81" s="694"/>
      <c r="F81" s="694"/>
      <c r="G81" s="694"/>
      <c r="H81" s="694"/>
      <c r="I81" s="694"/>
      <c r="J81" s="694"/>
      <c r="K81" s="694"/>
      <c r="L81" s="694"/>
      <c r="M81" s="694"/>
      <c r="N81" s="694"/>
      <c r="O81" s="694"/>
      <c r="P81" s="694"/>
      <c r="Q81" s="694"/>
      <c r="R81" s="694"/>
      <c r="S81" s="694"/>
      <c r="T81" s="694"/>
      <c r="U81" s="694"/>
      <c r="V81" s="694"/>
      <c r="W81" s="694"/>
      <c r="X81" s="694"/>
      <c r="Y81" s="694"/>
      <c r="Z81" s="694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95">
        <v>4680115881532</v>
      </c>
      <c r="E82" s="69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7"/>
      <c r="R82" s="697"/>
      <c r="S82" s="697"/>
      <c r="T82" s="69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95">
        <v>4680115881464</v>
      </c>
      <c r="E83" s="69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7"/>
      <c r="R83" s="697"/>
      <c r="S83" s="697"/>
      <c r="T83" s="69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03"/>
      <c r="B84" s="703"/>
      <c r="C84" s="703"/>
      <c r="D84" s="703"/>
      <c r="E84" s="703"/>
      <c r="F84" s="703"/>
      <c r="G84" s="703"/>
      <c r="H84" s="703"/>
      <c r="I84" s="703"/>
      <c r="J84" s="703"/>
      <c r="K84" s="703"/>
      <c r="L84" s="703"/>
      <c r="M84" s="703"/>
      <c r="N84" s="703"/>
      <c r="O84" s="704"/>
      <c r="P84" s="700" t="s">
        <v>40</v>
      </c>
      <c r="Q84" s="701"/>
      <c r="R84" s="701"/>
      <c r="S84" s="701"/>
      <c r="T84" s="701"/>
      <c r="U84" s="701"/>
      <c r="V84" s="70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03"/>
      <c r="B85" s="703"/>
      <c r="C85" s="703"/>
      <c r="D85" s="703"/>
      <c r="E85" s="703"/>
      <c r="F85" s="703"/>
      <c r="G85" s="703"/>
      <c r="H85" s="703"/>
      <c r="I85" s="703"/>
      <c r="J85" s="703"/>
      <c r="K85" s="703"/>
      <c r="L85" s="703"/>
      <c r="M85" s="703"/>
      <c r="N85" s="703"/>
      <c r="O85" s="704"/>
      <c r="P85" s="700" t="s">
        <v>40</v>
      </c>
      <c r="Q85" s="701"/>
      <c r="R85" s="701"/>
      <c r="S85" s="701"/>
      <c r="T85" s="701"/>
      <c r="U85" s="701"/>
      <c r="V85" s="70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93" t="s">
        <v>188</v>
      </c>
      <c r="B86" s="693"/>
      <c r="C86" s="693"/>
      <c r="D86" s="693"/>
      <c r="E86" s="693"/>
      <c r="F86" s="693"/>
      <c r="G86" s="693"/>
      <c r="H86" s="693"/>
      <c r="I86" s="693"/>
      <c r="J86" s="693"/>
      <c r="K86" s="693"/>
      <c r="L86" s="693"/>
      <c r="M86" s="693"/>
      <c r="N86" s="693"/>
      <c r="O86" s="693"/>
      <c r="P86" s="693"/>
      <c r="Q86" s="693"/>
      <c r="R86" s="693"/>
      <c r="S86" s="693"/>
      <c r="T86" s="693"/>
      <c r="U86" s="693"/>
      <c r="V86" s="693"/>
      <c r="W86" s="693"/>
      <c r="X86" s="693"/>
      <c r="Y86" s="693"/>
      <c r="Z86" s="693"/>
      <c r="AA86" s="65"/>
      <c r="AB86" s="65"/>
      <c r="AC86" s="79"/>
    </row>
    <row r="87" spans="1:68" ht="14.25" customHeight="1" x14ac:dyDescent="0.25">
      <c r="A87" s="694" t="s">
        <v>128</v>
      </c>
      <c r="B87" s="694"/>
      <c r="C87" s="694"/>
      <c r="D87" s="694"/>
      <c r="E87" s="694"/>
      <c r="F87" s="694"/>
      <c r="G87" s="694"/>
      <c r="H87" s="694"/>
      <c r="I87" s="694"/>
      <c r="J87" s="694"/>
      <c r="K87" s="694"/>
      <c r="L87" s="694"/>
      <c r="M87" s="694"/>
      <c r="N87" s="694"/>
      <c r="O87" s="694"/>
      <c r="P87" s="694"/>
      <c r="Q87" s="694"/>
      <c r="R87" s="694"/>
      <c r="S87" s="694"/>
      <c r="T87" s="694"/>
      <c r="U87" s="694"/>
      <c r="V87" s="694"/>
      <c r="W87" s="694"/>
      <c r="X87" s="694"/>
      <c r="Y87" s="694"/>
      <c r="Z87" s="694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95">
        <v>4680115881327</v>
      </c>
      <c r="E88" s="69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7"/>
      <c r="R88" s="697"/>
      <c r="S88" s="697"/>
      <c r="T88" s="69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95">
        <v>4680115887732</v>
      </c>
      <c r="E89" s="695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7"/>
      <c r="R89" s="697"/>
      <c r="S89" s="697"/>
      <c r="T89" s="69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95">
        <v>4680115881518</v>
      </c>
      <c r="E90" s="69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7"/>
      <c r="R90" s="697"/>
      <c r="S90" s="697"/>
      <c r="T90" s="69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95">
        <v>4680115881303</v>
      </c>
      <c r="E91" s="695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3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7"/>
      <c r="R91" s="697"/>
      <c r="S91" s="697"/>
      <c r="T91" s="69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03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4"/>
      <c r="P92" s="700" t="s">
        <v>40</v>
      </c>
      <c r="Q92" s="701"/>
      <c r="R92" s="701"/>
      <c r="S92" s="701"/>
      <c r="T92" s="701"/>
      <c r="U92" s="701"/>
      <c r="V92" s="70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03"/>
      <c r="B93" s="703"/>
      <c r="C93" s="703"/>
      <c r="D93" s="703"/>
      <c r="E93" s="703"/>
      <c r="F93" s="703"/>
      <c r="G93" s="703"/>
      <c r="H93" s="703"/>
      <c r="I93" s="703"/>
      <c r="J93" s="703"/>
      <c r="K93" s="703"/>
      <c r="L93" s="703"/>
      <c r="M93" s="703"/>
      <c r="N93" s="703"/>
      <c r="O93" s="704"/>
      <c r="P93" s="700" t="s">
        <v>40</v>
      </c>
      <c r="Q93" s="701"/>
      <c r="R93" s="701"/>
      <c r="S93" s="701"/>
      <c r="T93" s="701"/>
      <c r="U93" s="701"/>
      <c r="V93" s="70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94" t="s">
        <v>86</v>
      </c>
      <c r="B94" s="694"/>
      <c r="C94" s="694"/>
      <c r="D94" s="694"/>
      <c r="E94" s="694"/>
      <c r="F94" s="694"/>
      <c r="G94" s="694"/>
      <c r="H94" s="694"/>
      <c r="I94" s="694"/>
      <c r="J94" s="694"/>
      <c r="K94" s="694"/>
      <c r="L94" s="694"/>
      <c r="M94" s="694"/>
      <c r="N94" s="694"/>
      <c r="O94" s="694"/>
      <c r="P94" s="694"/>
      <c r="Q94" s="694"/>
      <c r="R94" s="694"/>
      <c r="S94" s="694"/>
      <c r="T94" s="694"/>
      <c r="U94" s="694"/>
      <c r="V94" s="694"/>
      <c r="W94" s="694"/>
      <c r="X94" s="694"/>
      <c r="Y94" s="694"/>
      <c r="Z94" s="694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95">
        <v>4607091386967</v>
      </c>
      <c r="E95" s="695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7"/>
      <c r="R95" s="697"/>
      <c r="S95" s="697"/>
      <c r="T95" s="698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95">
        <v>4680115884953</v>
      </c>
      <c r="E96" s="695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7"/>
      <c r="R96" s="697"/>
      <c r="S96" s="697"/>
      <c r="T96" s="69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95">
        <v>4607091385731</v>
      </c>
      <c r="E97" s="69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7"/>
      <c r="R97" s="697"/>
      <c r="S97" s="697"/>
      <c r="T97" s="69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95">
        <v>4680115880894</v>
      </c>
      <c r="E98" s="69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7"/>
      <c r="R98" s="697"/>
      <c r="S98" s="697"/>
      <c r="T98" s="69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03"/>
      <c r="B99" s="703"/>
      <c r="C99" s="703"/>
      <c r="D99" s="703"/>
      <c r="E99" s="703"/>
      <c r="F99" s="703"/>
      <c r="G99" s="703"/>
      <c r="H99" s="703"/>
      <c r="I99" s="703"/>
      <c r="J99" s="703"/>
      <c r="K99" s="703"/>
      <c r="L99" s="703"/>
      <c r="M99" s="703"/>
      <c r="N99" s="703"/>
      <c r="O99" s="704"/>
      <c r="P99" s="700" t="s">
        <v>40</v>
      </c>
      <c r="Q99" s="701"/>
      <c r="R99" s="701"/>
      <c r="S99" s="701"/>
      <c r="T99" s="701"/>
      <c r="U99" s="701"/>
      <c r="V99" s="70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03"/>
      <c r="B100" s="703"/>
      <c r="C100" s="703"/>
      <c r="D100" s="703"/>
      <c r="E100" s="703"/>
      <c r="F100" s="703"/>
      <c r="G100" s="703"/>
      <c r="H100" s="703"/>
      <c r="I100" s="703"/>
      <c r="J100" s="703"/>
      <c r="K100" s="703"/>
      <c r="L100" s="703"/>
      <c r="M100" s="703"/>
      <c r="N100" s="703"/>
      <c r="O100" s="704"/>
      <c r="P100" s="700" t="s">
        <v>40</v>
      </c>
      <c r="Q100" s="701"/>
      <c r="R100" s="701"/>
      <c r="S100" s="701"/>
      <c r="T100" s="701"/>
      <c r="U100" s="701"/>
      <c r="V100" s="70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93" t="s">
        <v>209</v>
      </c>
      <c r="B101" s="693"/>
      <c r="C101" s="693"/>
      <c r="D101" s="693"/>
      <c r="E101" s="693"/>
      <c r="F101" s="693"/>
      <c r="G101" s="693"/>
      <c r="H101" s="693"/>
      <c r="I101" s="693"/>
      <c r="J101" s="693"/>
      <c r="K101" s="693"/>
      <c r="L101" s="693"/>
      <c r="M101" s="693"/>
      <c r="N101" s="693"/>
      <c r="O101" s="693"/>
      <c r="P101" s="693"/>
      <c r="Q101" s="693"/>
      <c r="R101" s="693"/>
      <c r="S101" s="693"/>
      <c r="T101" s="693"/>
      <c r="U101" s="693"/>
      <c r="V101" s="693"/>
      <c r="W101" s="693"/>
      <c r="X101" s="693"/>
      <c r="Y101" s="693"/>
      <c r="Z101" s="693"/>
      <c r="AA101" s="65"/>
      <c r="AB101" s="65"/>
      <c r="AC101" s="79"/>
    </row>
    <row r="102" spans="1:68" ht="14.25" customHeight="1" x14ac:dyDescent="0.25">
      <c r="A102" s="694" t="s">
        <v>128</v>
      </c>
      <c r="B102" s="694"/>
      <c r="C102" s="694"/>
      <c r="D102" s="694"/>
      <c r="E102" s="694"/>
      <c r="F102" s="694"/>
      <c r="G102" s="694"/>
      <c r="H102" s="694"/>
      <c r="I102" s="694"/>
      <c r="J102" s="694"/>
      <c r="K102" s="694"/>
      <c r="L102" s="694"/>
      <c r="M102" s="694"/>
      <c r="N102" s="694"/>
      <c r="O102" s="694"/>
      <c r="P102" s="694"/>
      <c r="Q102" s="694"/>
      <c r="R102" s="694"/>
      <c r="S102" s="694"/>
      <c r="T102" s="694"/>
      <c r="U102" s="694"/>
      <c r="V102" s="694"/>
      <c r="W102" s="694"/>
      <c r="X102" s="694"/>
      <c r="Y102" s="694"/>
      <c r="Z102" s="69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95">
        <v>4680115882133</v>
      </c>
      <c r="E103" s="69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7"/>
      <c r="R103" s="697"/>
      <c r="S103" s="697"/>
      <c r="T103" s="69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95">
        <v>4680115887718</v>
      </c>
      <c r="E104" s="69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7"/>
      <c r="R104" s="697"/>
      <c r="S104" s="697"/>
      <c r="T104" s="69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95">
        <v>4680115887718</v>
      </c>
      <c r="E105" s="69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7"/>
      <c r="R105" s="697"/>
      <c r="S105" s="697"/>
      <c r="T105" s="69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95">
        <v>4680115880269</v>
      </c>
      <c r="E106" s="695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7"/>
      <c r="R106" s="697"/>
      <c r="S106" s="697"/>
      <c r="T106" s="69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95">
        <v>4680115880429</v>
      </c>
      <c r="E107" s="695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4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7"/>
      <c r="R107" s="697"/>
      <c r="S107" s="697"/>
      <c r="T107" s="69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95">
        <v>4680115881457</v>
      </c>
      <c r="E108" s="695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4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7"/>
      <c r="R108" s="697"/>
      <c r="S108" s="697"/>
      <c r="T108" s="69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03"/>
      <c r="B109" s="703"/>
      <c r="C109" s="703"/>
      <c r="D109" s="703"/>
      <c r="E109" s="703"/>
      <c r="F109" s="703"/>
      <c r="G109" s="703"/>
      <c r="H109" s="703"/>
      <c r="I109" s="703"/>
      <c r="J109" s="703"/>
      <c r="K109" s="703"/>
      <c r="L109" s="703"/>
      <c r="M109" s="703"/>
      <c r="N109" s="703"/>
      <c r="O109" s="704"/>
      <c r="P109" s="700" t="s">
        <v>40</v>
      </c>
      <c r="Q109" s="701"/>
      <c r="R109" s="701"/>
      <c r="S109" s="701"/>
      <c r="T109" s="701"/>
      <c r="U109" s="701"/>
      <c r="V109" s="702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03"/>
      <c r="B110" s="703"/>
      <c r="C110" s="703"/>
      <c r="D110" s="703"/>
      <c r="E110" s="703"/>
      <c r="F110" s="703"/>
      <c r="G110" s="703"/>
      <c r="H110" s="703"/>
      <c r="I110" s="703"/>
      <c r="J110" s="703"/>
      <c r="K110" s="703"/>
      <c r="L110" s="703"/>
      <c r="M110" s="703"/>
      <c r="N110" s="703"/>
      <c r="O110" s="704"/>
      <c r="P110" s="700" t="s">
        <v>40</v>
      </c>
      <c r="Q110" s="701"/>
      <c r="R110" s="701"/>
      <c r="S110" s="701"/>
      <c r="T110" s="701"/>
      <c r="U110" s="701"/>
      <c r="V110" s="702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94" t="s">
        <v>164</v>
      </c>
      <c r="B111" s="694"/>
      <c r="C111" s="694"/>
      <c r="D111" s="694"/>
      <c r="E111" s="694"/>
      <c r="F111" s="694"/>
      <c r="G111" s="694"/>
      <c r="H111" s="694"/>
      <c r="I111" s="694"/>
      <c r="J111" s="694"/>
      <c r="K111" s="694"/>
      <c r="L111" s="694"/>
      <c r="M111" s="694"/>
      <c r="N111" s="694"/>
      <c r="O111" s="694"/>
      <c r="P111" s="694"/>
      <c r="Q111" s="694"/>
      <c r="R111" s="694"/>
      <c r="S111" s="694"/>
      <c r="T111" s="694"/>
      <c r="U111" s="694"/>
      <c r="V111" s="694"/>
      <c r="W111" s="694"/>
      <c r="X111" s="694"/>
      <c r="Y111" s="694"/>
      <c r="Z111" s="694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95">
        <v>4680115881488</v>
      </c>
      <c r="E112" s="695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7"/>
      <c r="R112" s="697"/>
      <c r="S112" s="697"/>
      <c r="T112" s="69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95">
        <v>4680115887664</v>
      </c>
      <c r="E113" s="695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7"/>
      <c r="R113" s="697"/>
      <c r="S113" s="697"/>
      <c r="T113" s="69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95">
        <v>4680115887664</v>
      </c>
      <c r="E114" s="695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7"/>
      <c r="R114" s="697"/>
      <c r="S114" s="697"/>
      <c r="T114" s="69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95">
        <v>4680115882775</v>
      </c>
      <c r="E115" s="695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7"/>
      <c r="R115" s="697"/>
      <c r="S115" s="697"/>
      <c r="T115" s="69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95">
        <v>4680115880658</v>
      </c>
      <c r="E116" s="695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7"/>
      <c r="R116" s="697"/>
      <c r="S116" s="697"/>
      <c r="T116" s="69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03"/>
      <c r="B117" s="703"/>
      <c r="C117" s="703"/>
      <c r="D117" s="703"/>
      <c r="E117" s="703"/>
      <c r="F117" s="703"/>
      <c r="G117" s="703"/>
      <c r="H117" s="703"/>
      <c r="I117" s="703"/>
      <c r="J117" s="703"/>
      <c r="K117" s="703"/>
      <c r="L117" s="703"/>
      <c r="M117" s="703"/>
      <c r="N117" s="703"/>
      <c r="O117" s="704"/>
      <c r="P117" s="700" t="s">
        <v>40</v>
      </c>
      <c r="Q117" s="701"/>
      <c r="R117" s="701"/>
      <c r="S117" s="701"/>
      <c r="T117" s="701"/>
      <c r="U117" s="701"/>
      <c r="V117" s="70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03"/>
      <c r="B118" s="703"/>
      <c r="C118" s="703"/>
      <c r="D118" s="703"/>
      <c r="E118" s="703"/>
      <c r="F118" s="703"/>
      <c r="G118" s="703"/>
      <c r="H118" s="703"/>
      <c r="I118" s="703"/>
      <c r="J118" s="703"/>
      <c r="K118" s="703"/>
      <c r="L118" s="703"/>
      <c r="M118" s="703"/>
      <c r="N118" s="703"/>
      <c r="O118" s="704"/>
      <c r="P118" s="700" t="s">
        <v>40</v>
      </c>
      <c r="Q118" s="701"/>
      <c r="R118" s="701"/>
      <c r="S118" s="701"/>
      <c r="T118" s="701"/>
      <c r="U118" s="701"/>
      <c r="V118" s="70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94" t="s">
        <v>86</v>
      </c>
      <c r="B119" s="694"/>
      <c r="C119" s="694"/>
      <c r="D119" s="694"/>
      <c r="E119" s="694"/>
      <c r="F119" s="694"/>
      <c r="G119" s="694"/>
      <c r="H119" s="694"/>
      <c r="I119" s="694"/>
      <c r="J119" s="694"/>
      <c r="K119" s="694"/>
      <c r="L119" s="694"/>
      <c r="M119" s="694"/>
      <c r="N119" s="694"/>
      <c r="O119" s="694"/>
      <c r="P119" s="694"/>
      <c r="Q119" s="694"/>
      <c r="R119" s="694"/>
      <c r="S119" s="694"/>
      <c r="T119" s="694"/>
      <c r="U119" s="694"/>
      <c r="V119" s="694"/>
      <c r="W119" s="694"/>
      <c r="X119" s="694"/>
      <c r="Y119" s="694"/>
      <c r="Z119" s="694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5">
        <v>4607091385168</v>
      </c>
      <c r="E120" s="695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7"/>
      <c r="R120" s="697"/>
      <c r="S120" s="697"/>
      <c r="T120" s="69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95">
        <v>4607091383256</v>
      </c>
      <c r="E121" s="695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7"/>
      <c r="R121" s="697"/>
      <c r="S121" s="697"/>
      <c r="T121" s="698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95">
        <v>4607091385748</v>
      </c>
      <c r="E122" s="695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7"/>
      <c r="R122" s="697"/>
      <c r="S122" s="697"/>
      <c r="T122" s="698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95">
        <v>4680115884533</v>
      </c>
      <c r="E123" s="695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5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7"/>
      <c r="R123" s="697"/>
      <c r="S123" s="697"/>
      <c r="T123" s="69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03"/>
      <c r="B124" s="703"/>
      <c r="C124" s="703"/>
      <c r="D124" s="703"/>
      <c r="E124" s="703"/>
      <c r="F124" s="703"/>
      <c r="G124" s="703"/>
      <c r="H124" s="703"/>
      <c r="I124" s="703"/>
      <c r="J124" s="703"/>
      <c r="K124" s="703"/>
      <c r="L124" s="703"/>
      <c r="M124" s="703"/>
      <c r="N124" s="703"/>
      <c r="O124" s="704"/>
      <c r="P124" s="700" t="s">
        <v>40</v>
      </c>
      <c r="Q124" s="701"/>
      <c r="R124" s="701"/>
      <c r="S124" s="701"/>
      <c r="T124" s="701"/>
      <c r="U124" s="701"/>
      <c r="V124" s="70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703"/>
      <c r="B125" s="703"/>
      <c r="C125" s="703"/>
      <c r="D125" s="703"/>
      <c r="E125" s="703"/>
      <c r="F125" s="703"/>
      <c r="G125" s="703"/>
      <c r="H125" s="703"/>
      <c r="I125" s="703"/>
      <c r="J125" s="703"/>
      <c r="K125" s="703"/>
      <c r="L125" s="703"/>
      <c r="M125" s="703"/>
      <c r="N125" s="703"/>
      <c r="O125" s="704"/>
      <c r="P125" s="700" t="s">
        <v>40</v>
      </c>
      <c r="Q125" s="701"/>
      <c r="R125" s="701"/>
      <c r="S125" s="701"/>
      <c r="T125" s="701"/>
      <c r="U125" s="701"/>
      <c r="V125" s="70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94" t="s">
        <v>181</v>
      </c>
      <c r="B126" s="694"/>
      <c r="C126" s="694"/>
      <c r="D126" s="694"/>
      <c r="E126" s="694"/>
      <c r="F126" s="694"/>
      <c r="G126" s="694"/>
      <c r="H126" s="694"/>
      <c r="I126" s="694"/>
      <c r="J126" s="694"/>
      <c r="K126" s="694"/>
      <c r="L126" s="694"/>
      <c r="M126" s="694"/>
      <c r="N126" s="694"/>
      <c r="O126" s="694"/>
      <c r="P126" s="694"/>
      <c r="Q126" s="694"/>
      <c r="R126" s="694"/>
      <c r="S126" s="694"/>
      <c r="T126" s="694"/>
      <c r="U126" s="694"/>
      <c r="V126" s="694"/>
      <c r="W126" s="694"/>
      <c r="X126" s="694"/>
      <c r="Y126" s="694"/>
      <c r="Z126" s="694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95">
        <v>4680115880238</v>
      </c>
      <c r="E127" s="695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7"/>
      <c r="R127" s="697"/>
      <c r="S127" s="697"/>
      <c r="T127" s="69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03"/>
      <c r="B128" s="703"/>
      <c r="C128" s="703"/>
      <c r="D128" s="703"/>
      <c r="E128" s="703"/>
      <c r="F128" s="703"/>
      <c r="G128" s="703"/>
      <c r="H128" s="703"/>
      <c r="I128" s="703"/>
      <c r="J128" s="703"/>
      <c r="K128" s="703"/>
      <c r="L128" s="703"/>
      <c r="M128" s="703"/>
      <c r="N128" s="703"/>
      <c r="O128" s="704"/>
      <c r="P128" s="700" t="s">
        <v>40</v>
      </c>
      <c r="Q128" s="701"/>
      <c r="R128" s="701"/>
      <c r="S128" s="701"/>
      <c r="T128" s="701"/>
      <c r="U128" s="701"/>
      <c r="V128" s="70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03"/>
      <c r="B129" s="703"/>
      <c r="C129" s="703"/>
      <c r="D129" s="703"/>
      <c r="E129" s="703"/>
      <c r="F129" s="703"/>
      <c r="G129" s="703"/>
      <c r="H129" s="703"/>
      <c r="I129" s="703"/>
      <c r="J129" s="703"/>
      <c r="K129" s="703"/>
      <c r="L129" s="703"/>
      <c r="M129" s="703"/>
      <c r="N129" s="703"/>
      <c r="O129" s="704"/>
      <c r="P129" s="700" t="s">
        <v>40</v>
      </c>
      <c r="Q129" s="701"/>
      <c r="R129" s="701"/>
      <c r="S129" s="701"/>
      <c r="T129" s="701"/>
      <c r="U129" s="701"/>
      <c r="V129" s="70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93" t="s">
        <v>248</v>
      </c>
      <c r="B130" s="693"/>
      <c r="C130" s="693"/>
      <c r="D130" s="693"/>
      <c r="E130" s="693"/>
      <c r="F130" s="693"/>
      <c r="G130" s="693"/>
      <c r="H130" s="693"/>
      <c r="I130" s="693"/>
      <c r="J130" s="693"/>
      <c r="K130" s="693"/>
      <c r="L130" s="693"/>
      <c r="M130" s="693"/>
      <c r="N130" s="693"/>
      <c r="O130" s="693"/>
      <c r="P130" s="693"/>
      <c r="Q130" s="693"/>
      <c r="R130" s="693"/>
      <c r="S130" s="693"/>
      <c r="T130" s="693"/>
      <c r="U130" s="693"/>
      <c r="V130" s="693"/>
      <c r="W130" s="693"/>
      <c r="X130" s="693"/>
      <c r="Y130" s="693"/>
      <c r="Z130" s="693"/>
      <c r="AA130" s="65"/>
      <c r="AB130" s="65"/>
      <c r="AC130" s="79"/>
    </row>
    <row r="131" spans="1:68" ht="14.25" customHeight="1" x14ac:dyDescent="0.25">
      <c r="A131" s="694" t="s">
        <v>128</v>
      </c>
      <c r="B131" s="694"/>
      <c r="C131" s="694"/>
      <c r="D131" s="694"/>
      <c r="E131" s="694"/>
      <c r="F131" s="694"/>
      <c r="G131" s="694"/>
      <c r="H131" s="694"/>
      <c r="I131" s="694"/>
      <c r="J131" s="694"/>
      <c r="K131" s="694"/>
      <c r="L131" s="694"/>
      <c r="M131" s="694"/>
      <c r="N131" s="694"/>
      <c r="O131" s="694"/>
      <c r="P131" s="694"/>
      <c r="Q131" s="694"/>
      <c r="R131" s="694"/>
      <c r="S131" s="694"/>
      <c r="T131" s="694"/>
      <c r="U131" s="694"/>
      <c r="V131" s="694"/>
      <c r="W131" s="694"/>
      <c r="X131" s="694"/>
      <c r="Y131" s="694"/>
      <c r="Z131" s="694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4301011562</v>
      </c>
      <c r="D132" s="695">
        <v>4680115882577</v>
      </c>
      <c r="E132" s="695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7"/>
      <c r="R132" s="697"/>
      <c r="S132" s="697"/>
      <c r="T132" s="69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95">
        <v>4680115882577</v>
      </c>
      <c r="E133" s="695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7"/>
      <c r="R133" s="697"/>
      <c r="S133" s="697"/>
      <c r="T133" s="69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03"/>
      <c r="B134" s="703"/>
      <c r="C134" s="703"/>
      <c r="D134" s="703"/>
      <c r="E134" s="703"/>
      <c r="F134" s="703"/>
      <c r="G134" s="703"/>
      <c r="H134" s="703"/>
      <c r="I134" s="703"/>
      <c r="J134" s="703"/>
      <c r="K134" s="703"/>
      <c r="L134" s="703"/>
      <c r="M134" s="703"/>
      <c r="N134" s="703"/>
      <c r="O134" s="704"/>
      <c r="P134" s="700" t="s">
        <v>40</v>
      </c>
      <c r="Q134" s="701"/>
      <c r="R134" s="701"/>
      <c r="S134" s="701"/>
      <c r="T134" s="701"/>
      <c r="U134" s="701"/>
      <c r="V134" s="70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703"/>
      <c r="B135" s="703"/>
      <c r="C135" s="703"/>
      <c r="D135" s="703"/>
      <c r="E135" s="703"/>
      <c r="F135" s="703"/>
      <c r="G135" s="703"/>
      <c r="H135" s="703"/>
      <c r="I135" s="703"/>
      <c r="J135" s="703"/>
      <c r="K135" s="703"/>
      <c r="L135" s="703"/>
      <c r="M135" s="703"/>
      <c r="N135" s="703"/>
      <c r="O135" s="704"/>
      <c r="P135" s="700" t="s">
        <v>40</v>
      </c>
      <c r="Q135" s="701"/>
      <c r="R135" s="701"/>
      <c r="S135" s="701"/>
      <c r="T135" s="701"/>
      <c r="U135" s="701"/>
      <c r="V135" s="70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94" t="s">
        <v>77</v>
      </c>
      <c r="B136" s="694"/>
      <c r="C136" s="694"/>
      <c r="D136" s="694"/>
      <c r="E136" s="694"/>
      <c r="F136" s="694"/>
      <c r="G136" s="694"/>
      <c r="H136" s="694"/>
      <c r="I136" s="694"/>
      <c r="J136" s="694"/>
      <c r="K136" s="694"/>
      <c r="L136" s="694"/>
      <c r="M136" s="694"/>
      <c r="N136" s="694"/>
      <c r="O136" s="694"/>
      <c r="P136" s="694"/>
      <c r="Q136" s="694"/>
      <c r="R136" s="694"/>
      <c r="S136" s="694"/>
      <c r="T136" s="694"/>
      <c r="U136" s="694"/>
      <c r="V136" s="694"/>
      <c r="W136" s="694"/>
      <c r="X136" s="694"/>
      <c r="Y136" s="694"/>
      <c r="Z136" s="694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95">
        <v>4680115883444</v>
      </c>
      <c r="E137" s="69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7"/>
      <c r="R137" s="697"/>
      <c r="S137" s="697"/>
      <c r="T137" s="69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253</v>
      </c>
      <c r="B138" s="63" t="s">
        <v>256</v>
      </c>
      <c r="C138" s="36">
        <v>4301031235</v>
      </c>
      <c r="D138" s="695">
        <v>4680115883444</v>
      </c>
      <c r="E138" s="695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7"/>
      <c r="R138" s="697"/>
      <c r="S138" s="697"/>
      <c r="T138" s="69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03"/>
      <c r="B139" s="703"/>
      <c r="C139" s="703"/>
      <c r="D139" s="703"/>
      <c r="E139" s="703"/>
      <c r="F139" s="703"/>
      <c r="G139" s="703"/>
      <c r="H139" s="703"/>
      <c r="I139" s="703"/>
      <c r="J139" s="703"/>
      <c r="K139" s="703"/>
      <c r="L139" s="703"/>
      <c r="M139" s="703"/>
      <c r="N139" s="703"/>
      <c r="O139" s="704"/>
      <c r="P139" s="700" t="s">
        <v>40</v>
      </c>
      <c r="Q139" s="701"/>
      <c r="R139" s="701"/>
      <c r="S139" s="701"/>
      <c r="T139" s="701"/>
      <c r="U139" s="701"/>
      <c r="V139" s="702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703"/>
      <c r="B140" s="703"/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4"/>
      <c r="P140" s="700" t="s">
        <v>40</v>
      </c>
      <c r="Q140" s="701"/>
      <c r="R140" s="701"/>
      <c r="S140" s="701"/>
      <c r="T140" s="701"/>
      <c r="U140" s="701"/>
      <c r="V140" s="702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94" t="s">
        <v>86</v>
      </c>
      <c r="B141" s="694"/>
      <c r="C141" s="694"/>
      <c r="D141" s="694"/>
      <c r="E141" s="694"/>
      <c r="F141" s="694"/>
      <c r="G141" s="694"/>
      <c r="H141" s="694"/>
      <c r="I141" s="694"/>
      <c r="J141" s="694"/>
      <c r="K141" s="694"/>
      <c r="L141" s="694"/>
      <c r="M141" s="694"/>
      <c r="N141" s="694"/>
      <c r="O141" s="694"/>
      <c r="P141" s="694"/>
      <c r="Q141" s="694"/>
      <c r="R141" s="694"/>
      <c r="S141" s="694"/>
      <c r="T141" s="694"/>
      <c r="U141" s="694"/>
      <c r="V141" s="694"/>
      <c r="W141" s="694"/>
      <c r="X141" s="694"/>
      <c r="Y141" s="694"/>
      <c r="Z141" s="694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95">
        <v>4680115882584</v>
      </c>
      <c r="E142" s="695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7"/>
      <c r="R142" s="697"/>
      <c r="S142" s="697"/>
      <c r="T142" s="69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257</v>
      </c>
      <c r="B143" s="63" t="s">
        <v>259</v>
      </c>
      <c r="C143" s="36">
        <v>4301051477</v>
      </c>
      <c r="D143" s="695">
        <v>4680115882584</v>
      </c>
      <c r="E143" s="69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7"/>
      <c r="R143" s="697"/>
      <c r="S143" s="697"/>
      <c r="T143" s="69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03"/>
      <c r="B144" s="703"/>
      <c r="C144" s="703"/>
      <c r="D144" s="703"/>
      <c r="E144" s="703"/>
      <c r="F144" s="703"/>
      <c r="G144" s="703"/>
      <c r="H144" s="703"/>
      <c r="I144" s="703"/>
      <c r="J144" s="703"/>
      <c r="K144" s="703"/>
      <c r="L144" s="703"/>
      <c r="M144" s="703"/>
      <c r="N144" s="703"/>
      <c r="O144" s="704"/>
      <c r="P144" s="700" t="s">
        <v>40</v>
      </c>
      <c r="Q144" s="701"/>
      <c r="R144" s="701"/>
      <c r="S144" s="701"/>
      <c r="T144" s="701"/>
      <c r="U144" s="701"/>
      <c r="V144" s="702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703"/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4"/>
      <c r="P145" s="700" t="s">
        <v>40</v>
      </c>
      <c r="Q145" s="701"/>
      <c r="R145" s="701"/>
      <c r="S145" s="701"/>
      <c r="T145" s="701"/>
      <c r="U145" s="701"/>
      <c r="V145" s="702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693" t="s">
        <v>260</v>
      </c>
      <c r="B146" s="693"/>
      <c r="C146" s="693"/>
      <c r="D146" s="693"/>
      <c r="E146" s="693"/>
      <c r="F146" s="693"/>
      <c r="G146" s="693"/>
      <c r="H146" s="693"/>
      <c r="I146" s="693"/>
      <c r="J146" s="693"/>
      <c r="K146" s="693"/>
      <c r="L146" s="693"/>
      <c r="M146" s="693"/>
      <c r="N146" s="693"/>
      <c r="O146" s="693"/>
      <c r="P146" s="693"/>
      <c r="Q146" s="693"/>
      <c r="R146" s="693"/>
      <c r="S146" s="693"/>
      <c r="T146" s="693"/>
      <c r="U146" s="693"/>
      <c r="V146" s="693"/>
      <c r="W146" s="693"/>
      <c r="X146" s="693"/>
      <c r="Y146" s="693"/>
      <c r="Z146" s="693"/>
      <c r="AA146" s="65"/>
      <c r="AB146" s="65"/>
      <c r="AC146" s="79"/>
    </row>
    <row r="147" spans="1:68" ht="14.25" customHeight="1" x14ac:dyDescent="0.25">
      <c r="A147" s="694" t="s">
        <v>86</v>
      </c>
      <c r="B147" s="694"/>
      <c r="C147" s="694"/>
      <c r="D147" s="694"/>
      <c r="E147" s="694"/>
      <c r="F147" s="694"/>
      <c r="G147" s="694"/>
      <c r="H147" s="694"/>
      <c r="I147" s="694"/>
      <c r="J147" s="694"/>
      <c r="K147" s="694"/>
      <c r="L147" s="694"/>
      <c r="M147" s="694"/>
      <c r="N147" s="694"/>
      <c r="O147" s="694"/>
      <c r="P147" s="694"/>
      <c r="Q147" s="694"/>
      <c r="R147" s="694"/>
      <c r="S147" s="694"/>
      <c r="T147" s="694"/>
      <c r="U147" s="694"/>
      <c r="V147" s="694"/>
      <c r="W147" s="694"/>
      <c r="X147" s="694"/>
      <c r="Y147" s="694"/>
      <c r="Z147" s="694"/>
      <c r="AA147" s="66"/>
      <c r="AB147" s="66"/>
      <c r="AC147" s="80"/>
    </row>
    <row r="148" spans="1:68" ht="27" customHeight="1" x14ac:dyDescent="0.25">
      <c r="A148" s="63" t="s">
        <v>261</v>
      </c>
      <c r="B148" s="63" t="s">
        <v>262</v>
      </c>
      <c r="C148" s="36">
        <v>4301052174</v>
      </c>
      <c r="D148" s="695">
        <v>4680115888203</v>
      </c>
      <c r="E148" s="695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7"/>
      <c r="R148" s="697"/>
      <c r="S148" s="697"/>
      <c r="T148" s="69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4301052172</v>
      </c>
      <c r="D149" s="695">
        <v>4680115888180</v>
      </c>
      <c r="E149" s="695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7"/>
      <c r="R149" s="697"/>
      <c r="S149" s="697"/>
      <c r="T149" s="69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4301052173</v>
      </c>
      <c r="D150" s="695">
        <v>4680115888197</v>
      </c>
      <c r="E150" s="69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7"/>
      <c r="R150" s="697"/>
      <c r="S150" s="697"/>
      <c r="T150" s="698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4301052175</v>
      </c>
      <c r="D151" s="695">
        <v>4680115888210</v>
      </c>
      <c r="E151" s="69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7"/>
      <c r="R151" s="697"/>
      <c r="S151" s="697"/>
      <c r="T151" s="698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03"/>
      <c r="B152" s="703"/>
      <c r="C152" s="703"/>
      <c r="D152" s="703"/>
      <c r="E152" s="703"/>
      <c r="F152" s="703"/>
      <c r="G152" s="703"/>
      <c r="H152" s="703"/>
      <c r="I152" s="703"/>
      <c r="J152" s="703"/>
      <c r="K152" s="703"/>
      <c r="L152" s="703"/>
      <c r="M152" s="703"/>
      <c r="N152" s="703"/>
      <c r="O152" s="704"/>
      <c r="P152" s="700" t="s">
        <v>40</v>
      </c>
      <c r="Q152" s="701"/>
      <c r="R152" s="701"/>
      <c r="S152" s="701"/>
      <c r="T152" s="701"/>
      <c r="U152" s="701"/>
      <c r="V152" s="702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703"/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4"/>
      <c r="P153" s="700" t="s">
        <v>40</v>
      </c>
      <c r="Q153" s="701"/>
      <c r="R153" s="701"/>
      <c r="S153" s="701"/>
      <c r="T153" s="701"/>
      <c r="U153" s="701"/>
      <c r="V153" s="702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 x14ac:dyDescent="0.25">
      <c r="A154" s="693" t="s">
        <v>126</v>
      </c>
      <c r="B154" s="693"/>
      <c r="C154" s="693"/>
      <c r="D154" s="693"/>
      <c r="E154" s="693"/>
      <c r="F154" s="693"/>
      <c r="G154" s="693"/>
      <c r="H154" s="693"/>
      <c r="I154" s="693"/>
      <c r="J154" s="693"/>
      <c r="K154" s="693"/>
      <c r="L154" s="693"/>
      <c r="M154" s="693"/>
      <c r="N154" s="693"/>
      <c r="O154" s="693"/>
      <c r="P154" s="693"/>
      <c r="Q154" s="693"/>
      <c r="R154" s="693"/>
      <c r="S154" s="693"/>
      <c r="T154" s="693"/>
      <c r="U154" s="693"/>
      <c r="V154" s="693"/>
      <c r="W154" s="693"/>
      <c r="X154" s="693"/>
      <c r="Y154" s="693"/>
      <c r="Z154" s="693"/>
      <c r="AA154" s="65"/>
      <c r="AB154" s="65"/>
      <c r="AC154" s="79"/>
    </row>
    <row r="155" spans="1:68" ht="14.25" customHeight="1" x14ac:dyDescent="0.25">
      <c r="A155" s="694" t="s">
        <v>128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66"/>
      <c r="AB155" s="66"/>
      <c r="AC155" s="80"/>
    </row>
    <row r="156" spans="1:68" ht="16.5" customHeight="1" x14ac:dyDescent="0.25">
      <c r="A156" s="63" t="s">
        <v>273</v>
      </c>
      <c r="B156" s="63" t="s">
        <v>274</v>
      </c>
      <c r="C156" s="36">
        <v>4301012344</v>
      </c>
      <c r="D156" s="695">
        <v>4680115888876</v>
      </c>
      <c r="E156" s="695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7"/>
      <c r="R156" s="697"/>
      <c r="S156" s="697"/>
      <c r="T156" s="698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277</v>
      </c>
      <c r="B157" s="63" t="s">
        <v>278</v>
      </c>
      <c r="C157" s="36">
        <v>4301012244</v>
      </c>
      <c r="D157" s="695">
        <v>4680115887374</v>
      </c>
      <c r="E157" s="695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7"/>
      <c r="R157" s="697"/>
      <c r="S157" s="697"/>
      <c r="T157" s="698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280</v>
      </c>
      <c r="B158" s="63" t="s">
        <v>281</v>
      </c>
      <c r="C158" s="36">
        <v>4301011705</v>
      </c>
      <c r="D158" s="695">
        <v>4607091384604</v>
      </c>
      <c r="E158" s="695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7"/>
      <c r="R158" s="697"/>
      <c r="S158" s="697"/>
      <c r="T158" s="698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03"/>
      <c r="B159" s="703"/>
      <c r="C159" s="703"/>
      <c r="D159" s="703"/>
      <c r="E159" s="703"/>
      <c r="F159" s="703"/>
      <c r="G159" s="703"/>
      <c r="H159" s="703"/>
      <c r="I159" s="703"/>
      <c r="J159" s="703"/>
      <c r="K159" s="703"/>
      <c r="L159" s="703"/>
      <c r="M159" s="703"/>
      <c r="N159" s="703"/>
      <c r="O159" s="704"/>
      <c r="P159" s="700" t="s">
        <v>40</v>
      </c>
      <c r="Q159" s="701"/>
      <c r="R159" s="701"/>
      <c r="S159" s="701"/>
      <c r="T159" s="701"/>
      <c r="U159" s="701"/>
      <c r="V159" s="702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x14ac:dyDescent="0.2">
      <c r="A160" s="703"/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4"/>
      <c r="P160" s="700" t="s">
        <v>40</v>
      </c>
      <c r="Q160" s="701"/>
      <c r="R160" s="701"/>
      <c r="S160" s="701"/>
      <c r="T160" s="701"/>
      <c r="U160" s="701"/>
      <c r="V160" s="702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 x14ac:dyDescent="0.25">
      <c r="A161" s="694" t="s">
        <v>164</v>
      </c>
      <c r="B161" s="694"/>
      <c r="C161" s="694"/>
      <c r="D161" s="694"/>
      <c r="E161" s="694"/>
      <c r="F161" s="694"/>
      <c r="G161" s="694"/>
      <c r="H161" s="694"/>
      <c r="I161" s="694"/>
      <c r="J161" s="694"/>
      <c r="K161" s="694"/>
      <c r="L161" s="694"/>
      <c r="M161" s="694"/>
      <c r="N161" s="694"/>
      <c r="O161" s="694"/>
      <c r="P161" s="694"/>
      <c r="Q161" s="694"/>
      <c r="R161" s="694"/>
      <c r="S161" s="694"/>
      <c r="T161" s="694"/>
      <c r="U161" s="694"/>
      <c r="V161" s="694"/>
      <c r="W161" s="694"/>
      <c r="X161" s="694"/>
      <c r="Y161" s="694"/>
      <c r="Z161" s="694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95">
        <v>4680115887695</v>
      </c>
      <c r="E162" s="695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7"/>
      <c r="R162" s="697"/>
      <c r="S162" s="697"/>
      <c r="T162" s="698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703"/>
      <c r="B163" s="703"/>
      <c r="C163" s="703"/>
      <c r="D163" s="703"/>
      <c r="E163" s="703"/>
      <c r="F163" s="703"/>
      <c r="G163" s="703"/>
      <c r="H163" s="703"/>
      <c r="I163" s="703"/>
      <c r="J163" s="703"/>
      <c r="K163" s="703"/>
      <c r="L163" s="703"/>
      <c r="M163" s="703"/>
      <c r="N163" s="703"/>
      <c r="O163" s="704"/>
      <c r="P163" s="700" t="s">
        <v>40</v>
      </c>
      <c r="Q163" s="701"/>
      <c r="R163" s="701"/>
      <c r="S163" s="701"/>
      <c r="T163" s="701"/>
      <c r="U163" s="701"/>
      <c r="V163" s="702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703"/>
      <c r="B164" s="703"/>
      <c r="C164" s="703"/>
      <c r="D164" s="703"/>
      <c r="E164" s="703"/>
      <c r="F164" s="703"/>
      <c r="G164" s="703"/>
      <c r="H164" s="703"/>
      <c r="I164" s="703"/>
      <c r="J164" s="703"/>
      <c r="K164" s="703"/>
      <c r="L164" s="703"/>
      <c r="M164" s="703"/>
      <c r="N164" s="703"/>
      <c r="O164" s="704"/>
      <c r="P164" s="700" t="s">
        <v>40</v>
      </c>
      <c r="Q164" s="701"/>
      <c r="R164" s="701"/>
      <c r="S164" s="701"/>
      <c r="T164" s="701"/>
      <c r="U164" s="701"/>
      <c r="V164" s="702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94" t="s">
        <v>77</v>
      </c>
      <c r="B165" s="694"/>
      <c r="C165" s="694"/>
      <c r="D165" s="694"/>
      <c r="E165" s="694"/>
      <c r="F165" s="694"/>
      <c r="G165" s="694"/>
      <c r="H165" s="694"/>
      <c r="I165" s="694"/>
      <c r="J165" s="694"/>
      <c r="K165" s="694"/>
      <c r="L165" s="694"/>
      <c r="M165" s="694"/>
      <c r="N165" s="694"/>
      <c r="O165" s="694"/>
      <c r="P165" s="694"/>
      <c r="Q165" s="694"/>
      <c r="R165" s="694"/>
      <c r="S165" s="694"/>
      <c r="T165" s="694"/>
      <c r="U165" s="694"/>
      <c r="V165" s="694"/>
      <c r="W165" s="694"/>
      <c r="X165" s="694"/>
      <c r="Y165" s="694"/>
      <c r="Z165" s="694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95">
        <v>4680115887428</v>
      </c>
      <c r="E166" s="695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7"/>
      <c r="R166" s="697"/>
      <c r="S166" s="697"/>
      <c r="T166" s="698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 x14ac:dyDescent="0.25">
      <c r="A167" s="63" t="s">
        <v>289</v>
      </c>
      <c r="B167" s="63" t="s">
        <v>290</v>
      </c>
      <c r="C167" s="36">
        <v>4301030963</v>
      </c>
      <c r="D167" s="695">
        <v>4607091382426</v>
      </c>
      <c r="E167" s="695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7"/>
      <c r="R167" s="697"/>
      <c r="S167" s="697"/>
      <c r="T167" s="698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4301031509</v>
      </c>
      <c r="D168" s="695">
        <v>4680115889170</v>
      </c>
      <c r="E168" s="695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7"/>
      <c r="R168" s="697"/>
      <c r="S168" s="697"/>
      <c r="T168" s="698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95">
        <v>4680115887398</v>
      </c>
      <c r="E169" s="695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7"/>
      <c r="R169" s="697"/>
      <c r="S169" s="697"/>
      <c r="T169" s="698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95">
        <v>4680115887336</v>
      </c>
      <c r="E170" s="695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7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7"/>
      <c r="R170" s="697"/>
      <c r="S170" s="697"/>
      <c r="T170" s="698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95">
        <v>4680115887787</v>
      </c>
      <c r="E171" s="695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7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7"/>
      <c r="R171" s="697"/>
      <c r="S171" s="697"/>
      <c r="T171" s="698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95">
        <v>4680115887503</v>
      </c>
      <c r="E172" s="695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7"/>
      <c r="R172" s="697"/>
      <c r="S172" s="697"/>
      <c r="T172" s="698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306</v>
      </c>
      <c r="B173" s="63" t="s">
        <v>307</v>
      </c>
      <c r="C173" s="36">
        <v>4301031389</v>
      </c>
      <c r="D173" s="695">
        <v>4680115887763</v>
      </c>
      <c r="E173" s="695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7"/>
      <c r="R173" s="697"/>
      <c r="S173" s="697"/>
      <c r="T173" s="698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309</v>
      </c>
      <c r="C174" s="36">
        <v>4301031510</v>
      </c>
      <c r="D174" s="695">
        <v>4680115887763</v>
      </c>
      <c r="E174" s="695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7"/>
      <c r="R174" s="697"/>
      <c r="S174" s="697"/>
      <c r="T174" s="698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95">
        <v>4680115887480</v>
      </c>
      <c r="E175" s="695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7"/>
      <c r="R175" s="697"/>
      <c r="S175" s="697"/>
      <c r="T175" s="69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95">
        <v>4680115888067</v>
      </c>
      <c r="E176" s="695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7"/>
      <c r="R176" s="697"/>
      <c r="S176" s="697"/>
      <c r="T176" s="69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95">
        <v>4680115887435</v>
      </c>
      <c r="E177" s="695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7"/>
      <c r="R177" s="697"/>
      <c r="S177" s="697"/>
      <c r="T177" s="69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x14ac:dyDescent="0.2">
      <c r="A178" s="703"/>
      <c r="B178" s="703"/>
      <c r="C178" s="703"/>
      <c r="D178" s="703"/>
      <c r="E178" s="703"/>
      <c r="F178" s="703"/>
      <c r="G178" s="703"/>
      <c r="H178" s="703"/>
      <c r="I178" s="703"/>
      <c r="J178" s="703"/>
      <c r="K178" s="703"/>
      <c r="L178" s="703"/>
      <c r="M178" s="703"/>
      <c r="N178" s="703"/>
      <c r="O178" s="704"/>
      <c r="P178" s="700" t="s">
        <v>40</v>
      </c>
      <c r="Q178" s="701"/>
      <c r="R178" s="701"/>
      <c r="S178" s="701"/>
      <c r="T178" s="701"/>
      <c r="U178" s="701"/>
      <c r="V178" s="702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703"/>
      <c r="B179" s="703"/>
      <c r="C179" s="703"/>
      <c r="D179" s="703"/>
      <c r="E179" s="703"/>
      <c r="F179" s="703"/>
      <c r="G179" s="703"/>
      <c r="H179" s="703"/>
      <c r="I179" s="703"/>
      <c r="J179" s="703"/>
      <c r="K179" s="703"/>
      <c r="L179" s="703"/>
      <c r="M179" s="703"/>
      <c r="N179" s="703"/>
      <c r="O179" s="704"/>
      <c r="P179" s="700" t="s">
        <v>40</v>
      </c>
      <c r="Q179" s="701"/>
      <c r="R179" s="701"/>
      <c r="S179" s="701"/>
      <c r="T179" s="701"/>
      <c r="U179" s="701"/>
      <c r="V179" s="702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customHeight="1" x14ac:dyDescent="0.25">
      <c r="A180" s="694" t="s">
        <v>86</v>
      </c>
      <c r="B180" s="694"/>
      <c r="C180" s="694"/>
      <c r="D180" s="694"/>
      <c r="E180" s="694"/>
      <c r="F180" s="694"/>
      <c r="G180" s="694"/>
      <c r="H180" s="694"/>
      <c r="I180" s="694"/>
      <c r="J180" s="694"/>
      <c r="K180" s="694"/>
      <c r="L180" s="694"/>
      <c r="M180" s="694"/>
      <c r="N180" s="694"/>
      <c r="O180" s="694"/>
      <c r="P180" s="694"/>
      <c r="Q180" s="694"/>
      <c r="R180" s="694"/>
      <c r="S180" s="694"/>
      <c r="T180" s="694"/>
      <c r="U180" s="694"/>
      <c r="V180" s="694"/>
      <c r="W180" s="694"/>
      <c r="X180" s="694"/>
      <c r="Y180" s="694"/>
      <c r="Z180" s="694"/>
      <c r="AA180" s="66"/>
      <c r="AB180" s="66"/>
      <c r="AC180" s="80"/>
    </row>
    <row r="181" spans="1:68" ht="16.5" customHeight="1" x14ac:dyDescent="0.25">
      <c r="A181" s="63" t="s">
        <v>317</v>
      </c>
      <c r="B181" s="63" t="s">
        <v>318</v>
      </c>
      <c r="C181" s="36">
        <v>4301052193</v>
      </c>
      <c r="D181" s="695">
        <v>4680115888395</v>
      </c>
      <c r="E181" s="695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7"/>
      <c r="R181" s="697"/>
      <c r="S181" s="697"/>
      <c r="T181" s="698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320</v>
      </c>
      <c r="B182" s="63" t="s">
        <v>321</v>
      </c>
      <c r="C182" s="36">
        <v>4301052191</v>
      </c>
      <c r="D182" s="695">
        <v>4680115888371</v>
      </c>
      <c r="E182" s="695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7"/>
      <c r="R182" s="697"/>
      <c r="S182" s="697"/>
      <c r="T182" s="698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323</v>
      </c>
      <c r="B183" s="63" t="s">
        <v>324</v>
      </c>
      <c r="C183" s="36">
        <v>4301052064</v>
      </c>
      <c r="D183" s="695">
        <v>4680115887459</v>
      </c>
      <c r="E183" s="695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7"/>
      <c r="R183" s="697"/>
      <c r="S183" s="697"/>
      <c r="T183" s="698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703"/>
      <c r="B184" s="703"/>
      <c r="C184" s="703"/>
      <c r="D184" s="703"/>
      <c r="E184" s="703"/>
      <c r="F184" s="703"/>
      <c r="G184" s="703"/>
      <c r="H184" s="703"/>
      <c r="I184" s="703"/>
      <c r="J184" s="703"/>
      <c r="K184" s="703"/>
      <c r="L184" s="703"/>
      <c r="M184" s="703"/>
      <c r="N184" s="703"/>
      <c r="O184" s="704"/>
      <c r="P184" s="700" t="s">
        <v>40</v>
      </c>
      <c r="Q184" s="701"/>
      <c r="R184" s="701"/>
      <c r="S184" s="701"/>
      <c r="T184" s="701"/>
      <c r="U184" s="701"/>
      <c r="V184" s="702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703"/>
      <c r="B185" s="703"/>
      <c r="C185" s="703"/>
      <c r="D185" s="703"/>
      <c r="E185" s="703"/>
      <c r="F185" s="703"/>
      <c r="G185" s="703"/>
      <c r="H185" s="703"/>
      <c r="I185" s="703"/>
      <c r="J185" s="703"/>
      <c r="K185" s="703"/>
      <c r="L185" s="703"/>
      <c r="M185" s="703"/>
      <c r="N185" s="703"/>
      <c r="O185" s="704"/>
      <c r="P185" s="700" t="s">
        <v>40</v>
      </c>
      <c r="Q185" s="701"/>
      <c r="R185" s="701"/>
      <c r="S185" s="701"/>
      <c r="T185" s="701"/>
      <c r="U185" s="701"/>
      <c r="V185" s="702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94" t="s">
        <v>104</v>
      </c>
      <c r="B186" s="694"/>
      <c r="C186" s="694"/>
      <c r="D186" s="694"/>
      <c r="E186" s="694"/>
      <c r="F186" s="694"/>
      <c r="G186" s="694"/>
      <c r="H186" s="694"/>
      <c r="I186" s="694"/>
      <c r="J186" s="694"/>
      <c r="K186" s="694"/>
      <c r="L186" s="694"/>
      <c r="M186" s="694"/>
      <c r="N186" s="694"/>
      <c r="O186" s="694"/>
      <c r="P186" s="694"/>
      <c r="Q186" s="694"/>
      <c r="R186" s="694"/>
      <c r="S186" s="694"/>
      <c r="T186" s="694"/>
      <c r="U186" s="694"/>
      <c r="V186" s="694"/>
      <c r="W186" s="694"/>
      <c r="X186" s="694"/>
      <c r="Y186" s="694"/>
      <c r="Z186" s="694"/>
      <c r="AA186" s="66"/>
      <c r="AB186" s="66"/>
      <c r="AC186" s="80"/>
    </row>
    <row r="187" spans="1:68" ht="16.5" customHeight="1" x14ac:dyDescent="0.25">
      <c r="A187" s="63" t="s">
        <v>326</v>
      </c>
      <c r="B187" s="63" t="s">
        <v>327</v>
      </c>
      <c r="C187" s="36">
        <v>4301032058</v>
      </c>
      <c r="D187" s="695">
        <v>4680115889026</v>
      </c>
      <c r="E187" s="695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8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7"/>
      <c r="R187" s="697"/>
      <c r="S187" s="697"/>
      <c r="T187" s="698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331</v>
      </c>
      <c r="B188" s="63" t="s">
        <v>332</v>
      </c>
      <c r="C188" s="36">
        <v>4301032057</v>
      </c>
      <c r="D188" s="695">
        <v>4680115889088</v>
      </c>
      <c r="E188" s="695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7"/>
      <c r="R188" s="697"/>
      <c r="S188" s="697"/>
      <c r="T188" s="698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703"/>
      <c r="B189" s="703"/>
      <c r="C189" s="703"/>
      <c r="D189" s="703"/>
      <c r="E189" s="703"/>
      <c r="F189" s="703"/>
      <c r="G189" s="703"/>
      <c r="H189" s="703"/>
      <c r="I189" s="703"/>
      <c r="J189" s="703"/>
      <c r="K189" s="703"/>
      <c r="L189" s="703"/>
      <c r="M189" s="703"/>
      <c r="N189" s="703"/>
      <c r="O189" s="704"/>
      <c r="P189" s="700" t="s">
        <v>40</v>
      </c>
      <c r="Q189" s="701"/>
      <c r="R189" s="701"/>
      <c r="S189" s="701"/>
      <c r="T189" s="701"/>
      <c r="U189" s="701"/>
      <c r="V189" s="702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703"/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4"/>
      <c r="P190" s="700" t="s">
        <v>40</v>
      </c>
      <c r="Q190" s="701"/>
      <c r="R190" s="701"/>
      <c r="S190" s="701"/>
      <c r="T190" s="701"/>
      <c r="U190" s="701"/>
      <c r="V190" s="702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94" t="s">
        <v>334</v>
      </c>
      <c r="B191" s="694"/>
      <c r="C191" s="694"/>
      <c r="D191" s="694"/>
      <c r="E191" s="694"/>
      <c r="F191" s="694"/>
      <c r="G191" s="694"/>
      <c r="H191" s="694"/>
      <c r="I191" s="694"/>
      <c r="J191" s="694"/>
      <c r="K191" s="694"/>
      <c r="L191" s="694"/>
      <c r="M191" s="694"/>
      <c r="N191" s="694"/>
      <c r="O191" s="694"/>
      <c r="P191" s="694"/>
      <c r="Q191" s="694"/>
      <c r="R191" s="694"/>
      <c r="S191" s="694"/>
      <c r="T191" s="694"/>
      <c r="U191" s="694"/>
      <c r="V191" s="694"/>
      <c r="W191" s="694"/>
      <c r="X191" s="694"/>
      <c r="Y191" s="694"/>
      <c r="Z191" s="694"/>
      <c r="AA191" s="66"/>
      <c r="AB191" s="66"/>
      <c r="AC191" s="80"/>
    </row>
    <row r="192" spans="1:68" ht="27" customHeight="1" x14ac:dyDescent="0.25">
      <c r="A192" s="63" t="s">
        <v>335</v>
      </c>
      <c r="B192" s="63" t="s">
        <v>336</v>
      </c>
      <c r="C192" s="36">
        <v>4301041009</v>
      </c>
      <c r="D192" s="695">
        <v>4680115889033</v>
      </c>
      <c r="E192" s="695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7"/>
      <c r="R192" s="697"/>
      <c r="S192" s="697"/>
      <c r="T192" s="69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703"/>
      <c r="B193" s="703"/>
      <c r="C193" s="703"/>
      <c r="D193" s="703"/>
      <c r="E193" s="703"/>
      <c r="F193" s="703"/>
      <c r="G193" s="703"/>
      <c r="H193" s="703"/>
      <c r="I193" s="703"/>
      <c r="J193" s="703"/>
      <c r="K193" s="703"/>
      <c r="L193" s="703"/>
      <c r="M193" s="703"/>
      <c r="N193" s="703"/>
      <c r="O193" s="704"/>
      <c r="P193" s="700" t="s">
        <v>40</v>
      </c>
      <c r="Q193" s="701"/>
      <c r="R193" s="701"/>
      <c r="S193" s="701"/>
      <c r="T193" s="701"/>
      <c r="U193" s="701"/>
      <c r="V193" s="702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703"/>
      <c r="B194" s="703"/>
      <c r="C194" s="703"/>
      <c r="D194" s="703"/>
      <c r="E194" s="703"/>
      <c r="F194" s="703"/>
      <c r="G194" s="703"/>
      <c r="H194" s="703"/>
      <c r="I194" s="703"/>
      <c r="J194" s="703"/>
      <c r="K194" s="703"/>
      <c r="L194" s="703"/>
      <c r="M194" s="703"/>
      <c r="N194" s="703"/>
      <c r="O194" s="704"/>
      <c r="P194" s="700" t="s">
        <v>40</v>
      </c>
      <c r="Q194" s="701"/>
      <c r="R194" s="701"/>
      <c r="S194" s="701"/>
      <c r="T194" s="701"/>
      <c r="U194" s="701"/>
      <c r="V194" s="702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92" t="s">
        <v>338</v>
      </c>
      <c r="B195" s="692"/>
      <c r="C195" s="692"/>
      <c r="D195" s="692"/>
      <c r="E195" s="692"/>
      <c r="F195" s="692"/>
      <c r="G195" s="692"/>
      <c r="H195" s="692"/>
      <c r="I195" s="692"/>
      <c r="J195" s="692"/>
      <c r="K195" s="692"/>
      <c r="L195" s="692"/>
      <c r="M195" s="692"/>
      <c r="N195" s="692"/>
      <c r="O195" s="692"/>
      <c r="P195" s="692"/>
      <c r="Q195" s="692"/>
      <c r="R195" s="692"/>
      <c r="S195" s="692"/>
      <c r="T195" s="692"/>
      <c r="U195" s="692"/>
      <c r="V195" s="692"/>
      <c r="W195" s="692"/>
      <c r="X195" s="692"/>
      <c r="Y195" s="692"/>
      <c r="Z195" s="692"/>
      <c r="AA195" s="54"/>
      <c r="AB195" s="54"/>
      <c r="AC195" s="54"/>
    </row>
    <row r="196" spans="1:68" ht="16.5" customHeight="1" x14ac:dyDescent="0.25">
      <c r="A196" s="693" t="s">
        <v>339</v>
      </c>
      <c r="B196" s="693"/>
      <c r="C196" s="693"/>
      <c r="D196" s="693"/>
      <c r="E196" s="693"/>
      <c r="F196" s="693"/>
      <c r="G196" s="693"/>
      <c r="H196" s="693"/>
      <c r="I196" s="693"/>
      <c r="J196" s="693"/>
      <c r="K196" s="693"/>
      <c r="L196" s="693"/>
      <c r="M196" s="693"/>
      <c r="N196" s="693"/>
      <c r="O196" s="693"/>
      <c r="P196" s="693"/>
      <c r="Q196" s="693"/>
      <c r="R196" s="693"/>
      <c r="S196" s="693"/>
      <c r="T196" s="693"/>
      <c r="U196" s="693"/>
      <c r="V196" s="693"/>
      <c r="W196" s="693"/>
      <c r="X196" s="693"/>
      <c r="Y196" s="693"/>
      <c r="Z196" s="693"/>
      <c r="AA196" s="65"/>
      <c r="AB196" s="65"/>
      <c r="AC196" s="79"/>
    </row>
    <row r="197" spans="1:68" ht="14.25" customHeight="1" x14ac:dyDescent="0.25">
      <c r="A197" s="694" t="s">
        <v>128</v>
      </c>
      <c r="B197" s="694"/>
      <c r="C197" s="694"/>
      <c r="D197" s="694"/>
      <c r="E197" s="694"/>
      <c r="F197" s="694"/>
      <c r="G197" s="694"/>
      <c r="H197" s="694"/>
      <c r="I197" s="694"/>
      <c r="J197" s="694"/>
      <c r="K197" s="694"/>
      <c r="L197" s="694"/>
      <c r="M197" s="694"/>
      <c r="N197" s="694"/>
      <c r="O197" s="694"/>
      <c r="P197" s="694"/>
      <c r="Q197" s="694"/>
      <c r="R197" s="694"/>
      <c r="S197" s="694"/>
      <c r="T197" s="694"/>
      <c r="U197" s="694"/>
      <c r="V197" s="694"/>
      <c r="W197" s="694"/>
      <c r="X197" s="694"/>
      <c r="Y197" s="694"/>
      <c r="Z197" s="694"/>
      <c r="AA197" s="66"/>
      <c r="AB197" s="66"/>
      <c r="AC197" s="80"/>
    </row>
    <row r="198" spans="1:68" ht="27" customHeight="1" x14ac:dyDescent="0.25">
      <c r="A198" s="63" t="s">
        <v>340</v>
      </c>
      <c r="B198" s="63" t="s">
        <v>341</v>
      </c>
      <c r="C198" s="36">
        <v>4301011223</v>
      </c>
      <c r="D198" s="695">
        <v>4607091383423</v>
      </c>
      <c r="E198" s="695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7"/>
      <c r="R198" s="697"/>
      <c r="S198" s="697"/>
      <c r="T198" s="698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 x14ac:dyDescent="0.25">
      <c r="A199" s="63" t="s">
        <v>342</v>
      </c>
      <c r="B199" s="63" t="s">
        <v>343</v>
      </c>
      <c r="C199" s="36">
        <v>4301012340</v>
      </c>
      <c r="D199" s="695">
        <v>4680115888760</v>
      </c>
      <c r="E199" s="695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7"/>
      <c r="R199" s="697"/>
      <c r="S199" s="697"/>
      <c r="T199" s="698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 x14ac:dyDescent="0.25">
      <c r="A200" s="63" t="s">
        <v>345</v>
      </c>
      <c r="B200" s="63" t="s">
        <v>346</v>
      </c>
      <c r="C200" s="36">
        <v>4301012341</v>
      </c>
      <c r="D200" s="695">
        <v>4680115888807</v>
      </c>
      <c r="E200" s="695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7"/>
      <c r="R200" s="697"/>
      <c r="S200" s="697"/>
      <c r="T200" s="698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4301012342</v>
      </c>
      <c r="D201" s="695">
        <v>4680115888852</v>
      </c>
      <c r="E201" s="695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7"/>
      <c r="R201" s="697"/>
      <c r="S201" s="697"/>
      <c r="T201" s="698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 x14ac:dyDescent="0.25">
      <c r="A202" s="63" t="s">
        <v>351</v>
      </c>
      <c r="B202" s="63" t="s">
        <v>352</v>
      </c>
      <c r="C202" s="36">
        <v>4301012370</v>
      </c>
      <c r="D202" s="695">
        <v>4680115886957</v>
      </c>
      <c r="E202" s="695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7"/>
      <c r="R202" s="697"/>
      <c r="S202" s="697"/>
      <c r="T202" s="698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4301012098</v>
      </c>
      <c r="D203" s="695">
        <v>4680115885660</v>
      </c>
      <c r="E203" s="695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7"/>
      <c r="R203" s="697"/>
      <c r="S203" s="697"/>
      <c r="T203" s="698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 x14ac:dyDescent="0.25">
      <c r="A204" s="63" t="s">
        <v>357</v>
      </c>
      <c r="B204" s="63" t="s">
        <v>358</v>
      </c>
      <c r="C204" s="36">
        <v>4301012369</v>
      </c>
      <c r="D204" s="695">
        <v>4680115886773</v>
      </c>
      <c r="E204" s="695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79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7"/>
      <c r="R204" s="697"/>
      <c r="S204" s="697"/>
      <c r="T204" s="698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x14ac:dyDescent="0.2">
      <c r="A205" s="703"/>
      <c r="B205" s="703"/>
      <c r="C205" s="703"/>
      <c r="D205" s="703"/>
      <c r="E205" s="703"/>
      <c r="F205" s="703"/>
      <c r="G205" s="703"/>
      <c r="H205" s="703"/>
      <c r="I205" s="703"/>
      <c r="J205" s="703"/>
      <c r="K205" s="703"/>
      <c r="L205" s="703"/>
      <c r="M205" s="703"/>
      <c r="N205" s="703"/>
      <c r="O205" s="704"/>
      <c r="P205" s="700" t="s">
        <v>40</v>
      </c>
      <c r="Q205" s="701"/>
      <c r="R205" s="701"/>
      <c r="S205" s="701"/>
      <c r="T205" s="701"/>
      <c r="U205" s="701"/>
      <c r="V205" s="702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703"/>
      <c r="B206" s="703"/>
      <c r="C206" s="703"/>
      <c r="D206" s="703"/>
      <c r="E206" s="703"/>
      <c r="F206" s="703"/>
      <c r="G206" s="703"/>
      <c r="H206" s="703"/>
      <c r="I206" s="703"/>
      <c r="J206" s="703"/>
      <c r="K206" s="703"/>
      <c r="L206" s="703"/>
      <c r="M206" s="703"/>
      <c r="N206" s="703"/>
      <c r="O206" s="704"/>
      <c r="P206" s="700" t="s">
        <v>40</v>
      </c>
      <c r="Q206" s="701"/>
      <c r="R206" s="701"/>
      <c r="S206" s="701"/>
      <c r="T206" s="701"/>
      <c r="U206" s="701"/>
      <c r="V206" s="702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93" t="s">
        <v>360</v>
      </c>
      <c r="B207" s="693"/>
      <c r="C207" s="693"/>
      <c r="D207" s="693"/>
      <c r="E207" s="693"/>
      <c r="F207" s="693"/>
      <c r="G207" s="693"/>
      <c r="H207" s="693"/>
      <c r="I207" s="693"/>
      <c r="J207" s="693"/>
      <c r="K207" s="693"/>
      <c r="L207" s="693"/>
      <c r="M207" s="693"/>
      <c r="N207" s="693"/>
      <c r="O207" s="693"/>
      <c r="P207" s="693"/>
      <c r="Q207" s="693"/>
      <c r="R207" s="693"/>
      <c r="S207" s="693"/>
      <c r="T207" s="693"/>
      <c r="U207" s="693"/>
      <c r="V207" s="693"/>
      <c r="W207" s="693"/>
      <c r="X207" s="693"/>
      <c r="Y207" s="693"/>
      <c r="Z207" s="693"/>
      <c r="AA207" s="65"/>
      <c r="AB207" s="65"/>
      <c r="AC207" s="79"/>
    </row>
    <row r="208" spans="1:68" ht="14.25" customHeight="1" x14ac:dyDescent="0.25">
      <c r="A208" s="694" t="s">
        <v>164</v>
      </c>
      <c r="B208" s="694"/>
      <c r="C208" s="694"/>
      <c r="D208" s="694"/>
      <c r="E208" s="694"/>
      <c r="F208" s="694"/>
      <c r="G208" s="694"/>
      <c r="H208" s="694"/>
      <c r="I208" s="694"/>
      <c r="J208" s="694"/>
      <c r="K208" s="694"/>
      <c r="L208" s="694"/>
      <c r="M208" s="694"/>
      <c r="N208" s="694"/>
      <c r="O208" s="694"/>
      <c r="P208" s="694"/>
      <c r="Q208" s="694"/>
      <c r="R208" s="694"/>
      <c r="S208" s="694"/>
      <c r="T208" s="694"/>
      <c r="U208" s="694"/>
      <c r="V208" s="694"/>
      <c r="W208" s="694"/>
      <c r="X208" s="694"/>
      <c r="Y208" s="694"/>
      <c r="Z208" s="694"/>
      <c r="AA208" s="66"/>
      <c r="AB208" s="66"/>
      <c r="AC208" s="80"/>
    </row>
    <row r="209" spans="1:68" ht="27" customHeight="1" x14ac:dyDescent="0.25">
      <c r="A209" s="63" t="s">
        <v>361</v>
      </c>
      <c r="B209" s="63" t="s">
        <v>362</v>
      </c>
      <c r="C209" s="36">
        <v>4301020323</v>
      </c>
      <c r="D209" s="695">
        <v>4680115886223</v>
      </c>
      <c r="E209" s="695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7"/>
      <c r="R209" s="697"/>
      <c r="S209" s="697"/>
      <c r="T209" s="698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703"/>
      <c r="B210" s="703"/>
      <c r="C210" s="703"/>
      <c r="D210" s="703"/>
      <c r="E210" s="703"/>
      <c r="F210" s="703"/>
      <c r="G210" s="703"/>
      <c r="H210" s="703"/>
      <c r="I210" s="703"/>
      <c r="J210" s="703"/>
      <c r="K210" s="703"/>
      <c r="L210" s="703"/>
      <c r="M210" s="703"/>
      <c r="N210" s="703"/>
      <c r="O210" s="704"/>
      <c r="P210" s="700" t="s">
        <v>40</v>
      </c>
      <c r="Q210" s="701"/>
      <c r="R210" s="701"/>
      <c r="S210" s="701"/>
      <c r="T210" s="701"/>
      <c r="U210" s="701"/>
      <c r="V210" s="702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703"/>
      <c r="B211" s="703"/>
      <c r="C211" s="703"/>
      <c r="D211" s="703"/>
      <c r="E211" s="703"/>
      <c r="F211" s="703"/>
      <c r="G211" s="703"/>
      <c r="H211" s="703"/>
      <c r="I211" s="703"/>
      <c r="J211" s="703"/>
      <c r="K211" s="703"/>
      <c r="L211" s="703"/>
      <c r="M211" s="703"/>
      <c r="N211" s="703"/>
      <c r="O211" s="704"/>
      <c r="P211" s="700" t="s">
        <v>40</v>
      </c>
      <c r="Q211" s="701"/>
      <c r="R211" s="701"/>
      <c r="S211" s="701"/>
      <c r="T211" s="701"/>
      <c r="U211" s="701"/>
      <c r="V211" s="702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94" t="s">
        <v>77</v>
      </c>
      <c r="B212" s="694"/>
      <c r="C212" s="694"/>
      <c r="D212" s="694"/>
      <c r="E212" s="694"/>
      <c r="F212" s="694"/>
      <c r="G212" s="694"/>
      <c r="H212" s="694"/>
      <c r="I212" s="694"/>
      <c r="J212" s="694"/>
      <c r="K212" s="694"/>
      <c r="L212" s="694"/>
      <c r="M212" s="694"/>
      <c r="N212" s="694"/>
      <c r="O212" s="694"/>
      <c r="P212" s="694"/>
      <c r="Q212" s="694"/>
      <c r="R212" s="694"/>
      <c r="S212" s="694"/>
      <c r="T212" s="694"/>
      <c r="U212" s="694"/>
      <c r="V212" s="694"/>
      <c r="W212" s="694"/>
      <c r="X212" s="694"/>
      <c r="Y212" s="694"/>
      <c r="Z212" s="694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95">
        <v>4680115880993</v>
      </c>
      <c r="E213" s="695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7"/>
      <c r="R213" s="697"/>
      <c r="S213" s="697"/>
      <c r="T213" s="69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95">
        <v>4680115881761</v>
      </c>
      <c r="E214" s="695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7"/>
      <c r="R214" s="697"/>
      <c r="S214" s="697"/>
      <c r="T214" s="69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95">
        <v>4680115881563</v>
      </c>
      <c r="E215" s="695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7"/>
      <c r="R215" s="697"/>
      <c r="S215" s="697"/>
      <c r="T215" s="69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95">
        <v>4680115887565</v>
      </c>
      <c r="E216" s="695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7"/>
      <c r="R216" s="697"/>
      <c r="S216" s="697"/>
      <c r="T216" s="69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95">
        <v>4680115880986</v>
      </c>
      <c r="E217" s="695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7"/>
      <c r="R217" s="697"/>
      <c r="S217" s="697"/>
      <c r="T217" s="69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4301031443</v>
      </c>
      <c r="D218" s="695">
        <v>4680115887213</v>
      </c>
      <c r="E218" s="695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7"/>
      <c r="R218" s="697"/>
      <c r="S218" s="697"/>
      <c r="T218" s="698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95">
        <v>4680115881785</v>
      </c>
      <c r="E219" s="695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7"/>
      <c r="R219" s="697"/>
      <c r="S219" s="697"/>
      <c r="T219" s="698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4301031499</v>
      </c>
      <c r="D220" s="695">
        <v>4680115888432</v>
      </c>
      <c r="E220" s="695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7"/>
      <c r="R220" s="697"/>
      <c r="S220" s="697"/>
      <c r="T220" s="69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386</v>
      </c>
      <c r="B221" s="63" t="s">
        <v>387</v>
      </c>
      <c r="C221" s="36">
        <v>4301031427</v>
      </c>
      <c r="D221" s="695">
        <v>4680115888104</v>
      </c>
      <c r="E221" s="695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7"/>
      <c r="R221" s="697"/>
      <c r="S221" s="697"/>
      <c r="T221" s="69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4301031399</v>
      </c>
      <c r="D222" s="695">
        <v>4680115886537</v>
      </c>
      <c r="E222" s="695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7"/>
      <c r="R222" s="697"/>
      <c r="S222" s="697"/>
      <c r="T222" s="69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95">
        <v>4680115887596</v>
      </c>
      <c r="E223" s="695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7"/>
      <c r="R223" s="697"/>
      <c r="S223" s="697"/>
      <c r="T223" s="69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95">
        <v>4680115881679</v>
      </c>
      <c r="E224" s="695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7"/>
      <c r="R224" s="697"/>
      <c r="S224" s="697"/>
      <c r="T224" s="69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397</v>
      </c>
      <c r="B225" s="63" t="s">
        <v>398</v>
      </c>
      <c r="C225" s="36">
        <v>4301031158</v>
      </c>
      <c r="D225" s="695">
        <v>4680115880191</v>
      </c>
      <c r="E225" s="695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7"/>
      <c r="R225" s="697"/>
      <c r="S225" s="697"/>
      <c r="T225" s="69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399</v>
      </c>
      <c r="B226" s="63" t="s">
        <v>400</v>
      </c>
      <c r="C226" s="36">
        <v>4301031245</v>
      </c>
      <c r="D226" s="695">
        <v>4680115883963</v>
      </c>
      <c r="E226" s="695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7"/>
      <c r="R226" s="697"/>
      <c r="S226" s="697"/>
      <c r="T226" s="69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703"/>
      <c r="B227" s="703"/>
      <c r="C227" s="703"/>
      <c r="D227" s="703"/>
      <c r="E227" s="703"/>
      <c r="F227" s="703"/>
      <c r="G227" s="703"/>
      <c r="H227" s="703"/>
      <c r="I227" s="703"/>
      <c r="J227" s="703"/>
      <c r="K227" s="703"/>
      <c r="L227" s="703"/>
      <c r="M227" s="703"/>
      <c r="N227" s="703"/>
      <c r="O227" s="704"/>
      <c r="P227" s="700" t="s">
        <v>40</v>
      </c>
      <c r="Q227" s="701"/>
      <c r="R227" s="701"/>
      <c r="S227" s="701"/>
      <c r="T227" s="701"/>
      <c r="U227" s="701"/>
      <c r="V227" s="702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703"/>
      <c r="B228" s="703"/>
      <c r="C228" s="703"/>
      <c r="D228" s="703"/>
      <c r="E228" s="703"/>
      <c r="F228" s="703"/>
      <c r="G228" s="703"/>
      <c r="H228" s="703"/>
      <c r="I228" s="703"/>
      <c r="J228" s="703"/>
      <c r="K228" s="703"/>
      <c r="L228" s="703"/>
      <c r="M228" s="703"/>
      <c r="N228" s="703"/>
      <c r="O228" s="704"/>
      <c r="P228" s="700" t="s">
        <v>40</v>
      </c>
      <c r="Q228" s="701"/>
      <c r="R228" s="701"/>
      <c r="S228" s="701"/>
      <c r="T228" s="701"/>
      <c r="U228" s="701"/>
      <c r="V228" s="702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94" t="s">
        <v>86</v>
      </c>
      <c r="B229" s="694"/>
      <c r="C229" s="694"/>
      <c r="D229" s="694"/>
      <c r="E229" s="694"/>
      <c r="F229" s="694"/>
      <c r="G229" s="694"/>
      <c r="H229" s="694"/>
      <c r="I229" s="694"/>
      <c r="J229" s="694"/>
      <c r="K229" s="694"/>
      <c r="L229" s="694"/>
      <c r="M229" s="694"/>
      <c r="N229" s="694"/>
      <c r="O229" s="694"/>
      <c r="P229" s="694"/>
      <c r="Q229" s="694"/>
      <c r="R229" s="694"/>
      <c r="S229" s="694"/>
      <c r="T229" s="694"/>
      <c r="U229" s="694"/>
      <c r="V229" s="694"/>
      <c r="W229" s="694"/>
      <c r="X229" s="694"/>
      <c r="Y229" s="694"/>
      <c r="Z229" s="694"/>
      <c r="AA229" s="66"/>
      <c r="AB229" s="66"/>
      <c r="AC229" s="80"/>
    </row>
    <row r="230" spans="1:68" ht="27" customHeight="1" x14ac:dyDescent="0.25">
      <c r="A230" s="63" t="s">
        <v>402</v>
      </c>
      <c r="B230" s="63" t="s">
        <v>403</v>
      </c>
      <c r="C230" s="36">
        <v>4301052178</v>
      </c>
      <c r="D230" s="695">
        <v>4680115888975</v>
      </c>
      <c r="E230" s="695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7"/>
      <c r="R230" s="697"/>
      <c r="S230" s="697"/>
      <c r="T230" s="698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405</v>
      </c>
      <c r="B231" s="63" t="s">
        <v>406</v>
      </c>
      <c r="C231" s="36">
        <v>4301052209</v>
      </c>
      <c r="D231" s="695">
        <v>4680115888692</v>
      </c>
      <c r="E231" s="695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7"/>
      <c r="R231" s="697"/>
      <c r="S231" s="697"/>
      <c r="T231" s="698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408</v>
      </c>
      <c r="B232" s="63" t="s">
        <v>409</v>
      </c>
      <c r="C232" s="36">
        <v>4301052213</v>
      </c>
      <c r="D232" s="695">
        <v>4680115888722</v>
      </c>
      <c r="E232" s="695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7"/>
      <c r="R232" s="697"/>
      <c r="S232" s="697"/>
      <c r="T232" s="698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411</v>
      </c>
      <c r="B233" s="63" t="s">
        <v>412</v>
      </c>
      <c r="C233" s="36">
        <v>4301052177</v>
      </c>
      <c r="D233" s="695">
        <v>4680115888951</v>
      </c>
      <c r="E233" s="695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7"/>
      <c r="R233" s="697"/>
      <c r="S233" s="697"/>
      <c r="T233" s="698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4301052176</v>
      </c>
      <c r="D234" s="695">
        <v>4680115888982</v>
      </c>
      <c r="E234" s="695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1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7"/>
      <c r="R234" s="697"/>
      <c r="S234" s="697"/>
      <c r="T234" s="698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03"/>
      <c r="B235" s="703"/>
      <c r="C235" s="703"/>
      <c r="D235" s="703"/>
      <c r="E235" s="703"/>
      <c r="F235" s="703"/>
      <c r="G235" s="703"/>
      <c r="H235" s="703"/>
      <c r="I235" s="703"/>
      <c r="J235" s="703"/>
      <c r="K235" s="703"/>
      <c r="L235" s="703"/>
      <c r="M235" s="703"/>
      <c r="N235" s="703"/>
      <c r="O235" s="704"/>
      <c r="P235" s="700" t="s">
        <v>40</v>
      </c>
      <c r="Q235" s="701"/>
      <c r="R235" s="701"/>
      <c r="S235" s="701"/>
      <c r="T235" s="701"/>
      <c r="U235" s="701"/>
      <c r="V235" s="70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03"/>
      <c r="B236" s="703"/>
      <c r="C236" s="703"/>
      <c r="D236" s="703"/>
      <c r="E236" s="703"/>
      <c r="F236" s="703"/>
      <c r="G236" s="703"/>
      <c r="H236" s="703"/>
      <c r="I236" s="703"/>
      <c r="J236" s="703"/>
      <c r="K236" s="703"/>
      <c r="L236" s="703"/>
      <c r="M236" s="703"/>
      <c r="N236" s="703"/>
      <c r="O236" s="704"/>
      <c r="P236" s="700" t="s">
        <v>40</v>
      </c>
      <c r="Q236" s="701"/>
      <c r="R236" s="701"/>
      <c r="S236" s="701"/>
      <c r="T236" s="701"/>
      <c r="U236" s="701"/>
      <c r="V236" s="70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94" t="s">
        <v>104</v>
      </c>
      <c r="B237" s="694"/>
      <c r="C237" s="694"/>
      <c r="D237" s="694"/>
      <c r="E237" s="694"/>
      <c r="F237" s="694"/>
      <c r="G237" s="694"/>
      <c r="H237" s="694"/>
      <c r="I237" s="694"/>
      <c r="J237" s="694"/>
      <c r="K237" s="694"/>
      <c r="L237" s="694"/>
      <c r="M237" s="694"/>
      <c r="N237" s="694"/>
      <c r="O237" s="694"/>
      <c r="P237" s="694"/>
      <c r="Q237" s="694"/>
      <c r="R237" s="694"/>
      <c r="S237" s="694"/>
      <c r="T237" s="694"/>
      <c r="U237" s="694"/>
      <c r="V237" s="694"/>
      <c r="W237" s="694"/>
      <c r="X237" s="694"/>
      <c r="Y237" s="694"/>
      <c r="Z237" s="694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95">
        <v>4680115886780</v>
      </c>
      <c r="E238" s="695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7"/>
      <c r="R238" s="697"/>
      <c r="S238" s="697"/>
      <c r="T238" s="69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95">
        <v>4680115886742</v>
      </c>
      <c r="E239" s="695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7"/>
      <c r="R239" s="697"/>
      <c r="S239" s="697"/>
      <c r="T239" s="69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95">
        <v>4680115886766</v>
      </c>
      <c r="E240" s="695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7"/>
      <c r="R240" s="697"/>
      <c r="S240" s="697"/>
      <c r="T240" s="69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03"/>
      <c r="B241" s="703"/>
      <c r="C241" s="703"/>
      <c r="D241" s="703"/>
      <c r="E241" s="703"/>
      <c r="F241" s="703"/>
      <c r="G241" s="703"/>
      <c r="H241" s="703"/>
      <c r="I241" s="703"/>
      <c r="J241" s="703"/>
      <c r="K241" s="703"/>
      <c r="L241" s="703"/>
      <c r="M241" s="703"/>
      <c r="N241" s="703"/>
      <c r="O241" s="704"/>
      <c r="P241" s="700" t="s">
        <v>40</v>
      </c>
      <c r="Q241" s="701"/>
      <c r="R241" s="701"/>
      <c r="S241" s="701"/>
      <c r="T241" s="701"/>
      <c r="U241" s="701"/>
      <c r="V241" s="70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03"/>
      <c r="B242" s="703"/>
      <c r="C242" s="703"/>
      <c r="D242" s="703"/>
      <c r="E242" s="703"/>
      <c r="F242" s="703"/>
      <c r="G242" s="703"/>
      <c r="H242" s="703"/>
      <c r="I242" s="703"/>
      <c r="J242" s="703"/>
      <c r="K242" s="703"/>
      <c r="L242" s="703"/>
      <c r="M242" s="703"/>
      <c r="N242" s="703"/>
      <c r="O242" s="704"/>
      <c r="P242" s="700" t="s">
        <v>40</v>
      </c>
      <c r="Q242" s="701"/>
      <c r="R242" s="701"/>
      <c r="S242" s="701"/>
      <c r="T242" s="701"/>
      <c r="U242" s="701"/>
      <c r="V242" s="70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94" t="s">
        <v>424</v>
      </c>
      <c r="B243" s="694"/>
      <c r="C243" s="694"/>
      <c r="D243" s="694"/>
      <c r="E243" s="694"/>
      <c r="F243" s="694"/>
      <c r="G243" s="694"/>
      <c r="H243" s="694"/>
      <c r="I243" s="694"/>
      <c r="J243" s="694"/>
      <c r="K243" s="694"/>
      <c r="L243" s="694"/>
      <c r="M243" s="694"/>
      <c r="N243" s="694"/>
      <c r="O243" s="694"/>
      <c r="P243" s="694"/>
      <c r="Q243" s="694"/>
      <c r="R243" s="694"/>
      <c r="S243" s="694"/>
      <c r="T243" s="694"/>
      <c r="U243" s="694"/>
      <c r="V243" s="694"/>
      <c r="W243" s="694"/>
      <c r="X243" s="694"/>
      <c r="Y243" s="694"/>
      <c r="Z243" s="694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95">
        <v>4680115886797</v>
      </c>
      <c r="E244" s="69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7"/>
      <c r="R244" s="697"/>
      <c r="S244" s="697"/>
      <c r="T244" s="69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03"/>
      <c r="B245" s="703"/>
      <c r="C245" s="703"/>
      <c r="D245" s="703"/>
      <c r="E245" s="703"/>
      <c r="F245" s="703"/>
      <c r="G245" s="703"/>
      <c r="H245" s="703"/>
      <c r="I245" s="703"/>
      <c r="J245" s="703"/>
      <c r="K245" s="703"/>
      <c r="L245" s="703"/>
      <c r="M245" s="703"/>
      <c r="N245" s="703"/>
      <c r="O245" s="704"/>
      <c r="P245" s="700" t="s">
        <v>40</v>
      </c>
      <c r="Q245" s="701"/>
      <c r="R245" s="701"/>
      <c r="S245" s="701"/>
      <c r="T245" s="701"/>
      <c r="U245" s="701"/>
      <c r="V245" s="70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703"/>
      <c r="B246" s="703"/>
      <c r="C246" s="703"/>
      <c r="D246" s="703"/>
      <c r="E246" s="703"/>
      <c r="F246" s="703"/>
      <c r="G246" s="703"/>
      <c r="H246" s="703"/>
      <c r="I246" s="703"/>
      <c r="J246" s="703"/>
      <c r="K246" s="703"/>
      <c r="L246" s="703"/>
      <c r="M246" s="703"/>
      <c r="N246" s="703"/>
      <c r="O246" s="704"/>
      <c r="P246" s="700" t="s">
        <v>40</v>
      </c>
      <c r="Q246" s="701"/>
      <c r="R246" s="701"/>
      <c r="S246" s="701"/>
      <c r="T246" s="701"/>
      <c r="U246" s="701"/>
      <c r="V246" s="70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93" t="s">
        <v>427</v>
      </c>
      <c r="B247" s="693"/>
      <c r="C247" s="693"/>
      <c r="D247" s="693"/>
      <c r="E247" s="693"/>
      <c r="F247" s="693"/>
      <c r="G247" s="693"/>
      <c r="H247" s="693"/>
      <c r="I247" s="693"/>
      <c r="J247" s="693"/>
      <c r="K247" s="693"/>
      <c r="L247" s="693"/>
      <c r="M247" s="693"/>
      <c r="N247" s="693"/>
      <c r="O247" s="693"/>
      <c r="P247" s="693"/>
      <c r="Q247" s="693"/>
      <c r="R247" s="693"/>
      <c r="S247" s="693"/>
      <c r="T247" s="693"/>
      <c r="U247" s="693"/>
      <c r="V247" s="693"/>
      <c r="W247" s="693"/>
      <c r="X247" s="693"/>
      <c r="Y247" s="693"/>
      <c r="Z247" s="693"/>
      <c r="AA247" s="65"/>
      <c r="AB247" s="65"/>
      <c r="AC247" s="79"/>
    </row>
    <row r="248" spans="1:68" ht="14.25" customHeight="1" x14ac:dyDescent="0.25">
      <c r="A248" s="694" t="s">
        <v>128</v>
      </c>
      <c r="B248" s="694"/>
      <c r="C248" s="694"/>
      <c r="D248" s="694"/>
      <c r="E248" s="694"/>
      <c r="F248" s="694"/>
      <c r="G248" s="694"/>
      <c r="H248" s="694"/>
      <c r="I248" s="694"/>
      <c r="J248" s="694"/>
      <c r="K248" s="694"/>
      <c r="L248" s="694"/>
      <c r="M248" s="694"/>
      <c r="N248" s="694"/>
      <c r="O248" s="694"/>
      <c r="P248" s="694"/>
      <c r="Q248" s="694"/>
      <c r="R248" s="694"/>
      <c r="S248" s="694"/>
      <c r="T248" s="694"/>
      <c r="U248" s="694"/>
      <c r="V248" s="694"/>
      <c r="W248" s="694"/>
      <c r="X248" s="694"/>
      <c r="Y248" s="694"/>
      <c r="Z248" s="694"/>
      <c r="AA248" s="66"/>
      <c r="AB248" s="66"/>
      <c r="AC248" s="80"/>
    </row>
    <row r="249" spans="1:68" ht="27" customHeight="1" x14ac:dyDescent="0.25">
      <c r="A249" s="63" t="s">
        <v>428</v>
      </c>
      <c r="B249" s="63" t="s">
        <v>429</v>
      </c>
      <c r="C249" s="36">
        <v>4301011450</v>
      </c>
      <c r="D249" s="695">
        <v>4680115881402</v>
      </c>
      <c r="E249" s="695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7"/>
      <c r="R249" s="697"/>
      <c r="S249" s="697"/>
      <c r="T249" s="698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431</v>
      </c>
      <c r="B250" s="63" t="s">
        <v>432</v>
      </c>
      <c r="C250" s="36">
        <v>4301011768</v>
      </c>
      <c r="D250" s="695">
        <v>4680115881396</v>
      </c>
      <c r="E250" s="695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7"/>
      <c r="R250" s="697"/>
      <c r="S250" s="697"/>
      <c r="T250" s="69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03"/>
      <c r="B251" s="703"/>
      <c r="C251" s="703"/>
      <c r="D251" s="703"/>
      <c r="E251" s="703"/>
      <c r="F251" s="703"/>
      <c r="G251" s="703"/>
      <c r="H251" s="703"/>
      <c r="I251" s="703"/>
      <c r="J251" s="703"/>
      <c r="K251" s="703"/>
      <c r="L251" s="703"/>
      <c r="M251" s="703"/>
      <c r="N251" s="703"/>
      <c r="O251" s="704"/>
      <c r="P251" s="700" t="s">
        <v>40</v>
      </c>
      <c r="Q251" s="701"/>
      <c r="R251" s="701"/>
      <c r="S251" s="701"/>
      <c r="T251" s="701"/>
      <c r="U251" s="701"/>
      <c r="V251" s="70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703"/>
      <c r="B252" s="703"/>
      <c r="C252" s="703"/>
      <c r="D252" s="703"/>
      <c r="E252" s="703"/>
      <c r="F252" s="703"/>
      <c r="G252" s="703"/>
      <c r="H252" s="703"/>
      <c r="I252" s="703"/>
      <c r="J252" s="703"/>
      <c r="K252" s="703"/>
      <c r="L252" s="703"/>
      <c r="M252" s="703"/>
      <c r="N252" s="703"/>
      <c r="O252" s="704"/>
      <c r="P252" s="700" t="s">
        <v>40</v>
      </c>
      <c r="Q252" s="701"/>
      <c r="R252" s="701"/>
      <c r="S252" s="701"/>
      <c r="T252" s="701"/>
      <c r="U252" s="701"/>
      <c r="V252" s="70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94" t="s">
        <v>164</v>
      </c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  <c r="U253" s="694"/>
      <c r="V253" s="694"/>
      <c r="W253" s="694"/>
      <c r="X253" s="694"/>
      <c r="Y253" s="694"/>
      <c r="Z253" s="694"/>
      <c r="AA253" s="66"/>
      <c r="AB253" s="66"/>
      <c r="AC253" s="80"/>
    </row>
    <row r="254" spans="1:68" ht="16.5" customHeight="1" x14ac:dyDescent="0.25">
      <c r="A254" s="63" t="s">
        <v>433</v>
      </c>
      <c r="B254" s="63" t="s">
        <v>434</v>
      </c>
      <c r="C254" s="36">
        <v>4301020261</v>
      </c>
      <c r="D254" s="695">
        <v>4680115882935</v>
      </c>
      <c r="E254" s="695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7"/>
      <c r="R254" s="697"/>
      <c r="S254" s="697"/>
      <c r="T254" s="698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436</v>
      </c>
      <c r="B255" s="63" t="s">
        <v>437</v>
      </c>
      <c r="C255" s="36">
        <v>4301020220</v>
      </c>
      <c r="D255" s="695">
        <v>4680115880764</v>
      </c>
      <c r="E255" s="695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7"/>
      <c r="R255" s="697"/>
      <c r="S255" s="697"/>
      <c r="T255" s="69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03"/>
      <c r="B256" s="703"/>
      <c r="C256" s="703"/>
      <c r="D256" s="703"/>
      <c r="E256" s="703"/>
      <c r="F256" s="703"/>
      <c r="G256" s="703"/>
      <c r="H256" s="703"/>
      <c r="I256" s="703"/>
      <c r="J256" s="703"/>
      <c r="K256" s="703"/>
      <c r="L256" s="703"/>
      <c r="M256" s="703"/>
      <c r="N256" s="703"/>
      <c r="O256" s="704"/>
      <c r="P256" s="700" t="s">
        <v>40</v>
      </c>
      <c r="Q256" s="701"/>
      <c r="R256" s="701"/>
      <c r="S256" s="701"/>
      <c r="T256" s="701"/>
      <c r="U256" s="701"/>
      <c r="V256" s="70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03"/>
      <c r="B257" s="703"/>
      <c r="C257" s="703"/>
      <c r="D257" s="703"/>
      <c r="E257" s="703"/>
      <c r="F257" s="703"/>
      <c r="G257" s="703"/>
      <c r="H257" s="703"/>
      <c r="I257" s="703"/>
      <c r="J257" s="703"/>
      <c r="K257" s="703"/>
      <c r="L257" s="703"/>
      <c r="M257" s="703"/>
      <c r="N257" s="703"/>
      <c r="O257" s="704"/>
      <c r="P257" s="700" t="s">
        <v>40</v>
      </c>
      <c r="Q257" s="701"/>
      <c r="R257" s="701"/>
      <c r="S257" s="701"/>
      <c r="T257" s="701"/>
      <c r="U257" s="701"/>
      <c r="V257" s="70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94" t="s">
        <v>77</v>
      </c>
      <c r="B258" s="694"/>
      <c r="C258" s="694"/>
      <c r="D258" s="694"/>
      <c r="E258" s="694"/>
      <c r="F258" s="694"/>
      <c r="G258" s="694"/>
      <c r="H258" s="694"/>
      <c r="I258" s="694"/>
      <c r="J258" s="694"/>
      <c r="K258" s="694"/>
      <c r="L258" s="694"/>
      <c r="M258" s="694"/>
      <c r="N258" s="694"/>
      <c r="O258" s="694"/>
      <c r="P258" s="694"/>
      <c r="Q258" s="694"/>
      <c r="R258" s="694"/>
      <c r="S258" s="694"/>
      <c r="T258" s="694"/>
      <c r="U258" s="694"/>
      <c r="V258" s="694"/>
      <c r="W258" s="694"/>
      <c r="X258" s="694"/>
      <c r="Y258" s="694"/>
      <c r="Z258" s="694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95">
        <v>4680115882683</v>
      </c>
      <c r="E259" s="695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7"/>
      <c r="R259" s="697"/>
      <c r="S259" s="697"/>
      <c r="T259" s="698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95">
        <v>4680115882690</v>
      </c>
      <c r="E260" s="695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2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7"/>
      <c r="R260" s="697"/>
      <c r="S260" s="697"/>
      <c r="T260" s="698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95">
        <v>4680115882669</v>
      </c>
      <c r="E261" s="695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2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7"/>
      <c r="R261" s="697"/>
      <c r="S261" s="697"/>
      <c r="T261" s="698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95">
        <v>4680115882676</v>
      </c>
      <c r="E262" s="695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7"/>
      <c r="R262" s="697"/>
      <c r="S262" s="697"/>
      <c r="T262" s="698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95">
        <v>4680115884014</v>
      </c>
      <c r="E263" s="695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7"/>
      <c r="R263" s="697"/>
      <c r="S263" s="697"/>
      <c r="T263" s="698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95">
        <v>4680115884007</v>
      </c>
      <c r="E264" s="695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7"/>
      <c r="R264" s="697"/>
      <c r="S264" s="697"/>
      <c r="T264" s="698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95">
        <v>4680115884038</v>
      </c>
      <c r="E265" s="695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7"/>
      <c r="R265" s="697"/>
      <c r="S265" s="697"/>
      <c r="T265" s="69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95">
        <v>4680115884021</v>
      </c>
      <c r="E266" s="695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7"/>
      <c r="R266" s="697"/>
      <c r="S266" s="697"/>
      <c r="T266" s="69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x14ac:dyDescent="0.2">
      <c r="A267" s="703"/>
      <c r="B267" s="703"/>
      <c r="C267" s="703"/>
      <c r="D267" s="703"/>
      <c r="E267" s="703"/>
      <c r="F267" s="703"/>
      <c r="G267" s="703"/>
      <c r="H267" s="703"/>
      <c r="I267" s="703"/>
      <c r="J267" s="703"/>
      <c r="K267" s="703"/>
      <c r="L267" s="703"/>
      <c r="M267" s="703"/>
      <c r="N267" s="703"/>
      <c r="O267" s="704"/>
      <c r="P267" s="700" t="s">
        <v>40</v>
      </c>
      <c r="Q267" s="701"/>
      <c r="R267" s="701"/>
      <c r="S267" s="701"/>
      <c r="T267" s="701"/>
      <c r="U267" s="701"/>
      <c r="V267" s="70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703"/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4"/>
      <c r="P268" s="700" t="s">
        <v>40</v>
      </c>
      <c r="Q268" s="701"/>
      <c r="R268" s="701"/>
      <c r="S268" s="701"/>
      <c r="T268" s="701"/>
      <c r="U268" s="701"/>
      <c r="V268" s="702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94" t="s">
        <v>86</v>
      </c>
      <c r="B269" s="694"/>
      <c r="C269" s="694"/>
      <c r="D269" s="694"/>
      <c r="E269" s="694"/>
      <c r="F269" s="694"/>
      <c r="G269" s="694"/>
      <c r="H269" s="694"/>
      <c r="I269" s="694"/>
      <c r="J269" s="694"/>
      <c r="K269" s="694"/>
      <c r="L269" s="694"/>
      <c r="M269" s="694"/>
      <c r="N269" s="694"/>
      <c r="O269" s="694"/>
      <c r="P269" s="694"/>
      <c r="Q269" s="694"/>
      <c r="R269" s="694"/>
      <c r="S269" s="694"/>
      <c r="T269" s="694"/>
      <c r="U269" s="694"/>
      <c r="V269" s="694"/>
      <c r="W269" s="694"/>
      <c r="X269" s="694"/>
      <c r="Y269" s="694"/>
      <c r="Z269" s="694"/>
      <c r="AA269" s="66"/>
      <c r="AB269" s="66"/>
      <c r="AC269" s="80"/>
    </row>
    <row r="270" spans="1:68" ht="27" customHeight="1" x14ac:dyDescent="0.25">
      <c r="A270" s="63" t="s">
        <v>458</v>
      </c>
      <c r="B270" s="63" t="s">
        <v>459</v>
      </c>
      <c r="C270" s="36">
        <v>4301051408</v>
      </c>
      <c r="D270" s="695">
        <v>4680115881594</v>
      </c>
      <c r="E270" s="695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7"/>
      <c r="R270" s="697"/>
      <c r="S270" s="697"/>
      <c r="T270" s="69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 x14ac:dyDescent="0.25">
      <c r="A271" s="63" t="s">
        <v>461</v>
      </c>
      <c r="B271" s="63" t="s">
        <v>462</v>
      </c>
      <c r="C271" s="36">
        <v>4301051411</v>
      </c>
      <c r="D271" s="695">
        <v>4680115881617</v>
      </c>
      <c r="E271" s="695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7"/>
      <c r="R271" s="697"/>
      <c r="S271" s="697"/>
      <c r="T271" s="69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95">
        <v>4680115880573</v>
      </c>
      <c r="E272" s="695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7"/>
      <c r="R272" s="697"/>
      <c r="S272" s="697"/>
      <c r="T272" s="69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95">
        <v>4680115882195</v>
      </c>
      <c r="E273" s="695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7"/>
      <c r="R273" s="697"/>
      <c r="S273" s="697"/>
      <c r="T273" s="69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4301051752</v>
      </c>
      <c r="D274" s="695">
        <v>4680115882607</v>
      </c>
      <c r="E274" s="695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7"/>
      <c r="R274" s="697"/>
      <c r="S274" s="697"/>
      <c r="T274" s="69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471</v>
      </c>
      <c r="B275" s="63" t="s">
        <v>472</v>
      </c>
      <c r="C275" s="36">
        <v>4301052143</v>
      </c>
      <c r="D275" s="695">
        <v>4680115882607</v>
      </c>
      <c r="E275" s="695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7"/>
      <c r="R275" s="697"/>
      <c r="S275" s="697"/>
      <c r="T275" s="69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95">
        <v>4680115880092</v>
      </c>
      <c r="E276" s="695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7"/>
      <c r="R276" s="697"/>
      <c r="S276" s="697"/>
      <c r="T276" s="69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customHeight="1" x14ac:dyDescent="0.25">
      <c r="A277" s="63" t="s">
        <v>476</v>
      </c>
      <c r="B277" s="63" t="s">
        <v>477</v>
      </c>
      <c r="C277" s="36">
        <v>4301052214</v>
      </c>
      <c r="D277" s="695">
        <v>4680115889064</v>
      </c>
      <c r="E277" s="695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7"/>
      <c r="R277" s="697"/>
      <c r="S277" s="697"/>
      <c r="T277" s="69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 x14ac:dyDescent="0.25">
      <c r="A278" s="63" t="s">
        <v>478</v>
      </c>
      <c r="B278" s="63" t="s">
        <v>479</v>
      </c>
      <c r="C278" s="36">
        <v>4301051668</v>
      </c>
      <c r="D278" s="695">
        <v>4680115880221</v>
      </c>
      <c r="E278" s="695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7"/>
      <c r="R278" s="697"/>
      <c r="S278" s="697"/>
      <c r="T278" s="69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95">
        <v>4680115880504</v>
      </c>
      <c r="E279" s="695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7"/>
      <c r="R279" s="697"/>
      <c r="S279" s="697"/>
      <c r="T279" s="69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95">
        <v>4680115882164</v>
      </c>
      <c r="E280" s="695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7"/>
      <c r="R280" s="697"/>
      <c r="S280" s="697"/>
      <c r="T280" s="69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customHeight="1" x14ac:dyDescent="0.25">
      <c r="A281" s="63" t="s">
        <v>486</v>
      </c>
      <c r="B281" s="63" t="s">
        <v>487</v>
      </c>
      <c r="C281" s="36">
        <v>4301052180</v>
      </c>
      <c r="D281" s="695">
        <v>4680115888340</v>
      </c>
      <c r="E281" s="695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7"/>
      <c r="R281" s="697"/>
      <c r="S281" s="697"/>
      <c r="T281" s="69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703"/>
      <c r="B282" s="703"/>
      <c r="C282" s="703"/>
      <c r="D282" s="703"/>
      <c r="E282" s="703"/>
      <c r="F282" s="703"/>
      <c r="G282" s="703"/>
      <c r="H282" s="703"/>
      <c r="I282" s="703"/>
      <c r="J282" s="703"/>
      <c r="K282" s="703"/>
      <c r="L282" s="703"/>
      <c r="M282" s="703"/>
      <c r="N282" s="703"/>
      <c r="O282" s="704"/>
      <c r="P282" s="700" t="s">
        <v>40</v>
      </c>
      <c r="Q282" s="701"/>
      <c r="R282" s="701"/>
      <c r="S282" s="701"/>
      <c r="T282" s="701"/>
      <c r="U282" s="701"/>
      <c r="V282" s="70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703"/>
      <c r="B283" s="703"/>
      <c r="C283" s="703"/>
      <c r="D283" s="703"/>
      <c r="E283" s="703"/>
      <c r="F283" s="703"/>
      <c r="G283" s="703"/>
      <c r="H283" s="703"/>
      <c r="I283" s="703"/>
      <c r="J283" s="703"/>
      <c r="K283" s="703"/>
      <c r="L283" s="703"/>
      <c r="M283" s="703"/>
      <c r="N283" s="703"/>
      <c r="O283" s="704"/>
      <c r="P283" s="700" t="s">
        <v>40</v>
      </c>
      <c r="Q283" s="701"/>
      <c r="R283" s="701"/>
      <c r="S283" s="701"/>
      <c r="T283" s="701"/>
      <c r="U283" s="701"/>
      <c r="V283" s="702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94" t="s">
        <v>181</v>
      </c>
      <c r="B284" s="694"/>
      <c r="C284" s="694"/>
      <c r="D284" s="694"/>
      <c r="E284" s="694"/>
      <c r="F284" s="694"/>
      <c r="G284" s="694"/>
      <c r="H284" s="694"/>
      <c r="I284" s="694"/>
      <c r="J284" s="694"/>
      <c r="K284" s="694"/>
      <c r="L284" s="694"/>
      <c r="M284" s="694"/>
      <c r="N284" s="694"/>
      <c r="O284" s="694"/>
      <c r="P284" s="694"/>
      <c r="Q284" s="694"/>
      <c r="R284" s="694"/>
      <c r="S284" s="694"/>
      <c r="T284" s="694"/>
      <c r="U284" s="694"/>
      <c r="V284" s="694"/>
      <c r="W284" s="694"/>
      <c r="X284" s="694"/>
      <c r="Y284" s="694"/>
      <c r="Z284" s="694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95">
        <v>4680115880818</v>
      </c>
      <c r="E285" s="69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7"/>
      <c r="R285" s="697"/>
      <c r="S285" s="697"/>
      <c r="T285" s="698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95">
        <v>4680115880801</v>
      </c>
      <c r="E286" s="69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7"/>
      <c r="R286" s="697"/>
      <c r="S286" s="697"/>
      <c r="T286" s="698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703"/>
      <c r="B287" s="703"/>
      <c r="C287" s="703"/>
      <c r="D287" s="703"/>
      <c r="E287" s="703"/>
      <c r="F287" s="703"/>
      <c r="G287" s="703"/>
      <c r="H287" s="703"/>
      <c r="I287" s="703"/>
      <c r="J287" s="703"/>
      <c r="K287" s="703"/>
      <c r="L287" s="703"/>
      <c r="M287" s="703"/>
      <c r="N287" s="703"/>
      <c r="O287" s="704"/>
      <c r="P287" s="700" t="s">
        <v>40</v>
      </c>
      <c r="Q287" s="701"/>
      <c r="R287" s="701"/>
      <c r="S287" s="701"/>
      <c r="T287" s="701"/>
      <c r="U287" s="701"/>
      <c r="V287" s="702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703"/>
      <c r="B288" s="703"/>
      <c r="C288" s="703"/>
      <c r="D288" s="703"/>
      <c r="E288" s="703"/>
      <c r="F288" s="703"/>
      <c r="G288" s="703"/>
      <c r="H288" s="703"/>
      <c r="I288" s="703"/>
      <c r="J288" s="703"/>
      <c r="K288" s="703"/>
      <c r="L288" s="703"/>
      <c r="M288" s="703"/>
      <c r="N288" s="703"/>
      <c r="O288" s="704"/>
      <c r="P288" s="700" t="s">
        <v>40</v>
      </c>
      <c r="Q288" s="701"/>
      <c r="R288" s="701"/>
      <c r="S288" s="701"/>
      <c r="T288" s="701"/>
      <c r="U288" s="701"/>
      <c r="V288" s="702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93" t="s">
        <v>495</v>
      </c>
      <c r="B289" s="693"/>
      <c r="C289" s="693"/>
      <c r="D289" s="693"/>
      <c r="E289" s="693"/>
      <c r="F289" s="693"/>
      <c r="G289" s="693"/>
      <c r="H289" s="693"/>
      <c r="I289" s="693"/>
      <c r="J289" s="693"/>
      <c r="K289" s="693"/>
      <c r="L289" s="693"/>
      <c r="M289" s="693"/>
      <c r="N289" s="693"/>
      <c r="O289" s="693"/>
      <c r="P289" s="693"/>
      <c r="Q289" s="693"/>
      <c r="R289" s="693"/>
      <c r="S289" s="693"/>
      <c r="T289" s="693"/>
      <c r="U289" s="693"/>
      <c r="V289" s="693"/>
      <c r="W289" s="693"/>
      <c r="X289" s="693"/>
      <c r="Y289" s="693"/>
      <c r="Z289" s="693"/>
      <c r="AA289" s="65"/>
      <c r="AB289" s="65"/>
      <c r="AC289" s="79"/>
    </row>
    <row r="290" spans="1:68" ht="14.25" customHeight="1" x14ac:dyDescent="0.25">
      <c r="A290" s="694" t="s">
        <v>128</v>
      </c>
      <c r="B290" s="694"/>
      <c r="C290" s="694"/>
      <c r="D290" s="694"/>
      <c r="E290" s="694"/>
      <c r="F290" s="694"/>
      <c r="G290" s="694"/>
      <c r="H290" s="694"/>
      <c r="I290" s="694"/>
      <c r="J290" s="694"/>
      <c r="K290" s="694"/>
      <c r="L290" s="694"/>
      <c r="M290" s="694"/>
      <c r="N290" s="694"/>
      <c r="O290" s="694"/>
      <c r="P290" s="694"/>
      <c r="Q290" s="694"/>
      <c r="R290" s="694"/>
      <c r="S290" s="694"/>
      <c r="T290" s="694"/>
      <c r="U290" s="694"/>
      <c r="V290" s="694"/>
      <c r="W290" s="694"/>
      <c r="X290" s="694"/>
      <c r="Y290" s="694"/>
      <c r="Z290" s="694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95">
        <v>4680115884137</v>
      </c>
      <c r="E291" s="695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7"/>
      <c r="R291" s="697"/>
      <c r="S291" s="697"/>
      <c r="T291" s="69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4301011724</v>
      </c>
      <c r="D292" s="695">
        <v>4680115884236</v>
      </c>
      <c r="E292" s="695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7"/>
      <c r="R292" s="697"/>
      <c r="S292" s="697"/>
      <c r="T292" s="69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95">
        <v>4680115884175</v>
      </c>
      <c r="E293" s="695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7"/>
      <c r="R293" s="697"/>
      <c r="S293" s="697"/>
      <c r="T293" s="69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95">
        <v>4680115884144</v>
      </c>
      <c r="E294" s="695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7"/>
      <c r="R294" s="697"/>
      <c r="S294" s="697"/>
      <c r="T294" s="69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customHeight="1" x14ac:dyDescent="0.25">
      <c r="A295" s="63" t="s">
        <v>506</v>
      </c>
      <c r="B295" s="63" t="s">
        <v>507</v>
      </c>
      <c r="C295" s="36">
        <v>4301012149</v>
      </c>
      <c r="D295" s="695">
        <v>4680115886551</v>
      </c>
      <c r="E295" s="695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7"/>
      <c r="R295" s="697"/>
      <c r="S295" s="697"/>
      <c r="T295" s="698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 x14ac:dyDescent="0.25">
      <c r="A296" s="63" t="s">
        <v>509</v>
      </c>
      <c r="B296" s="63" t="s">
        <v>510</v>
      </c>
      <c r="C296" s="36">
        <v>4301012228</v>
      </c>
      <c r="D296" s="695">
        <v>4680115887282</v>
      </c>
      <c r="E296" s="695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7"/>
      <c r="R296" s="697"/>
      <c r="S296" s="697"/>
      <c r="T296" s="698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95">
        <v>4680115884205</v>
      </c>
      <c r="E297" s="695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7"/>
      <c r="R297" s="697"/>
      <c r="S297" s="697"/>
      <c r="T297" s="69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x14ac:dyDescent="0.2">
      <c r="A298" s="703"/>
      <c r="B298" s="703"/>
      <c r="C298" s="703"/>
      <c r="D298" s="703"/>
      <c r="E298" s="703"/>
      <c r="F298" s="703"/>
      <c r="G298" s="703"/>
      <c r="H298" s="703"/>
      <c r="I298" s="703"/>
      <c r="J298" s="703"/>
      <c r="K298" s="703"/>
      <c r="L298" s="703"/>
      <c r="M298" s="703"/>
      <c r="N298" s="703"/>
      <c r="O298" s="704"/>
      <c r="P298" s="700" t="s">
        <v>40</v>
      </c>
      <c r="Q298" s="701"/>
      <c r="R298" s="701"/>
      <c r="S298" s="701"/>
      <c r="T298" s="701"/>
      <c r="U298" s="701"/>
      <c r="V298" s="702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703"/>
      <c r="B299" s="703"/>
      <c r="C299" s="703"/>
      <c r="D299" s="703"/>
      <c r="E299" s="703"/>
      <c r="F299" s="703"/>
      <c r="G299" s="703"/>
      <c r="H299" s="703"/>
      <c r="I299" s="703"/>
      <c r="J299" s="703"/>
      <c r="K299" s="703"/>
      <c r="L299" s="703"/>
      <c r="M299" s="703"/>
      <c r="N299" s="703"/>
      <c r="O299" s="704"/>
      <c r="P299" s="700" t="s">
        <v>40</v>
      </c>
      <c r="Q299" s="701"/>
      <c r="R299" s="701"/>
      <c r="S299" s="701"/>
      <c r="T299" s="701"/>
      <c r="U299" s="701"/>
      <c r="V299" s="702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94" t="s">
        <v>164</v>
      </c>
      <c r="B300" s="694"/>
      <c r="C300" s="694"/>
      <c r="D300" s="694"/>
      <c r="E300" s="694"/>
      <c r="F300" s="694"/>
      <c r="G300" s="694"/>
      <c r="H300" s="694"/>
      <c r="I300" s="694"/>
      <c r="J300" s="694"/>
      <c r="K300" s="694"/>
      <c r="L300" s="694"/>
      <c r="M300" s="694"/>
      <c r="N300" s="694"/>
      <c r="O300" s="694"/>
      <c r="P300" s="694"/>
      <c r="Q300" s="694"/>
      <c r="R300" s="694"/>
      <c r="S300" s="694"/>
      <c r="T300" s="694"/>
      <c r="U300" s="694"/>
      <c r="V300" s="694"/>
      <c r="W300" s="694"/>
      <c r="X300" s="694"/>
      <c r="Y300" s="694"/>
      <c r="Z300" s="694"/>
      <c r="AA300" s="66"/>
      <c r="AB300" s="66"/>
      <c r="AC300" s="80"/>
    </row>
    <row r="301" spans="1:68" ht="27" customHeight="1" x14ac:dyDescent="0.25">
      <c r="A301" s="63" t="s">
        <v>514</v>
      </c>
      <c r="B301" s="63" t="s">
        <v>515</v>
      </c>
      <c r="C301" s="36">
        <v>4301020377</v>
      </c>
      <c r="D301" s="695">
        <v>4680115885981</v>
      </c>
      <c r="E301" s="695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7"/>
      <c r="R301" s="697"/>
      <c r="S301" s="697"/>
      <c r="T301" s="698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703"/>
      <c r="B302" s="703"/>
      <c r="C302" s="703"/>
      <c r="D302" s="703"/>
      <c r="E302" s="703"/>
      <c r="F302" s="703"/>
      <c r="G302" s="703"/>
      <c r="H302" s="703"/>
      <c r="I302" s="703"/>
      <c r="J302" s="703"/>
      <c r="K302" s="703"/>
      <c r="L302" s="703"/>
      <c r="M302" s="703"/>
      <c r="N302" s="703"/>
      <c r="O302" s="704"/>
      <c r="P302" s="700" t="s">
        <v>40</v>
      </c>
      <c r="Q302" s="701"/>
      <c r="R302" s="701"/>
      <c r="S302" s="701"/>
      <c r="T302" s="701"/>
      <c r="U302" s="701"/>
      <c r="V302" s="70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703"/>
      <c r="B303" s="703"/>
      <c r="C303" s="703"/>
      <c r="D303" s="703"/>
      <c r="E303" s="703"/>
      <c r="F303" s="703"/>
      <c r="G303" s="703"/>
      <c r="H303" s="703"/>
      <c r="I303" s="703"/>
      <c r="J303" s="703"/>
      <c r="K303" s="703"/>
      <c r="L303" s="703"/>
      <c r="M303" s="703"/>
      <c r="N303" s="703"/>
      <c r="O303" s="704"/>
      <c r="P303" s="700" t="s">
        <v>40</v>
      </c>
      <c r="Q303" s="701"/>
      <c r="R303" s="701"/>
      <c r="S303" s="701"/>
      <c r="T303" s="701"/>
      <c r="U303" s="701"/>
      <c r="V303" s="70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94" t="s">
        <v>517</v>
      </c>
      <c r="B304" s="694"/>
      <c r="C304" s="694"/>
      <c r="D304" s="694"/>
      <c r="E304" s="694"/>
      <c r="F304" s="694"/>
      <c r="G304" s="694"/>
      <c r="H304" s="694"/>
      <c r="I304" s="694"/>
      <c r="J304" s="694"/>
      <c r="K304" s="694"/>
      <c r="L304" s="694"/>
      <c r="M304" s="694"/>
      <c r="N304" s="694"/>
      <c r="O304" s="694"/>
      <c r="P304" s="694"/>
      <c r="Q304" s="694"/>
      <c r="R304" s="694"/>
      <c r="S304" s="694"/>
      <c r="T304" s="694"/>
      <c r="U304" s="694"/>
      <c r="V304" s="694"/>
      <c r="W304" s="694"/>
      <c r="X304" s="694"/>
      <c r="Y304" s="694"/>
      <c r="Z304" s="694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95">
        <v>4680115886803</v>
      </c>
      <c r="E305" s="695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7"/>
      <c r="R305" s="697"/>
      <c r="S305" s="697"/>
      <c r="T305" s="698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03"/>
      <c r="B306" s="703"/>
      <c r="C306" s="703"/>
      <c r="D306" s="703"/>
      <c r="E306" s="703"/>
      <c r="F306" s="703"/>
      <c r="G306" s="703"/>
      <c r="H306" s="703"/>
      <c r="I306" s="703"/>
      <c r="J306" s="703"/>
      <c r="K306" s="703"/>
      <c r="L306" s="703"/>
      <c r="M306" s="703"/>
      <c r="N306" s="703"/>
      <c r="O306" s="704"/>
      <c r="P306" s="700" t="s">
        <v>40</v>
      </c>
      <c r="Q306" s="701"/>
      <c r="R306" s="701"/>
      <c r="S306" s="701"/>
      <c r="T306" s="701"/>
      <c r="U306" s="701"/>
      <c r="V306" s="70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03"/>
      <c r="B307" s="703"/>
      <c r="C307" s="703"/>
      <c r="D307" s="703"/>
      <c r="E307" s="703"/>
      <c r="F307" s="703"/>
      <c r="G307" s="703"/>
      <c r="H307" s="703"/>
      <c r="I307" s="703"/>
      <c r="J307" s="703"/>
      <c r="K307" s="703"/>
      <c r="L307" s="703"/>
      <c r="M307" s="703"/>
      <c r="N307" s="703"/>
      <c r="O307" s="704"/>
      <c r="P307" s="700" t="s">
        <v>40</v>
      </c>
      <c r="Q307" s="701"/>
      <c r="R307" s="701"/>
      <c r="S307" s="701"/>
      <c r="T307" s="701"/>
      <c r="U307" s="701"/>
      <c r="V307" s="70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94" t="s">
        <v>334</v>
      </c>
      <c r="B308" s="694"/>
      <c r="C308" s="694"/>
      <c r="D308" s="694"/>
      <c r="E308" s="694"/>
      <c r="F308" s="694"/>
      <c r="G308" s="694"/>
      <c r="H308" s="694"/>
      <c r="I308" s="694"/>
      <c r="J308" s="694"/>
      <c r="K308" s="694"/>
      <c r="L308" s="694"/>
      <c r="M308" s="694"/>
      <c r="N308" s="694"/>
      <c r="O308" s="694"/>
      <c r="P308" s="694"/>
      <c r="Q308" s="694"/>
      <c r="R308" s="694"/>
      <c r="S308" s="694"/>
      <c r="T308" s="694"/>
      <c r="U308" s="694"/>
      <c r="V308" s="694"/>
      <c r="W308" s="694"/>
      <c r="X308" s="694"/>
      <c r="Y308" s="694"/>
      <c r="Z308" s="694"/>
      <c r="AA308" s="66"/>
      <c r="AB308" s="66"/>
      <c r="AC308" s="80"/>
    </row>
    <row r="309" spans="1:68" ht="27" customHeight="1" x14ac:dyDescent="0.25">
      <c r="A309" s="63" t="s">
        <v>521</v>
      </c>
      <c r="B309" s="63" t="s">
        <v>522</v>
      </c>
      <c r="C309" s="36">
        <v>4301041004</v>
      </c>
      <c r="D309" s="695">
        <v>4680115886704</v>
      </c>
      <c r="E309" s="695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5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7"/>
      <c r="R309" s="697"/>
      <c r="S309" s="697"/>
      <c r="T309" s="69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95">
        <v>4680115886681</v>
      </c>
      <c r="E310" s="695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7"/>
      <c r="R310" s="697"/>
      <c r="S310" s="697"/>
      <c r="T310" s="698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95">
        <v>4680115886735</v>
      </c>
      <c r="E311" s="695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7"/>
      <c r="R311" s="697"/>
      <c r="S311" s="697"/>
      <c r="T311" s="69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03"/>
      <c r="B312" s="703"/>
      <c r="C312" s="703"/>
      <c r="D312" s="703"/>
      <c r="E312" s="703"/>
      <c r="F312" s="703"/>
      <c r="G312" s="703"/>
      <c r="H312" s="703"/>
      <c r="I312" s="703"/>
      <c r="J312" s="703"/>
      <c r="K312" s="703"/>
      <c r="L312" s="703"/>
      <c r="M312" s="703"/>
      <c r="N312" s="703"/>
      <c r="O312" s="704"/>
      <c r="P312" s="700" t="s">
        <v>40</v>
      </c>
      <c r="Q312" s="701"/>
      <c r="R312" s="701"/>
      <c r="S312" s="701"/>
      <c r="T312" s="701"/>
      <c r="U312" s="701"/>
      <c r="V312" s="702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703"/>
      <c r="B313" s="703"/>
      <c r="C313" s="703"/>
      <c r="D313" s="703"/>
      <c r="E313" s="703"/>
      <c r="F313" s="703"/>
      <c r="G313" s="703"/>
      <c r="H313" s="703"/>
      <c r="I313" s="703"/>
      <c r="J313" s="703"/>
      <c r="K313" s="703"/>
      <c r="L313" s="703"/>
      <c r="M313" s="703"/>
      <c r="N313" s="703"/>
      <c r="O313" s="704"/>
      <c r="P313" s="700" t="s">
        <v>40</v>
      </c>
      <c r="Q313" s="701"/>
      <c r="R313" s="701"/>
      <c r="S313" s="701"/>
      <c r="T313" s="701"/>
      <c r="U313" s="701"/>
      <c r="V313" s="702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93" t="s">
        <v>528</v>
      </c>
      <c r="B314" s="693"/>
      <c r="C314" s="693"/>
      <c r="D314" s="693"/>
      <c r="E314" s="693"/>
      <c r="F314" s="693"/>
      <c r="G314" s="693"/>
      <c r="H314" s="693"/>
      <c r="I314" s="693"/>
      <c r="J314" s="693"/>
      <c r="K314" s="693"/>
      <c r="L314" s="693"/>
      <c r="M314" s="693"/>
      <c r="N314" s="693"/>
      <c r="O314" s="693"/>
      <c r="P314" s="693"/>
      <c r="Q314" s="693"/>
      <c r="R314" s="693"/>
      <c r="S314" s="693"/>
      <c r="T314" s="693"/>
      <c r="U314" s="693"/>
      <c r="V314" s="693"/>
      <c r="W314" s="693"/>
      <c r="X314" s="693"/>
      <c r="Y314" s="693"/>
      <c r="Z314" s="693"/>
      <c r="AA314" s="65"/>
      <c r="AB314" s="65"/>
      <c r="AC314" s="79"/>
    </row>
    <row r="315" spans="1:68" ht="14.25" customHeight="1" x14ac:dyDescent="0.25">
      <c r="A315" s="694" t="s">
        <v>128</v>
      </c>
      <c r="B315" s="694"/>
      <c r="C315" s="694"/>
      <c r="D315" s="694"/>
      <c r="E315" s="694"/>
      <c r="F315" s="694"/>
      <c r="G315" s="694"/>
      <c r="H315" s="694"/>
      <c r="I315" s="694"/>
      <c r="J315" s="694"/>
      <c r="K315" s="694"/>
      <c r="L315" s="694"/>
      <c r="M315" s="694"/>
      <c r="N315" s="694"/>
      <c r="O315" s="694"/>
      <c r="P315" s="694"/>
      <c r="Q315" s="694"/>
      <c r="R315" s="694"/>
      <c r="S315" s="694"/>
      <c r="T315" s="694"/>
      <c r="U315" s="694"/>
      <c r="V315" s="694"/>
      <c r="W315" s="694"/>
      <c r="X315" s="694"/>
      <c r="Y315" s="694"/>
      <c r="Z315" s="694"/>
      <c r="AA315" s="66"/>
      <c r="AB315" s="66"/>
      <c r="AC315" s="80"/>
    </row>
    <row r="316" spans="1:68" ht="27" customHeight="1" x14ac:dyDescent="0.25">
      <c r="A316" s="63" t="s">
        <v>529</v>
      </c>
      <c r="B316" s="63" t="s">
        <v>530</v>
      </c>
      <c r="C316" s="36">
        <v>4301011855</v>
      </c>
      <c r="D316" s="695">
        <v>4680115885837</v>
      </c>
      <c r="E316" s="695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7"/>
      <c r="R316" s="697"/>
      <c r="S316" s="697"/>
      <c r="T316" s="69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532</v>
      </c>
      <c r="B317" s="63" t="s">
        <v>533</v>
      </c>
      <c r="C317" s="36">
        <v>4301012234</v>
      </c>
      <c r="D317" s="695">
        <v>4680115887237</v>
      </c>
      <c r="E317" s="695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7"/>
      <c r="R317" s="697"/>
      <c r="S317" s="697"/>
      <c r="T317" s="69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4301011850</v>
      </c>
      <c r="D318" s="695">
        <v>4680115885806</v>
      </c>
      <c r="E318" s="695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7"/>
      <c r="R318" s="697"/>
      <c r="S318" s="697"/>
      <c r="T318" s="69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538</v>
      </c>
      <c r="B319" s="63" t="s">
        <v>539</v>
      </c>
      <c r="C319" s="36">
        <v>4301011852</v>
      </c>
      <c r="D319" s="695">
        <v>4680115885844</v>
      </c>
      <c r="E319" s="695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7"/>
      <c r="R319" s="697"/>
      <c r="S319" s="697"/>
      <c r="T319" s="69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541</v>
      </c>
      <c r="B320" s="63" t="s">
        <v>542</v>
      </c>
      <c r="C320" s="36">
        <v>4301011851</v>
      </c>
      <c r="D320" s="695">
        <v>4680115885820</v>
      </c>
      <c r="E320" s="695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7"/>
      <c r="R320" s="697"/>
      <c r="S320" s="697"/>
      <c r="T320" s="698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703"/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3"/>
      <c r="N321" s="703"/>
      <c r="O321" s="704"/>
      <c r="P321" s="700" t="s">
        <v>40</v>
      </c>
      <c r="Q321" s="701"/>
      <c r="R321" s="701"/>
      <c r="S321" s="701"/>
      <c r="T321" s="701"/>
      <c r="U321" s="701"/>
      <c r="V321" s="702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703"/>
      <c r="B322" s="703"/>
      <c r="C322" s="703"/>
      <c r="D322" s="703"/>
      <c r="E322" s="703"/>
      <c r="F322" s="703"/>
      <c r="G322" s="703"/>
      <c r="H322" s="703"/>
      <c r="I322" s="703"/>
      <c r="J322" s="703"/>
      <c r="K322" s="703"/>
      <c r="L322" s="703"/>
      <c r="M322" s="703"/>
      <c r="N322" s="703"/>
      <c r="O322" s="704"/>
      <c r="P322" s="700" t="s">
        <v>40</v>
      </c>
      <c r="Q322" s="701"/>
      <c r="R322" s="701"/>
      <c r="S322" s="701"/>
      <c r="T322" s="701"/>
      <c r="U322" s="701"/>
      <c r="V322" s="702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93" t="s">
        <v>544</v>
      </c>
      <c r="B323" s="693"/>
      <c r="C323" s="693"/>
      <c r="D323" s="693"/>
      <c r="E323" s="693"/>
      <c r="F323" s="693"/>
      <c r="G323" s="693"/>
      <c r="H323" s="693"/>
      <c r="I323" s="693"/>
      <c r="J323" s="693"/>
      <c r="K323" s="693"/>
      <c r="L323" s="693"/>
      <c r="M323" s="693"/>
      <c r="N323" s="693"/>
      <c r="O323" s="693"/>
      <c r="P323" s="693"/>
      <c r="Q323" s="693"/>
      <c r="R323" s="693"/>
      <c r="S323" s="693"/>
      <c r="T323" s="693"/>
      <c r="U323" s="693"/>
      <c r="V323" s="693"/>
      <c r="W323" s="693"/>
      <c r="X323" s="693"/>
      <c r="Y323" s="693"/>
      <c r="Z323" s="693"/>
      <c r="AA323" s="65"/>
      <c r="AB323" s="65"/>
      <c r="AC323" s="79"/>
    </row>
    <row r="324" spans="1:68" ht="14.25" customHeight="1" x14ac:dyDescent="0.25">
      <c r="A324" s="694" t="s">
        <v>86</v>
      </c>
      <c r="B324" s="694"/>
      <c r="C324" s="694"/>
      <c r="D324" s="694"/>
      <c r="E324" s="694"/>
      <c r="F324" s="694"/>
      <c r="G324" s="694"/>
      <c r="H324" s="694"/>
      <c r="I324" s="694"/>
      <c r="J324" s="694"/>
      <c r="K324" s="694"/>
      <c r="L324" s="694"/>
      <c r="M324" s="694"/>
      <c r="N324" s="694"/>
      <c r="O324" s="694"/>
      <c r="P324" s="694"/>
      <c r="Q324" s="694"/>
      <c r="R324" s="694"/>
      <c r="S324" s="694"/>
      <c r="T324" s="694"/>
      <c r="U324" s="694"/>
      <c r="V324" s="694"/>
      <c r="W324" s="694"/>
      <c r="X324" s="694"/>
      <c r="Y324" s="694"/>
      <c r="Z324" s="694"/>
      <c r="AA324" s="66"/>
      <c r="AB324" s="66"/>
      <c r="AC324" s="80"/>
    </row>
    <row r="325" spans="1:68" ht="27" customHeight="1" x14ac:dyDescent="0.25">
      <c r="A325" s="63" t="s">
        <v>545</v>
      </c>
      <c r="B325" s="63" t="s">
        <v>546</v>
      </c>
      <c r="C325" s="36">
        <v>4301051893</v>
      </c>
      <c r="D325" s="695">
        <v>4680115886186</v>
      </c>
      <c r="E325" s="695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7"/>
      <c r="R325" s="697"/>
      <c r="S325" s="697"/>
      <c r="T325" s="69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95">
        <v>4680115881228</v>
      </c>
      <c r="E326" s="695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7"/>
      <c r="R326" s="697"/>
      <c r="S326" s="697"/>
      <c r="T326" s="69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95">
        <v>4680115881211</v>
      </c>
      <c r="E327" s="695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7"/>
      <c r="R327" s="697"/>
      <c r="S327" s="697"/>
      <c r="T327" s="69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703"/>
      <c r="B328" s="703"/>
      <c r="C328" s="703"/>
      <c r="D328" s="703"/>
      <c r="E328" s="703"/>
      <c r="F328" s="703"/>
      <c r="G328" s="703"/>
      <c r="H328" s="703"/>
      <c r="I328" s="703"/>
      <c r="J328" s="703"/>
      <c r="K328" s="703"/>
      <c r="L328" s="703"/>
      <c r="M328" s="703"/>
      <c r="N328" s="703"/>
      <c r="O328" s="704"/>
      <c r="P328" s="700" t="s">
        <v>40</v>
      </c>
      <c r="Q328" s="701"/>
      <c r="R328" s="701"/>
      <c r="S328" s="701"/>
      <c r="T328" s="701"/>
      <c r="U328" s="701"/>
      <c r="V328" s="702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703"/>
      <c r="B329" s="703"/>
      <c r="C329" s="703"/>
      <c r="D329" s="703"/>
      <c r="E329" s="703"/>
      <c r="F329" s="703"/>
      <c r="G329" s="703"/>
      <c r="H329" s="703"/>
      <c r="I329" s="703"/>
      <c r="J329" s="703"/>
      <c r="K329" s="703"/>
      <c r="L329" s="703"/>
      <c r="M329" s="703"/>
      <c r="N329" s="703"/>
      <c r="O329" s="704"/>
      <c r="P329" s="700" t="s">
        <v>40</v>
      </c>
      <c r="Q329" s="701"/>
      <c r="R329" s="701"/>
      <c r="S329" s="701"/>
      <c r="T329" s="701"/>
      <c r="U329" s="701"/>
      <c r="V329" s="702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93" t="s">
        <v>553</v>
      </c>
      <c r="B330" s="693"/>
      <c r="C330" s="693"/>
      <c r="D330" s="693"/>
      <c r="E330" s="693"/>
      <c r="F330" s="693"/>
      <c r="G330" s="693"/>
      <c r="H330" s="693"/>
      <c r="I330" s="693"/>
      <c r="J330" s="693"/>
      <c r="K330" s="693"/>
      <c r="L330" s="693"/>
      <c r="M330" s="693"/>
      <c r="N330" s="693"/>
      <c r="O330" s="693"/>
      <c r="P330" s="693"/>
      <c r="Q330" s="693"/>
      <c r="R330" s="693"/>
      <c r="S330" s="693"/>
      <c r="T330" s="693"/>
      <c r="U330" s="693"/>
      <c r="V330" s="693"/>
      <c r="W330" s="693"/>
      <c r="X330" s="693"/>
      <c r="Y330" s="693"/>
      <c r="Z330" s="693"/>
      <c r="AA330" s="65"/>
      <c r="AB330" s="65"/>
      <c r="AC330" s="79"/>
    </row>
    <row r="331" spans="1:68" ht="14.25" customHeight="1" x14ac:dyDescent="0.25">
      <c r="A331" s="694" t="s">
        <v>77</v>
      </c>
      <c r="B331" s="694"/>
      <c r="C331" s="694"/>
      <c r="D331" s="694"/>
      <c r="E331" s="694"/>
      <c r="F331" s="694"/>
      <c r="G331" s="694"/>
      <c r="H331" s="694"/>
      <c r="I331" s="694"/>
      <c r="J331" s="694"/>
      <c r="K331" s="694"/>
      <c r="L331" s="694"/>
      <c r="M331" s="694"/>
      <c r="N331" s="694"/>
      <c r="O331" s="694"/>
      <c r="P331" s="694"/>
      <c r="Q331" s="694"/>
      <c r="R331" s="694"/>
      <c r="S331" s="694"/>
      <c r="T331" s="694"/>
      <c r="U331" s="694"/>
      <c r="V331" s="694"/>
      <c r="W331" s="694"/>
      <c r="X331" s="694"/>
      <c r="Y331" s="694"/>
      <c r="Z331" s="694"/>
      <c r="AA331" s="66"/>
      <c r="AB331" s="66"/>
      <c r="AC331" s="80"/>
    </row>
    <row r="332" spans="1:68" ht="27" customHeight="1" x14ac:dyDescent="0.25">
      <c r="A332" s="63" t="s">
        <v>554</v>
      </c>
      <c r="B332" s="63" t="s">
        <v>555</v>
      </c>
      <c r="C332" s="36">
        <v>4301031445</v>
      </c>
      <c r="D332" s="695">
        <v>4680115888319</v>
      </c>
      <c r="E332" s="695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7"/>
      <c r="R332" s="697"/>
      <c r="S332" s="697"/>
      <c r="T332" s="69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4301031502</v>
      </c>
      <c r="D333" s="695">
        <v>4680115884700</v>
      </c>
      <c r="E333" s="695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7"/>
      <c r="R333" s="697"/>
      <c r="S333" s="697"/>
      <c r="T333" s="69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4301031307</v>
      </c>
      <c r="D334" s="695">
        <v>4680115880344</v>
      </c>
      <c r="E334" s="695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7"/>
      <c r="R334" s="697"/>
      <c r="S334" s="697"/>
      <c r="T334" s="69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562</v>
      </c>
      <c r="B335" s="63" t="s">
        <v>563</v>
      </c>
      <c r="C335" s="36">
        <v>4301031501</v>
      </c>
      <c r="D335" s="695">
        <v>4680115886919</v>
      </c>
      <c r="E335" s="69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7"/>
      <c r="R335" s="697"/>
      <c r="S335" s="697"/>
      <c r="T335" s="69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565</v>
      </c>
      <c r="B336" s="63" t="s">
        <v>566</v>
      </c>
      <c r="C336" s="36">
        <v>4301031246</v>
      </c>
      <c r="D336" s="695">
        <v>4680115883970</v>
      </c>
      <c r="E336" s="695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7"/>
      <c r="R336" s="697"/>
      <c r="S336" s="697"/>
      <c r="T336" s="69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703"/>
      <c r="B337" s="703"/>
      <c r="C337" s="703"/>
      <c r="D337" s="703"/>
      <c r="E337" s="703"/>
      <c r="F337" s="703"/>
      <c r="G337" s="703"/>
      <c r="H337" s="703"/>
      <c r="I337" s="703"/>
      <c r="J337" s="703"/>
      <c r="K337" s="703"/>
      <c r="L337" s="703"/>
      <c r="M337" s="703"/>
      <c r="N337" s="703"/>
      <c r="O337" s="704"/>
      <c r="P337" s="700" t="s">
        <v>40</v>
      </c>
      <c r="Q337" s="701"/>
      <c r="R337" s="701"/>
      <c r="S337" s="701"/>
      <c r="T337" s="701"/>
      <c r="U337" s="701"/>
      <c r="V337" s="702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703"/>
      <c r="B338" s="703"/>
      <c r="C338" s="703"/>
      <c r="D338" s="703"/>
      <c r="E338" s="703"/>
      <c r="F338" s="703"/>
      <c r="G338" s="703"/>
      <c r="H338" s="703"/>
      <c r="I338" s="703"/>
      <c r="J338" s="703"/>
      <c r="K338" s="703"/>
      <c r="L338" s="703"/>
      <c r="M338" s="703"/>
      <c r="N338" s="703"/>
      <c r="O338" s="704"/>
      <c r="P338" s="700" t="s">
        <v>40</v>
      </c>
      <c r="Q338" s="701"/>
      <c r="R338" s="701"/>
      <c r="S338" s="701"/>
      <c r="T338" s="701"/>
      <c r="U338" s="701"/>
      <c r="V338" s="702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94" t="s">
        <v>86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66"/>
      <c r="AB339" s="66"/>
      <c r="AC339" s="80"/>
    </row>
    <row r="340" spans="1:68" ht="27" customHeight="1" x14ac:dyDescent="0.25">
      <c r="A340" s="63" t="s">
        <v>568</v>
      </c>
      <c r="B340" s="63" t="s">
        <v>569</v>
      </c>
      <c r="C340" s="36">
        <v>4301051782</v>
      </c>
      <c r="D340" s="695">
        <v>4680115884618</v>
      </c>
      <c r="E340" s="695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7"/>
      <c r="R340" s="697"/>
      <c r="S340" s="697"/>
      <c r="T340" s="69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4301052057</v>
      </c>
      <c r="D341" s="695">
        <v>4680115887114</v>
      </c>
      <c r="E341" s="695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7"/>
      <c r="R341" s="697"/>
      <c r="S341" s="697"/>
      <c r="T341" s="69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703"/>
      <c r="B342" s="703"/>
      <c r="C342" s="703"/>
      <c r="D342" s="703"/>
      <c r="E342" s="703"/>
      <c r="F342" s="703"/>
      <c r="G342" s="703"/>
      <c r="H342" s="703"/>
      <c r="I342" s="703"/>
      <c r="J342" s="703"/>
      <c r="K342" s="703"/>
      <c r="L342" s="703"/>
      <c r="M342" s="703"/>
      <c r="N342" s="703"/>
      <c r="O342" s="704"/>
      <c r="P342" s="700" t="s">
        <v>40</v>
      </c>
      <c r="Q342" s="701"/>
      <c r="R342" s="701"/>
      <c r="S342" s="701"/>
      <c r="T342" s="701"/>
      <c r="U342" s="701"/>
      <c r="V342" s="702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703"/>
      <c r="B343" s="703"/>
      <c r="C343" s="703"/>
      <c r="D343" s="703"/>
      <c r="E343" s="703"/>
      <c r="F343" s="703"/>
      <c r="G343" s="703"/>
      <c r="H343" s="703"/>
      <c r="I343" s="703"/>
      <c r="J343" s="703"/>
      <c r="K343" s="703"/>
      <c r="L343" s="703"/>
      <c r="M343" s="703"/>
      <c r="N343" s="703"/>
      <c r="O343" s="704"/>
      <c r="P343" s="700" t="s">
        <v>40</v>
      </c>
      <c r="Q343" s="701"/>
      <c r="R343" s="701"/>
      <c r="S343" s="701"/>
      <c r="T343" s="701"/>
      <c r="U343" s="701"/>
      <c r="V343" s="702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93" t="s">
        <v>574</v>
      </c>
      <c r="B344" s="693"/>
      <c r="C344" s="693"/>
      <c r="D344" s="693"/>
      <c r="E344" s="693"/>
      <c r="F344" s="693"/>
      <c r="G344" s="693"/>
      <c r="H344" s="693"/>
      <c r="I344" s="693"/>
      <c r="J344" s="693"/>
      <c r="K344" s="693"/>
      <c r="L344" s="693"/>
      <c r="M344" s="693"/>
      <c r="N344" s="693"/>
      <c r="O344" s="693"/>
      <c r="P344" s="693"/>
      <c r="Q344" s="693"/>
      <c r="R344" s="693"/>
      <c r="S344" s="693"/>
      <c r="T344" s="693"/>
      <c r="U344" s="693"/>
      <c r="V344" s="693"/>
      <c r="W344" s="693"/>
      <c r="X344" s="693"/>
      <c r="Y344" s="693"/>
      <c r="Z344" s="693"/>
      <c r="AA344" s="65"/>
      <c r="AB344" s="65"/>
      <c r="AC344" s="79"/>
    </row>
    <row r="345" spans="1:68" ht="14.25" customHeight="1" x14ac:dyDescent="0.25">
      <c r="A345" s="694" t="s">
        <v>128</v>
      </c>
      <c r="B345" s="694"/>
      <c r="C345" s="694"/>
      <c r="D345" s="694"/>
      <c r="E345" s="694"/>
      <c r="F345" s="694"/>
      <c r="G345" s="694"/>
      <c r="H345" s="694"/>
      <c r="I345" s="694"/>
      <c r="J345" s="694"/>
      <c r="K345" s="694"/>
      <c r="L345" s="694"/>
      <c r="M345" s="694"/>
      <c r="N345" s="694"/>
      <c r="O345" s="694"/>
      <c r="P345" s="694"/>
      <c r="Q345" s="694"/>
      <c r="R345" s="694"/>
      <c r="S345" s="694"/>
      <c r="T345" s="694"/>
      <c r="U345" s="694"/>
      <c r="V345" s="694"/>
      <c r="W345" s="694"/>
      <c r="X345" s="694"/>
      <c r="Y345" s="694"/>
      <c r="Z345" s="694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95">
        <v>4680115887947</v>
      </c>
      <c r="E346" s="695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7"/>
      <c r="R346" s="697"/>
      <c r="S346" s="697"/>
      <c r="T346" s="69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95">
        <v>4680115887978</v>
      </c>
      <c r="E347" s="695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7"/>
      <c r="R347" s="697"/>
      <c r="S347" s="697"/>
      <c r="T347" s="69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95">
        <v>4680115887992</v>
      </c>
      <c r="E348" s="695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7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7"/>
      <c r="R348" s="697"/>
      <c r="S348" s="697"/>
      <c r="T348" s="69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03"/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4"/>
      <c r="P349" s="700" t="s">
        <v>40</v>
      </c>
      <c r="Q349" s="701"/>
      <c r="R349" s="701"/>
      <c r="S349" s="701"/>
      <c r="T349" s="701"/>
      <c r="U349" s="701"/>
      <c r="V349" s="702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03"/>
      <c r="B350" s="703"/>
      <c r="C350" s="703"/>
      <c r="D350" s="703"/>
      <c r="E350" s="703"/>
      <c r="F350" s="703"/>
      <c r="G350" s="703"/>
      <c r="H350" s="703"/>
      <c r="I350" s="703"/>
      <c r="J350" s="703"/>
      <c r="K350" s="703"/>
      <c r="L350" s="703"/>
      <c r="M350" s="703"/>
      <c r="N350" s="703"/>
      <c r="O350" s="704"/>
      <c r="P350" s="700" t="s">
        <v>40</v>
      </c>
      <c r="Q350" s="701"/>
      <c r="R350" s="701"/>
      <c r="S350" s="701"/>
      <c r="T350" s="701"/>
      <c r="U350" s="701"/>
      <c r="V350" s="702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93" t="s">
        <v>583</v>
      </c>
      <c r="B351" s="693"/>
      <c r="C351" s="693"/>
      <c r="D351" s="693"/>
      <c r="E351" s="693"/>
      <c r="F351" s="693"/>
      <c r="G351" s="693"/>
      <c r="H351" s="693"/>
      <c r="I351" s="693"/>
      <c r="J351" s="693"/>
      <c r="K351" s="693"/>
      <c r="L351" s="693"/>
      <c r="M351" s="693"/>
      <c r="N351" s="693"/>
      <c r="O351" s="693"/>
      <c r="P351" s="693"/>
      <c r="Q351" s="693"/>
      <c r="R351" s="693"/>
      <c r="S351" s="693"/>
      <c r="T351" s="693"/>
      <c r="U351" s="693"/>
      <c r="V351" s="693"/>
      <c r="W351" s="693"/>
      <c r="X351" s="693"/>
      <c r="Y351" s="693"/>
      <c r="Z351" s="693"/>
      <c r="AA351" s="65"/>
      <c r="AB351" s="65"/>
      <c r="AC351" s="79"/>
    </row>
    <row r="352" spans="1:68" ht="14.25" customHeight="1" x14ac:dyDescent="0.25">
      <c r="A352" s="694" t="s">
        <v>128</v>
      </c>
      <c r="B352" s="694"/>
      <c r="C352" s="694"/>
      <c r="D352" s="694"/>
      <c r="E352" s="694"/>
      <c r="F352" s="694"/>
      <c r="G352" s="694"/>
      <c r="H352" s="694"/>
      <c r="I352" s="694"/>
      <c r="J352" s="694"/>
      <c r="K352" s="694"/>
      <c r="L352" s="694"/>
      <c r="M352" s="694"/>
      <c r="N352" s="694"/>
      <c r="O352" s="694"/>
      <c r="P352" s="694"/>
      <c r="Q352" s="694"/>
      <c r="R352" s="694"/>
      <c r="S352" s="694"/>
      <c r="T352" s="694"/>
      <c r="U352" s="694"/>
      <c r="V352" s="694"/>
      <c r="W352" s="694"/>
      <c r="X352" s="694"/>
      <c r="Y352" s="694"/>
      <c r="Z352" s="694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4301012235</v>
      </c>
      <c r="D353" s="695">
        <v>4680115887190</v>
      </c>
      <c r="E353" s="695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97"/>
      <c r="R353" s="697"/>
      <c r="S353" s="697"/>
      <c r="T353" s="69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37.5" customHeight="1" x14ac:dyDescent="0.25">
      <c r="A354" s="63" t="s">
        <v>587</v>
      </c>
      <c r="B354" s="63" t="s">
        <v>588</v>
      </c>
      <c r="C354" s="36">
        <v>4301012233</v>
      </c>
      <c r="D354" s="695">
        <v>4680115887138</v>
      </c>
      <c r="E354" s="695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97"/>
      <c r="R354" s="697"/>
      <c r="S354" s="697"/>
      <c r="T354" s="69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590</v>
      </c>
      <c r="B355" s="63" t="s">
        <v>591</v>
      </c>
      <c r="C355" s="36">
        <v>4301012016</v>
      </c>
      <c r="D355" s="695">
        <v>4680115885554</v>
      </c>
      <c r="E355" s="695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90</v>
      </c>
      <c r="N355" s="38"/>
      <c r="O355" s="37">
        <v>55</v>
      </c>
      <c r="P355" s="88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97"/>
      <c r="R355" s="697"/>
      <c r="S355" s="697"/>
      <c r="T355" s="69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593</v>
      </c>
      <c r="B356" s="63" t="s">
        <v>594</v>
      </c>
      <c r="C356" s="36">
        <v>4301012236</v>
      </c>
      <c r="D356" s="695">
        <v>4680115887220</v>
      </c>
      <c r="E356" s="695"/>
      <c r="F356" s="62">
        <v>0.4</v>
      </c>
      <c r="G356" s="37">
        <v>10</v>
      </c>
      <c r="H356" s="62">
        <v>4</v>
      </c>
      <c r="I356" s="62">
        <v>4.1900000000000004</v>
      </c>
      <c r="J356" s="37">
        <v>132</v>
      </c>
      <c r="K356" s="37" t="s">
        <v>140</v>
      </c>
      <c r="L356" s="37" t="s">
        <v>46</v>
      </c>
      <c r="M356" s="38" t="s">
        <v>132</v>
      </c>
      <c r="N356" s="38"/>
      <c r="O356" s="37">
        <v>55</v>
      </c>
      <c r="P356" s="88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97"/>
      <c r="R356" s="697"/>
      <c r="S356" s="697"/>
      <c r="T356" s="69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IFERROR(IF(Y356=0,"",ROUNDUP(Y356/H356,0)*0.00902),"")</f>
        <v/>
      </c>
      <c r="AA356" s="68" t="s">
        <v>46</v>
      </c>
      <c r="AB356" s="69" t="s">
        <v>46</v>
      </c>
      <c r="AC356" s="444" t="s">
        <v>586</v>
      </c>
      <c r="AG356" s="78"/>
      <c r="AJ356" s="84" t="s">
        <v>46</v>
      </c>
      <c r="AK356" s="84">
        <v>0</v>
      </c>
      <c r="BB356" s="445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595</v>
      </c>
      <c r="B357" s="63" t="s">
        <v>596</v>
      </c>
      <c r="C357" s="36">
        <v>4301011859</v>
      </c>
      <c r="D357" s="695">
        <v>4680115885608</v>
      </c>
      <c r="E357" s="695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97"/>
      <c r="R357" s="697"/>
      <c r="S357" s="697"/>
      <c r="T357" s="698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597</v>
      </c>
      <c r="AG357" s="78"/>
      <c r="AJ357" s="84" t="s">
        <v>46</v>
      </c>
      <c r="AK357" s="84">
        <v>0</v>
      </c>
      <c r="BB357" s="447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703"/>
      <c r="B358" s="703"/>
      <c r="C358" s="703"/>
      <c r="D358" s="703"/>
      <c r="E358" s="703"/>
      <c r="F358" s="703"/>
      <c r="G358" s="703"/>
      <c r="H358" s="703"/>
      <c r="I358" s="703"/>
      <c r="J358" s="703"/>
      <c r="K358" s="703"/>
      <c r="L358" s="703"/>
      <c r="M358" s="703"/>
      <c r="N358" s="703"/>
      <c r="O358" s="704"/>
      <c r="P358" s="700" t="s">
        <v>40</v>
      </c>
      <c r="Q358" s="701"/>
      <c r="R358" s="701"/>
      <c r="S358" s="701"/>
      <c r="T358" s="701"/>
      <c r="U358" s="701"/>
      <c r="V358" s="702"/>
      <c r="W358" s="42" t="s">
        <v>39</v>
      </c>
      <c r="X358" s="43">
        <f>IFERROR(X353/H353,"0")+IFERROR(X354/H354,"0")+IFERROR(X355/H355,"0")+IFERROR(X356/H356,"0")+IFERROR(X357/H357,"0")</f>
        <v>0</v>
      </c>
      <c r="Y358" s="43">
        <f>IFERROR(Y353/H353,"0")+IFERROR(Y354/H354,"0")+IFERROR(Y355/H355,"0")+IFERROR(Y356/H356,"0")+IFERROR(Y357/H357,"0")</f>
        <v>0</v>
      </c>
      <c r="Z358" s="43">
        <f>IFERROR(IF(Z353="",0,Z353),"0")+IFERROR(IF(Z354="",0,Z354),"0")+IFERROR(IF(Z355="",0,Z355),"0")+IFERROR(IF(Z356="",0,Z356),"0")+IFERROR(IF(Z357="",0,Z357),"0")</f>
        <v>0</v>
      </c>
      <c r="AA358" s="67"/>
      <c r="AB358" s="67"/>
      <c r="AC358" s="67"/>
    </row>
    <row r="359" spans="1:68" x14ac:dyDescent="0.2">
      <c r="A359" s="703"/>
      <c r="B359" s="703"/>
      <c r="C359" s="703"/>
      <c r="D359" s="703"/>
      <c r="E359" s="703"/>
      <c r="F359" s="703"/>
      <c r="G359" s="703"/>
      <c r="H359" s="703"/>
      <c r="I359" s="703"/>
      <c r="J359" s="703"/>
      <c r="K359" s="703"/>
      <c r="L359" s="703"/>
      <c r="M359" s="703"/>
      <c r="N359" s="703"/>
      <c r="O359" s="704"/>
      <c r="P359" s="700" t="s">
        <v>40</v>
      </c>
      <c r="Q359" s="701"/>
      <c r="R359" s="701"/>
      <c r="S359" s="701"/>
      <c r="T359" s="701"/>
      <c r="U359" s="701"/>
      <c r="V359" s="702"/>
      <c r="W359" s="42" t="s">
        <v>0</v>
      </c>
      <c r="X359" s="43">
        <f>IFERROR(SUM(X353:X357),"0")</f>
        <v>0</v>
      </c>
      <c r="Y359" s="43">
        <f>IFERROR(SUM(Y353:Y357),"0")</f>
        <v>0</v>
      </c>
      <c r="Z359" s="42"/>
      <c r="AA359" s="67"/>
      <c r="AB359" s="67"/>
      <c r="AC359" s="67"/>
    </row>
    <row r="360" spans="1:68" ht="14.25" customHeight="1" x14ac:dyDescent="0.25">
      <c r="A360" s="694" t="s">
        <v>77</v>
      </c>
      <c r="B360" s="694"/>
      <c r="C360" s="694"/>
      <c r="D360" s="694"/>
      <c r="E360" s="694"/>
      <c r="F360" s="694"/>
      <c r="G360" s="694"/>
      <c r="H360" s="694"/>
      <c r="I360" s="694"/>
      <c r="J360" s="694"/>
      <c r="K360" s="694"/>
      <c r="L360" s="694"/>
      <c r="M360" s="694"/>
      <c r="N360" s="694"/>
      <c r="O360" s="694"/>
      <c r="P360" s="694"/>
      <c r="Q360" s="694"/>
      <c r="R360" s="694"/>
      <c r="S360" s="694"/>
      <c r="T360" s="694"/>
      <c r="U360" s="694"/>
      <c r="V360" s="694"/>
      <c r="W360" s="694"/>
      <c r="X360" s="694"/>
      <c r="Y360" s="694"/>
      <c r="Z360" s="694"/>
      <c r="AA360" s="66"/>
      <c r="AB360" s="66"/>
      <c r="AC360" s="80"/>
    </row>
    <row r="361" spans="1:68" ht="27" customHeight="1" x14ac:dyDescent="0.25">
      <c r="A361" s="63" t="s">
        <v>598</v>
      </c>
      <c r="B361" s="63" t="s">
        <v>599</v>
      </c>
      <c r="C361" s="36">
        <v>4301030878</v>
      </c>
      <c r="D361" s="695">
        <v>4607091387193</v>
      </c>
      <c r="E361" s="695"/>
      <c r="F361" s="62">
        <v>0.7</v>
      </c>
      <c r="G361" s="37">
        <v>6</v>
      </c>
      <c r="H361" s="62">
        <v>4.2</v>
      </c>
      <c r="I361" s="62">
        <v>4.45</v>
      </c>
      <c r="J361" s="37">
        <v>132</v>
      </c>
      <c r="K361" s="37" t="s">
        <v>140</v>
      </c>
      <c r="L361" s="37" t="s">
        <v>46</v>
      </c>
      <c r="M361" s="38" t="s">
        <v>81</v>
      </c>
      <c r="N361" s="38"/>
      <c r="O361" s="37">
        <v>35</v>
      </c>
      <c r="P361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97"/>
      <c r="R361" s="697"/>
      <c r="S361" s="697"/>
      <c r="T361" s="69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7" si="42">IFERROR(IF(X361="",0,CEILING((X361/$H361),1)*$H361),"")</f>
        <v>0</v>
      </c>
      <c r="Z361" s="41" t="str">
        <f>IFERROR(IF(Y361=0,"",ROUNDUP(Y361/H361,0)*0.00902),"")</f>
        <v/>
      </c>
      <c r="AA361" s="68" t="s">
        <v>46</v>
      </c>
      <c r="AB361" s="69" t="s">
        <v>46</v>
      </c>
      <c r="AC361" s="448" t="s">
        <v>600</v>
      </c>
      <c r="AG361" s="78"/>
      <c r="AJ361" s="84" t="s">
        <v>46</v>
      </c>
      <c r="AK361" s="84">
        <v>0</v>
      </c>
      <c r="BB361" s="449" t="s">
        <v>67</v>
      </c>
      <c r="BM361" s="78">
        <f t="shared" ref="BM361:BM367" si="43">IFERROR(X361*I361/H361,"0")</f>
        <v>0</v>
      </c>
      <c r="BN361" s="78">
        <f t="shared" ref="BN361:BN367" si="44">IFERROR(Y361*I361/H361,"0")</f>
        <v>0</v>
      </c>
      <c r="BO361" s="78">
        <f t="shared" ref="BO361:BO367" si="45">IFERROR(1/J361*(X361/H361),"0")</f>
        <v>0</v>
      </c>
      <c r="BP361" s="78">
        <f t="shared" ref="BP361:BP367" si="46">IFERROR(1/J361*(Y361/H361),"0")</f>
        <v>0</v>
      </c>
    </row>
    <row r="362" spans="1:68" ht="27" customHeight="1" x14ac:dyDescent="0.25">
      <c r="A362" s="63" t="s">
        <v>601</v>
      </c>
      <c r="B362" s="63" t="s">
        <v>602</v>
      </c>
      <c r="C362" s="36">
        <v>4301031153</v>
      </c>
      <c r="D362" s="695">
        <v>4607091387230</v>
      </c>
      <c r="E362" s="695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40</v>
      </c>
      <c r="P362" s="88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97"/>
      <c r="R362" s="697"/>
      <c r="S362" s="697"/>
      <c r="T362" s="69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2"/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si="43"/>
        <v>0</v>
      </c>
      <c r="BN362" s="78">
        <f t="shared" si="44"/>
        <v>0</v>
      </c>
      <c r="BO362" s="78">
        <f t="shared" si="45"/>
        <v>0</v>
      </c>
      <c r="BP362" s="78">
        <f t="shared" si="46"/>
        <v>0</v>
      </c>
    </row>
    <row r="363" spans="1:68" ht="27" customHeight="1" x14ac:dyDescent="0.25">
      <c r="A363" s="63" t="s">
        <v>604</v>
      </c>
      <c r="B363" s="63" t="s">
        <v>605</v>
      </c>
      <c r="C363" s="36">
        <v>4301031154</v>
      </c>
      <c r="D363" s="695">
        <v>4607091387292</v>
      </c>
      <c r="E363" s="695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45</v>
      </c>
      <c r="P363" s="8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97"/>
      <c r="R363" s="697"/>
      <c r="S363" s="697"/>
      <c r="T363" s="69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3"/>
        <v>0</v>
      </c>
      <c r="BN363" s="78">
        <f t="shared" si="44"/>
        <v>0</v>
      </c>
      <c r="BO363" s="78">
        <f t="shared" si="45"/>
        <v>0</v>
      </c>
      <c r="BP363" s="78">
        <f t="shared" si="46"/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4301031152</v>
      </c>
      <c r="D364" s="695">
        <v>4607091387285</v>
      </c>
      <c r="E364" s="695"/>
      <c r="F364" s="62">
        <v>0.35</v>
      </c>
      <c r="G364" s="37">
        <v>6</v>
      </c>
      <c r="H364" s="62">
        <v>2.1</v>
      </c>
      <c r="I364" s="62">
        <v>2.23</v>
      </c>
      <c r="J364" s="37">
        <v>234</v>
      </c>
      <c r="K364" s="37" t="s">
        <v>82</v>
      </c>
      <c r="L364" s="37" t="s">
        <v>46</v>
      </c>
      <c r="M364" s="38" t="s">
        <v>81</v>
      </c>
      <c r="N364" s="38"/>
      <c r="O364" s="37">
        <v>40</v>
      </c>
      <c r="P364" s="88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97"/>
      <c r="R364" s="697"/>
      <c r="S364" s="697"/>
      <c r="T364" s="69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IFERROR(IF(Y364=0,"",ROUNDUP(Y364/H364,0)*0.00502),"")</f>
        <v/>
      </c>
      <c r="AA364" s="68" t="s">
        <v>46</v>
      </c>
      <c r="AB364" s="69" t="s">
        <v>46</v>
      </c>
      <c r="AC364" s="454" t="s">
        <v>603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27" customHeight="1" x14ac:dyDescent="0.25">
      <c r="A365" s="63" t="s">
        <v>609</v>
      </c>
      <c r="B365" s="63" t="s">
        <v>610</v>
      </c>
      <c r="C365" s="36">
        <v>4301031305</v>
      </c>
      <c r="D365" s="695">
        <v>4607091389845</v>
      </c>
      <c r="E365" s="695"/>
      <c r="F365" s="62">
        <v>0.35</v>
      </c>
      <c r="G365" s="37">
        <v>6</v>
      </c>
      <c r="H365" s="62">
        <v>2.1</v>
      </c>
      <c r="I365" s="62">
        <v>2.2000000000000002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97"/>
      <c r="R365" s="697"/>
      <c r="S365" s="697"/>
      <c r="T365" s="69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4301031460</v>
      </c>
      <c r="D366" s="695">
        <v>4680115887442</v>
      </c>
      <c r="E366" s="695"/>
      <c r="F366" s="62">
        <v>0.73</v>
      </c>
      <c r="G366" s="37">
        <v>6</v>
      </c>
      <c r="H366" s="62">
        <v>4.38</v>
      </c>
      <c r="I366" s="62">
        <v>4.63</v>
      </c>
      <c r="J366" s="37">
        <v>132</v>
      </c>
      <c r="K366" s="37" t="s">
        <v>140</v>
      </c>
      <c r="L366" s="37" t="s">
        <v>46</v>
      </c>
      <c r="M366" s="38" t="s">
        <v>81</v>
      </c>
      <c r="N366" s="38"/>
      <c r="O366" s="37">
        <v>45</v>
      </c>
      <c r="P366" s="88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97"/>
      <c r="R366" s="697"/>
      <c r="S366" s="697"/>
      <c r="T366" s="69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614</v>
      </c>
      <c r="B367" s="63" t="s">
        <v>615</v>
      </c>
      <c r="C367" s="36">
        <v>4301031066</v>
      </c>
      <c r="D367" s="695">
        <v>4607091383836</v>
      </c>
      <c r="E367" s="695"/>
      <c r="F367" s="62">
        <v>0.3</v>
      </c>
      <c r="G367" s="37">
        <v>6</v>
      </c>
      <c r="H367" s="62">
        <v>1.8</v>
      </c>
      <c r="I367" s="62">
        <v>2.028</v>
      </c>
      <c r="J367" s="37">
        <v>182</v>
      </c>
      <c r="K367" s="37" t="s">
        <v>91</v>
      </c>
      <c r="L367" s="37" t="s">
        <v>46</v>
      </c>
      <c r="M367" s="38" t="s">
        <v>81</v>
      </c>
      <c r="N367" s="38"/>
      <c r="O367" s="37">
        <v>40</v>
      </c>
      <c r="P367" s="8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97"/>
      <c r="R367" s="697"/>
      <c r="S367" s="697"/>
      <c r="T367" s="69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IFERROR(IF(Y367=0,"",ROUNDUP(Y367/H367,0)*0.00651),"")</f>
        <v/>
      </c>
      <c r="AA367" s="68" t="s">
        <v>46</v>
      </c>
      <c r="AB367" s="69" t="s">
        <v>46</v>
      </c>
      <c r="AC367" s="460" t="s">
        <v>616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x14ac:dyDescent="0.2">
      <c r="A368" s="703"/>
      <c r="B368" s="703"/>
      <c r="C368" s="703"/>
      <c r="D368" s="703"/>
      <c r="E368" s="703"/>
      <c r="F368" s="703"/>
      <c r="G368" s="703"/>
      <c r="H368" s="703"/>
      <c r="I368" s="703"/>
      <c r="J368" s="703"/>
      <c r="K368" s="703"/>
      <c r="L368" s="703"/>
      <c r="M368" s="703"/>
      <c r="N368" s="703"/>
      <c r="O368" s="704"/>
      <c r="P368" s="700" t="s">
        <v>40</v>
      </c>
      <c r="Q368" s="701"/>
      <c r="R368" s="701"/>
      <c r="S368" s="701"/>
      <c r="T368" s="701"/>
      <c r="U368" s="701"/>
      <c r="V368" s="702"/>
      <c r="W368" s="42" t="s">
        <v>39</v>
      </c>
      <c r="X368" s="43">
        <f>IFERROR(X361/H361,"0")+IFERROR(X362/H362,"0")+IFERROR(X363/H363,"0")+IFERROR(X364/H364,"0")+IFERROR(X365/H365,"0")+IFERROR(X366/H366,"0")+IFERROR(X367/H367,"0")</f>
        <v>0</v>
      </c>
      <c r="Y368" s="43">
        <f>IFERROR(Y361/H361,"0")+IFERROR(Y362/H362,"0")+IFERROR(Y363/H363,"0")+IFERROR(Y364/H364,"0")+IFERROR(Y365/H365,"0")+IFERROR(Y366/H366,"0")+IFERROR(Y367/H367,"0")</f>
        <v>0</v>
      </c>
      <c r="Z368" s="43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703"/>
      <c r="B369" s="703"/>
      <c r="C369" s="703"/>
      <c r="D369" s="703"/>
      <c r="E369" s="703"/>
      <c r="F369" s="703"/>
      <c r="G369" s="703"/>
      <c r="H369" s="703"/>
      <c r="I369" s="703"/>
      <c r="J369" s="703"/>
      <c r="K369" s="703"/>
      <c r="L369" s="703"/>
      <c r="M369" s="703"/>
      <c r="N369" s="703"/>
      <c r="O369" s="704"/>
      <c r="P369" s="700" t="s">
        <v>40</v>
      </c>
      <c r="Q369" s="701"/>
      <c r="R369" s="701"/>
      <c r="S369" s="701"/>
      <c r="T369" s="701"/>
      <c r="U369" s="701"/>
      <c r="V369" s="702"/>
      <c r="W369" s="42" t="s">
        <v>0</v>
      </c>
      <c r="X369" s="43">
        <f>IFERROR(SUM(X361:X367),"0")</f>
        <v>0</v>
      </c>
      <c r="Y369" s="43">
        <f>IFERROR(SUM(Y361:Y367),"0")</f>
        <v>0</v>
      </c>
      <c r="Z369" s="42"/>
      <c r="AA369" s="67"/>
      <c r="AB369" s="67"/>
      <c r="AC369" s="67"/>
    </row>
    <row r="370" spans="1:68" ht="14.25" customHeight="1" x14ac:dyDescent="0.25">
      <c r="A370" s="694" t="s">
        <v>86</v>
      </c>
      <c r="B370" s="694"/>
      <c r="C370" s="694"/>
      <c r="D370" s="694"/>
      <c r="E370" s="694"/>
      <c r="F370" s="694"/>
      <c r="G370" s="694"/>
      <c r="H370" s="694"/>
      <c r="I370" s="694"/>
      <c r="J370" s="694"/>
      <c r="K370" s="694"/>
      <c r="L370" s="694"/>
      <c r="M370" s="694"/>
      <c r="N370" s="694"/>
      <c r="O370" s="694"/>
      <c r="P370" s="694"/>
      <c r="Q370" s="694"/>
      <c r="R370" s="694"/>
      <c r="S370" s="694"/>
      <c r="T370" s="694"/>
      <c r="U370" s="694"/>
      <c r="V370" s="694"/>
      <c r="W370" s="694"/>
      <c r="X370" s="694"/>
      <c r="Y370" s="694"/>
      <c r="Z370" s="694"/>
      <c r="AA370" s="66"/>
      <c r="AB370" s="66"/>
      <c r="AC370" s="80"/>
    </row>
    <row r="371" spans="1:68" ht="27" customHeight="1" x14ac:dyDescent="0.25">
      <c r="A371" s="63" t="s">
        <v>617</v>
      </c>
      <c r="B371" s="63" t="s">
        <v>618</v>
      </c>
      <c r="C371" s="36">
        <v>4301051100</v>
      </c>
      <c r="D371" s="695">
        <v>4607091387766</v>
      </c>
      <c r="E371" s="695"/>
      <c r="F371" s="62">
        <v>1.3</v>
      </c>
      <c r="G371" s="37">
        <v>6</v>
      </c>
      <c r="H371" s="62">
        <v>7.8</v>
      </c>
      <c r="I371" s="62">
        <v>8.2880000000000003</v>
      </c>
      <c r="J371" s="37">
        <v>64</v>
      </c>
      <c r="K371" s="37" t="s">
        <v>133</v>
      </c>
      <c r="L371" s="37" t="s">
        <v>46</v>
      </c>
      <c r="M371" s="38" t="s">
        <v>90</v>
      </c>
      <c r="N371" s="38"/>
      <c r="O371" s="37">
        <v>40</v>
      </c>
      <c r="P371" s="89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97"/>
      <c r="R371" s="697"/>
      <c r="S371" s="697"/>
      <c r="T371" s="698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2" t="s">
        <v>619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620</v>
      </c>
      <c r="B372" s="63" t="s">
        <v>621</v>
      </c>
      <c r="C372" s="36">
        <v>4301051818</v>
      </c>
      <c r="D372" s="695">
        <v>4607091387957</v>
      </c>
      <c r="E372" s="695"/>
      <c r="F372" s="62">
        <v>1.3</v>
      </c>
      <c r="G372" s="37">
        <v>6</v>
      </c>
      <c r="H372" s="62">
        <v>7.8</v>
      </c>
      <c r="I372" s="62">
        <v>8.2940000000000005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97"/>
      <c r="R372" s="697"/>
      <c r="S372" s="697"/>
      <c r="T372" s="698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623</v>
      </c>
      <c r="B373" s="63" t="s">
        <v>624</v>
      </c>
      <c r="C373" s="36">
        <v>4301051819</v>
      </c>
      <c r="D373" s="695">
        <v>4607091387964</v>
      </c>
      <c r="E373" s="695"/>
      <c r="F373" s="62">
        <v>1.35</v>
      </c>
      <c r="G373" s="37">
        <v>6</v>
      </c>
      <c r="H373" s="62">
        <v>8.1</v>
      </c>
      <c r="I373" s="62">
        <v>8.5760000000000005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97"/>
      <c r="R373" s="697"/>
      <c r="S373" s="697"/>
      <c r="T373" s="698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626</v>
      </c>
      <c r="B374" s="63" t="s">
        <v>627</v>
      </c>
      <c r="C374" s="36">
        <v>4301051734</v>
      </c>
      <c r="D374" s="695">
        <v>4680115884588</v>
      </c>
      <c r="E374" s="695"/>
      <c r="F374" s="62">
        <v>0.5</v>
      </c>
      <c r="G374" s="37">
        <v>6</v>
      </c>
      <c r="H374" s="62">
        <v>3</v>
      </c>
      <c r="I374" s="62">
        <v>3.246</v>
      </c>
      <c r="J374" s="37">
        <v>182</v>
      </c>
      <c r="K374" s="37" t="s">
        <v>91</v>
      </c>
      <c r="L374" s="37" t="s">
        <v>46</v>
      </c>
      <c r="M374" s="38" t="s">
        <v>90</v>
      </c>
      <c r="N374" s="38"/>
      <c r="O374" s="37">
        <v>40</v>
      </c>
      <c r="P374" s="8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97"/>
      <c r="R374" s="697"/>
      <c r="S374" s="697"/>
      <c r="T374" s="698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68" t="s">
        <v>619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703"/>
      <c r="B375" s="703"/>
      <c r="C375" s="703"/>
      <c r="D375" s="703"/>
      <c r="E375" s="703"/>
      <c r="F375" s="703"/>
      <c r="G375" s="703"/>
      <c r="H375" s="703"/>
      <c r="I375" s="703"/>
      <c r="J375" s="703"/>
      <c r="K375" s="703"/>
      <c r="L375" s="703"/>
      <c r="M375" s="703"/>
      <c r="N375" s="703"/>
      <c r="O375" s="704"/>
      <c r="P375" s="700" t="s">
        <v>40</v>
      </c>
      <c r="Q375" s="701"/>
      <c r="R375" s="701"/>
      <c r="S375" s="701"/>
      <c r="T375" s="701"/>
      <c r="U375" s="701"/>
      <c r="V375" s="702"/>
      <c r="W375" s="42" t="s">
        <v>39</v>
      </c>
      <c r="X375" s="43">
        <f>IFERROR(X371/H371,"0")+IFERROR(X372/H372,"0")+IFERROR(X373/H373,"0")+IFERROR(X374/H374,"0")</f>
        <v>0</v>
      </c>
      <c r="Y375" s="43">
        <f>IFERROR(Y371/H371,"0")+IFERROR(Y372/H372,"0")+IFERROR(Y373/H373,"0")+IFERROR(Y374/H374,"0")</f>
        <v>0</v>
      </c>
      <c r="Z375" s="43">
        <f>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x14ac:dyDescent="0.2">
      <c r="A376" s="703"/>
      <c r="B376" s="703"/>
      <c r="C376" s="703"/>
      <c r="D376" s="703"/>
      <c r="E376" s="703"/>
      <c r="F376" s="703"/>
      <c r="G376" s="703"/>
      <c r="H376" s="703"/>
      <c r="I376" s="703"/>
      <c r="J376" s="703"/>
      <c r="K376" s="703"/>
      <c r="L376" s="703"/>
      <c r="M376" s="703"/>
      <c r="N376" s="703"/>
      <c r="O376" s="704"/>
      <c r="P376" s="700" t="s">
        <v>40</v>
      </c>
      <c r="Q376" s="701"/>
      <c r="R376" s="701"/>
      <c r="S376" s="701"/>
      <c r="T376" s="701"/>
      <c r="U376" s="701"/>
      <c r="V376" s="702"/>
      <c r="W376" s="42" t="s">
        <v>0</v>
      </c>
      <c r="X376" s="43">
        <f>IFERROR(SUM(X371:X374),"0")</f>
        <v>0</v>
      </c>
      <c r="Y376" s="43">
        <f>IFERROR(SUM(Y371:Y374),"0")</f>
        <v>0</v>
      </c>
      <c r="Z376" s="42"/>
      <c r="AA376" s="67"/>
      <c r="AB376" s="67"/>
      <c r="AC376" s="67"/>
    </row>
    <row r="377" spans="1:68" ht="14.25" customHeight="1" x14ac:dyDescent="0.25">
      <c r="A377" s="694" t="s">
        <v>181</v>
      </c>
      <c r="B377" s="694"/>
      <c r="C377" s="694"/>
      <c r="D377" s="694"/>
      <c r="E377" s="694"/>
      <c r="F377" s="694"/>
      <c r="G377" s="694"/>
      <c r="H377" s="694"/>
      <c r="I377" s="694"/>
      <c r="J377" s="694"/>
      <c r="K377" s="694"/>
      <c r="L377" s="694"/>
      <c r="M377" s="694"/>
      <c r="N377" s="694"/>
      <c r="O377" s="694"/>
      <c r="P377" s="694"/>
      <c r="Q377" s="694"/>
      <c r="R377" s="694"/>
      <c r="S377" s="694"/>
      <c r="T377" s="694"/>
      <c r="U377" s="694"/>
      <c r="V377" s="694"/>
      <c r="W377" s="694"/>
      <c r="X377" s="694"/>
      <c r="Y377" s="694"/>
      <c r="Z377" s="694"/>
      <c r="AA377" s="66"/>
      <c r="AB377" s="66"/>
      <c r="AC377" s="80"/>
    </row>
    <row r="378" spans="1:68" ht="27" customHeight="1" x14ac:dyDescent="0.25">
      <c r="A378" s="63" t="s">
        <v>628</v>
      </c>
      <c r="B378" s="63" t="s">
        <v>629</v>
      </c>
      <c r="C378" s="36">
        <v>4301060387</v>
      </c>
      <c r="D378" s="695">
        <v>4607091380880</v>
      </c>
      <c r="E378" s="695"/>
      <c r="F378" s="62">
        <v>1.4</v>
      </c>
      <c r="G378" s="37">
        <v>6</v>
      </c>
      <c r="H378" s="62">
        <v>8.4</v>
      </c>
      <c r="I378" s="62">
        <v>8.8940000000000001</v>
      </c>
      <c r="J378" s="37">
        <v>64</v>
      </c>
      <c r="K378" s="37" t="s">
        <v>133</v>
      </c>
      <c r="L378" s="37" t="s">
        <v>46</v>
      </c>
      <c r="M378" s="38" t="s">
        <v>90</v>
      </c>
      <c r="N378" s="38"/>
      <c r="O378" s="37">
        <v>30</v>
      </c>
      <c r="P378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97"/>
      <c r="R378" s="697"/>
      <c r="S378" s="697"/>
      <c r="T378" s="698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0" t="s">
        <v>630</v>
      </c>
      <c r="AG378" s="78"/>
      <c r="AJ378" s="84" t="s">
        <v>46</v>
      </c>
      <c r="AK378" s="84">
        <v>0</v>
      </c>
      <c r="BB378" s="471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631</v>
      </c>
      <c r="B379" s="63" t="s">
        <v>632</v>
      </c>
      <c r="C379" s="36">
        <v>4301060406</v>
      </c>
      <c r="D379" s="695">
        <v>4607091384482</v>
      </c>
      <c r="E379" s="695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97"/>
      <c r="R379" s="697"/>
      <c r="S379" s="697"/>
      <c r="T379" s="69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16.5" customHeight="1" x14ac:dyDescent="0.25">
      <c r="A380" s="63" t="s">
        <v>634</v>
      </c>
      <c r="B380" s="63" t="s">
        <v>635</v>
      </c>
      <c r="C380" s="36">
        <v>4301060484</v>
      </c>
      <c r="D380" s="695">
        <v>4607091380897</v>
      </c>
      <c r="E380" s="695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133</v>
      </c>
      <c r="L380" s="37" t="s">
        <v>46</v>
      </c>
      <c r="M380" s="38" t="s">
        <v>97</v>
      </c>
      <c r="N380" s="38"/>
      <c r="O380" s="37">
        <v>30</v>
      </c>
      <c r="P380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97"/>
      <c r="R380" s="697"/>
      <c r="S380" s="697"/>
      <c r="T380" s="69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703"/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4"/>
      <c r="P381" s="700" t="s">
        <v>40</v>
      </c>
      <c r="Q381" s="701"/>
      <c r="R381" s="701"/>
      <c r="S381" s="701"/>
      <c r="T381" s="701"/>
      <c r="U381" s="701"/>
      <c r="V381" s="702"/>
      <c r="W381" s="42" t="s">
        <v>39</v>
      </c>
      <c r="X381" s="43">
        <f>IFERROR(X378/H378,"0")+IFERROR(X379/H379,"0")+IFERROR(X380/H380,"0")</f>
        <v>0</v>
      </c>
      <c r="Y381" s="43">
        <f>IFERROR(Y378/H378,"0")+IFERROR(Y379/H379,"0")+IFERROR(Y380/H380,"0")</f>
        <v>0</v>
      </c>
      <c r="Z381" s="43">
        <f>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703"/>
      <c r="B382" s="703"/>
      <c r="C382" s="703"/>
      <c r="D382" s="703"/>
      <c r="E382" s="703"/>
      <c r="F382" s="703"/>
      <c r="G382" s="703"/>
      <c r="H382" s="703"/>
      <c r="I382" s="703"/>
      <c r="J382" s="703"/>
      <c r="K382" s="703"/>
      <c r="L382" s="703"/>
      <c r="M382" s="703"/>
      <c r="N382" s="703"/>
      <c r="O382" s="704"/>
      <c r="P382" s="700" t="s">
        <v>40</v>
      </c>
      <c r="Q382" s="701"/>
      <c r="R382" s="701"/>
      <c r="S382" s="701"/>
      <c r="T382" s="701"/>
      <c r="U382" s="701"/>
      <c r="V382" s="702"/>
      <c r="W382" s="42" t="s">
        <v>0</v>
      </c>
      <c r="X382" s="43">
        <f>IFERROR(SUM(X378:X380),"0")</f>
        <v>0</v>
      </c>
      <c r="Y382" s="43">
        <f>IFERROR(SUM(Y378:Y380),"0")</f>
        <v>0</v>
      </c>
      <c r="Z382" s="42"/>
      <c r="AA382" s="67"/>
      <c r="AB382" s="67"/>
      <c r="AC382" s="67"/>
    </row>
    <row r="383" spans="1:68" ht="14.25" customHeight="1" x14ac:dyDescent="0.25">
      <c r="A383" s="694" t="s">
        <v>104</v>
      </c>
      <c r="B383" s="694"/>
      <c r="C383" s="694"/>
      <c r="D383" s="694"/>
      <c r="E383" s="694"/>
      <c r="F383" s="694"/>
      <c r="G383" s="694"/>
      <c r="H383" s="694"/>
      <c r="I383" s="694"/>
      <c r="J383" s="694"/>
      <c r="K383" s="694"/>
      <c r="L383" s="694"/>
      <c r="M383" s="694"/>
      <c r="N383" s="694"/>
      <c r="O383" s="694"/>
      <c r="P383" s="694"/>
      <c r="Q383" s="694"/>
      <c r="R383" s="694"/>
      <c r="S383" s="694"/>
      <c r="T383" s="694"/>
      <c r="U383" s="694"/>
      <c r="V383" s="694"/>
      <c r="W383" s="694"/>
      <c r="X383" s="694"/>
      <c r="Y383" s="694"/>
      <c r="Z383" s="694"/>
      <c r="AA383" s="66"/>
      <c r="AB383" s="66"/>
      <c r="AC383" s="80"/>
    </row>
    <row r="384" spans="1:68" ht="27" customHeight="1" x14ac:dyDescent="0.25">
      <c r="A384" s="63" t="s">
        <v>637</v>
      </c>
      <c r="B384" s="63" t="s">
        <v>638</v>
      </c>
      <c r="C384" s="36">
        <v>4301030235</v>
      </c>
      <c r="D384" s="695">
        <v>4607091388381</v>
      </c>
      <c r="E384" s="695"/>
      <c r="F384" s="62">
        <v>0.38</v>
      </c>
      <c r="G384" s="37">
        <v>8</v>
      </c>
      <c r="H384" s="62">
        <v>3.04</v>
      </c>
      <c r="I384" s="62">
        <v>3.31</v>
      </c>
      <c r="J384" s="37">
        <v>132</v>
      </c>
      <c r="K384" s="37" t="s">
        <v>140</v>
      </c>
      <c r="L384" s="37" t="s">
        <v>46</v>
      </c>
      <c r="M384" s="38" t="s">
        <v>109</v>
      </c>
      <c r="N384" s="38"/>
      <c r="O384" s="37">
        <v>180</v>
      </c>
      <c r="P384" s="89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97"/>
      <c r="R384" s="697"/>
      <c r="S384" s="697"/>
      <c r="T384" s="698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6" t="s">
        <v>639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640</v>
      </c>
      <c r="B385" s="63" t="s">
        <v>641</v>
      </c>
      <c r="C385" s="36">
        <v>4301030232</v>
      </c>
      <c r="D385" s="695">
        <v>4607091388374</v>
      </c>
      <c r="E385" s="695"/>
      <c r="F385" s="62">
        <v>0.38</v>
      </c>
      <c r="G385" s="37">
        <v>8</v>
      </c>
      <c r="H385" s="62">
        <v>3.04</v>
      </c>
      <c r="I385" s="62">
        <v>3.27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89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97"/>
      <c r="R385" s="697"/>
      <c r="S385" s="697"/>
      <c r="T385" s="69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639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642</v>
      </c>
      <c r="B386" s="63" t="s">
        <v>643</v>
      </c>
      <c r="C386" s="36">
        <v>4301032015</v>
      </c>
      <c r="D386" s="695">
        <v>4607091383102</v>
      </c>
      <c r="E386" s="695"/>
      <c r="F386" s="62">
        <v>0.17</v>
      </c>
      <c r="G386" s="37">
        <v>15</v>
      </c>
      <c r="H386" s="62">
        <v>2.5499999999999998</v>
      </c>
      <c r="I386" s="62">
        <v>2.9550000000000001</v>
      </c>
      <c r="J386" s="37">
        <v>182</v>
      </c>
      <c r="K386" s="37" t="s">
        <v>91</v>
      </c>
      <c r="L386" s="37" t="s">
        <v>46</v>
      </c>
      <c r="M386" s="38" t="s">
        <v>109</v>
      </c>
      <c r="N386" s="38"/>
      <c r="O386" s="37">
        <v>180</v>
      </c>
      <c r="P386" s="90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97"/>
      <c r="R386" s="697"/>
      <c r="S386" s="697"/>
      <c r="T386" s="69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46</v>
      </c>
      <c r="AB386" s="69" t="s">
        <v>46</v>
      </c>
      <c r="AC386" s="480" t="s">
        <v>639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644</v>
      </c>
      <c r="B387" s="63" t="s">
        <v>645</v>
      </c>
      <c r="C387" s="36">
        <v>4301030233</v>
      </c>
      <c r="D387" s="695">
        <v>4607091388404</v>
      </c>
      <c r="E387" s="695"/>
      <c r="F387" s="62">
        <v>0.17</v>
      </c>
      <c r="G387" s="37">
        <v>15</v>
      </c>
      <c r="H387" s="62">
        <v>2.5499999999999998</v>
      </c>
      <c r="I387" s="62">
        <v>2.88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97"/>
      <c r="R387" s="697"/>
      <c r="S387" s="697"/>
      <c r="T387" s="69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639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703"/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4"/>
      <c r="P388" s="700" t="s">
        <v>40</v>
      </c>
      <c r="Q388" s="701"/>
      <c r="R388" s="701"/>
      <c r="S388" s="701"/>
      <c r="T388" s="701"/>
      <c r="U388" s="701"/>
      <c r="V388" s="702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703"/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3"/>
      <c r="N389" s="703"/>
      <c r="O389" s="704"/>
      <c r="P389" s="700" t="s">
        <v>40</v>
      </c>
      <c r="Q389" s="701"/>
      <c r="R389" s="701"/>
      <c r="S389" s="701"/>
      <c r="T389" s="701"/>
      <c r="U389" s="701"/>
      <c r="V389" s="702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customHeight="1" x14ac:dyDescent="0.25">
      <c r="A390" s="694" t="s">
        <v>646</v>
      </c>
      <c r="B390" s="694"/>
      <c r="C390" s="694"/>
      <c r="D390" s="694"/>
      <c r="E390" s="694"/>
      <c r="F390" s="694"/>
      <c r="G390" s="694"/>
      <c r="H390" s="694"/>
      <c r="I390" s="694"/>
      <c r="J390" s="694"/>
      <c r="K390" s="694"/>
      <c r="L390" s="694"/>
      <c r="M390" s="694"/>
      <c r="N390" s="694"/>
      <c r="O390" s="694"/>
      <c r="P390" s="694"/>
      <c r="Q390" s="694"/>
      <c r="R390" s="694"/>
      <c r="S390" s="694"/>
      <c r="T390" s="694"/>
      <c r="U390" s="694"/>
      <c r="V390" s="694"/>
      <c r="W390" s="694"/>
      <c r="X390" s="694"/>
      <c r="Y390" s="694"/>
      <c r="Z390" s="694"/>
      <c r="AA390" s="66"/>
      <c r="AB390" s="66"/>
      <c r="AC390" s="80"/>
    </row>
    <row r="391" spans="1:68" ht="16.5" customHeight="1" x14ac:dyDescent="0.25">
      <c r="A391" s="63" t="s">
        <v>647</v>
      </c>
      <c r="B391" s="63" t="s">
        <v>648</v>
      </c>
      <c r="C391" s="36">
        <v>4301180007</v>
      </c>
      <c r="D391" s="695">
        <v>4680115881808</v>
      </c>
      <c r="E391" s="695"/>
      <c r="F391" s="62">
        <v>0.1</v>
      </c>
      <c r="G391" s="37">
        <v>20</v>
      </c>
      <c r="H391" s="62">
        <v>2</v>
      </c>
      <c r="I391" s="62">
        <v>2.2400000000000002</v>
      </c>
      <c r="J391" s="37">
        <v>238</v>
      </c>
      <c r="K391" s="37" t="s">
        <v>91</v>
      </c>
      <c r="L391" s="37" t="s">
        <v>46</v>
      </c>
      <c r="M391" s="38" t="s">
        <v>650</v>
      </c>
      <c r="N391" s="38"/>
      <c r="O391" s="37">
        <v>731</v>
      </c>
      <c r="P391" s="90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97"/>
      <c r="R391" s="697"/>
      <c r="S391" s="697"/>
      <c r="T391" s="69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IFERROR(IF(Y391=0,"",ROUNDUP(Y391/H391,0)*0.00474),"")</f>
        <v/>
      </c>
      <c r="AA391" s="68" t="s">
        <v>46</v>
      </c>
      <c r="AB391" s="69" t="s">
        <v>46</v>
      </c>
      <c r="AC391" s="484" t="s">
        <v>649</v>
      </c>
      <c r="AG391" s="78"/>
      <c r="AJ391" s="84" t="s">
        <v>46</v>
      </c>
      <c r="AK391" s="84">
        <v>0</v>
      </c>
      <c r="BB391" s="485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651</v>
      </c>
      <c r="B392" s="63" t="s">
        <v>652</v>
      </c>
      <c r="C392" s="36">
        <v>4301180006</v>
      </c>
      <c r="D392" s="695">
        <v>4680115881822</v>
      </c>
      <c r="E392" s="695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650</v>
      </c>
      <c r="N392" s="38"/>
      <c r="O392" s="37">
        <v>731</v>
      </c>
      <c r="P392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97"/>
      <c r="R392" s="697"/>
      <c r="S392" s="697"/>
      <c r="T392" s="69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649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653</v>
      </c>
      <c r="B393" s="63" t="s">
        <v>654</v>
      </c>
      <c r="C393" s="36">
        <v>4301180001</v>
      </c>
      <c r="D393" s="695">
        <v>4680115880016</v>
      </c>
      <c r="E393" s="695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650</v>
      </c>
      <c r="N393" s="38"/>
      <c r="O393" s="37">
        <v>731</v>
      </c>
      <c r="P393" s="90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97"/>
      <c r="R393" s="697"/>
      <c r="S393" s="697"/>
      <c r="T393" s="69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649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03"/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4"/>
      <c r="P394" s="700" t="s">
        <v>40</v>
      </c>
      <c r="Q394" s="701"/>
      <c r="R394" s="701"/>
      <c r="S394" s="701"/>
      <c r="T394" s="701"/>
      <c r="U394" s="701"/>
      <c r="V394" s="702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703"/>
      <c r="B395" s="703"/>
      <c r="C395" s="703"/>
      <c r="D395" s="703"/>
      <c r="E395" s="703"/>
      <c r="F395" s="703"/>
      <c r="G395" s="703"/>
      <c r="H395" s="703"/>
      <c r="I395" s="703"/>
      <c r="J395" s="703"/>
      <c r="K395" s="703"/>
      <c r="L395" s="703"/>
      <c r="M395" s="703"/>
      <c r="N395" s="703"/>
      <c r="O395" s="704"/>
      <c r="P395" s="700" t="s">
        <v>40</v>
      </c>
      <c r="Q395" s="701"/>
      <c r="R395" s="701"/>
      <c r="S395" s="701"/>
      <c r="T395" s="701"/>
      <c r="U395" s="701"/>
      <c r="V395" s="702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customHeight="1" x14ac:dyDescent="0.25">
      <c r="A396" s="694" t="s">
        <v>655</v>
      </c>
      <c r="B396" s="694"/>
      <c r="C396" s="694"/>
      <c r="D396" s="694"/>
      <c r="E396" s="694"/>
      <c r="F396" s="694"/>
      <c r="G396" s="694"/>
      <c r="H396" s="694"/>
      <c r="I396" s="694"/>
      <c r="J396" s="694"/>
      <c r="K396" s="694"/>
      <c r="L396" s="694"/>
      <c r="M396" s="694"/>
      <c r="N396" s="694"/>
      <c r="O396" s="694"/>
      <c r="P396" s="694"/>
      <c r="Q396" s="694"/>
      <c r="R396" s="694"/>
      <c r="S396" s="694"/>
      <c r="T396" s="694"/>
      <c r="U396" s="694"/>
      <c r="V396" s="694"/>
      <c r="W396" s="694"/>
      <c r="X396" s="694"/>
      <c r="Y396" s="694"/>
      <c r="Z396" s="694"/>
      <c r="AA396" s="66"/>
      <c r="AB396" s="66"/>
      <c r="AC396" s="80"/>
    </row>
    <row r="397" spans="1:68" ht="27" customHeight="1" x14ac:dyDescent="0.25">
      <c r="A397" s="63" t="s">
        <v>656</v>
      </c>
      <c r="B397" s="63" t="s">
        <v>657</v>
      </c>
      <c r="C397" s="36">
        <v>4301220003</v>
      </c>
      <c r="D397" s="695">
        <v>4680115888678</v>
      </c>
      <c r="E397" s="695"/>
      <c r="F397" s="62">
        <v>0.25</v>
      </c>
      <c r="G397" s="37">
        <v>12</v>
      </c>
      <c r="H397" s="62">
        <v>3</v>
      </c>
      <c r="I397" s="62">
        <v>3.22</v>
      </c>
      <c r="J397" s="37">
        <v>224</v>
      </c>
      <c r="K397" s="37" t="s">
        <v>91</v>
      </c>
      <c r="L397" s="37" t="s">
        <v>46</v>
      </c>
      <c r="M397" s="38" t="s">
        <v>650</v>
      </c>
      <c r="N397" s="38"/>
      <c r="O397" s="37">
        <v>1095</v>
      </c>
      <c r="P397" s="9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97"/>
      <c r="R397" s="697"/>
      <c r="S397" s="697"/>
      <c r="T397" s="698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IFERROR(IF(Y397=0,"",ROUNDUP(Y397/H397,0)*0.0045),"")</f>
        <v/>
      </c>
      <c r="AA397" s="68" t="s">
        <v>46</v>
      </c>
      <c r="AB397" s="69" t="s">
        <v>276</v>
      </c>
      <c r="AC397" s="490" t="s">
        <v>658</v>
      </c>
      <c r="AG397" s="78"/>
      <c r="AJ397" s="84" t="s">
        <v>46</v>
      </c>
      <c r="AK397" s="84">
        <v>0</v>
      </c>
      <c r="BB397" s="491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659</v>
      </c>
      <c r="B398" s="63" t="s">
        <v>660</v>
      </c>
      <c r="C398" s="36">
        <v>4301220001</v>
      </c>
      <c r="D398" s="695">
        <v>4680115888654</v>
      </c>
      <c r="E398" s="695"/>
      <c r="F398" s="62">
        <v>0.32500000000000001</v>
      </c>
      <c r="G398" s="37">
        <v>12</v>
      </c>
      <c r="H398" s="62">
        <v>3.9</v>
      </c>
      <c r="I398" s="62">
        <v>4.17</v>
      </c>
      <c r="J398" s="37">
        <v>144</v>
      </c>
      <c r="K398" s="37" t="s">
        <v>140</v>
      </c>
      <c r="L398" s="37" t="s">
        <v>46</v>
      </c>
      <c r="M398" s="38" t="s">
        <v>650</v>
      </c>
      <c r="N398" s="38"/>
      <c r="O398" s="37">
        <v>1095</v>
      </c>
      <c r="P398" s="90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97"/>
      <c r="R398" s="697"/>
      <c r="S398" s="697"/>
      <c r="T398" s="69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662</v>
      </c>
      <c r="B399" s="63" t="s">
        <v>663</v>
      </c>
      <c r="C399" s="36">
        <v>4301220002</v>
      </c>
      <c r="D399" s="695">
        <v>4680115888753</v>
      </c>
      <c r="E399" s="695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91</v>
      </c>
      <c r="L399" s="37" t="s">
        <v>46</v>
      </c>
      <c r="M399" s="38" t="s">
        <v>650</v>
      </c>
      <c r="N399" s="38"/>
      <c r="O399" s="37">
        <v>1095</v>
      </c>
      <c r="P399" s="9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97"/>
      <c r="R399" s="697"/>
      <c r="S399" s="697"/>
      <c r="T399" s="69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276</v>
      </c>
      <c r="AC399" s="494" t="s">
        <v>658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703"/>
      <c r="B400" s="703"/>
      <c r="C400" s="703"/>
      <c r="D400" s="703"/>
      <c r="E400" s="703"/>
      <c r="F400" s="703"/>
      <c r="G400" s="703"/>
      <c r="H400" s="703"/>
      <c r="I400" s="703"/>
      <c r="J400" s="703"/>
      <c r="K400" s="703"/>
      <c r="L400" s="703"/>
      <c r="M400" s="703"/>
      <c r="N400" s="703"/>
      <c r="O400" s="704"/>
      <c r="P400" s="700" t="s">
        <v>40</v>
      </c>
      <c r="Q400" s="701"/>
      <c r="R400" s="701"/>
      <c r="S400" s="701"/>
      <c r="T400" s="701"/>
      <c r="U400" s="701"/>
      <c r="V400" s="702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703"/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4"/>
      <c r="P401" s="700" t="s">
        <v>40</v>
      </c>
      <c r="Q401" s="701"/>
      <c r="R401" s="701"/>
      <c r="S401" s="701"/>
      <c r="T401" s="701"/>
      <c r="U401" s="701"/>
      <c r="V401" s="702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6.5" customHeight="1" x14ac:dyDescent="0.25">
      <c r="A402" s="693" t="s">
        <v>664</v>
      </c>
      <c r="B402" s="693"/>
      <c r="C402" s="693"/>
      <c r="D402" s="693"/>
      <c r="E402" s="693"/>
      <c r="F402" s="693"/>
      <c r="G402" s="693"/>
      <c r="H402" s="693"/>
      <c r="I402" s="693"/>
      <c r="J402" s="693"/>
      <c r="K402" s="693"/>
      <c r="L402" s="693"/>
      <c r="M402" s="693"/>
      <c r="N402" s="693"/>
      <c r="O402" s="693"/>
      <c r="P402" s="693"/>
      <c r="Q402" s="693"/>
      <c r="R402" s="693"/>
      <c r="S402" s="693"/>
      <c r="T402" s="693"/>
      <c r="U402" s="693"/>
      <c r="V402" s="693"/>
      <c r="W402" s="693"/>
      <c r="X402" s="693"/>
      <c r="Y402" s="693"/>
      <c r="Z402" s="693"/>
      <c r="AA402" s="65"/>
      <c r="AB402" s="65"/>
      <c r="AC402" s="79"/>
    </row>
    <row r="403" spans="1:68" ht="14.25" customHeight="1" x14ac:dyDescent="0.25">
      <c r="A403" s="694" t="s">
        <v>86</v>
      </c>
      <c r="B403" s="694"/>
      <c r="C403" s="694"/>
      <c r="D403" s="694"/>
      <c r="E403" s="694"/>
      <c r="F403" s="694"/>
      <c r="G403" s="694"/>
      <c r="H403" s="694"/>
      <c r="I403" s="694"/>
      <c r="J403" s="694"/>
      <c r="K403" s="694"/>
      <c r="L403" s="694"/>
      <c r="M403" s="694"/>
      <c r="N403" s="694"/>
      <c r="O403" s="694"/>
      <c r="P403" s="694"/>
      <c r="Q403" s="694"/>
      <c r="R403" s="694"/>
      <c r="S403" s="694"/>
      <c r="T403" s="694"/>
      <c r="U403" s="694"/>
      <c r="V403" s="694"/>
      <c r="W403" s="694"/>
      <c r="X403" s="694"/>
      <c r="Y403" s="694"/>
      <c r="Z403" s="694"/>
      <c r="AA403" s="66"/>
      <c r="AB403" s="66"/>
      <c r="AC403" s="80"/>
    </row>
    <row r="404" spans="1:68" ht="27" customHeight="1" x14ac:dyDescent="0.25">
      <c r="A404" s="63" t="s">
        <v>665</v>
      </c>
      <c r="B404" s="63" t="s">
        <v>666</v>
      </c>
      <c r="C404" s="36">
        <v>4301051489</v>
      </c>
      <c r="D404" s="695">
        <v>4607091387919</v>
      </c>
      <c r="E404" s="695"/>
      <c r="F404" s="62">
        <v>1.35</v>
      </c>
      <c r="G404" s="37">
        <v>6</v>
      </c>
      <c r="H404" s="62">
        <v>8.1</v>
      </c>
      <c r="I404" s="62">
        <v>8.5939999999999994</v>
      </c>
      <c r="J404" s="37">
        <v>64</v>
      </c>
      <c r="K404" s="37" t="s">
        <v>133</v>
      </c>
      <c r="L404" s="37" t="s">
        <v>46</v>
      </c>
      <c r="M404" s="38" t="s">
        <v>97</v>
      </c>
      <c r="N404" s="38"/>
      <c r="O404" s="37">
        <v>45</v>
      </c>
      <c r="P404" s="9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97"/>
      <c r="R404" s="697"/>
      <c r="S404" s="697"/>
      <c r="T404" s="69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IFERROR(IF(Y404=0,"",ROUNDUP(Y404/H404,0)*0.01898),"")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668</v>
      </c>
      <c r="B405" s="63" t="s">
        <v>669</v>
      </c>
      <c r="C405" s="36">
        <v>4301051461</v>
      </c>
      <c r="D405" s="695">
        <v>4680115883604</v>
      </c>
      <c r="E405" s="695"/>
      <c r="F405" s="62">
        <v>0.35</v>
      </c>
      <c r="G405" s="37">
        <v>6</v>
      </c>
      <c r="H405" s="62">
        <v>2.1</v>
      </c>
      <c r="I405" s="62">
        <v>2.3519999999999999</v>
      </c>
      <c r="J405" s="37">
        <v>182</v>
      </c>
      <c r="K405" s="37" t="s">
        <v>91</v>
      </c>
      <c r="L405" s="37" t="s">
        <v>46</v>
      </c>
      <c r="M405" s="38" t="s">
        <v>90</v>
      </c>
      <c r="N405" s="38"/>
      <c r="O405" s="37">
        <v>45</v>
      </c>
      <c r="P405" s="90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97"/>
      <c r="R405" s="697"/>
      <c r="S405" s="697"/>
      <c r="T405" s="69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4301051864</v>
      </c>
      <c r="D406" s="695">
        <v>4680115883567</v>
      </c>
      <c r="E406" s="695"/>
      <c r="F406" s="62">
        <v>0.35</v>
      </c>
      <c r="G406" s="37">
        <v>6</v>
      </c>
      <c r="H406" s="62">
        <v>2.1</v>
      </c>
      <c r="I406" s="62">
        <v>2.34</v>
      </c>
      <c r="J406" s="37">
        <v>182</v>
      </c>
      <c r="K406" s="37" t="s">
        <v>91</v>
      </c>
      <c r="L406" s="37" t="s">
        <v>46</v>
      </c>
      <c r="M406" s="38" t="s">
        <v>97</v>
      </c>
      <c r="N406" s="38"/>
      <c r="O406" s="37">
        <v>40</v>
      </c>
      <c r="P406" s="9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97"/>
      <c r="R406" s="697"/>
      <c r="S406" s="697"/>
      <c r="T406" s="69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703"/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4"/>
      <c r="P407" s="700" t="s">
        <v>40</v>
      </c>
      <c r="Q407" s="701"/>
      <c r="R407" s="701"/>
      <c r="S407" s="701"/>
      <c r="T407" s="701"/>
      <c r="U407" s="701"/>
      <c r="V407" s="702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x14ac:dyDescent="0.2">
      <c r="A408" s="703"/>
      <c r="B408" s="703"/>
      <c r="C408" s="703"/>
      <c r="D408" s="703"/>
      <c r="E408" s="703"/>
      <c r="F408" s="703"/>
      <c r="G408" s="703"/>
      <c r="H408" s="703"/>
      <c r="I408" s="703"/>
      <c r="J408" s="703"/>
      <c r="K408" s="703"/>
      <c r="L408" s="703"/>
      <c r="M408" s="703"/>
      <c r="N408" s="703"/>
      <c r="O408" s="704"/>
      <c r="P408" s="700" t="s">
        <v>40</v>
      </c>
      <c r="Q408" s="701"/>
      <c r="R408" s="701"/>
      <c r="S408" s="701"/>
      <c r="T408" s="701"/>
      <c r="U408" s="701"/>
      <c r="V408" s="702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27.75" customHeight="1" x14ac:dyDescent="0.2">
      <c r="A409" s="692" t="s">
        <v>674</v>
      </c>
      <c r="B409" s="692"/>
      <c r="C409" s="692"/>
      <c r="D409" s="692"/>
      <c r="E409" s="692"/>
      <c r="F409" s="692"/>
      <c r="G409" s="692"/>
      <c r="H409" s="692"/>
      <c r="I409" s="692"/>
      <c r="J409" s="692"/>
      <c r="K409" s="692"/>
      <c r="L409" s="692"/>
      <c r="M409" s="692"/>
      <c r="N409" s="692"/>
      <c r="O409" s="692"/>
      <c r="P409" s="692"/>
      <c r="Q409" s="692"/>
      <c r="R409" s="692"/>
      <c r="S409" s="692"/>
      <c r="T409" s="692"/>
      <c r="U409" s="692"/>
      <c r="V409" s="692"/>
      <c r="W409" s="692"/>
      <c r="X409" s="692"/>
      <c r="Y409" s="692"/>
      <c r="Z409" s="692"/>
      <c r="AA409" s="54"/>
      <c r="AB409" s="54"/>
      <c r="AC409" s="54"/>
    </row>
    <row r="410" spans="1:68" ht="16.5" customHeight="1" x14ac:dyDescent="0.25">
      <c r="A410" s="693" t="s">
        <v>675</v>
      </c>
      <c r="B410" s="693"/>
      <c r="C410" s="693"/>
      <c r="D410" s="693"/>
      <c r="E410" s="693"/>
      <c r="F410" s="693"/>
      <c r="G410" s="693"/>
      <c r="H410" s="693"/>
      <c r="I410" s="693"/>
      <c r="J410" s="693"/>
      <c r="K410" s="693"/>
      <c r="L410" s="693"/>
      <c r="M410" s="693"/>
      <c r="N410" s="693"/>
      <c r="O410" s="693"/>
      <c r="P410" s="693"/>
      <c r="Q410" s="693"/>
      <c r="R410" s="693"/>
      <c r="S410" s="693"/>
      <c r="T410" s="693"/>
      <c r="U410" s="693"/>
      <c r="V410" s="693"/>
      <c r="W410" s="693"/>
      <c r="X410" s="693"/>
      <c r="Y410" s="693"/>
      <c r="Z410" s="693"/>
      <c r="AA410" s="65"/>
      <c r="AB410" s="65"/>
      <c r="AC410" s="79"/>
    </row>
    <row r="411" spans="1:68" ht="14.25" customHeight="1" x14ac:dyDescent="0.25">
      <c r="A411" s="694" t="s">
        <v>128</v>
      </c>
      <c r="B411" s="694"/>
      <c r="C411" s="694"/>
      <c r="D411" s="694"/>
      <c r="E411" s="694"/>
      <c r="F411" s="694"/>
      <c r="G411" s="694"/>
      <c r="H411" s="694"/>
      <c r="I411" s="694"/>
      <c r="J411" s="694"/>
      <c r="K411" s="694"/>
      <c r="L411" s="694"/>
      <c r="M411" s="694"/>
      <c r="N411" s="694"/>
      <c r="O411" s="694"/>
      <c r="P411" s="694"/>
      <c r="Q411" s="694"/>
      <c r="R411" s="694"/>
      <c r="S411" s="694"/>
      <c r="T411" s="694"/>
      <c r="U411" s="694"/>
      <c r="V411" s="694"/>
      <c r="W411" s="694"/>
      <c r="X411" s="694"/>
      <c r="Y411" s="694"/>
      <c r="Z411" s="694"/>
      <c r="AA411" s="66"/>
      <c r="AB411" s="66"/>
      <c r="AC411" s="80"/>
    </row>
    <row r="412" spans="1:68" ht="27" customHeight="1" x14ac:dyDescent="0.25">
      <c r="A412" s="63" t="s">
        <v>676</v>
      </c>
      <c r="B412" s="63" t="s">
        <v>677</v>
      </c>
      <c r="C412" s="36">
        <v>4301012332</v>
      </c>
      <c r="D412" s="695">
        <v>4680115888401</v>
      </c>
      <c r="E412" s="695"/>
      <c r="F412" s="62">
        <v>2.5</v>
      </c>
      <c r="G412" s="37">
        <v>6</v>
      </c>
      <c r="H412" s="62">
        <v>15</v>
      </c>
      <c r="I412" s="62">
        <v>15.47</v>
      </c>
      <c r="J412" s="37">
        <v>48</v>
      </c>
      <c r="K412" s="37" t="s">
        <v>133</v>
      </c>
      <c r="L412" s="37" t="s">
        <v>46</v>
      </c>
      <c r="M412" s="38" t="s">
        <v>97</v>
      </c>
      <c r="N412" s="38"/>
      <c r="O412" s="37">
        <v>60</v>
      </c>
      <c r="P412" s="9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97"/>
      <c r="R412" s="697"/>
      <c r="S412" s="697"/>
      <c r="T412" s="698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ref="Y412:Y419" si="47">IFERROR(IF(X412="",0,CEILING((X412/$H412),1)*$H412),"")</f>
        <v>0</v>
      </c>
      <c r="Z412" s="41" t="str">
        <f>IFERROR(IF(Y412=0,"",ROUNDUP(Y412/H412,0)*0.02175),"")</f>
        <v/>
      </c>
      <c r="AA412" s="68" t="s">
        <v>46</v>
      </c>
      <c r="AB412" s="69" t="s">
        <v>46</v>
      </c>
      <c r="AC412" s="502" t="s">
        <v>678</v>
      </c>
      <c r="AG412" s="78"/>
      <c r="AJ412" s="84" t="s">
        <v>46</v>
      </c>
      <c r="AK412" s="84">
        <v>0</v>
      </c>
      <c r="BB412" s="503" t="s">
        <v>67</v>
      </c>
      <c r="BM412" s="78">
        <f t="shared" ref="BM412:BM419" si="48">IFERROR(X412*I412/H412,"0")</f>
        <v>0</v>
      </c>
      <c r="BN412" s="78">
        <f t="shared" ref="BN412:BN419" si="49">IFERROR(Y412*I412/H412,"0")</f>
        <v>0</v>
      </c>
      <c r="BO412" s="78">
        <f t="shared" ref="BO412:BO419" si="50">IFERROR(1/J412*(X412/H412),"0")</f>
        <v>0</v>
      </c>
      <c r="BP412" s="78">
        <f t="shared" ref="BP412:BP419" si="51">IFERROR(1/J412*(Y412/H412),"0")</f>
        <v>0</v>
      </c>
    </row>
    <row r="413" spans="1:68" ht="37.5" customHeight="1" x14ac:dyDescent="0.25">
      <c r="A413" s="63" t="s">
        <v>679</v>
      </c>
      <c r="B413" s="63" t="s">
        <v>680</v>
      </c>
      <c r="C413" s="36">
        <v>4301011869</v>
      </c>
      <c r="D413" s="695">
        <v>4680115884847</v>
      </c>
      <c r="E413" s="695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81</v>
      </c>
      <c r="N413" s="38"/>
      <c r="O413" s="37">
        <v>60</v>
      </c>
      <c r="P413" s="9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97"/>
      <c r="R413" s="697"/>
      <c r="S413" s="697"/>
      <c r="T413" s="698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47"/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si="48"/>
        <v>0</v>
      </c>
      <c r="BN413" s="78">
        <f t="shared" si="49"/>
        <v>0</v>
      </c>
      <c r="BO413" s="78">
        <f t="shared" si="50"/>
        <v>0</v>
      </c>
      <c r="BP413" s="78">
        <f t="shared" si="51"/>
        <v>0</v>
      </c>
    </row>
    <row r="414" spans="1:68" ht="27" customHeight="1" x14ac:dyDescent="0.25">
      <c r="A414" s="63" t="s">
        <v>682</v>
      </c>
      <c r="B414" s="63" t="s">
        <v>683</v>
      </c>
      <c r="C414" s="36">
        <v>4301012083</v>
      </c>
      <c r="D414" s="695">
        <v>4680115884854</v>
      </c>
      <c r="E414" s="695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60</v>
      </c>
      <c r="P414" s="9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97"/>
      <c r="R414" s="697"/>
      <c r="S414" s="697"/>
      <c r="T414" s="698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47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48"/>
        <v>0</v>
      </c>
      <c r="BN414" s="78">
        <f t="shared" si="49"/>
        <v>0</v>
      </c>
      <c r="BO414" s="78">
        <f t="shared" si="50"/>
        <v>0</v>
      </c>
      <c r="BP414" s="78">
        <f t="shared" si="51"/>
        <v>0</v>
      </c>
    </row>
    <row r="415" spans="1:68" ht="27" customHeight="1" x14ac:dyDescent="0.25">
      <c r="A415" s="63" t="s">
        <v>685</v>
      </c>
      <c r="B415" s="63" t="s">
        <v>686</v>
      </c>
      <c r="C415" s="36">
        <v>4301011867</v>
      </c>
      <c r="D415" s="695">
        <v>4680115884830</v>
      </c>
      <c r="E415" s="695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81</v>
      </c>
      <c r="N415" s="38"/>
      <c r="O415" s="37">
        <v>60</v>
      </c>
      <c r="P415" s="9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97"/>
      <c r="R415" s="697"/>
      <c r="S415" s="697"/>
      <c r="T415" s="698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47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48"/>
        <v>0</v>
      </c>
      <c r="BN415" s="78">
        <f t="shared" si="49"/>
        <v>0</v>
      </c>
      <c r="BO415" s="78">
        <f t="shared" si="50"/>
        <v>0</v>
      </c>
      <c r="BP415" s="78">
        <f t="shared" si="51"/>
        <v>0</v>
      </c>
    </row>
    <row r="416" spans="1:68" ht="27" customHeight="1" x14ac:dyDescent="0.25">
      <c r="A416" s="63" t="s">
        <v>688</v>
      </c>
      <c r="B416" s="63" t="s">
        <v>689</v>
      </c>
      <c r="C416" s="36">
        <v>4301012356</v>
      </c>
      <c r="D416" s="695">
        <v>4680115889231</v>
      </c>
      <c r="E416" s="695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97</v>
      </c>
      <c r="N416" s="38"/>
      <c r="O416" s="37">
        <v>60</v>
      </c>
      <c r="P416" s="9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97"/>
      <c r="R416" s="697"/>
      <c r="S416" s="697"/>
      <c r="T416" s="698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47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48"/>
        <v>0</v>
      </c>
      <c r="BN416" s="78">
        <f t="shared" si="49"/>
        <v>0</v>
      </c>
      <c r="BO416" s="78">
        <f t="shared" si="50"/>
        <v>0</v>
      </c>
      <c r="BP416" s="78">
        <f t="shared" si="51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4301011433</v>
      </c>
      <c r="D417" s="695">
        <v>4680115882638</v>
      </c>
      <c r="E417" s="695"/>
      <c r="F417" s="62">
        <v>0.4</v>
      </c>
      <c r="G417" s="37">
        <v>10</v>
      </c>
      <c r="H417" s="62">
        <v>4</v>
      </c>
      <c r="I417" s="62">
        <v>4.1900000000000004</v>
      </c>
      <c r="J417" s="37">
        <v>132</v>
      </c>
      <c r="K417" s="37" t="s">
        <v>140</v>
      </c>
      <c r="L417" s="37" t="s">
        <v>46</v>
      </c>
      <c r="M417" s="38" t="s">
        <v>132</v>
      </c>
      <c r="N417" s="38"/>
      <c r="O417" s="37">
        <v>90</v>
      </c>
      <c r="P417" s="9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97"/>
      <c r="R417" s="697"/>
      <c r="S417" s="697"/>
      <c r="T417" s="698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47"/>
        <v>0</v>
      </c>
      <c r="Z417" s="41" t="str">
        <f>IFERROR(IF(Y417=0,"",ROUNDUP(Y417/H417,0)*0.00902),"")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48"/>
        <v>0</v>
      </c>
      <c r="BN417" s="78">
        <f t="shared" si="49"/>
        <v>0</v>
      </c>
      <c r="BO417" s="78">
        <f t="shared" si="50"/>
        <v>0</v>
      </c>
      <c r="BP417" s="78">
        <f t="shared" si="51"/>
        <v>0</v>
      </c>
    </row>
    <row r="418" spans="1:68" ht="27" customHeight="1" x14ac:dyDescent="0.25">
      <c r="A418" s="63" t="s">
        <v>694</v>
      </c>
      <c r="B418" s="63" t="s">
        <v>695</v>
      </c>
      <c r="C418" s="36">
        <v>4301011952</v>
      </c>
      <c r="D418" s="695">
        <v>4680115884922</v>
      </c>
      <c r="E418" s="695"/>
      <c r="F418" s="62">
        <v>0.5</v>
      </c>
      <c r="G418" s="37">
        <v>10</v>
      </c>
      <c r="H418" s="62">
        <v>5</v>
      </c>
      <c r="I418" s="62">
        <v>5.19</v>
      </c>
      <c r="J418" s="37">
        <v>132</v>
      </c>
      <c r="K418" s="37" t="s">
        <v>140</v>
      </c>
      <c r="L418" s="37" t="s">
        <v>46</v>
      </c>
      <c r="M418" s="38" t="s">
        <v>81</v>
      </c>
      <c r="N418" s="38"/>
      <c r="O418" s="37">
        <v>60</v>
      </c>
      <c r="P418" s="9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97"/>
      <c r="R418" s="697"/>
      <c r="S418" s="697"/>
      <c r="T418" s="698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47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48"/>
        <v>0</v>
      </c>
      <c r="BN418" s="78">
        <f t="shared" si="49"/>
        <v>0</v>
      </c>
      <c r="BO418" s="78">
        <f t="shared" si="50"/>
        <v>0</v>
      </c>
      <c r="BP418" s="78">
        <f t="shared" si="51"/>
        <v>0</v>
      </c>
    </row>
    <row r="419" spans="1:68" ht="37.5" customHeight="1" x14ac:dyDescent="0.25">
      <c r="A419" s="63" t="s">
        <v>697</v>
      </c>
      <c r="B419" s="63" t="s">
        <v>698</v>
      </c>
      <c r="C419" s="36">
        <v>4301011868</v>
      </c>
      <c r="D419" s="695">
        <v>4680115884861</v>
      </c>
      <c r="E419" s="695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97"/>
      <c r="R419" s="697"/>
      <c r="S419" s="697"/>
      <c r="T419" s="698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47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48"/>
        <v>0</v>
      </c>
      <c r="BN419" s="78">
        <f t="shared" si="49"/>
        <v>0</v>
      </c>
      <c r="BO419" s="78">
        <f t="shared" si="50"/>
        <v>0</v>
      </c>
      <c r="BP419" s="78">
        <f t="shared" si="51"/>
        <v>0</v>
      </c>
    </row>
    <row r="420" spans="1:68" x14ac:dyDescent="0.2">
      <c r="A420" s="703"/>
      <c r="B420" s="703"/>
      <c r="C420" s="703"/>
      <c r="D420" s="703"/>
      <c r="E420" s="703"/>
      <c r="F420" s="703"/>
      <c r="G420" s="703"/>
      <c r="H420" s="703"/>
      <c r="I420" s="703"/>
      <c r="J420" s="703"/>
      <c r="K420" s="703"/>
      <c r="L420" s="703"/>
      <c r="M420" s="703"/>
      <c r="N420" s="703"/>
      <c r="O420" s="704"/>
      <c r="P420" s="700" t="s">
        <v>40</v>
      </c>
      <c r="Q420" s="701"/>
      <c r="R420" s="701"/>
      <c r="S420" s="701"/>
      <c r="T420" s="701"/>
      <c r="U420" s="701"/>
      <c r="V420" s="702"/>
      <c r="W420" s="42" t="s">
        <v>39</v>
      </c>
      <c r="X420" s="43">
        <f>IFERROR(X412/H412,"0")+IFERROR(X413/H413,"0")+IFERROR(X414/H414,"0")+IFERROR(X415/H415,"0")+IFERROR(X416/H416,"0")+IFERROR(X417/H417,"0")+IFERROR(X418/H418,"0")+IFERROR(X419/H419,"0")</f>
        <v>0</v>
      </c>
      <c r="Y420" s="43">
        <f>IFERROR(Y412/H412,"0")+IFERROR(Y413/H413,"0")+IFERROR(Y414/H414,"0")+IFERROR(Y415/H415,"0")+IFERROR(Y416/H416,"0")+IFERROR(Y417/H417,"0")+IFERROR(Y418/H418,"0")+IFERROR(Y419/H419,"0")</f>
        <v>0</v>
      </c>
      <c r="Z420" s="43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67"/>
      <c r="AB420" s="67"/>
      <c r="AC420" s="67"/>
    </row>
    <row r="421" spans="1:68" x14ac:dyDescent="0.2">
      <c r="A421" s="703"/>
      <c r="B421" s="703"/>
      <c r="C421" s="703"/>
      <c r="D421" s="703"/>
      <c r="E421" s="703"/>
      <c r="F421" s="703"/>
      <c r="G421" s="703"/>
      <c r="H421" s="703"/>
      <c r="I421" s="703"/>
      <c r="J421" s="703"/>
      <c r="K421" s="703"/>
      <c r="L421" s="703"/>
      <c r="M421" s="703"/>
      <c r="N421" s="703"/>
      <c r="O421" s="704"/>
      <c r="P421" s="700" t="s">
        <v>40</v>
      </c>
      <c r="Q421" s="701"/>
      <c r="R421" s="701"/>
      <c r="S421" s="701"/>
      <c r="T421" s="701"/>
      <c r="U421" s="701"/>
      <c r="V421" s="702"/>
      <c r="W421" s="42" t="s">
        <v>0</v>
      </c>
      <c r="X421" s="43">
        <f>IFERROR(SUM(X412:X419),"0")</f>
        <v>0</v>
      </c>
      <c r="Y421" s="43">
        <f>IFERROR(SUM(Y412:Y419),"0")</f>
        <v>0</v>
      </c>
      <c r="Z421" s="42"/>
      <c r="AA421" s="67"/>
      <c r="AB421" s="67"/>
      <c r="AC421" s="67"/>
    </row>
    <row r="422" spans="1:68" ht="14.25" customHeight="1" x14ac:dyDescent="0.25">
      <c r="A422" s="694" t="s">
        <v>164</v>
      </c>
      <c r="B422" s="694"/>
      <c r="C422" s="694"/>
      <c r="D422" s="694"/>
      <c r="E422" s="694"/>
      <c r="F422" s="694"/>
      <c r="G422" s="694"/>
      <c r="H422" s="694"/>
      <c r="I422" s="694"/>
      <c r="J422" s="694"/>
      <c r="K422" s="694"/>
      <c r="L422" s="694"/>
      <c r="M422" s="694"/>
      <c r="N422" s="694"/>
      <c r="O422" s="694"/>
      <c r="P422" s="694"/>
      <c r="Q422" s="694"/>
      <c r="R422" s="694"/>
      <c r="S422" s="694"/>
      <c r="T422" s="694"/>
      <c r="U422" s="694"/>
      <c r="V422" s="694"/>
      <c r="W422" s="694"/>
      <c r="X422" s="694"/>
      <c r="Y422" s="694"/>
      <c r="Z422" s="694"/>
      <c r="AA422" s="66"/>
      <c r="AB422" s="66"/>
      <c r="AC422" s="80"/>
    </row>
    <row r="423" spans="1:68" ht="27" customHeight="1" x14ac:dyDescent="0.25">
      <c r="A423" s="63" t="s">
        <v>700</v>
      </c>
      <c r="B423" s="63" t="s">
        <v>701</v>
      </c>
      <c r="C423" s="36">
        <v>4301020178</v>
      </c>
      <c r="D423" s="695">
        <v>4607091383980</v>
      </c>
      <c r="E423" s="695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132</v>
      </c>
      <c r="N423" s="38"/>
      <c r="O423" s="37">
        <v>50</v>
      </c>
      <c r="P423" s="9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97"/>
      <c r="R423" s="697"/>
      <c r="S423" s="697"/>
      <c r="T423" s="698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702</v>
      </c>
      <c r="AG423" s="78"/>
      <c r="AJ423" s="84" t="s">
        <v>46</v>
      </c>
      <c r="AK423" s="84">
        <v>0</v>
      </c>
      <c r="BB423" s="519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customHeight="1" x14ac:dyDescent="0.25">
      <c r="A424" s="63" t="s">
        <v>703</v>
      </c>
      <c r="B424" s="63" t="s">
        <v>704</v>
      </c>
      <c r="C424" s="36">
        <v>4301020355</v>
      </c>
      <c r="D424" s="695">
        <v>4680115888425</v>
      </c>
      <c r="E424" s="695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97"/>
      <c r="R424" s="697"/>
      <c r="S424" s="697"/>
      <c r="T424" s="69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706</v>
      </c>
      <c r="B425" s="63" t="s">
        <v>707</v>
      </c>
      <c r="C425" s="36">
        <v>4301020179</v>
      </c>
      <c r="D425" s="695">
        <v>4607091384178</v>
      </c>
      <c r="E425" s="695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140</v>
      </c>
      <c r="L425" s="37" t="s">
        <v>46</v>
      </c>
      <c r="M425" s="38" t="s">
        <v>132</v>
      </c>
      <c r="N425" s="38"/>
      <c r="O425" s="37">
        <v>50</v>
      </c>
      <c r="P425" s="9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97"/>
      <c r="R425" s="697"/>
      <c r="S425" s="697"/>
      <c r="T425" s="69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703"/>
      <c r="B426" s="703"/>
      <c r="C426" s="703"/>
      <c r="D426" s="703"/>
      <c r="E426" s="703"/>
      <c r="F426" s="703"/>
      <c r="G426" s="703"/>
      <c r="H426" s="703"/>
      <c r="I426" s="703"/>
      <c r="J426" s="703"/>
      <c r="K426" s="703"/>
      <c r="L426" s="703"/>
      <c r="M426" s="703"/>
      <c r="N426" s="703"/>
      <c r="O426" s="704"/>
      <c r="P426" s="700" t="s">
        <v>40</v>
      </c>
      <c r="Q426" s="701"/>
      <c r="R426" s="701"/>
      <c r="S426" s="701"/>
      <c r="T426" s="701"/>
      <c r="U426" s="701"/>
      <c r="V426" s="702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703"/>
      <c r="B427" s="703"/>
      <c r="C427" s="703"/>
      <c r="D427" s="703"/>
      <c r="E427" s="703"/>
      <c r="F427" s="703"/>
      <c r="G427" s="703"/>
      <c r="H427" s="703"/>
      <c r="I427" s="703"/>
      <c r="J427" s="703"/>
      <c r="K427" s="703"/>
      <c r="L427" s="703"/>
      <c r="M427" s="703"/>
      <c r="N427" s="703"/>
      <c r="O427" s="704"/>
      <c r="P427" s="700" t="s">
        <v>40</v>
      </c>
      <c r="Q427" s="701"/>
      <c r="R427" s="701"/>
      <c r="S427" s="701"/>
      <c r="T427" s="701"/>
      <c r="U427" s="701"/>
      <c r="V427" s="702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14.25" customHeight="1" x14ac:dyDescent="0.25">
      <c r="A428" s="694" t="s">
        <v>86</v>
      </c>
      <c r="B428" s="694"/>
      <c r="C428" s="694"/>
      <c r="D428" s="694"/>
      <c r="E428" s="694"/>
      <c r="F428" s="694"/>
      <c r="G428" s="694"/>
      <c r="H428" s="694"/>
      <c r="I428" s="694"/>
      <c r="J428" s="694"/>
      <c r="K428" s="694"/>
      <c r="L428" s="694"/>
      <c r="M428" s="694"/>
      <c r="N428" s="694"/>
      <c r="O428" s="694"/>
      <c r="P428" s="694"/>
      <c r="Q428" s="694"/>
      <c r="R428" s="694"/>
      <c r="S428" s="694"/>
      <c r="T428" s="694"/>
      <c r="U428" s="694"/>
      <c r="V428" s="694"/>
      <c r="W428" s="694"/>
      <c r="X428" s="694"/>
      <c r="Y428" s="694"/>
      <c r="Z428" s="694"/>
      <c r="AA428" s="66"/>
      <c r="AB428" s="66"/>
      <c r="AC428" s="80"/>
    </row>
    <row r="429" spans="1:68" ht="16.5" customHeight="1" x14ac:dyDescent="0.25">
      <c r="A429" s="63" t="s">
        <v>709</v>
      </c>
      <c r="B429" s="63" t="s">
        <v>710</v>
      </c>
      <c r="C429" s="36">
        <v>4301052220</v>
      </c>
      <c r="D429" s="695">
        <v>4680115889538</v>
      </c>
      <c r="E429" s="695"/>
      <c r="F429" s="62">
        <v>0.8</v>
      </c>
      <c r="G429" s="37">
        <v>6</v>
      </c>
      <c r="H429" s="62">
        <v>4.8</v>
      </c>
      <c r="I429" s="62">
        <v>5.2160000000000002</v>
      </c>
      <c r="J429" s="37">
        <v>104</v>
      </c>
      <c r="K429" s="37" t="s">
        <v>133</v>
      </c>
      <c r="L429" s="37" t="s">
        <v>46</v>
      </c>
      <c r="M429" s="38" t="s">
        <v>90</v>
      </c>
      <c r="N429" s="38"/>
      <c r="O429" s="37">
        <v>45</v>
      </c>
      <c r="P429" s="92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97"/>
      <c r="R429" s="697"/>
      <c r="S429" s="697"/>
      <c r="T429" s="698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IFERROR(IF(Y429=0,"",ROUNDUP(Y429/H429,0)*0.01196),"")</f>
        <v/>
      </c>
      <c r="AA429" s="68" t="s">
        <v>46</v>
      </c>
      <c r="AB429" s="69" t="s">
        <v>276</v>
      </c>
      <c r="AC429" s="524" t="s">
        <v>711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customHeight="1" x14ac:dyDescent="0.25">
      <c r="A430" s="63" t="s">
        <v>712</v>
      </c>
      <c r="B430" s="63" t="s">
        <v>713</v>
      </c>
      <c r="C430" s="36">
        <v>4301051903</v>
      </c>
      <c r="D430" s="695">
        <v>4607091383928</v>
      </c>
      <c r="E430" s="695"/>
      <c r="F430" s="62">
        <v>1.5</v>
      </c>
      <c r="G430" s="37">
        <v>6</v>
      </c>
      <c r="H430" s="62">
        <v>9</v>
      </c>
      <c r="I430" s="62">
        <v>9.5</v>
      </c>
      <c r="J430" s="37">
        <v>64</v>
      </c>
      <c r="K430" s="37" t="s">
        <v>133</v>
      </c>
      <c r="L430" s="37" t="s">
        <v>46</v>
      </c>
      <c r="M430" s="38" t="s">
        <v>90</v>
      </c>
      <c r="N430" s="38"/>
      <c r="O430" s="37">
        <v>40</v>
      </c>
      <c r="P430" s="9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97"/>
      <c r="R430" s="697"/>
      <c r="S430" s="697"/>
      <c r="T430" s="698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4301051897</v>
      </c>
      <c r="D431" s="695">
        <v>4607091384260</v>
      </c>
      <c r="E431" s="695"/>
      <c r="F431" s="62">
        <v>1.5</v>
      </c>
      <c r="G431" s="37">
        <v>6</v>
      </c>
      <c r="H431" s="62">
        <v>9</v>
      </c>
      <c r="I431" s="62">
        <v>9.4939999999999998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97"/>
      <c r="R431" s="697"/>
      <c r="S431" s="697"/>
      <c r="T431" s="69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x14ac:dyDescent="0.2">
      <c r="A432" s="703"/>
      <c r="B432" s="703"/>
      <c r="C432" s="703"/>
      <c r="D432" s="703"/>
      <c r="E432" s="703"/>
      <c r="F432" s="703"/>
      <c r="G432" s="703"/>
      <c r="H432" s="703"/>
      <c r="I432" s="703"/>
      <c r="J432" s="703"/>
      <c r="K432" s="703"/>
      <c r="L432" s="703"/>
      <c r="M432" s="703"/>
      <c r="N432" s="703"/>
      <c r="O432" s="704"/>
      <c r="P432" s="700" t="s">
        <v>40</v>
      </c>
      <c r="Q432" s="701"/>
      <c r="R432" s="701"/>
      <c r="S432" s="701"/>
      <c r="T432" s="701"/>
      <c r="U432" s="701"/>
      <c r="V432" s="702"/>
      <c r="W432" s="42" t="s">
        <v>39</v>
      </c>
      <c r="X432" s="43">
        <f>IFERROR(X429/H429,"0")+IFERROR(X430/H430,"0")+IFERROR(X431/H431,"0")</f>
        <v>0</v>
      </c>
      <c r="Y432" s="43">
        <f>IFERROR(Y429/H429,"0")+IFERROR(Y430/H430,"0")+IFERROR(Y431/H431,"0")</f>
        <v>0</v>
      </c>
      <c r="Z432" s="43">
        <f>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703"/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4"/>
      <c r="P433" s="700" t="s">
        <v>40</v>
      </c>
      <c r="Q433" s="701"/>
      <c r="R433" s="701"/>
      <c r="S433" s="701"/>
      <c r="T433" s="701"/>
      <c r="U433" s="701"/>
      <c r="V433" s="702"/>
      <c r="W433" s="42" t="s">
        <v>0</v>
      </c>
      <c r="X433" s="43">
        <f>IFERROR(SUM(X429:X431),"0")</f>
        <v>0</v>
      </c>
      <c r="Y433" s="43">
        <f>IFERROR(SUM(Y429:Y431),"0")</f>
        <v>0</v>
      </c>
      <c r="Z433" s="42"/>
      <c r="AA433" s="67"/>
      <c r="AB433" s="67"/>
      <c r="AC433" s="67"/>
    </row>
    <row r="434" spans="1:68" ht="14.25" customHeight="1" x14ac:dyDescent="0.25">
      <c r="A434" s="694" t="s">
        <v>181</v>
      </c>
      <c r="B434" s="694"/>
      <c r="C434" s="694"/>
      <c r="D434" s="694"/>
      <c r="E434" s="694"/>
      <c r="F434" s="694"/>
      <c r="G434" s="694"/>
      <c r="H434" s="694"/>
      <c r="I434" s="694"/>
      <c r="J434" s="694"/>
      <c r="K434" s="694"/>
      <c r="L434" s="694"/>
      <c r="M434" s="694"/>
      <c r="N434" s="694"/>
      <c r="O434" s="694"/>
      <c r="P434" s="694"/>
      <c r="Q434" s="694"/>
      <c r="R434" s="694"/>
      <c r="S434" s="694"/>
      <c r="T434" s="694"/>
      <c r="U434" s="694"/>
      <c r="V434" s="694"/>
      <c r="W434" s="694"/>
      <c r="X434" s="694"/>
      <c r="Y434" s="694"/>
      <c r="Z434" s="694"/>
      <c r="AA434" s="66"/>
      <c r="AB434" s="66"/>
      <c r="AC434" s="80"/>
    </row>
    <row r="435" spans="1:68" ht="27" customHeight="1" x14ac:dyDescent="0.25">
      <c r="A435" s="63" t="s">
        <v>718</v>
      </c>
      <c r="B435" s="63" t="s">
        <v>719</v>
      </c>
      <c r="C435" s="36">
        <v>4301060537</v>
      </c>
      <c r="D435" s="695">
        <v>4680115889545</v>
      </c>
      <c r="E435" s="695"/>
      <c r="F435" s="62">
        <v>0.7</v>
      </c>
      <c r="G435" s="37">
        <v>6</v>
      </c>
      <c r="H435" s="62">
        <v>4.2</v>
      </c>
      <c r="I435" s="62">
        <v>4.6159999999999997</v>
      </c>
      <c r="J435" s="37">
        <v>104</v>
      </c>
      <c r="K435" s="37" t="s">
        <v>133</v>
      </c>
      <c r="L435" s="37" t="s">
        <v>46</v>
      </c>
      <c r="M435" s="38" t="s">
        <v>90</v>
      </c>
      <c r="N435" s="38"/>
      <c r="O435" s="37">
        <v>30</v>
      </c>
      <c r="P435" s="92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97"/>
      <c r="R435" s="697"/>
      <c r="S435" s="697"/>
      <c r="T435" s="698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46</v>
      </c>
      <c r="AB435" s="69" t="s">
        <v>276</v>
      </c>
      <c r="AC435" s="530" t="s">
        <v>720</v>
      </c>
      <c r="AG435" s="78"/>
      <c r="AJ435" s="84" t="s">
        <v>46</v>
      </c>
      <c r="AK435" s="84">
        <v>0</v>
      </c>
      <c r="BB435" s="531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721</v>
      </c>
      <c r="B436" s="63" t="s">
        <v>722</v>
      </c>
      <c r="C436" s="36">
        <v>4301060524</v>
      </c>
      <c r="D436" s="695">
        <v>4607091384673</v>
      </c>
      <c r="E436" s="695"/>
      <c r="F436" s="62">
        <v>1.5</v>
      </c>
      <c r="G436" s="37">
        <v>6</v>
      </c>
      <c r="H436" s="62">
        <v>9</v>
      </c>
      <c r="I436" s="62">
        <v>9.4939999999999998</v>
      </c>
      <c r="J436" s="37">
        <v>64</v>
      </c>
      <c r="K436" s="37" t="s">
        <v>133</v>
      </c>
      <c r="L436" s="37" t="s">
        <v>46</v>
      </c>
      <c r="M436" s="38" t="s">
        <v>90</v>
      </c>
      <c r="N436" s="38"/>
      <c r="O436" s="37">
        <v>40</v>
      </c>
      <c r="P436" s="9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97"/>
      <c r="R436" s="697"/>
      <c r="S436" s="697"/>
      <c r="T436" s="698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IFERROR(IF(Y436=0,"",ROUNDUP(Y436/H436,0)*0.01898),"")</f>
        <v/>
      </c>
      <c r="AA436" s="68" t="s">
        <v>46</v>
      </c>
      <c r="AB436" s="69" t="s">
        <v>46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03"/>
      <c r="B437" s="703"/>
      <c r="C437" s="703"/>
      <c r="D437" s="703"/>
      <c r="E437" s="703"/>
      <c r="F437" s="703"/>
      <c r="G437" s="703"/>
      <c r="H437" s="703"/>
      <c r="I437" s="703"/>
      <c r="J437" s="703"/>
      <c r="K437" s="703"/>
      <c r="L437" s="703"/>
      <c r="M437" s="703"/>
      <c r="N437" s="703"/>
      <c r="O437" s="704"/>
      <c r="P437" s="700" t="s">
        <v>40</v>
      </c>
      <c r="Q437" s="701"/>
      <c r="R437" s="701"/>
      <c r="S437" s="701"/>
      <c r="T437" s="701"/>
      <c r="U437" s="701"/>
      <c r="V437" s="702"/>
      <c r="W437" s="42" t="s">
        <v>39</v>
      </c>
      <c r="X437" s="43">
        <f>IFERROR(X435/H435,"0")+IFERROR(X436/H436,"0")</f>
        <v>0</v>
      </c>
      <c r="Y437" s="43">
        <f>IFERROR(Y435/H435,"0")+IFERROR(Y436/H436,"0")</f>
        <v>0</v>
      </c>
      <c r="Z437" s="43">
        <f>IFERROR(IF(Z435="",0,Z435),"0")+IFERROR(IF(Z436="",0,Z436),"0")</f>
        <v>0</v>
      </c>
      <c r="AA437" s="67"/>
      <c r="AB437" s="67"/>
      <c r="AC437" s="67"/>
    </row>
    <row r="438" spans="1:68" x14ac:dyDescent="0.2">
      <c r="A438" s="703"/>
      <c r="B438" s="703"/>
      <c r="C438" s="703"/>
      <c r="D438" s="703"/>
      <c r="E438" s="703"/>
      <c r="F438" s="703"/>
      <c r="G438" s="703"/>
      <c r="H438" s="703"/>
      <c r="I438" s="703"/>
      <c r="J438" s="703"/>
      <c r="K438" s="703"/>
      <c r="L438" s="703"/>
      <c r="M438" s="703"/>
      <c r="N438" s="703"/>
      <c r="O438" s="704"/>
      <c r="P438" s="700" t="s">
        <v>40</v>
      </c>
      <c r="Q438" s="701"/>
      <c r="R438" s="701"/>
      <c r="S438" s="701"/>
      <c r="T438" s="701"/>
      <c r="U438" s="701"/>
      <c r="V438" s="702"/>
      <c r="W438" s="42" t="s">
        <v>0</v>
      </c>
      <c r="X438" s="43">
        <f>IFERROR(SUM(X435:X436),"0")</f>
        <v>0</v>
      </c>
      <c r="Y438" s="43">
        <f>IFERROR(SUM(Y435:Y436),"0")</f>
        <v>0</v>
      </c>
      <c r="Z438" s="42"/>
      <c r="AA438" s="67"/>
      <c r="AB438" s="67"/>
      <c r="AC438" s="67"/>
    </row>
    <row r="439" spans="1:68" ht="16.5" customHeight="1" x14ac:dyDescent="0.25">
      <c r="A439" s="693" t="s">
        <v>724</v>
      </c>
      <c r="B439" s="693"/>
      <c r="C439" s="693"/>
      <c r="D439" s="693"/>
      <c r="E439" s="693"/>
      <c r="F439" s="693"/>
      <c r="G439" s="693"/>
      <c r="H439" s="693"/>
      <c r="I439" s="693"/>
      <c r="J439" s="693"/>
      <c r="K439" s="693"/>
      <c r="L439" s="693"/>
      <c r="M439" s="693"/>
      <c r="N439" s="693"/>
      <c r="O439" s="693"/>
      <c r="P439" s="693"/>
      <c r="Q439" s="693"/>
      <c r="R439" s="693"/>
      <c r="S439" s="693"/>
      <c r="T439" s="693"/>
      <c r="U439" s="693"/>
      <c r="V439" s="693"/>
      <c r="W439" s="693"/>
      <c r="X439" s="693"/>
      <c r="Y439" s="693"/>
      <c r="Z439" s="693"/>
      <c r="AA439" s="65"/>
      <c r="AB439" s="65"/>
      <c r="AC439" s="79"/>
    </row>
    <row r="440" spans="1:68" ht="14.25" customHeight="1" x14ac:dyDescent="0.25">
      <c r="A440" s="694" t="s">
        <v>128</v>
      </c>
      <c r="B440" s="694"/>
      <c r="C440" s="694"/>
      <c r="D440" s="694"/>
      <c r="E440" s="694"/>
      <c r="F440" s="694"/>
      <c r="G440" s="694"/>
      <c r="H440" s="694"/>
      <c r="I440" s="694"/>
      <c r="J440" s="694"/>
      <c r="K440" s="694"/>
      <c r="L440" s="694"/>
      <c r="M440" s="694"/>
      <c r="N440" s="694"/>
      <c r="O440" s="694"/>
      <c r="P440" s="694"/>
      <c r="Q440" s="694"/>
      <c r="R440" s="694"/>
      <c r="S440" s="694"/>
      <c r="T440" s="694"/>
      <c r="U440" s="694"/>
      <c r="V440" s="694"/>
      <c r="W440" s="694"/>
      <c r="X440" s="694"/>
      <c r="Y440" s="694"/>
      <c r="Z440" s="694"/>
      <c r="AA440" s="66"/>
      <c r="AB440" s="66"/>
      <c r="AC440" s="80"/>
    </row>
    <row r="441" spans="1:68" ht="27" customHeight="1" x14ac:dyDescent="0.25">
      <c r="A441" s="63" t="s">
        <v>725</v>
      </c>
      <c r="B441" s="63" t="s">
        <v>726</v>
      </c>
      <c r="C441" s="36">
        <v>4301011875</v>
      </c>
      <c r="D441" s="695">
        <v>4680115884885</v>
      </c>
      <c r="E441" s="695"/>
      <c r="F441" s="62">
        <v>0.8</v>
      </c>
      <c r="G441" s="37">
        <v>15</v>
      </c>
      <c r="H441" s="62">
        <v>12</v>
      </c>
      <c r="I441" s="62">
        <v>12.41</v>
      </c>
      <c r="J441" s="37">
        <v>64</v>
      </c>
      <c r="K441" s="37" t="s">
        <v>133</v>
      </c>
      <c r="L441" s="37" t="s">
        <v>46</v>
      </c>
      <c r="M441" s="38" t="s">
        <v>81</v>
      </c>
      <c r="N441" s="38"/>
      <c r="O441" s="37">
        <v>60</v>
      </c>
      <c r="P441" s="9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97"/>
      <c r="R441" s="697"/>
      <c r="S441" s="697"/>
      <c r="T441" s="698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34" t="s">
        <v>727</v>
      </c>
      <c r="AG441" s="78"/>
      <c r="AJ441" s="84" t="s">
        <v>46</v>
      </c>
      <c r="AK441" s="84">
        <v>0</v>
      </c>
      <c r="BB441" s="535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37.5" customHeight="1" x14ac:dyDescent="0.25">
      <c r="A442" s="63" t="s">
        <v>728</v>
      </c>
      <c r="B442" s="63" t="s">
        <v>729</v>
      </c>
      <c r="C442" s="36">
        <v>4301011871</v>
      </c>
      <c r="D442" s="695">
        <v>4680115884908</v>
      </c>
      <c r="E442" s="695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140</v>
      </c>
      <c r="L442" s="37" t="s">
        <v>46</v>
      </c>
      <c r="M442" s="38" t="s">
        <v>81</v>
      </c>
      <c r="N442" s="38"/>
      <c r="O442" s="37">
        <v>60</v>
      </c>
      <c r="P442" s="92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97"/>
      <c r="R442" s="697"/>
      <c r="S442" s="697"/>
      <c r="T442" s="698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36" t="s">
        <v>727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03"/>
      <c r="B443" s="703"/>
      <c r="C443" s="703"/>
      <c r="D443" s="703"/>
      <c r="E443" s="703"/>
      <c r="F443" s="703"/>
      <c r="G443" s="703"/>
      <c r="H443" s="703"/>
      <c r="I443" s="703"/>
      <c r="J443" s="703"/>
      <c r="K443" s="703"/>
      <c r="L443" s="703"/>
      <c r="M443" s="703"/>
      <c r="N443" s="703"/>
      <c r="O443" s="704"/>
      <c r="P443" s="700" t="s">
        <v>40</v>
      </c>
      <c r="Q443" s="701"/>
      <c r="R443" s="701"/>
      <c r="S443" s="701"/>
      <c r="T443" s="701"/>
      <c r="U443" s="701"/>
      <c r="V443" s="702"/>
      <c r="W443" s="42" t="s">
        <v>39</v>
      </c>
      <c r="X443" s="43">
        <f>IFERROR(X441/H441,"0")+IFERROR(X442/H442,"0")</f>
        <v>0</v>
      </c>
      <c r="Y443" s="43">
        <f>IFERROR(Y441/H441,"0")+IFERROR(Y442/H442,"0")</f>
        <v>0</v>
      </c>
      <c r="Z443" s="43">
        <f>IFERROR(IF(Z441="",0,Z441),"0")+IFERROR(IF(Z442="",0,Z442),"0")</f>
        <v>0</v>
      </c>
      <c r="AA443" s="67"/>
      <c r="AB443" s="67"/>
      <c r="AC443" s="67"/>
    </row>
    <row r="444" spans="1:68" x14ac:dyDescent="0.2">
      <c r="A444" s="703"/>
      <c r="B444" s="703"/>
      <c r="C444" s="703"/>
      <c r="D444" s="703"/>
      <c r="E444" s="703"/>
      <c r="F444" s="703"/>
      <c r="G444" s="703"/>
      <c r="H444" s="703"/>
      <c r="I444" s="703"/>
      <c r="J444" s="703"/>
      <c r="K444" s="703"/>
      <c r="L444" s="703"/>
      <c r="M444" s="703"/>
      <c r="N444" s="703"/>
      <c r="O444" s="704"/>
      <c r="P444" s="700" t="s">
        <v>40</v>
      </c>
      <c r="Q444" s="701"/>
      <c r="R444" s="701"/>
      <c r="S444" s="701"/>
      <c r="T444" s="701"/>
      <c r="U444" s="701"/>
      <c r="V444" s="702"/>
      <c r="W444" s="42" t="s">
        <v>0</v>
      </c>
      <c r="X444" s="43">
        <f>IFERROR(SUM(X441:X442),"0")</f>
        <v>0</v>
      </c>
      <c r="Y444" s="43">
        <f>IFERROR(SUM(Y441:Y442),"0")</f>
        <v>0</v>
      </c>
      <c r="Z444" s="42"/>
      <c r="AA444" s="67"/>
      <c r="AB444" s="67"/>
      <c r="AC444" s="67"/>
    </row>
    <row r="445" spans="1:68" ht="14.25" customHeight="1" x14ac:dyDescent="0.25">
      <c r="A445" s="694" t="s">
        <v>77</v>
      </c>
      <c r="B445" s="694"/>
      <c r="C445" s="694"/>
      <c r="D445" s="694"/>
      <c r="E445" s="694"/>
      <c r="F445" s="694"/>
      <c r="G445" s="694"/>
      <c r="H445" s="694"/>
      <c r="I445" s="694"/>
      <c r="J445" s="694"/>
      <c r="K445" s="694"/>
      <c r="L445" s="694"/>
      <c r="M445" s="694"/>
      <c r="N445" s="694"/>
      <c r="O445" s="694"/>
      <c r="P445" s="694"/>
      <c r="Q445" s="694"/>
      <c r="R445" s="694"/>
      <c r="S445" s="694"/>
      <c r="T445" s="694"/>
      <c r="U445" s="694"/>
      <c r="V445" s="694"/>
      <c r="W445" s="694"/>
      <c r="X445" s="694"/>
      <c r="Y445" s="694"/>
      <c r="Z445" s="694"/>
      <c r="AA445" s="66"/>
      <c r="AB445" s="66"/>
      <c r="AC445" s="80"/>
    </row>
    <row r="446" spans="1:68" ht="27" customHeight="1" x14ac:dyDescent="0.25">
      <c r="A446" s="63" t="s">
        <v>730</v>
      </c>
      <c r="B446" s="63" t="s">
        <v>731</v>
      </c>
      <c r="C446" s="36">
        <v>4301031457</v>
      </c>
      <c r="D446" s="695">
        <v>4607091384802</v>
      </c>
      <c r="E446" s="695"/>
      <c r="F446" s="62">
        <v>0.7</v>
      </c>
      <c r="G446" s="37">
        <v>6</v>
      </c>
      <c r="H446" s="62">
        <v>4.2</v>
      </c>
      <c r="I446" s="62">
        <v>4.45</v>
      </c>
      <c r="J446" s="37">
        <v>132</v>
      </c>
      <c r="K446" s="37" t="s">
        <v>140</v>
      </c>
      <c r="L446" s="37" t="s">
        <v>46</v>
      </c>
      <c r="M446" s="38" t="s">
        <v>81</v>
      </c>
      <c r="N446" s="38"/>
      <c r="O446" s="37">
        <v>50</v>
      </c>
      <c r="P446" s="9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97"/>
      <c r="R446" s="697"/>
      <c r="S446" s="697"/>
      <c r="T446" s="69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38" t="s">
        <v>732</v>
      </c>
      <c r="AG446" s="78"/>
      <c r="AJ446" s="84" t="s">
        <v>46</v>
      </c>
      <c r="AK446" s="84">
        <v>0</v>
      </c>
      <c r="BB446" s="539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03"/>
      <c r="B447" s="703"/>
      <c r="C447" s="703"/>
      <c r="D447" s="703"/>
      <c r="E447" s="703"/>
      <c r="F447" s="703"/>
      <c r="G447" s="703"/>
      <c r="H447" s="703"/>
      <c r="I447" s="703"/>
      <c r="J447" s="703"/>
      <c r="K447" s="703"/>
      <c r="L447" s="703"/>
      <c r="M447" s="703"/>
      <c r="N447" s="703"/>
      <c r="O447" s="704"/>
      <c r="P447" s="700" t="s">
        <v>40</v>
      </c>
      <c r="Q447" s="701"/>
      <c r="R447" s="701"/>
      <c r="S447" s="701"/>
      <c r="T447" s="701"/>
      <c r="U447" s="701"/>
      <c r="V447" s="702"/>
      <c r="W447" s="42" t="s">
        <v>39</v>
      </c>
      <c r="X447" s="43">
        <f>IFERROR(X446/H446,"0")</f>
        <v>0</v>
      </c>
      <c r="Y447" s="43">
        <f>IFERROR(Y446/H446,"0")</f>
        <v>0</v>
      </c>
      <c r="Z447" s="43">
        <f>IFERROR(IF(Z446="",0,Z446),"0")</f>
        <v>0</v>
      </c>
      <c r="AA447" s="67"/>
      <c r="AB447" s="67"/>
      <c r="AC447" s="67"/>
    </row>
    <row r="448" spans="1:68" x14ac:dyDescent="0.2">
      <c r="A448" s="703"/>
      <c r="B448" s="703"/>
      <c r="C448" s="703"/>
      <c r="D448" s="703"/>
      <c r="E448" s="703"/>
      <c r="F448" s="703"/>
      <c r="G448" s="703"/>
      <c r="H448" s="703"/>
      <c r="I448" s="703"/>
      <c r="J448" s="703"/>
      <c r="K448" s="703"/>
      <c r="L448" s="703"/>
      <c r="M448" s="703"/>
      <c r="N448" s="703"/>
      <c r="O448" s="704"/>
      <c r="P448" s="700" t="s">
        <v>40</v>
      </c>
      <c r="Q448" s="701"/>
      <c r="R448" s="701"/>
      <c r="S448" s="701"/>
      <c r="T448" s="701"/>
      <c r="U448" s="701"/>
      <c r="V448" s="702"/>
      <c r="W448" s="42" t="s">
        <v>0</v>
      </c>
      <c r="X448" s="43">
        <f>IFERROR(SUM(X446:X446),"0")</f>
        <v>0</v>
      </c>
      <c r="Y448" s="43">
        <f>IFERROR(SUM(Y446:Y446),"0")</f>
        <v>0</v>
      </c>
      <c r="Z448" s="42"/>
      <c r="AA448" s="67"/>
      <c r="AB448" s="67"/>
      <c r="AC448" s="67"/>
    </row>
    <row r="449" spans="1:68" ht="14.25" customHeight="1" x14ac:dyDescent="0.25">
      <c r="A449" s="694" t="s">
        <v>86</v>
      </c>
      <c r="B449" s="694"/>
      <c r="C449" s="694"/>
      <c r="D449" s="694"/>
      <c r="E449" s="694"/>
      <c r="F449" s="694"/>
      <c r="G449" s="694"/>
      <c r="H449" s="694"/>
      <c r="I449" s="694"/>
      <c r="J449" s="694"/>
      <c r="K449" s="694"/>
      <c r="L449" s="694"/>
      <c r="M449" s="694"/>
      <c r="N449" s="694"/>
      <c r="O449" s="694"/>
      <c r="P449" s="694"/>
      <c r="Q449" s="694"/>
      <c r="R449" s="694"/>
      <c r="S449" s="694"/>
      <c r="T449" s="694"/>
      <c r="U449" s="694"/>
      <c r="V449" s="694"/>
      <c r="W449" s="694"/>
      <c r="X449" s="694"/>
      <c r="Y449" s="694"/>
      <c r="Z449" s="694"/>
      <c r="AA449" s="66"/>
      <c r="AB449" s="66"/>
      <c r="AC449" s="80"/>
    </row>
    <row r="450" spans="1:68" ht="27" customHeight="1" x14ac:dyDescent="0.25">
      <c r="A450" s="63" t="s">
        <v>733</v>
      </c>
      <c r="B450" s="63" t="s">
        <v>734</v>
      </c>
      <c r="C450" s="36">
        <v>4301051899</v>
      </c>
      <c r="D450" s="695">
        <v>4607091384246</v>
      </c>
      <c r="E450" s="69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133</v>
      </c>
      <c r="L450" s="37" t="s">
        <v>46</v>
      </c>
      <c r="M450" s="38" t="s">
        <v>90</v>
      </c>
      <c r="N450" s="38"/>
      <c r="O450" s="37">
        <v>40</v>
      </c>
      <c r="P450" s="93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97"/>
      <c r="R450" s="697"/>
      <c r="S450" s="697"/>
      <c r="T450" s="69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40" t="s">
        <v>735</v>
      </c>
      <c r="AG450" s="78"/>
      <c r="AJ450" s="84" t="s">
        <v>46</v>
      </c>
      <c r="AK450" s="84">
        <v>0</v>
      </c>
      <c r="BB450" s="541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736</v>
      </c>
      <c r="B451" s="63" t="s">
        <v>737</v>
      </c>
      <c r="C451" s="36">
        <v>4301051660</v>
      </c>
      <c r="D451" s="695">
        <v>4607091384253</v>
      </c>
      <c r="E451" s="695"/>
      <c r="F451" s="62">
        <v>0.4</v>
      </c>
      <c r="G451" s="37">
        <v>6</v>
      </c>
      <c r="H451" s="62">
        <v>2.4</v>
      </c>
      <c r="I451" s="62">
        <v>2.6640000000000001</v>
      </c>
      <c r="J451" s="37">
        <v>182</v>
      </c>
      <c r="K451" s="37" t="s">
        <v>91</v>
      </c>
      <c r="L451" s="37" t="s">
        <v>46</v>
      </c>
      <c r="M451" s="38" t="s">
        <v>90</v>
      </c>
      <c r="N451" s="38"/>
      <c r="O451" s="37">
        <v>40</v>
      </c>
      <c r="P451" s="9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97"/>
      <c r="R451" s="697"/>
      <c r="S451" s="697"/>
      <c r="T451" s="69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46</v>
      </c>
      <c r="AB451" s="69" t="s">
        <v>46</v>
      </c>
      <c r="AC451" s="542" t="s">
        <v>735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736</v>
      </c>
      <c r="B452" s="63" t="s">
        <v>738</v>
      </c>
      <c r="C452" s="36">
        <v>4301052069</v>
      </c>
      <c r="D452" s="695">
        <v>4607091384253</v>
      </c>
      <c r="E452" s="695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97"/>
      <c r="R452" s="697"/>
      <c r="S452" s="697"/>
      <c r="T452" s="69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739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03"/>
      <c r="B453" s="703"/>
      <c r="C453" s="703"/>
      <c r="D453" s="703"/>
      <c r="E453" s="703"/>
      <c r="F453" s="703"/>
      <c r="G453" s="703"/>
      <c r="H453" s="703"/>
      <c r="I453" s="703"/>
      <c r="J453" s="703"/>
      <c r="K453" s="703"/>
      <c r="L453" s="703"/>
      <c r="M453" s="703"/>
      <c r="N453" s="703"/>
      <c r="O453" s="704"/>
      <c r="P453" s="700" t="s">
        <v>40</v>
      </c>
      <c r="Q453" s="701"/>
      <c r="R453" s="701"/>
      <c r="S453" s="701"/>
      <c r="T453" s="701"/>
      <c r="U453" s="701"/>
      <c r="V453" s="702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703"/>
      <c r="B454" s="703"/>
      <c r="C454" s="703"/>
      <c r="D454" s="703"/>
      <c r="E454" s="703"/>
      <c r="F454" s="703"/>
      <c r="G454" s="703"/>
      <c r="H454" s="703"/>
      <c r="I454" s="703"/>
      <c r="J454" s="703"/>
      <c r="K454" s="703"/>
      <c r="L454" s="703"/>
      <c r="M454" s="703"/>
      <c r="N454" s="703"/>
      <c r="O454" s="704"/>
      <c r="P454" s="700" t="s">
        <v>40</v>
      </c>
      <c r="Q454" s="701"/>
      <c r="R454" s="701"/>
      <c r="S454" s="701"/>
      <c r="T454" s="701"/>
      <c r="U454" s="701"/>
      <c r="V454" s="702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92" t="s">
        <v>740</v>
      </c>
      <c r="B455" s="692"/>
      <c r="C455" s="692"/>
      <c r="D455" s="692"/>
      <c r="E455" s="692"/>
      <c r="F455" s="692"/>
      <c r="G455" s="692"/>
      <c r="H455" s="692"/>
      <c r="I455" s="692"/>
      <c r="J455" s="692"/>
      <c r="K455" s="692"/>
      <c r="L455" s="692"/>
      <c r="M455" s="692"/>
      <c r="N455" s="692"/>
      <c r="O455" s="692"/>
      <c r="P455" s="692"/>
      <c r="Q455" s="692"/>
      <c r="R455" s="692"/>
      <c r="S455" s="692"/>
      <c r="T455" s="692"/>
      <c r="U455" s="692"/>
      <c r="V455" s="692"/>
      <c r="W455" s="692"/>
      <c r="X455" s="692"/>
      <c r="Y455" s="692"/>
      <c r="Z455" s="692"/>
      <c r="AA455" s="54"/>
      <c r="AB455" s="54"/>
      <c r="AC455" s="54"/>
    </row>
    <row r="456" spans="1:68" ht="16.5" customHeight="1" x14ac:dyDescent="0.25">
      <c r="A456" s="693" t="s">
        <v>741</v>
      </c>
      <c r="B456" s="693"/>
      <c r="C456" s="693"/>
      <c r="D456" s="693"/>
      <c r="E456" s="693"/>
      <c r="F456" s="693"/>
      <c r="G456" s="693"/>
      <c r="H456" s="693"/>
      <c r="I456" s="693"/>
      <c r="J456" s="693"/>
      <c r="K456" s="693"/>
      <c r="L456" s="693"/>
      <c r="M456" s="693"/>
      <c r="N456" s="693"/>
      <c r="O456" s="693"/>
      <c r="P456" s="693"/>
      <c r="Q456" s="693"/>
      <c r="R456" s="693"/>
      <c r="S456" s="693"/>
      <c r="T456" s="693"/>
      <c r="U456" s="693"/>
      <c r="V456" s="693"/>
      <c r="W456" s="693"/>
      <c r="X456" s="693"/>
      <c r="Y456" s="693"/>
      <c r="Z456" s="693"/>
      <c r="AA456" s="65"/>
      <c r="AB456" s="65"/>
      <c r="AC456" s="79"/>
    </row>
    <row r="457" spans="1:68" ht="14.25" customHeight="1" x14ac:dyDescent="0.25">
      <c r="A457" s="694" t="s">
        <v>77</v>
      </c>
      <c r="B457" s="694"/>
      <c r="C457" s="694"/>
      <c r="D457" s="694"/>
      <c r="E457" s="694"/>
      <c r="F457" s="694"/>
      <c r="G457" s="694"/>
      <c r="H457" s="694"/>
      <c r="I457" s="694"/>
      <c r="J457" s="694"/>
      <c r="K457" s="694"/>
      <c r="L457" s="694"/>
      <c r="M457" s="694"/>
      <c r="N457" s="694"/>
      <c r="O457" s="694"/>
      <c r="P457" s="694"/>
      <c r="Q457" s="694"/>
      <c r="R457" s="694"/>
      <c r="S457" s="694"/>
      <c r="T457" s="694"/>
      <c r="U457" s="694"/>
      <c r="V457" s="694"/>
      <c r="W457" s="694"/>
      <c r="X457" s="694"/>
      <c r="Y457" s="694"/>
      <c r="Z457" s="694"/>
      <c r="AA457" s="66"/>
      <c r="AB457" s="66"/>
      <c r="AC457" s="80"/>
    </row>
    <row r="458" spans="1:68" ht="27" customHeight="1" x14ac:dyDescent="0.25">
      <c r="A458" s="63" t="s">
        <v>742</v>
      </c>
      <c r="B458" s="63" t="s">
        <v>743</v>
      </c>
      <c r="C458" s="36">
        <v>4301031405</v>
      </c>
      <c r="D458" s="695">
        <v>4680115886100</v>
      </c>
      <c r="E458" s="695"/>
      <c r="F458" s="62">
        <v>0.9</v>
      </c>
      <c r="G458" s="37">
        <v>6</v>
      </c>
      <c r="H458" s="62">
        <v>5.4</v>
      </c>
      <c r="I458" s="62">
        <v>5.59</v>
      </c>
      <c r="J458" s="37">
        <v>132</v>
      </c>
      <c r="K458" s="37" t="s">
        <v>140</v>
      </c>
      <c r="L458" s="37" t="s">
        <v>46</v>
      </c>
      <c r="M458" s="38" t="s">
        <v>81</v>
      </c>
      <c r="N458" s="38"/>
      <c r="O458" s="37">
        <v>50</v>
      </c>
      <c r="P458" s="9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97"/>
      <c r="R458" s="697"/>
      <c r="S458" s="697"/>
      <c r="T458" s="698"/>
      <c r="U458" s="39" t="s">
        <v>46</v>
      </c>
      <c r="V458" s="39" t="s">
        <v>46</v>
      </c>
      <c r="W458" s="40" t="s">
        <v>0</v>
      </c>
      <c r="X458" s="58">
        <v>0</v>
      </c>
      <c r="Y458" s="55">
        <f t="shared" ref="Y458:Y463" si="52"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46" t="s">
        <v>744</v>
      </c>
      <c r="AG458" s="78"/>
      <c r="AJ458" s="84" t="s">
        <v>46</v>
      </c>
      <c r="AK458" s="84">
        <v>0</v>
      </c>
      <c r="BB458" s="547" t="s">
        <v>67</v>
      </c>
      <c r="BM458" s="78">
        <f t="shared" ref="BM458:BM463" si="53">IFERROR(X458*I458/H458,"0")</f>
        <v>0</v>
      </c>
      <c r="BN458" s="78">
        <f t="shared" ref="BN458:BN463" si="54">IFERROR(Y458*I458/H458,"0")</f>
        <v>0</v>
      </c>
      <c r="BO458" s="78">
        <f t="shared" ref="BO458:BO463" si="55">IFERROR(1/J458*(X458/H458),"0")</f>
        <v>0</v>
      </c>
      <c r="BP458" s="78">
        <f t="shared" ref="BP458:BP463" si="56">IFERROR(1/J458*(Y458/H458),"0")</f>
        <v>0</v>
      </c>
    </row>
    <row r="459" spans="1:68" ht="27" customHeight="1" x14ac:dyDescent="0.25">
      <c r="A459" s="63" t="s">
        <v>745</v>
      </c>
      <c r="B459" s="63" t="s">
        <v>746</v>
      </c>
      <c r="C459" s="36">
        <v>4301031402</v>
      </c>
      <c r="D459" s="695">
        <v>4680115886124</v>
      </c>
      <c r="E459" s="695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97"/>
      <c r="R459" s="697"/>
      <c r="S459" s="697"/>
      <c r="T459" s="698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si="52"/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si="53"/>
        <v>0</v>
      </c>
      <c r="BN459" s="78">
        <f t="shared" si="54"/>
        <v>0</v>
      </c>
      <c r="BO459" s="78">
        <f t="shared" si="55"/>
        <v>0</v>
      </c>
      <c r="BP459" s="78">
        <f t="shared" si="56"/>
        <v>0</v>
      </c>
    </row>
    <row r="460" spans="1:68" ht="27" customHeight="1" x14ac:dyDescent="0.25">
      <c r="A460" s="63" t="s">
        <v>748</v>
      </c>
      <c r="B460" s="63" t="s">
        <v>749</v>
      </c>
      <c r="C460" s="36">
        <v>4301031362</v>
      </c>
      <c r="D460" s="695">
        <v>4607091384338</v>
      </c>
      <c r="E460" s="695"/>
      <c r="F460" s="62">
        <v>0.35</v>
      </c>
      <c r="G460" s="37">
        <v>6</v>
      </c>
      <c r="H460" s="62">
        <v>2.1</v>
      </c>
      <c r="I460" s="62">
        <v>2.23</v>
      </c>
      <c r="J460" s="37">
        <v>234</v>
      </c>
      <c r="K460" s="37" t="s">
        <v>82</v>
      </c>
      <c r="L460" s="37" t="s">
        <v>46</v>
      </c>
      <c r="M460" s="38" t="s">
        <v>81</v>
      </c>
      <c r="N460" s="38"/>
      <c r="O460" s="37">
        <v>50</v>
      </c>
      <c r="P460" s="9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97"/>
      <c r="R460" s="697"/>
      <c r="S460" s="697"/>
      <c r="T460" s="698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2"/>
        <v>0</v>
      </c>
      <c r="Z460" s="41" t="str">
        <f>IFERROR(IF(Y460=0,"",ROUNDUP(Y460/H460,0)*0.00502),"")</f>
        <v/>
      </c>
      <c r="AA460" s="68" t="s">
        <v>46</v>
      </c>
      <c r="AB460" s="69" t="s">
        <v>46</v>
      </c>
      <c r="AC460" s="550" t="s">
        <v>744</v>
      </c>
      <c r="AG460" s="78"/>
      <c r="AJ460" s="84" t="s">
        <v>46</v>
      </c>
      <c r="AK460" s="84">
        <v>0</v>
      </c>
      <c r="BB460" s="551" t="s">
        <v>67</v>
      </c>
      <c r="BM460" s="78">
        <f t="shared" si="53"/>
        <v>0</v>
      </c>
      <c r="BN460" s="78">
        <f t="shared" si="54"/>
        <v>0</v>
      </c>
      <c r="BO460" s="78">
        <f t="shared" si="55"/>
        <v>0</v>
      </c>
      <c r="BP460" s="78">
        <f t="shared" si="56"/>
        <v>0</v>
      </c>
    </row>
    <row r="461" spans="1:68" ht="27" customHeight="1" x14ac:dyDescent="0.25">
      <c r="A461" s="63" t="s">
        <v>750</v>
      </c>
      <c r="B461" s="63" t="s">
        <v>751</v>
      </c>
      <c r="C461" s="36">
        <v>4301031364</v>
      </c>
      <c r="D461" s="695">
        <v>4680115883161</v>
      </c>
      <c r="E461" s="695"/>
      <c r="F461" s="62">
        <v>0.28000000000000003</v>
      </c>
      <c r="G461" s="37">
        <v>6</v>
      </c>
      <c r="H461" s="62">
        <v>1.68</v>
      </c>
      <c r="I461" s="62">
        <v>1.81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97"/>
      <c r="R461" s="697"/>
      <c r="S461" s="697"/>
      <c r="T461" s="698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2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752</v>
      </c>
      <c r="AG461" s="78"/>
      <c r="AJ461" s="84" t="s">
        <v>46</v>
      </c>
      <c r="AK461" s="84">
        <v>0</v>
      </c>
      <c r="BB461" s="553" t="s">
        <v>67</v>
      </c>
      <c r="BM461" s="78">
        <f t="shared" si="53"/>
        <v>0</v>
      </c>
      <c r="BN461" s="78">
        <f t="shared" si="54"/>
        <v>0</v>
      </c>
      <c r="BO461" s="78">
        <f t="shared" si="55"/>
        <v>0</v>
      </c>
      <c r="BP461" s="78">
        <f t="shared" si="56"/>
        <v>0</v>
      </c>
    </row>
    <row r="462" spans="1:68" ht="27" customHeight="1" x14ac:dyDescent="0.25">
      <c r="A462" s="63" t="s">
        <v>753</v>
      </c>
      <c r="B462" s="63" t="s">
        <v>754</v>
      </c>
      <c r="C462" s="36">
        <v>4301031358</v>
      </c>
      <c r="D462" s="695">
        <v>4607091389531</v>
      </c>
      <c r="E462" s="695"/>
      <c r="F462" s="62">
        <v>0.35</v>
      </c>
      <c r="G462" s="37">
        <v>6</v>
      </c>
      <c r="H462" s="62">
        <v>2.1</v>
      </c>
      <c r="I462" s="62">
        <v>2.23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97"/>
      <c r="R462" s="697"/>
      <c r="S462" s="697"/>
      <c r="T462" s="698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2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3"/>
        <v>0</v>
      </c>
      <c r="BN462" s="78">
        <f t="shared" si="54"/>
        <v>0</v>
      </c>
      <c r="BO462" s="78">
        <f t="shared" si="55"/>
        <v>0</v>
      </c>
      <c r="BP462" s="78">
        <f t="shared" si="56"/>
        <v>0</v>
      </c>
    </row>
    <row r="463" spans="1:68" ht="37.5" customHeight="1" x14ac:dyDescent="0.25">
      <c r="A463" s="63" t="s">
        <v>756</v>
      </c>
      <c r="B463" s="63" t="s">
        <v>757</v>
      </c>
      <c r="C463" s="36">
        <v>4301031360</v>
      </c>
      <c r="D463" s="695">
        <v>4607091384345</v>
      </c>
      <c r="E463" s="695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97"/>
      <c r="R463" s="697"/>
      <c r="S463" s="697"/>
      <c r="T463" s="698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2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752</v>
      </c>
      <c r="AG463" s="78"/>
      <c r="AJ463" s="84" t="s">
        <v>46</v>
      </c>
      <c r="AK463" s="84">
        <v>0</v>
      </c>
      <c r="BB463" s="557" t="s">
        <v>67</v>
      </c>
      <c r="BM463" s="78">
        <f t="shared" si="53"/>
        <v>0</v>
      </c>
      <c r="BN463" s="78">
        <f t="shared" si="54"/>
        <v>0</v>
      </c>
      <c r="BO463" s="78">
        <f t="shared" si="55"/>
        <v>0</v>
      </c>
      <c r="BP463" s="78">
        <f t="shared" si="56"/>
        <v>0</v>
      </c>
    </row>
    <row r="464" spans="1:68" x14ac:dyDescent="0.2">
      <c r="A464" s="703"/>
      <c r="B464" s="703"/>
      <c r="C464" s="703"/>
      <c r="D464" s="703"/>
      <c r="E464" s="703"/>
      <c r="F464" s="703"/>
      <c r="G464" s="703"/>
      <c r="H464" s="703"/>
      <c r="I464" s="703"/>
      <c r="J464" s="703"/>
      <c r="K464" s="703"/>
      <c r="L464" s="703"/>
      <c r="M464" s="703"/>
      <c r="N464" s="703"/>
      <c r="O464" s="704"/>
      <c r="P464" s="700" t="s">
        <v>40</v>
      </c>
      <c r="Q464" s="701"/>
      <c r="R464" s="701"/>
      <c r="S464" s="701"/>
      <c r="T464" s="701"/>
      <c r="U464" s="701"/>
      <c r="V464" s="702"/>
      <c r="W464" s="42" t="s">
        <v>39</v>
      </c>
      <c r="X464" s="43">
        <f>IFERROR(X458/H458,"0")+IFERROR(X459/H459,"0")+IFERROR(X460/H460,"0")+IFERROR(X461/H461,"0")+IFERROR(X462/H462,"0")+IFERROR(X463/H463,"0")</f>
        <v>0</v>
      </c>
      <c r="Y464" s="43">
        <f>IFERROR(Y458/H458,"0")+IFERROR(Y459/H459,"0")+IFERROR(Y460/H460,"0")+IFERROR(Y461/H461,"0")+IFERROR(Y462/H462,"0")+IFERROR(Y463/H463,"0")</f>
        <v>0</v>
      </c>
      <c r="Z464" s="43">
        <f>IFERROR(IF(Z458="",0,Z458),"0")+IFERROR(IF(Z459="",0,Z459),"0")+IFERROR(IF(Z460="",0,Z460),"0")+IFERROR(IF(Z461="",0,Z461),"0")+IFERROR(IF(Z462="",0,Z462),"0")+IFERROR(IF(Z463="",0,Z463),"0")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03"/>
      <c r="B465" s="703"/>
      <c r="C465" s="703"/>
      <c r="D465" s="703"/>
      <c r="E465" s="703"/>
      <c r="F465" s="703"/>
      <c r="G465" s="703"/>
      <c r="H465" s="703"/>
      <c r="I465" s="703"/>
      <c r="J465" s="703"/>
      <c r="K465" s="703"/>
      <c r="L465" s="703"/>
      <c r="M465" s="703"/>
      <c r="N465" s="703"/>
      <c r="O465" s="704"/>
      <c r="P465" s="700" t="s">
        <v>40</v>
      </c>
      <c r="Q465" s="701"/>
      <c r="R465" s="701"/>
      <c r="S465" s="701"/>
      <c r="T465" s="701"/>
      <c r="U465" s="701"/>
      <c r="V465" s="702"/>
      <c r="W465" s="42" t="s">
        <v>0</v>
      </c>
      <c r="X465" s="43">
        <f>IFERROR(SUM(X458:X463),"0")</f>
        <v>0</v>
      </c>
      <c r="Y465" s="43">
        <f>IFERROR(SUM(Y458:Y463),"0")</f>
        <v>0</v>
      </c>
      <c r="Z465" s="42"/>
      <c r="AA465" s="67"/>
      <c r="AB465" s="67"/>
      <c r="AC465" s="67"/>
    </row>
    <row r="466" spans="1:68" ht="14.25" customHeight="1" x14ac:dyDescent="0.25">
      <c r="A466" s="694" t="s">
        <v>86</v>
      </c>
      <c r="B466" s="694"/>
      <c r="C466" s="694"/>
      <c r="D466" s="694"/>
      <c r="E466" s="694"/>
      <c r="F466" s="694"/>
      <c r="G466" s="694"/>
      <c r="H466" s="694"/>
      <c r="I466" s="694"/>
      <c r="J466" s="694"/>
      <c r="K466" s="694"/>
      <c r="L466" s="694"/>
      <c r="M466" s="694"/>
      <c r="N466" s="694"/>
      <c r="O466" s="694"/>
      <c r="P466" s="694"/>
      <c r="Q466" s="694"/>
      <c r="R466" s="694"/>
      <c r="S466" s="694"/>
      <c r="T466" s="694"/>
      <c r="U466" s="694"/>
      <c r="V466" s="694"/>
      <c r="W466" s="694"/>
      <c r="X466" s="694"/>
      <c r="Y466" s="694"/>
      <c r="Z466" s="694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4301051284</v>
      </c>
      <c r="D467" s="695">
        <v>4607091384352</v>
      </c>
      <c r="E467" s="695"/>
      <c r="F467" s="62">
        <v>0.6</v>
      </c>
      <c r="G467" s="37">
        <v>4</v>
      </c>
      <c r="H467" s="62">
        <v>2.4</v>
      </c>
      <c r="I467" s="62">
        <v>2.6259999999999999</v>
      </c>
      <c r="J467" s="37">
        <v>132</v>
      </c>
      <c r="K467" s="37" t="s">
        <v>140</v>
      </c>
      <c r="L467" s="37" t="s">
        <v>46</v>
      </c>
      <c r="M467" s="38" t="s">
        <v>90</v>
      </c>
      <c r="N467" s="38"/>
      <c r="O467" s="37">
        <v>45</v>
      </c>
      <c r="P467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97"/>
      <c r="R467" s="697"/>
      <c r="S467" s="697"/>
      <c r="T467" s="69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761</v>
      </c>
      <c r="B468" s="63" t="s">
        <v>762</v>
      </c>
      <c r="C468" s="36">
        <v>4301051431</v>
      </c>
      <c r="D468" s="695">
        <v>4607091389654</v>
      </c>
      <c r="E468" s="695"/>
      <c r="F468" s="62">
        <v>0.33</v>
      </c>
      <c r="G468" s="37">
        <v>6</v>
      </c>
      <c r="H468" s="62">
        <v>1.98</v>
      </c>
      <c r="I468" s="62">
        <v>2.238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45</v>
      </c>
      <c r="P468" s="94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97"/>
      <c r="R468" s="697"/>
      <c r="S468" s="697"/>
      <c r="T468" s="69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703"/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3"/>
      <c r="N469" s="703"/>
      <c r="O469" s="704"/>
      <c r="P469" s="700" t="s">
        <v>40</v>
      </c>
      <c r="Q469" s="701"/>
      <c r="R469" s="701"/>
      <c r="S469" s="701"/>
      <c r="T469" s="701"/>
      <c r="U469" s="701"/>
      <c r="V469" s="702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x14ac:dyDescent="0.2">
      <c r="A470" s="703"/>
      <c r="B470" s="703"/>
      <c r="C470" s="703"/>
      <c r="D470" s="703"/>
      <c r="E470" s="703"/>
      <c r="F470" s="703"/>
      <c r="G470" s="703"/>
      <c r="H470" s="703"/>
      <c r="I470" s="703"/>
      <c r="J470" s="703"/>
      <c r="K470" s="703"/>
      <c r="L470" s="703"/>
      <c r="M470" s="703"/>
      <c r="N470" s="703"/>
      <c r="O470" s="704"/>
      <c r="P470" s="700" t="s">
        <v>40</v>
      </c>
      <c r="Q470" s="701"/>
      <c r="R470" s="701"/>
      <c r="S470" s="701"/>
      <c r="T470" s="701"/>
      <c r="U470" s="701"/>
      <c r="V470" s="702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6.5" customHeight="1" x14ac:dyDescent="0.25">
      <c r="A471" s="693" t="s">
        <v>764</v>
      </c>
      <c r="B471" s="693"/>
      <c r="C471" s="693"/>
      <c r="D471" s="693"/>
      <c r="E471" s="693"/>
      <c r="F471" s="693"/>
      <c r="G471" s="693"/>
      <c r="H471" s="693"/>
      <c r="I471" s="693"/>
      <c r="J471" s="693"/>
      <c r="K471" s="693"/>
      <c r="L471" s="693"/>
      <c r="M471" s="693"/>
      <c r="N471" s="693"/>
      <c r="O471" s="693"/>
      <c r="P471" s="693"/>
      <c r="Q471" s="693"/>
      <c r="R471" s="693"/>
      <c r="S471" s="693"/>
      <c r="T471" s="693"/>
      <c r="U471" s="693"/>
      <c r="V471" s="693"/>
      <c r="W471" s="693"/>
      <c r="X471" s="693"/>
      <c r="Y471" s="693"/>
      <c r="Z471" s="693"/>
      <c r="AA471" s="65"/>
      <c r="AB471" s="65"/>
      <c r="AC471" s="79"/>
    </row>
    <row r="472" spans="1:68" ht="14.25" customHeight="1" x14ac:dyDescent="0.25">
      <c r="A472" s="694" t="s">
        <v>164</v>
      </c>
      <c r="B472" s="694"/>
      <c r="C472" s="694"/>
      <c r="D472" s="694"/>
      <c r="E472" s="694"/>
      <c r="F472" s="694"/>
      <c r="G472" s="694"/>
      <c r="H472" s="694"/>
      <c r="I472" s="694"/>
      <c r="J472" s="694"/>
      <c r="K472" s="694"/>
      <c r="L472" s="694"/>
      <c r="M472" s="694"/>
      <c r="N472" s="694"/>
      <c r="O472" s="694"/>
      <c r="P472" s="694"/>
      <c r="Q472" s="694"/>
      <c r="R472" s="694"/>
      <c r="S472" s="694"/>
      <c r="T472" s="694"/>
      <c r="U472" s="694"/>
      <c r="V472" s="694"/>
      <c r="W472" s="694"/>
      <c r="X472" s="694"/>
      <c r="Y472" s="694"/>
      <c r="Z472" s="694"/>
      <c r="AA472" s="66"/>
      <c r="AB472" s="66"/>
      <c r="AC472" s="80"/>
    </row>
    <row r="473" spans="1:68" ht="27" customHeight="1" x14ac:dyDescent="0.25">
      <c r="A473" s="63" t="s">
        <v>765</v>
      </c>
      <c r="B473" s="63" t="s">
        <v>766</v>
      </c>
      <c r="C473" s="36">
        <v>4301020416</v>
      </c>
      <c r="D473" s="695">
        <v>4680115885240</v>
      </c>
      <c r="E473" s="695"/>
      <c r="F473" s="62">
        <v>0.35</v>
      </c>
      <c r="G473" s="37">
        <v>6</v>
      </c>
      <c r="H473" s="62">
        <v>2.1</v>
      </c>
      <c r="I473" s="62">
        <v>2.31</v>
      </c>
      <c r="J473" s="37">
        <v>182</v>
      </c>
      <c r="K473" s="37" t="s">
        <v>91</v>
      </c>
      <c r="L473" s="37" t="s">
        <v>46</v>
      </c>
      <c r="M473" s="38" t="s">
        <v>81</v>
      </c>
      <c r="N473" s="38"/>
      <c r="O473" s="37">
        <v>40</v>
      </c>
      <c r="P473" s="9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97"/>
      <c r="R473" s="697"/>
      <c r="S473" s="697"/>
      <c r="T473" s="69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62" t="s">
        <v>767</v>
      </c>
      <c r="AG473" s="78"/>
      <c r="AJ473" s="84" t="s">
        <v>46</v>
      </c>
      <c r="AK473" s="84">
        <v>0</v>
      </c>
      <c r="BB473" s="563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703"/>
      <c r="B474" s="703"/>
      <c r="C474" s="703"/>
      <c r="D474" s="703"/>
      <c r="E474" s="703"/>
      <c r="F474" s="703"/>
      <c r="G474" s="703"/>
      <c r="H474" s="703"/>
      <c r="I474" s="703"/>
      <c r="J474" s="703"/>
      <c r="K474" s="703"/>
      <c r="L474" s="703"/>
      <c r="M474" s="703"/>
      <c r="N474" s="703"/>
      <c r="O474" s="704"/>
      <c r="P474" s="700" t="s">
        <v>40</v>
      </c>
      <c r="Q474" s="701"/>
      <c r="R474" s="701"/>
      <c r="S474" s="701"/>
      <c r="T474" s="701"/>
      <c r="U474" s="701"/>
      <c r="V474" s="702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x14ac:dyDescent="0.2">
      <c r="A475" s="703"/>
      <c r="B475" s="703"/>
      <c r="C475" s="703"/>
      <c r="D475" s="703"/>
      <c r="E475" s="703"/>
      <c r="F475" s="703"/>
      <c r="G475" s="703"/>
      <c r="H475" s="703"/>
      <c r="I475" s="703"/>
      <c r="J475" s="703"/>
      <c r="K475" s="703"/>
      <c r="L475" s="703"/>
      <c r="M475" s="703"/>
      <c r="N475" s="703"/>
      <c r="O475" s="704"/>
      <c r="P475" s="700" t="s">
        <v>40</v>
      </c>
      <c r="Q475" s="701"/>
      <c r="R475" s="701"/>
      <c r="S475" s="701"/>
      <c r="T475" s="701"/>
      <c r="U475" s="701"/>
      <c r="V475" s="702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customHeight="1" x14ac:dyDescent="0.25">
      <c r="A476" s="694" t="s">
        <v>77</v>
      </c>
      <c r="B476" s="694"/>
      <c r="C476" s="694"/>
      <c r="D476" s="694"/>
      <c r="E476" s="694"/>
      <c r="F476" s="694"/>
      <c r="G476" s="694"/>
      <c r="H476" s="694"/>
      <c r="I476" s="694"/>
      <c r="J476" s="694"/>
      <c r="K476" s="694"/>
      <c r="L476" s="694"/>
      <c r="M476" s="694"/>
      <c r="N476" s="694"/>
      <c r="O476" s="694"/>
      <c r="P476" s="694"/>
      <c r="Q476" s="694"/>
      <c r="R476" s="694"/>
      <c r="S476" s="694"/>
      <c r="T476" s="694"/>
      <c r="U476" s="694"/>
      <c r="V476" s="694"/>
      <c r="W476" s="694"/>
      <c r="X476" s="694"/>
      <c r="Y476" s="694"/>
      <c r="Z476" s="694"/>
      <c r="AA476" s="66"/>
      <c r="AB476" s="66"/>
      <c r="AC476" s="80"/>
    </row>
    <row r="477" spans="1:68" ht="27" customHeight="1" x14ac:dyDescent="0.25">
      <c r="A477" s="63" t="s">
        <v>768</v>
      </c>
      <c r="B477" s="63" t="s">
        <v>769</v>
      </c>
      <c r="C477" s="36">
        <v>4301031407</v>
      </c>
      <c r="D477" s="695">
        <v>4680115886094</v>
      </c>
      <c r="E477" s="695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140</v>
      </c>
      <c r="L477" s="37" t="s">
        <v>46</v>
      </c>
      <c r="M477" s="38" t="s">
        <v>81</v>
      </c>
      <c r="N477" s="38"/>
      <c r="O477" s="37">
        <v>50</v>
      </c>
      <c r="P477" s="9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97"/>
      <c r="R477" s="697"/>
      <c r="S477" s="697"/>
      <c r="T477" s="69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64" t="s">
        <v>770</v>
      </c>
      <c r="AG477" s="78"/>
      <c r="AJ477" s="84" t="s">
        <v>46</v>
      </c>
      <c r="AK477" s="84">
        <v>0</v>
      </c>
      <c r="BB477" s="565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771</v>
      </c>
      <c r="B478" s="63" t="s">
        <v>772</v>
      </c>
      <c r="C478" s="36">
        <v>4301031373</v>
      </c>
      <c r="D478" s="695">
        <v>4680115880771</v>
      </c>
      <c r="E478" s="695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97"/>
      <c r="R478" s="697"/>
      <c r="S478" s="697"/>
      <c r="T478" s="69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4301031359</v>
      </c>
      <c r="D479" s="695">
        <v>4607091389500</v>
      </c>
      <c r="E479" s="695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97"/>
      <c r="R479" s="697"/>
      <c r="S479" s="697"/>
      <c r="T479" s="69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773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03"/>
      <c r="B480" s="703"/>
      <c r="C480" s="703"/>
      <c r="D480" s="703"/>
      <c r="E480" s="703"/>
      <c r="F480" s="703"/>
      <c r="G480" s="703"/>
      <c r="H480" s="703"/>
      <c r="I480" s="703"/>
      <c r="J480" s="703"/>
      <c r="K480" s="703"/>
      <c r="L480" s="703"/>
      <c r="M480" s="703"/>
      <c r="N480" s="703"/>
      <c r="O480" s="704"/>
      <c r="P480" s="700" t="s">
        <v>40</v>
      </c>
      <c r="Q480" s="701"/>
      <c r="R480" s="701"/>
      <c r="S480" s="701"/>
      <c r="T480" s="701"/>
      <c r="U480" s="701"/>
      <c r="V480" s="702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x14ac:dyDescent="0.2">
      <c r="A481" s="703"/>
      <c r="B481" s="703"/>
      <c r="C481" s="703"/>
      <c r="D481" s="703"/>
      <c r="E481" s="703"/>
      <c r="F481" s="703"/>
      <c r="G481" s="703"/>
      <c r="H481" s="703"/>
      <c r="I481" s="703"/>
      <c r="J481" s="703"/>
      <c r="K481" s="703"/>
      <c r="L481" s="703"/>
      <c r="M481" s="703"/>
      <c r="N481" s="703"/>
      <c r="O481" s="704"/>
      <c r="P481" s="700" t="s">
        <v>40</v>
      </c>
      <c r="Q481" s="701"/>
      <c r="R481" s="701"/>
      <c r="S481" s="701"/>
      <c r="T481" s="701"/>
      <c r="U481" s="701"/>
      <c r="V481" s="702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customHeight="1" x14ac:dyDescent="0.2">
      <c r="A482" s="692" t="s">
        <v>776</v>
      </c>
      <c r="B482" s="692"/>
      <c r="C482" s="692"/>
      <c r="D482" s="692"/>
      <c r="E482" s="692"/>
      <c r="F482" s="692"/>
      <c r="G482" s="692"/>
      <c r="H482" s="692"/>
      <c r="I482" s="692"/>
      <c r="J482" s="692"/>
      <c r="K482" s="692"/>
      <c r="L482" s="692"/>
      <c r="M482" s="692"/>
      <c r="N482" s="692"/>
      <c r="O482" s="692"/>
      <c r="P482" s="692"/>
      <c r="Q482" s="692"/>
      <c r="R482" s="692"/>
      <c r="S482" s="692"/>
      <c r="T482" s="692"/>
      <c r="U482" s="692"/>
      <c r="V482" s="692"/>
      <c r="W482" s="692"/>
      <c r="X482" s="692"/>
      <c r="Y482" s="692"/>
      <c r="Z482" s="692"/>
      <c r="AA482" s="54"/>
      <c r="AB482" s="54"/>
      <c r="AC482" s="54"/>
    </row>
    <row r="483" spans="1:68" ht="16.5" customHeight="1" x14ac:dyDescent="0.25">
      <c r="A483" s="693" t="s">
        <v>776</v>
      </c>
      <c r="B483" s="693"/>
      <c r="C483" s="693"/>
      <c r="D483" s="693"/>
      <c r="E483" s="693"/>
      <c r="F483" s="693"/>
      <c r="G483" s="693"/>
      <c r="H483" s="693"/>
      <c r="I483" s="693"/>
      <c r="J483" s="693"/>
      <c r="K483" s="693"/>
      <c r="L483" s="693"/>
      <c r="M483" s="693"/>
      <c r="N483" s="693"/>
      <c r="O483" s="693"/>
      <c r="P483" s="693"/>
      <c r="Q483" s="693"/>
      <c r="R483" s="693"/>
      <c r="S483" s="693"/>
      <c r="T483" s="693"/>
      <c r="U483" s="693"/>
      <c r="V483" s="693"/>
      <c r="W483" s="693"/>
      <c r="X483" s="693"/>
      <c r="Y483" s="693"/>
      <c r="Z483" s="693"/>
      <c r="AA483" s="65"/>
      <c r="AB483" s="65"/>
      <c r="AC483" s="79"/>
    </row>
    <row r="484" spans="1:68" ht="14.25" customHeight="1" x14ac:dyDescent="0.25">
      <c r="A484" s="694" t="s">
        <v>128</v>
      </c>
      <c r="B484" s="694"/>
      <c r="C484" s="694"/>
      <c r="D484" s="694"/>
      <c r="E484" s="694"/>
      <c r="F484" s="694"/>
      <c r="G484" s="694"/>
      <c r="H484" s="694"/>
      <c r="I484" s="694"/>
      <c r="J484" s="694"/>
      <c r="K484" s="694"/>
      <c r="L484" s="694"/>
      <c r="M484" s="694"/>
      <c r="N484" s="694"/>
      <c r="O484" s="694"/>
      <c r="P484" s="694"/>
      <c r="Q484" s="694"/>
      <c r="R484" s="694"/>
      <c r="S484" s="694"/>
      <c r="T484" s="694"/>
      <c r="U484" s="694"/>
      <c r="V484" s="694"/>
      <c r="W484" s="694"/>
      <c r="X484" s="694"/>
      <c r="Y484" s="694"/>
      <c r="Z484" s="694"/>
      <c r="AA484" s="66"/>
      <c r="AB484" s="66"/>
      <c r="AC484" s="80"/>
    </row>
    <row r="485" spans="1:68" ht="27" customHeight="1" x14ac:dyDescent="0.25">
      <c r="A485" s="63" t="s">
        <v>777</v>
      </c>
      <c r="B485" s="63" t="s">
        <v>778</v>
      </c>
      <c r="C485" s="36">
        <v>4301011769</v>
      </c>
      <c r="D485" s="695">
        <v>4607091389067</v>
      </c>
      <c r="E485" s="695"/>
      <c r="F485" s="62">
        <v>0.88</v>
      </c>
      <c r="G485" s="37">
        <v>6</v>
      </c>
      <c r="H485" s="62">
        <v>5.28</v>
      </c>
      <c r="I485" s="62">
        <v>5.63</v>
      </c>
      <c r="J485" s="37">
        <v>104</v>
      </c>
      <c r="K485" s="37" t="s">
        <v>133</v>
      </c>
      <c r="L485" s="37" t="s">
        <v>46</v>
      </c>
      <c r="M485" s="38" t="s">
        <v>90</v>
      </c>
      <c r="N485" s="38"/>
      <c r="O485" s="37">
        <v>60</v>
      </c>
      <c r="P485" s="9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97"/>
      <c r="R485" s="697"/>
      <c r="S485" s="697"/>
      <c r="T485" s="69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3" si="57">IFERROR(IF(X485="",0,CEILING((X485/$H485),1)*$H485),"")</f>
        <v>0</v>
      </c>
      <c r="Z485" s="41" t="str">
        <f t="shared" ref="Z485:Z490" si="58">IFERROR(IF(Y485=0,"",ROUNDUP(Y485/H485,0)*0.01196),"")</f>
        <v/>
      </c>
      <c r="AA485" s="68" t="s">
        <v>46</v>
      </c>
      <c r="AB485" s="69" t="s">
        <v>46</v>
      </c>
      <c r="AC485" s="570" t="s">
        <v>131</v>
      </c>
      <c r="AG485" s="78"/>
      <c r="AJ485" s="84" t="s">
        <v>46</v>
      </c>
      <c r="AK485" s="84">
        <v>0</v>
      </c>
      <c r="BB485" s="571" t="s">
        <v>67</v>
      </c>
      <c r="BM485" s="78">
        <f t="shared" ref="BM485:BM493" si="59">IFERROR(X485*I485/H485,"0")</f>
        <v>0</v>
      </c>
      <c r="BN485" s="78">
        <f t="shared" ref="BN485:BN493" si="60">IFERROR(Y485*I485/H485,"0")</f>
        <v>0</v>
      </c>
      <c r="BO485" s="78">
        <f t="shared" ref="BO485:BO493" si="61">IFERROR(1/J485*(X485/H485),"0")</f>
        <v>0</v>
      </c>
      <c r="BP485" s="78">
        <f t="shared" ref="BP485:BP493" si="62">IFERROR(1/J485*(Y485/H485),"0")</f>
        <v>0</v>
      </c>
    </row>
    <row r="486" spans="1:68" ht="16.5" customHeight="1" x14ac:dyDescent="0.25">
      <c r="A486" s="63" t="s">
        <v>779</v>
      </c>
      <c r="B486" s="63" t="s">
        <v>780</v>
      </c>
      <c r="C486" s="36">
        <v>4301012380</v>
      </c>
      <c r="D486" s="695">
        <v>4680115889576</v>
      </c>
      <c r="E486" s="695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132</v>
      </c>
      <c r="N486" s="38"/>
      <c r="O486" s="37">
        <v>60</v>
      </c>
      <c r="P486" s="94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97"/>
      <c r="R486" s="697"/>
      <c r="S486" s="697"/>
      <c r="T486" s="69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57"/>
        <v>0</v>
      </c>
      <c r="Z486" s="41" t="str">
        <f t="shared" si="58"/>
        <v/>
      </c>
      <c r="AA486" s="68" t="s">
        <v>46</v>
      </c>
      <c r="AB486" s="69" t="s">
        <v>46</v>
      </c>
      <c r="AC486" s="572" t="s">
        <v>781</v>
      </c>
      <c r="AG486" s="78"/>
      <c r="AJ486" s="84" t="s">
        <v>46</v>
      </c>
      <c r="AK486" s="84">
        <v>0</v>
      </c>
      <c r="BB486" s="573" t="s">
        <v>67</v>
      </c>
      <c r="BM486" s="78">
        <f t="shared" si="59"/>
        <v>0</v>
      </c>
      <c r="BN486" s="78">
        <f t="shared" si="60"/>
        <v>0</v>
      </c>
      <c r="BO486" s="78">
        <f t="shared" si="61"/>
        <v>0</v>
      </c>
      <c r="BP486" s="78">
        <f t="shared" si="62"/>
        <v>0</v>
      </c>
    </row>
    <row r="487" spans="1:68" ht="27" customHeight="1" x14ac:dyDescent="0.25">
      <c r="A487" s="63" t="s">
        <v>782</v>
      </c>
      <c r="B487" s="63" t="s">
        <v>783</v>
      </c>
      <c r="C487" s="36">
        <v>4301011961</v>
      </c>
      <c r="D487" s="695">
        <v>4680115885271</v>
      </c>
      <c r="E487" s="695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97"/>
      <c r="R487" s="697"/>
      <c r="S487" s="697"/>
      <c r="T487" s="69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57"/>
        <v>0</v>
      </c>
      <c r="Z487" s="41" t="str">
        <f t="shared" si="58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59"/>
        <v>0</v>
      </c>
      <c r="BN487" s="78">
        <f t="shared" si="60"/>
        <v>0</v>
      </c>
      <c r="BO487" s="78">
        <f t="shared" si="61"/>
        <v>0</v>
      </c>
      <c r="BP487" s="78">
        <f t="shared" si="62"/>
        <v>0</v>
      </c>
    </row>
    <row r="488" spans="1:68" ht="27" customHeight="1" x14ac:dyDescent="0.25">
      <c r="A488" s="63" t="s">
        <v>785</v>
      </c>
      <c r="B488" s="63" t="s">
        <v>786</v>
      </c>
      <c r="C488" s="36">
        <v>4301011369</v>
      </c>
      <c r="D488" s="695">
        <v>4680115885226</v>
      </c>
      <c r="E488" s="695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97"/>
      <c r="R488" s="697"/>
      <c r="S488" s="697"/>
      <c r="T488" s="69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57"/>
        <v>0</v>
      </c>
      <c r="Z488" s="41" t="str">
        <f t="shared" si="58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59"/>
        <v>0</v>
      </c>
      <c r="BN488" s="78">
        <f t="shared" si="60"/>
        <v>0</v>
      </c>
      <c r="BO488" s="78">
        <f t="shared" si="61"/>
        <v>0</v>
      </c>
      <c r="BP488" s="78">
        <f t="shared" si="62"/>
        <v>0</v>
      </c>
    </row>
    <row r="489" spans="1:68" ht="16.5" customHeight="1" x14ac:dyDescent="0.25">
      <c r="A489" s="63" t="s">
        <v>788</v>
      </c>
      <c r="B489" s="63" t="s">
        <v>789</v>
      </c>
      <c r="C489" s="36">
        <v>4301011797</v>
      </c>
      <c r="D489" s="695">
        <v>4680115884502</v>
      </c>
      <c r="E489" s="695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90</v>
      </c>
      <c r="N489" s="38"/>
      <c r="O489" s="37">
        <v>60</v>
      </c>
      <c r="P489" s="94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97"/>
      <c r="R489" s="697"/>
      <c r="S489" s="697"/>
      <c r="T489" s="69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57"/>
        <v>0</v>
      </c>
      <c r="Z489" s="41" t="str">
        <f t="shared" si="58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59"/>
        <v>0</v>
      </c>
      <c r="BN489" s="78">
        <f t="shared" si="60"/>
        <v>0</v>
      </c>
      <c r="BO489" s="78">
        <f t="shared" si="61"/>
        <v>0</v>
      </c>
      <c r="BP489" s="78">
        <f t="shared" si="62"/>
        <v>0</v>
      </c>
    </row>
    <row r="490" spans="1:68" ht="27" customHeight="1" x14ac:dyDescent="0.25">
      <c r="A490" s="63" t="s">
        <v>791</v>
      </c>
      <c r="B490" s="63" t="s">
        <v>792</v>
      </c>
      <c r="C490" s="36">
        <v>4301011771</v>
      </c>
      <c r="D490" s="695">
        <v>4607091389104</v>
      </c>
      <c r="E490" s="695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132</v>
      </c>
      <c r="N490" s="38"/>
      <c r="O490" s="37">
        <v>60</v>
      </c>
      <c r="P490" s="95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97"/>
      <c r="R490" s="697"/>
      <c r="S490" s="697"/>
      <c r="T490" s="69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57"/>
        <v>0</v>
      </c>
      <c r="Z490" s="41" t="str">
        <f t="shared" si="58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59"/>
        <v>0</v>
      </c>
      <c r="BN490" s="78">
        <f t="shared" si="60"/>
        <v>0</v>
      </c>
      <c r="BO490" s="78">
        <f t="shared" si="61"/>
        <v>0</v>
      </c>
      <c r="BP490" s="78">
        <f t="shared" si="62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4301012125</v>
      </c>
      <c r="D491" s="695">
        <v>4680115886391</v>
      </c>
      <c r="E491" s="695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90</v>
      </c>
      <c r="N491" s="38"/>
      <c r="O491" s="37">
        <v>60</v>
      </c>
      <c r="P491" s="9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97"/>
      <c r="R491" s="697"/>
      <c r="S491" s="697"/>
      <c r="T491" s="698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57"/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131</v>
      </c>
      <c r="AG491" s="78"/>
      <c r="AJ491" s="84" t="s">
        <v>46</v>
      </c>
      <c r="AK491" s="84">
        <v>0</v>
      </c>
      <c r="BB491" s="583" t="s">
        <v>67</v>
      </c>
      <c r="BM491" s="78">
        <f t="shared" si="59"/>
        <v>0</v>
      </c>
      <c r="BN491" s="78">
        <f t="shared" si="60"/>
        <v>0</v>
      </c>
      <c r="BO491" s="78">
        <f t="shared" si="61"/>
        <v>0</v>
      </c>
      <c r="BP491" s="78">
        <f t="shared" si="62"/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4301012048</v>
      </c>
      <c r="D492" s="695">
        <v>4680115880603</v>
      </c>
      <c r="E492" s="695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140</v>
      </c>
      <c r="L492" s="37" t="s">
        <v>46</v>
      </c>
      <c r="M492" s="38" t="s">
        <v>90</v>
      </c>
      <c r="N492" s="38"/>
      <c r="O492" s="37">
        <v>60</v>
      </c>
      <c r="P492" s="95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97"/>
      <c r="R492" s="697"/>
      <c r="S492" s="697"/>
      <c r="T492" s="698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57"/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59"/>
        <v>0</v>
      </c>
      <c r="BN492" s="78">
        <f t="shared" si="60"/>
        <v>0</v>
      </c>
      <c r="BO492" s="78">
        <f t="shared" si="61"/>
        <v>0</v>
      </c>
      <c r="BP492" s="78">
        <f t="shared" si="62"/>
        <v>0</v>
      </c>
    </row>
    <row r="493" spans="1:68" ht="27" customHeight="1" x14ac:dyDescent="0.25">
      <c r="A493" s="63" t="s">
        <v>798</v>
      </c>
      <c r="B493" s="63" t="s">
        <v>799</v>
      </c>
      <c r="C493" s="36">
        <v>4301012034</v>
      </c>
      <c r="D493" s="695">
        <v>4607091389982</v>
      </c>
      <c r="E493" s="695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132</v>
      </c>
      <c r="N493" s="38"/>
      <c r="O493" s="37">
        <v>60</v>
      </c>
      <c r="P493" s="95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97"/>
      <c r="R493" s="697"/>
      <c r="S493" s="697"/>
      <c r="T493" s="698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57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793</v>
      </c>
      <c r="AG493" s="78"/>
      <c r="AJ493" s="84" t="s">
        <v>46</v>
      </c>
      <c r="AK493" s="84">
        <v>0</v>
      </c>
      <c r="BB493" s="587" t="s">
        <v>67</v>
      </c>
      <c r="BM493" s="78">
        <f t="shared" si="59"/>
        <v>0</v>
      </c>
      <c r="BN493" s="78">
        <f t="shared" si="60"/>
        <v>0</v>
      </c>
      <c r="BO493" s="78">
        <f t="shared" si="61"/>
        <v>0</v>
      </c>
      <c r="BP493" s="78">
        <f t="shared" si="62"/>
        <v>0</v>
      </c>
    </row>
    <row r="494" spans="1:68" x14ac:dyDescent="0.2">
      <c r="A494" s="703"/>
      <c r="B494" s="703"/>
      <c r="C494" s="703"/>
      <c r="D494" s="703"/>
      <c r="E494" s="703"/>
      <c r="F494" s="703"/>
      <c r="G494" s="703"/>
      <c r="H494" s="703"/>
      <c r="I494" s="703"/>
      <c r="J494" s="703"/>
      <c r="K494" s="703"/>
      <c r="L494" s="703"/>
      <c r="M494" s="703"/>
      <c r="N494" s="703"/>
      <c r="O494" s="704"/>
      <c r="P494" s="700" t="s">
        <v>40</v>
      </c>
      <c r="Q494" s="701"/>
      <c r="R494" s="701"/>
      <c r="S494" s="701"/>
      <c r="T494" s="701"/>
      <c r="U494" s="701"/>
      <c r="V494" s="702"/>
      <c r="W494" s="42" t="s">
        <v>39</v>
      </c>
      <c r="X494" s="43">
        <f>IFERROR(X485/H485,"0")+IFERROR(X486/H486,"0")+IFERROR(X487/H487,"0")+IFERROR(X488/H488,"0")+IFERROR(X489/H489,"0")+IFERROR(X490/H490,"0")+IFERROR(X491/H491,"0")+IFERROR(X492/H492,"0")+IFERROR(X493/H493,"0")</f>
        <v>0</v>
      </c>
      <c r="Y494" s="43">
        <f>IFERROR(Y485/H485,"0")+IFERROR(Y486/H486,"0")+IFERROR(Y487/H487,"0")+IFERROR(Y488/H488,"0")+IFERROR(Y489/H489,"0")+IFERROR(Y490/H490,"0")+IFERROR(Y491/H491,"0")+IFERROR(Y492/H492,"0")+IFERROR(Y493/H493,"0")</f>
        <v>0</v>
      </c>
      <c r="Z494" s="43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703"/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4"/>
      <c r="P495" s="700" t="s">
        <v>40</v>
      </c>
      <c r="Q495" s="701"/>
      <c r="R495" s="701"/>
      <c r="S495" s="701"/>
      <c r="T495" s="701"/>
      <c r="U495" s="701"/>
      <c r="V495" s="702"/>
      <c r="W495" s="42" t="s">
        <v>0</v>
      </c>
      <c r="X495" s="43">
        <f>IFERROR(SUM(X485:X493),"0")</f>
        <v>0</v>
      </c>
      <c r="Y495" s="43">
        <f>IFERROR(SUM(Y485:Y493),"0")</f>
        <v>0</v>
      </c>
      <c r="Z495" s="42"/>
      <c r="AA495" s="67"/>
      <c r="AB495" s="67"/>
      <c r="AC495" s="67"/>
    </row>
    <row r="496" spans="1:68" ht="14.25" customHeight="1" x14ac:dyDescent="0.25">
      <c r="A496" s="694" t="s">
        <v>164</v>
      </c>
      <c r="B496" s="694"/>
      <c r="C496" s="694"/>
      <c r="D496" s="694"/>
      <c r="E496" s="694"/>
      <c r="F496" s="694"/>
      <c r="G496" s="694"/>
      <c r="H496" s="694"/>
      <c r="I496" s="694"/>
      <c r="J496" s="694"/>
      <c r="K496" s="694"/>
      <c r="L496" s="694"/>
      <c r="M496" s="694"/>
      <c r="N496" s="694"/>
      <c r="O496" s="694"/>
      <c r="P496" s="694"/>
      <c r="Q496" s="694"/>
      <c r="R496" s="694"/>
      <c r="S496" s="694"/>
      <c r="T496" s="694"/>
      <c r="U496" s="694"/>
      <c r="V496" s="694"/>
      <c r="W496" s="694"/>
      <c r="X496" s="694"/>
      <c r="Y496" s="694"/>
      <c r="Z496" s="694"/>
      <c r="AA496" s="66"/>
      <c r="AB496" s="66"/>
      <c r="AC496" s="80"/>
    </row>
    <row r="497" spans="1:68" ht="16.5" customHeight="1" x14ac:dyDescent="0.25">
      <c r="A497" s="63" t="s">
        <v>800</v>
      </c>
      <c r="B497" s="63" t="s">
        <v>801</v>
      </c>
      <c r="C497" s="36">
        <v>4301020334</v>
      </c>
      <c r="D497" s="695">
        <v>4607091388930</v>
      </c>
      <c r="E497" s="695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90</v>
      </c>
      <c r="N497" s="38"/>
      <c r="O497" s="37">
        <v>70</v>
      </c>
      <c r="P497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97"/>
      <c r="R497" s="697"/>
      <c r="S497" s="697"/>
      <c r="T497" s="69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802</v>
      </c>
      <c r="AG497" s="78"/>
      <c r="AJ497" s="84" t="s">
        <v>46</v>
      </c>
      <c r="AK497" s="84">
        <v>0</v>
      </c>
      <c r="BB497" s="589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16.5" customHeight="1" x14ac:dyDescent="0.25">
      <c r="A498" s="63" t="s">
        <v>803</v>
      </c>
      <c r="B498" s="63" t="s">
        <v>804</v>
      </c>
      <c r="C498" s="36">
        <v>4301020374</v>
      </c>
      <c r="D498" s="695">
        <v>4680115886407</v>
      </c>
      <c r="E498" s="695"/>
      <c r="F498" s="62">
        <v>0.4</v>
      </c>
      <c r="G498" s="37">
        <v>6</v>
      </c>
      <c r="H498" s="62">
        <v>2.4</v>
      </c>
      <c r="I498" s="62">
        <v>2.58</v>
      </c>
      <c r="J498" s="37">
        <v>182</v>
      </c>
      <c r="K498" s="37" t="s">
        <v>91</v>
      </c>
      <c r="L498" s="37" t="s">
        <v>46</v>
      </c>
      <c r="M498" s="38" t="s">
        <v>132</v>
      </c>
      <c r="N498" s="38"/>
      <c r="O498" s="37">
        <v>70</v>
      </c>
      <c r="P498" s="9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97"/>
      <c r="R498" s="697"/>
      <c r="S498" s="697"/>
      <c r="T498" s="69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90" t="s">
        <v>802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customHeight="1" x14ac:dyDescent="0.25">
      <c r="A499" s="63" t="s">
        <v>805</v>
      </c>
      <c r="B499" s="63" t="s">
        <v>806</v>
      </c>
      <c r="C499" s="36">
        <v>4301020385</v>
      </c>
      <c r="D499" s="695">
        <v>4680115880054</v>
      </c>
      <c r="E499" s="695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140</v>
      </c>
      <c r="L499" s="37" t="s">
        <v>46</v>
      </c>
      <c r="M499" s="38" t="s">
        <v>132</v>
      </c>
      <c r="N499" s="38"/>
      <c r="O499" s="37">
        <v>70</v>
      </c>
      <c r="P499" s="9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97"/>
      <c r="R499" s="697"/>
      <c r="S499" s="697"/>
      <c r="T499" s="69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802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703"/>
      <c r="B500" s="703"/>
      <c r="C500" s="703"/>
      <c r="D500" s="703"/>
      <c r="E500" s="703"/>
      <c r="F500" s="703"/>
      <c r="G500" s="703"/>
      <c r="H500" s="703"/>
      <c r="I500" s="703"/>
      <c r="J500" s="703"/>
      <c r="K500" s="703"/>
      <c r="L500" s="703"/>
      <c r="M500" s="703"/>
      <c r="N500" s="703"/>
      <c r="O500" s="704"/>
      <c r="P500" s="700" t="s">
        <v>40</v>
      </c>
      <c r="Q500" s="701"/>
      <c r="R500" s="701"/>
      <c r="S500" s="701"/>
      <c r="T500" s="701"/>
      <c r="U500" s="701"/>
      <c r="V500" s="70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703"/>
      <c r="B501" s="703"/>
      <c r="C501" s="703"/>
      <c r="D501" s="703"/>
      <c r="E501" s="703"/>
      <c r="F501" s="703"/>
      <c r="G501" s="703"/>
      <c r="H501" s="703"/>
      <c r="I501" s="703"/>
      <c r="J501" s="703"/>
      <c r="K501" s="703"/>
      <c r="L501" s="703"/>
      <c r="M501" s="703"/>
      <c r="N501" s="703"/>
      <c r="O501" s="704"/>
      <c r="P501" s="700" t="s">
        <v>40</v>
      </c>
      <c r="Q501" s="701"/>
      <c r="R501" s="701"/>
      <c r="S501" s="701"/>
      <c r="T501" s="701"/>
      <c r="U501" s="701"/>
      <c r="V501" s="70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14.25" customHeight="1" x14ac:dyDescent="0.25">
      <c r="A502" s="694" t="s">
        <v>77</v>
      </c>
      <c r="B502" s="694"/>
      <c r="C502" s="694"/>
      <c r="D502" s="694"/>
      <c r="E502" s="694"/>
      <c r="F502" s="694"/>
      <c r="G502" s="694"/>
      <c r="H502" s="694"/>
      <c r="I502" s="694"/>
      <c r="J502" s="694"/>
      <c r="K502" s="694"/>
      <c r="L502" s="694"/>
      <c r="M502" s="694"/>
      <c r="N502" s="694"/>
      <c r="O502" s="694"/>
      <c r="P502" s="694"/>
      <c r="Q502" s="694"/>
      <c r="R502" s="694"/>
      <c r="S502" s="694"/>
      <c r="T502" s="694"/>
      <c r="U502" s="694"/>
      <c r="V502" s="694"/>
      <c r="W502" s="694"/>
      <c r="X502" s="694"/>
      <c r="Y502" s="694"/>
      <c r="Z502" s="694"/>
      <c r="AA502" s="66"/>
      <c r="AB502" s="66"/>
      <c r="AC502" s="80"/>
    </row>
    <row r="503" spans="1:68" ht="27" customHeight="1" x14ac:dyDescent="0.25">
      <c r="A503" s="63" t="s">
        <v>807</v>
      </c>
      <c r="B503" s="63" t="s">
        <v>808</v>
      </c>
      <c r="C503" s="36">
        <v>4301031349</v>
      </c>
      <c r="D503" s="695">
        <v>4680115883116</v>
      </c>
      <c r="E503" s="69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133</v>
      </c>
      <c r="L503" s="37" t="s">
        <v>46</v>
      </c>
      <c r="M503" s="38" t="s">
        <v>132</v>
      </c>
      <c r="N503" s="38"/>
      <c r="O503" s="37">
        <v>70</v>
      </c>
      <c r="P503" s="9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97"/>
      <c r="R503" s="697"/>
      <c r="S503" s="697"/>
      <c r="T503" s="69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ref="Y503:Y509" si="63"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4" t="s">
        <v>809</v>
      </c>
      <c r="AG503" s="78"/>
      <c r="AJ503" s="84" t="s">
        <v>46</v>
      </c>
      <c r="AK503" s="84">
        <v>0</v>
      </c>
      <c r="BB503" s="595" t="s">
        <v>67</v>
      </c>
      <c r="BM503" s="78">
        <f t="shared" ref="BM503:BM509" si="64">IFERROR(X503*I503/H503,"0")</f>
        <v>0</v>
      </c>
      <c r="BN503" s="78">
        <f t="shared" ref="BN503:BN509" si="65">IFERROR(Y503*I503/H503,"0")</f>
        <v>0</v>
      </c>
      <c r="BO503" s="78">
        <f t="shared" ref="BO503:BO509" si="66">IFERROR(1/J503*(X503/H503),"0")</f>
        <v>0</v>
      </c>
      <c r="BP503" s="78">
        <f t="shared" ref="BP503:BP509" si="67">IFERROR(1/J503*(Y503/H503),"0")</f>
        <v>0</v>
      </c>
    </row>
    <row r="504" spans="1:68" ht="27" customHeight="1" x14ac:dyDescent="0.25">
      <c r="A504" s="63" t="s">
        <v>810</v>
      </c>
      <c r="B504" s="63" t="s">
        <v>811</v>
      </c>
      <c r="C504" s="36">
        <v>4301031350</v>
      </c>
      <c r="D504" s="695">
        <v>4680115883093</v>
      </c>
      <c r="E504" s="69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81</v>
      </c>
      <c r="N504" s="38"/>
      <c r="O504" s="37">
        <v>70</v>
      </c>
      <c r="P504" s="9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97"/>
      <c r="R504" s="697"/>
      <c r="S504" s="697"/>
      <c r="T504" s="69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t="27" customHeight="1" x14ac:dyDescent="0.25">
      <c r="A505" s="63" t="s">
        <v>813</v>
      </c>
      <c r="B505" s="63" t="s">
        <v>814</v>
      </c>
      <c r="C505" s="36">
        <v>4301031353</v>
      </c>
      <c r="D505" s="695">
        <v>4680115883109</v>
      </c>
      <c r="E505" s="69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97"/>
      <c r="R505" s="697"/>
      <c r="S505" s="697"/>
      <c r="T505" s="69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4"/>
        <v>0</v>
      </c>
      <c r="BN505" s="78">
        <f t="shared" si="65"/>
        <v>0</v>
      </c>
      <c r="BO505" s="78">
        <f t="shared" si="66"/>
        <v>0</v>
      </c>
      <c r="BP505" s="78">
        <f t="shared" si="67"/>
        <v>0</v>
      </c>
    </row>
    <row r="506" spans="1:68" ht="27" customHeight="1" x14ac:dyDescent="0.25">
      <c r="A506" s="63" t="s">
        <v>816</v>
      </c>
      <c r="B506" s="63" t="s">
        <v>817</v>
      </c>
      <c r="C506" s="36">
        <v>4301031419</v>
      </c>
      <c r="D506" s="695">
        <v>4680115882072</v>
      </c>
      <c r="E506" s="69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140</v>
      </c>
      <c r="L506" s="37" t="s">
        <v>46</v>
      </c>
      <c r="M506" s="38" t="s">
        <v>132</v>
      </c>
      <c r="N506" s="38"/>
      <c r="O506" s="37">
        <v>70</v>
      </c>
      <c r="P506" s="9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97"/>
      <c r="R506" s="697"/>
      <c r="S506" s="697"/>
      <c r="T506" s="69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0" t="s">
        <v>809</v>
      </c>
      <c r="AG506" s="78"/>
      <c r="AJ506" s="84" t="s">
        <v>46</v>
      </c>
      <c r="AK506" s="84">
        <v>0</v>
      </c>
      <c r="BB506" s="601" t="s">
        <v>67</v>
      </c>
      <c r="BM506" s="78">
        <f t="shared" si="64"/>
        <v>0</v>
      </c>
      <c r="BN506" s="78">
        <f t="shared" si="65"/>
        <v>0</v>
      </c>
      <c r="BO506" s="78">
        <f t="shared" si="66"/>
        <v>0</v>
      </c>
      <c r="BP506" s="78">
        <f t="shared" si="67"/>
        <v>0</v>
      </c>
    </row>
    <row r="507" spans="1:68" ht="27" customHeight="1" x14ac:dyDescent="0.25">
      <c r="A507" s="63" t="s">
        <v>818</v>
      </c>
      <c r="B507" s="63" t="s">
        <v>819</v>
      </c>
      <c r="C507" s="36">
        <v>4301031352</v>
      </c>
      <c r="D507" s="695">
        <v>4680115882102</v>
      </c>
      <c r="E507" s="695"/>
      <c r="F507" s="62">
        <v>0.6</v>
      </c>
      <c r="G507" s="37">
        <v>6</v>
      </c>
      <c r="H507" s="62">
        <v>3.6</v>
      </c>
      <c r="I507" s="62">
        <v>3.79</v>
      </c>
      <c r="J507" s="37">
        <v>132</v>
      </c>
      <c r="K507" s="37" t="s">
        <v>140</v>
      </c>
      <c r="L507" s="37" t="s">
        <v>46</v>
      </c>
      <c r="M507" s="38" t="s">
        <v>81</v>
      </c>
      <c r="N507" s="38"/>
      <c r="O507" s="37">
        <v>70</v>
      </c>
      <c r="P507" s="96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97"/>
      <c r="R507" s="697"/>
      <c r="S507" s="697"/>
      <c r="T507" s="69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4"/>
        <v>0</v>
      </c>
      <c r="BN507" s="78">
        <f t="shared" si="65"/>
        <v>0</v>
      </c>
      <c r="BO507" s="78">
        <f t="shared" si="66"/>
        <v>0</v>
      </c>
      <c r="BP507" s="78">
        <f t="shared" si="67"/>
        <v>0</v>
      </c>
    </row>
    <row r="508" spans="1:68" ht="27" customHeight="1" x14ac:dyDescent="0.25">
      <c r="A508" s="63" t="s">
        <v>818</v>
      </c>
      <c r="B508" s="63" t="s">
        <v>820</v>
      </c>
      <c r="C508" s="36">
        <v>4301031418</v>
      </c>
      <c r="D508" s="695">
        <v>4680115882102</v>
      </c>
      <c r="E508" s="695"/>
      <c r="F508" s="62">
        <v>0.6</v>
      </c>
      <c r="G508" s="37">
        <v>8</v>
      </c>
      <c r="H508" s="62">
        <v>4.8</v>
      </c>
      <c r="I508" s="62">
        <v>6.67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97"/>
      <c r="R508" s="697"/>
      <c r="S508" s="697"/>
      <c r="T508" s="69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3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812</v>
      </c>
      <c r="AG508" s="78"/>
      <c r="AJ508" s="84" t="s">
        <v>46</v>
      </c>
      <c r="AK508" s="84">
        <v>0</v>
      </c>
      <c r="BB508" s="605" t="s">
        <v>67</v>
      </c>
      <c r="BM508" s="78">
        <f t="shared" si="64"/>
        <v>0</v>
      </c>
      <c r="BN508" s="78">
        <f t="shared" si="65"/>
        <v>0</v>
      </c>
      <c r="BO508" s="78">
        <f t="shared" si="66"/>
        <v>0</v>
      </c>
      <c r="BP508" s="78">
        <f t="shared" si="67"/>
        <v>0</v>
      </c>
    </row>
    <row r="509" spans="1:68" ht="27" customHeight="1" x14ac:dyDescent="0.25">
      <c r="A509" s="63" t="s">
        <v>821</v>
      </c>
      <c r="B509" s="63" t="s">
        <v>822</v>
      </c>
      <c r="C509" s="36">
        <v>4301031417</v>
      </c>
      <c r="D509" s="695">
        <v>4680115882096</v>
      </c>
      <c r="E509" s="695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97"/>
      <c r="R509" s="697"/>
      <c r="S509" s="697"/>
      <c r="T509" s="69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3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4"/>
        <v>0</v>
      </c>
      <c r="BN509" s="78">
        <f t="shared" si="65"/>
        <v>0</v>
      </c>
      <c r="BO509" s="78">
        <f t="shared" si="66"/>
        <v>0</v>
      </c>
      <c r="BP509" s="78">
        <f t="shared" si="67"/>
        <v>0</v>
      </c>
    </row>
    <row r="510" spans="1:68" x14ac:dyDescent="0.2">
      <c r="A510" s="703"/>
      <c r="B510" s="703"/>
      <c r="C510" s="703"/>
      <c r="D510" s="703"/>
      <c r="E510" s="703"/>
      <c r="F510" s="703"/>
      <c r="G510" s="703"/>
      <c r="H510" s="703"/>
      <c r="I510" s="703"/>
      <c r="J510" s="703"/>
      <c r="K510" s="703"/>
      <c r="L510" s="703"/>
      <c r="M510" s="703"/>
      <c r="N510" s="703"/>
      <c r="O510" s="704"/>
      <c r="P510" s="700" t="s">
        <v>40</v>
      </c>
      <c r="Q510" s="701"/>
      <c r="R510" s="701"/>
      <c r="S510" s="701"/>
      <c r="T510" s="701"/>
      <c r="U510" s="701"/>
      <c r="V510" s="702"/>
      <c r="W510" s="42" t="s">
        <v>39</v>
      </c>
      <c r="X510" s="43">
        <f>IFERROR(X503/H503,"0")+IFERROR(X504/H504,"0")+IFERROR(X505/H505,"0")+IFERROR(X506/H506,"0")+IFERROR(X507/H507,"0")+IFERROR(X508/H508,"0")+IFERROR(X509/H509,"0")</f>
        <v>0</v>
      </c>
      <c r="Y510" s="43">
        <f>IFERROR(Y503/H503,"0")+IFERROR(Y504/H504,"0")+IFERROR(Y505/H505,"0")+IFERROR(Y506/H506,"0")+IFERROR(Y507/H507,"0")+IFERROR(Y508/H508,"0")+IFERROR(Y509/H509,"0")</f>
        <v>0</v>
      </c>
      <c r="Z510" s="43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7"/>
      <c r="AB510" s="67"/>
      <c r="AC510" s="67"/>
    </row>
    <row r="511" spans="1:68" x14ac:dyDescent="0.2">
      <c r="A511" s="703"/>
      <c r="B511" s="703"/>
      <c r="C511" s="703"/>
      <c r="D511" s="703"/>
      <c r="E511" s="703"/>
      <c r="F511" s="703"/>
      <c r="G511" s="703"/>
      <c r="H511" s="703"/>
      <c r="I511" s="703"/>
      <c r="J511" s="703"/>
      <c r="K511" s="703"/>
      <c r="L511" s="703"/>
      <c r="M511" s="703"/>
      <c r="N511" s="703"/>
      <c r="O511" s="704"/>
      <c r="P511" s="700" t="s">
        <v>40</v>
      </c>
      <c r="Q511" s="701"/>
      <c r="R511" s="701"/>
      <c r="S511" s="701"/>
      <c r="T511" s="701"/>
      <c r="U511" s="701"/>
      <c r="V511" s="702"/>
      <c r="W511" s="42" t="s">
        <v>0</v>
      </c>
      <c r="X511" s="43">
        <f>IFERROR(SUM(X503:X509),"0")</f>
        <v>0</v>
      </c>
      <c r="Y511" s="43">
        <f>IFERROR(SUM(Y503:Y509),"0")</f>
        <v>0</v>
      </c>
      <c r="Z511" s="42"/>
      <c r="AA511" s="67"/>
      <c r="AB511" s="67"/>
      <c r="AC511" s="67"/>
    </row>
    <row r="512" spans="1:68" ht="27.75" customHeight="1" x14ac:dyDescent="0.2">
      <c r="A512" s="692" t="s">
        <v>823</v>
      </c>
      <c r="B512" s="692"/>
      <c r="C512" s="692"/>
      <c r="D512" s="692"/>
      <c r="E512" s="692"/>
      <c r="F512" s="692"/>
      <c r="G512" s="692"/>
      <c r="H512" s="692"/>
      <c r="I512" s="692"/>
      <c r="J512" s="692"/>
      <c r="K512" s="692"/>
      <c r="L512" s="692"/>
      <c r="M512" s="692"/>
      <c r="N512" s="692"/>
      <c r="O512" s="692"/>
      <c r="P512" s="692"/>
      <c r="Q512" s="692"/>
      <c r="R512" s="692"/>
      <c r="S512" s="692"/>
      <c r="T512" s="692"/>
      <c r="U512" s="692"/>
      <c r="V512" s="692"/>
      <c r="W512" s="692"/>
      <c r="X512" s="692"/>
      <c r="Y512" s="692"/>
      <c r="Z512" s="692"/>
      <c r="AA512" s="54"/>
      <c r="AB512" s="54"/>
      <c r="AC512" s="54"/>
    </row>
    <row r="513" spans="1:68" ht="16.5" customHeight="1" x14ac:dyDescent="0.25">
      <c r="A513" s="693" t="s">
        <v>823</v>
      </c>
      <c r="B513" s="693"/>
      <c r="C513" s="693"/>
      <c r="D513" s="693"/>
      <c r="E513" s="693"/>
      <c r="F513" s="693"/>
      <c r="G513" s="693"/>
      <c r="H513" s="693"/>
      <c r="I513" s="693"/>
      <c r="J513" s="693"/>
      <c r="K513" s="693"/>
      <c r="L513" s="693"/>
      <c r="M513" s="693"/>
      <c r="N513" s="693"/>
      <c r="O513" s="693"/>
      <c r="P513" s="693"/>
      <c r="Q513" s="693"/>
      <c r="R513" s="693"/>
      <c r="S513" s="693"/>
      <c r="T513" s="693"/>
      <c r="U513" s="693"/>
      <c r="V513" s="693"/>
      <c r="W513" s="693"/>
      <c r="X513" s="693"/>
      <c r="Y513" s="693"/>
      <c r="Z513" s="693"/>
      <c r="AA513" s="65"/>
      <c r="AB513" s="65"/>
      <c r="AC513" s="79"/>
    </row>
    <row r="514" spans="1:68" ht="14.25" customHeight="1" x14ac:dyDescent="0.25">
      <c r="A514" s="694" t="s">
        <v>128</v>
      </c>
      <c r="B514" s="694"/>
      <c r="C514" s="694"/>
      <c r="D514" s="694"/>
      <c r="E514" s="694"/>
      <c r="F514" s="694"/>
      <c r="G514" s="694"/>
      <c r="H514" s="694"/>
      <c r="I514" s="694"/>
      <c r="J514" s="694"/>
      <c r="K514" s="694"/>
      <c r="L514" s="694"/>
      <c r="M514" s="694"/>
      <c r="N514" s="694"/>
      <c r="O514" s="694"/>
      <c r="P514" s="694"/>
      <c r="Q514" s="694"/>
      <c r="R514" s="694"/>
      <c r="S514" s="694"/>
      <c r="T514" s="694"/>
      <c r="U514" s="694"/>
      <c r="V514" s="694"/>
      <c r="W514" s="694"/>
      <c r="X514" s="694"/>
      <c r="Y514" s="694"/>
      <c r="Z514" s="694"/>
      <c r="AA514" s="66"/>
      <c r="AB514" s="66"/>
      <c r="AC514" s="80"/>
    </row>
    <row r="515" spans="1:68" ht="27" customHeight="1" x14ac:dyDescent="0.25">
      <c r="A515" s="63" t="s">
        <v>824</v>
      </c>
      <c r="B515" s="63" t="s">
        <v>825</v>
      </c>
      <c r="C515" s="36">
        <v>4301011584</v>
      </c>
      <c r="D515" s="695">
        <v>4640242180564</v>
      </c>
      <c r="E515" s="695"/>
      <c r="F515" s="62">
        <v>1.5</v>
      </c>
      <c r="G515" s="37">
        <v>8</v>
      </c>
      <c r="H515" s="62">
        <v>12</v>
      </c>
      <c r="I515" s="62">
        <v>12.41</v>
      </c>
      <c r="J515" s="37">
        <v>64</v>
      </c>
      <c r="K515" s="37" t="s">
        <v>133</v>
      </c>
      <c r="L515" s="37" t="s">
        <v>46</v>
      </c>
      <c r="M515" s="38" t="s">
        <v>132</v>
      </c>
      <c r="N515" s="38"/>
      <c r="O515" s="37">
        <v>50</v>
      </c>
      <c r="P515" s="9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97"/>
      <c r="R515" s="697"/>
      <c r="S515" s="697"/>
      <c r="T515" s="698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IFERROR(IF(Y515=0,"",ROUNDUP(Y515/H515,0)*0.01898),"")</f>
        <v/>
      </c>
      <c r="AA515" s="68" t="s">
        <v>46</v>
      </c>
      <c r="AB515" s="69" t="s">
        <v>46</v>
      </c>
      <c r="AC515" s="608" t="s">
        <v>826</v>
      </c>
      <c r="AG515" s="78"/>
      <c r="AJ515" s="84" t="s">
        <v>46</v>
      </c>
      <c r="AK515" s="84">
        <v>0</v>
      </c>
      <c r="BB515" s="609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x14ac:dyDescent="0.2">
      <c r="A516" s="703"/>
      <c r="B516" s="703"/>
      <c r="C516" s="703"/>
      <c r="D516" s="703"/>
      <c r="E516" s="703"/>
      <c r="F516" s="703"/>
      <c r="G516" s="703"/>
      <c r="H516" s="703"/>
      <c r="I516" s="703"/>
      <c r="J516" s="703"/>
      <c r="K516" s="703"/>
      <c r="L516" s="703"/>
      <c r="M516" s="703"/>
      <c r="N516" s="703"/>
      <c r="O516" s="704"/>
      <c r="P516" s="700" t="s">
        <v>40</v>
      </c>
      <c r="Q516" s="701"/>
      <c r="R516" s="701"/>
      <c r="S516" s="701"/>
      <c r="T516" s="701"/>
      <c r="U516" s="701"/>
      <c r="V516" s="702"/>
      <c r="W516" s="42" t="s">
        <v>39</v>
      </c>
      <c r="X516" s="43">
        <f>IFERROR(X515/H515,"0")</f>
        <v>0</v>
      </c>
      <c r="Y516" s="43">
        <f>IFERROR(Y515/H515,"0")</f>
        <v>0</v>
      </c>
      <c r="Z516" s="43">
        <f>IFERROR(IF(Z515="",0,Z515),"0")</f>
        <v>0</v>
      </c>
      <c r="AA516" s="67"/>
      <c r="AB516" s="67"/>
      <c r="AC516" s="67"/>
    </row>
    <row r="517" spans="1:68" x14ac:dyDescent="0.2">
      <c r="A517" s="703"/>
      <c r="B517" s="703"/>
      <c r="C517" s="703"/>
      <c r="D517" s="703"/>
      <c r="E517" s="703"/>
      <c r="F517" s="703"/>
      <c r="G517" s="703"/>
      <c r="H517" s="703"/>
      <c r="I517" s="703"/>
      <c r="J517" s="703"/>
      <c r="K517" s="703"/>
      <c r="L517" s="703"/>
      <c r="M517" s="703"/>
      <c r="N517" s="703"/>
      <c r="O517" s="704"/>
      <c r="P517" s="700" t="s">
        <v>40</v>
      </c>
      <c r="Q517" s="701"/>
      <c r="R517" s="701"/>
      <c r="S517" s="701"/>
      <c r="T517" s="701"/>
      <c r="U517" s="701"/>
      <c r="V517" s="702"/>
      <c r="W517" s="42" t="s">
        <v>0</v>
      </c>
      <c r="X517" s="43">
        <f>IFERROR(SUM(X515:X515),"0")</f>
        <v>0</v>
      </c>
      <c r="Y517" s="43">
        <f>IFERROR(SUM(Y515:Y515),"0")</f>
        <v>0</v>
      </c>
      <c r="Z517" s="42"/>
      <c r="AA517" s="67"/>
      <c r="AB517" s="67"/>
      <c r="AC517" s="67"/>
    </row>
    <row r="518" spans="1:68" ht="14.25" customHeight="1" x14ac:dyDescent="0.25">
      <c r="A518" s="694" t="s">
        <v>164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66"/>
      <c r="AB518" s="66"/>
      <c r="AC518" s="80"/>
    </row>
    <row r="519" spans="1:68" ht="27" customHeight="1" x14ac:dyDescent="0.25">
      <c r="A519" s="63" t="s">
        <v>827</v>
      </c>
      <c r="B519" s="63" t="s">
        <v>828</v>
      </c>
      <c r="C519" s="36">
        <v>4301020400</v>
      </c>
      <c r="D519" s="695">
        <v>4640242180519</v>
      </c>
      <c r="E519" s="695"/>
      <c r="F519" s="62">
        <v>1.5</v>
      </c>
      <c r="G519" s="37">
        <v>8</v>
      </c>
      <c r="H519" s="62">
        <v>12</v>
      </c>
      <c r="I519" s="62">
        <v>12.41</v>
      </c>
      <c r="J519" s="37">
        <v>64</v>
      </c>
      <c r="K519" s="37" t="s">
        <v>133</v>
      </c>
      <c r="L519" s="37" t="s">
        <v>46</v>
      </c>
      <c r="M519" s="38" t="s">
        <v>132</v>
      </c>
      <c r="N519" s="38"/>
      <c r="O519" s="37">
        <v>50</v>
      </c>
      <c r="P519" s="96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97"/>
      <c r="R519" s="697"/>
      <c r="S519" s="697"/>
      <c r="T519" s="69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IFERROR(IF(Y519=0,"",ROUNDUP(Y519/H519,0)*0.01898),"")</f>
        <v/>
      </c>
      <c r="AA519" s="68" t="s">
        <v>46</v>
      </c>
      <c r="AB519" s="69" t="s">
        <v>46</v>
      </c>
      <c r="AC519" s="610" t="s">
        <v>829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703"/>
      <c r="B520" s="703"/>
      <c r="C520" s="703"/>
      <c r="D520" s="703"/>
      <c r="E520" s="703"/>
      <c r="F520" s="703"/>
      <c r="G520" s="703"/>
      <c r="H520" s="703"/>
      <c r="I520" s="703"/>
      <c r="J520" s="703"/>
      <c r="K520" s="703"/>
      <c r="L520" s="703"/>
      <c r="M520" s="703"/>
      <c r="N520" s="703"/>
      <c r="O520" s="704"/>
      <c r="P520" s="700" t="s">
        <v>40</v>
      </c>
      <c r="Q520" s="701"/>
      <c r="R520" s="701"/>
      <c r="S520" s="701"/>
      <c r="T520" s="701"/>
      <c r="U520" s="701"/>
      <c r="V520" s="702"/>
      <c r="W520" s="42" t="s">
        <v>39</v>
      </c>
      <c r="X520" s="43">
        <f>IFERROR(X519/H519,"0")</f>
        <v>0</v>
      </c>
      <c r="Y520" s="43">
        <f>IFERROR(Y519/H519,"0")</f>
        <v>0</v>
      </c>
      <c r="Z520" s="43">
        <f>IFERROR(IF(Z519="",0,Z519),"0")</f>
        <v>0</v>
      </c>
      <c r="AA520" s="67"/>
      <c r="AB520" s="67"/>
      <c r="AC520" s="67"/>
    </row>
    <row r="521" spans="1:68" x14ac:dyDescent="0.2">
      <c r="A521" s="703"/>
      <c r="B521" s="703"/>
      <c r="C521" s="703"/>
      <c r="D521" s="703"/>
      <c r="E521" s="703"/>
      <c r="F521" s="703"/>
      <c r="G521" s="703"/>
      <c r="H521" s="703"/>
      <c r="I521" s="703"/>
      <c r="J521" s="703"/>
      <c r="K521" s="703"/>
      <c r="L521" s="703"/>
      <c r="M521" s="703"/>
      <c r="N521" s="703"/>
      <c r="O521" s="704"/>
      <c r="P521" s="700" t="s">
        <v>40</v>
      </c>
      <c r="Q521" s="701"/>
      <c r="R521" s="701"/>
      <c r="S521" s="701"/>
      <c r="T521" s="701"/>
      <c r="U521" s="701"/>
      <c r="V521" s="702"/>
      <c r="W521" s="42" t="s">
        <v>0</v>
      </c>
      <c r="X521" s="43">
        <f>IFERROR(SUM(X519:X519),"0")</f>
        <v>0</v>
      </c>
      <c r="Y521" s="43">
        <f>IFERROR(SUM(Y519:Y519),"0")</f>
        <v>0</v>
      </c>
      <c r="Z521" s="42"/>
      <c r="AA521" s="67"/>
      <c r="AB521" s="67"/>
      <c r="AC521" s="67"/>
    </row>
    <row r="522" spans="1:68" ht="14.25" customHeight="1" x14ac:dyDescent="0.25">
      <c r="A522" s="694" t="s">
        <v>77</v>
      </c>
      <c r="B522" s="694"/>
      <c r="C522" s="694"/>
      <c r="D522" s="694"/>
      <c r="E522" s="694"/>
      <c r="F522" s="694"/>
      <c r="G522" s="694"/>
      <c r="H522" s="694"/>
      <c r="I522" s="694"/>
      <c r="J522" s="694"/>
      <c r="K522" s="694"/>
      <c r="L522" s="694"/>
      <c r="M522" s="694"/>
      <c r="N522" s="694"/>
      <c r="O522" s="694"/>
      <c r="P522" s="694"/>
      <c r="Q522" s="694"/>
      <c r="R522" s="694"/>
      <c r="S522" s="694"/>
      <c r="T522" s="694"/>
      <c r="U522" s="694"/>
      <c r="V522" s="694"/>
      <c r="W522" s="694"/>
      <c r="X522" s="694"/>
      <c r="Y522" s="694"/>
      <c r="Z522" s="694"/>
      <c r="AA522" s="66"/>
      <c r="AB522" s="66"/>
      <c r="AC522" s="80"/>
    </row>
    <row r="523" spans="1:68" ht="27" customHeight="1" x14ac:dyDescent="0.25">
      <c r="A523" s="63" t="s">
        <v>830</v>
      </c>
      <c r="B523" s="63" t="s">
        <v>831</v>
      </c>
      <c r="C523" s="36">
        <v>4301031467</v>
      </c>
      <c r="D523" s="695">
        <v>4640242180595</v>
      </c>
      <c r="E523" s="695"/>
      <c r="F523" s="62">
        <v>0.8</v>
      </c>
      <c r="G523" s="37">
        <v>6</v>
      </c>
      <c r="H523" s="62">
        <v>4.8</v>
      </c>
      <c r="I523" s="62">
        <v>5.05</v>
      </c>
      <c r="J523" s="37">
        <v>132</v>
      </c>
      <c r="K523" s="37" t="s">
        <v>140</v>
      </c>
      <c r="L523" s="37" t="s">
        <v>46</v>
      </c>
      <c r="M523" s="38" t="s">
        <v>81</v>
      </c>
      <c r="N523" s="38"/>
      <c r="O523" s="37">
        <v>40</v>
      </c>
      <c r="P523" s="96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97"/>
      <c r="R523" s="697"/>
      <c r="S523" s="697"/>
      <c r="T523" s="69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832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27" customHeight="1" x14ac:dyDescent="0.25">
      <c r="A524" s="63" t="s">
        <v>830</v>
      </c>
      <c r="B524" s="63" t="s">
        <v>833</v>
      </c>
      <c r="C524" s="36">
        <v>4301031500</v>
      </c>
      <c r="D524" s="695">
        <v>4640242180595</v>
      </c>
      <c r="E524" s="695"/>
      <c r="F524" s="62">
        <v>0.7</v>
      </c>
      <c r="G524" s="37">
        <v>6</v>
      </c>
      <c r="H524" s="62">
        <v>4.2</v>
      </c>
      <c r="I524" s="62">
        <v>4.45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7"/>
      <c r="R524" s="697"/>
      <c r="S524" s="697"/>
      <c r="T524" s="69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834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x14ac:dyDescent="0.2">
      <c r="A525" s="703"/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4"/>
      <c r="P525" s="700" t="s">
        <v>40</v>
      </c>
      <c r="Q525" s="701"/>
      <c r="R525" s="701"/>
      <c r="S525" s="701"/>
      <c r="T525" s="701"/>
      <c r="U525" s="701"/>
      <c r="V525" s="702"/>
      <c r="W525" s="42" t="s">
        <v>39</v>
      </c>
      <c r="X525" s="43">
        <f>IFERROR(X523/H523,"0")+IFERROR(X524/H524,"0")</f>
        <v>0</v>
      </c>
      <c r="Y525" s="43">
        <f>IFERROR(Y523/H523,"0")+IFERROR(Y524/H524,"0")</f>
        <v>0</v>
      </c>
      <c r="Z525" s="43">
        <f>IFERROR(IF(Z523="",0,Z523),"0")+IFERROR(IF(Z524="",0,Z524),"0")</f>
        <v>0</v>
      </c>
      <c r="AA525" s="67"/>
      <c r="AB525" s="67"/>
      <c r="AC525" s="67"/>
    </row>
    <row r="526" spans="1:68" x14ac:dyDescent="0.2">
      <c r="A526" s="703"/>
      <c r="B526" s="703"/>
      <c r="C526" s="703"/>
      <c r="D526" s="703"/>
      <c r="E526" s="703"/>
      <c r="F526" s="703"/>
      <c r="G526" s="703"/>
      <c r="H526" s="703"/>
      <c r="I526" s="703"/>
      <c r="J526" s="703"/>
      <c r="K526" s="703"/>
      <c r="L526" s="703"/>
      <c r="M526" s="703"/>
      <c r="N526" s="703"/>
      <c r="O526" s="704"/>
      <c r="P526" s="700" t="s">
        <v>40</v>
      </c>
      <c r="Q526" s="701"/>
      <c r="R526" s="701"/>
      <c r="S526" s="701"/>
      <c r="T526" s="701"/>
      <c r="U526" s="701"/>
      <c r="V526" s="702"/>
      <c r="W526" s="42" t="s">
        <v>0</v>
      </c>
      <c r="X526" s="43">
        <f>IFERROR(SUM(X523:X524),"0")</f>
        <v>0</v>
      </c>
      <c r="Y526" s="43">
        <f>IFERROR(SUM(Y523:Y524),"0")</f>
        <v>0</v>
      </c>
      <c r="Z526" s="42"/>
      <c r="AA526" s="67"/>
      <c r="AB526" s="67"/>
      <c r="AC526" s="67"/>
    </row>
    <row r="527" spans="1:68" ht="14.25" customHeight="1" x14ac:dyDescent="0.25">
      <c r="A527" s="694" t="s">
        <v>86</v>
      </c>
      <c r="B527" s="694"/>
      <c r="C527" s="694"/>
      <c r="D527" s="694"/>
      <c r="E527" s="694"/>
      <c r="F527" s="694"/>
      <c r="G527" s="694"/>
      <c r="H527" s="694"/>
      <c r="I527" s="694"/>
      <c r="J527" s="694"/>
      <c r="K527" s="694"/>
      <c r="L527" s="694"/>
      <c r="M527" s="694"/>
      <c r="N527" s="694"/>
      <c r="O527" s="694"/>
      <c r="P527" s="694"/>
      <c r="Q527" s="694"/>
      <c r="R527" s="694"/>
      <c r="S527" s="694"/>
      <c r="T527" s="694"/>
      <c r="U527" s="694"/>
      <c r="V527" s="694"/>
      <c r="W527" s="694"/>
      <c r="X527" s="694"/>
      <c r="Y527" s="694"/>
      <c r="Z527" s="694"/>
      <c r="AA527" s="66"/>
      <c r="AB527" s="66"/>
      <c r="AC527" s="80"/>
    </row>
    <row r="528" spans="1:68" ht="27" customHeight="1" x14ac:dyDescent="0.25">
      <c r="A528" s="63" t="s">
        <v>835</v>
      </c>
      <c r="B528" s="63" t="s">
        <v>836</v>
      </c>
      <c r="C528" s="36">
        <v>4301052043</v>
      </c>
      <c r="D528" s="695">
        <v>4640242180533</v>
      </c>
      <c r="E528" s="695"/>
      <c r="F528" s="62">
        <v>1.5</v>
      </c>
      <c r="G528" s="37">
        <v>6</v>
      </c>
      <c r="H528" s="62">
        <v>9</v>
      </c>
      <c r="I528" s="62">
        <v>9.4939999999999998</v>
      </c>
      <c r="J528" s="37">
        <v>64</v>
      </c>
      <c r="K528" s="37" t="s">
        <v>133</v>
      </c>
      <c r="L528" s="37" t="s">
        <v>46</v>
      </c>
      <c r="M528" s="38" t="s">
        <v>90</v>
      </c>
      <c r="N528" s="38"/>
      <c r="O528" s="37">
        <v>45</v>
      </c>
      <c r="P528" s="9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97"/>
      <c r="R528" s="697"/>
      <c r="S528" s="697"/>
      <c r="T528" s="698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16" t="s">
        <v>837</v>
      </c>
      <c r="AG528" s="78"/>
      <c r="AJ528" s="84" t="s">
        <v>46</v>
      </c>
      <c r="AK528" s="84">
        <v>0</v>
      </c>
      <c r="BB528" s="61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x14ac:dyDescent="0.2">
      <c r="A529" s="703"/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4"/>
      <c r="P529" s="700" t="s">
        <v>40</v>
      </c>
      <c r="Q529" s="701"/>
      <c r="R529" s="701"/>
      <c r="S529" s="701"/>
      <c r="T529" s="701"/>
      <c r="U529" s="701"/>
      <c r="V529" s="702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x14ac:dyDescent="0.2">
      <c r="A530" s="703"/>
      <c r="B530" s="703"/>
      <c r="C530" s="703"/>
      <c r="D530" s="703"/>
      <c r="E530" s="703"/>
      <c r="F530" s="703"/>
      <c r="G530" s="703"/>
      <c r="H530" s="703"/>
      <c r="I530" s="703"/>
      <c r="J530" s="703"/>
      <c r="K530" s="703"/>
      <c r="L530" s="703"/>
      <c r="M530" s="703"/>
      <c r="N530" s="703"/>
      <c r="O530" s="704"/>
      <c r="P530" s="700" t="s">
        <v>40</v>
      </c>
      <c r="Q530" s="701"/>
      <c r="R530" s="701"/>
      <c r="S530" s="701"/>
      <c r="T530" s="701"/>
      <c r="U530" s="701"/>
      <c r="V530" s="702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customHeight="1" x14ac:dyDescent="0.25">
      <c r="A531" s="694" t="s">
        <v>181</v>
      </c>
      <c r="B531" s="694"/>
      <c r="C531" s="694"/>
      <c r="D531" s="694"/>
      <c r="E531" s="694"/>
      <c r="F531" s="694"/>
      <c r="G531" s="694"/>
      <c r="H531" s="694"/>
      <c r="I531" s="694"/>
      <c r="J531" s="694"/>
      <c r="K531" s="694"/>
      <c r="L531" s="694"/>
      <c r="M531" s="694"/>
      <c r="N531" s="694"/>
      <c r="O531" s="694"/>
      <c r="P531" s="694"/>
      <c r="Q531" s="694"/>
      <c r="R531" s="694"/>
      <c r="S531" s="694"/>
      <c r="T531" s="694"/>
      <c r="U531" s="694"/>
      <c r="V531" s="694"/>
      <c r="W531" s="694"/>
      <c r="X531" s="694"/>
      <c r="Y531" s="694"/>
      <c r="Z531" s="694"/>
      <c r="AA531" s="66"/>
      <c r="AB531" s="66"/>
      <c r="AC531" s="80"/>
    </row>
    <row r="532" spans="1:68" ht="27" customHeight="1" x14ac:dyDescent="0.25">
      <c r="A532" s="63" t="s">
        <v>838</v>
      </c>
      <c r="B532" s="63" t="s">
        <v>839</v>
      </c>
      <c r="C532" s="36">
        <v>4301060535</v>
      </c>
      <c r="D532" s="695">
        <v>4640242180120</v>
      </c>
      <c r="E532" s="695"/>
      <c r="F532" s="62">
        <v>1.5</v>
      </c>
      <c r="G532" s="37">
        <v>6</v>
      </c>
      <c r="H532" s="62">
        <v>9</v>
      </c>
      <c r="I532" s="62">
        <v>9.41</v>
      </c>
      <c r="J532" s="37">
        <v>64</v>
      </c>
      <c r="K532" s="37" t="s">
        <v>133</v>
      </c>
      <c r="L532" s="37" t="s">
        <v>46</v>
      </c>
      <c r="M532" s="38" t="s">
        <v>90</v>
      </c>
      <c r="N532" s="38"/>
      <c r="O532" s="37">
        <v>40</v>
      </c>
      <c r="P532" s="9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97"/>
      <c r="R532" s="697"/>
      <c r="S532" s="697"/>
      <c r="T532" s="698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18" t="s">
        <v>840</v>
      </c>
      <c r="AG532" s="78"/>
      <c r="AJ532" s="84" t="s">
        <v>46</v>
      </c>
      <c r="AK532" s="84">
        <v>0</v>
      </c>
      <c r="BB532" s="61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t="27" customHeight="1" x14ac:dyDescent="0.25">
      <c r="A533" s="63" t="s">
        <v>841</v>
      </c>
      <c r="B533" s="63" t="s">
        <v>842</v>
      </c>
      <c r="C533" s="36">
        <v>4301060536</v>
      </c>
      <c r="D533" s="695">
        <v>4640242180137</v>
      </c>
      <c r="E533" s="695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97"/>
      <c r="R533" s="697"/>
      <c r="S533" s="697"/>
      <c r="T533" s="69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703"/>
      <c r="B534" s="703"/>
      <c r="C534" s="703"/>
      <c r="D534" s="703"/>
      <c r="E534" s="703"/>
      <c r="F534" s="703"/>
      <c r="G534" s="703"/>
      <c r="H534" s="703"/>
      <c r="I534" s="703"/>
      <c r="J534" s="703"/>
      <c r="K534" s="703"/>
      <c r="L534" s="703"/>
      <c r="M534" s="703"/>
      <c r="N534" s="703"/>
      <c r="O534" s="704"/>
      <c r="P534" s="700" t="s">
        <v>40</v>
      </c>
      <c r="Q534" s="701"/>
      <c r="R534" s="701"/>
      <c r="S534" s="701"/>
      <c r="T534" s="701"/>
      <c r="U534" s="701"/>
      <c r="V534" s="702"/>
      <c r="W534" s="42" t="s">
        <v>39</v>
      </c>
      <c r="X534" s="43">
        <f>IFERROR(X532/H532,"0")+IFERROR(X533/H533,"0")</f>
        <v>0</v>
      </c>
      <c r="Y534" s="43">
        <f>IFERROR(Y532/H532,"0")+IFERROR(Y533/H533,"0")</f>
        <v>0</v>
      </c>
      <c r="Z534" s="43">
        <f>IFERROR(IF(Z532="",0,Z532),"0")+IFERROR(IF(Z533="",0,Z533),"0")</f>
        <v>0</v>
      </c>
      <c r="AA534" s="67"/>
      <c r="AB534" s="67"/>
      <c r="AC534" s="67"/>
    </row>
    <row r="535" spans="1:68" x14ac:dyDescent="0.2">
      <c r="A535" s="703"/>
      <c r="B535" s="703"/>
      <c r="C535" s="703"/>
      <c r="D535" s="703"/>
      <c r="E535" s="703"/>
      <c r="F535" s="703"/>
      <c r="G535" s="703"/>
      <c r="H535" s="703"/>
      <c r="I535" s="703"/>
      <c r="J535" s="703"/>
      <c r="K535" s="703"/>
      <c r="L535" s="703"/>
      <c r="M535" s="703"/>
      <c r="N535" s="703"/>
      <c r="O535" s="704"/>
      <c r="P535" s="700" t="s">
        <v>40</v>
      </c>
      <c r="Q535" s="701"/>
      <c r="R535" s="701"/>
      <c r="S535" s="701"/>
      <c r="T535" s="701"/>
      <c r="U535" s="701"/>
      <c r="V535" s="702"/>
      <c r="W535" s="42" t="s">
        <v>0</v>
      </c>
      <c r="X535" s="43">
        <f>IFERROR(SUM(X532:X533),"0")</f>
        <v>0</v>
      </c>
      <c r="Y535" s="43">
        <f>IFERROR(SUM(Y532:Y533),"0")</f>
        <v>0</v>
      </c>
      <c r="Z535" s="42"/>
      <c r="AA535" s="67"/>
      <c r="AB535" s="67"/>
      <c r="AC535" s="67"/>
    </row>
    <row r="536" spans="1:68" ht="16.5" customHeight="1" x14ac:dyDescent="0.25">
      <c r="A536" s="693" t="s">
        <v>844</v>
      </c>
      <c r="B536" s="693"/>
      <c r="C536" s="693"/>
      <c r="D536" s="693"/>
      <c r="E536" s="693"/>
      <c r="F536" s="693"/>
      <c r="G536" s="693"/>
      <c r="H536" s="693"/>
      <c r="I536" s="693"/>
      <c r="J536" s="693"/>
      <c r="K536" s="693"/>
      <c r="L536" s="693"/>
      <c r="M536" s="693"/>
      <c r="N536" s="693"/>
      <c r="O536" s="693"/>
      <c r="P536" s="693"/>
      <c r="Q536" s="693"/>
      <c r="R536" s="693"/>
      <c r="S536" s="693"/>
      <c r="T536" s="693"/>
      <c r="U536" s="693"/>
      <c r="V536" s="693"/>
      <c r="W536" s="693"/>
      <c r="X536" s="693"/>
      <c r="Y536" s="693"/>
      <c r="Z536" s="693"/>
      <c r="AA536" s="65"/>
      <c r="AB536" s="65"/>
      <c r="AC536" s="79"/>
    </row>
    <row r="537" spans="1:68" ht="14.25" customHeight="1" x14ac:dyDescent="0.25">
      <c r="A537" s="694" t="s">
        <v>164</v>
      </c>
      <c r="B537" s="694"/>
      <c r="C537" s="694"/>
      <c r="D537" s="694"/>
      <c r="E537" s="694"/>
      <c r="F537" s="694"/>
      <c r="G537" s="694"/>
      <c r="H537" s="694"/>
      <c r="I537" s="694"/>
      <c r="J537" s="694"/>
      <c r="K537" s="694"/>
      <c r="L537" s="694"/>
      <c r="M537" s="694"/>
      <c r="N537" s="694"/>
      <c r="O537" s="694"/>
      <c r="P537" s="694"/>
      <c r="Q537" s="694"/>
      <c r="R537" s="694"/>
      <c r="S537" s="694"/>
      <c r="T537" s="694"/>
      <c r="U537" s="694"/>
      <c r="V537" s="694"/>
      <c r="W537" s="694"/>
      <c r="X537" s="694"/>
      <c r="Y537" s="694"/>
      <c r="Z537" s="694"/>
      <c r="AA537" s="66"/>
      <c r="AB537" s="66"/>
      <c r="AC537" s="80"/>
    </row>
    <row r="538" spans="1:68" ht="27" customHeight="1" x14ac:dyDescent="0.25">
      <c r="A538" s="63" t="s">
        <v>845</v>
      </c>
      <c r="B538" s="63" t="s">
        <v>846</v>
      </c>
      <c r="C538" s="36">
        <v>4301020428</v>
      </c>
      <c r="D538" s="695">
        <v>4640242180090</v>
      </c>
      <c r="E538" s="695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133</v>
      </c>
      <c r="L538" s="37" t="s">
        <v>46</v>
      </c>
      <c r="M538" s="38" t="s">
        <v>132</v>
      </c>
      <c r="N538" s="38"/>
      <c r="O538" s="37">
        <v>50</v>
      </c>
      <c r="P538" s="97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97"/>
      <c r="R538" s="697"/>
      <c r="S538" s="697"/>
      <c r="T538" s="69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847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03"/>
      <c r="B539" s="703"/>
      <c r="C539" s="703"/>
      <c r="D539" s="703"/>
      <c r="E539" s="703"/>
      <c r="F539" s="703"/>
      <c r="G539" s="703"/>
      <c r="H539" s="703"/>
      <c r="I539" s="703"/>
      <c r="J539" s="703"/>
      <c r="K539" s="703"/>
      <c r="L539" s="703"/>
      <c r="M539" s="703"/>
      <c r="N539" s="703"/>
      <c r="O539" s="704"/>
      <c r="P539" s="700" t="s">
        <v>40</v>
      </c>
      <c r="Q539" s="701"/>
      <c r="R539" s="701"/>
      <c r="S539" s="701"/>
      <c r="T539" s="701"/>
      <c r="U539" s="701"/>
      <c r="V539" s="70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03"/>
      <c r="B540" s="703"/>
      <c r="C540" s="703"/>
      <c r="D540" s="703"/>
      <c r="E540" s="703"/>
      <c r="F540" s="703"/>
      <c r="G540" s="703"/>
      <c r="H540" s="703"/>
      <c r="I540" s="703"/>
      <c r="J540" s="703"/>
      <c r="K540" s="703"/>
      <c r="L540" s="703"/>
      <c r="M540" s="703"/>
      <c r="N540" s="703"/>
      <c r="O540" s="704"/>
      <c r="P540" s="700" t="s">
        <v>40</v>
      </c>
      <c r="Q540" s="701"/>
      <c r="R540" s="701"/>
      <c r="S540" s="701"/>
      <c r="T540" s="701"/>
      <c r="U540" s="701"/>
      <c r="V540" s="70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5" customHeight="1" x14ac:dyDescent="0.2">
      <c r="A541" s="703"/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975"/>
      <c r="P541" s="972" t="s">
        <v>33</v>
      </c>
      <c r="Q541" s="973"/>
      <c r="R541" s="973"/>
      <c r="S541" s="973"/>
      <c r="T541" s="973"/>
      <c r="U541" s="973"/>
      <c r="V541" s="974"/>
      <c r="W541" s="42" t="s">
        <v>0</v>
      </c>
      <c r="X541" s="43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0</v>
      </c>
      <c r="Y541" s="43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0</v>
      </c>
      <c r="Z541" s="42"/>
      <c r="AA541" s="67"/>
      <c r="AB541" s="67"/>
      <c r="AC541" s="67"/>
    </row>
    <row r="542" spans="1:68" x14ac:dyDescent="0.2">
      <c r="A542" s="703"/>
      <c r="B542" s="703"/>
      <c r="C542" s="703"/>
      <c r="D542" s="703"/>
      <c r="E542" s="703"/>
      <c r="F542" s="703"/>
      <c r="G542" s="703"/>
      <c r="H542" s="703"/>
      <c r="I542" s="703"/>
      <c r="J542" s="703"/>
      <c r="K542" s="703"/>
      <c r="L542" s="703"/>
      <c r="M542" s="703"/>
      <c r="N542" s="703"/>
      <c r="O542" s="975"/>
      <c r="P542" s="972" t="s">
        <v>34</v>
      </c>
      <c r="Q542" s="973"/>
      <c r="R542" s="973"/>
      <c r="S542" s="973"/>
      <c r="T542" s="973"/>
      <c r="U542" s="973"/>
      <c r="V542" s="974"/>
      <c r="W542" s="42" t="s">
        <v>0</v>
      </c>
      <c r="X542" s="43">
        <f>IFERROR(SUM(BM22:BM538),"0")</f>
        <v>0</v>
      </c>
      <c r="Y542" s="43">
        <f>IFERROR(SUM(BN22:BN538),"0")</f>
        <v>0</v>
      </c>
      <c r="Z542" s="42"/>
      <c r="AA542" s="67"/>
      <c r="AB542" s="67"/>
      <c r="AC542" s="67"/>
    </row>
    <row r="543" spans="1:68" x14ac:dyDescent="0.2">
      <c r="A543" s="703"/>
      <c r="B543" s="703"/>
      <c r="C543" s="703"/>
      <c r="D543" s="703"/>
      <c r="E543" s="703"/>
      <c r="F543" s="703"/>
      <c r="G543" s="703"/>
      <c r="H543" s="703"/>
      <c r="I543" s="703"/>
      <c r="J543" s="703"/>
      <c r="K543" s="703"/>
      <c r="L543" s="703"/>
      <c r="M543" s="703"/>
      <c r="N543" s="703"/>
      <c r="O543" s="975"/>
      <c r="P543" s="972" t="s">
        <v>35</v>
      </c>
      <c r="Q543" s="973"/>
      <c r="R543" s="973"/>
      <c r="S543" s="973"/>
      <c r="T543" s="973"/>
      <c r="U543" s="973"/>
      <c r="V543" s="974"/>
      <c r="W543" s="42" t="s">
        <v>20</v>
      </c>
      <c r="X543" s="44">
        <f>ROUNDUP(SUM(BO22:BO538),0)</f>
        <v>0</v>
      </c>
      <c r="Y543" s="44">
        <f>ROUNDUP(SUM(BP22:BP538),0)</f>
        <v>0</v>
      </c>
      <c r="Z543" s="42"/>
      <c r="AA543" s="67"/>
      <c r="AB543" s="67"/>
      <c r="AC543" s="67"/>
    </row>
    <row r="544" spans="1:68" x14ac:dyDescent="0.2">
      <c r="A544" s="703"/>
      <c r="B544" s="703"/>
      <c r="C544" s="703"/>
      <c r="D544" s="703"/>
      <c r="E544" s="703"/>
      <c r="F544" s="703"/>
      <c r="G544" s="703"/>
      <c r="H544" s="703"/>
      <c r="I544" s="703"/>
      <c r="J544" s="703"/>
      <c r="K544" s="703"/>
      <c r="L544" s="703"/>
      <c r="M544" s="703"/>
      <c r="N544" s="703"/>
      <c r="O544" s="975"/>
      <c r="P544" s="972" t="s">
        <v>36</v>
      </c>
      <c r="Q544" s="973"/>
      <c r="R544" s="973"/>
      <c r="S544" s="973"/>
      <c r="T544" s="973"/>
      <c r="U544" s="973"/>
      <c r="V544" s="974"/>
      <c r="W544" s="42" t="s">
        <v>0</v>
      </c>
      <c r="X544" s="43">
        <f>GrossWeightTotal+PalletQtyTotal*25</f>
        <v>0</v>
      </c>
      <c r="Y544" s="43">
        <f>GrossWeightTotalR+PalletQtyTotalR*25</f>
        <v>0</v>
      </c>
      <c r="Z544" s="42"/>
      <c r="AA544" s="67"/>
      <c r="AB544" s="67"/>
      <c r="AC544" s="67"/>
    </row>
    <row r="545" spans="1:32" x14ac:dyDescent="0.2">
      <c r="A545" s="703"/>
      <c r="B545" s="703"/>
      <c r="C545" s="703"/>
      <c r="D545" s="703"/>
      <c r="E545" s="703"/>
      <c r="F545" s="703"/>
      <c r="G545" s="703"/>
      <c r="H545" s="703"/>
      <c r="I545" s="703"/>
      <c r="J545" s="703"/>
      <c r="K545" s="703"/>
      <c r="L545" s="703"/>
      <c r="M545" s="703"/>
      <c r="N545" s="703"/>
      <c r="O545" s="975"/>
      <c r="P545" s="972" t="s">
        <v>37</v>
      </c>
      <c r="Q545" s="973"/>
      <c r="R545" s="973"/>
      <c r="S545" s="973"/>
      <c r="T545" s="973"/>
      <c r="U545" s="973"/>
      <c r="V545" s="974"/>
      <c r="W545" s="42" t="s">
        <v>20</v>
      </c>
      <c r="X545" s="43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0</v>
      </c>
      <c r="Y545" s="43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0</v>
      </c>
      <c r="Z545" s="42"/>
      <c r="AA545" s="67"/>
      <c r="AB545" s="67"/>
      <c r="AC545" s="67"/>
    </row>
    <row r="546" spans="1:32" ht="14.25" x14ac:dyDescent="0.2">
      <c r="A546" s="703"/>
      <c r="B546" s="703"/>
      <c r="C546" s="703"/>
      <c r="D546" s="703"/>
      <c r="E546" s="703"/>
      <c r="F546" s="703"/>
      <c r="G546" s="703"/>
      <c r="H546" s="703"/>
      <c r="I546" s="703"/>
      <c r="J546" s="703"/>
      <c r="K546" s="703"/>
      <c r="L546" s="703"/>
      <c r="M546" s="703"/>
      <c r="N546" s="703"/>
      <c r="O546" s="975"/>
      <c r="P546" s="972" t="s">
        <v>38</v>
      </c>
      <c r="Q546" s="973"/>
      <c r="R546" s="973"/>
      <c r="S546" s="973"/>
      <c r="T546" s="973"/>
      <c r="U546" s="973"/>
      <c r="V546" s="974"/>
      <c r="W546" s="45" t="s">
        <v>52</v>
      </c>
      <c r="X546" s="42"/>
      <c r="Y546" s="42"/>
      <c r="Z546" s="42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0</v>
      </c>
      <c r="AA546" s="67"/>
      <c r="AB546" s="67"/>
      <c r="AC546" s="67"/>
    </row>
    <row r="547" spans="1:32" ht="13.5" thickBot="1" x14ac:dyDescent="0.25"/>
    <row r="548" spans="1:32" ht="27" thickTop="1" thickBot="1" x14ac:dyDescent="0.25">
      <c r="A548" s="46" t="s">
        <v>9</v>
      </c>
      <c r="B548" s="85" t="s">
        <v>76</v>
      </c>
      <c r="C548" s="85" t="s">
        <v>45</v>
      </c>
      <c r="D548" s="978" t="s">
        <v>126</v>
      </c>
      <c r="E548" s="978" t="s">
        <v>126</v>
      </c>
      <c r="F548" s="978" t="s">
        <v>126</v>
      </c>
      <c r="G548" s="978" t="s">
        <v>126</v>
      </c>
      <c r="H548" s="978" t="s">
        <v>126</v>
      </c>
      <c r="I548" s="978" t="s">
        <v>126</v>
      </c>
      <c r="J548" s="978" t="s">
        <v>126</v>
      </c>
      <c r="K548" s="978" t="s">
        <v>338</v>
      </c>
      <c r="L548" s="978" t="s">
        <v>338</v>
      </c>
      <c r="M548" s="978" t="s">
        <v>338</v>
      </c>
      <c r="N548" s="979"/>
      <c r="O548" s="978" t="s">
        <v>338</v>
      </c>
      <c r="P548" s="978" t="s">
        <v>338</v>
      </c>
      <c r="Q548" s="978" t="s">
        <v>338</v>
      </c>
      <c r="R548" s="978" t="s">
        <v>338</v>
      </c>
      <c r="S548" s="978" t="s">
        <v>338</v>
      </c>
      <c r="T548" s="978" t="s">
        <v>338</v>
      </c>
      <c r="U548" s="978" t="s">
        <v>338</v>
      </c>
      <c r="V548" s="978" t="s">
        <v>674</v>
      </c>
      <c r="W548" s="978" t="s">
        <v>674</v>
      </c>
      <c r="X548" s="978" t="s">
        <v>740</v>
      </c>
      <c r="Y548" s="978" t="s">
        <v>740</v>
      </c>
      <c r="Z548" s="85" t="s">
        <v>776</v>
      </c>
      <c r="AA548" s="978" t="s">
        <v>823</v>
      </c>
      <c r="AB548" s="978" t="s">
        <v>823</v>
      </c>
      <c r="AC548" s="60"/>
      <c r="AF548" s="1"/>
    </row>
    <row r="549" spans="1:32" ht="14.25" customHeight="1" thickTop="1" x14ac:dyDescent="0.2">
      <c r="A549" s="976" t="s">
        <v>10</v>
      </c>
      <c r="B549" s="978" t="s">
        <v>76</v>
      </c>
      <c r="C549" s="978" t="s">
        <v>110</v>
      </c>
      <c r="D549" s="978" t="s">
        <v>127</v>
      </c>
      <c r="E549" s="978" t="s">
        <v>143</v>
      </c>
      <c r="F549" s="978" t="s">
        <v>188</v>
      </c>
      <c r="G549" s="978" t="s">
        <v>209</v>
      </c>
      <c r="H549" s="978" t="s">
        <v>248</v>
      </c>
      <c r="I549" s="978" t="s">
        <v>260</v>
      </c>
      <c r="J549" s="978" t="s">
        <v>126</v>
      </c>
      <c r="K549" s="978" t="s">
        <v>339</v>
      </c>
      <c r="L549" s="978" t="s">
        <v>360</v>
      </c>
      <c r="M549" s="978" t="s">
        <v>427</v>
      </c>
      <c r="N549" s="1"/>
      <c r="O549" s="978" t="s">
        <v>495</v>
      </c>
      <c r="P549" s="978" t="s">
        <v>528</v>
      </c>
      <c r="Q549" s="978" t="s">
        <v>544</v>
      </c>
      <c r="R549" s="978" t="s">
        <v>553</v>
      </c>
      <c r="S549" s="978" t="s">
        <v>574</v>
      </c>
      <c r="T549" s="978" t="s">
        <v>583</v>
      </c>
      <c r="U549" s="978" t="s">
        <v>664</v>
      </c>
      <c r="V549" s="978" t="s">
        <v>675</v>
      </c>
      <c r="W549" s="978" t="s">
        <v>724</v>
      </c>
      <c r="X549" s="978" t="s">
        <v>741</v>
      </c>
      <c r="Y549" s="978" t="s">
        <v>764</v>
      </c>
      <c r="Z549" s="978" t="s">
        <v>776</v>
      </c>
      <c r="AA549" s="978" t="s">
        <v>823</v>
      </c>
      <c r="AB549" s="978" t="s">
        <v>844</v>
      </c>
      <c r="AC549" s="60"/>
      <c r="AF549" s="1"/>
    </row>
    <row r="550" spans="1:32" ht="13.5" thickBot="1" x14ac:dyDescent="0.25">
      <c r="A550" s="977"/>
      <c r="B550" s="978"/>
      <c r="C550" s="978"/>
      <c r="D550" s="978"/>
      <c r="E550" s="978"/>
      <c r="F550" s="978"/>
      <c r="G550" s="978"/>
      <c r="H550" s="978"/>
      <c r="I550" s="978"/>
      <c r="J550" s="978"/>
      <c r="K550" s="978"/>
      <c r="L550" s="978"/>
      <c r="M550" s="978"/>
      <c r="N550" s="1"/>
      <c r="O550" s="978"/>
      <c r="P550" s="978"/>
      <c r="Q550" s="978"/>
      <c r="R550" s="978"/>
      <c r="S550" s="978"/>
      <c r="T550" s="978"/>
      <c r="U550" s="978"/>
      <c r="V550" s="978"/>
      <c r="W550" s="978"/>
      <c r="X550" s="978"/>
      <c r="Y550" s="978"/>
      <c r="Z550" s="978"/>
      <c r="AA550" s="978"/>
      <c r="AB550" s="978"/>
      <c r="AC550" s="60"/>
      <c r="AF550" s="1"/>
    </row>
    <row r="551" spans="1:32" ht="18" thickTop="1" thickBot="1" x14ac:dyDescent="0.25">
      <c r="A551" s="46" t="s">
        <v>13</v>
      </c>
      <c r="B551" s="52">
        <f>IFERROR(Y22*1,"0")+IFERROR(Y23*1,"0")+IFERROR(Y27*1,"0")+IFERROR(Y28*1,"0")+IFERROR(Y29*1,"0")+IFERROR(Y30*1,"0")+IFERROR(Y31*1,"0")+IFERROR(Y35*1,"0")</f>
        <v>0</v>
      </c>
      <c r="C551" s="52">
        <f>IFERROR(Y41*1,"0")+IFERROR(Y42*1,"0")+IFERROR(Y43*1,"0")+IFERROR(Y44*1,"0")+IFERROR(Y45*1,"0")</f>
        <v>0</v>
      </c>
      <c r="D551" s="52">
        <f>IFERROR(Y51*1,"0")+IFERROR(Y52*1,"0")+IFERROR(Y53*1,"0")+IFERROR(Y54*1,"0")</f>
        <v>0</v>
      </c>
      <c r="E55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52">
        <f>IFERROR(Y88*1,"0")+IFERROR(Y89*1,"0")+IFERROR(Y90*1,"0")+IFERROR(Y91*1,"0")+IFERROR(Y95*1,"0")+IFERROR(Y96*1,"0")+IFERROR(Y97*1,"0")+IFERROR(Y98*1,"0")</f>
        <v>0</v>
      </c>
      <c r="G55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52">
        <f>IFERROR(Y132*1,"0")+IFERROR(Y133*1,"0")+IFERROR(Y137*1,"0")+IFERROR(Y138*1,"0")+IFERROR(Y142*1,"0")+IFERROR(Y143*1,"0")</f>
        <v>0</v>
      </c>
      <c r="I551" s="52">
        <f>IFERROR(Y148*1,"0")+IFERROR(Y149*1,"0")+IFERROR(Y150*1,"0")+IFERROR(Y151*1,"0")</f>
        <v>0</v>
      </c>
      <c r="J551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52">
        <f>IFERROR(Y198*1,"0")+IFERROR(Y199*1,"0")+IFERROR(Y200*1,"0")+IFERROR(Y201*1,"0")+IFERROR(Y202*1,"0")+IFERROR(Y203*1,"0")+IFERROR(Y204*1,"0")</f>
        <v>0</v>
      </c>
      <c r="L551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1"/>
      <c r="O551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52">
        <f>IFERROR(Y316*1,"0")+IFERROR(Y317*1,"0")+IFERROR(Y318*1,"0")+IFERROR(Y319*1,"0")+IFERROR(Y320*1,"0")</f>
        <v>0</v>
      </c>
      <c r="Q551" s="52">
        <f>IFERROR(Y325*1,"0")+IFERROR(Y326*1,"0")+IFERROR(Y327*1,"0")</f>
        <v>0</v>
      </c>
      <c r="R551" s="52">
        <f>IFERROR(Y332*1,"0")+IFERROR(Y333*1,"0")+IFERROR(Y334*1,"0")+IFERROR(Y335*1,"0")+IFERROR(Y336*1,"0")+IFERROR(Y340*1,"0")+IFERROR(Y341*1,"0")</f>
        <v>0</v>
      </c>
      <c r="S551" s="52">
        <f>IFERROR(Y346*1,"0")+IFERROR(Y347*1,"0")+IFERROR(Y348*1,"0")</f>
        <v>0</v>
      </c>
      <c r="T551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52">
        <f>IFERROR(Y404*1,"0")+IFERROR(Y405*1,"0")+IFERROR(Y406*1,"0")</f>
        <v>0</v>
      </c>
      <c r="V551" s="52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0</v>
      </c>
      <c r="W551" s="52">
        <f>IFERROR(Y441*1,"0")+IFERROR(Y442*1,"0")+IFERROR(Y446*1,"0")+IFERROR(Y450*1,"0")+IFERROR(Y451*1,"0")+IFERROR(Y452*1,"0")</f>
        <v>0</v>
      </c>
      <c r="X551" s="52">
        <f>IFERROR(Y458*1,"0")+IFERROR(Y459*1,"0")+IFERROR(Y460*1,"0")+IFERROR(Y461*1,"0")+IFERROR(Y462*1,"0")+IFERROR(Y463*1,"0")+IFERROR(Y467*1,"0")+IFERROR(Y468*1,"0")</f>
        <v>0</v>
      </c>
      <c r="Y551" s="52">
        <f>IFERROR(Y473*1,"0")+IFERROR(Y477*1,"0")+IFERROR(Y478*1,"0")+IFERROR(Y479*1,"0")</f>
        <v>0</v>
      </c>
      <c r="Z551" s="52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52">
        <f>IFERROR(Y515*1,"0")+IFERROR(Y519*1,"0")+IFERROR(Y523*1,"0")+IFERROR(Y524*1,"0")+IFERROR(Y528*1,"0")+IFERROR(Y532*1,"0")+IFERROR(Y533*1,"0")</f>
        <v>0</v>
      </c>
      <c r="AB551" s="52">
        <f>IFERROR(Y538*1,"0")</f>
        <v>0</v>
      </c>
      <c r="AC551" s="60"/>
      <c r="AF551" s="1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69">
    <mergeCell ref="U549:U550"/>
    <mergeCell ref="V549:V550"/>
    <mergeCell ref="W549:W550"/>
    <mergeCell ref="X549:X550"/>
    <mergeCell ref="Y549:Y550"/>
    <mergeCell ref="Z549:Z550"/>
    <mergeCell ref="AA549:AA550"/>
    <mergeCell ref="AB549:AB550"/>
    <mergeCell ref="D548:J548"/>
    <mergeCell ref="K548:U548"/>
    <mergeCell ref="V548:W548"/>
    <mergeCell ref="X548:Y548"/>
    <mergeCell ref="AA548:AB548"/>
    <mergeCell ref="J549:J550"/>
    <mergeCell ref="K549:K550"/>
    <mergeCell ref="L549:L550"/>
    <mergeCell ref="M549:M550"/>
    <mergeCell ref="O549:O550"/>
    <mergeCell ref="P549:P550"/>
    <mergeCell ref="Q549:Q550"/>
    <mergeCell ref="R549:R550"/>
    <mergeCell ref="S549:S550"/>
    <mergeCell ref="T549:T550"/>
    <mergeCell ref="A549:A550"/>
    <mergeCell ref="B549:B550"/>
    <mergeCell ref="C549:C550"/>
    <mergeCell ref="D549:D550"/>
    <mergeCell ref="E549:E550"/>
    <mergeCell ref="F549:F550"/>
    <mergeCell ref="G549:G550"/>
    <mergeCell ref="H549:H550"/>
    <mergeCell ref="I549:I550"/>
    <mergeCell ref="A537:Z537"/>
    <mergeCell ref="D538:E538"/>
    <mergeCell ref="P538:T538"/>
    <mergeCell ref="P539:V539"/>
    <mergeCell ref="A539:O540"/>
    <mergeCell ref="P540:V540"/>
    <mergeCell ref="P541:V541"/>
    <mergeCell ref="A541:O546"/>
    <mergeCell ref="P542:V542"/>
    <mergeCell ref="P543:V543"/>
    <mergeCell ref="P544:V544"/>
    <mergeCell ref="P545:V545"/>
    <mergeCell ref="P546:V546"/>
    <mergeCell ref="A531:Z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P525:V525"/>
    <mergeCell ref="A525:O526"/>
    <mergeCell ref="P526:V526"/>
    <mergeCell ref="A527:Z527"/>
    <mergeCell ref="D528:E528"/>
    <mergeCell ref="P528:T528"/>
    <mergeCell ref="P529:V529"/>
    <mergeCell ref="A529:O530"/>
    <mergeCell ref="P530:V530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A512:Z512"/>
    <mergeCell ref="A513:Z513"/>
    <mergeCell ref="A514:Z514"/>
    <mergeCell ref="D515:E515"/>
    <mergeCell ref="P515:T515"/>
    <mergeCell ref="P516:V516"/>
    <mergeCell ref="A516:O517"/>
    <mergeCell ref="P517:V517"/>
    <mergeCell ref="A518:Z518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71:Z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A440:Z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A434:Z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A428:Z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11:Z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399:E399"/>
    <mergeCell ref="P399:T399"/>
    <mergeCell ref="P400:V400"/>
    <mergeCell ref="A400:O401"/>
    <mergeCell ref="P401:V401"/>
    <mergeCell ref="A402:Z402"/>
    <mergeCell ref="A403:Z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P358:V358"/>
    <mergeCell ref="A358:O359"/>
    <mergeCell ref="P359:V359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9"/>
    </row>
    <row r="3" spans="2:8" x14ac:dyDescent="0.2">
      <c r="B3" s="53" t="s">
        <v>849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851</v>
      </c>
      <c r="C6" s="53" t="s">
        <v>852</v>
      </c>
      <c r="D6" s="53" t="s">
        <v>853</v>
      </c>
      <c r="E6" s="53" t="s">
        <v>46</v>
      </c>
    </row>
    <row r="7" spans="2:8" x14ac:dyDescent="0.2">
      <c r="B7" s="53" t="s">
        <v>854</v>
      </c>
      <c r="C7" s="53" t="s">
        <v>855</v>
      </c>
      <c r="D7" s="53" t="s">
        <v>856</v>
      </c>
      <c r="E7" s="53" t="s">
        <v>46</v>
      </c>
    </row>
    <row r="8" spans="2:8" x14ac:dyDescent="0.2">
      <c r="B8" s="53" t="s">
        <v>857</v>
      </c>
      <c r="C8" s="53" t="s">
        <v>858</v>
      </c>
      <c r="D8" s="53" t="s">
        <v>859</v>
      </c>
      <c r="E8" s="53" t="s">
        <v>46</v>
      </c>
    </row>
    <row r="9" spans="2:8" x14ac:dyDescent="0.2">
      <c r="B9" s="53" t="s">
        <v>860</v>
      </c>
      <c r="C9" s="53" t="s">
        <v>861</v>
      </c>
      <c r="D9" s="53" t="s">
        <v>862</v>
      </c>
      <c r="E9" s="53" t="s">
        <v>46</v>
      </c>
    </row>
    <row r="10" spans="2:8" x14ac:dyDescent="0.2">
      <c r="B10" s="53" t="s">
        <v>863</v>
      </c>
      <c r="C10" s="53" t="s">
        <v>864</v>
      </c>
      <c r="D10" s="53" t="s">
        <v>865</v>
      </c>
      <c r="E10" s="53" t="s">
        <v>46</v>
      </c>
    </row>
    <row r="11" spans="2:8" x14ac:dyDescent="0.2">
      <c r="B11" s="53" t="s">
        <v>866</v>
      </c>
      <c r="C11" s="53" t="s">
        <v>867</v>
      </c>
      <c r="D11" s="53" t="s">
        <v>868</v>
      </c>
      <c r="E11" s="53" t="s">
        <v>46</v>
      </c>
    </row>
    <row r="12" spans="2:8" x14ac:dyDescent="0.2">
      <c r="B12" s="53" t="s">
        <v>869</v>
      </c>
      <c r="C12" s="53" t="s">
        <v>870</v>
      </c>
      <c r="D12" s="53" t="s">
        <v>871</v>
      </c>
      <c r="E12" s="53" t="s">
        <v>46</v>
      </c>
    </row>
    <row r="14" spans="2:8" x14ac:dyDescent="0.2">
      <c r="B14" s="53" t="s">
        <v>872</v>
      </c>
      <c r="C14" s="53" t="s">
        <v>852</v>
      </c>
      <c r="D14" s="53" t="s">
        <v>46</v>
      </c>
      <c r="E14" s="53" t="s">
        <v>46</v>
      </c>
    </row>
    <row r="16" spans="2:8" x14ac:dyDescent="0.2">
      <c r="B16" s="53" t="s">
        <v>873</v>
      </c>
      <c r="C16" s="53" t="s">
        <v>855</v>
      </c>
      <c r="D16" s="53" t="s">
        <v>46</v>
      </c>
      <c r="E16" s="53" t="s">
        <v>46</v>
      </c>
    </row>
    <row r="18" spans="2:5" x14ac:dyDescent="0.2">
      <c r="B18" s="53" t="s">
        <v>874</v>
      </c>
      <c r="C18" s="53" t="s">
        <v>858</v>
      </c>
      <c r="D18" s="53" t="s">
        <v>46</v>
      </c>
      <c r="E18" s="53" t="s">
        <v>46</v>
      </c>
    </row>
    <row r="20" spans="2:5" x14ac:dyDescent="0.2">
      <c r="B20" s="53" t="s">
        <v>875</v>
      </c>
      <c r="C20" s="53" t="s">
        <v>861</v>
      </c>
      <c r="D20" s="53" t="s">
        <v>46</v>
      </c>
      <c r="E20" s="53" t="s">
        <v>46</v>
      </c>
    </row>
    <row r="22" spans="2:5" x14ac:dyDescent="0.2">
      <c r="B22" s="53" t="s">
        <v>876</v>
      </c>
      <c r="C22" s="53" t="s">
        <v>864</v>
      </c>
      <c r="D22" s="53" t="s">
        <v>46</v>
      </c>
      <c r="E22" s="53" t="s">
        <v>46</v>
      </c>
    </row>
    <row r="24" spans="2:5" x14ac:dyDescent="0.2">
      <c r="B24" s="53" t="s">
        <v>877</v>
      </c>
      <c r="C24" s="53" t="s">
        <v>867</v>
      </c>
      <c r="D24" s="53" t="s">
        <v>46</v>
      </c>
      <c r="E24" s="53" t="s">
        <v>46</v>
      </c>
    </row>
    <row r="26" spans="2:5" x14ac:dyDescent="0.2">
      <c r="B26" s="53" t="s">
        <v>878</v>
      </c>
      <c r="C26" s="53" t="s">
        <v>870</v>
      </c>
      <c r="D26" s="53" t="s">
        <v>46</v>
      </c>
      <c r="E26" s="53" t="s">
        <v>46</v>
      </c>
    </row>
    <row r="28" spans="2:5" x14ac:dyDescent="0.2">
      <c r="B28" s="53" t="s">
        <v>879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880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881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882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883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884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885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886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887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888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889</v>
      </c>
      <c r="C38" s="53" t="s">
        <v>46</v>
      </c>
      <c r="D38" s="53" t="s">
        <v>46</v>
      </c>
      <c r="E38" s="53" t="s">
        <v>46</v>
      </c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2026-07-16T13:27:51Z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