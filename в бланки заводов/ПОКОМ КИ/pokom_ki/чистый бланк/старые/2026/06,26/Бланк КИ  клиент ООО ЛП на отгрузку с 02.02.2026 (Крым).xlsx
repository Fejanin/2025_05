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A65599B-DD04-4D52-8A0E-34A8F4119F0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заказа'!$X$488:$X$488</definedName>
    <definedName name="GrossWeightTotalR">'Бланк заказа'!$Y$488:$Y$488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заказа'!$X$489:$X$489</definedName>
    <definedName name="PalletQtyTotalR">'Бланк заказа'!$Y$489:$Y$489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заказа'!$B$71:$B$71</definedName>
    <definedName name="ProductId230">'Бланк заказа'!$B$474:$B$474</definedName>
    <definedName name="ProductId231">'Бланк заказа'!$B$478:$B$478</definedName>
    <definedName name="ProductId232">'Бланк заказа'!$B$479:$B$479</definedName>
    <definedName name="ProductId233">'Бланк заказа'!$B$484:$B$484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заказа'!$X$71:$X$71</definedName>
    <definedName name="SalesQty230">'Бланк заказа'!$X$474:$X$474</definedName>
    <definedName name="SalesQty231">'Бланк заказа'!$X$478:$X$478</definedName>
    <definedName name="SalesQty232">'Бланк заказа'!$X$479:$X$479</definedName>
    <definedName name="SalesQty233">'Бланк заказа'!$X$484:$X$484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заказа'!$Y$71:$Y$71</definedName>
    <definedName name="SalesRoundBox230">'Бланк заказа'!$Y$474:$Y$474</definedName>
    <definedName name="SalesRoundBox231">'Бланк заказа'!$Y$478:$Y$478</definedName>
    <definedName name="SalesRoundBox232">'Бланк заказа'!$Y$479:$Y$479</definedName>
    <definedName name="SalesRoundBox233">'Бланк заказа'!$Y$484:$Y$484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заказа'!$W$71:$W$71</definedName>
    <definedName name="UnitOfMeasure230">'Бланк заказа'!$W$474:$W$474</definedName>
    <definedName name="UnitOfMeasure231">'Бланк заказа'!$W$478:$W$478</definedName>
    <definedName name="UnitOfMeasure232">'Бланк заказа'!$W$479:$W$479</definedName>
    <definedName name="UnitOfMeasure233">'Бланк заказа'!$W$484:$W$484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6" i="2" l="1"/>
  <c r="X485" i="2"/>
  <c r="BO484" i="2"/>
  <c r="BM484" i="2"/>
  <c r="Y484" i="2"/>
  <c r="Z497" i="2" s="1"/>
  <c r="P484" i="2"/>
  <c r="X481" i="2"/>
  <c r="X480" i="2"/>
  <c r="BO479" i="2"/>
  <c r="BM479" i="2"/>
  <c r="Y479" i="2"/>
  <c r="BN479" i="2" s="1"/>
  <c r="P479" i="2"/>
  <c r="BO478" i="2"/>
  <c r="BM478" i="2"/>
  <c r="Y478" i="2"/>
  <c r="BP478" i="2" s="1"/>
  <c r="P478" i="2"/>
  <c r="X476" i="2"/>
  <c r="X475" i="2"/>
  <c r="BO474" i="2"/>
  <c r="BN474" i="2"/>
  <c r="BM474" i="2"/>
  <c r="Z474" i="2"/>
  <c r="Z475" i="2" s="1"/>
  <c r="Y474" i="2"/>
  <c r="Y476" i="2" s="1"/>
  <c r="P474" i="2"/>
  <c r="X472" i="2"/>
  <c r="Y471" i="2"/>
  <c r="X471" i="2"/>
  <c r="BP470" i="2"/>
  <c r="BO470" i="2"/>
  <c r="BM470" i="2"/>
  <c r="Y470" i="2"/>
  <c r="Y472" i="2" s="1"/>
  <c r="P470" i="2"/>
  <c r="X468" i="2"/>
  <c r="X467" i="2"/>
  <c r="BO466" i="2"/>
  <c r="BM466" i="2"/>
  <c r="Y466" i="2"/>
  <c r="P466" i="2"/>
  <c r="BO465" i="2"/>
  <c r="BM465" i="2"/>
  <c r="Y465" i="2"/>
  <c r="Y468" i="2" s="1"/>
  <c r="P465" i="2"/>
  <c r="X463" i="2"/>
  <c r="X462" i="2"/>
  <c r="BO461" i="2"/>
  <c r="BM461" i="2"/>
  <c r="Z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BP459" i="2" s="1"/>
  <c r="P459" i="2"/>
  <c r="BO458" i="2"/>
  <c r="BM458" i="2"/>
  <c r="Y458" i="2"/>
  <c r="P458" i="2"/>
  <c r="X454" i="2"/>
  <c r="X453" i="2"/>
  <c r="BO452" i="2"/>
  <c r="BM452" i="2"/>
  <c r="Z452" i="2"/>
  <c r="Y452" i="2"/>
  <c r="BN452" i="2" s="1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X445" i="2"/>
  <c r="X444" i="2"/>
  <c r="BO443" i="2"/>
  <c r="BM443" i="2"/>
  <c r="Y443" i="2"/>
  <c r="Z443" i="2" s="1"/>
  <c r="P443" i="2"/>
  <c r="BO442" i="2"/>
  <c r="BM442" i="2"/>
  <c r="Y442" i="2"/>
  <c r="P442" i="2"/>
  <c r="BP441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M436" i="2"/>
  <c r="Z436" i="2"/>
  <c r="Y436" i="2"/>
  <c r="BN436" i="2" s="1"/>
  <c r="P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BP432" i="2"/>
  <c r="BO432" i="2"/>
  <c r="BM432" i="2"/>
  <c r="Y432" i="2"/>
  <c r="P432" i="2"/>
  <c r="BP431" i="2"/>
  <c r="BO431" i="2"/>
  <c r="BM431" i="2"/>
  <c r="Y431" i="2"/>
  <c r="BN431" i="2" s="1"/>
  <c r="P431" i="2"/>
  <c r="BO430" i="2"/>
  <c r="BM430" i="2"/>
  <c r="Y430" i="2"/>
  <c r="P430" i="2"/>
  <c r="BO429" i="2"/>
  <c r="BM429" i="2"/>
  <c r="Z429" i="2"/>
  <c r="Y429" i="2"/>
  <c r="P429" i="2"/>
  <c r="BO428" i="2"/>
  <c r="BM428" i="2"/>
  <c r="Y428" i="2"/>
  <c r="BP428" i="2" s="1"/>
  <c r="P428" i="2"/>
  <c r="BP427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Z420" i="2"/>
  <c r="Z421" i="2" s="1"/>
  <c r="Y420" i="2"/>
  <c r="W497" i="2" s="1"/>
  <c r="P420" i="2"/>
  <c r="X417" i="2"/>
  <c r="X416" i="2"/>
  <c r="BO415" i="2"/>
  <c r="BM415" i="2"/>
  <c r="Z415" i="2"/>
  <c r="Y415" i="2"/>
  <c r="BP415" i="2" s="1"/>
  <c r="P415" i="2"/>
  <c r="BO414" i="2"/>
  <c r="BM414" i="2"/>
  <c r="Y414" i="2"/>
  <c r="BP414" i="2" s="1"/>
  <c r="P414" i="2"/>
  <c r="BO413" i="2"/>
  <c r="BM413" i="2"/>
  <c r="Z413" i="2"/>
  <c r="Y413" i="2"/>
  <c r="BN413" i="2" s="1"/>
  <c r="P413" i="2"/>
  <c r="BO412" i="2"/>
  <c r="BM412" i="2"/>
  <c r="Y412" i="2"/>
  <c r="Z412" i="2" s="1"/>
  <c r="P412" i="2"/>
  <c r="X410" i="2"/>
  <c r="X409" i="2"/>
  <c r="BO408" i="2"/>
  <c r="BM408" i="2"/>
  <c r="Y408" i="2"/>
  <c r="V497" i="2" s="1"/>
  <c r="P408" i="2"/>
  <c r="X405" i="2"/>
  <c r="X404" i="2"/>
  <c r="BO403" i="2"/>
  <c r="BM403" i="2"/>
  <c r="Z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P394" i="2"/>
  <c r="BO394" i="2"/>
  <c r="BN394" i="2"/>
  <c r="BM394" i="2"/>
  <c r="Z394" i="2"/>
  <c r="Y394" i="2"/>
  <c r="P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P391" i="2"/>
  <c r="BO390" i="2"/>
  <c r="BM390" i="2"/>
  <c r="Y390" i="2"/>
  <c r="P390" i="2"/>
  <c r="X386" i="2"/>
  <c r="X385" i="2"/>
  <c r="BO384" i="2"/>
  <c r="BM384" i="2"/>
  <c r="Z384" i="2"/>
  <c r="Y384" i="2"/>
  <c r="BN384" i="2" s="1"/>
  <c r="P384" i="2"/>
  <c r="BO383" i="2"/>
  <c r="BM383" i="2"/>
  <c r="Y383" i="2"/>
  <c r="Z383" i="2" s="1"/>
  <c r="P383" i="2"/>
  <c r="BO382" i="2"/>
  <c r="BM382" i="2"/>
  <c r="Y382" i="2"/>
  <c r="P382" i="2"/>
  <c r="Y380" i="2"/>
  <c r="X380" i="2"/>
  <c r="Y379" i="2"/>
  <c r="X379" i="2"/>
  <c r="BP378" i="2"/>
  <c r="BO378" i="2"/>
  <c r="BM378" i="2"/>
  <c r="Y378" i="2"/>
  <c r="P378" i="2"/>
  <c r="X376" i="2"/>
  <c r="X375" i="2"/>
  <c r="BO374" i="2"/>
  <c r="BM374" i="2"/>
  <c r="Y374" i="2"/>
  <c r="P374" i="2"/>
  <c r="BO373" i="2"/>
  <c r="BM373" i="2"/>
  <c r="Y373" i="2"/>
  <c r="P373" i="2"/>
  <c r="X370" i="2"/>
  <c r="X369" i="2"/>
  <c r="BO368" i="2"/>
  <c r="BM368" i="2"/>
  <c r="Y368" i="2"/>
  <c r="P368" i="2"/>
  <c r="X366" i="2"/>
  <c r="X365" i="2"/>
  <c r="BO364" i="2"/>
  <c r="BM364" i="2"/>
  <c r="Y364" i="2"/>
  <c r="Z364" i="2" s="1"/>
  <c r="P364" i="2"/>
  <c r="BO363" i="2"/>
  <c r="BM363" i="2"/>
  <c r="Z363" i="2"/>
  <c r="Z365" i="2" s="1"/>
  <c r="Y363" i="2"/>
  <c r="BP363" i="2" s="1"/>
  <c r="P363" i="2"/>
  <c r="X361" i="2"/>
  <c r="X360" i="2"/>
  <c r="BO359" i="2"/>
  <c r="BM359" i="2"/>
  <c r="Y359" i="2"/>
  <c r="P359" i="2"/>
  <c r="BP358" i="2"/>
  <c r="BO358" i="2"/>
  <c r="BN358" i="2"/>
  <c r="BM358" i="2"/>
  <c r="Z358" i="2"/>
  <c r="Y358" i="2"/>
  <c r="Y361" i="2" s="1"/>
  <c r="P358" i="2"/>
  <c r="X356" i="2"/>
  <c r="X355" i="2"/>
  <c r="BO354" i="2"/>
  <c r="BM354" i="2"/>
  <c r="Y354" i="2"/>
  <c r="P354" i="2"/>
  <c r="BO353" i="2"/>
  <c r="BM353" i="2"/>
  <c r="Y353" i="2"/>
  <c r="Z353" i="2" s="1"/>
  <c r="P353" i="2"/>
  <c r="BO352" i="2"/>
  <c r="BM352" i="2"/>
  <c r="Z352" i="2"/>
  <c r="Y352" i="2"/>
  <c r="BN352" i="2" s="1"/>
  <c r="P352" i="2"/>
  <c r="BO351" i="2"/>
  <c r="BM351" i="2"/>
  <c r="Y351" i="2"/>
  <c r="P351" i="2"/>
  <c r="BO350" i="2"/>
  <c r="BM350" i="2"/>
  <c r="Y350" i="2"/>
  <c r="Z350" i="2" s="1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X344" i="2"/>
  <c r="X343" i="2"/>
  <c r="BO342" i="2"/>
  <c r="BM342" i="2"/>
  <c r="Y342" i="2"/>
  <c r="P342" i="2"/>
  <c r="BO341" i="2"/>
  <c r="BM341" i="2"/>
  <c r="Y341" i="2"/>
  <c r="Z341" i="2" s="1"/>
  <c r="P341" i="2"/>
  <c r="BO340" i="2"/>
  <c r="BM340" i="2"/>
  <c r="Z340" i="2"/>
  <c r="Y340" i="2"/>
  <c r="P340" i="2"/>
  <c r="X337" i="2"/>
  <c r="X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X331" i="2"/>
  <c r="X330" i="2"/>
  <c r="BO329" i="2"/>
  <c r="BM329" i="2"/>
  <c r="Y329" i="2"/>
  <c r="Z329" i="2" s="1"/>
  <c r="P329" i="2"/>
  <c r="BO328" i="2"/>
  <c r="BM328" i="2"/>
  <c r="Z328" i="2"/>
  <c r="Y328" i="2"/>
  <c r="BP328" i="2" s="1"/>
  <c r="P328" i="2"/>
  <c r="BO327" i="2"/>
  <c r="BM327" i="2"/>
  <c r="Y327" i="2"/>
  <c r="Z327" i="2" s="1"/>
  <c r="P327" i="2"/>
  <c r="BO326" i="2"/>
  <c r="BM326" i="2"/>
  <c r="Z326" i="2"/>
  <c r="Y326" i="2"/>
  <c r="BN326" i="2" s="1"/>
  <c r="P326" i="2"/>
  <c r="X324" i="2"/>
  <c r="X323" i="2"/>
  <c r="BO322" i="2"/>
  <c r="BM322" i="2"/>
  <c r="Y322" i="2"/>
  <c r="P322" i="2"/>
  <c r="BO321" i="2"/>
  <c r="BM321" i="2"/>
  <c r="Y321" i="2"/>
  <c r="BP321" i="2" s="1"/>
  <c r="P321" i="2"/>
  <c r="BO320" i="2"/>
  <c r="BM320" i="2"/>
  <c r="Z320" i="2"/>
  <c r="Y320" i="2"/>
  <c r="Y323" i="2" s="1"/>
  <c r="P320" i="2"/>
  <c r="X318" i="2"/>
  <c r="X317" i="2"/>
  <c r="BO316" i="2"/>
  <c r="BM316" i="2"/>
  <c r="Y316" i="2"/>
  <c r="P316" i="2"/>
  <c r="BO315" i="2"/>
  <c r="BM315" i="2"/>
  <c r="Y315" i="2"/>
  <c r="Z315" i="2" s="1"/>
  <c r="P315" i="2"/>
  <c r="BO314" i="2"/>
  <c r="BM314" i="2"/>
  <c r="Y314" i="2"/>
  <c r="P314" i="2"/>
  <c r="BP313" i="2"/>
  <c r="BO313" i="2"/>
  <c r="BN313" i="2"/>
  <c r="BM313" i="2"/>
  <c r="Z313" i="2"/>
  <c r="Y313" i="2"/>
  <c r="P313" i="2"/>
  <c r="X311" i="2"/>
  <c r="X310" i="2"/>
  <c r="BO309" i="2"/>
  <c r="BM309" i="2"/>
  <c r="Y309" i="2"/>
  <c r="P309" i="2"/>
  <c r="BO308" i="2"/>
  <c r="BM308" i="2"/>
  <c r="Y308" i="2"/>
  <c r="Z308" i="2" s="1"/>
  <c r="P308" i="2"/>
  <c r="BO307" i="2"/>
  <c r="BM307" i="2"/>
  <c r="Z307" i="2"/>
  <c r="Y307" i="2"/>
  <c r="BN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P304" i="2"/>
  <c r="X302" i="2"/>
  <c r="X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Z298" i="2" s="1"/>
  <c r="P298" i="2"/>
  <c r="BO297" i="2"/>
  <c r="BM297" i="2"/>
  <c r="Z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P295" i="2"/>
  <c r="X292" i="2"/>
  <c r="X291" i="2"/>
  <c r="BO290" i="2"/>
  <c r="BM290" i="2"/>
  <c r="Y290" i="2"/>
  <c r="Z290" i="2" s="1"/>
  <c r="P290" i="2"/>
  <c r="BO289" i="2"/>
  <c r="BM289" i="2"/>
  <c r="Y289" i="2"/>
  <c r="Y291" i="2" s="1"/>
  <c r="P289" i="2"/>
  <c r="X287" i="2"/>
  <c r="X286" i="2"/>
  <c r="BO285" i="2"/>
  <c r="BM285" i="2"/>
  <c r="Y285" i="2"/>
  <c r="BP285" i="2" s="1"/>
  <c r="P285" i="2"/>
  <c r="BO284" i="2"/>
  <c r="BM284" i="2"/>
  <c r="Y284" i="2"/>
  <c r="Z284" i="2" s="1"/>
  <c r="P284" i="2"/>
  <c r="X281" i="2"/>
  <c r="X280" i="2"/>
  <c r="BP279" i="2"/>
  <c r="BO279" i="2"/>
  <c r="BN279" i="2"/>
  <c r="BM279" i="2"/>
  <c r="Z279" i="2"/>
  <c r="Y279" i="2"/>
  <c r="P279" i="2"/>
  <c r="BO278" i="2"/>
  <c r="BM278" i="2"/>
  <c r="Y278" i="2"/>
  <c r="P278" i="2"/>
  <c r="BO277" i="2"/>
  <c r="BM277" i="2"/>
  <c r="Y277" i="2"/>
  <c r="BP277" i="2" s="1"/>
  <c r="P277" i="2"/>
  <c r="X274" i="2"/>
  <c r="X273" i="2"/>
  <c r="BO272" i="2"/>
  <c r="BM272" i="2"/>
  <c r="Z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M497" i="2" s="1"/>
  <c r="P269" i="2"/>
  <c r="X266" i="2"/>
  <c r="X265" i="2"/>
  <c r="BO264" i="2"/>
  <c r="BM264" i="2"/>
  <c r="Y264" i="2"/>
  <c r="BP264" i="2" s="1"/>
  <c r="P264" i="2"/>
  <c r="BP263" i="2"/>
  <c r="BO263" i="2"/>
  <c r="BM263" i="2"/>
  <c r="Y263" i="2"/>
  <c r="BN263" i="2" s="1"/>
  <c r="P263" i="2"/>
  <c r="BO262" i="2"/>
  <c r="BM262" i="2"/>
  <c r="Y262" i="2"/>
  <c r="Z262" i="2" s="1"/>
  <c r="P262" i="2"/>
  <c r="BO261" i="2"/>
  <c r="BM261" i="2"/>
  <c r="Y261" i="2"/>
  <c r="BN261" i="2" s="1"/>
  <c r="P261" i="2"/>
  <c r="BO260" i="2"/>
  <c r="BM260" i="2"/>
  <c r="Y260" i="2"/>
  <c r="BP260" i="2" s="1"/>
  <c r="P260" i="2"/>
  <c r="X257" i="2"/>
  <c r="X256" i="2"/>
  <c r="BP255" i="2"/>
  <c r="BO255" i="2"/>
  <c r="BN255" i="2"/>
  <c r="BM255" i="2"/>
  <c r="Z255" i="2"/>
  <c r="Y255" i="2"/>
  <c r="P255" i="2"/>
  <c r="BO254" i="2"/>
  <c r="BM254" i="2"/>
  <c r="Y254" i="2"/>
  <c r="Z254" i="2" s="1"/>
  <c r="P254" i="2"/>
  <c r="BO253" i="2"/>
  <c r="BM253" i="2"/>
  <c r="Y253" i="2"/>
  <c r="BP253" i="2" s="1"/>
  <c r="P253" i="2"/>
  <c r="BP252" i="2"/>
  <c r="BO252" i="2"/>
  <c r="BM252" i="2"/>
  <c r="Y252" i="2"/>
  <c r="BN252" i="2" s="1"/>
  <c r="P252" i="2"/>
  <c r="BO251" i="2"/>
  <c r="BM251" i="2"/>
  <c r="Y251" i="2"/>
  <c r="Z251" i="2" s="1"/>
  <c r="P251" i="2"/>
  <c r="X249" i="2"/>
  <c r="X248" i="2"/>
  <c r="BO247" i="2"/>
  <c r="BM247" i="2"/>
  <c r="Y247" i="2"/>
  <c r="Y249" i="2" s="1"/>
  <c r="P247" i="2"/>
  <c r="X245" i="2"/>
  <c r="X244" i="2"/>
  <c r="BO243" i="2"/>
  <c r="BM243" i="2"/>
  <c r="Y243" i="2"/>
  <c r="Y245" i="2" s="1"/>
  <c r="P243" i="2"/>
  <c r="X241" i="2"/>
  <c r="X240" i="2"/>
  <c r="BO239" i="2"/>
  <c r="BM239" i="2"/>
  <c r="Y239" i="2"/>
  <c r="Z239" i="2" s="1"/>
  <c r="P239" i="2"/>
  <c r="BO238" i="2"/>
  <c r="BM238" i="2"/>
  <c r="Z238" i="2"/>
  <c r="Y238" i="2"/>
  <c r="BN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Z231" i="2"/>
  <c r="Y231" i="2"/>
  <c r="P231" i="2"/>
  <c r="X228" i="2"/>
  <c r="X227" i="2"/>
  <c r="BO226" i="2"/>
  <c r="BM226" i="2"/>
  <c r="Y226" i="2"/>
  <c r="P226" i="2"/>
  <c r="BO225" i="2"/>
  <c r="BM225" i="2"/>
  <c r="Y225" i="2"/>
  <c r="Z225" i="2" s="1"/>
  <c r="P225" i="2"/>
  <c r="X223" i="2"/>
  <c r="X222" i="2"/>
  <c r="BO221" i="2"/>
  <c r="BM221" i="2"/>
  <c r="Y221" i="2"/>
  <c r="Z221" i="2" s="1"/>
  <c r="P221" i="2"/>
  <c r="BO220" i="2"/>
  <c r="BM220" i="2"/>
  <c r="Y220" i="2"/>
  <c r="BP220" i="2" s="1"/>
  <c r="P220" i="2"/>
  <c r="BP219" i="2"/>
  <c r="BO219" i="2"/>
  <c r="BM219" i="2"/>
  <c r="Y219" i="2"/>
  <c r="BN219" i="2" s="1"/>
  <c r="P219" i="2"/>
  <c r="BO218" i="2"/>
  <c r="BM218" i="2"/>
  <c r="Y218" i="2"/>
  <c r="Z218" i="2" s="1"/>
  <c r="P218" i="2"/>
  <c r="BO217" i="2"/>
  <c r="BM217" i="2"/>
  <c r="Y217" i="2"/>
  <c r="BN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BP214" i="2"/>
  <c r="BO214" i="2"/>
  <c r="BN214" i="2"/>
  <c r="BM214" i="2"/>
  <c r="Z214" i="2"/>
  <c r="Y214" i="2"/>
  <c r="P214" i="2"/>
  <c r="BO213" i="2"/>
  <c r="BM213" i="2"/>
  <c r="Y213" i="2"/>
  <c r="BP213" i="2" s="1"/>
  <c r="P213" i="2"/>
  <c r="X211" i="2"/>
  <c r="X210" i="2"/>
  <c r="BP209" i="2"/>
  <c r="BO209" i="2"/>
  <c r="BM209" i="2"/>
  <c r="Y209" i="2"/>
  <c r="BN209" i="2" s="1"/>
  <c r="P209" i="2"/>
  <c r="BO208" i="2"/>
  <c r="BM208" i="2"/>
  <c r="Y208" i="2"/>
  <c r="Z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Z205" i="2" s="1"/>
  <c r="P205" i="2"/>
  <c r="BP204" i="2"/>
  <c r="BO204" i="2"/>
  <c r="BN204" i="2"/>
  <c r="BM204" i="2"/>
  <c r="Z204" i="2"/>
  <c r="Y204" i="2"/>
  <c r="P204" i="2"/>
  <c r="BO203" i="2"/>
  <c r="BM203" i="2"/>
  <c r="Y203" i="2"/>
  <c r="BP203" i="2" s="1"/>
  <c r="P203" i="2"/>
  <c r="BO202" i="2"/>
  <c r="BM202" i="2"/>
  <c r="Y202" i="2"/>
  <c r="Y211" i="2" s="1"/>
  <c r="P202" i="2"/>
  <c r="X200" i="2"/>
  <c r="X199" i="2"/>
  <c r="BO198" i="2"/>
  <c r="BM198" i="2"/>
  <c r="Y198" i="2"/>
  <c r="Z198" i="2" s="1"/>
  <c r="P198" i="2"/>
  <c r="BO197" i="2"/>
  <c r="BM197" i="2"/>
  <c r="Z197" i="2"/>
  <c r="Z199" i="2" s="1"/>
  <c r="Y197" i="2"/>
  <c r="BN197" i="2" s="1"/>
  <c r="P197" i="2"/>
  <c r="X195" i="2"/>
  <c r="X194" i="2"/>
  <c r="BO193" i="2"/>
  <c r="BM193" i="2"/>
  <c r="Y193" i="2"/>
  <c r="P193" i="2"/>
  <c r="BO192" i="2"/>
  <c r="BM192" i="2"/>
  <c r="Y192" i="2"/>
  <c r="J497" i="2" s="1"/>
  <c r="P192" i="2"/>
  <c r="X189" i="2"/>
  <c r="X188" i="2"/>
  <c r="BO187" i="2"/>
  <c r="BM187" i="2"/>
  <c r="Z187" i="2"/>
  <c r="Z188" i="2" s="1"/>
  <c r="Y187" i="2"/>
  <c r="Y189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Z174" i="2"/>
  <c r="Y174" i="2"/>
  <c r="BN174" i="2" s="1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BP170" i="2"/>
  <c r="BO170" i="2"/>
  <c r="BN170" i="2"/>
  <c r="BM170" i="2"/>
  <c r="Z170" i="2"/>
  <c r="Y170" i="2"/>
  <c r="P170" i="2"/>
  <c r="BO169" i="2"/>
  <c r="BM169" i="2"/>
  <c r="Y169" i="2"/>
  <c r="P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Z164" i="2" s="1"/>
  <c r="P164" i="2"/>
  <c r="Y162" i="2"/>
  <c r="X162" i="2"/>
  <c r="Y161" i="2"/>
  <c r="X161" i="2"/>
  <c r="BP160" i="2"/>
  <c r="BO160" i="2"/>
  <c r="BN160" i="2"/>
  <c r="BM160" i="2"/>
  <c r="Z160" i="2"/>
  <c r="Z161" i="2" s="1"/>
  <c r="Y160" i="2"/>
  <c r="P160" i="2"/>
  <c r="X156" i="2"/>
  <c r="X155" i="2"/>
  <c r="BO154" i="2"/>
  <c r="BM154" i="2"/>
  <c r="Y154" i="2"/>
  <c r="BN154" i="2" s="1"/>
  <c r="P154" i="2"/>
  <c r="X152" i="2"/>
  <c r="X151" i="2"/>
  <c r="BO150" i="2"/>
  <c r="BM150" i="2"/>
  <c r="Y150" i="2"/>
  <c r="Z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M142" i="2"/>
  <c r="Y142" i="2"/>
  <c r="Z142" i="2" s="1"/>
  <c r="P142" i="2"/>
  <c r="BO141" i="2"/>
  <c r="BM141" i="2"/>
  <c r="Y141" i="2"/>
  <c r="BP141" i="2" s="1"/>
  <c r="P141" i="2"/>
  <c r="X138" i="2"/>
  <c r="X137" i="2"/>
  <c r="BP136" i="2"/>
  <c r="BO136" i="2"/>
  <c r="BN136" i="2"/>
  <c r="BM136" i="2"/>
  <c r="Z136" i="2"/>
  <c r="Y136" i="2"/>
  <c r="P136" i="2"/>
  <c r="BO135" i="2"/>
  <c r="BM135" i="2"/>
  <c r="Y135" i="2"/>
  <c r="BP135" i="2" s="1"/>
  <c r="P135" i="2"/>
  <c r="Y133" i="2"/>
  <c r="X133" i="2"/>
  <c r="Y132" i="2"/>
  <c r="X132" i="2"/>
  <c r="BP131" i="2"/>
  <c r="BO131" i="2"/>
  <c r="BM131" i="2"/>
  <c r="Y131" i="2"/>
  <c r="BN131" i="2" s="1"/>
  <c r="P131" i="2"/>
  <c r="BO130" i="2"/>
  <c r="BM130" i="2"/>
  <c r="Y130" i="2"/>
  <c r="Z130" i="2" s="1"/>
  <c r="P130" i="2"/>
  <c r="X128" i="2"/>
  <c r="X127" i="2"/>
  <c r="BO126" i="2"/>
  <c r="BM126" i="2"/>
  <c r="Y126" i="2"/>
  <c r="BN126" i="2" s="1"/>
  <c r="P126" i="2"/>
  <c r="BO125" i="2"/>
  <c r="BM125" i="2"/>
  <c r="Y125" i="2"/>
  <c r="G497" i="2" s="1"/>
  <c r="P125" i="2"/>
  <c r="X122" i="2"/>
  <c r="X121" i="2"/>
  <c r="BO120" i="2"/>
  <c r="BM120" i="2"/>
  <c r="Y120" i="2"/>
  <c r="BP120" i="2" s="1"/>
  <c r="P120" i="2"/>
  <c r="X118" i="2"/>
  <c r="X117" i="2"/>
  <c r="BO116" i="2"/>
  <c r="BM116" i="2"/>
  <c r="Z116" i="2"/>
  <c r="Y116" i="2"/>
  <c r="BP116" i="2" s="1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Y118" i="2" s="1"/>
  <c r="P113" i="2"/>
  <c r="X111" i="2"/>
  <c r="X110" i="2"/>
  <c r="BO109" i="2"/>
  <c r="BM109" i="2"/>
  <c r="Y109" i="2"/>
  <c r="BP109" i="2" s="1"/>
  <c r="P109" i="2"/>
  <c r="BP108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X104" i="2"/>
  <c r="X103" i="2"/>
  <c r="BO102" i="2"/>
  <c r="BM102" i="2"/>
  <c r="Y102" i="2"/>
  <c r="Z102" i="2" s="1"/>
  <c r="P102" i="2"/>
  <c r="BP101" i="2"/>
  <c r="BO101" i="2"/>
  <c r="BN101" i="2"/>
  <c r="BM101" i="2"/>
  <c r="Z101" i="2"/>
  <c r="Y101" i="2"/>
  <c r="P101" i="2"/>
  <c r="BO100" i="2"/>
  <c r="BM100" i="2"/>
  <c r="Y100" i="2"/>
  <c r="BP100" i="2" s="1"/>
  <c r="P100" i="2"/>
  <c r="BO99" i="2"/>
  <c r="BM99" i="2"/>
  <c r="Y99" i="2"/>
  <c r="BP99" i="2" s="1"/>
  <c r="P99" i="2"/>
  <c r="BP98" i="2"/>
  <c r="BO98" i="2"/>
  <c r="BM98" i="2"/>
  <c r="Y98" i="2"/>
  <c r="BN98" i="2" s="1"/>
  <c r="P98" i="2"/>
  <c r="X95" i="2"/>
  <c r="X94" i="2"/>
  <c r="BO93" i="2"/>
  <c r="BM93" i="2"/>
  <c r="Y93" i="2"/>
  <c r="BP93" i="2" s="1"/>
  <c r="P93" i="2"/>
  <c r="BO92" i="2"/>
  <c r="BM92" i="2"/>
  <c r="Y92" i="2"/>
  <c r="BN92" i="2" s="1"/>
  <c r="P92" i="2"/>
  <c r="BO91" i="2"/>
  <c r="BM91" i="2"/>
  <c r="Y91" i="2"/>
  <c r="Y95" i="2" s="1"/>
  <c r="P91" i="2"/>
  <c r="BP90" i="2"/>
  <c r="BO90" i="2"/>
  <c r="BN90" i="2"/>
  <c r="BM90" i="2"/>
  <c r="Z90" i="2"/>
  <c r="Y90" i="2"/>
  <c r="P90" i="2"/>
  <c r="X88" i="2"/>
  <c r="X87" i="2"/>
  <c r="BO86" i="2"/>
  <c r="BM86" i="2"/>
  <c r="Z86" i="2"/>
  <c r="Y86" i="2"/>
  <c r="BN86" i="2" s="1"/>
  <c r="P86" i="2"/>
  <c r="BO85" i="2"/>
  <c r="BM85" i="2"/>
  <c r="Y85" i="2"/>
  <c r="Z85" i="2" s="1"/>
  <c r="P85" i="2"/>
  <c r="BO84" i="2"/>
  <c r="BM84" i="2"/>
  <c r="Y84" i="2"/>
  <c r="BN84" i="2" s="1"/>
  <c r="P84" i="2"/>
  <c r="BO83" i="2"/>
  <c r="BM83" i="2"/>
  <c r="Y83" i="2"/>
  <c r="E497" i="2" s="1"/>
  <c r="P83" i="2"/>
  <c r="X80" i="2"/>
  <c r="X79" i="2"/>
  <c r="BP78" i="2"/>
  <c r="BO78" i="2"/>
  <c r="BN78" i="2"/>
  <c r="BM78" i="2"/>
  <c r="Z78" i="2"/>
  <c r="Y78" i="2"/>
  <c r="P78" i="2"/>
  <c r="BO77" i="2"/>
  <c r="BM77" i="2"/>
  <c r="Y77" i="2"/>
  <c r="Y80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Y75" i="2" s="1"/>
  <c r="P70" i="2"/>
  <c r="X68" i="2"/>
  <c r="X67" i="2"/>
  <c r="BO66" i="2"/>
  <c r="BM66" i="2"/>
  <c r="Y66" i="2"/>
  <c r="Y67" i="2" s="1"/>
  <c r="P66" i="2"/>
  <c r="X64" i="2"/>
  <c r="X63" i="2"/>
  <c r="BO62" i="2"/>
  <c r="BM62" i="2"/>
  <c r="Y62" i="2"/>
  <c r="Z62" i="2" s="1"/>
  <c r="P62" i="2"/>
  <c r="BO61" i="2"/>
  <c r="BM61" i="2"/>
  <c r="Z61" i="2"/>
  <c r="Y61" i="2"/>
  <c r="BP61" i="2" s="1"/>
  <c r="P61" i="2"/>
  <c r="BO60" i="2"/>
  <c r="BM60" i="2"/>
  <c r="Y60" i="2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Z52" i="2" s="1"/>
  <c r="P52" i="2"/>
  <c r="BO51" i="2"/>
  <c r="BM51" i="2"/>
  <c r="Z51" i="2"/>
  <c r="Y51" i="2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Y44" i="2" s="1"/>
  <c r="P42" i="2"/>
  <c r="BP41" i="2"/>
  <c r="BO41" i="2"/>
  <c r="BM41" i="2"/>
  <c r="Y41" i="2"/>
  <c r="BN41" i="2" s="1"/>
  <c r="P41" i="2"/>
  <c r="BO40" i="2"/>
  <c r="BM40" i="2"/>
  <c r="Y40" i="2"/>
  <c r="P40" i="2"/>
  <c r="X36" i="2"/>
  <c r="Y35" i="2"/>
  <c r="X35" i="2"/>
  <c r="BP34" i="2"/>
  <c r="BO34" i="2"/>
  <c r="BM34" i="2"/>
  <c r="Y34" i="2"/>
  <c r="BN34" i="2" s="1"/>
  <c r="P34" i="2"/>
  <c r="X32" i="2"/>
  <c r="X31" i="2"/>
  <c r="BO30" i="2"/>
  <c r="BM30" i="2"/>
  <c r="Y30" i="2"/>
  <c r="P30" i="2"/>
  <c r="BO29" i="2"/>
  <c r="BM29" i="2"/>
  <c r="Y29" i="2"/>
  <c r="BP29" i="2" s="1"/>
  <c r="P29" i="2"/>
  <c r="BO28" i="2"/>
  <c r="BM28" i="2"/>
  <c r="Z28" i="2"/>
  <c r="Y28" i="2"/>
  <c r="BN28" i="2" s="1"/>
  <c r="P28" i="2"/>
  <c r="BO27" i="2"/>
  <c r="BM27" i="2"/>
  <c r="Y27" i="2"/>
  <c r="Z27" i="2" s="1"/>
  <c r="P27" i="2"/>
  <c r="X25" i="2"/>
  <c r="X487" i="2" s="1"/>
  <c r="X24" i="2"/>
  <c r="X491" i="2" s="1"/>
  <c r="BO23" i="2"/>
  <c r="BM23" i="2"/>
  <c r="Y23" i="2"/>
  <c r="Z23" i="2" s="1"/>
  <c r="P23" i="2"/>
  <c r="BO22" i="2"/>
  <c r="X489" i="2" s="1"/>
  <c r="BM22" i="2"/>
  <c r="X488" i="2" s="1"/>
  <c r="Y22" i="2"/>
  <c r="B497" i="2" s="1"/>
  <c r="P22" i="2"/>
  <c r="H10" i="2"/>
  <c r="A9" i="2"/>
  <c r="F10" i="2" s="1"/>
  <c r="D7" i="2"/>
  <c r="Q6" i="2"/>
  <c r="P2" i="2"/>
  <c r="BN42" i="2" l="1"/>
  <c r="BN52" i="2"/>
  <c r="BP52" i="2"/>
  <c r="BP53" i="2"/>
  <c r="BN62" i="2"/>
  <c r="BP62" i="2"/>
  <c r="BN70" i="2"/>
  <c r="BP70" i="2"/>
  <c r="BN91" i="2"/>
  <c r="BP91" i="2"/>
  <c r="BP92" i="2"/>
  <c r="Y94" i="2"/>
  <c r="BN99" i="2"/>
  <c r="BN102" i="2"/>
  <c r="BP102" i="2"/>
  <c r="BN109" i="2"/>
  <c r="BN125" i="2"/>
  <c r="BP125" i="2"/>
  <c r="BP126" i="2"/>
  <c r="Y127" i="2"/>
  <c r="Y137" i="2"/>
  <c r="Y138" i="2"/>
  <c r="BN148" i="2"/>
  <c r="BP148" i="2"/>
  <c r="BP149" i="2"/>
  <c r="BN175" i="2"/>
  <c r="BP175" i="2"/>
  <c r="BN198" i="2"/>
  <c r="BP198" i="2"/>
  <c r="BN205" i="2"/>
  <c r="BP205" i="2"/>
  <c r="BN215" i="2"/>
  <c r="BP215" i="2"/>
  <c r="BN220" i="2"/>
  <c r="BN239" i="2"/>
  <c r="BP239" i="2"/>
  <c r="BN253" i="2"/>
  <c r="BN264" i="2"/>
  <c r="Y287" i="2"/>
  <c r="BN289" i="2"/>
  <c r="BN298" i="2"/>
  <c r="BP298" i="2"/>
  <c r="BP304" i="2"/>
  <c r="BN304" i="2"/>
  <c r="Z304" i="2"/>
  <c r="BP314" i="2"/>
  <c r="BN314" i="2"/>
  <c r="Z314" i="2"/>
  <c r="BN341" i="2"/>
  <c r="BP341" i="2"/>
  <c r="BN342" i="2"/>
  <c r="BP342" i="2"/>
  <c r="BN353" i="2"/>
  <c r="BP353" i="2"/>
  <c r="BN354" i="2"/>
  <c r="BP354" i="2"/>
  <c r="BN364" i="2"/>
  <c r="BP364" i="2"/>
  <c r="Y369" i="2"/>
  <c r="Z368" i="2"/>
  <c r="Z369" i="2" s="1"/>
  <c r="Y385" i="2"/>
  <c r="BP382" i="2"/>
  <c r="BN382" i="2"/>
  <c r="Z382" i="2"/>
  <c r="BN395" i="2"/>
  <c r="BP395" i="2"/>
  <c r="BN396" i="2"/>
  <c r="Z396" i="2"/>
  <c r="BN428" i="2"/>
  <c r="BP430" i="2"/>
  <c r="BN430" i="2"/>
  <c r="Z430" i="2"/>
  <c r="BP434" i="2"/>
  <c r="Z434" i="2"/>
  <c r="BN442" i="2"/>
  <c r="Z442" i="2"/>
  <c r="BN451" i="2"/>
  <c r="BP451" i="2"/>
  <c r="Z22" i="2"/>
  <c r="BN22" i="2"/>
  <c r="BP22" i="2"/>
  <c r="Z24" i="2"/>
  <c r="BN23" i="2"/>
  <c r="BP23" i="2"/>
  <c r="Y24" i="2"/>
  <c r="Y25" i="2"/>
  <c r="BN27" i="2"/>
  <c r="BP27" i="2"/>
  <c r="BP28" i="2"/>
  <c r="Y32" i="2"/>
  <c r="C497" i="2"/>
  <c r="BN40" i="2"/>
  <c r="BP40" i="2"/>
  <c r="Y43" i="2"/>
  <c r="Z46" i="2"/>
  <c r="Z47" i="2" s="1"/>
  <c r="BN46" i="2"/>
  <c r="BP46" i="2"/>
  <c r="Y47" i="2"/>
  <c r="D497" i="2"/>
  <c r="Z53" i="2"/>
  <c r="Z56" i="2"/>
  <c r="BN56" i="2"/>
  <c r="Y64" i="2"/>
  <c r="Z72" i="2"/>
  <c r="BN73" i="2"/>
  <c r="BP73" i="2"/>
  <c r="Z84" i="2"/>
  <c r="BN85" i="2"/>
  <c r="BP85" i="2"/>
  <c r="BP86" i="2"/>
  <c r="Z92" i="2"/>
  <c r="Z106" i="2"/>
  <c r="BN107" i="2"/>
  <c r="BP107" i="2"/>
  <c r="Y110" i="2"/>
  <c r="Z113" i="2"/>
  <c r="BN113" i="2"/>
  <c r="BP113" i="2"/>
  <c r="BN114" i="2"/>
  <c r="BP114" i="2"/>
  <c r="Y121" i="2"/>
  <c r="Z126" i="2"/>
  <c r="BN130" i="2"/>
  <c r="BP130" i="2"/>
  <c r="Z135" i="2"/>
  <c r="Z137" i="2" s="1"/>
  <c r="BN135" i="2"/>
  <c r="Z141" i="2"/>
  <c r="Z143" i="2" s="1"/>
  <c r="BN142" i="2"/>
  <c r="BP142" i="2"/>
  <c r="Y152" i="2"/>
  <c r="Z149" i="2"/>
  <c r="BP154" i="2"/>
  <c r="Y155" i="2"/>
  <c r="Y156" i="2"/>
  <c r="I497" i="2"/>
  <c r="Z165" i="2"/>
  <c r="BN166" i="2"/>
  <c r="BP166" i="2"/>
  <c r="BP167" i="2"/>
  <c r="Y178" i="2"/>
  <c r="Z171" i="2"/>
  <c r="BN171" i="2"/>
  <c r="BN172" i="2"/>
  <c r="BP172" i="2"/>
  <c r="BP176" i="2"/>
  <c r="BN177" i="2"/>
  <c r="Z181" i="2"/>
  <c r="BN181" i="2"/>
  <c r="BN182" i="2"/>
  <c r="BP182" i="2"/>
  <c r="Y185" i="2"/>
  <c r="BP187" i="2"/>
  <c r="Y188" i="2"/>
  <c r="Z192" i="2"/>
  <c r="BN192" i="2"/>
  <c r="BP192" i="2"/>
  <c r="Y195" i="2"/>
  <c r="BN193" i="2"/>
  <c r="BP193" i="2"/>
  <c r="Z203" i="2"/>
  <c r="BN203" i="2"/>
  <c r="Z207" i="2"/>
  <c r="BN208" i="2"/>
  <c r="BP208" i="2"/>
  <c r="Z213" i="2"/>
  <c r="BN213" i="2"/>
  <c r="Y222" i="2"/>
  <c r="Z217" i="2"/>
  <c r="BN218" i="2"/>
  <c r="BP218" i="2"/>
  <c r="BN225" i="2"/>
  <c r="BP225" i="2"/>
  <c r="Y228" i="2"/>
  <c r="Y241" i="2"/>
  <c r="BP231" i="2"/>
  <c r="Z235" i="2"/>
  <c r="BN235" i="2"/>
  <c r="BN236" i="2"/>
  <c r="BP236" i="2"/>
  <c r="Z247" i="2"/>
  <c r="Z248" i="2" s="1"/>
  <c r="BN247" i="2"/>
  <c r="BP247" i="2"/>
  <c r="Y248" i="2"/>
  <c r="BN251" i="2"/>
  <c r="BP251" i="2"/>
  <c r="Z261" i="2"/>
  <c r="BN262" i="2"/>
  <c r="BP262" i="2"/>
  <c r="Y265" i="2"/>
  <c r="Z269" i="2"/>
  <c r="BN269" i="2"/>
  <c r="BP269" i="2"/>
  <c r="BN270" i="2"/>
  <c r="BP270" i="2"/>
  <c r="Y274" i="2"/>
  <c r="Y281" i="2"/>
  <c r="Z285" i="2"/>
  <c r="Z286" i="2" s="1"/>
  <c r="Y302" i="2"/>
  <c r="Y301" i="2"/>
  <c r="BN295" i="2"/>
  <c r="BP295" i="2"/>
  <c r="BP299" i="2"/>
  <c r="BN300" i="2"/>
  <c r="BN308" i="2"/>
  <c r="BP308" i="2"/>
  <c r="BN309" i="2"/>
  <c r="BP309" i="2"/>
  <c r="BN329" i="2"/>
  <c r="BP329" i="2"/>
  <c r="BP334" i="2"/>
  <c r="BN334" i="2"/>
  <c r="Z334" i="2"/>
  <c r="BP349" i="2"/>
  <c r="BN349" i="2"/>
  <c r="Z349" i="2"/>
  <c r="Z360" i="2"/>
  <c r="BP359" i="2"/>
  <c r="BN359" i="2"/>
  <c r="Z359" i="2"/>
  <c r="Y370" i="2"/>
  <c r="T497" i="2"/>
  <c r="BN373" i="2"/>
  <c r="BP373" i="2"/>
  <c r="Y376" i="2"/>
  <c r="BN378" i="2"/>
  <c r="Z378" i="2"/>
  <c r="Z379" i="2" s="1"/>
  <c r="U497" i="2"/>
  <c r="BN390" i="2"/>
  <c r="BP390" i="2"/>
  <c r="BN391" i="2"/>
  <c r="BP391" i="2"/>
  <c r="Y400" i="2"/>
  <c r="Z393" i="2"/>
  <c r="BP396" i="2"/>
  <c r="BP398" i="2"/>
  <c r="BN398" i="2"/>
  <c r="Z398" i="2"/>
  <c r="Y404" i="2"/>
  <c r="Y405" i="2"/>
  <c r="BN402" i="2"/>
  <c r="BN432" i="2"/>
  <c r="Z432" i="2"/>
  <c r="BP442" i="2"/>
  <c r="BN447" i="2"/>
  <c r="Y453" i="2"/>
  <c r="BP447" i="2"/>
  <c r="BP449" i="2"/>
  <c r="Z449" i="2"/>
  <c r="Y462" i="2"/>
  <c r="Y463" i="2"/>
  <c r="BN458" i="2"/>
  <c r="BN305" i="2"/>
  <c r="BP305" i="2"/>
  <c r="Y310" i="2"/>
  <c r="BN315" i="2"/>
  <c r="BP315" i="2"/>
  <c r="Y318" i="2"/>
  <c r="BP320" i="2"/>
  <c r="Y324" i="2"/>
  <c r="BP326" i="2"/>
  <c r="BN335" i="2"/>
  <c r="BP335" i="2"/>
  <c r="Y343" i="2"/>
  <c r="S497" i="2"/>
  <c r="BN350" i="2"/>
  <c r="BP350" i="2"/>
  <c r="Y355" i="2"/>
  <c r="Y360" i="2"/>
  <c r="BN383" i="2"/>
  <c r="BP383" i="2"/>
  <c r="BP384" i="2"/>
  <c r="BN392" i="2"/>
  <c r="BN408" i="2"/>
  <c r="BP408" i="2"/>
  <c r="Y409" i="2"/>
  <c r="Y410" i="2"/>
  <c r="BN412" i="2"/>
  <c r="BP412" i="2"/>
  <c r="BP413" i="2"/>
  <c r="Y417" i="2"/>
  <c r="BP420" i="2"/>
  <c r="Y421" i="2"/>
  <c r="X497" i="2"/>
  <c r="BN426" i="2"/>
  <c r="BP426" i="2"/>
  <c r="Y438" i="2"/>
  <c r="BN435" i="2"/>
  <c r="BP435" i="2"/>
  <c r="BP436" i="2"/>
  <c r="Y445" i="2"/>
  <c r="BN448" i="2"/>
  <c r="BP452" i="2"/>
  <c r="Y497" i="2"/>
  <c r="H9" i="2"/>
  <c r="J9" i="2"/>
  <c r="A10" i="2"/>
  <c r="X490" i="2"/>
  <c r="Z385" i="2"/>
  <c r="Z336" i="2"/>
  <c r="Z330" i="2"/>
  <c r="Z202" i="2"/>
  <c r="Y223" i="2"/>
  <c r="Z233" i="2"/>
  <c r="Z243" i="2"/>
  <c r="Z244" i="2" s="1"/>
  <c r="Z109" i="2"/>
  <c r="Y122" i="2"/>
  <c r="BN169" i="2"/>
  <c r="Z177" i="2"/>
  <c r="BN202" i="2"/>
  <c r="Z220" i="2"/>
  <c r="BN233" i="2"/>
  <c r="BN243" i="2"/>
  <c r="Z253" i="2"/>
  <c r="Z264" i="2"/>
  <c r="BN278" i="2"/>
  <c r="Z289" i="2"/>
  <c r="Z291" i="2" s="1"/>
  <c r="Z300" i="2"/>
  <c r="BN322" i="2"/>
  <c r="Z392" i="2"/>
  <c r="Z402" i="2"/>
  <c r="Z404" i="2" s="1"/>
  <c r="BN415" i="2"/>
  <c r="Z428" i="2"/>
  <c r="Y439" i="2"/>
  <c r="Z448" i="2"/>
  <c r="Z460" i="2"/>
  <c r="BP474" i="2"/>
  <c r="Y486" i="2"/>
  <c r="H497" i="2"/>
  <c r="Z30" i="2"/>
  <c r="Z278" i="2"/>
  <c r="Y292" i="2"/>
  <c r="F497" i="2"/>
  <c r="Z60" i="2"/>
  <c r="Z63" i="2" s="1"/>
  <c r="Z83" i="2"/>
  <c r="Z87" i="2" s="1"/>
  <c r="Z93" i="2"/>
  <c r="BN116" i="2"/>
  <c r="Y210" i="2"/>
  <c r="BN30" i="2"/>
  <c r="Z42" i="2"/>
  <c r="BN55" i="2"/>
  <c r="BN77" i="2"/>
  <c r="Z99" i="2"/>
  <c r="Y36" i="2"/>
  <c r="BN60" i="2"/>
  <c r="Y63" i="2"/>
  <c r="Z70" i="2"/>
  <c r="BP72" i="2"/>
  <c r="BN83" i="2"/>
  <c r="BN93" i="2"/>
  <c r="BP106" i="2"/>
  <c r="Y128" i="2"/>
  <c r="Y143" i="2"/>
  <c r="BN150" i="2"/>
  <c r="BN164" i="2"/>
  <c r="BP174" i="2"/>
  <c r="BP197" i="2"/>
  <c r="BP207" i="2"/>
  <c r="BP217" i="2"/>
  <c r="BP238" i="2"/>
  <c r="BP261" i="2"/>
  <c r="BP272" i="2"/>
  <c r="BN284" i="2"/>
  <c r="Z295" i="2"/>
  <c r="BP297" i="2"/>
  <c r="BP307" i="2"/>
  <c r="BN327" i="2"/>
  <c r="Y330" i="2"/>
  <c r="BP340" i="2"/>
  <c r="BP352" i="2"/>
  <c r="Y365" i="2"/>
  <c r="Z373" i="2"/>
  <c r="Y386" i="2"/>
  <c r="BN397" i="2"/>
  <c r="Z408" i="2"/>
  <c r="Z409" i="2" s="1"/>
  <c r="Y422" i="2"/>
  <c r="BN433" i="2"/>
  <c r="BN443" i="2"/>
  <c r="Y454" i="2"/>
  <c r="Z465" i="2"/>
  <c r="BP479" i="2"/>
  <c r="Z322" i="2"/>
  <c r="BP30" i="2"/>
  <c r="BP77" i="2"/>
  <c r="BP169" i="2"/>
  <c r="BP202" i="2"/>
  <c r="BP243" i="2"/>
  <c r="Y256" i="2"/>
  <c r="BP278" i="2"/>
  <c r="Y311" i="2"/>
  <c r="BP322" i="2"/>
  <c r="Y344" i="2"/>
  <c r="Y356" i="2"/>
  <c r="BN460" i="2"/>
  <c r="Z470" i="2"/>
  <c r="Z471" i="2" s="1"/>
  <c r="Y475" i="2"/>
  <c r="Z55" i="2"/>
  <c r="Y68" i="2"/>
  <c r="Z77" i="2"/>
  <c r="Z79" i="2" s="1"/>
  <c r="Z169" i="2"/>
  <c r="Z193" i="2"/>
  <c r="Z194" i="2" s="1"/>
  <c r="Y273" i="2"/>
  <c r="BP284" i="2"/>
  <c r="BP327" i="2"/>
  <c r="BP397" i="2"/>
  <c r="Z431" i="2"/>
  <c r="BP433" i="2"/>
  <c r="Z441" i="2"/>
  <c r="Z444" i="2" s="1"/>
  <c r="BP443" i="2"/>
  <c r="Z451" i="2"/>
  <c r="BN465" i="2"/>
  <c r="Y480" i="2"/>
  <c r="K497" i="2"/>
  <c r="BP60" i="2"/>
  <c r="BP83" i="2"/>
  <c r="Z91" i="2"/>
  <c r="Z94" i="2" s="1"/>
  <c r="Y117" i="2"/>
  <c r="Z125" i="2"/>
  <c r="Z127" i="2" s="1"/>
  <c r="BP150" i="2"/>
  <c r="BP164" i="2"/>
  <c r="F9" i="2"/>
  <c r="Y31" i="2"/>
  <c r="Z40" i="2"/>
  <c r="BP42" i="2"/>
  <c r="Y144" i="2"/>
  <c r="BN187" i="2"/>
  <c r="BN231" i="2"/>
  <c r="Y244" i="2"/>
  <c r="BP289" i="2"/>
  <c r="BN320" i="2"/>
  <c r="Y331" i="2"/>
  <c r="Y366" i="2"/>
  <c r="Z390" i="2"/>
  <c r="BP402" i="2"/>
  <c r="Y416" i="2"/>
  <c r="Z426" i="2"/>
  <c r="Z458" i="2"/>
  <c r="BN470" i="2"/>
  <c r="L497" i="2"/>
  <c r="Y151" i="2"/>
  <c r="Y257" i="2"/>
  <c r="BN441" i="2"/>
  <c r="Y444" i="2"/>
  <c r="BP465" i="2"/>
  <c r="Y481" i="2"/>
  <c r="O497" i="2"/>
  <c r="Z66" i="2"/>
  <c r="Z67" i="2" s="1"/>
  <c r="Z100" i="2"/>
  <c r="BN165" i="2"/>
  <c r="Z173" i="2"/>
  <c r="Z183" i="2"/>
  <c r="Z184" i="2" s="1"/>
  <c r="Z206" i="2"/>
  <c r="Z216" i="2"/>
  <c r="Z222" i="2" s="1"/>
  <c r="Z226" i="2"/>
  <c r="Z227" i="2" s="1"/>
  <c r="Z237" i="2"/>
  <c r="Z260" i="2"/>
  <c r="Z271" i="2"/>
  <c r="Z273" i="2" s="1"/>
  <c r="BN285" i="2"/>
  <c r="Z296" i="2"/>
  <c r="Z306" i="2"/>
  <c r="Z310" i="2" s="1"/>
  <c r="Z316" i="2"/>
  <c r="Z317" i="2" s="1"/>
  <c r="BN328" i="2"/>
  <c r="Z351" i="2"/>
  <c r="Z355" i="2" s="1"/>
  <c r="BN363" i="2"/>
  <c r="Z374" i="2"/>
  <c r="BN434" i="2"/>
  <c r="BP458" i="2"/>
  <c r="Z466" i="2"/>
  <c r="Z478" i="2"/>
  <c r="Q497" i="2"/>
  <c r="Z29" i="2"/>
  <c r="Z31" i="2" s="1"/>
  <c r="BN66" i="2"/>
  <c r="BN100" i="2"/>
  <c r="Y103" i="2"/>
  <c r="Y111" i="2"/>
  <c r="Z120" i="2"/>
  <c r="Z121" i="2" s="1"/>
  <c r="BN146" i="2"/>
  <c r="Z168" i="2"/>
  <c r="Y179" i="2"/>
  <c r="Y194" i="2"/>
  <c r="BN221" i="2"/>
  <c r="Z232" i="2"/>
  <c r="BN254" i="2"/>
  <c r="Y266" i="2"/>
  <c r="Z277" i="2"/>
  <c r="Z280" i="2" s="1"/>
  <c r="BN290" i="2"/>
  <c r="Z321" i="2"/>
  <c r="BN333" i="2"/>
  <c r="Y336" i="2"/>
  <c r="BN368" i="2"/>
  <c r="BN393" i="2"/>
  <c r="BN403" i="2"/>
  <c r="Z414" i="2"/>
  <c r="Z416" i="2" s="1"/>
  <c r="BN429" i="2"/>
  <c r="Z437" i="2"/>
  <c r="BN449" i="2"/>
  <c r="BN461" i="2"/>
  <c r="Z484" i="2"/>
  <c r="Z485" i="2" s="1"/>
  <c r="R497" i="2"/>
  <c r="BN51" i="2"/>
  <c r="BN61" i="2"/>
  <c r="BN141" i="2"/>
  <c r="Z34" i="2"/>
  <c r="Z35" i="2" s="1"/>
  <c r="BN206" i="2"/>
  <c r="BN216" i="2"/>
  <c r="BN226" i="2"/>
  <c r="Y240" i="2"/>
  <c r="BN271" i="2"/>
  <c r="BN306" i="2"/>
  <c r="BN316" i="2"/>
  <c r="BN351" i="2"/>
  <c r="BN374" i="2"/>
  <c r="BN466" i="2"/>
  <c r="BN478" i="2"/>
  <c r="Z146" i="2"/>
  <c r="Z151" i="2" s="1"/>
  <c r="P497" i="2"/>
  <c r="Z115" i="2"/>
  <c r="Z117" i="2" s="1"/>
  <c r="BN71" i="2"/>
  <c r="Y74" i="2"/>
  <c r="BP84" i="2"/>
  <c r="BN115" i="2"/>
  <c r="BN173" i="2"/>
  <c r="BN183" i="2"/>
  <c r="Y199" i="2"/>
  <c r="BN237" i="2"/>
  <c r="BN260" i="2"/>
  <c r="BN296" i="2"/>
  <c r="BN29" i="2"/>
  <c r="Z41" i="2"/>
  <c r="BN54" i="2"/>
  <c r="Y57" i="2"/>
  <c r="BP66" i="2"/>
  <c r="Y79" i="2"/>
  <c r="Y88" i="2"/>
  <c r="Z98" i="2"/>
  <c r="Z108" i="2"/>
  <c r="Z110" i="2" s="1"/>
  <c r="BN120" i="2"/>
  <c r="Z131" i="2"/>
  <c r="Z132" i="2" s="1"/>
  <c r="BP146" i="2"/>
  <c r="Z154" i="2"/>
  <c r="Z155" i="2" s="1"/>
  <c r="BN168" i="2"/>
  <c r="Z176" i="2"/>
  <c r="Z209" i="2"/>
  <c r="Z219" i="2"/>
  <c r="BP221" i="2"/>
  <c r="BN232" i="2"/>
  <c r="Z252" i="2"/>
  <c r="Z256" i="2" s="1"/>
  <c r="BP254" i="2"/>
  <c r="Z263" i="2"/>
  <c r="BN277" i="2"/>
  <c r="Y280" i="2"/>
  <c r="BP290" i="2"/>
  <c r="Z299" i="2"/>
  <c r="Z309" i="2"/>
  <c r="BN321" i="2"/>
  <c r="BP333" i="2"/>
  <c r="Z342" i="2"/>
  <c r="Z343" i="2" s="1"/>
  <c r="Z354" i="2"/>
  <c r="BP368" i="2"/>
  <c r="Z391" i="2"/>
  <c r="BP393" i="2"/>
  <c r="BN414" i="2"/>
  <c r="Z427" i="2"/>
  <c r="BP429" i="2"/>
  <c r="BN437" i="2"/>
  <c r="Z447" i="2"/>
  <c r="Z459" i="2"/>
  <c r="BN484" i="2"/>
  <c r="Z71" i="2"/>
  <c r="Y87" i="2"/>
  <c r="Z54" i="2"/>
  <c r="Z57" i="2" s="1"/>
  <c r="BP51" i="2"/>
  <c r="BP183" i="2"/>
  <c r="BP226" i="2"/>
  <c r="Y286" i="2"/>
  <c r="BP306" i="2"/>
  <c r="BP316" i="2"/>
  <c r="Y337" i="2"/>
  <c r="BP351" i="2"/>
  <c r="BP374" i="2"/>
  <c r="Y399" i="2"/>
  <c r="BN420" i="2"/>
  <c r="BP466" i="2"/>
  <c r="Y104" i="2"/>
  <c r="Y200" i="2"/>
  <c r="BN459" i="2"/>
  <c r="BP484" i="2"/>
  <c r="Y58" i="2"/>
  <c r="Y184" i="2"/>
  <c r="Y227" i="2"/>
  <c r="Y317" i="2"/>
  <c r="Y375" i="2"/>
  <c r="Y467" i="2"/>
  <c r="Z479" i="2"/>
  <c r="Y485" i="2"/>
  <c r="BN340" i="2"/>
  <c r="Z240" i="2" l="1"/>
  <c r="Z178" i="2"/>
  <c r="Z438" i="2"/>
  <c r="Z467" i="2"/>
  <c r="Z301" i="2"/>
  <c r="Y487" i="2"/>
  <c r="Y491" i="2"/>
  <c r="Z480" i="2"/>
  <c r="Y489" i="2"/>
  <c r="Y488" i="2"/>
  <c r="Y490" i="2"/>
  <c r="Z210" i="2"/>
  <c r="Z375" i="2"/>
  <c r="Z43" i="2"/>
  <c r="Z399" i="2"/>
  <c r="Z103" i="2"/>
  <c r="Z323" i="2"/>
  <c r="Z453" i="2"/>
  <c r="Z265" i="2"/>
  <c r="Z462" i="2"/>
  <c r="Z74" i="2"/>
  <c r="Z492" i="2" l="1"/>
</calcChain>
</file>

<file path=xl/sharedStrings.xml><?xml version="1.0" encoding="utf-8"?>
<sst xmlns="http://schemas.openxmlformats.org/spreadsheetml/2006/main" count="3596" uniqueCount="765">
  <si>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</si>
  <si>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</si>
  <si>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</si>
  <si>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</si>
  <si>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</si>
  <si>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</si>
  <si>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</si>
  <si>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</si>
  <si>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</si>
  <si>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</si>
  <si>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</si>
  <si>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</si>
  <si>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</si>
  <si>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</si>
  <si>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</si>
  <si>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</si>
  <si>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</si>
  <si>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</si>
  <si>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</si>
  <si>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</si>
  <si>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</si>
  <si>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</si>
  <si>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</si>
  <si>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</si>
  <si>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</si>
  <si>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</si>
  <si>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</si>
  <si>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</si>
  <si>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</si>
  <si>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</si>
  <si>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</si>
  <si>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</si>
  <si>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</si>
  <si>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</si>
  <si>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</si>
  <si>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</si>
  <si>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</si>
  <si>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</si>
  <si>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</si>
  <si>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</si>
  <si>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</si>
  <si>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</si>
  <si>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</si>
  <si>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</si>
  <si>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</si>
  <si>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</si>
  <si>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</si>
  <si>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</si>
  <si>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</si>
  <si>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</si>
  <si>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</si>
  <si>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</si>
  <si>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</si>
  <si>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</si>
  <si>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</si>
  <si>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</si>
  <si>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</si>
  <si>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</si>
  <si>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</si>
  <si>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</si>
  <si>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</si>
  <si>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</si>
  <si>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</si>
  <si>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</si>
  <si>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</si>
  <si>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</si>
  <si>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</si>
  <si>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02.02.2026</t>
  </si>
  <si>
    <t>28.01.2026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</si>
  <si>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</si>
  <si>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</si>
  <si>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</si>
  <si>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</si>
  <si>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</si>
  <si>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</si>
  <si>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</si>
  <si>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</si>
  <si>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</si>
  <si>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</si>
  <si>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</si>
  <si>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</si>
  <si>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</si>
  <si>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</si>
  <si>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</si>
  <si>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</si>
  <si>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</si>
  <si>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</si>
  <si>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</si>
  <si>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</si>
  <si>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</si>
  <si>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</si>
  <si>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</si>
  <si>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</si>
  <si>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</si>
  <si>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</si>
  <si>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</si>
  <si>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</si>
  <si>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</si>
  <si>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</si>
  <si>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</si>
  <si>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</si>
  <si>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</si>
  <si>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</si>
  <si>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</si>
  <si>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</si>
  <si>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</si>
  <si>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</si>
  <si>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</si>
  <si>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</si>
  <si>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</si>
  <si>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</si>
  <si>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</si>
  <si>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</si>
  <si>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</si>
  <si>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</si>
  <si>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</si>
  <si>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</si>
  <si>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</si>
  <si>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</si>
  <si>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</si>
  <si>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</si>
  <si>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</si>
  <si>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</si>
  <si>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</si>
  <si>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</si>
  <si>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</si>
  <si>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</si>
  <si>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</si>
  <si>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</si>
  <si>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</si>
  <si>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</si>
  <si>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</si>
  <si>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</si>
  <si>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</si>
  <si>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</si>
  <si>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</si>
  <si>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</si>
  <si>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</si>
  <si>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</si>
  <si>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</si>
  <si>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</si>
  <si>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</si>
  <si>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</si>
  <si>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</si>
  <si>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</si>
  <si>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</si>
  <si>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</si>
  <si>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</si>
  <si>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</si>
  <si>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</si>
  <si>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</si>
  <si>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</si>
  <si>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</si>
  <si>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</si>
  <si>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</si>
  <si>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</si>
  <si>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</si>
  <si>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</si>
  <si>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</si>
  <si>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</si>
  <si>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</si>
  <si>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</si>
  <si>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</si>
  <si>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</si>
  <si>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</si>
  <si>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</si>
  <si>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</si>
  <si>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</si>
  <si>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</si>
  <si>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</si>
  <si>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</si>
  <si>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</si>
  <si>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</si>
  <si>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</si>
  <si>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</si>
  <si>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</si>
  <si>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</si>
  <si>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</si>
  <si>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</si>
  <si>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</si>
  <si>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</si>
  <si>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</si>
  <si>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</si>
  <si>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</si>
  <si>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</si>
  <si>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</si>
  <si>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</si>
  <si>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</si>
  <si>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</si>
  <si>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</si>
  <si>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</si>
  <si>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</si>
  <si>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</si>
  <si>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</si>
  <si>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</si>
  <si>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</si>
  <si>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</si>
  <si>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</si>
  <si>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</si>
  <si>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</si>
  <si>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</si>
  <si>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</si>
  <si>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</si>
  <si>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</si>
  <si>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</si>
  <si>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</si>
  <si>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</si>
  <si>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</si>
  <si>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</si>
  <si>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</si>
  <si>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</si>
  <si>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</si>
  <si>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</si>
  <si>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</si>
  <si>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</si>
  <si>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</si>
  <si>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</si>
  <si>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</si>
  <si>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</si>
  <si>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</si>
  <si>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</si>
  <si>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</si>
  <si>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</si>
  <si>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</si>
  <si>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</si>
  <si>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</si>
  <si>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</si>
  <si>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</si>
  <si>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</si>
  <si>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</si>
  <si>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</si>
  <si>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</si>
  <si>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</si>
  <si>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</si>
  <si>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</si>
  <si>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</si>
  <si>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</si>
  <si>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</si>
  <si>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</si>
  <si>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</si>
  <si>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</si>
  <si>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</si>
  <si>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</si>
  <si>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</si>
  <si>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</si>
  <si>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</si>
  <si>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</si>
  <si>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</si>
  <si>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</si>
  <si>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</si>
  <si>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</si>
  <si>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</si>
  <si>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</si>
  <si>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</si>
  <si>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</si>
  <si>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</si>
  <si>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</si>
  <si>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</si>
  <si>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</si>
  <si>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</si>
  <si>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</si>
  <si>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</si>
  <si>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</si>
  <si>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</si>
  <si>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</si>
  <si>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</si>
  <si>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</si>
  <si>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</si>
  <si>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</si>
  <si>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</si>
  <si>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</si>
  <si>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</si>
  <si>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</si>
  <si>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</si>
  <si>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</si>
  <si>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</si>
  <si>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</si>
  <si>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</si>
  <si>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</si>
  <si>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</si>
  <si>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</si>
  <si>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</si>
  <si>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</si>
  <si>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</si>
  <si>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</si>
  <si>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</si>
  <si>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</si>
  <si>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</si>
  <si>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</si>
  <si>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</si>
  <si>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</si>
  <si>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</si>
  <si>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</si>
  <si>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</si>
  <si>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</si>
  <si>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</si>
  <si>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</si>
  <si>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</si>
  <si>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</si>
  <si>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</si>
  <si>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</si>
  <si>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</si>
  <si>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</si>
  <si>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</si>
  <si>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</si>
  <si>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</si>
  <si>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</si>
  <si>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</si>
  <si>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</si>
  <si>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</si>
  <si>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</si>
  <si>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</si>
  <si>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</si>
  <si>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</si>
  <si>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</si>
  <si>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</si>
  <si>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</si>
  <si>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</si>
  <si>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</si>
  <si>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</si>
  <si>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</si>
  <si>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</si>
  <si>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</si>
  <si>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</si>
  <si>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</si>
  <si>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</si>
  <si>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</si>
  <si>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</si>
  <si>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</si>
  <si>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</si>
  <si>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</si>
  <si>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</si>
  <si>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</si>
  <si>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</si>
  <si>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</si>
  <si>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</si>
  <si>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</si>
  <si>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</si>
  <si>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</si>
  <si>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</si>
  <si>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</si>
  <si>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</si>
  <si>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</si>
  <si>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</si>
  <si>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</si>
  <si>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</si>
  <si>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</si>
  <si>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</si>
  <si>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</si>
  <si>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</si>
  <si>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</si>
  <si>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</si>
  <si>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</si>
  <si>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</si>
  <si>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</si>
  <si>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</si>
  <si>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</si>
  <si>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</si>
  <si>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</si>
  <si>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</si>
  <si>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</si>
  <si>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</si>
  <si>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</si>
  <si>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</si>
  <si>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</si>
  <si>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</si>
  <si>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</si>
  <si>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</si>
  <si>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</si>
  <si>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</si>
  <si>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</si>
  <si>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</si>
  <si>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</si>
  <si>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</si>
  <si>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</si>
  <si>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</si>
  <si>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</si>
  <si>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</si>
  <si>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</si>
  <si>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</si>
  <si>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</si>
  <si>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</si>
  <si>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</si>
  <si>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</si>
  <si>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</si>
  <si>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</si>
  <si>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</si>
  <si>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</si>
  <si>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</si>
  <si>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</si>
  <si>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</si>
  <si>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</si>
  <si>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</si>
  <si>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</si>
  <si>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</si>
  <si>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</si>
  <si>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</si>
  <si>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</si>
  <si>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</si>
  <si>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</si>
  <si>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</si>
  <si>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</si>
  <si>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</si>
  <si>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</si>
  <si>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</si>
  <si>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</si>
  <si>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</si>
  <si>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</si>
  <si>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</si>
  <si>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</si>
  <si>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</si>
  <si>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</si>
  <si>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</si>
  <si>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</si>
  <si>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</si>
  <si>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</si>
  <si>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</si>
  <si>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</si>
  <si>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</si>
  <si>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</si>
  <si>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</si>
  <si>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</si>
  <si>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</si>
  <si>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</si>
  <si>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</si>
  <si>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</si>
  <si>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</si>
  <si>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</si>
  <si>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</si>
  <si>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</si>
  <si>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</si>
  <si>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</si>
  <si>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</si>
  <si>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</si>
  <si>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</si>
  <si>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</si>
  <si>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</si>
  <si>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</si>
  <si>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</si>
  <si>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</si>
  <si>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</si>
  <si>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</si>
  <si>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</si>
  <si>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</si>
  <si>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</si>
  <si>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</si>
  <si>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</si>
  <si>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</si>
  <si>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</si>
  <si>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</si>
  <si>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</si>
  <si>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</si>
  <si>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</si>
  <si>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</si>
  <si>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</si>
  <si>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</si>
  <si>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</si>
  <si>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</si>
  <si>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</si>
  <si>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</si>
  <si>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</si>
  <si>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</si>
  <si>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</si>
  <si>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</si>
  <si>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</si>
  <si>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</si>
  <si>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</si>
  <si>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</si>
  <si>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</si>
  <si>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</si>
  <si>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</si>
  <si>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</si>
  <si>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</si>
  <si>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</si>
  <si>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</si>
  <si>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</si>
  <si>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</si>
  <si>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</si>
  <si>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</si>
  <si>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</si>
  <si>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</si>
  <si>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</si>
  <si>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</si>
  <si>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</si>
  <si>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</si>
  <si>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</si>
  <si>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</si>
  <si>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</si>
  <si>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</si>
  <si>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</si>
  <si>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</si>
  <si>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</si>
  <si>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</si>
  <si>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</si>
  <si>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</si>
  <si>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</si>
  <si>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</si>
  <si>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</si>
  <si>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</si>
  <si>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</si>
  <si>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</si>
  <si>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</si>
  <si>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</si>
  <si>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</si>
  <si>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</si>
  <si>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</si>
  <si>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</si>
  <si>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</si>
  <si>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</si>
  <si>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</si>
  <si>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</si>
  <si>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</si>
  <si>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</si>
  <si>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</si>
  <si>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</si>
  <si>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</si>
  <si>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</si>
  <si>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</si>
  <si>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</si>
  <si>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</si>
  <si>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</si>
  <si>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</si>
  <si>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</si>
  <si>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</si>
  <si>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</si>
  <si>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</si>
  <si>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</si>
  <si>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</si>
  <si>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</si>
  <si>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</si>
  <si>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</si>
  <si>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</si>
  <si>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</si>
  <si>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</si>
  <si>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</si>
  <si>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</si>
  <si>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</si>
  <si>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</si>
  <si>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</si>
  <si>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</si>
  <si>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</si>
  <si>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</si>
  <si>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</si>
  <si>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</si>
  <si>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</si>
  <si>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</si>
  <si>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</si>
  <si>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</si>
  <si>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</si>
  <si>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</si>
  <si>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</si>
  <si>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</si>
  <si>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</si>
  <si>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</si>
  <si>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</si>
  <si>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</si>
  <si>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</si>
  <si>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</si>
  <si>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</si>
  <si>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</si>
  <si>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</si>
  <si>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</si>
  <si>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</si>
  <si>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</si>
  <si>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</si>
  <si>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</si>
  <si>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</si>
  <si>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</si>
  <si>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</si>
  <si>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</si>
  <si>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</si>
  <si>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</si>
  <si>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</si>
  <si>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</si>
  <si>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</si>
  <si>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</si>
  <si>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</si>
  <si>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</si>
  <si>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</si>
  <si>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</si>
  <si>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</si>
  <si>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</si>
  <si>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</si>
  <si>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</si>
  <si>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</si>
  <si>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</si>
  <si>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</si>
  <si>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</si>
  <si>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</si>
  <si>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</si>
  <si>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</si>
  <si>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</si>
  <si>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</si>
  <si>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</si>
  <si>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</si>
  <si>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</si>
  <si>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</si>
  <si>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</si>
  <si>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</si>
  <si>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</si>
  <si>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</si>
  <si>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</si>
  <si>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</si>
  <si>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</si>
  <si>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</si>
  <si>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</si>
  <si>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</si>
  <si>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</si>
  <si>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</si>
  <si>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</si>
  <si>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</si>
  <si>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</si>
  <si>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</si>
  <si>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</si>
  <si>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</si>
  <si>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</si>
  <si>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</si>
  <si>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</si>
  <si>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</si>
  <si>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</si>
  <si>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</si>
  <si>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</si>
  <si>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</si>
  <si>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</si>
  <si>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</si>
  <si>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</si>
  <si>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</si>
  <si>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</si>
  <si>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</si>
  <si>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</si>
  <si>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</si>
  <si>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</si>
  <si>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</si>
  <si>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</si>
  <si>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</si>
  <si>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</si>
  <si>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</si>
  <si>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</si>
  <si>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</si>
  <si>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</si>
  <si>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</si>
  <si>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</si>
  <si>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</si>
  <si>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</si>
  <si>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</si>
  <si>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</si>
  <si>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</si>
  <si>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</si>
  <si>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</si>
  <si>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</si>
  <si>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</si>
  <si>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</si>
  <si>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</si>
  <si>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</si>
  <si>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</si>
  <si>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</si>
  <si>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</si>
  <si>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</si>
  <si>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</si>
  <si>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</si>
  <si>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</si>
  <si>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</si>
  <si>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</si>
  <si>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</si>
  <si>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</si>
  <si>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</si>
  <si>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</si>
  <si>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</si>
  <si>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</si>
  <si>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</si>
  <si>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</si>
  <si>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</si>
  <si>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</si>
  <si>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</si>
  <si>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</si>
  <si>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</si>
  <si>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</si>
  <si>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</si>
  <si>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</si>
  <si>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</si>
  <si>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</si>
  <si>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</si>
  <si>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</si>
  <si>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</si>
  <si>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</si>
  <si>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</si>
  <si>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</si>
  <si>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</si>
  <si>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</si>
  <si>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</si>
  <si>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</si>
  <si>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</si>
  <si>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</si>
  <si>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</si>
  <si>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</si>
  <si>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</si>
  <si>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</si>
  <si>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</si>
  <si>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</si>
  <si>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</si>
  <si>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</si>
  <si>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</si>
  <si>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</si>
  <si>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</si>
  <si>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</si>
  <si>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</si>
  <si>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</si>
  <si>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</si>
  <si>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</si>
  <si>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</si>
  <si>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</si>
  <si>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</si>
  <si>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</si>
  <si>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</si>
  <si>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</si>
  <si>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</si>
  <si>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</si>
  <si>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</si>
  <si>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</si>
  <si>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</si>
  <si>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</si>
  <si>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</si>
  <si>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</si>
  <si>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</si>
  <si>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</si>
  <si>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</si>
  <si>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</si>
  <si>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</si>
  <si>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</si>
  <si>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</si>
  <si>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</si>
  <si>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</si>
  <si>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</si>
  <si>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</si>
  <si>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</si>
  <si>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</si>
  <si>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</si>
  <si>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</si>
  <si>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</si>
  <si>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</si>
  <si>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</si>
  <si>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</si>
  <si>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</si>
  <si>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</si>
  <si>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</si>
  <si>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</si>
  <si>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(сеть) Крым Респ, Симферополь г, Данилова ул, д. 43В, лит В, офис 4,</t>
  </si>
  <si>
    <t>590704_3</t>
  </si>
  <si>
    <t>1</t>
  </si>
  <si>
    <t>ЛП, ООО, Крым Респ, Симферополь г, Данилова ул, д. 43В, лит В, офис 4</t>
  </si>
  <si>
    <t>590704_5</t>
  </si>
  <si>
    <t>2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</si>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</sst>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7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46058</v>
      </c>
      <c r="R5" s="559"/>
      <c r="T5" s="560" t="s">
        <v>3</v>
      </c>
      <c r="U5" s="561"/>
      <c r="V5" s="562" t="s">
        <v>745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749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Четверг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2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/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0.41666666666666669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75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75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76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23">
        <v>4680115887510</v>
      </c>
      <c r="E22" s="62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23">
        <v>4680115886643</v>
      </c>
      <c r="E23" s="62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5"/>
      <c r="R23" s="625"/>
      <c r="S23" s="625"/>
      <c r="T23" s="62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1"/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2"/>
      <c r="P24" s="628" t="s">
        <v>40</v>
      </c>
      <c r="Q24" s="629"/>
      <c r="R24" s="629"/>
      <c r="S24" s="629"/>
      <c r="T24" s="629"/>
      <c r="U24" s="629"/>
      <c r="V24" s="6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1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2"/>
      <c r="P25" s="628" t="s">
        <v>40</v>
      </c>
      <c r="Q25" s="629"/>
      <c r="R25" s="629"/>
      <c r="S25" s="629"/>
      <c r="T25" s="629"/>
      <c r="U25" s="629"/>
      <c r="V25" s="6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2" t="s">
        <v>86</v>
      </c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2"/>
      <c r="P26" s="622"/>
      <c r="Q26" s="622"/>
      <c r="R26" s="622"/>
      <c r="S26" s="622"/>
      <c r="T26" s="622"/>
      <c r="U26" s="622"/>
      <c r="V26" s="622"/>
      <c r="W26" s="622"/>
      <c r="X26" s="622"/>
      <c r="Y26" s="622"/>
      <c r="Z26" s="62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3">
        <v>4680115885912</v>
      </c>
      <c r="E27" s="6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23">
        <v>4607091388237</v>
      </c>
      <c r="E28" s="6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23">
        <v>4680115887350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23">
        <v>4680115885905</v>
      </c>
      <c r="E30" s="6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1"/>
      <c r="B31" s="631"/>
      <c r="C31" s="631"/>
      <c r="D31" s="631"/>
      <c r="E31" s="631"/>
      <c r="F31" s="631"/>
      <c r="G31" s="631"/>
      <c r="H31" s="631"/>
      <c r="I31" s="631"/>
      <c r="J31" s="631"/>
      <c r="K31" s="631"/>
      <c r="L31" s="631"/>
      <c r="M31" s="631"/>
      <c r="N31" s="631"/>
      <c r="O31" s="632"/>
      <c r="P31" s="628" t="s">
        <v>40</v>
      </c>
      <c r="Q31" s="629"/>
      <c r="R31" s="629"/>
      <c r="S31" s="629"/>
      <c r="T31" s="629"/>
      <c r="U31" s="629"/>
      <c r="V31" s="630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1"/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2"/>
      <c r="P32" s="628" t="s">
        <v>40</v>
      </c>
      <c r="Q32" s="629"/>
      <c r="R32" s="629"/>
      <c r="S32" s="629"/>
      <c r="T32" s="629"/>
      <c r="U32" s="629"/>
      <c r="V32" s="630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2" t="s">
        <v>100</v>
      </c>
      <c r="B33" s="622"/>
      <c r="C33" s="622"/>
      <c r="D33" s="622"/>
      <c r="E33" s="622"/>
      <c r="F33" s="622"/>
      <c r="G33" s="622"/>
      <c r="H33" s="622"/>
      <c r="I33" s="622"/>
      <c r="J33" s="622"/>
      <c r="K33" s="622"/>
      <c r="L33" s="622"/>
      <c r="M33" s="622"/>
      <c r="N33" s="622"/>
      <c r="O33" s="622"/>
      <c r="P33" s="622"/>
      <c r="Q33" s="622"/>
      <c r="R33" s="622"/>
      <c r="S33" s="622"/>
      <c r="T33" s="622"/>
      <c r="U33" s="622"/>
      <c r="V33" s="622"/>
      <c r="W33" s="622"/>
      <c r="X33" s="622"/>
      <c r="Y33" s="622"/>
      <c r="Z33" s="622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23">
        <v>4607091388503</v>
      </c>
      <c r="E34" s="62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81</v>
      </c>
      <c r="L34" s="37" t="s">
        <v>45</v>
      </c>
      <c r="M34" s="38" t="s">
        <v>105</v>
      </c>
      <c r="N34" s="38"/>
      <c r="O34" s="37">
        <v>120</v>
      </c>
      <c r="P34" s="6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5"/>
      <c r="R34" s="625"/>
      <c r="S34" s="625"/>
      <c r="T34" s="62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1"/>
      <c r="B35" s="631"/>
      <c r="C35" s="631"/>
      <c r="D35" s="631"/>
      <c r="E35" s="631"/>
      <c r="F35" s="631"/>
      <c r="G35" s="631"/>
      <c r="H35" s="631"/>
      <c r="I35" s="631"/>
      <c r="J35" s="631"/>
      <c r="K35" s="631"/>
      <c r="L35" s="631"/>
      <c r="M35" s="631"/>
      <c r="N35" s="631"/>
      <c r="O35" s="632"/>
      <c r="P35" s="628" t="s">
        <v>40</v>
      </c>
      <c r="Q35" s="629"/>
      <c r="R35" s="629"/>
      <c r="S35" s="629"/>
      <c r="T35" s="629"/>
      <c r="U35" s="629"/>
      <c r="V35" s="630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2"/>
      <c r="P36" s="628" t="s">
        <v>40</v>
      </c>
      <c r="Q36" s="629"/>
      <c r="R36" s="629"/>
      <c r="S36" s="629"/>
      <c r="T36" s="629"/>
      <c r="U36" s="629"/>
      <c r="V36" s="630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0" t="s">
        <v>106</v>
      </c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0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54"/>
      <c r="AB37" s="54"/>
      <c r="AC37" s="54"/>
    </row>
    <row r="38" spans="1:68" ht="16.5" customHeight="1" x14ac:dyDescent="0.25">
      <c r="A38" s="621" t="s">
        <v>107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1"/>
      <c r="V38" s="621"/>
      <c r="W38" s="621"/>
      <c r="X38" s="621"/>
      <c r="Y38" s="621"/>
      <c r="Z38" s="621"/>
      <c r="AA38" s="65"/>
      <c r="AB38" s="65"/>
      <c r="AC38" s="79"/>
    </row>
    <row r="39" spans="1:68" ht="14.25" customHeight="1" x14ac:dyDescent="0.25">
      <c r="A39" s="622" t="s">
        <v>108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23">
        <v>4607091385670</v>
      </c>
      <c r="E40" s="62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5"/>
      <c r="R40" s="625"/>
      <c r="S40" s="625"/>
      <c r="T40" s="62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4301011565</v>
      </c>
      <c r="D41" s="623">
        <v>4680115882539</v>
      </c>
      <c r="E41" s="623"/>
      <c r="F41" s="62">
        <v>0.37</v>
      </c>
      <c r="G41" s="37">
        <v>10</v>
      </c>
      <c r="H41" s="62">
        <v>3.7</v>
      </c>
      <c r="I41" s="62">
        <v>3.89</v>
      </c>
      <c r="J41" s="37">
        <v>132</v>
      </c>
      <c r="K41" s="37" t="s">
        <v>116</v>
      </c>
      <c r="L41" s="37" t="s">
        <v>45</v>
      </c>
      <c r="M41" s="38" t="s">
        <v>90</v>
      </c>
      <c r="N41" s="38"/>
      <c r="O41" s="37">
        <v>50</v>
      </c>
      <c r="P41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4301011382</v>
      </c>
      <c r="D42" s="623">
        <v>4607091385687</v>
      </c>
      <c r="E42" s="623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116</v>
      </c>
      <c r="L42" s="37" t="s">
        <v>45</v>
      </c>
      <c r="M42" s="38" t="s">
        <v>90</v>
      </c>
      <c r="N42" s="38"/>
      <c r="O42" s="37">
        <v>50</v>
      </c>
      <c r="P42" s="6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1"/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2"/>
      <c r="P43" s="628" t="s">
        <v>40</v>
      </c>
      <c r="Q43" s="629"/>
      <c r="R43" s="629"/>
      <c r="S43" s="629"/>
      <c r="T43" s="629"/>
      <c r="U43" s="629"/>
      <c r="V43" s="630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1"/>
      <c r="B44" s="631"/>
      <c r="C44" s="631"/>
      <c r="D44" s="631"/>
      <c r="E44" s="631"/>
      <c r="F44" s="631"/>
      <c r="G44" s="631"/>
      <c r="H44" s="631"/>
      <c r="I44" s="631"/>
      <c r="J44" s="631"/>
      <c r="K44" s="631"/>
      <c r="L44" s="631"/>
      <c r="M44" s="631"/>
      <c r="N44" s="631"/>
      <c r="O44" s="632"/>
      <c r="P44" s="628" t="s">
        <v>40</v>
      </c>
      <c r="Q44" s="629"/>
      <c r="R44" s="629"/>
      <c r="S44" s="629"/>
      <c r="T44" s="629"/>
      <c r="U44" s="629"/>
      <c r="V44" s="630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2" t="s">
        <v>86</v>
      </c>
      <c r="B45" s="622"/>
      <c r="C45" s="622"/>
      <c r="D45" s="622"/>
      <c r="E45" s="622"/>
      <c r="F45" s="622"/>
      <c r="G45" s="622"/>
      <c r="H45" s="622"/>
      <c r="I45" s="622"/>
      <c r="J45" s="622"/>
      <c r="K45" s="622"/>
      <c r="L45" s="622"/>
      <c r="M45" s="622"/>
      <c r="N45" s="622"/>
      <c r="O45" s="622"/>
      <c r="P45" s="622"/>
      <c r="Q45" s="622"/>
      <c r="R45" s="622"/>
      <c r="S45" s="622"/>
      <c r="T45" s="622"/>
      <c r="U45" s="622"/>
      <c r="V45" s="622"/>
      <c r="W45" s="622"/>
      <c r="X45" s="622"/>
      <c r="Y45" s="622"/>
      <c r="Z45" s="622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23">
        <v>4680115884915</v>
      </c>
      <c r="E46" s="62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81</v>
      </c>
      <c r="L46" s="37" t="s">
        <v>45</v>
      </c>
      <c r="M46" s="38" t="s">
        <v>90</v>
      </c>
      <c r="N46" s="38"/>
      <c r="O46" s="37">
        <v>40</v>
      </c>
      <c r="P46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5"/>
      <c r="R46" s="625"/>
      <c r="S46" s="625"/>
      <c r="T46" s="62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1"/>
      <c r="B47" s="631"/>
      <c r="C47" s="631"/>
      <c r="D47" s="631"/>
      <c r="E47" s="631"/>
      <c r="F47" s="631"/>
      <c r="G47" s="631"/>
      <c r="H47" s="631"/>
      <c r="I47" s="631"/>
      <c r="J47" s="631"/>
      <c r="K47" s="631"/>
      <c r="L47" s="631"/>
      <c r="M47" s="631"/>
      <c r="N47" s="631"/>
      <c r="O47" s="632"/>
      <c r="P47" s="628" t="s">
        <v>40</v>
      </c>
      <c r="Q47" s="629"/>
      <c r="R47" s="629"/>
      <c r="S47" s="629"/>
      <c r="T47" s="629"/>
      <c r="U47" s="629"/>
      <c r="V47" s="630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1"/>
      <c r="B48" s="631"/>
      <c r="C48" s="631"/>
      <c r="D48" s="63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2"/>
      <c r="P48" s="628" t="s">
        <v>40</v>
      </c>
      <c r="Q48" s="629"/>
      <c r="R48" s="629"/>
      <c r="S48" s="629"/>
      <c r="T48" s="629"/>
      <c r="U48" s="629"/>
      <c r="V48" s="630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1" t="s">
        <v>122</v>
      </c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1"/>
      <c r="P49" s="621"/>
      <c r="Q49" s="621"/>
      <c r="R49" s="621"/>
      <c r="S49" s="621"/>
      <c r="T49" s="621"/>
      <c r="U49" s="621"/>
      <c r="V49" s="621"/>
      <c r="W49" s="621"/>
      <c r="X49" s="621"/>
      <c r="Y49" s="621"/>
      <c r="Z49" s="621"/>
      <c r="AA49" s="65"/>
      <c r="AB49" s="65"/>
      <c r="AC49" s="79"/>
    </row>
    <row r="50" spans="1:68" ht="14.25" customHeight="1" x14ac:dyDescent="0.25">
      <c r="A50" s="622" t="s">
        <v>108</v>
      </c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  <c r="R50" s="622"/>
      <c r="S50" s="622"/>
      <c r="T50" s="622"/>
      <c r="U50" s="622"/>
      <c r="V50" s="622"/>
      <c r="W50" s="622"/>
      <c r="X50" s="622"/>
      <c r="Y50" s="622"/>
      <c r="Z50" s="622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23">
        <v>4680115885882</v>
      </c>
      <c r="E51" s="62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90</v>
      </c>
      <c r="N51" s="38"/>
      <c r="O51" s="37">
        <v>50</v>
      </c>
      <c r="P51" s="6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5"/>
      <c r="R51" s="625"/>
      <c r="S51" s="625"/>
      <c r="T51" s="62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23">
        <v>4680115881426</v>
      </c>
      <c r="E52" s="62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23">
        <v>4680115880283</v>
      </c>
      <c r="E53" s="62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4301011806</v>
      </c>
      <c r="D54" s="623">
        <v>4680115881525</v>
      </c>
      <c r="E54" s="62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23">
        <v>4680115885899</v>
      </c>
      <c r="E55" s="62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81</v>
      </c>
      <c r="L55" s="37" t="s">
        <v>45</v>
      </c>
      <c r="M55" s="38" t="s">
        <v>96</v>
      </c>
      <c r="N55" s="38"/>
      <c r="O55" s="37">
        <v>50</v>
      </c>
      <c r="P55" s="6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138</v>
      </c>
      <c r="B56" s="63" t="s">
        <v>139</v>
      </c>
      <c r="C56" s="36">
        <v>4301011801</v>
      </c>
      <c r="D56" s="623">
        <v>4680115881419</v>
      </c>
      <c r="E56" s="62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1"/>
      <c r="B57" s="631"/>
      <c r="C57" s="631"/>
      <c r="D57" s="631"/>
      <c r="E57" s="631"/>
      <c r="F57" s="631"/>
      <c r="G57" s="631"/>
      <c r="H57" s="631"/>
      <c r="I57" s="631"/>
      <c r="J57" s="631"/>
      <c r="K57" s="631"/>
      <c r="L57" s="631"/>
      <c r="M57" s="631"/>
      <c r="N57" s="631"/>
      <c r="O57" s="632"/>
      <c r="P57" s="628" t="s">
        <v>40</v>
      </c>
      <c r="Q57" s="629"/>
      <c r="R57" s="629"/>
      <c r="S57" s="629"/>
      <c r="T57" s="629"/>
      <c r="U57" s="629"/>
      <c r="V57" s="630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1"/>
      <c r="B58" s="631"/>
      <c r="C58" s="631"/>
      <c r="D58" s="63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2"/>
      <c r="P58" s="628" t="s">
        <v>40</v>
      </c>
      <c r="Q58" s="629"/>
      <c r="R58" s="629"/>
      <c r="S58" s="629"/>
      <c r="T58" s="629"/>
      <c r="U58" s="629"/>
      <c r="V58" s="630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2" t="s">
        <v>141</v>
      </c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  <c r="R59" s="622"/>
      <c r="S59" s="622"/>
      <c r="T59" s="622"/>
      <c r="U59" s="622"/>
      <c r="V59" s="622"/>
      <c r="W59" s="622"/>
      <c r="X59" s="622"/>
      <c r="Y59" s="622"/>
      <c r="Z59" s="622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23">
        <v>4680115881440</v>
      </c>
      <c r="E60" s="62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5"/>
      <c r="R60" s="625"/>
      <c r="S60" s="625"/>
      <c r="T60" s="62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23">
        <v>4680115885950</v>
      </c>
      <c r="E61" s="62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81</v>
      </c>
      <c r="L61" s="37" t="s">
        <v>45</v>
      </c>
      <c r="M61" s="38" t="s">
        <v>90</v>
      </c>
      <c r="N61" s="38"/>
      <c r="O61" s="37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23">
        <v>4680115881433</v>
      </c>
      <c r="E62" s="62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81</v>
      </c>
      <c r="L62" s="37" t="s">
        <v>45</v>
      </c>
      <c r="M62" s="38" t="s">
        <v>112</v>
      </c>
      <c r="N62" s="38"/>
      <c r="O62" s="37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1"/>
      <c r="B63" s="631"/>
      <c r="C63" s="631"/>
      <c r="D63" s="631"/>
      <c r="E63" s="631"/>
      <c r="F63" s="631"/>
      <c r="G63" s="631"/>
      <c r="H63" s="631"/>
      <c r="I63" s="631"/>
      <c r="J63" s="631"/>
      <c r="K63" s="631"/>
      <c r="L63" s="631"/>
      <c r="M63" s="631"/>
      <c r="N63" s="631"/>
      <c r="O63" s="632"/>
      <c r="P63" s="628" t="s">
        <v>40</v>
      </c>
      <c r="Q63" s="629"/>
      <c r="R63" s="629"/>
      <c r="S63" s="629"/>
      <c r="T63" s="629"/>
      <c r="U63" s="629"/>
      <c r="V63" s="630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1"/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2"/>
      <c r="P64" s="628" t="s">
        <v>40</v>
      </c>
      <c r="Q64" s="629"/>
      <c r="R64" s="629"/>
      <c r="S64" s="629"/>
      <c r="T64" s="629"/>
      <c r="U64" s="629"/>
      <c r="V64" s="630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2" t="s">
        <v>76</v>
      </c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2"/>
      <c r="X65" s="622"/>
      <c r="Y65" s="622"/>
      <c r="Z65" s="622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4301031316</v>
      </c>
      <c r="D66" s="623">
        <v>4680115885097</v>
      </c>
      <c r="E66" s="62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85</v>
      </c>
      <c r="L66" s="37" t="s">
        <v>45</v>
      </c>
      <c r="M66" s="38" t="s">
        <v>80</v>
      </c>
      <c r="N66" s="38"/>
      <c r="O66" s="37">
        <v>40</v>
      </c>
      <c r="P66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25"/>
      <c r="R66" s="625"/>
      <c r="S66" s="625"/>
      <c r="T66" s="62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x14ac:dyDescent="0.2">
      <c r="A67" s="631"/>
      <c r="B67" s="631"/>
      <c r="C67" s="631"/>
      <c r="D67" s="631"/>
      <c r="E67" s="631"/>
      <c r="F67" s="631"/>
      <c r="G67" s="631"/>
      <c r="H67" s="631"/>
      <c r="I67" s="631"/>
      <c r="J67" s="631"/>
      <c r="K67" s="631"/>
      <c r="L67" s="631"/>
      <c r="M67" s="631"/>
      <c r="N67" s="631"/>
      <c r="O67" s="632"/>
      <c r="P67" s="628" t="s">
        <v>40</v>
      </c>
      <c r="Q67" s="629"/>
      <c r="R67" s="629"/>
      <c r="S67" s="629"/>
      <c r="T67" s="629"/>
      <c r="U67" s="629"/>
      <c r="V67" s="630"/>
      <c r="W67" s="42" t="s">
        <v>39</v>
      </c>
      <c r="X67" s="43">
        <f>IFERROR(X66/H66,"0")</f>
        <v>0</v>
      </c>
      <c r="Y67" s="43">
        <f>IFERROR(Y66/H66,"0")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631"/>
      <c r="B68" s="631"/>
      <c r="C68" s="631"/>
      <c r="D68" s="631"/>
      <c r="E68" s="631"/>
      <c r="F68" s="631"/>
      <c r="G68" s="631"/>
      <c r="H68" s="631"/>
      <c r="I68" s="631"/>
      <c r="J68" s="631"/>
      <c r="K68" s="631"/>
      <c r="L68" s="631"/>
      <c r="M68" s="631"/>
      <c r="N68" s="631"/>
      <c r="O68" s="632"/>
      <c r="P68" s="628" t="s">
        <v>40</v>
      </c>
      <c r="Q68" s="629"/>
      <c r="R68" s="629"/>
      <c r="S68" s="629"/>
      <c r="T68" s="629"/>
      <c r="U68" s="629"/>
      <c r="V68" s="630"/>
      <c r="W68" s="42" t="s">
        <v>0</v>
      </c>
      <c r="X68" s="43">
        <f>IFERROR(SUM(X66:X66),"0")</f>
        <v>0</v>
      </c>
      <c r="Y68" s="43">
        <f>IFERROR(SUM(Y66:Y66),"0")</f>
        <v>0</v>
      </c>
      <c r="Z68" s="42"/>
      <c r="AA68" s="67"/>
      <c r="AB68" s="67"/>
      <c r="AC68" s="67"/>
    </row>
    <row r="69" spans="1:68" ht="14.25" customHeight="1" x14ac:dyDescent="0.25">
      <c r="A69" s="622" t="s">
        <v>86</v>
      </c>
      <c r="B69" s="622"/>
      <c r="C69" s="622"/>
      <c r="D69" s="622"/>
      <c r="E69" s="622"/>
      <c r="F69" s="622"/>
      <c r="G69" s="622"/>
      <c r="H69" s="622"/>
      <c r="I69" s="622"/>
      <c r="J69" s="622"/>
      <c r="K69" s="622"/>
      <c r="L69" s="622"/>
      <c r="M69" s="622"/>
      <c r="N69" s="622"/>
      <c r="O69" s="622"/>
      <c r="P69" s="622"/>
      <c r="Q69" s="622"/>
      <c r="R69" s="622"/>
      <c r="S69" s="622"/>
      <c r="T69" s="622"/>
      <c r="U69" s="622"/>
      <c r="V69" s="622"/>
      <c r="W69" s="622"/>
      <c r="X69" s="622"/>
      <c r="Y69" s="622"/>
      <c r="Z69" s="622"/>
      <c r="AA69" s="66"/>
      <c r="AB69" s="66"/>
      <c r="AC69" s="80"/>
    </row>
    <row r="70" spans="1:68" ht="27" customHeight="1" x14ac:dyDescent="0.25">
      <c r="A70" s="63" t="s">
        <v>152</v>
      </c>
      <c r="B70" s="63" t="s">
        <v>153</v>
      </c>
      <c r="C70" s="36">
        <v>4301051846</v>
      </c>
      <c r="D70" s="623">
        <v>4680115885769</v>
      </c>
      <c r="E70" s="623"/>
      <c r="F70" s="62">
        <v>1.4</v>
      </c>
      <c r="G70" s="37">
        <v>6</v>
      </c>
      <c r="H70" s="62">
        <v>8.4</v>
      </c>
      <c r="I70" s="62">
        <v>8.81</v>
      </c>
      <c r="J70" s="37">
        <v>64</v>
      </c>
      <c r="K70" s="37" t="s">
        <v>113</v>
      </c>
      <c r="L70" s="37" t="s">
        <v>45</v>
      </c>
      <c r="M70" s="38" t="s">
        <v>90</v>
      </c>
      <c r="N70" s="38"/>
      <c r="O70" s="37">
        <v>45</v>
      </c>
      <c r="P70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625"/>
      <c r="R70" s="625"/>
      <c r="S70" s="625"/>
      <c r="T70" s="626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45</v>
      </c>
      <c r="AB70" s="69" t="s">
        <v>45</v>
      </c>
      <c r="AC70" s="128" t="s">
        <v>154</v>
      </c>
      <c r="AG70" s="78"/>
      <c r="AJ70" s="84" t="s">
        <v>45</v>
      </c>
      <c r="AK70" s="84">
        <v>0</v>
      </c>
      <c r="BB70" s="129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155</v>
      </c>
      <c r="B71" s="63" t="s">
        <v>156</v>
      </c>
      <c r="C71" s="36">
        <v>4301051837</v>
      </c>
      <c r="D71" s="623">
        <v>4680115884311</v>
      </c>
      <c r="E71" s="62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81</v>
      </c>
      <c r="L71" s="37" t="s">
        <v>45</v>
      </c>
      <c r="M71" s="38" t="s">
        <v>90</v>
      </c>
      <c r="N71" s="38"/>
      <c r="O71" s="37">
        <v>40</v>
      </c>
      <c r="P71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25"/>
      <c r="R71" s="625"/>
      <c r="S71" s="625"/>
      <c r="T71" s="62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45</v>
      </c>
      <c r="AB71" s="69" t="s">
        <v>45</v>
      </c>
      <c r="AC71" s="130" t="s">
        <v>157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158</v>
      </c>
      <c r="B72" s="63" t="s">
        <v>159</v>
      </c>
      <c r="C72" s="36">
        <v>4301051844</v>
      </c>
      <c r="D72" s="623">
        <v>4680115885929</v>
      </c>
      <c r="E72" s="623"/>
      <c r="F72" s="62">
        <v>0.42</v>
      </c>
      <c r="G72" s="37">
        <v>6</v>
      </c>
      <c r="H72" s="62">
        <v>2.52</v>
      </c>
      <c r="I72" s="62">
        <v>2.7</v>
      </c>
      <c r="J72" s="37">
        <v>182</v>
      </c>
      <c r="K72" s="37" t="s">
        <v>81</v>
      </c>
      <c r="L72" s="37" t="s">
        <v>45</v>
      </c>
      <c r="M72" s="38" t="s">
        <v>90</v>
      </c>
      <c r="N72" s="38"/>
      <c r="O72" s="37">
        <v>45</v>
      </c>
      <c r="P72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625"/>
      <c r="R72" s="625"/>
      <c r="S72" s="625"/>
      <c r="T72" s="62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154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160</v>
      </c>
      <c r="B73" s="63" t="s">
        <v>161</v>
      </c>
      <c r="C73" s="36">
        <v>4301051929</v>
      </c>
      <c r="D73" s="623">
        <v>4680115884403</v>
      </c>
      <c r="E73" s="62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81</v>
      </c>
      <c r="L73" s="37" t="s">
        <v>45</v>
      </c>
      <c r="M73" s="38" t="s">
        <v>90</v>
      </c>
      <c r="N73" s="38"/>
      <c r="O73" s="37">
        <v>40</v>
      </c>
      <c r="P73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31"/>
      <c r="B74" s="631"/>
      <c r="C74" s="631"/>
      <c r="D74" s="631"/>
      <c r="E74" s="631"/>
      <c r="F74" s="631"/>
      <c r="G74" s="631"/>
      <c r="H74" s="631"/>
      <c r="I74" s="631"/>
      <c r="J74" s="631"/>
      <c r="K74" s="631"/>
      <c r="L74" s="631"/>
      <c r="M74" s="631"/>
      <c r="N74" s="631"/>
      <c r="O74" s="632"/>
      <c r="P74" s="628" t="s">
        <v>40</v>
      </c>
      <c r="Q74" s="629"/>
      <c r="R74" s="629"/>
      <c r="S74" s="629"/>
      <c r="T74" s="629"/>
      <c r="U74" s="629"/>
      <c r="V74" s="630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31"/>
      <c r="B75" s="631"/>
      <c r="C75" s="631"/>
      <c r="D75" s="631"/>
      <c r="E75" s="631"/>
      <c r="F75" s="631"/>
      <c r="G75" s="631"/>
      <c r="H75" s="631"/>
      <c r="I75" s="631"/>
      <c r="J75" s="631"/>
      <c r="K75" s="631"/>
      <c r="L75" s="631"/>
      <c r="M75" s="631"/>
      <c r="N75" s="631"/>
      <c r="O75" s="632"/>
      <c r="P75" s="628" t="s">
        <v>40</v>
      </c>
      <c r="Q75" s="629"/>
      <c r="R75" s="629"/>
      <c r="S75" s="629"/>
      <c r="T75" s="629"/>
      <c r="U75" s="629"/>
      <c r="V75" s="630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2" t="s">
        <v>163</v>
      </c>
      <c r="B76" s="622"/>
      <c r="C76" s="622"/>
      <c r="D76" s="622"/>
      <c r="E76" s="622"/>
      <c r="F76" s="622"/>
      <c r="G76" s="622"/>
      <c r="H76" s="622"/>
      <c r="I76" s="622"/>
      <c r="J76" s="622"/>
      <c r="K76" s="622"/>
      <c r="L76" s="622"/>
      <c r="M76" s="622"/>
      <c r="N76" s="622"/>
      <c r="O76" s="622"/>
      <c r="P76" s="622"/>
      <c r="Q76" s="622"/>
      <c r="R76" s="622"/>
      <c r="S76" s="622"/>
      <c r="T76" s="622"/>
      <c r="U76" s="622"/>
      <c r="V76" s="622"/>
      <c r="W76" s="622"/>
      <c r="X76" s="622"/>
      <c r="Y76" s="622"/>
      <c r="Z76" s="622"/>
      <c r="AA76" s="66"/>
      <c r="AB76" s="66"/>
      <c r="AC76" s="80"/>
    </row>
    <row r="77" spans="1:68" ht="27" customHeight="1" x14ac:dyDescent="0.25">
      <c r="A77" s="63" t="s">
        <v>164</v>
      </c>
      <c r="B77" s="63" t="s">
        <v>165</v>
      </c>
      <c r="C77" s="36">
        <v>4301060455</v>
      </c>
      <c r="D77" s="623">
        <v>4680115881532</v>
      </c>
      <c r="E77" s="62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113</v>
      </c>
      <c r="L77" s="37" t="s">
        <v>45</v>
      </c>
      <c r="M77" s="38" t="s">
        <v>96</v>
      </c>
      <c r="N77" s="38"/>
      <c r="O77" s="37">
        <v>30</v>
      </c>
      <c r="P77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5"/>
      <c r="R77" s="625"/>
      <c r="S77" s="625"/>
      <c r="T77" s="626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45</v>
      </c>
      <c r="AB77" s="69" t="s">
        <v>45</v>
      </c>
      <c r="AC77" s="136" t="s">
        <v>166</v>
      </c>
      <c r="AG77" s="78"/>
      <c r="AJ77" s="84" t="s">
        <v>45</v>
      </c>
      <c r="AK77" s="84">
        <v>0</v>
      </c>
      <c r="BB77" s="137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167</v>
      </c>
      <c r="B78" s="63" t="s">
        <v>168</v>
      </c>
      <c r="C78" s="36">
        <v>4301060351</v>
      </c>
      <c r="D78" s="623">
        <v>4680115881464</v>
      </c>
      <c r="E78" s="62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116</v>
      </c>
      <c r="L78" s="37" t="s">
        <v>45</v>
      </c>
      <c r="M78" s="38" t="s">
        <v>90</v>
      </c>
      <c r="N78" s="38"/>
      <c r="O78" s="37">
        <v>30</v>
      </c>
      <c r="P78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25"/>
      <c r="R78" s="625"/>
      <c r="S78" s="625"/>
      <c r="T78" s="62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45</v>
      </c>
      <c r="AB78" s="69" t="s">
        <v>45</v>
      </c>
      <c r="AC78" s="138" t="s">
        <v>169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31"/>
      <c r="B79" s="631"/>
      <c r="C79" s="631"/>
      <c r="D79" s="631"/>
      <c r="E79" s="631"/>
      <c r="F79" s="631"/>
      <c r="G79" s="631"/>
      <c r="H79" s="631"/>
      <c r="I79" s="631"/>
      <c r="J79" s="631"/>
      <c r="K79" s="631"/>
      <c r="L79" s="631"/>
      <c r="M79" s="631"/>
      <c r="N79" s="631"/>
      <c r="O79" s="632"/>
      <c r="P79" s="628" t="s">
        <v>40</v>
      </c>
      <c r="Q79" s="629"/>
      <c r="R79" s="629"/>
      <c r="S79" s="629"/>
      <c r="T79" s="629"/>
      <c r="U79" s="629"/>
      <c r="V79" s="63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31"/>
      <c r="B80" s="631"/>
      <c r="C80" s="631"/>
      <c r="D80" s="631"/>
      <c r="E80" s="631"/>
      <c r="F80" s="631"/>
      <c r="G80" s="631"/>
      <c r="H80" s="631"/>
      <c r="I80" s="631"/>
      <c r="J80" s="631"/>
      <c r="K80" s="631"/>
      <c r="L80" s="631"/>
      <c r="M80" s="631"/>
      <c r="N80" s="631"/>
      <c r="O80" s="632"/>
      <c r="P80" s="628" t="s">
        <v>40</v>
      </c>
      <c r="Q80" s="629"/>
      <c r="R80" s="629"/>
      <c r="S80" s="629"/>
      <c r="T80" s="629"/>
      <c r="U80" s="629"/>
      <c r="V80" s="63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21" t="s">
        <v>170</v>
      </c>
      <c r="B81" s="621"/>
      <c r="C81" s="621"/>
      <c r="D81" s="621"/>
      <c r="E81" s="621"/>
      <c r="F81" s="621"/>
      <c r="G81" s="621"/>
      <c r="H81" s="621"/>
      <c r="I81" s="621"/>
      <c r="J81" s="621"/>
      <c r="K81" s="621"/>
      <c r="L81" s="621"/>
      <c r="M81" s="621"/>
      <c r="N81" s="621"/>
      <c r="O81" s="621"/>
      <c r="P81" s="621"/>
      <c r="Q81" s="621"/>
      <c r="R81" s="621"/>
      <c r="S81" s="621"/>
      <c r="T81" s="621"/>
      <c r="U81" s="621"/>
      <c r="V81" s="621"/>
      <c r="W81" s="621"/>
      <c r="X81" s="621"/>
      <c r="Y81" s="621"/>
      <c r="Z81" s="621"/>
      <c r="AA81" s="65"/>
      <c r="AB81" s="65"/>
      <c r="AC81" s="79"/>
    </row>
    <row r="82" spans="1:68" ht="14.25" customHeight="1" x14ac:dyDescent="0.25">
      <c r="A82" s="622" t="s">
        <v>108</v>
      </c>
      <c r="B82" s="622"/>
      <c r="C82" s="622"/>
      <c r="D82" s="622"/>
      <c r="E82" s="622"/>
      <c r="F82" s="622"/>
      <c r="G82" s="622"/>
      <c r="H82" s="622"/>
      <c r="I82" s="622"/>
      <c r="J82" s="622"/>
      <c r="K82" s="622"/>
      <c r="L82" s="622"/>
      <c r="M82" s="622"/>
      <c r="N82" s="622"/>
      <c r="O82" s="622"/>
      <c r="P82" s="622"/>
      <c r="Q82" s="622"/>
      <c r="R82" s="622"/>
      <c r="S82" s="622"/>
      <c r="T82" s="622"/>
      <c r="U82" s="622"/>
      <c r="V82" s="622"/>
      <c r="W82" s="622"/>
      <c r="X82" s="622"/>
      <c r="Y82" s="622"/>
      <c r="Z82" s="622"/>
      <c r="AA82" s="66"/>
      <c r="AB82" s="66"/>
      <c r="AC82" s="80"/>
    </row>
    <row r="83" spans="1:68" ht="27" customHeight="1" x14ac:dyDescent="0.25">
      <c r="A83" s="63" t="s">
        <v>171</v>
      </c>
      <c r="B83" s="63" t="s">
        <v>172</v>
      </c>
      <c r="C83" s="36">
        <v>4301011468</v>
      </c>
      <c r="D83" s="623">
        <v>4680115881327</v>
      </c>
      <c r="E83" s="62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113</v>
      </c>
      <c r="L83" s="37" t="s">
        <v>45</v>
      </c>
      <c r="M83" s="38" t="s">
        <v>96</v>
      </c>
      <c r="N83" s="38"/>
      <c r="O83" s="37">
        <v>50</v>
      </c>
      <c r="P83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25"/>
      <c r="R83" s="625"/>
      <c r="S83" s="625"/>
      <c r="T83" s="626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45</v>
      </c>
      <c r="AB83" s="69" t="s">
        <v>45</v>
      </c>
      <c r="AC83" s="140" t="s">
        <v>173</v>
      </c>
      <c r="AG83" s="78"/>
      <c r="AJ83" s="84" t="s">
        <v>45</v>
      </c>
      <c r="AK83" s="84">
        <v>0</v>
      </c>
      <c r="BB83" s="14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174</v>
      </c>
      <c r="B84" s="63" t="s">
        <v>175</v>
      </c>
      <c r="C84" s="36">
        <v>4301011261</v>
      </c>
      <c r="D84" s="623">
        <v>4680115887732</v>
      </c>
      <c r="E84" s="62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177</v>
      </c>
      <c r="L84" s="37" t="s">
        <v>45</v>
      </c>
      <c r="M84" s="38" t="s">
        <v>80</v>
      </c>
      <c r="N84" s="38"/>
      <c r="O84" s="37">
        <v>30</v>
      </c>
      <c r="P84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25"/>
      <c r="R84" s="625"/>
      <c r="S84" s="625"/>
      <c r="T84" s="62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45</v>
      </c>
      <c r="AB84" s="69" t="s">
        <v>45</v>
      </c>
      <c r="AC84" s="142" t="s">
        <v>176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178</v>
      </c>
      <c r="B85" s="63" t="s">
        <v>179</v>
      </c>
      <c r="C85" s="36">
        <v>4301011476</v>
      </c>
      <c r="D85" s="623">
        <v>4680115881518</v>
      </c>
      <c r="E85" s="62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116</v>
      </c>
      <c r="L85" s="37" t="s">
        <v>45</v>
      </c>
      <c r="M85" s="38" t="s">
        <v>90</v>
      </c>
      <c r="N85" s="38"/>
      <c r="O85" s="37">
        <v>50</v>
      </c>
      <c r="P85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25"/>
      <c r="R85" s="625"/>
      <c r="S85" s="625"/>
      <c r="T85" s="62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45</v>
      </c>
      <c r="AB85" s="69" t="s">
        <v>45</v>
      </c>
      <c r="AC85" s="144" t="s">
        <v>173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180</v>
      </c>
      <c r="B86" s="63" t="s">
        <v>181</v>
      </c>
      <c r="C86" s="36">
        <v>4301011443</v>
      </c>
      <c r="D86" s="623">
        <v>4680115881303</v>
      </c>
      <c r="E86" s="62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116</v>
      </c>
      <c r="L86" s="37" t="s">
        <v>45</v>
      </c>
      <c r="M86" s="38" t="s">
        <v>96</v>
      </c>
      <c r="N86" s="38"/>
      <c r="O86" s="37">
        <v>50</v>
      </c>
      <c r="P86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31"/>
      <c r="B87" s="631"/>
      <c r="C87" s="631"/>
      <c r="D87" s="631"/>
      <c r="E87" s="631"/>
      <c r="F87" s="631"/>
      <c r="G87" s="631"/>
      <c r="H87" s="631"/>
      <c r="I87" s="631"/>
      <c r="J87" s="631"/>
      <c r="K87" s="631"/>
      <c r="L87" s="631"/>
      <c r="M87" s="631"/>
      <c r="N87" s="631"/>
      <c r="O87" s="632"/>
      <c r="P87" s="628" t="s">
        <v>40</v>
      </c>
      <c r="Q87" s="629"/>
      <c r="R87" s="629"/>
      <c r="S87" s="629"/>
      <c r="T87" s="629"/>
      <c r="U87" s="629"/>
      <c r="V87" s="630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31"/>
      <c r="B88" s="631"/>
      <c r="C88" s="631"/>
      <c r="D88" s="631"/>
      <c r="E88" s="631"/>
      <c r="F88" s="631"/>
      <c r="G88" s="631"/>
      <c r="H88" s="631"/>
      <c r="I88" s="631"/>
      <c r="J88" s="631"/>
      <c r="K88" s="631"/>
      <c r="L88" s="631"/>
      <c r="M88" s="631"/>
      <c r="N88" s="631"/>
      <c r="O88" s="632"/>
      <c r="P88" s="628" t="s">
        <v>40</v>
      </c>
      <c r="Q88" s="629"/>
      <c r="R88" s="629"/>
      <c r="S88" s="629"/>
      <c r="T88" s="629"/>
      <c r="U88" s="629"/>
      <c r="V88" s="630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22" t="s">
        <v>86</v>
      </c>
      <c r="B89" s="622"/>
      <c r="C89" s="622"/>
      <c r="D89" s="622"/>
      <c r="E89" s="622"/>
      <c r="F89" s="622"/>
      <c r="G89" s="622"/>
      <c r="H89" s="622"/>
      <c r="I89" s="622"/>
      <c r="J89" s="622"/>
      <c r="K89" s="622"/>
      <c r="L89" s="622"/>
      <c r="M89" s="622"/>
      <c r="N89" s="622"/>
      <c r="O89" s="622"/>
      <c r="P89" s="622"/>
      <c r="Q89" s="622"/>
      <c r="R89" s="622"/>
      <c r="S89" s="622"/>
      <c r="T89" s="622"/>
      <c r="U89" s="622"/>
      <c r="V89" s="622"/>
      <c r="W89" s="622"/>
      <c r="X89" s="622"/>
      <c r="Y89" s="622"/>
      <c r="Z89" s="622"/>
      <c r="AA89" s="66"/>
      <c r="AB89" s="66"/>
      <c r="AC89" s="80"/>
    </row>
    <row r="90" spans="1:68" ht="27" customHeight="1" x14ac:dyDescent="0.25">
      <c r="A90" s="63" t="s">
        <v>182</v>
      </c>
      <c r="B90" s="63" t="s">
        <v>183</v>
      </c>
      <c r="C90" s="36">
        <v>4301051712</v>
      </c>
      <c r="D90" s="623">
        <v>4607091386967</v>
      </c>
      <c r="E90" s="62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113</v>
      </c>
      <c r="L90" s="37" t="s">
        <v>45</v>
      </c>
      <c r="M90" s="38" t="s">
        <v>96</v>
      </c>
      <c r="N90" s="38"/>
      <c r="O90" s="37">
        <v>45</v>
      </c>
      <c r="P90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25"/>
      <c r="R90" s="625"/>
      <c r="S90" s="625"/>
      <c r="T90" s="626"/>
      <c r="U90" s="39" t="s">
        <v>45</v>
      </c>
      <c r="V90" s="39" t="s">
        <v>45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45</v>
      </c>
      <c r="AB90" s="69" t="s">
        <v>45</v>
      </c>
      <c r="AC90" s="148" t="s">
        <v>184</v>
      </c>
      <c r="AG90" s="78"/>
      <c r="AJ90" s="84" t="s">
        <v>45</v>
      </c>
      <c r="AK90" s="84">
        <v>0</v>
      </c>
      <c r="BB90" s="149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185</v>
      </c>
      <c r="B91" s="63" t="s">
        <v>186</v>
      </c>
      <c r="C91" s="36">
        <v>4301051788</v>
      </c>
      <c r="D91" s="623">
        <v>4680115884953</v>
      </c>
      <c r="E91" s="62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81</v>
      </c>
      <c r="L91" s="37" t="s">
        <v>45</v>
      </c>
      <c r="M91" s="38" t="s">
        <v>90</v>
      </c>
      <c r="N91" s="38"/>
      <c r="O91" s="37">
        <v>45</v>
      </c>
      <c r="P91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25"/>
      <c r="R91" s="625"/>
      <c r="S91" s="625"/>
      <c r="T91" s="62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45</v>
      </c>
      <c r="AB91" s="69" t="s">
        <v>45</v>
      </c>
      <c r="AC91" s="150" t="s">
        <v>184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187</v>
      </c>
      <c r="B92" s="63" t="s">
        <v>188</v>
      </c>
      <c r="C92" s="36">
        <v>4301051718</v>
      </c>
      <c r="D92" s="623">
        <v>4607091385731</v>
      </c>
      <c r="E92" s="62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81</v>
      </c>
      <c r="L92" s="37" t="s">
        <v>45</v>
      </c>
      <c r="M92" s="38" t="s">
        <v>96</v>
      </c>
      <c r="N92" s="38"/>
      <c r="O92" s="37">
        <v>45</v>
      </c>
      <c r="P92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189</v>
      </c>
      <c r="B93" s="63" t="s">
        <v>190</v>
      </c>
      <c r="C93" s="36">
        <v>4301051438</v>
      </c>
      <c r="D93" s="623">
        <v>4680115880894</v>
      </c>
      <c r="E93" s="62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81</v>
      </c>
      <c r="L93" s="37" t="s">
        <v>45</v>
      </c>
      <c r="M93" s="38" t="s">
        <v>90</v>
      </c>
      <c r="N93" s="38"/>
      <c r="O93" s="37">
        <v>45</v>
      </c>
      <c r="P93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31"/>
      <c r="B94" s="631"/>
      <c r="C94" s="631"/>
      <c r="D94" s="631"/>
      <c r="E94" s="631"/>
      <c r="F94" s="631"/>
      <c r="G94" s="631"/>
      <c r="H94" s="631"/>
      <c r="I94" s="631"/>
      <c r="J94" s="631"/>
      <c r="K94" s="631"/>
      <c r="L94" s="631"/>
      <c r="M94" s="631"/>
      <c r="N94" s="631"/>
      <c r="O94" s="632"/>
      <c r="P94" s="628" t="s">
        <v>40</v>
      </c>
      <c r="Q94" s="629"/>
      <c r="R94" s="629"/>
      <c r="S94" s="629"/>
      <c r="T94" s="629"/>
      <c r="U94" s="629"/>
      <c r="V94" s="630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31"/>
      <c r="B95" s="631"/>
      <c r="C95" s="631"/>
      <c r="D95" s="631"/>
      <c r="E95" s="631"/>
      <c r="F95" s="631"/>
      <c r="G95" s="631"/>
      <c r="H95" s="631"/>
      <c r="I95" s="631"/>
      <c r="J95" s="631"/>
      <c r="K95" s="631"/>
      <c r="L95" s="631"/>
      <c r="M95" s="631"/>
      <c r="N95" s="631"/>
      <c r="O95" s="632"/>
      <c r="P95" s="628" t="s">
        <v>40</v>
      </c>
      <c r="Q95" s="629"/>
      <c r="R95" s="629"/>
      <c r="S95" s="629"/>
      <c r="T95" s="629"/>
      <c r="U95" s="629"/>
      <c r="V95" s="630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21" t="s">
        <v>192</v>
      </c>
      <c r="B96" s="621"/>
      <c r="C96" s="621"/>
      <c r="D96" s="621"/>
      <c r="E96" s="621"/>
      <c r="F96" s="621"/>
      <c r="G96" s="621"/>
      <c r="H96" s="621"/>
      <c r="I96" s="621"/>
      <c r="J96" s="621"/>
      <c r="K96" s="621"/>
      <c r="L96" s="621"/>
      <c r="M96" s="621"/>
      <c r="N96" s="621"/>
      <c r="O96" s="621"/>
      <c r="P96" s="621"/>
      <c r="Q96" s="621"/>
      <c r="R96" s="621"/>
      <c r="S96" s="621"/>
      <c r="T96" s="621"/>
      <c r="U96" s="621"/>
      <c r="V96" s="621"/>
      <c r="W96" s="621"/>
      <c r="X96" s="621"/>
      <c r="Y96" s="621"/>
      <c r="Z96" s="621"/>
      <c r="AA96" s="65"/>
      <c r="AB96" s="65"/>
      <c r="AC96" s="79"/>
    </row>
    <row r="97" spans="1:68" ht="14.25" customHeight="1" x14ac:dyDescent="0.25">
      <c r="A97" s="622" t="s">
        <v>108</v>
      </c>
      <c r="B97" s="622"/>
      <c r="C97" s="622"/>
      <c r="D97" s="622"/>
      <c r="E97" s="622"/>
      <c r="F97" s="622"/>
      <c r="G97" s="622"/>
      <c r="H97" s="622"/>
      <c r="I97" s="622"/>
      <c r="J97" s="622"/>
      <c r="K97" s="622"/>
      <c r="L97" s="622"/>
      <c r="M97" s="622"/>
      <c r="N97" s="622"/>
      <c r="O97" s="622"/>
      <c r="P97" s="622"/>
      <c r="Q97" s="622"/>
      <c r="R97" s="622"/>
      <c r="S97" s="622"/>
      <c r="T97" s="622"/>
      <c r="U97" s="622"/>
      <c r="V97" s="622"/>
      <c r="W97" s="622"/>
      <c r="X97" s="622"/>
      <c r="Y97" s="622"/>
      <c r="Z97" s="622"/>
      <c r="AA97" s="66"/>
      <c r="AB97" s="66"/>
      <c r="AC97" s="80"/>
    </row>
    <row r="98" spans="1:68" ht="37.5" customHeight="1" x14ac:dyDescent="0.25">
      <c r="A98" s="63" t="s">
        <v>193</v>
      </c>
      <c r="B98" s="63" t="s">
        <v>194</v>
      </c>
      <c r="C98" s="36">
        <v>4301011514</v>
      </c>
      <c r="D98" s="623">
        <v>4680115882133</v>
      </c>
      <c r="E98" s="62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113</v>
      </c>
      <c r="L98" s="37" t="s">
        <v>45</v>
      </c>
      <c r="M98" s="38" t="s">
        <v>112</v>
      </c>
      <c r="N98" s="38"/>
      <c r="O98" s="37">
        <v>50</v>
      </c>
      <c r="P98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25"/>
      <c r="R98" s="625"/>
      <c r="S98" s="625"/>
      <c r="T98" s="626"/>
      <c r="U98" s="39" t="s">
        <v>45</v>
      </c>
      <c r="V98" s="39" t="s">
        <v>45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45</v>
      </c>
      <c r="AB98" s="69" t="s">
        <v>45</v>
      </c>
      <c r="AC98" s="156" t="s">
        <v>195</v>
      </c>
      <c r="AG98" s="78"/>
      <c r="AJ98" s="84" t="s">
        <v>45</v>
      </c>
      <c r="AK98" s="84">
        <v>0</v>
      </c>
      <c r="BB98" s="15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196</v>
      </c>
      <c r="B99" s="63" t="s">
        <v>197</v>
      </c>
      <c r="C99" s="36">
        <v>4301012051</v>
      </c>
      <c r="D99" s="623">
        <v>4680115887718</v>
      </c>
      <c r="E99" s="62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177</v>
      </c>
      <c r="L99" s="37" t="s">
        <v>45</v>
      </c>
      <c r="M99" s="38" t="s">
        <v>80</v>
      </c>
      <c r="N99" s="38"/>
      <c r="O99" s="37">
        <v>30</v>
      </c>
      <c r="P99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25"/>
      <c r="R99" s="625"/>
      <c r="S99" s="625"/>
      <c r="T99" s="62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IFERROR(IF(Y99=0,"",ROUNDUP(Y99/H99,0)*0.00726),"")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199</v>
      </c>
      <c r="B100" s="63" t="s">
        <v>200</v>
      </c>
      <c r="C100" s="36">
        <v>4301011417</v>
      </c>
      <c r="D100" s="623">
        <v>4680115880269</v>
      </c>
      <c r="E100" s="623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116</v>
      </c>
      <c r="L100" s="37" t="s">
        <v>45</v>
      </c>
      <c r="M100" s="38" t="s">
        <v>90</v>
      </c>
      <c r="N100" s="38"/>
      <c r="O100" s="37">
        <v>50</v>
      </c>
      <c r="P100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195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4301011415</v>
      </c>
      <c r="D101" s="623">
        <v>4680115880429</v>
      </c>
      <c r="E101" s="623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116</v>
      </c>
      <c r="L101" s="37" t="s">
        <v>45</v>
      </c>
      <c r="M101" s="38" t="s">
        <v>90</v>
      </c>
      <c r="N101" s="38"/>
      <c r="O101" s="37">
        <v>50</v>
      </c>
      <c r="P101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195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4301011462</v>
      </c>
      <c r="D102" s="623">
        <v>4680115881457</v>
      </c>
      <c r="E102" s="623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90</v>
      </c>
      <c r="N102" s="38"/>
      <c r="O102" s="37">
        <v>50</v>
      </c>
      <c r="P102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195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31"/>
      <c r="B103" s="631"/>
      <c r="C103" s="631"/>
      <c r="D103" s="631"/>
      <c r="E103" s="631"/>
      <c r="F103" s="631"/>
      <c r="G103" s="631"/>
      <c r="H103" s="631"/>
      <c r="I103" s="631"/>
      <c r="J103" s="631"/>
      <c r="K103" s="631"/>
      <c r="L103" s="631"/>
      <c r="M103" s="631"/>
      <c r="N103" s="631"/>
      <c r="O103" s="632"/>
      <c r="P103" s="628" t="s">
        <v>40</v>
      </c>
      <c r="Q103" s="629"/>
      <c r="R103" s="629"/>
      <c r="S103" s="629"/>
      <c r="T103" s="629"/>
      <c r="U103" s="629"/>
      <c r="V103" s="630"/>
      <c r="W103" s="42" t="s">
        <v>39</v>
      </c>
      <c r="X103" s="43">
        <f>IFERROR(X98/H98,"0")+IFERROR(X99/H99,"0")+IFERROR(X100/H100,"0")+IFERROR(X101/H101,"0")+IFERROR(X102/H102,"0")</f>
        <v>0</v>
      </c>
      <c r="Y103" s="43">
        <f>IFERROR(Y98/H98,"0")+IFERROR(Y99/H99,"0")+IFERROR(Y100/H100,"0")+IFERROR(Y101/H101,"0")+IFERROR(Y102/H102,"0")</f>
        <v>0</v>
      </c>
      <c r="Z103" s="43">
        <f>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31"/>
      <c r="B104" s="631"/>
      <c r="C104" s="631"/>
      <c r="D104" s="631"/>
      <c r="E104" s="631"/>
      <c r="F104" s="631"/>
      <c r="G104" s="631"/>
      <c r="H104" s="631"/>
      <c r="I104" s="631"/>
      <c r="J104" s="631"/>
      <c r="K104" s="631"/>
      <c r="L104" s="631"/>
      <c r="M104" s="631"/>
      <c r="N104" s="631"/>
      <c r="O104" s="632"/>
      <c r="P104" s="628" t="s">
        <v>40</v>
      </c>
      <c r="Q104" s="629"/>
      <c r="R104" s="629"/>
      <c r="S104" s="629"/>
      <c r="T104" s="629"/>
      <c r="U104" s="629"/>
      <c r="V104" s="630"/>
      <c r="W104" s="42" t="s">
        <v>0</v>
      </c>
      <c r="X104" s="43">
        <f>IFERROR(SUM(X98:X102),"0")</f>
        <v>0</v>
      </c>
      <c r="Y104" s="43">
        <f>IFERROR(SUM(Y98:Y102),"0")</f>
        <v>0</v>
      </c>
      <c r="Z104" s="42"/>
      <c r="AA104" s="67"/>
      <c r="AB104" s="67"/>
      <c r="AC104" s="67"/>
    </row>
    <row r="105" spans="1:68" ht="14.25" customHeight="1" x14ac:dyDescent="0.25">
      <c r="A105" s="622" t="s">
        <v>141</v>
      </c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6"/>
      <c r="AB105" s="66"/>
      <c r="AC105" s="80"/>
    </row>
    <row r="106" spans="1:68" ht="16.5" customHeight="1" x14ac:dyDescent="0.25">
      <c r="A106" s="63" t="s">
        <v>205</v>
      </c>
      <c r="B106" s="63" t="s">
        <v>206</v>
      </c>
      <c r="C106" s="36">
        <v>4301020345</v>
      </c>
      <c r="D106" s="623">
        <v>4680115881488</v>
      </c>
      <c r="E106" s="62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113</v>
      </c>
      <c r="L106" s="37" t="s">
        <v>45</v>
      </c>
      <c r="M106" s="38" t="s">
        <v>112</v>
      </c>
      <c r="N106" s="38"/>
      <c r="O106" s="37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5"/>
      <c r="R106" s="625"/>
      <c r="S106" s="625"/>
      <c r="T106" s="626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207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27" customHeight="1" x14ac:dyDescent="0.25">
      <c r="A107" s="63" t="s">
        <v>208</v>
      </c>
      <c r="B107" s="63" t="s">
        <v>209</v>
      </c>
      <c r="C107" s="36">
        <v>4301020186</v>
      </c>
      <c r="D107" s="623">
        <v>4680115887664</v>
      </c>
      <c r="E107" s="623"/>
      <c r="F107" s="62">
        <v>0.1</v>
      </c>
      <c r="G107" s="37">
        <v>10</v>
      </c>
      <c r="H107" s="62">
        <v>1</v>
      </c>
      <c r="I107" s="62">
        <v>1.21</v>
      </c>
      <c r="J107" s="37">
        <v>392</v>
      </c>
      <c r="K107" s="37" t="s">
        <v>211</v>
      </c>
      <c r="L107" s="37" t="s">
        <v>45</v>
      </c>
      <c r="M107" s="38" t="s">
        <v>80</v>
      </c>
      <c r="N107" s="38"/>
      <c r="O107" s="37">
        <v>30</v>
      </c>
      <c r="P107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IFERROR(IF(Y107=0,"",ROUNDUP(Y107/H107,0)*0.00358),"")</f>
        <v/>
      </c>
      <c r="AA107" s="68" t="s">
        <v>45</v>
      </c>
      <c r="AB107" s="69" t="s">
        <v>45</v>
      </c>
      <c r="AC107" s="168" t="s">
        <v>210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212</v>
      </c>
      <c r="B108" s="63" t="s">
        <v>213</v>
      </c>
      <c r="C108" s="36">
        <v>4301020346</v>
      </c>
      <c r="D108" s="623">
        <v>4680115882775</v>
      </c>
      <c r="E108" s="623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85</v>
      </c>
      <c r="L108" s="37" t="s">
        <v>45</v>
      </c>
      <c r="M108" s="38" t="s">
        <v>112</v>
      </c>
      <c r="N108" s="38"/>
      <c r="O108" s="37">
        <v>55</v>
      </c>
      <c r="P108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207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214</v>
      </c>
      <c r="B109" s="63" t="s">
        <v>215</v>
      </c>
      <c r="C109" s="36">
        <v>4301020344</v>
      </c>
      <c r="D109" s="623">
        <v>4680115880658</v>
      </c>
      <c r="E109" s="623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81</v>
      </c>
      <c r="L109" s="37" t="s">
        <v>45</v>
      </c>
      <c r="M109" s="38" t="s">
        <v>112</v>
      </c>
      <c r="N109" s="38"/>
      <c r="O109" s="37">
        <v>55</v>
      </c>
      <c r="P109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5"/>
      <c r="R109" s="625"/>
      <c r="S109" s="625"/>
      <c r="T109" s="62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207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1"/>
      <c r="B110" s="631"/>
      <c r="C110" s="631"/>
      <c r="D110" s="631"/>
      <c r="E110" s="631"/>
      <c r="F110" s="631"/>
      <c r="G110" s="631"/>
      <c r="H110" s="631"/>
      <c r="I110" s="631"/>
      <c r="J110" s="631"/>
      <c r="K110" s="631"/>
      <c r="L110" s="631"/>
      <c r="M110" s="631"/>
      <c r="N110" s="631"/>
      <c r="O110" s="632"/>
      <c r="P110" s="628" t="s">
        <v>40</v>
      </c>
      <c r="Q110" s="629"/>
      <c r="R110" s="629"/>
      <c r="S110" s="629"/>
      <c r="T110" s="629"/>
      <c r="U110" s="629"/>
      <c r="V110" s="630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1"/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  <c r="N111" s="631"/>
      <c r="O111" s="632"/>
      <c r="P111" s="628" t="s">
        <v>40</v>
      </c>
      <c r="Q111" s="629"/>
      <c r="R111" s="629"/>
      <c r="S111" s="629"/>
      <c r="T111" s="629"/>
      <c r="U111" s="629"/>
      <c r="V111" s="630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customHeight="1" x14ac:dyDescent="0.25">
      <c r="A112" s="622" t="s">
        <v>86</v>
      </c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6"/>
      <c r="AB112" s="66"/>
      <c r="AC112" s="80"/>
    </row>
    <row r="113" spans="1:68" ht="27" customHeight="1" x14ac:dyDescent="0.25">
      <c r="A113" s="63" t="s">
        <v>216</v>
      </c>
      <c r="B113" s="63" t="s">
        <v>217</v>
      </c>
      <c r="C113" s="36">
        <v>4301051724</v>
      </c>
      <c r="D113" s="623">
        <v>4607091385168</v>
      </c>
      <c r="E113" s="623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113</v>
      </c>
      <c r="L113" s="37" t="s">
        <v>45</v>
      </c>
      <c r="M113" s="38" t="s">
        <v>96</v>
      </c>
      <c r="N113" s="38"/>
      <c r="O113" s="37">
        <v>45</v>
      </c>
      <c r="P113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218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219</v>
      </c>
      <c r="B114" s="63" t="s">
        <v>220</v>
      </c>
      <c r="C114" s="36">
        <v>4301051730</v>
      </c>
      <c r="D114" s="623">
        <v>4607091383256</v>
      </c>
      <c r="E114" s="623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81</v>
      </c>
      <c r="L114" s="37" t="s">
        <v>45</v>
      </c>
      <c r="M114" s="38" t="s">
        <v>96</v>
      </c>
      <c r="N114" s="38"/>
      <c r="O114" s="37">
        <v>45</v>
      </c>
      <c r="P114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218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221</v>
      </c>
      <c r="B115" s="63" t="s">
        <v>222</v>
      </c>
      <c r="C115" s="36">
        <v>4301051721</v>
      </c>
      <c r="D115" s="623">
        <v>4607091385748</v>
      </c>
      <c r="E115" s="623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81</v>
      </c>
      <c r="L115" s="37" t="s">
        <v>45</v>
      </c>
      <c r="M115" s="38" t="s">
        <v>96</v>
      </c>
      <c r="N115" s="38"/>
      <c r="O115" s="37">
        <v>45</v>
      </c>
      <c r="P115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218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223</v>
      </c>
      <c r="B116" s="63" t="s">
        <v>224</v>
      </c>
      <c r="C116" s="36">
        <v>4301051740</v>
      </c>
      <c r="D116" s="623">
        <v>4680115884533</v>
      </c>
      <c r="E116" s="623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81</v>
      </c>
      <c r="L116" s="37" t="s">
        <v>45</v>
      </c>
      <c r="M116" s="38" t="s">
        <v>90</v>
      </c>
      <c r="N116" s="38"/>
      <c r="O116" s="37">
        <v>45</v>
      </c>
      <c r="P116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5"/>
      <c r="R116" s="625"/>
      <c r="S116" s="625"/>
      <c r="T116" s="62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225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1"/>
      <c r="B117" s="631"/>
      <c r="C117" s="631"/>
      <c r="D117" s="631"/>
      <c r="E117" s="631"/>
      <c r="F117" s="631"/>
      <c r="G117" s="631"/>
      <c r="H117" s="631"/>
      <c r="I117" s="631"/>
      <c r="J117" s="631"/>
      <c r="K117" s="631"/>
      <c r="L117" s="631"/>
      <c r="M117" s="631"/>
      <c r="N117" s="631"/>
      <c r="O117" s="632"/>
      <c r="P117" s="628" t="s">
        <v>40</v>
      </c>
      <c r="Q117" s="629"/>
      <c r="R117" s="629"/>
      <c r="S117" s="629"/>
      <c r="T117" s="629"/>
      <c r="U117" s="629"/>
      <c r="V117" s="630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1"/>
      <c r="B118" s="631"/>
      <c r="C118" s="631"/>
      <c r="D118" s="631"/>
      <c r="E118" s="631"/>
      <c r="F118" s="631"/>
      <c r="G118" s="631"/>
      <c r="H118" s="631"/>
      <c r="I118" s="631"/>
      <c r="J118" s="631"/>
      <c r="K118" s="631"/>
      <c r="L118" s="631"/>
      <c r="M118" s="631"/>
      <c r="N118" s="631"/>
      <c r="O118" s="632"/>
      <c r="P118" s="628" t="s">
        <v>40</v>
      </c>
      <c r="Q118" s="629"/>
      <c r="R118" s="629"/>
      <c r="S118" s="629"/>
      <c r="T118" s="629"/>
      <c r="U118" s="629"/>
      <c r="V118" s="630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2" t="s">
        <v>163</v>
      </c>
      <c r="B119" s="622"/>
      <c r="C119" s="622"/>
      <c r="D119" s="622"/>
      <c r="E119" s="622"/>
      <c r="F119" s="622"/>
      <c r="G119" s="622"/>
      <c r="H119" s="622"/>
      <c r="I119" s="622"/>
      <c r="J119" s="622"/>
      <c r="K119" s="622"/>
      <c r="L119" s="622"/>
      <c r="M119" s="622"/>
      <c r="N119" s="622"/>
      <c r="O119" s="622"/>
      <c r="P119" s="622"/>
      <c r="Q119" s="622"/>
      <c r="R119" s="622"/>
      <c r="S119" s="622"/>
      <c r="T119" s="622"/>
      <c r="U119" s="622"/>
      <c r="V119" s="622"/>
      <c r="W119" s="622"/>
      <c r="X119" s="622"/>
      <c r="Y119" s="622"/>
      <c r="Z119" s="622"/>
      <c r="AA119" s="66"/>
      <c r="AB119" s="66"/>
      <c r="AC119" s="80"/>
    </row>
    <row r="120" spans="1:68" ht="16.5" customHeight="1" x14ac:dyDescent="0.25">
      <c r="A120" s="63" t="s">
        <v>226</v>
      </c>
      <c r="B120" s="63" t="s">
        <v>227</v>
      </c>
      <c r="C120" s="36">
        <v>4301060317</v>
      </c>
      <c r="D120" s="623">
        <v>4680115880238</v>
      </c>
      <c r="E120" s="623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81</v>
      </c>
      <c r="L120" s="37" t="s">
        <v>45</v>
      </c>
      <c r="M120" s="38" t="s">
        <v>90</v>
      </c>
      <c r="N120" s="38"/>
      <c r="O120" s="37">
        <v>40</v>
      </c>
      <c r="P120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5"/>
      <c r="R120" s="625"/>
      <c r="S120" s="625"/>
      <c r="T120" s="626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228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1"/>
      <c r="B121" s="631"/>
      <c r="C121" s="631"/>
      <c r="D121" s="631"/>
      <c r="E121" s="631"/>
      <c r="F121" s="631"/>
      <c r="G121" s="631"/>
      <c r="H121" s="631"/>
      <c r="I121" s="631"/>
      <c r="J121" s="631"/>
      <c r="K121" s="631"/>
      <c r="L121" s="631"/>
      <c r="M121" s="631"/>
      <c r="N121" s="631"/>
      <c r="O121" s="632"/>
      <c r="P121" s="628" t="s">
        <v>40</v>
      </c>
      <c r="Q121" s="629"/>
      <c r="R121" s="629"/>
      <c r="S121" s="629"/>
      <c r="T121" s="629"/>
      <c r="U121" s="629"/>
      <c r="V121" s="630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1"/>
      <c r="B122" s="631"/>
      <c r="C122" s="631"/>
      <c r="D122" s="631"/>
      <c r="E122" s="631"/>
      <c r="F122" s="631"/>
      <c r="G122" s="631"/>
      <c r="H122" s="631"/>
      <c r="I122" s="631"/>
      <c r="J122" s="631"/>
      <c r="K122" s="631"/>
      <c r="L122" s="631"/>
      <c r="M122" s="631"/>
      <c r="N122" s="631"/>
      <c r="O122" s="632"/>
      <c r="P122" s="628" t="s">
        <v>40</v>
      </c>
      <c r="Q122" s="629"/>
      <c r="R122" s="629"/>
      <c r="S122" s="629"/>
      <c r="T122" s="629"/>
      <c r="U122" s="629"/>
      <c r="V122" s="630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1" t="s">
        <v>229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5"/>
      <c r="AB123" s="65"/>
      <c r="AC123" s="79"/>
    </row>
    <row r="124" spans="1:68" ht="14.25" customHeight="1" x14ac:dyDescent="0.25">
      <c r="A124" s="622" t="s">
        <v>108</v>
      </c>
      <c r="B124" s="622"/>
      <c r="C124" s="622"/>
      <c r="D124" s="622"/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O124" s="622"/>
      <c r="P124" s="622"/>
      <c r="Q124" s="622"/>
      <c r="R124" s="622"/>
      <c r="S124" s="622"/>
      <c r="T124" s="622"/>
      <c r="U124" s="622"/>
      <c r="V124" s="622"/>
      <c r="W124" s="622"/>
      <c r="X124" s="622"/>
      <c r="Y124" s="622"/>
      <c r="Z124" s="622"/>
      <c r="AA124" s="66"/>
      <c r="AB124" s="66"/>
      <c r="AC124" s="80"/>
    </row>
    <row r="125" spans="1:68" ht="27" customHeight="1" x14ac:dyDescent="0.25">
      <c r="A125" s="63" t="s">
        <v>230</v>
      </c>
      <c r="B125" s="63" t="s">
        <v>231</v>
      </c>
      <c r="C125" s="36">
        <v>4301011564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81</v>
      </c>
      <c r="L125" s="37" t="s">
        <v>45</v>
      </c>
      <c r="M125" s="38" t="s">
        <v>105</v>
      </c>
      <c r="N125" s="38"/>
      <c r="O125" s="37">
        <v>90</v>
      </c>
      <c r="P125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232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230</v>
      </c>
      <c r="B126" s="63" t="s">
        <v>233</v>
      </c>
      <c r="C126" s="36">
        <v>4301011562</v>
      </c>
      <c r="D126" s="623">
        <v>4680115882577</v>
      </c>
      <c r="E126" s="62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81</v>
      </c>
      <c r="L126" s="37" t="s">
        <v>45</v>
      </c>
      <c r="M126" s="38" t="s">
        <v>105</v>
      </c>
      <c r="N126" s="38"/>
      <c r="O126" s="37">
        <v>90</v>
      </c>
      <c r="P126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25"/>
      <c r="R126" s="625"/>
      <c r="S126" s="625"/>
      <c r="T126" s="62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232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1"/>
      <c r="B127" s="631"/>
      <c r="C127" s="631"/>
      <c r="D127" s="631"/>
      <c r="E127" s="631"/>
      <c r="F127" s="631"/>
      <c r="G127" s="631"/>
      <c r="H127" s="631"/>
      <c r="I127" s="631"/>
      <c r="J127" s="631"/>
      <c r="K127" s="631"/>
      <c r="L127" s="631"/>
      <c r="M127" s="631"/>
      <c r="N127" s="631"/>
      <c r="O127" s="632"/>
      <c r="P127" s="628" t="s">
        <v>40</v>
      </c>
      <c r="Q127" s="629"/>
      <c r="R127" s="629"/>
      <c r="S127" s="629"/>
      <c r="T127" s="629"/>
      <c r="U127" s="629"/>
      <c r="V127" s="630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1"/>
      <c r="B128" s="631"/>
      <c r="C128" s="631"/>
      <c r="D128" s="631"/>
      <c r="E128" s="631"/>
      <c r="F128" s="631"/>
      <c r="G128" s="631"/>
      <c r="H128" s="631"/>
      <c r="I128" s="631"/>
      <c r="J128" s="631"/>
      <c r="K128" s="631"/>
      <c r="L128" s="631"/>
      <c r="M128" s="631"/>
      <c r="N128" s="631"/>
      <c r="O128" s="632"/>
      <c r="P128" s="628" t="s">
        <v>40</v>
      </c>
      <c r="Q128" s="629"/>
      <c r="R128" s="629"/>
      <c r="S128" s="629"/>
      <c r="T128" s="629"/>
      <c r="U128" s="629"/>
      <c r="V128" s="630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2" t="s">
        <v>76</v>
      </c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2"/>
      <c r="P129" s="622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6"/>
      <c r="AB129" s="66"/>
      <c r="AC129" s="80"/>
    </row>
    <row r="130" spans="1:68" ht="27" customHeight="1" x14ac:dyDescent="0.25">
      <c r="A130" s="63" t="s">
        <v>234</v>
      </c>
      <c r="B130" s="63" t="s">
        <v>235</v>
      </c>
      <c r="C130" s="36">
        <v>4301031234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81</v>
      </c>
      <c r="L130" s="37" t="s">
        <v>45</v>
      </c>
      <c r="M130" s="38" t="s">
        <v>105</v>
      </c>
      <c r="N130" s="38"/>
      <c r="O130" s="37">
        <v>90</v>
      </c>
      <c r="P130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236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234</v>
      </c>
      <c r="B131" s="63" t="s">
        <v>237</v>
      </c>
      <c r="C131" s="36">
        <v>4301031235</v>
      </c>
      <c r="D131" s="623">
        <v>4680115883444</v>
      </c>
      <c r="E131" s="62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81</v>
      </c>
      <c r="L131" s="37" t="s">
        <v>45</v>
      </c>
      <c r="M131" s="38" t="s">
        <v>105</v>
      </c>
      <c r="N131" s="38"/>
      <c r="O131" s="37">
        <v>90</v>
      </c>
      <c r="P131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25"/>
      <c r="R131" s="625"/>
      <c r="S131" s="625"/>
      <c r="T131" s="62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236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1"/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2"/>
      <c r="P132" s="628" t="s">
        <v>40</v>
      </c>
      <c r="Q132" s="629"/>
      <c r="R132" s="629"/>
      <c r="S132" s="629"/>
      <c r="T132" s="629"/>
      <c r="U132" s="629"/>
      <c r="V132" s="63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1"/>
      <c r="B133" s="631"/>
      <c r="C133" s="631"/>
      <c r="D133" s="631"/>
      <c r="E133" s="631"/>
      <c r="F133" s="631"/>
      <c r="G133" s="631"/>
      <c r="H133" s="631"/>
      <c r="I133" s="631"/>
      <c r="J133" s="631"/>
      <c r="K133" s="631"/>
      <c r="L133" s="631"/>
      <c r="M133" s="631"/>
      <c r="N133" s="631"/>
      <c r="O133" s="632"/>
      <c r="P133" s="628" t="s">
        <v>40</v>
      </c>
      <c r="Q133" s="629"/>
      <c r="R133" s="629"/>
      <c r="S133" s="629"/>
      <c r="T133" s="629"/>
      <c r="U133" s="629"/>
      <c r="V133" s="63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2" t="s">
        <v>86</v>
      </c>
      <c r="B134" s="622"/>
      <c r="C134" s="622"/>
      <c r="D134" s="622"/>
      <c r="E134" s="622"/>
      <c r="F134" s="622"/>
      <c r="G134" s="622"/>
      <c r="H134" s="622"/>
      <c r="I134" s="622"/>
      <c r="J134" s="622"/>
      <c r="K134" s="622"/>
      <c r="L134" s="622"/>
      <c r="M134" s="622"/>
      <c r="N134" s="622"/>
      <c r="O134" s="622"/>
      <c r="P134" s="622"/>
      <c r="Q134" s="622"/>
      <c r="R134" s="622"/>
      <c r="S134" s="622"/>
      <c r="T134" s="622"/>
      <c r="U134" s="622"/>
      <c r="V134" s="622"/>
      <c r="W134" s="622"/>
      <c r="X134" s="622"/>
      <c r="Y134" s="622"/>
      <c r="Z134" s="622"/>
      <c r="AA134" s="66"/>
      <c r="AB134" s="66"/>
      <c r="AC134" s="80"/>
    </row>
    <row r="135" spans="1:68" ht="16.5" customHeight="1" x14ac:dyDescent="0.25">
      <c r="A135" s="63" t="s">
        <v>238</v>
      </c>
      <c r="B135" s="63" t="s">
        <v>239</v>
      </c>
      <c r="C135" s="36">
        <v>4301051477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81</v>
      </c>
      <c r="L135" s="37" t="s">
        <v>45</v>
      </c>
      <c r="M135" s="38" t="s">
        <v>105</v>
      </c>
      <c r="N135" s="38"/>
      <c r="O135" s="37">
        <v>60</v>
      </c>
      <c r="P135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232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238</v>
      </c>
      <c r="B136" s="63" t="s">
        <v>240</v>
      </c>
      <c r="C136" s="36">
        <v>4301051476</v>
      </c>
      <c r="D136" s="623">
        <v>4680115882584</v>
      </c>
      <c r="E136" s="62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81</v>
      </c>
      <c r="L136" s="37" t="s">
        <v>45</v>
      </c>
      <c r="M136" s="38" t="s">
        <v>105</v>
      </c>
      <c r="N136" s="38"/>
      <c r="O136" s="37">
        <v>60</v>
      </c>
      <c r="P136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5"/>
      <c r="R136" s="625"/>
      <c r="S136" s="625"/>
      <c r="T136" s="62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232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1"/>
      <c r="B137" s="631"/>
      <c r="C137" s="631"/>
      <c r="D137" s="631"/>
      <c r="E137" s="631"/>
      <c r="F137" s="631"/>
      <c r="G137" s="631"/>
      <c r="H137" s="631"/>
      <c r="I137" s="631"/>
      <c r="J137" s="631"/>
      <c r="K137" s="631"/>
      <c r="L137" s="631"/>
      <c r="M137" s="631"/>
      <c r="N137" s="631"/>
      <c r="O137" s="632"/>
      <c r="P137" s="628" t="s">
        <v>40</v>
      </c>
      <c r="Q137" s="629"/>
      <c r="R137" s="629"/>
      <c r="S137" s="629"/>
      <c r="T137" s="629"/>
      <c r="U137" s="629"/>
      <c r="V137" s="63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1"/>
      <c r="B138" s="631"/>
      <c r="C138" s="631"/>
      <c r="D138" s="631"/>
      <c r="E138" s="631"/>
      <c r="F138" s="631"/>
      <c r="G138" s="631"/>
      <c r="H138" s="631"/>
      <c r="I138" s="631"/>
      <c r="J138" s="631"/>
      <c r="K138" s="631"/>
      <c r="L138" s="631"/>
      <c r="M138" s="631"/>
      <c r="N138" s="631"/>
      <c r="O138" s="632"/>
      <c r="P138" s="628" t="s">
        <v>40</v>
      </c>
      <c r="Q138" s="629"/>
      <c r="R138" s="629"/>
      <c r="S138" s="629"/>
      <c r="T138" s="629"/>
      <c r="U138" s="629"/>
      <c r="V138" s="63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1" t="s">
        <v>106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5"/>
      <c r="AB139" s="65"/>
      <c r="AC139" s="79"/>
    </row>
    <row r="140" spans="1:68" ht="14.25" customHeight="1" x14ac:dyDescent="0.25">
      <c r="A140" s="622" t="s">
        <v>108</v>
      </c>
      <c r="B140" s="622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O140" s="622"/>
      <c r="P140" s="622"/>
      <c r="Q140" s="622"/>
      <c r="R140" s="622"/>
      <c r="S140" s="622"/>
      <c r="T140" s="622"/>
      <c r="U140" s="622"/>
      <c r="V140" s="622"/>
      <c r="W140" s="622"/>
      <c r="X140" s="622"/>
      <c r="Y140" s="622"/>
      <c r="Z140" s="622"/>
      <c r="AA140" s="66"/>
      <c r="AB140" s="66"/>
      <c r="AC140" s="80"/>
    </row>
    <row r="141" spans="1:68" ht="27" customHeight="1" x14ac:dyDescent="0.25">
      <c r="A141" s="63" t="s">
        <v>241</v>
      </c>
      <c r="B141" s="63" t="s">
        <v>242</v>
      </c>
      <c r="C141" s="36">
        <v>4301012244</v>
      </c>
      <c r="D141" s="623">
        <v>4680115887374</v>
      </c>
      <c r="E141" s="623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113</v>
      </c>
      <c r="L141" s="37" t="s">
        <v>45</v>
      </c>
      <c r="M141" s="38" t="s">
        <v>112</v>
      </c>
      <c r="N141" s="38"/>
      <c r="O141" s="37">
        <v>55</v>
      </c>
      <c r="P141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243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244</v>
      </c>
      <c r="B142" s="63" t="s">
        <v>245</v>
      </c>
      <c r="C142" s="36">
        <v>4301011705</v>
      </c>
      <c r="D142" s="623">
        <v>4607091384604</v>
      </c>
      <c r="E142" s="623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116</v>
      </c>
      <c r="L142" s="37" t="s">
        <v>45</v>
      </c>
      <c r="M142" s="38" t="s">
        <v>112</v>
      </c>
      <c r="N142" s="38"/>
      <c r="O142" s="37">
        <v>50</v>
      </c>
      <c r="P142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246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1"/>
      <c r="B143" s="631"/>
      <c r="C143" s="631"/>
      <c r="D143" s="631"/>
      <c r="E143" s="631"/>
      <c r="F143" s="631"/>
      <c r="G143" s="631"/>
      <c r="H143" s="631"/>
      <c r="I143" s="631"/>
      <c r="J143" s="631"/>
      <c r="K143" s="631"/>
      <c r="L143" s="631"/>
      <c r="M143" s="631"/>
      <c r="N143" s="631"/>
      <c r="O143" s="632"/>
      <c r="P143" s="628" t="s">
        <v>40</v>
      </c>
      <c r="Q143" s="629"/>
      <c r="R143" s="629"/>
      <c r="S143" s="629"/>
      <c r="T143" s="629"/>
      <c r="U143" s="629"/>
      <c r="V143" s="630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1"/>
      <c r="B144" s="631"/>
      <c r="C144" s="631"/>
      <c r="D144" s="631"/>
      <c r="E144" s="631"/>
      <c r="F144" s="631"/>
      <c r="G144" s="631"/>
      <c r="H144" s="631"/>
      <c r="I144" s="631"/>
      <c r="J144" s="631"/>
      <c r="K144" s="631"/>
      <c r="L144" s="631"/>
      <c r="M144" s="631"/>
      <c r="N144" s="631"/>
      <c r="O144" s="632"/>
      <c r="P144" s="628" t="s">
        <v>40</v>
      </c>
      <c r="Q144" s="629"/>
      <c r="R144" s="629"/>
      <c r="S144" s="629"/>
      <c r="T144" s="629"/>
      <c r="U144" s="629"/>
      <c r="V144" s="630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76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247</v>
      </c>
      <c r="B146" s="63" t="s">
        <v>248</v>
      </c>
      <c r="C146" s="36">
        <v>4301031450</v>
      </c>
      <c r="D146" s="623">
        <v>4680115887428</v>
      </c>
      <c r="E146" s="623"/>
      <c r="F146" s="62">
        <v>0.7</v>
      </c>
      <c r="G146" s="37">
        <v>6</v>
      </c>
      <c r="H146" s="62">
        <v>4.2</v>
      </c>
      <c r="I146" s="62">
        <v>4.3899999999999997</v>
      </c>
      <c r="J146" s="37">
        <v>132</v>
      </c>
      <c r="K146" s="37" t="s">
        <v>116</v>
      </c>
      <c r="L146" s="37" t="s">
        <v>45</v>
      </c>
      <c r="M146" s="38" t="s">
        <v>80</v>
      </c>
      <c r="N146" s="38"/>
      <c r="O146" s="37">
        <v>40</v>
      </c>
      <c r="P146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200" t="s">
        <v>249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250</v>
      </c>
      <c r="B147" s="63" t="s">
        <v>251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81</v>
      </c>
      <c r="L147" s="37" t="s">
        <v>45</v>
      </c>
      <c r="M147" s="38" t="s">
        <v>80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252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253</v>
      </c>
      <c r="B148" s="63" t="s">
        <v>254</v>
      </c>
      <c r="C148" s="36">
        <v>4301031453</v>
      </c>
      <c r="D148" s="623">
        <v>4680115887336</v>
      </c>
      <c r="E148" s="62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116</v>
      </c>
      <c r="L148" s="37" t="s">
        <v>45</v>
      </c>
      <c r="M148" s="38" t="s">
        <v>80</v>
      </c>
      <c r="N148" s="38"/>
      <c r="O148" s="37">
        <v>40</v>
      </c>
      <c r="P148" s="69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255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256</v>
      </c>
      <c r="B149" s="63" t="s">
        <v>257</v>
      </c>
      <c r="C149" s="36">
        <v>4301030963</v>
      </c>
      <c r="D149" s="623">
        <v>4607091382426</v>
      </c>
      <c r="E149" s="623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113</v>
      </c>
      <c r="L149" s="37" t="s">
        <v>45</v>
      </c>
      <c r="M149" s="38" t="s">
        <v>80</v>
      </c>
      <c r="N149" s="38"/>
      <c r="O149" s="37">
        <v>40</v>
      </c>
      <c r="P149" s="6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25"/>
      <c r="R149" s="625"/>
      <c r="S149" s="625"/>
      <c r="T149" s="626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4301031456</v>
      </c>
      <c r="D150" s="623">
        <v>4680115887398</v>
      </c>
      <c r="E150" s="62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116</v>
      </c>
      <c r="L150" s="37" t="s">
        <v>45</v>
      </c>
      <c r="M150" s="38" t="s">
        <v>80</v>
      </c>
      <c r="N150" s="38"/>
      <c r="O150" s="37">
        <v>40</v>
      </c>
      <c r="P150" s="69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25"/>
      <c r="R150" s="625"/>
      <c r="S150" s="625"/>
      <c r="T150" s="626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31"/>
      <c r="B151" s="631"/>
      <c r="C151" s="631"/>
      <c r="D151" s="631"/>
      <c r="E151" s="631"/>
      <c r="F151" s="631"/>
      <c r="G151" s="631"/>
      <c r="H151" s="631"/>
      <c r="I151" s="631"/>
      <c r="J151" s="631"/>
      <c r="K151" s="631"/>
      <c r="L151" s="631"/>
      <c r="M151" s="631"/>
      <c r="N151" s="631"/>
      <c r="O151" s="632"/>
      <c r="P151" s="628" t="s">
        <v>40</v>
      </c>
      <c r="Q151" s="629"/>
      <c r="R151" s="629"/>
      <c r="S151" s="629"/>
      <c r="T151" s="629"/>
      <c r="U151" s="629"/>
      <c r="V151" s="630"/>
      <c r="W151" s="42" t="s">
        <v>39</v>
      </c>
      <c r="X151" s="43">
        <f>IFERROR(X146/H146,"0")+IFERROR(X147/H147,"0")+IFERROR(X148/H148,"0")+IFERROR(X149/H149,"0")+IFERROR(X150/H150,"0")</f>
        <v>0</v>
      </c>
      <c r="Y151" s="43">
        <f>IFERROR(Y146/H146,"0")+IFERROR(Y147/H147,"0")+IFERROR(Y148/H148,"0")+IFERROR(Y149/H149,"0")+IFERROR(Y150/H150,"0")</f>
        <v>0</v>
      </c>
      <c r="Z151" s="43">
        <f>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31"/>
      <c r="B152" s="631"/>
      <c r="C152" s="631"/>
      <c r="D152" s="631"/>
      <c r="E152" s="631"/>
      <c r="F152" s="631"/>
      <c r="G152" s="631"/>
      <c r="H152" s="631"/>
      <c r="I152" s="631"/>
      <c r="J152" s="631"/>
      <c r="K152" s="631"/>
      <c r="L152" s="631"/>
      <c r="M152" s="631"/>
      <c r="N152" s="631"/>
      <c r="O152" s="632"/>
      <c r="P152" s="628" t="s">
        <v>40</v>
      </c>
      <c r="Q152" s="629"/>
      <c r="R152" s="629"/>
      <c r="S152" s="629"/>
      <c r="T152" s="629"/>
      <c r="U152" s="629"/>
      <c r="V152" s="630"/>
      <c r="W152" s="42" t="s">
        <v>0</v>
      </c>
      <c r="X152" s="43">
        <f>IFERROR(SUM(X146:X150),"0")</f>
        <v>0</v>
      </c>
      <c r="Y152" s="43">
        <f>IFERROR(SUM(Y146:Y150),"0")</f>
        <v>0</v>
      </c>
      <c r="Z152" s="42"/>
      <c r="AA152" s="67"/>
      <c r="AB152" s="67"/>
      <c r="AC152" s="67"/>
    </row>
    <row r="153" spans="1:68" ht="14.25" customHeight="1" x14ac:dyDescent="0.25">
      <c r="A153" s="622" t="s">
        <v>86</v>
      </c>
      <c r="B153" s="622"/>
      <c r="C153" s="622"/>
      <c r="D153" s="622"/>
      <c r="E153" s="622"/>
      <c r="F153" s="622"/>
      <c r="G153" s="622"/>
      <c r="H153" s="622"/>
      <c r="I153" s="622"/>
      <c r="J153" s="622"/>
      <c r="K153" s="622"/>
      <c r="L153" s="622"/>
      <c r="M153" s="622"/>
      <c r="N153" s="622"/>
      <c r="O153" s="622"/>
      <c r="P153" s="622"/>
      <c r="Q153" s="622"/>
      <c r="R153" s="622"/>
      <c r="S153" s="622"/>
      <c r="T153" s="622"/>
      <c r="U153" s="622"/>
      <c r="V153" s="622"/>
      <c r="W153" s="622"/>
      <c r="X153" s="622"/>
      <c r="Y153" s="622"/>
      <c r="Z153" s="622"/>
      <c r="AA153" s="66"/>
      <c r="AB153" s="66"/>
      <c r="AC153" s="80"/>
    </row>
    <row r="154" spans="1:68" ht="27" customHeight="1" x14ac:dyDescent="0.25">
      <c r="A154" s="63" t="s">
        <v>262</v>
      </c>
      <c r="B154" s="63" t="s">
        <v>263</v>
      </c>
      <c r="C154" s="36">
        <v>4301052064</v>
      </c>
      <c r="D154" s="623">
        <v>4680115887459</v>
      </c>
      <c r="E154" s="623"/>
      <c r="F154" s="62">
        <v>0.3</v>
      </c>
      <c r="G154" s="37">
        <v>6</v>
      </c>
      <c r="H154" s="62">
        <v>1.8</v>
      </c>
      <c r="I154" s="62">
        <v>2.0579999999999998</v>
      </c>
      <c r="J154" s="37">
        <v>182</v>
      </c>
      <c r="K154" s="37" t="s">
        <v>81</v>
      </c>
      <c r="L154" s="37" t="s">
        <v>45</v>
      </c>
      <c r="M154" s="38" t="s">
        <v>90</v>
      </c>
      <c r="N154" s="38"/>
      <c r="O154" s="37">
        <v>45</v>
      </c>
      <c r="P154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625"/>
      <c r="R154" s="625"/>
      <c r="S154" s="625"/>
      <c r="T154" s="626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0" t="s">
        <v>264</v>
      </c>
      <c r="AG154" s="78"/>
      <c r="AJ154" s="84" t="s">
        <v>45</v>
      </c>
      <c r="AK154" s="84">
        <v>0</v>
      </c>
      <c r="BB154" s="211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31"/>
      <c r="B155" s="631"/>
      <c r="C155" s="631"/>
      <c r="D155" s="631"/>
      <c r="E155" s="631"/>
      <c r="F155" s="631"/>
      <c r="G155" s="631"/>
      <c r="H155" s="631"/>
      <c r="I155" s="631"/>
      <c r="J155" s="631"/>
      <c r="K155" s="631"/>
      <c r="L155" s="631"/>
      <c r="M155" s="631"/>
      <c r="N155" s="631"/>
      <c r="O155" s="632"/>
      <c r="P155" s="628" t="s">
        <v>40</v>
      </c>
      <c r="Q155" s="629"/>
      <c r="R155" s="629"/>
      <c r="S155" s="629"/>
      <c r="T155" s="629"/>
      <c r="U155" s="629"/>
      <c r="V155" s="630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31"/>
      <c r="B156" s="631"/>
      <c r="C156" s="631"/>
      <c r="D156" s="631"/>
      <c r="E156" s="631"/>
      <c r="F156" s="631"/>
      <c r="G156" s="631"/>
      <c r="H156" s="631"/>
      <c r="I156" s="631"/>
      <c r="J156" s="631"/>
      <c r="K156" s="631"/>
      <c r="L156" s="631"/>
      <c r="M156" s="631"/>
      <c r="N156" s="631"/>
      <c r="O156" s="632"/>
      <c r="P156" s="628" t="s">
        <v>40</v>
      </c>
      <c r="Q156" s="629"/>
      <c r="R156" s="629"/>
      <c r="S156" s="629"/>
      <c r="T156" s="629"/>
      <c r="U156" s="629"/>
      <c r="V156" s="630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27.75" customHeight="1" x14ac:dyDescent="0.2">
      <c r="A157" s="620" t="s">
        <v>265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54"/>
      <c r="AB157" s="54"/>
      <c r="AC157" s="54"/>
    </row>
    <row r="158" spans="1:68" ht="16.5" customHeight="1" x14ac:dyDescent="0.25">
      <c r="A158" s="621" t="s">
        <v>266</v>
      </c>
      <c r="B158" s="621"/>
      <c r="C158" s="621"/>
      <c r="D158" s="621"/>
      <c r="E158" s="621"/>
      <c r="F158" s="621"/>
      <c r="G158" s="621"/>
      <c r="H158" s="621"/>
      <c r="I158" s="621"/>
      <c r="J158" s="621"/>
      <c r="K158" s="621"/>
      <c r="L158" s="621"/>
      <c r="M158" s="621"/>
      <c r="N158" s="621"/>
      <c r="O158" s="621"/>
      <c r="P158" s="621"/>
      <c r="Q158" s="621"/>
      <c r="R158" s="621"/>
      <c r="S158" s="621"/>
      <c r="T158" s="621"/>
      <c r="U158" s="621"/>
      <c r="V158" s="621"/>
      <c r="W158" s="621"/>
      <c r="X158" s="621"/>
      <c r="Y158" s="621"/>
      <c r="Z158" s="621"/>
      <c r="AA158" s="65"/>
      <c r="AB158" s="65"/>
      <c r="AC158" s="79"/>
    </row>
    <row r="159" spans="1:68" ht="14.25" customHeight="1" x14ac:dyDescent="0.25">
      <c r="A159" s="622" t="s">
        <v>141</v>
      </c>
      <c r="B159" s="622"/>
      <c r="C159" s="622"/>
      <c r="D159" s="622"/>
      <c r="E159" s="622"/>
      <c r="F159" s="622"/>
      <c r="G159" s="622"/>
      <c r="H159" s="622"/>
      <c r="I159" s="622"/>
      <c r="J159" s="622"/>
      <c r="K159" s="622"/>
      <c r="L159" s="622"/>
      <c r="M159" s="622"/>
      <c r="N159" s="622"/>
      <c r="O159" s="622"/>
      <c r="P159" s="622"/>
      <c r="Q159" s="622"/>
      <c r="R159" s="622"/>
      <c r="S159" s="622"/>
      <c r="T159" s="622"/>
      <c r="U159" s="622"/>
      <c r="V159" s="622"/>
      <c r="W159" s="622"/>
      <c r="X159" s="622"/>
      <c r="Y159" s="622"/>
      <c r="Z159" s="622"/>
      <c r="AA159" s="66"/>
      <c r="AB159" s="66"/>
      <c r="AC159" s="80"/>
    </row>
    <row r="160" spans="1:68" ht="27" customHeight="1" x14ac:dyDescent="0.25">
      <c r="A160" s="63" t="s">
        <v>267</v>
      </c>
      <c r="B160" s="63" t="s">
        <v>268</v>
      </c>
      <c r="C160" s="36">
        <v>4301020323</v>
      </c>
      <c r="D160" s="623">
        <v>4680115886223</v>
      </c>
      <c r="E160" s="623"/>
      <c r="F160" s="62">
        <v>0.33</v>
      </c>
      <c r="G160" s="37">
        <v>6</v>
      </c>
      <c r="H160" s="62">
        <v>1.98</v>
      </c>
      <c r="I160" s="62">
        <v>2.08</v>
      </c>
      <c r="J160" s="37">
        <v>234</v>
      </c>
      <c r="K160" s="37" t="s">
        <v>85</v>
      </c>
      <c r="L160" s="37" t="s">
        <v>45</v>
      </c>
      <c r="M160" s="38" t="s">
        <v>80</v>
      </c>
      <c r="N160" s="38"/>
      <c r="O160" s="37">
        <v>40</v>
      </c>
      <c r="P160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625"/>
      <c r="R160" s="625"/>
      <c r="S160" s="625"/>
      <c r="T160" s="626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12" t="s">
        <v>269</v>
      </c>
      <c r="AG160" s="78"/>
      <c r="AJ160" s="84" t="s">
        <v>45</v>
      </c>
      <c r="AK160" s="84">
        <v>0</v>
      </c>
      <c r="BB160" s="213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31"/>
      <c r="B161" s="631"/>
      <c r="C161" s="631"/>
      <c r="D161" s="631"/>
      <c r="E161" s="631"/>
      <c r="F161" s="631"/>
      <c r="G161" s="631"/>
      <c r="H161" s="631"/>
      <c r="I161" s="631"/>
      <c r="J161" s="631"/>
      <c r="K161" s="631"/>
      <c r="L161" s="631"/>
      <c r="M161" s="631"/>
      <c r="N161" s="631"/>
      <c r="O161" s="632"/>
      <c r="P161" s="628" t="s">
        <v>40</v>
      </c>
      <c r="Q161" s="629"/>
      <c r="R161" s="629"/>
      <c r="S161" s="629"/>
      <c r="T161" s="629"/>
      <c r="U161" s="629"/>
      <c r="V161" s="630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631"/>
      <c r="B162" s="631"/>
      <c r="C162" s="631"/>
      <c r="D162" s="631"/>
      <c r="E162" s="631"/>
      <c r="F162" s="631"/>
      <c r="G162" s="631"/>
      <c r="H162" s="631"/>
      <c r="I162" s="631"/>
      <c r="J162" s="631"/>
      <c r="K162" s="631"/>
      <c r="L162" s="631"/>
      <c r="M162" s="631"/>
      <c r="N162" s="631"/>
      <c r="O162" s="632"/>
      <c r="P162" s="628" t="s">
        <v>40</v>
      </c>
      <c r="Q162" s="629"/>
      <c r="R162" s="629"/>
      <c r="S162" s="629"/>
      <c r="T162" s="629"/>
      <c r="U162" s="629"/>
      <c r="V162" s="630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4.25" customHeight="1" x14ac:dyDescent="0.25">
      <c r="A163" s="622" t="s">
        <v>76</v>
      </c>
      <c r="B163" s="622"/>
      <c r="C163" s="622"/>
      <c r="D163" s="622"/>
      <c r="E163" s="622"/>
      <c r="F163" s="622"/>
      <c r="G163" s="622"/>
      <c r="H163" s="622"/>
      <c r="I163" s="622"/>
      <c r="J163" s="622"/>
      <c r="K163" s="622"/>
      <c r="L163" s="622"/>
      <c r="M163" s="622"/>
      <c r="N163" s="622"/>
      <c r="O163" s="622"/>
      <c r="P163" s="622"/>
      <c r="Q163" s="622"/>
      <c r="R163" s="622"/>
      <c r="S163" s="622"/>
      <c r="T163" s="622"/>
      <c r="U163" s="622"/>
      <c r="V163" s="622"/>
      <c r="W163" s="622"/>
      <c r="X163" s="622"/>
      <c r="Y163" s="622"/>
      <c r="Z163" s="622"/>
      <c r="AA163" s="66"/>
      <c r="AB163" s="66"/>
      <c r="AC163" s="80"/>
    </row>
    <row r="164" spans="1:68" ht="27" customHeight="1" x14ac:dyDescent="0.25">
      <c r="A164" s="63" t="s">
        <v>270</v>
      </c>
      <c r="B164" s="63" t="s">
        <v>271</v>
      </c>
      <c r="C164" s="36">
        <v>4301031191</v>
      </c>
      <c r="D164" s="623">
        <v>4680115880993</v>
      </c>
      <c r="E164" s="623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116</v>
      </c>
      <c r="L164" s="37" t="s">
        <v>45</v>
      </c>
      <c r="M164" s="38" t="s">
        <v>80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ref="Y164:Y177" si="5">IFERROR(IF(X164="",0,CEILING((X164/$H164),1)*$H164),"")</f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272</v>
      </c>
      <c r="AG164" s="78"/>
      <c r="AJ164" s="84" t="s">
        <v>45</v>
      </c>
      <c r="AK164" s="84">
        <v>0</v>
      </c>
      <c r="BB164" s="215" t="s">
        <v>66</v>
      </c>
      <c r="BM164" s="78">
        <f t="shared" ref="BM164:BM177" si="6">IFERROR(X164*I164/H164,"0")</f>
        <v>0</v>
      </c>
      <c r="BN164" s="78">
        <f t="shared" ref="BN164:BN177" si="7">IFERROR(Y164*I164/H164,"0")</f>
        <v>0</v>
      </c>
      <c r="BO164" s="78">
        <f t="shared" ref="BO164:BO177" si="8">IFERROR(1/J164*(X164/H164),"0")</f>
        <v>0</v>
      </c>
      <c r="BP164" s="78">
        <f t="shared" ref="BP164:BP177" si="9">IFERROR(1/J164*(Y164/H164),"0")</f>
        <v>0</v>
      </c>
    </row>
    <row r="165" spans="1:68" ht="27" customHeight="1" x14ac:dyDescent="0.25">
      <c r="A165" s="63" t="s">
        <v>273</v>
      </c>
      <c r="B165" s="63" t="s">
        <v>274</v>
      </c>
      <c r="C165" s="36">
        <v>4301031204</v>
      </c>
      <c r="D165" s="623">
        <v>4680115881761</v>
      </c>
      <c r="E165" s="623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116</v>
      </c>
      <c r="L165" s="37" t="s">
        <v>45</v>
      </c>
      <c r="M165" s="38" t="s">
        <v>80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275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276</v>
      </c>
      <c r="B166" s="63" t="s">
        <v>277</v>
      </c>
      <c r="C166" s="36">
        <v>4301031201</v>
      </c>
      <c r="D166" s="623">
        <v>4680115881563</v>
      </c>
      <c r="E166" s="623"/>
      <c r="F166" s="62">
        <v>0.7</v>
      </c>
      <c r="G166" s="37">
        <v>6</v>
      </c>
      <c r="H166" s="62">
        <v>4.2</v>
      </c>
      <c r="I166" s="62">
        <v>4.3899999999999997</v>
      </c>
      <c r="J166" s="37">
        <v>132</v>
      </c>
      <c r="K166" s="37" t="s">
        <v>116</v>
      </c>
      <c r="L166" s="37" t="s">
        <v>45</v>
      </c>
      <c r="M166" s="38" t="s">
        <v>80</v>
      </c>
      <c r="N166" s="38"/>
      <c r="O166" s="37">
        <v>40</v>
      </c>
      <c r="P166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278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37.5" customHeight="1" x14ac:dyDescent="0.25">
      <c r="A167" s="63" t="s">
        <v>279</v>
      </c>
      <c r="B167" s="63" t="s">
        <v>280</v>
      </c>
      <c r="C167" s="36">
        <v>4301031447</v>
      </c>
      <c r="D167" s="623">
        <v>4680115887565</v>
      </c>
      <c r="E167" s="623"/>
      <c r="F167" s="62">
        <v>0.08</v>
      </c>
      <c r="G167" s="37">
        <v>10</v>
      </c>
      <c r="H167" s="62">
        <v>0.8</v>
      </c>
      <c r="I167" s="62">
        <v>0.93</v>
      </c>
      <c r="J167" s="37">
        <v>216</v>
      </c>
      <c r="K167" s="37" t="s">
        <v>85</v>
      </c>
      <c r="L167" s="37" t="s">
        <v>45</v>
      </c>
      <c r="M167" s="38" t="s">
        <v>80</v>
      </c>
      <c r="N167" s="38"/>
      <c r="O167" s="37">
        <v>45</v>
      </c>
      <c r="P167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IFERROR(IF(Y167=0,"",ROUNDUP(Y167/H167,0)*0.00556),"")</f>
        <v/>
      </c>
      <c r="AA167" s="68" t="s">
        <v>45</v>
      </c>
      <c r="AB167" s="69" t="s">
        <v>45</v>
      </c>
      <c r="AC167" s="220" t="s">
        <v>281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282</v>
      </c>
      <c r="B168" s="63" t="s">
        <v>283</v>
      </c>
      <c r="C168" s="36">
        <v>4301031199</v>
      </c>
      <c r="D168" s="623">
        <v>4680115880986</v>
      </c>
      <c r="E168" s="623"/>
      <c r="F168" s="62">
        <v>0.35</v>
      </c>
      <c r="G168" s="37">
        <v>6</v>
      </c>
      <c r="H168" s="62">
        <v>2.1</v>
      </c>
      <c r="I168" s="62">
        <v>2.23</v>
      </c>
      <c r="J168" s="37">
        <v>234</v>
      </c>
      <c r="K168" s="37" t="s">
        <v>85</v>
      </c>
      <c r="L168" s="37" t="s">
        <v>45</v>
      </c>
      <c r="M168" s="38" t="s">
        <v>80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272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284</v>
      </c>
      <c r="B169" s="63" t="s">
        <v>285</v>
      </c>
      <c r="C169" s="36">
        <v>4301031443</v>
      </c>
      <c r="D169" s="623">
        <v>4680115887213</v>
      </c>
      <c r="E169" s="623"/>
      <c r="F169" s="62">
        <v>0.3</v>
      </c>
      <c r="G169" s="37">
        <v>6</v>
      </c>
      <c r="H169" s="62">
        <v>1.8</v>
      </c>
      <c r="I169" s="62">
        <v>1.9</v>
      </c>
      <c r="J169" s="37">
        <v>234</v>
      </c>
      <c r="K169" s="37" t="s">
        <v>85</v>
      </c>
      <c r="L169" s="37" t="s">
        <v>45</v>
      </c>
      <c r="M169" s="38" t="s">
        <v>80</v>
      </c>
      <c r="N169" s="38"/>
      <c r="O169" s="37">
        <v>45</v>
      </c>
      <c r="P169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286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287</v>
      </c>
      <c r="B170" s="63" t="s">
        <v>288</v>
      </c>
      <c r="C170" s="36">
        <v>4301031205</v>
      </c>
      <c r="D170" s="623">
        <v>4680115881785</v>
      </c>
      <c r="E170" s="62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85</v>
      </c>
      <c r="L170" s="37" t="s">
        <v>45</v>
      </c>
      <c r="M170" s="38" t="s">
        <v>80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275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289</v>
      </c>
      <c r="B171" s="63" t="s">
        <v>290</v>
      </c>
      <c r="C171" s="36">
        <v>4301031463</v>
      </c>
      <c r="D171" s="623">
        <v>4680115887824</v>
      </c>
      <c r="E171" s="623"/>
      <c r="F171" s="62">
        <v>0.15</v>
      </c>
      <c r="G171" s="37">
        <v>16</v>
      </c>
      <c r="H171" s="62">
        <v>2.4</v>
      </c>
      <c r="I171" s="62">
        <v>2.58</v>
      </c>
      <c r="J171" s="37">
        <v>182</v>
      </c>
      <c r="K171" s="37" t="s">
        <v>81</v>
      </c>
      <c r="L171" s="37" t="s">
        <v>45</v>
      </c>
      <c r="M171" s="38" t="s">
        <v>292</v>
      </c>
      <c r="N171" s="38"/>
      <c r="O171" s="37">
        <v>45</v>
      </c>
      <c r="P171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291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293</v>
      </c>
      <c r="B172" s="63" t="s">
        <v>294</v>
      </c>
      <c r="C172" s="36">
        <v>4301031464</v>
      </c>
      <c r="D172" s="623">
        <v>4680115887701</v>
      </c>
      <c r="E172" s="623"/>
      <c r="F172" s="62">
        <v>0.3</v>
      </c>
      <c r="G172" s="37">
        <v>8</v>
      </c>
      <c r="H172" s="62">
        <v>2.4</v>
      </c>
      <c r="I172" s="62">
        <v>2.58</v>
      </c>
      <c r="J172" s="37">
        <v>182</v>
      </c>
      <c r="K172" s="37" t="s">
        <v>81</v>
      </c>
      <c r="L172" s="37" t="s">
        <v>45</v>
      </c>
      <c r="M172" s="38" t="s">
        <v>292</v>
      </c>
      <c r="N172" s="38"/>
      <c r="O172" s="37">
        <v>60</v>
      </c>
      <c r="P172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625"/>
      <c r="R172" s="625"/>
      <c r="S172" s="625"/>
      <c r="T172" s="62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291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295</v>
      </c>
      <c r="B173" s="63" t="s">
        <v>296</v>
      </c>
      <c r="C173" s="36">
        <v>4301031399</v>
      </c>
      <c r="D173" s="623">
        <v>4680115886537</v>
      </c>
      <c r="E173" s="623"/>
      <c r="F173" s="62">
        <v>0.3</v>
      </c>
      <c r="G173" s="37">
        <v>6</v>
      </c>
      <c r="H173" s="62">
        <v>1.8</v>
      </c>
      <c r="I173" s="62">
        <v>1.93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625"/>
      <c r="R173" s="625"/>
      <c r="S173" s="625"/>
      <c r="T173" s="62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297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298</v>
      </c>
      <c r="B174" s="63" t="s">
        <v>299</v>
      </c>
      <c r="C174" s="36">
        <v>4301031279</v>
      </c>
      <c r="D174" s="623">
        <v>4680115887596</v>
      </c>
      <c r="E174" s="623"/>
      <c r="F174" s="62">
        <v>0.08</v>
      </c>
      <c r="G174" s="37">
        <v>10</v>
      </c>
      <c r="H174" s="62">
        <v>0.8</v>
      </c>
      <c r="I174" s="62">
        <v>1.01</v>
      </c>
      <c r="J174" s="37">
        <v>336</v>
      </c>
      <c r="K174" s="37" t="s">
        <v>177</v>
      </c>
      <c r="L174" s="37" t="s">
        <v>45</v>
      </c>
      <c r="M174" s="38" t="s">
        <v>80</v>
      </c>
      <c r="N174" s="38"/>
      <c r="O174" s="37">
        <v>45</v>
      </c>
      <c r="P174" s="7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625"/>
      <c r="R174" s="625"/>
      <c r="S174" s="625"/>
      <c r="T174" s="62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IFERROR(IF(Y174=0,"",ROUNDUP(Y174/H174,0)*0.00417),"")</f>
        <v/>
      </c>
      <c r="AA174" s="68" t="s">
        <v>45</v>
      </c>
      <c r="AB174" s="69" t="s">
        <v>45</v>
      </c>
      <c r="AC174" s="234" t="s">
        <v>300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37.5" customHeight="1" x14ac:dyDescent="0.25">
      <c r="A175" s="63" t="s">
        <v>301</v>
      </c>
      <c r="B175" s="63" t="s">
        <v>302</v>
      </c>
      <c r="C175" s="36">
        <v>4301031202</v>
      </c>
      <c r="D175" s="623">
        <v>4680115881679</v>
      </c>
      <c r="E175" s="623"/>
      <c r="F175" s="62">
        <v>0.35</v>
      </c>
      <c r="G175" s="37">
        <v>6</v>
      </c>
      <c r="H175" s="62">
        <v>2.1</v>
      </c>
      <c r="I175" s="62">
        <v>2.2000000000000002</v>
      </c>
      <c r="J175" s="37">
        <v>234</v>
      </c>
      <c r="K175" s="37" t="s">
        <v>85</v>
      </c>
      <c r="L175" s="37" t="s">
        <v>45</v>
      </c>
      <c r="M175" s="38" t="s">
        <v>80</v>
      </c>
      <c r="N175" s="38"/>
      <c r="O175" s="37">
        <v>40</v>
      </c>
      <c r="P175" s="7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278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4301031158</v>
      </c>
      <c r="D176" s="623">
        <v>4680115880191</v>
      </c>
      <c r="E176" s="623"/>
      <c r="F176" s="62">
        <v>0.4</v>
      </c>
      <c r="G176" s="37">
        <v>6</v>
      </c>
      <c r="H176" s="62">
        <v>2.4</v>
      </c>
      <c r="I176" s="62">
        <v>2.58</v>
      </c>
      <c r="J176" s="37">
        <v>182</v>
      </c>
      <c r="K176" s="37" t="s">
        <v>81</v>
      </c>
      <c r="L176" s="37" t="s">
        <v>45</v>
      </c>
      <c r="M176" s="38" t="s">
        <v>80</v>
      </c>
      <c r="N176" s="38"/>
      <c r="O176" s="37">
        <v>40</v>
      </c>
      <c r="P176" s="70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8" t="s">
        <v>278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305</v>
      </c>
      <c r="B177" s="63" t="s">
        <v>306</v>
      </c>
      <c r="C177" s="36">
        <v>4301031245</v>
      </c>
      <c r="D177" s="623">
        <v>4680115883963</v>
      </c>
      <c r="E177" s="623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307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x14ac:dyDescent="0.2">
      <c r="A178" s="631"/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  <c r="N178" s="631"/>
      <c r="O178" s="632"/>
      <c r="P178" s="628" t="s">
        <v>40</v>
      </c>
      <c r="Q178" s="629"/>
      <c r="R178" s="629"/>
      <c r="S178" s="629"/>
      <c r="T178" s="629"/>
      <c r="U178" s="629"/>
      <c r="V178" s="630"/>
      <c r="W178" s="42" t="s">
        <v>39</v>
      </c>
      <c r="X178" s="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1"/>
      <c r="B179" s="631"/>
      <c r="C179" s="631"/>
      <c r="D179" s="631"/>
      <c r="E179" s="631"/>
      <c r="F179" s="631"/>
      <c r="G179" s="631"/>
      <c r="H179" s="631"/>
      <c r="I179" s="631"/>
      <c r="J179" s="631"/>
      <c r="K179" s="631"/>
      <c r="L179" s="631"/>
      <c r="M179" s="631"/>
      <c r="N179" s="631"/>
      <c r="O179" s="632"/>
      <c r="P179" s="628" t="s">
        <v>40</v>
      </c>
      <c r="Q179" s="629"/>
      <c r="R179" s="629"/>
      <c r="S179" s="629"/>
      <c r="T179" s="629"/>
      <c r="U179" s="629"/>
      <c r="V179" s="630"/>
      <c r="W179" s="42" t="s">
        <v>0</v>
      </c>
      <c r="X179" s="43">
        <f>IFERROR(SUM(X164:X177),"0")</f>
        <v>0</v>
      </c>
      <c r="Y179" s="43">
        <f>IFERROR(SUM(Y164:Y177),"0")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100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308</v>
      </c>
      <c r="B181" s="63" t="s">
        <v>309</v>
      </c>
      <c r="C181" s="36">
        <v>4301032053</v>
      </c>
      <c r="D181" s="623">
        <v>4680115886780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311</v>
      </c>
      <c r="L181" s="37" t="s">
        <v>45</v>
      </c>
      <c r="M181" s="38" t="s">
        <v>292</v>
      </c>
      <c r="N181" s="38"/>
      <c r="O181" s="37">
        <v>60</v>
      </c>
      <c r="P181" s="70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310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312</v>
      </c>
      <c r="B182" s="63" t="s">
        <v>313</v>
      </c>
      <c r="C182" s="36">
        <v>4301032051</v>
      </c>
      <c r="D182" s="623">
        <v>4680115886742</v>
      </c>
      <c r="E182" s="623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311</v>
      </c>
      <c r="L182" s="37" t="s">
        <v>45</v>
      </c>
      <c r="M182" s="38" t="s">
        <v>292</v>
      </c>
      <c r="N182" s="38"/>
      <c r="O182" s="37">
        <v>90</v>
      </c>
      <c r="P182" s="7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625"/>
      <c r="R182" s="625"/>
      <c r="S182" s="625"/>
      <c r="T182" s="626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314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315</v>
      </c>
      <c r="B183" s="63" t="s">
        <v>316</v>
      </c>
      <c r="C183" s="36">
        <v>4301032052</v>
      </c>
      <c r="D183" s="623">
        <v>4680115886766</v>
      </c>
      <c r="E183" s="62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311</v>
      </c>
      <c r="L183" s="37" t="s">
        <v>45</v>
      </c>
      <c r="M183" s="38" t="s">
        <v>292</v>
      </c>
      <c r="N183" s="38"/>
      <c r="O183" s="37">
        <v>90</v>
      </c>
      <c r="P183" s="7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625"/>
      <c r="R183" s="625"/>
      <c r="S183" s="625"/>
      <c r="T183" s="62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314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31"/>
      <c r="B184" s="631"/>
      <c r="C184" s="631"/>
      <c r="D184" s="631"/>
      <c r="E184" s="631"/>
      <c r="F184" s="631"/>
      <c r="G184" s="631"/>
      <c r="H184" s="631"/>
      <c r="I184" s="631"/>
      <c r="J184" s="631"/>
      <c r="K184" s="631"/>
      <c r="L184" s="631"/>
      <c r="M184" s="631"/>
      <c r="N184" s="631"/>
      <c r="O184" s="632"/>
      <c r="P184" s="628" t="s">
        <v>40</v>
      </c>
      <c r="Q184" s="629"/>
      <c r="R184" s="629"/>
      <c r="S184" s="629"/>
      <c r="T184" s="629"/>
      <c r="U184" s="629"/>
      <c r="V184" s="630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31"/>
      <c r="B185" s="631"/>
      <c r="C185" s="631"/>
      <c r="D185" s="631"/>
      <c r="E185" s="631"/>
      <c r="F185" s="631"/>
      <c r="G185" s="631"/>
      <c r="H185" s="631"/>
      <c r="I185" s="631"/>
      <c r="J185" s="631"/>
      <c r="K185" s="631"/>
      <c r="L185" s="631"/>
      <c r="M185" s="631"/>
      <c r="N185" s="631"/>
      <c r="O185" s="632"/>
      <c r="P185" s="628" t="s">
        <v>40</v>
      </c>
      <c r="Q185" s="629"/>
      <c r="R185" s="629"/>
      <c r="S185" s="629"/>
      <c r="T185" s="629"/>
      <c r="U185" s="629"/>
      <c r="V185" s="630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2" t="s">
        <v>317</v>
      </c>
      <c r="B186" s="622"/>
      <c r="C186" s="622"/>
      <c r="D186" s="622"/>
      <c r="E186" s="622"/>
      <c r="F186" s="622"/>
      <c r="G186" s="622"/>
      <c r="H186" s="622"/>
      <c r="I186" s="622"/>
      <c r="J186" s="622"/>
      <c r="K186" s="622"/>
      <c r="L186" s="622"/>
      <c r="M186" s="622"/>
      <c r="N186" s="622"/>
      <c r="O186" s="622"/>
      <c r="P186" s="622"/>
      <c r="Q186" s="622"/>
      <c r="R186" s="622"/>
      <c r="S186" s="622"/>
      <c r="T186" s="622"/>
      <c r="U186" s="622"/>
      <c r="V186" s="622"/>
      <c r="W186" s="622"/>
      <c r="X186" s="622"/>
      <c r="Y186" s="622"/>
      <c r="Z186" s="622"/>
      <c r="AA186" s="66"/>
      <c r="AB186" s="66"/>
      <c r="AC186" s="80"/>
    </row>
    <row r="187" spans="1:68" ht="27" customHeight="1" x14ac:dyDescent="0.25">
      <c r="A187" s="63" t="s">
        <v>318</v>
      </c>
      <c r="B187" s="63" t="s">
        <v>319</v>
      </c>
      <c r="C187" s="36">
        <v>4301170013</v>
      </c>
      <c r="D187" s="623">
        <v>4680115886797</v>
      </c>
      <c r="E187" s="623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311</v>
      </c>
      <c r="L187" s="37" t="s">
        <v>45</v>
      </c>
      <c r="M187" s="38" t="s">
        <v>292</v>
      </c>
      <c r="N187" s="38"/>
      <c r="O187" s="37">
        <v>90</v>
      </c>
      <c r="P187" s="7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48" t="s">
        <v>314</v>
      </c>
      <c r="AG187" s="78"/>
      <c r="AJ187" s="84" t="s">
        <v>45</v>
      </c>
      <c r="AK187" s="84">
        <v>0</v>
      </c>
      <c r="BB187" s="24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1"/>
      <c r="B188" s="631"/>
      <c r="C188" s="631"/>
      <c r="D188" s="631"/>
      <c r="E188" s="631"/>
      <c r="F188" s="631"/>
      <c r="G188" s="631"/>
      <c r="H188" s="631"/>
      <c r="I188" s="631"/>
      <c r="J188" s="631"/>
      <c r="K188" s="631"/>
      <c r="L188" s="631"/>
      <c r="M188" s="631"/>
      <c r="N188" s="631"/>
      <c r="O188" s="632"/>
      <c r="P188" s="628" t="s">
        <v>40</v>
      </c>
      <c r="Q188" s="629"/>
      <c r="R188" s="629"/>
      <c r="S188" s="629"/>
      <c r="T188" s="629"/>
      <c r="U188" s="629"/>
      <c r="V188" s="630"/>
      <c r="W188" s="42" t="s">
        <v>39</v>
      </c>
      <c r="X188" s="43">
        <f>IFERROR(X187/H187,"0")</f>
        <v>0</v>
      </c>
      <c r="Y188" s="43">
        <f>IFERROR(Y187/H187,"0")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631"/>
      <c r="B189" s="631"/>
      <c r="C189" s="631"/>
      <c r="D189" s="631"/>
      <c r="E189" s="631"/>
      <c r="F189" s="631"/>
      <c r="G189" s="631"/>
      <c r="H189" s="631"/>
      <c r="I189" s="631"/>
      <c r="J189" s="631"/>
      <c r="K189" s="631"/>
      <c r="L189" s="631"/>
      <c r="M189" s="631"/>
      <c r="N189" s="631"/>
      <c r="O189" s="632"/>
      <c r="P189" s="628" t="s">
        <v>40</v>
      </c>
      <c r="Q189" s="629"/>
      <c r="R189" s="629"/>
      <c r="S189" s="629"/>
      <c r="T189" s="629"/>
      <c r="U189" s="629"/>
      <c r="V189" s="630"/>
      <c r="W189" s="42" t="s">
        <v>0</v>
      </c>
      <c r="X189" s="43">
        <f>IFERROR(SUM(X187:X187),"0")</f>
        <v>0</v>
      </c>
      <c r="Y189" s="43">
        <f>IFERROR(SUM(Y187:Y187),"0")</f>
        <v>0</v>
      </c>
      <c r="Z189" s="42"/>
      <c r="AA189" s="67"/>
      <c r="AB189" s="67"/>
      <c r="AC189" s="67"/>
    </row>
    <row r="190" spans="1:68" ht="16.5" customHeight="1" x14ac:dyDescent="0.25">
      <c r="A190" s="621" t="s">
        <v>320</v>
      </c>
      <c r="B190" s="621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21"/>
      <c r="P190" s="621"/>
      <c r="Q190" s="621"/>
      <c r="R190" s="621"/>
      <c r="S190" s="621"/>
      <c r="T190" s="621"/>
      <c r="U190" s="621"/>
      <c r="V190" s="621"/>
      <c r="W190" s="621"/>
      <c r="X190" s="621"/>
      <c r="Y190" s="621"/>
      <c r="Z190" s="621"/>
      <c r="AA190" s="65"/>
      <c r="AB190" s="65"/>
      <c r="AC190" s="79"/>
    </row>
    <row r="191" spans="1:68" ht="14.25" customHeight="1" x14ac:dyDescent="0.25">
      <c r="A191" s="622" t="s">
        <v>108</v>
      </c>
      <c r="B191" s="622"/>
      <c r="C191" s="622"/>
      <c r="D191" s="622"/>
      <c r="E191" s="622"/>
      <c r="F191" s="622"/>
      <c r="G191" s="622"/>
      <c r="H191" s="622"/>
      <c r="I191" s="622"/>
      <c r="J191" s="622"/>
      <c r="K191" s="622"/>
      <c r="L191" s="622"/>
      <c r="M191" s="622"/>
      <c r="N191" s="622"/>
      <c r="O191" s="622"/>
      <c r="P191" s="622"/>
      <c r="Q191" s="622"/>
      <c r="R191" s="622"/>
      <c r="S191" s="622"/>
      <c r="T191" s="622"/>
      <c r="U191" s="622"/>
      <c r="V191" s="622"/>
      <c r="W191" s="622"/>
      <c r="X191" s="622"/>
      <c r="Y191" s="622"/>
      <c r="Z191" s="622"/>
      <c r="AA191" s="66"/>
      <c r="AB191" s="66"/>
      <c r="AC191" s="80"/>
    </row>
    <row r="192" spans="1:68" ht="27" customHeight="1" x14ac:dyDescent="0.25">
      <c r="A192" s="63" t="s">
        <v>321</v>
      </c>
      <c r="B192" s="63" t="s">
        <v>322</v>
      </c>
      <c r="C192" s="36">
        <v>4301011450</v>
      </c>
      <c r="D192" s="623">
        <v>4680115881402</v>
      </c>
      <c r="E192" s="623"/>
      <c r="F192" s="62">
        <v>1.35</v>
      </c>
      <c r="G192" s="37">
        <v>8</v>
      </c>
      <c r="H192" s="62">
        <v>10.8</v>
      </c>
      <c r="I192" s="62">
        <v>11.21</v>
      </c>
      <c r="J192" s="37">
        <v>64</v>
      </c>
      <c r="K192" s="37" t="s">
        <v>113</v>
      </c>
      <c r="L192" s="37" t="s">
        <v>45</v>
      </c>
      <c r="M192" s="38" t="s">
        <v>112</v>
      </c>
      <c r="N192" s="38"/>
      <c r="O192" s="37">
        <v>55</v>
      </c>
      <c r="P192" s="7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0" t="s">
        <v>323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324</v>
      </c>
      <c r="B193" s="63" t="s">
        <v>325</v>
      </c>
      <c r="C193" s="36">
        <v>4301011768</v>
      </c>
      <c r="D193" s="623">
        <v>4680115881396</v>
      </c>
      <c r="E193" s="623"/>
      <c r="F193" s="62">
        <v>0.45</v>
      </c>
      <c r="G193" s="37">
        <v>6</v>
      </c>
      <c r="H193" s="62">
        <v>2.7</v>
      </c>
      <c r="I193" s="62">
        <v>2.88</v>
      </c>
      <c r="J193" s="37">
        <v>182</v>
      </c>
      <c r="K193" s="37" t="s">
        <v>81</v>
      </c>
      <c r="L193" s="37" t="s">
        <v>45</v>
      </c>
      <c r="M193" s="38" t="s">
        <v>112</v>
      </c>
      <c r="N193" s="38"/>
      <c r="O193" s="37">
        <v>55</v>
      </c>
      <c r="P193" s="7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25"/>
      <c r="R193" s="625"/>
      <c r="S193" s="625"/>
      <c r="T193" s="626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45</v>
      </c>
      <c r="AB193" s="69" t="s">
        <v>45</v>
      </c>
      <c r="AC193" s="252" t="s">
        <v>323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31"/>
      <c r="B194" s="631"/>
      <c r="C194" s="631"/>
      <c r="D194" s="631"/>
      <c r="E194" s="631"/>
      <c r="F194" s="631"/>
      <c r="G194" s="631"/>
      <c r="H194" s="631"/>
      <c r="I194" s="631"/>
      <c r="J194" s="631"/>
      <c r="K194" s="631"/>
      <c r="L194" s="631"/>
      <c r="M194" s="631"/>
      <c r="N194" s="631"/>
      <c r="O194" s="632"/>
      <c r="P194" s="628" t="s">
        <v>40</v>
      </c>
      <c r="Q194" s="629"/>
      <c r="R194" s="629"/>
      <c r="S194" s="629"/>
      <c r="T194" s="629"/>
      <c r="U194" s="629"/>
      <c r="V194" s="630"/>
      <c r="W194" s="42" t="s">
        <v>39</v>
      </c>
      <c r="X194" s="43">
        <f>IFERROR(X192/H192,"0")+IFERROR(X193/H193,"0")</f>
        <v>0</v>
      </c>
      <c r="Y194" s="43">
        <f>IFERROR(Y192/H192,"0")+IFERROR(Y193/H193,"0")</f>
        <v>0</v>
      </c>
      <c r="Z194" s="43">
        <f>IFERROR(IF(Z192="",0,Z192),"0")+IFERROR(IF(Z193="",0,Z193),"0")</f>
        <v>0</v>
      </c>
      <c r="AA194" s="67"/>
      <c r="AB194" s="67"/>
      <c r="AC194" s="67"/>
    </row>
    <row r="195" spans="1:68" x14ac:dyDescent="0.2">
      <c r="A195" s="631"/>
      <c r="B195" s="631"/>
      <c r="C195" s="631"/>
      <c r="D195" s="631"/>
      <c r="E195" s="631"/>
      <c r="F195" s="631"/>
      <c r="G195" s="631"/>
      <c r="H195" s="631"/>
      <c r="I195" s="631"/>
      <c r="J195" s="631"/>
      <c r="K195" s="631"/>
      <c r="L195" s="631"/>
      <c r="M195" s="631"/>
      <c r="N195" s="631"/>
      <c r="O195" s="632"/>
      <c r="P195" s="628" t="s">
        <v>40</v>
      </c>
      <c r="Q195" s="629"/>
      <c r="R195" s="629"/>
      <c r="S195" s="629"/>
      <c r="T195" s="629"/>
      <c r="U195" s="629"/>
      <c r="V195" s="630"/>
      <c r="W195" s="42" t="s">
        <v>0</v>
      </c>
      <c r="X195" s="43">
        <f>IFERROR(SUM(X192:X193),"0")</f>
        <v>0</v>
      </c>
      <c r="Y195" s="43">
        <f>IFERROR(SUM(Y192:Y193),"0")</f>
        <v>0</v>
      </c>
      <c r="Z195" s="42"/>
      <c r="AA195" s="67"/>
      <c r="AB195" s="67"/>
      <c r="AC195" s="67"/>
    </row>
    <row r="196" spans="1:68" ht="14.25" customHeight="1" x14ac:dyDescent="0.25">
      <c r="A196" s="622" t="s">
        <v>141</v>
      </c>
      <c r="B196" s="622"/>
      <c r="C196" s="622"/>
      <c r="D196" s="622"/>
      <c r="E196" s="622"/>
      <c r="F196" s="622"/>
      <c r="G196" s="622"/>
      <c r="H196" s="622"/>
      <c r="I196" s="622"/>
      <c r="J196" s="622"/>
      <c r="K196" s="622"/>
      <c r="L196" s="622"/>
      <c r="M196" s="622"/>
      <c r="N196" s="622"/>
      <c r="O196" s="622"/>
      <c r="P196" s="622"/>
      <c r="Q196" s="622"/>
      <c r="R196" s="622"/>
      <c r="S196" s="622"/>
      <c r="T196" s="622"/>
      <c r="U196" s="622"/>
      <c r="V196" s="622"/>
      <c r="W196" s="622"/>
      <c r="X196" s="622"/>
      <c r="Y196" s="622"/>
      <c r="Z196" s="622"/>
      <c r="AA196" s="66"/>
      <c r="AB196" s="66"/>
      <c r="AC196" s="80"/>
    </row>
    <row r="197" spans="1:68" ht="16.5" customHeight="1" x14ac:dyDescent="0.25">
      <c r="A197" s="63" t="s">
        <v>326</v>
      </c>
      <c r="B197" s="63" t="s">
        <v>327</v>
      </c>
      <c r="C197" s="36">
        <v>4301020261</v>
      </c>
      <c r="D197" s="623">
        <v>4680115882935</v>
      </c>
      <c r="E197" s="623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113</v>
      </c>
      <c r="L197" s="37" t="s">
        <v>45</v>
      </c>
      <c r="M197" s="38" t="s">
        <v>112</v>
      </c>
      <c r="N197" s="38"/>
      <c r="O197" s="37">
        <v>50</v>
      </c>
      <c r="P197" s="7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4" t="s">
        <v>328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16.5" customHeight="1" x14ac:dyDescent="0.25">
      <c r="A198" s="63" t="s">
        <v>329</v>
      </c>
      <c r="B198" s="63" t="s">
        <v>330</v>
      </c>
      <c r="C198" s="36">
        <v>4301020220</v>
      </c>
      <c r="D198" s="623">
        <v>4680115880764</v>
      </c>
      <c r="E198" s="623"/>
      <c r="F198" s="62">
        <v>0.35</v>
      </c>
      <c r="G198" s="37">
        <v>6</v>
      </c>
      <c r="H198" s="62">
        <v>2.1</v>
      </c>
      <c r="I198" s="62">
        <v>2.2799999999999998</v>
      </c>
      <c r="J198" s="37">
        <v>182</v>
      </c>
      <c r="K198" s="37" t="s">
        <v>81</v>
      </c>
      <c r="L198" s="37" t="s">
        <v>45</v>
      </c>
      <c r="M198" s="38" t="s">
        <v>112</v>
      </c>
      <c r="N198" s="38"/>
      <c r="O198" s="37">
        <v>50</v>
      </c>
      <c r="P198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IFERROR(IF(Y198=0,"",ROUNDUP(Y198/H198,0)*0.00651),"")</f>
        <v/>
      </c>
      <c r="AA198" s="68" t="s">
        <v>45</v>
      </c>
      <c r="AB198" s="69" t="s">
        <v>45</v>
      </c>
      <c r="AC198" s="256" t="s">
        <v>328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31"/>
      <c r="B199" s="631"/>
      <c r="C199" s="631"/>
      <c r="D199" s="631"/>
      <c r="E199" s="631"/>
      <c r="F199" s="631"/>
      <c r="G199" s="631"/>
      <c r="H199" s="631"/>
      <c r="I199" s="631"/>
      <c r="J199" s="631"/>
      <c r="K199" s="631"/>
      <c r="L199" s="631"/>
      <c r="M199" s="631"/>
      <c r="N199" s="631"/>
      <c r="O199" s="632"/>
      <c r="P199" s="628" t="s">
        <v>40</v>
      </c>
      <c r="Q199" s="629"/>
      <c r="R199" s="629"/>
      <c r="S199" s="629"/>
      <c r="T199" s="629"/>
      <c r="U199" s="629"/>
      <c r="V199" s="630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31"/>
      <c r="B200" s="631"/>
      <c r="C200" s="631"/>
      <c r="D200" s="631"/>
      <c r="E200" s="631"/>
      <c r="F200" s="631"/>
      <c r="G200" s="631"/>
      <c r="H200" s="631"/>
      <c r="I200" s="631"/>
      <c r="J200" s="631"/>
      <c r="K200" s="631"/>
      <c r="L200" s="631"/>
      <c r="M200" s="631"/>
      <c r="N200" s="631"/>
      <c r="O200" s="632"/>
      <c r="P200" s="628" t="s">
        <v>40</v>
      </c>
      <c r="Q200" s="629"/>
      <c r="R200" s="629"/>
      <c r="S200" s="629"/>
      <c r="T200" s="629"/>
      <c r="U200" s="629"/>
      <c r="V200" s="630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22" t="s">
        <v>76</v>
      </c>
      <c r="B201" s="622"/>
      <c r="C201" s="622"/>
      <c r="D201" s="622"/>
      <c r="E201" s="622"/>
      <c r="F201" s="622"/>
      <c r="G201" s="622"/>
      <c r="H201" s="622"/>
      <c r="I201" s="622"/>
      <c r="J201" s="622"/>
      <c r="K201" s="622"/>
      <c r="L201" s="622"/>
      <c r="M201" s="622"/>
      <c r="N201" s="622"/>
      <c r="O201" s="622"/>
      <c r="P201" s="622"/>
      <c r="Q201" s="622"/>
      <c r="R201" s="622"/>
      <c r="S201" s="622"/>
      <c r="T201" s="622"/>
      <c r="U201" s="622"/>
      <c r="V201" s="622"/>
      <c r="W201" s="622"/>
      <c r="X201" s="622"/>
      <c r="Y201" s="622"/>
      <c r="Z201" s="622"/>
      <c r="AA201" s="66"/>
      <c r="AB201" s="66"/>
      <c r="AC201" s="80"/>
    </row>
    <row r="202" spans="1:68" ht="27" customHeight="1" x14ac:dyDescent="0.25">
      <c r="A202" s="63" t="s">
        <v>331</v>
      </c>
      <c r="B202" s="63" t="s">
        <v>332</v>
      </c>
      <c r="C202" s="36">
        <v>4301031224</v>
      </c>
      <c r="D202" s="623">
        <v>4680115882683</v>
      </c>
      <c r="E202" s="623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116</v>
      </c>
      <c r="L202" s="37" t="s">
        <v>45</v>
      </c>
      <c r="M202" s="38" t="s">
        <v>80</v>
      </c>
      <c r="N202" s="38"/>
      <c r="O202" s="37">
        <v>40</v>
      </c>
      <c r="P202" s="7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ref="Y202:Y209" si="10">IFERROR(IF(X202="",0,CEILING((X202/$H202),1)*$H202),"")</f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333</v>
      </c>
      <c r="AG202" s="78"/>
      <c r="AJ202" s="84" t="s">
        <v>45</v>
      </c>
      <c r="AK202" s="84">
        <v>0</v>
      </c>
      <c r="BB202" s="259" t="s">
        <v>66</v>
      </c>
      <c r="BM202" s="78">
        <f t="shared" ref="BM202:BM209" si="11">IFERROR(X202*I202/H202,"0")</f>
        <v>0</v>
      </c>
      <c r="BN202" s="78">
        <f t="shared" ref="BN202:BN209" si="12">IFERROR(Y202*I202/H202,"0")</f>
        <v>0</v>
      </c>
      <c r="BO202" s="78">
        <f t="shared" ref="BO202:BO209" si="13">IFERROR(1/J202*(X202/H202),"0")</f>
        <v>0</v>
      </c>
      <c r="BP202" s="78">
        <f t="shared" ref="BP202:BP209" si="14">IFERROR(1/J202*(Y202/H202),"0")</f>
        <v>0</v>
      </c>
    </row>
    <row r="203" spans="1:68" ht="27" customHeight="1" x14ac:dyDescent="0.25">
      <c r="A203" s="63" t="s">
        <v>334</v>
      </c>
      <c r="B203" s="63" t="s">
        <v>335</v>
      </c>
      <c r="C203" s="36">
        <v>4301031230</v>
      </c>
      <c r="D203" s="623">
        <v>4680115882690</v>
      </c>
      <c r="E203" s="623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116</v>
      </c>
      <c r="L203" s="37" t="s">
        <v>45</v>
      </c>
      <c r="M203" s="38" t="s">
        <v>80</v>
      </c>
      <c r="N203" s="38"/>
      <c r="O203" s="37">
        <v>40</v>
      </c>
      <c r="P203" s="7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336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337</v>
      </c>
      <c r="B204" s="63" t="s">
        <v>338</v>
      </c>
      <c r="C204" s="36">
        <v>4301031220</v>
      </c>
      <c r="D204" s="623">
        <v>4680115882669</v>
      </c>
      <c r="E204" s="62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116</v>
      </c>
      <c r="L204" s="37" t="s">
        <v>45</v>
      </c>
      <c r="M204" s="38" t="s">
        <v>80</v>
      </c>
      <c r="N204" s="38"/>
      <c r="O204" s="37">
        <v>40</v>
      </c>
      <c r="P204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25"/>
      <c r="R204" s="625"/>
      <c r="S204" s="625"/>
      <c r="T204" s="62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339</v>
      </c>
      <c r="AG204" s="78"/>
      <c r="AJ204" s="84" t="s">
        <v>45</v>
      </c>
      <c r="AK204" s="84">
        <v>0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340</v>
      </c>
      <c r="B205" s="63" t="s">
        <v>341</v>
      </c>
      <c r="C205" s="36">
        <v>4301031221</v>
      </c>
      <c r="D205" s="623">
        <v>4680115882676</v>
      </c>
      <c r="E205" s="62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116</v>
      </c>
      <c r="L205" s="37" t="s">
        <v>45</v>
      </c>
      <c r="M205" s="38" t="s">
        <v>80</v>
      </c>
      <c r="N205" s="38"/>
      <c r="O205" s="37">
        <v>40</v>
      </c>
      <c r="P205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25"/>
      <c r="R205" s="625"/>
      <c r="S205" s="625"/>
      <c r="T205" s="62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342</v>
      </c>
      <c r="AG205" s="78"/>
      <c r="AJ205" s="84" t="s">
        <v>45</v>
      </c>
      <c r="AK205" s="84">
        <v>0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343</v>
      </c>
      <c r="B206" s="63" t="s">
        <v>344</v>
      </c>
      <c r="C206" s="36">
        <v>4301031223</v>
      </c>
      <c r="D206" s="623">
        <v>4680115884014</v>
      </c>
      <c r="E206" s="623"/>
      <c r="F206" s="62">
        <v>0.3</v>
      </c>
      <c r="G206" s="37">
        <v>6</v>
      </c>
      <c r="H206" s="62">
        <v>1.8</v>
      </c>
      <c r="I206" s="62">
        <v>1.93</v>
      </c>
      <c r="J206" s="37">
        <v>234</v>
      </c>
      <c r="K206" s="37" t="s">
        <v>85</v>
      </c>
      <c r="L206" s="37" t="s">
        <v>45</v>
      </c>
      <c r="M206" s="38" t="s">
        <v>80</v>
      </c>
      <c r="N206" s="38"/>
      <c r="O206" s="37">
        <v>40</v>
      </c>
      <c r="P206" s="7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25"/>
      <c r="R206" s="625"/>
      <c r="S206" s="625"/>
      <c r="T206" s="62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333</v>
      </c>
      <c r="AG206" s="78"/>
      <c r="AJ206" s="84" t="s">
        <v>45</v>
      </c>
      <c r="AK206" s="84">
        <v>0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345</v>
      </c>
      <c r="B207" s="63" t="s">
        <v>346</v>
      </c>
      <c r="C207" s="36">
        <v>4301031222</v>
      </c>
      <c r="D207" s="623">
        <v>4680115884007</v>
      </c>
      <c r="E207" s="623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85</v>
      </c>
      <c r="L207" s="37" t="s">
        <v>45</v>
      </c>
      <c r="M207" s="38" t="s">
        <v>80</v>
      </c>
      <c r="N207" s="38"/>
      <c r="O207" s="37">
        <v>40</v>
      </c>
      <c r="P207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336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347</v>
      </c>
      <c r="B208" s="63" t="s">
        <v>348</v>
      </c>
      <c r="C208" s="36">
        <v>4301031229</v>
      </c>
      <c r="D208" s="623">
        <v>4680115884038</v>
      </c>
      <c r="E208" s="623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85</v>
      </c>
      <c r="L208" s="37" t="s">
        <v>45</v>
      </c>
      <c r="M208" s="38" t="s">
        <v>80</v>
      </c>
      <c r="N208" s="38"/>
      <c r="O208" s="37">
        <v>40</v>
      </c>
      <c r="P208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339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349</v>
      </c>
      <c r="B209" s="63" t="s">
        <v>350</v>
      </c>
      <c r="C209" s="36">
        <v>4301031225</v>
      </c>
      <c r="D209" s="623">
        <v>4680115884021</v>
      </c>
      <c r="E209" s="62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85</v>
      </c>
      <c r="L209" s="37" t="s">
        <v>45</v>
      </c>
      <c r="M209" s="38" t="s">
        <v>80</v>
      </c>
      <c r="N209" s="38"/>
      <c r="O209" s="37">
        <v>40</v>
      </c>
      <c r="P209" s="7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342</v>
      </c>
      <c r="AG209" s="78"/>
      <c r="AJ209" s="84" t="s">
        <v>45</v>
      </c>
      <c r="AK209" s="84">
        <v>0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x14ac:dyDescent="0.2">
      <c r="A210" s="631"/>
      <c r="B210" s="631"/>
      <c r="C210" s="631"/>
      <c r="D210" s="631"/>
      <c r="E210" s="631"/>
      <c r="F210" s="631"/>
      <c r="G210" s="631"/>
      <c r="H210" s="631"/>
      <c r="I210" s="631"/>
      <c r="J210" s="631"/>
      <c r="K210" s="631"/>
      <c r="L210" s="631"/>
      <c r="M210" s="631"/>
      <c r="N210" s="631"/>
      <c r="O210" s="632"/>
      <c r="P210" s="628" t="s">
        <v>40</v>
      </c>
      <c r="Q210" s="629"/>
      <c r="R210" s="629"/>
      <c r="S210" s="629"/>
      <c r="T210" s="629"/>
      <c r="U210" s="629"/>
      <c r="V210" s="630"/>
      <c r="W210" s="42" t="s">
        <v>39</v>
      </c>
      <c r="X210" s="43">
        <f>IFERROR(X202/H202,"0")+IFERROR(X203/H203,"0")+IFERROR(X204/H204,"0")+IFERROR(X205/H205,"0")+IFERROR(X206/H206,"0")+IFERROR(X207/H207,"0")+IFERROR(X208/H208,"0")+IFERROR(X209/H209,"0")</f>
        <v>0</v>
      </c>
      <c r="Y210" s="43">
        <f>IFERROR(Y202/H202,"0")+IFERROR(Y203/H203,"0")+IFERROR(Y204/H204,"0")+IFERROR(Y205/H205,"0")+IFERROR(Y206/H206,"0")+IFERROR(Y207/H207,"0")+IFERROR(Y208/H208,"0")+IFERROR(Y209/H209,"0")</f>
        <v>0</v>
      </c>
      <c r="Z210" s="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31"/>
      <c r="B211" s="631"/>
      <c r="C211" s="631"/>
      <c r="D211" s="631"/>
      <c r="E211" s="631"/>
      <c r="F211" s="631"/>
      <c r="G211" s="631"/>
      <c r="H211" s="631"/>
      <c r="I211" s="631"/>
      <c r="J211" s="631"/>
      <c r="K211" s="631"/>
      <c r="L211" s="631"/>
      <c r="M211" s="631"/>
      <c r="N211" s="631"/>
      <c r="O211" s="632"/>
      <c r="P211" s="628" t="s">
        <v>40</v>
      </c>
      <c r="Q211" s="629"/>
      <c r="R211" s="629"/>
      <c r="S211" s="629"/>
      <c r="T211" s="629"/>
      <c r="U211" s="629"/>
      <c r="V211" s="630"/>
      <c r="W211" s="42" t="s">
        <v>0</v>
      </c>
      <c r="X211" s="43">
        <f>IFERROR(SUM(X202:X209),"0")</f>
        <v>0</v>
      </c>
      <c r="Y211" s="43">
        <f>IFERROR(SUM(Y202:Y209),"0")</f>
        <v>0</v>
      </c>
      <c r="Z211" s="42"/>
      <c r="AA211" s="67"/>
      <c r="AB211" s="67"/>
      <c r="AC211" s="67"/>
    </row>
    <row r="212" spans="1:68" ht="14.25" customHeight="1" x14ac:dyDescent="0.25">
      <c r="A212" s="622" t="s">
        <v>86</v>
      </c>
      <c r="B212" s="622"/>
      <c r="C212" s="622"/>
      <c r="D212" s="622"/>
      <c r="E212" s="622"/>
      <c r="F212" s="622"/>
      <c r="G212" s="622"/>
      <c r="H212" s="622"/>
      <c r="I212" s="622"/>
      <c r="J212" s="622"/>
      <c r="K212" s="622"/>
      <c r="L212" s="622"/>
      <c r="M212" s="622"/>
      <c r="N212" s="622"/>
      <c r="O212" s="622"/>
      <c r="P212" s="622"/>
      <c r="Q212" s="622"/>
      <c r="R212" s="622"/>
      <c r="S212" s="622"/>
      <c r="T212" s="622"/>
      <c r="U212" s="622"/>
      <c r="V212" s="622"/>
      <c r="W212" s="622"/>
      <c r="X212" s="622"/>
      <c r="Y212" s="622"/>
      <c r="Z212" s="622"/>
      <c r="AA212" s="66"/>
      <c r="AB212" s="66"/>
      <c r="AC212" s="80"/>
    </row>
    <row r="213" spans="1:68" ht="27" customHeight="1" x14ac:dyDescent="0.25">
      <c r="A213" s="63" t="s">
        <v>351</v>
      </c>
      <c r="B213" s="63" t="s">
        <v>352</v>
      </c>
      <c r="C213" s="36">
        <v>4301051408</v>
      </c>
      <c r="D213" s="623">
        <v>4680115881594</v>
      </c>
      <c r="E213" s="623"/>
      <c r="F213" s="62">
        <v>1.35</v>
      </c>
      <c r="G213" s="37">
        <v>6</v>
      </c>
      <c r="H213" s="62">
        <v>8.1</v>
      </c>
      <c r="I213" s="62">
        <v>8.5939999999999994</v>
      </c>
      <c r="J213" s="37">
        <v>64</v>
      </c>
      <c r="K213" s="37" t="s">
        <v>113</v>
      </c>
      <c r="L213" s="37" t="s">
        <v>45</v>
      </c>
      <c r="M213" s="38" t="s">
        <v>90</v>
      </c>
      <c r="N213" s="38"/>
      <c r="O213" s="37">
        <v>40</v>
      </c>
      <c r="P213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ref="Y213:Y221" si="15"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353</v>
      </c>
      <c r="AG213" s="78"/>
      <c r="AJ213" s="84" t="s">
        <v>45</v>
      </c>
      <c r="AK213" s="84">
        <v>0</v>
      </c>
      <c r="BB213" s="275" t="s">
        <v>66</v>
      </c>
      <c r="BM213" s="78">
        <f t="shared" ref="BM213:BM221" si="16">IFERROR(X213*I213/H213,"0")</f>
        <v>0</v>
      </c>
      <c r="BN213" s="78">
        <f t="shared" ref="BN213:BN221" si="17">IFERROR(Y213*I213/H213,"0")</f>
        <v>0</v>
      </c>
      <c r="BO213" s="78">
        <f t="shared" ref="BO213:BO221" si="18">IFERROR(1/J213*(X213/H213),"0")</f>
        <v>0</v>
      </c>
      <c r="BP213" s="78">
        <f t="shared" ref="BP213:BP221" si="19">IFERROR(1/J213*(Y213/H213),"0")</f>
        <v>0</v>
      </c>
    </row>
    <row r="214" spans="1:68" ht="27" customHeight="1" x14ac:dyDescent="0.25">
      <c r="A214" s="63" t="s">
        <v>354</v>
      </c>
      <c r="B214" s="63" t="s">
        <v>355</v>
      </c>
      <c r="C214" s="36">
        <v>4301051411</v>
      </c>
      <c r="D214" s="623">
        <v>4680115881617</v>
      </c>
      <c r="E214" s="623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113</v>
      </c>
      <c r="L214" s="37" t="s">
        <v>45</v>
      </c>
      <c r="M214" s="38" t="s">
        <v>90</v>
      </c>
      <c r="N214" s="38"/>
      <c r="O214" s="37">
        <v>40</v>
      </c>
      <c r="P214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356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357</v>
      </c>
      <c r="B215" s="63" t="s">
        <v>358</v>
      </c>
      <c r="C215" s="36">
        <v>4301051656</v>
      </c>
      <c r="D215" s="623">
        <v>4680115880573</v>
      </c>
      <c r="E215" s="623"/>
      <c r="F215" s="62">
        <v>1.45</v>
      </c>
      <c r="G215" s="37">
        <v>6</v>
      </c>
      <c r="H215" s="62">
        <v>8.6999999999999993</v>
      </c>
      <c r="I215" s="62">
        <v>9.1940000000000008</v>
      </c>
      <c r="J215" s="37">
        <v>64</v>
      </c>
      <c r="K215" s="37" t="s">
        <v>113</v>
      </c>
      <c r="L215" s="37" t="s">
        <v>45</v>
      </c>
      <c r="M215" s="38" t="s">
        <v>90</v>
      </c>
      <c r="N215" s="38"/>
      <c r="O215" s="37">
        <v>45</v>
      </c>
      <c r="P215" s="72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359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37.5" customHeight="1" x14ac:dyDescent="0.25">
      <c r="A216" s="63" t="s">
        <v>360</v>
      </c>
      <c r="B216" s="63" t="s">
        <v>361</v>
      </c>
      <c r="C216" s="36">
        <v>4301051407</v>
      </c>
      <c r="D216" s="623">
        <v>4680115882195</v>
      </c>
      <c r="E216" s="623"/>
      <c r="F216" s="62">
        <v>0.4</v>
      </c>
      <c r="G216" s="37">
        <v>6</v>
      </c>
      <c r="H216" s="62">
        <v>2.4</v>
      </c>
      <c r="I216" s="62">
        <v>2.67</v>
      </c>
      <c r="J216" s="37">
        <v>182</v>
      </c>
      <c r="K216" s="37" t="s">
        <v>81</v>
      </c>
      <c r="L216" s="37" t="s">
        <v>45</v>
      </c>
      <c r="M216" s="38" t="s">
        <v>90</v>
      </c>
      <c r="N216" s="38"/>
      <c r="O216" s="37">
        <v>40</v>
      </c>
      <c r="P216" s="72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25"/>
      <c r="R216" s="625"/>
      <c r="S216" s="625"/>
      <c r="T216" s="62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ref="Z216:Z221" si="20">IFERROR(IF(Y216=0,"",ROUNDUP(Y216/H216,0)*0.00651),"")</f>
        <v/>
      </c>
      <c r="AA216" s="68" t="s">
        <v>45</v>
      </c>
      <c r="AB216" s="69" t="s">
        <v>45</v>
      </c>
      <c r="AC216" s="280" t="s">
        <v>362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363</v>
      </c>
      <c r="B217" s="63" t="s">
        <v>364</v>
      </c>
      <c r="C217" s="36">
        <v>4301051752</v>
      </c>
      <c r="D217" s="623">
        <v>4680115882607</v>
      </c>
      <c r="E217" s="623"/>
      <c r="F217" s="62">
        <v>0.3</v>
      </c>
      <c r="G217" s="37">
        <v>6</v>
      </c>
      <c r="H217" s="62">
        <v>1.8</v>
      </c>
      <c r="I217" s="62">
        <v>2.052</v>
      </c>
      <c r="J217" s="37">
        <v>182</v>
      </c>
      <c r="K217" s="37" t="s">
        <v>81</v>
      </c>
      <c r="L217" s="37" t="s">
        <v>45</v>
      </c>
      <c r="M217" s="38" t="s">
        <v>96</v>
      </c>
      <c r="N217" s="38"/>
      <c r="O217" s="37">
        <v>45</v>
      </c>
      <c r="P217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25"/>
      <c r="R217" s="625"/>
      <c r="S217" s="625"/>
      <c r="T217" s="62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359</v>
      </c>
      <c r="AG217" s="78"/>
      <c r="AJ217" s="84" t="s">
        <v>45</v>
      </c>
      <c r="AK217" s="84">
        <v>0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365</v>
      </c>
      <c r="B218" s="63" t="s">
        <v>366</v>
      </c>
      <c r="C218" s="36">
        <v>4301051666</v>
      </c>
      <c r="D218" s="623">
        <v>4680115880092</v>
      </c>
      <c r="E218" s="623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81</v>
      </c>
      <c r="L218" s="37" t="s">
        <v>45</v>
      </c>
      <c r="M218" s="38" t="s">
        <v>90</v>
      </c>
      <c r="N218" s="38"/>
      <c r="O218" s="37">
        <v>45</v>
      </c>
      <c r="P218" s="73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25"/>
      <c r="R218" s="625"/>
      <c r="S218" s="625"/>
      <c r="T218" s="62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359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367</v>
      </c>
      <c r="B219" s="63" t="s">
        <v>368</v>
      </c>
      <c r="C219" s="36">
        <v>4301051668</v>
      </c>
      <c r="D219" s="623">
        <v>4680115880221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81</v>
      </c>
      <c r="L219" s="37" t="s">
        <v>45</v>
      </c>
      <c r="M219" s="38" t="s">
        <v>90</v>
      </c>
      <c r="N219" s="38"/>
      <c r="O219" s="37">
        <v>45</v>
      </c>
      <c r="P219" s="73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359</v>
      </c>
      <c r="AG219" s="78"/>
      <c r="AJ219" s="84" t="s">
        <v>45</v>
      </c>
      <c r="AK219" s="84">
        <v>0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369</v>
      </c>
      <c r="B220" s="63" t="s">
        <v>370</v>
      </c>
      <c r="C220" s="36">
        <v>4301051945</v>
      </c>
      <c r="D220" s="623">
        <v>4680115880504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81</v>
      </c>
      <c r="L220" s="37" t="s">
        <v>45</v>
      </c>
      <c r="M220" s="38" t="s">
        <v>96</v>
      </c>
      <c r="N220" s="38"/>
      <c r="O220" s="37">
        <v>40</v>
      </c>
      <c r="P220" s="7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371</v>
      </c>
      <c r="AG220" s="78"/>
      <c r="AJ220" s="84" t="s">
        <v>45</v>
      </c>
      <c r="AK220" s="84">
        <v>0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372</v>
      </c>
      <c r="B221" s="63" t="s">
        <v>373</v>
      </c>
      <c r="C221" s="36">
        <v>4301051410</v>
      </c>
      <c r="D221" s="623">
        <v>4680115882164</v>
      </c>
      <c r="E221" s="623"/>
      <c r="F221" s="62">
        <v>0.4</v>
      </c>
      <c r="G221" s="37">
        <v>6</v>
      </c>
      <c r="H221" s="62">
        <v>2.4</v>
      </c>
      <c r="I221" s="62">
        <v>2.6579999999999999</v>
      </c>
      <c r="J221" s="37">
        <v>182</v>
      </c>
      <c r="K221" s="37" t="s">
        <v>81</v>
      </c>
      <c r="L221" s="37" t="s">
        <v>45</v>
      </c>
      <c r="M221" s="38" t="s">
        <v>90</v>
      </c>
      <c r="N221" s="38"/>
      <c r="O221" s="37">
        <v>40</v>
      </c>
      <c r="P221" s="7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25"/>
      <c r="R221" s="625"/>
      <c r="S221" s="625"/>
      <c r="T221" s="62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356</v>
      </c>
      <c r="AG221" s="78"/>
      <c r="AJ221" s="84" t="s">
        <v>45</v>
      </c>
      <c r="AK221" s="84">
        <v>0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x14ac:dyDescent="0.2">
      <c r="A222" s="631"/>
      <c r="B222" s="631"/>
      <c r="C222" s="631"/>
      <c r="D222" s="631"/>
      <c r="E222" s="631"/>
      <c r="F222" s="631"/>
      <c r="G222" s="631"/>
      <c r="H222" s="631"/>
      <c r="I222" s="631"/>
      <c r="J222" s="631"/>
      <c r="K222" s="631"/>
      <c r="L222" s="631"/>
      <c r="M222" s="631"/>
      <c r="N222" s="631"/>
      <c r="O222" s="632"/>
      <c r="P222" s="628" t="s">
        <v>40</v>
      </c>
      <c r="Q222" s="629"/>
      <c r="R222" s="629"/>
      <c r="S222" s="629"/>
      <c r="T222" s="629"/>
      <c r="U222" s="629"/>
      <c r="V222" s="630"/>
      <c r="W222" s="42" t="s">
        <v>39</v>
      </c>
      <c r="X222" s="43">
        <f>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31"/>
      <c r="B223" s="631"/>
      <c r="C223" s="631"/>
      <c r="D223" s="631"/>
      <c r="E223" s="631"/>
      <c r="F223" s="631"/>
      <c r="G223" s="631"/>
      <c r="H223" s="631"/>
      <c r="I223" s="631"/>
      <c r="J223" s="631"/>
      <c r="K223" s="631"/>
      <c r="L223" s="631"/>
      <c r="M223" s="631"/>
      <c r="N223" s="631"/>
      <c r="O223" s="632"/>
      <c r="P223" s="628" t="s">
        <v>40</v>
      </c>
      <c r="Q223" s="629"/>
      <c r="R223" s="629"/>
      <c r="S223" s="629"/>
      <c r="T223" s="629"/>
      <c r="U223" s="629"/>
      <c r="V223" s="630"/>
      <c r="W223" s="42" t="s">
        <v>0</v>
      </c>
      <c r="X223" s="43">
        <f>IFERROR(SUM(X213:X221),"0")</f>
        <v>0</v>
      </c>
      <c r="Y223" s="43">
        <f>IFERROR(SUM(Y213:Y221),"0")</f>
        <v>0</v>
      </c>
      <c r="Z223" s="42"/>
      <c r="AA223" s="67"/>
      <c r="AB223" s="67"/>
      <c r="AC223" s="67"/>
    </row>
    <row r="224" spans="1:68" ht="14.25" customHeight="1" x14ac:dyDescent="0.25">
      <c r="A224" s="622" t="s">
        <v>163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374</v>
      </c>
      <c r="B225" s="63" t="s">
        <v>375</v>
      </c>
      <c r="C225" s="36">
        <v>4301060463</v>
      </c>
      <c r="D225" s="623">
        <v>4680115880818</v>
      </c>
      <c r="E225" s="623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81</v>
      </c>
      <c r="L225" s="37" t="s">
        <v>45</v>
      </c>
      <c r="M225" s="38" t="s">
        <v>96</v>
      </c>
      <c r="N225" s="38"/>
      <c r="O225" s="37">
        <v>40</v>
      </c>
      <c r="P225" s="73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376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37.5" customHeight="1" x14ac:dyDescent="0.25">
      <c r="A226" s="63" t="s">
        <v>377</v>
      </c>
      <c r="B226" s="63" t="s">
        <v>378</v>
      </c>
      <c r="C226" s="36">
        <v>4301060389</v>
      </c>
      <c r="D226" s="623">
        <v>4680115880801</v>
      </c>
      <c r="E226" s="623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81</v>
      </c>
      <c r="L226" s="37" t="s">
        <v>45</v>
      </c>
      <c r="M226" s="38" t="s">
        <v>90</v>
      </c>
      <c r="N226" s="38"/>
      <c r="O226" s="37">
        <v>40</v>
      </c>
      <c r="P226" s="73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379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31"/>
      <c r="B227" s="631"/>
      <c r="C227" s="631"/>
      <c r="D227" s="631"/>
      <c r="E227" s="631"/>
      <c r="F227" s="631"/>
      <c r="G227" s="631"/>
      <c r="H227" s="631"/>
      <c r="I227" s="631"/>
      <c r="J227" s="631"/>
      <c r="K227" s="631"/>
      <c r="L227" s="631"/>
      <c r="M227" s="631"/>
      <c r="N227" s="631"/>
      <c r="O227" s="632"/>
      <c r="P227" s="628" t="s">
        <v>40</v>
      </c>
      <c r="Q227" s="629"/>
      <c r="R227" s="629"/>
      <c r="S227" s="629"/>
      <c r="T227" s="629"/>
      <c r="U227" s="629"/>
      <c r="V227" s="630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31"/>
      <c r="B228" s="631"/>
      <c r="C228" s="631"/>
      <c r="D228" s="631"/>
      <c r="E228" s="631"/>
      <c r="F228" s="631"/>
      <c r="G228" s="631"/>
      <c r="H228" s="631"/>
      <c r="I228" s="631"/>
      <c r="J228" s="631"/>
      <c r="K228" s="631"/>
      <c r="L228" s="631"/>
      <c r="M228" s="631"/>
      <c r="N228" s="631"/>
      <c r="O228" s="632"/>
      <c r="P228" s="628" t="s">
        <v>40</v>
      </c>
      <c r="Q228" s="629"/>
      <c r="R228" s="629"/>
      <c r="S228" s="629"/>
      <c r="T228" s="629"/>
      <c r="U228" s="629"/>
      <c r="V228" s="630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6.5" customHeight="1" x14ac:dyDescent="0.25">
      <c r="A229" s="621" t="s">
        <v>380</v>
      </c>
      <c r="B229" s="621"/>
      <c r="C229" s="621"/>
      <c r="D229" s="621"/>
      <c r="E229" s="621"/>
      <c r="F229" s="621"/>
      <c r="G229" s="621"/>
      <c r="H229" s="621"/>
      <c r="I229" s="621"/>
      <c r="J229" s="621"/>
      <c r="K229" s="621"/>
      <c r="L229" s="621"/>
      <c r="M229" s="621"/>
      <c r="N229" s="621"/>
      <c r="O229" s="621"/>
      <c r="P229" s="621"/>
      <c r="Q229" s="621"/>
      <c r="R229" s="621"/>
      <c r="S229" s="621"/>
      <c r="T229" s="621"/>
      <c r="U229" s="621"/>
      <c r="V229" s="621"/>
      <c r="W229" s="621"/>
      <c r="X229" s="621"/>
      <c r="Y229" s="621"/>
      <c r="Z229" s="621"/>
      <c r="AA229" s="65"/>
      <c r="AB229" s="65"/>
      <c r="AC229" s="79"/>
    </row>
    <row r="230" spans="1:68" ht="14.25" customHeight="1" x14ac:dyDescent="0.25">
      <c r="A230" s="622" t="s">
        <v>108</v>
      </c>
      <c r="B230" s="622"/>
      <c r="C230" s="622"/>
      <c r="D230" s="622"/>
      <c r="E230" s="622"/>
      <c r="F230" s="622"/>
      <c r="G230" s="622"/>
      <c r="H230" s="622"/>
      <c r="I230" s="622"/>
      <c r="J230" s="622"/>
      <c r="K230" s="622"/>
      <c r="L230" s="622"/>
      <c r="M230" s="622"/>
      <c r="N230" s="622"/>
      <c r="O230" s="622"/>
      <c r="P230" s="622"/>
      <c r="Q230" s="622"/>
      <c r="R230" s="622"/>
      <c r="S230" s="622"/>
      <c r="T230" s="622"/>
      <c r="U230" s="622"/>
      <c r="V230" s="622"/>
      <c r="W230" s="622"/>
      <c r="X230" s="622"/>
      <c r="Y230" s="622"/>
      <c r="Z230" s="622"/>
      <c r="AA230" s="66"/>
      <c r="AB230" s="66"/>
      <c r="AC230" s="80"/>
    </row>
    <row r="231" spans="1:68" ht="27" customHeight="1" x14ac:dyDescent="0.25">
      <c r="A231" s="63" t="s">
        <v>381</v>
      </c>
      <c r="B231" s="63" t="s">
        <v>382</v>
      </c>
      <c r="C231" s="36">
        <v>4301011826</v>
      </c>
      <c r="D231" s="623">
        <v>4680115884137</v>
      </c>
      <c r="E231" s="623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113</v>
      </c>
      <c r="L231" s="37" t="s">
        <v>45</v>
      </c>
      <c r="M231" s="38" t="s">
        <v>112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ref="Y231:Y239" si="21">IFERROR(IF(X231="",0,CEILING((X231/$H231),1)*$H231),"")</f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383</v>
      </c>
      <c r="AG231" s="78"/>
      <c r="AJ231" s="84" t="s">
        <v>45</v>
      </c>
      <c r="AK231" s="84">
        <v>0</v>
      </c>
      <c r="BB231" s="297" t="s">
        <v>66</v>
      </c>
      <c r="BM231" s="78">
        <f t="shared" ref="BM231:BM239" si="22">IFERROR(X231*I231/H231,"0")</f>
        <v>0</v>
      </c>
      <c r="BN231" s="78">
        <f t="shared" ref="BN231:BN239" si="23">IFERROR(Y231*I231/H231,"0")</f>
        <v>0</v>
      </c>
      <c r="BO231" s="78">
        <f t="shared" ref="BO231:BO239" si="24">IFERROR(1/J231*(X231/H231),"0")</f>
        <v>0</v>
      </c>
      <c r="BP231" s="78">
        <f t="shared" ref="BP231:BP239" si="25">IFERROR(1/J231*(Y231/H231),"0")</f>
        <v>0</v>
      </c>
    </row>
    <row r="232" spans="1:68" ht="27" customHeight="1" x14ac:dyDescent="0.25">
      <c r="A232" s="63" t="s">
        <v>384</v>
      </c>
      <c r="B232" s="63" t="s">
        <v>385</v>
      </c>
      <c r="C232" s="36">
        <v>4301011724</v>
      </c>
      <c r="D232" s="623">
        <v>4680115884236</v>
      </c>
      <c r="E232" s="623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113</v>
      </c>
      <c r="L232" s="37" t="s">
        <v>45</v>
      </c>
      <c r="M232" s="38" t="s">
        <v>112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386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387</v>
      </c>
      <c r="B233" s="63" t="s">
        <v>388</v>
      </c>
      <c r="C233" s="36">
        <v>4301011721</v>
      </c>
      <c r="D233" s="623">
        <v>4680115884175</v>
      </c>
      <c r="E233" s="62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113</v>
      </c>
      <c r="L233" s="37" t="s">
        <v>45</v>
      </c>
      <c r="M233" s="38" t="s">
        <v>112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389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390</v>
      </c>
      <c r="B234" s="63" t="s">
        <v>391</v>
      </c>
      <c r="C234" s="36">
        <v>4301011824</v>
      </c>
      <c r="D234" s="623">
        <v>4680115884144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116</v>
      </c>
      <c r="L234" s="37" t="s">
        <v>45</v>
      </c>
      <c r="M234" s="38" t="s">
        <v>112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383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390</v>
      </c>
      <c r="B235" s="63" t="s">
        <v>392</v>
      </c>
      <c r="C235" s="36">
        <v>4301012196</v>
      </c>
      <c r="D235" s="623">
        <v>4680115884144</v>
      </c>
      <c r="E235" s="623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116</v>
      </c>
      <c r="L235" s="37" t="s">
        <v>45</v>
      </c>
      <c r="M235" s="38" t="s">
        <v>112</v>
      </c>
      <c r="N235" s="38"/>
      <c r="O235" s="37">
        <v>55</v>
      </c>
      <c r="P235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5"/>
      <c r="R235" s="625"/>
      <c r="S235" s="625"/>
      <c r="T235" s="62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383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393</v>
      </c>
      <c r="B236" s="63" t="s">
        <v>394</v>
      </c>
      <c r="C236" s="36">
        <v>4301012149</v>
      </c>
      <c r="D236" s="623">
        <v>4680115886551</v>
      </c>
      <c r="E236" s="62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116</v>
      </c>
      <c r="L236" s="37" t="s">
        <v>45</v>
      </c>
      <c r="M236" s="38" t="s">
        <v>112</v>
      </c>
      <c r="N236" s="38"/>
      <c r="O236" s="37">
        <v>55</v>
      </c>
      <c r="P236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625"/>
      <c r="R236" s="625"/>
      <c r="S236" s="625"/>
      <c r="T236" s="62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395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396</v>
      </c>
      <c r="B237" s="63" t="s">
        <v>397</v>
      </c>
      <c r="C237" s="36">
        <v>4301012228</v>
      </c>
      <c r="D237" s="623">
        <v>4680115887282</v>
      </c>
      <c r="E237" s="623"/>
      <c r="F237" s="62">
        <v>0.4</v>
      </c>
      <c r="G237" s="37">
        <v>6</v>
      </c>
      <c r="H237" s="62">
        <v>2.4</v>
      </c>
      <c r="I237" s="62">
        <v>2.58</v>
      </c>
      <c r="J237" s="37">
        <v>182</v>
      </c>
      <c r="K237" s="37" t="s">
        <v>81</v>
      </c>
      <c r="L237" s="37" t="s">
        <v>45</v>
      </c>
      <c r="M237" s="38" t="s">
        <v>112</v>
      </c>
      <c r="N237" s="38"/>
      <c r="O237" s="37">
        <v>55</v>
      </c>
      <c r="P237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625"/>
      <c r="R237" s="625"/>
      <c r="S237" s="625"/>
      <c r="T237" s="62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IFERROR(IF(Y237=0,"",ROUNDUP(Y237/H237,0)*0.00651),"")</f>
        <v/>
      </c>
      <c r="AA237" s="68" t="s">
        <v>45</v>
      </c>
      <c r="AB237" s="69" t="s">
        <v>45</v>
      </c>
      <c r="AC237" s="308" t="s">
        <v>398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399</v>
      </c>
      <c r="B238" s="63" t="s">
        <v>400</v>
      </c>
      <c r="C238" s="36">
        <v>4301011722</v>
      </c>
      <c r="D238" s="623">
        <v>4680115884205</v>
      </c>
      <c r="E238" s="62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116</v>
      </c>
      <c r="L238" s="37" t="s">
        <v>45</v>
      </c>
      <c r="M238" s="38" t="s">
        <v>112</v>
      </c>
      <c r="N238" s="38"/>
      <c r="O238" s="37">
        <v>55</v>
      </c>
      <c r="P238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389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399</v>
      </c>
      <c r="B239" s="63" t="s">
        <v>401</v>
      </c>
      <c r="C239" s="36">
        <v>4301012195</v>
      </c>
      <c r="D239" s="623">
        <v>4680115884205</v>
      </c>
      <c r="E239" s="623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116</v>
      </c>
      <c r="L239" s="37" t="s">
        <v>45</v>
      </c>
      <c r="M239" s="38" t="s">
        <v>112</v>
      </c>
      <c r="N239" s="38"/>
      <c r="O239" s="37">
        <v>55</v>
      </c>
      <c r="P239" s="7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5"/>
      <c r="R239" s="625"/>
      <c r="S239" s="625"/>
      <c r="T239" s="62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389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x14ac:dyDescent="0.2">
      <c r="A240" s="631"/>
      <c r="B240" s="631"/>
      <c r="C240" s="631"/>
      <c r="D240" s="631"/>
      <c r="E240" s="631"/>
      <c r="F240" s="631"/>
      <c r="G240" s="631"/>
      <c r="H240" s="631"/>
      <c r="I240" s="631"/>
      <c r="J240" s="631"/>
      <c r="K240" s="631"/>
      <c r="L240" s="631"/>
      <c r="M240" s="631"/>
      <c r="N240" s="631"/>
      <c r="O240" s="632"/>
      <c r="P240" s="628" t="s">
        <v>40</v>
      </c>
      <c r="Q240" s="629"/>
      <c r="R240" s="629"/>
      <c r="S240" s="629"/>
      <c r="T240" s="629"/>
      <c r="U240" s="629"/>
      <c r="V240" s="630"/>
      <c r="W240" s="42" t="s">
        <v>39</v>
      </c>
      <c r="X240" s="43">
        <f>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31"/>
      <c r="B241" s="631"/>
      <c r="C241" s="631"/>
      <c r="D241" s="631"/>
      <c r="E241" s="631"/>
      <c r="F241" s="631"/>
      <c r="G241" s="631"/>
      <c r="H241" s="631"/>
      <c r="I241" s="631"/>
      <c r="J241" s="631"/>
      <c r="K241" s="631"/>
      <c r="L241" s="631"/>
      <c r="M241" s="631"/>
      <c r="N241" s="631"/>
      <c r="O241" s="632"/>
      <c r="P241" s="628" t="s">
        <v>40</v>
      </c>
      <c r="Q241" s="629"/>
      <c r="R241" s="629"/>
      <c r="S241" s="629"/>
      <c r="T241" s="629"/>
      <c r="U241" s="629"/>
      <c r="V241" s="630"/>
      <c r="W241" s="42" t="s">
        <v>0</v>
      </c>
      <c r="X241" s="43">
        <f>IFERROR(SUM(X231:X239),"0")</f>
        <v>0</v>
      </c>
      <c r="Y241" s="43">
        <f>IFERROR(SUM(Y231:Y239),"0")</f>
        <v>0</v>
      </c>
      <c r="Z241" s="42"/>
      <c r="AA241" s="67"/>
      <c r="AB241" s="67"/>
      <c r="AC241" s="67"/>
    </row>
    <row r="242" spans="1:68" ht="14.25" customHeight="1" x14ac:dyDescent="0.25">
      <c r="A242" s="622" t="s">
        <v>141</v>
      </c>
      <c r="B242" s="622"/>
      <c r="C242" s="622"/>
      <c r="D242" s="622"/>
      <c r="E242" s="622"/>
      <c r="F242" s="622"/>
      <c r="G242" s="622"/>
      <c r="H242" s="622"/>
      <c r="I242" s="622"/>
      <c r="J242" s="622"/>
      <c r="K242" s="622"/>
      <c r="L242" s="622"/>
      <c r="M242" s="622"/>
      <c r="N242" s="622"/>
      <c r="O242" s="622"/>
      <c r="P242" s="622"/>
      <c r="Q242" s="622"/>
      <c r="R242" s="622"/>
      <c r="S242" s="622"/>
      <c r="T242" s="622"/>
      <c r="U242" s="622"/>
      <c r="V242" s="622"/>
      <c r="W242" s="622"/>
      <c r="X242" s="622"/>
      <c r="Y242" s="622"/>
      <c r="Z242" s="622"/>
      <c r="AA242" s="66"/>
      <c r="AB242" s="66"/>
      <c r="AC242" s="80"/>
    </row>
    <row r="243" spans="1:68" ht="27" customHeight="1" x14ac:dyDescent="0.25">
      <c r="A243" s="63" t="s">
        <v>402</v>
      </c>
      <c r="B243" s="63" t="s">
        <v>403</v>
      </c>
      <c r="C243" s="36">
        <v>4301020377</v>
      </c>
      <c r="D243" s="623">
        <v>4680115885981</v>
      </c>
      <c r="E243" s="623"/>
      <c r="F243" s="62">
        <v>0.33</v>
      </c>
      <c r="G243" s="37">
        <v>6</v>
      </c>
      <c r="H243" s="62">
        <v>1.98</v>
      </c>
      <c r="I243" s="62">
        <v>2.08</v>
      </c>
      <c r="J243" s="37">
        <v>234</v>
      </c>
      <c r="K243" s="37" t="s">
        <v>85</v>
      </c>
      <c r="L243" s="37" t="s">
        <v>45</v>
      </c>
      <c r="M243" s="38" t="s">
        <v>90</v>
      </c>
      <c r="N243" s="38"/>
      <c r="O243" s="37">
        <v>50</v>
      </c>
      <c r="P243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625"/>
      <c r="R243" s="625"/>
      <c r="S243" s="625"/>
      <c r="T243" s="626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IFERROR(IF(Y243=0,"",ROUNDUP(Y243/H243,0)*0.00502),"")</f>
        <v/>
      </c>
      <c r="AA243" s="68" t="s">
        <v>45</v>
      </c>
      <c r="AB243" s="69" t="s">
        <v>45</v>
      </c>
      <c r="AC243" s="314" t="s">
        <v>404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31"/>
      <c r="B244" s="631"/>
      <c r="C244" s="631"/>
      <c r="D244" s="631"/>
      <c r="E244" s="631"/>
      <c r="F244" s="631"/>
      <c r="G244" s="631"/>
      <c r="H244" s="631"/>
      <c r="I244" s="631"/>
      <c r="J244" s="631"/>
      <c r="K244" s="631"/>
      <c r="L244" s="631"/>
      <c r="M244" s="631"/>
      <c r="N244" s="631"/>
      <c r="O244" s="632"/>
      <c r="P244" s="628" t="s">
        <v>40</v>
      </c>
      <c r="Q244" s="629"/>
      <c r="R244" s="629"/>
      <c r="S244" s="629"/>
      <c r="T244" s="629"/>
      <c r="U244" s="629"/>
      <c r="V244" s="630"/>
      <c r="W244" s="42" t="s">
        <v>39</v>
      </c>
      <c r="X244" s="43">
        <f>IFERROR(X243/H243,"0")</f>
        <v>0</v>
      </c>
      <c r="Y244" s="43">
        <f>IFERROR(Y243/H243,"0")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631"/>
      <c r="B245" s="631"/>
      <c r="C245" s="631"/>
      <c r="D245" s="631"/>
      <c r="E245" s="631"/>
      <c r="F245" s="631"/>
      <c r="G245" s="631"/>
      <c r="H245" s="631"/>
      <c r="I245" s="631"/>
      <c r="J245" s="631"/>
      <c r="K245" s="631"/>
      <c r="L245" s="631"/>
      <c r="M245" s="631"/>
      <c r="N245" s="631"/>
      <c r="O245" s="632"/>
      <c r="P245" s="628" t="s">
        <v>40</v>
      </c>
      <c r="Q245" s="629"/>
      <c r="R245" s="629"/>
      <c r="S245" s="629"/>
      <c r="T245" s="629"/>
      <c r="U245" s="629"/>
      <c r="V245" s="630"/>
      <c r="W245" s="42" t="s">
        <v>0</v>
      </c>
      <c r="X245" s="43">
        <f>IFERROR(SUM(X243:X243),"0")</f>
        <v>0</v>
      </c>
      <c r="Y245" s="43">
        <f>IFERROR(SUM(Y243:Y243),"0")</f>
        <v>0</v>
      </c>
      <c r="Z245" s="42"/>
      <c r="AA245" s="67"/>
      <c r="AB245" s="67"/>
      <c r="AC245" s="67"/>
    </row>
    <row r="246" spans="1:68" ht="14.25" customHeight="1" x14ac:dyDescent="0.25">
      <c r="A246" s="622" t="s">
        <v>405</v>
      </c>
      <c r="B246" s="622"/>
      <c r="C246" s="622"/>
      <c r="D246" s="622"/>
      <c r="E246" s="622"/>
      <c r="F246" s="622"/>
      <c r="G246" s="622"/>
      <c r="H246" s="622"/>
      <c r="I246" s="622"/>
      <c r="J246" s="622"/>
      <c r="K246" s="622"/>
      <c r="L246" s="622"/>
      <c r="M246" s="622"/>
      <c r="N246" s="622"/>
      <c r="O246" s="622"/>
      <c r="P246" s="622"/>
      <c r="Q246" s="622"/>
      <c r="R246" s="622"/>
      <c r="S246" s="622"/>
      <c r="T246" s="622"/>
      <c r="U246" s="622"/>
      <c r="V246" s="622"/>
      <c r="W246" s="622"/>
      <c r="X246" s="622"/>
      <c r="Y246" s="622"/>
      <c r="Z246" s="622"/>
      <c r="AA246" s="66"/>
      <c r="AB246" s="66"/>
      <c r="AC246" s="80"/>
    </row>
    <row r="247" spans="1:68" ht="27" customHeight="1" x14ac:dyDescent="0.25">
      <c r="A247" s="63" t="s">
        <v>406</v>
      </c>
      <c r="B247" s="63" t="s">
        <v>407</v>
      </c>
      <c r="C247" s="36">
        <v>4301040362</v>
      </c>
      <c r="D247" s="623">
        <v>4680115886803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311</v>
      </c>
      <c r="L247" s="37" t="s">
        <v>45</v>
      </c>
      <c r="M247" s="38" t="s">
        <v>292</v>
      </c>
      <c r="N247" s="38"/>
      <c r="O247" s="37">
        <v>45</v>
      </c>
      <c r="P247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6" t="s">
        <v>408</v>
      </c>
      <c r="AG247" s="78"/>
      <c r="AJ247" s="84" t="s">
        <v>45</v>
      </c>
      <c r="AK247" s="84">
        <v>0</v>
      </c>
      <c r="BB247" s="31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31"/>
      <c r="B248" s="631"/>
      <c r="C248" s="631"/>
      <c r="D248" s="631"/>
      <c r="E248" s="631"/>
      <c r="F248" s="631"/>
      <c r="G248" s="631"/>
      <c r="H248" s="631"/>
      <c r="I248" s="631"/>
      <c r="J248" s="631"/>
      <c r="K248" s="631"/>
      <c r="L248" s="631"/>
      <c r="M248" s="631"/>
      <c r="N248" s="631"/>
      <c r="O248" s="632"/>
      <c r="P248" s="628" t="s">
        <v>40</v>
      </c>
      <c r="Q248" s="629"/>
      <c r="R248" s="629"/>
      <c r="S248" s="629"/>
      <c r="T248" s="629"/>
      <c r="U248" s="629"/>
      <c r="V248" s="630"/>
      <c r="W248" s="42" t="s">
        <v>39</v>
      </c>
      <c r="X248" s="43">
        <f>IFERROR(X247/H247,"0")</f>
        <v>0</v>
      </c>
      <c r="Y248" s="43">
        <f>IFERROR(Y247/H247,"0")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631"/>
      <c r="B249" s="631"/>
      <c r="C249" s="631"/>
      <c r="D249" s="631"/>
      <c r="E249" s="631"/>
      <c r="F249" s="631"/>
      <c r="G249" s="631"/>
      <c r="H249" s="631"/>
      <c r="I249" s="631"/>
      <c r="J249" s="631"/>
      <c r="K249" s="631"/>
      <c r="L249" s="631"/>
      <c r="M249" s="631"/>
      <c r="N249" s="631"/>
      <c r="O249" s="632"/>
      <c r="P249" s="628" t="s">
        <v>40</v>
      </c>
      <c r="Q249" s="629"/>
      <c r="R249" s="629"/>
      <c r="S249" s="629"/>
      <c r="T249" s="629"/>
      <c r="U249" s="629"/>
      <c r="V249" s="630"/>
      <c r="W249" s="42" t="s">
        <v>0</v>
      </c>
      <c r="X249" s="43">
        <f>IFERROR(SUM(X247:X247),"0")</f>
        <v>0</v>
      </c>
      <c r="Y249" s="43">
        <f>IFERROR(SUM(Y247:Y247),"0")</f>
        <v>0</v>
      </c>
      <c r="Z249" s="42"/>
      <c r="AA249" s="67"/>
      <c r="AB249" s="67"/>
      <c r="AC249" s="67"/>
    </row>
    <row r="250" spans="1:68" ht="14.25" customHeight="1" x14ac:dyDescent="0.25">
      <c r="A250" s="622" t="s">
        <v>409</v>
      </c>
      <c r="B250" s="622"/>
      <c r="C250" s="622"/>
      <c r="D250" s="622"/>
      <c r="E250" s="622"/>
      <c r="F250" s="622"/>
      <c r="G250" s="622"/>
      <c r="H250" s="622"/>
      <c r="I250" s="622"/>
      <c r="J250" s="622"/>
      <c r="K250" s="622"/>
      <c r="L250" s="622"/>
      <c r="M250" s="622"/>
      <c r="N250" s="622"/>
      <c r="O250" s="622"/>
      <c r="P250" s="622"/>
      <c r="Q250" s="622"/>
      <c r="R250" s="622"/>
      <c r="S250" s="622"/>
      <c r="T250" s="622"/>
      <c r="U250" s="622"/>
      <c r="V250" s="622"/>
      <c r="W250" s="622"/>
      <c r="X250" s="622"/>
      <c r="Y250" s="622"/>
      <c r="Z250" s="622"/>
      <c r="AA250" s="66"/>
      <c r="AB250" s="66"/>
      <c r="AC250" s="80"/>
    </row>
    <row r="251" spans="1:68" ht="27" customHeight="1" x14ac:dyDescent="0.25">
      <c r="A251" s="63" t="s">
        <v>410</v>
      </c>
      <c r="B251" s="63" t="s">
        <v>411</v>
      </c>
      <c r="C251" s="36">
        <v>4301041004</v>
      </c>
      <c r="D251" s="623">
        <v>4680115886704</v>
      </c>
      <c r="E251" s="623"/>
      <c r="F251" s="62">
        <v>5.5E-2</v>
      </c>
      <c r="G251" s="37">
        <v>18</v>
      </c>
      <c r="H251" s="62">
        <v>0.99</v>
      </c>
      <c r="I251" s="62">
        <v>1.18</v>
      </c>
      <c r="J251" s="37">
        <v>216</v>
      </c>
      <c r="K251" s="37" t="s">
        <v>311</v>
      </c>
      <c r="L251" s="37" t="s">
        <v>45</v>
      </c>
      <c r="M251" s="38" t="s">
        <v>292</v>
      </c>
      <c r="N251" s="38"/>
      <c r="O251" s="37">
        <v>90</v>
      </c>
      <c r="P251" s="74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625"/>
      <c r="R251" s="625"/>
      <c r="S251" s="625"/>
      <c r="T251" s="626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412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413</v>
      </c>
      <c r="B252" s="63" t="s">
        <v>414</v>
      </c>
      <c r="C252" s="36">
        <v>4301041008</v>
      </c>
      <c r="D252" s="623">
        <v>4680115886681</v>
      </c>
      <c r="E252" s="623"/>
      <c r="F252" s="62">
        <v>0.12</v>
      </c>
      <c r="G252" s="37">
        <v>15</v>
      </c>
      <c r="H252" s="62">
        <v>1.8</v>
      </c>
      <c r="I252" s="62">
        <v>1.9750000000000001</v>
      </c>
      <c r="J252" s="37">
        <v>216</v>
      </c>
      <c r="K252" s="37" t="s">
        <v>311</v>
      </c>
      <c r="L252" s="37" t="s">
        <v>45</v>
      </c>
      <c r="M252" s="38" t="s">
        <v>292</v>
      </c>
      <c r="N252" s="38"/>
      <c r="O252" s="37">
        <v>90</v>
      </c>
      <c r="P252" s="74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625"/>
      <c r="R252" s="625"/>
      <c r="S252" s="625"/>
      <c r="T252" s="626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415</v>
      </c>
      <c r="B253" s="63" t="s">
        <v>416</v>
      </c>
      <c r="C253" s="36">
        <v>4301041007</v>
      </c>
      <c r="D253" s="623">
        <v>4680115886735</v>
      </c>
      <c r="E253" s="623"/>
      <c r="F253" s="62">
        <v>0.05</v>
      </c>
      <c r="G253" s="37">
        <v>18</v>
      </c>
      <c r="H253" s="62">
        <v>0.9</v>
      </c>
      <c r="I253" s="62">
        <v>1.0900000000000001</v>
      </c>
      <c r="J253" s="37">
        <v>216</v>
      </c>
      <c r="K253" s="37" t="s">
        <v>311</v>
      </c>
      <c r="L253" s="37" t="s">
        <v>45</v>
      </c>
      <c r="M253" s="38" t="s">
        <v>292</v>
      </c>
      <c r="N253" s="38"/>
      <c r="O253" s="37">
        <v>90</v>
      </c>
      <c r="P253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625"/>
      <c r="R253" s="625"/>
      <c r="S253" s="625"/>
      <c r="T253" s="62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417</v>
      </c>
      <c r="B254" s="63" t="s">
        <v>418</v>
      </c>
      <c r="C254" s="36">
        <v>4301041006</v>
      </c>
      <c r="D254" s="623">
        <v>4680115886728</v>
      </c>
      <c r="E254" s="623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311</v>
      </c>
      <c r="L254" s="37" t="s">
        <v>45</v>
      </c>
      <c r="M254" s="38" t="s">
        <v>292</v>
      </c>
      <c r="N254" s="38"/>
      <c r="O254" s="37">
        <v>90</v>
      </c>
      <c r="P254" s="75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625"/>
      <c r="R254" s="625"/>
      <c r="S254" s="625"/>
      <c r="T254" s="62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419</v>
      </c>
      <c r="B255" s="63" t="s">
        <v>420</v>
      </c>
      <c r="C255" s="36">
        <v>4301041005</v>
      </c>
      <c r="D255" s="623">
        <v>4680115886711</v>
      </c>
      <c r="E255" s="623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311</v>
      </c>
      <c r="L255" s="37" t="s">
        <v>45</v>
      </c>
      <c r="M255" s="38" t="s">
        <v>292</v>
      </c>
      <c r="N255" s="38"/>
      <c r="O255" s="37">
        <v>90</v>
      </c>
      <c r="P255" s="75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412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31"/>
      <c r="B256" s="631"/>
      <c r="C256" s="631"/>
      <c r="D256" s="631"/>
      <c r="E256" s="631"/>
      <c r="F256" s="631"/>
      <c r="G256" s="631"/>
      <c r="H256" s="631"/>
      <c r="I256" s="631"/>
      <c r="J256" s="631"/>
      <c r="K256" s="631"/>
      <c r="L256" s="631"/>
      <c r="M256" s="631"/>
      <c r="N256" s="631"/>
      <c r="O256" s="632"/>
      <c r="P256" s="628" t="s">
        <v>40</v>
      </c>
      <c r="Q256" s="629"/>
      <c r="R256" s="629"/>
      <c r="S256" s="629"/>
      <c r="T256" s="629"/>
      <c r="U256" s="629"/>
      <c r="V256" s="630"/>
      <c r="W256" s="42" t="s">
        <v>39</v>
      </c>
      <c r="X256" s="43">
        <f>IFERROR(X251/H251,"0")+IFERROR(X252/H252,"0")+IFERROR(X253/H253,"0")+IFERROR(X254/H254,"0")+IFERROR(X255/H255,"0")</f>
        <v>0</v>
      </c>
      <c r="Y256" s="43">
        <f>IFERROR(Y251/H251,"0")+IFERROR(Y252/H252,"0")+IFERROR(Y253/H253,"0")+IFERROR(Y254/H254,"0")+IFERROR(Y255/H255,"0")</f>
        <v>0</v>
      </c>
      <c r="Z256" s="43">
        <f>IFERROR(IF(Z251="",0,Z251),"0")+IFERROR(IF(Z252="",0,Z252),"0")+IFERROR(IF(Z253="",0,Z253),"0")+IFERROR(IF(Z254="",0,Z254),"0")+IFERROR(IF(Z255="",0,Z255),"0")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631"/>
      <c r="B257" s="631"/>
      <c r="C257" s="631"/>
      <c r="D257" s="631"/>
      <c r="E257" s="631"/>
      <c r="F257" s="631"/>
      <c r="G257" s="631"/>
      <c r="H257" s="631"/>
      <c r="I257" s="631"/>
      <c r="J257" s="631"/>
      <c r="K257" s="631"/>
      <c r="L257" s="631"/>
      <c r="M257" s="631"/>
      <c r="N257" s="631"/>
      <c r="O257" s="632"/>
      <c r="P257" s="628" t="s">
        <v>40</v>
      </c>
      <c r="Q257" s="629"/>
      <c r="R257" s="629"/>
      <c r="S257" s="629"/>
      <c r="T257" s="629"/>
      <c r="U257" s="629"/>
      <c r="V257" s="630"/>
      <c r="W257" s="42" t="s">
        <v>0</v>
      </c>
      <c r="X257" s="43">
        <f>IFERROR(SUM(X251:X255),"0")</f>
        <v>0</v>
      </c>
      <c r="Y257" s="43">
        <f>IFERROR(SUM(Y251:Y255),"0")</f>
        <v>0</v>
      </c>
      <c r="Z257" s="42"/>
      <c r="AA257" s="67"/>
      <c r="AB257" s="67"/>
      <c r="AC257" s="67"/>
    </row>
    <row r="258" spans="1:68" ht="16.5" customHeight="1" x14ac:dyDescent="0.25">
      <c r="A258" s="621" t="s">
        <v>421</v>
      </c>
      <c r="B258" s="621"/>
      <c r="C258" s="621"/>
      <c r="D258" s="621"/>
      <c r="E258" s="621"/>
      <c r="F258" s="621"/>
      <c r="G258" s="621"/>
      <c r="H258" s="621"/>
      <c r="I258" s="621"/>
      <c r="J258" s="621"/>
      <c r="K258" s="621"/>
      <c r="L258" s="621"/>
      <c r="M258" s="621"/>
      <c r="N258" s="621"/>
      <c r="O258" s="621"/>
      <c r="P258" s="621"/>
      <c r="Q258" s="621"/>
      <c r="R258" s="621"/>
      <c r="S258" s="621"/>
      <c r="T258" s="621"/>
      <c r="U258" s="621"/>
      <c r="V258" s="621"/>
      <c r="W258" s="621"/>
      <c r="X258" s="621"/>
      <c r="Y258" s="621"/>
      <c r="Z258" s="621"/>
      <c r="AA258" s="65"/>
      <c r="AB258" s="65"/>
      <c r="AC258" s="79"/>
    </row>
    <row r="259" spans="1:68" ht="14.25" customHeight="1" x14ac:dyDescent="0.25">
      <c r="A259" s="622" t="s">
        <v>108</v>
      </c>
      <c r="B259" s="622"/>
      <c r="C259" s="622"/>
      <c r="D259" s="622"/>
      <c r="E259" s="622"/>
      <c r="F259" s="622"/>
      <c r="G259" s="622"/>
      <c r="H259" s="622"/>
      <c r="I259" s="622"/>
      <c r="J259" s="622"/>
      <c r="K259" s="622"/>
      <c r="L259" s="622"/>
      <c r="M259" s="622"/>
      <c r="N259" s="622"/>
      <c r="O259" s="622"/>
      <c r="P259" s="622"/>
      <c r="Q259" s="622"/>
      <c r="R259" s="622"/>
      <c r="S259" s="622"/>
      <c r="T259" s="622"/>
      <c r="U259" s="622"/>
      <c r="V259" s="622"/>
      <c r="W259" s="622"/>
      <c r="X259" s="622"/>
      <c r="Y259" s="622"/>
      <c r="Z259" s="622"/>
      <c r="AA259" s="66"/>
      <c r="AB259" s="66"/>
      <c r="AC259" s="80"/>
    </row>
    <row r="260" spans="1:68" ht="27" customHeight="1" x14ac:dyDescent="0.25">
      <c r="A260" s="63" t="s">
        <v>422</v>
      </c>
      <c r="B260" s="63" t="s">
        <v>423</v>
      </c>
      <c r="C260" s="36">
        <v>4301011855</v>
      </c>
      <c r="D260" s="623">
        <v>4680115885837</v>
      </c>
      <c r="E260" s="62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113</v>
      </c>
      <c r="L260" s="37" t="s">
        <v>45</v>
      </c>
      <c r="M260" s="38" t="s">
        <v>112</v>
      </c>
      <c r="N260" s="38"/>
      <c r="O260" s="37">
        <v>55</v>
      </c>
      <c r="P260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25"/>
      <c r="R260" s="625"/>
      <c r="S260" s="625"/>
      <c r="T260" s="626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424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37.5" customHeight="1" x14ac:dyDescent="0.25">
      <c r="A261" s="63" t="s">
        <v>425</v>
      </c>
      <c r="B261" s="63" t="s">
        <v>426</v>
      </c>
      <c r="C261" s="36">
        <v>4301011853</v>
      </c>
      <c r="D261" s="623">
        <v>4680115885851</v>
      </c>
      <c r="E261" s="6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113</v>
      </c>
      <c r="L261" s="37" t="s">
        <v>45</v>
      </c>
      <c r="M261" s="38" t="s">
        <v>112</v>
      </c>
      <c r="N261" s="38"/>
      <c r="O261" s="37">
        <v>55</v>
      </c>
      <c r="P261" s="7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625"/>
      <c r="R261" s="625"/>
      <c r="S261" s="625"/>
      <c r="T261" s="626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427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428</v>
      </c>
      <c r="B262" s="63" t="s">
        <v>429</v>
      </c>
      <c r="C262" s="36">
        <v>4301011850</v>
      </c>
      <c r="D262" s="623">
        <v>4680115885806</v>
      </c>
      <c r="E262" s="6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113</v>
      </c>
      <c r="L262" s="37" t="s">
        <v>45</v>
      </c>
      <c r="M262" s="38" t="s">
        <v>112</v>
      </c>
      <c r="N262" s="38"/>
      <c r="O262" s="37">
        <v>55</v>
      </c>
      <c r="P262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25"/>
      <c r="R262" s="625"/>
      <c r="S262" s="625"/>
      <c r="T262" s="62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430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431</v>
      </c>
      <c r="B263" s="63" t="s">
        <v>432</v>
      </c>
      <c r="C263" s="36">
        <v>4301011852</v>
      </c>
      <c r="D263" s="623">
        <v>4680115885844</v>
      </c>
      <c r="E263" s="623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116</v>
      </c>
      <c r="L263" s="37" t="s">
        <v>45</v>
      </c>
      <c r="M263" s="38" t="s">
        <v>112</v>
      </c>
      <c r="N263" s="38"/>
      <c r="O263" s="37">
        <v>55</v>
      </c>
      <c r="P263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625"/>
      <c r="R263" s="625"/>
      <c r="S263" s="625"/>
      <c r="T263" s="62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433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434</v>
      </c>
      <c r="B264" s="63" t="s">
        <v>435</v>
      </c>
      <c r="C264" s="36">
        <v>4301011851</v>
      </c>
      <c r="D264" s="623">
        <v>4680115885820</v>
      </c>
      <c r="E264" s="623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116</v>
      </c>
      <c r="L264" s="37" t="s">
        <v>45</v>
      </c>
      <c r="M264" s="38" t="s">
        <v>112</v>
      </c>
      <c r="N264" s="38"/>
      <c r="O264" s="37">
        <v>55</v>
      </c>
      <c r="P264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436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31"/>
      <c r="B265" s="631"/>
      <c r="C265" s="631"/>
      <c r="D265" s="631"/>
      <c r="E265" s="631"/>
      <c r="F265" s="631"/>
      <c r="G265" s="631"/>
      <c r="H265" s="631"/>
      <c r="I265" s="631"/>
      <c r="J265" s="631"/>
      <c r="K265" s="631"/>
      <c r="L265" s="631"/>
      <c r="M265" s="631"/>
      <c r="N265" s="631"/>
      <c r="O265" s="632"/>
      <c r="P265" s="628" t="s">
        <v>40</v>
      </c>
      <c r="Q265" s="629"/>
      <c r="R265" s="629"/>
      <c r="S265" s="629"/>
      <c r="T265" s="629"/>
      <c r="U265" s="629"/>
      <c r="V265" s="630"/>
      <c r="W265" s="42" t="s">
        <v>39</v>
      </c>
      <c r="X265" s="43">
        <f>IFERROR(X260/H260,"0")+IFERROR(X261/H261,"0")+IFERROR(X262/H262,"0")+IFERROR(X263/H263,"0")+IFERROR(X264/H264,"0")</f>
        <v>0</v>
      </c>
      <c r="Y265" s="43">
        <f>IFERROR(Y260/H260,"0")+IFERROR(Y261/H261,"0")+IFERROR(Y262/H262,"0")+IFERROR(Y263/H263,"0")+IFERROR(Y264/H264,"0")</f>
        <v>0</v>
      </c>
      <c r="Z265" s="43">
        <f>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31"/>
      <c r="B266" s="631"/>
      <c r="C266" s="631"/>
      <c r="D266" s="631"/>
      <c r="E266" s="631"/>
      <c r="F266" s="631"/>
      <c r="G266" s="631"/>
      <c r="H266" s="631"/>
      <c r="I266" s="631"/>
      <c r="J266" s="631"/>
      <c r="K266" s="631"/>
      <c r="L266" s="631"/>
      <c r="M266" s="631"/>
      <c r="N266" s="631"/>
      <c r="O266" s="632"/>
      <c r="P266" s="628" t="s">
        <v>40</v>
      </c>
      <c r="Q266" s="629"/>
      <c r="R266" s="629"/>
      <c r="S266" s="629"/>
      <c r="T266" s="629"/>
      <c r="U266" s="629"/>
      <c r="V266" s="630"/>
      <c r="W266" s="42" t="s">
        <v>0</v>
      </c>
      <c r="X266" s="43">
        <f>IFERROR(SUM(X260:X264),"0")</f>
        <v>0</v>
      </c>
      <c r="Y266" s="43">
        <f>IFERROR(SUM(Y260:Y264),"0")</f>
        <v>0</v>
      </c>
      <c r="Z266" s="42"/>
      <c r="AA266" s="67"/>
      <c r="AB266" s="67"/>
      <c r="AC266" s="67"/>
    </row>
    <row r="267" spans="1:68" ht="16.5" customHeight="1" x14ac:dyDescent="0.25">
      <c r="A267" s="621" t="s">
        <v>437</v>
      </c>
      <c r="B267" s="621"/>
      <c r="C267" s="621"/>
      <c r="D267" s="621"/>
      <c r="E267" s="621"/>
      <c r="F267" s="621"/>
      <c r="G267" s="621"/>
      <c r="H267" s="621"/>
      <c r="I267" s="621"/>
      <c r="J267" s="621"/>
      <c r="K267" s="621"/>
      <c r="L267" s="621"/>
      <c r="M267" s="621"/>
      <c r="N267" s="621"/>
      <c r="O267" s="621"/>
      <c r="P267" s="621"/>
      <c r="Q267" s="621"/>
      <c r="R267" s="621"/>
      <c r="S267" s="621"/>
      <c r="T267" s="621"/>
      <c r="U267" s="621"/>
      <c r="V267" s="621"/>
      <c r="W267" s="621"/>
      <c r="X267" s="621"/>
      <c r="Y267" s="621"/>
      <c r="Z267" s="621"/>
      <c r="AA267" s="65"/>
      <c r="AB267" s="65"/>
      <c r="AC267" s="79"/>
    </row>
    <row r="268" spans="1:68" ht="14.25" customHeight="1" x14ac:dyDescent="0.25">
      <c r="A268" s="622" t="s">
        <v>108</v>
      </c>
      <c r="B268" s="622"/>
      <c r="C268" s="622"/>
      <c r="D268" s="622"/>
      <c r="E268" s="622"/>
      <c r="F268" s="622"/>
      <c r="G268" s="622"/>
      <c r="H268" s="622"/>
      <c r="I268" s="622"/>
      <c r="J268" s="622"/>
      <c r="K268" s="622"/>
      <c r="L268" s="622"/>
      <c r="M268" s="622"/>
      <c r="N268" s="622"/>
      <c r="O268" s="622"/>
      <c r="P268" s="622"/>
      <c r="Q268" s="622"/>
      <c r="R268" s="622"/>
      <c r="S268" s="622"/>
      <c r="T268" s="622"/>
      <c r="U268" s="622"/>
      <c r="V268" s="622"/>
      <c r="W268" s="622"/>
      <c r="X268" s="622"/>
      <c r="Y268" s="622"/>
      <c r="Z268" s="622"/>
      <c r="AA268" s="66"/>
      <c r="AB268" s="66"/>
      <c r="AC268" s="80"/>
    </row>
    <row r="269" spans="1:68" ht="27" customHeight="1" x14ac:dyDescent="0.25">
      <c r="A269" s="63" t="s">
        <v>438</v>
      </c>
      <c r="B269" s="63" t="s">
        <v>439</v>
      </c>
      <c r="C269" s="36">
        <v>4301011223</v>
      </c>
      <c r="D269" s="623">
        <v>4607091383423</v>
      </c>
      <c r="E269" s="623"/>
      <c r="F269" s="62">
        <v>1.35</v>
      </c>
      <c r="G269" s="37">
        <v>8</v>
      </c>
      <c r="H269" s="62">
        <v>10.8</v>
      </c>
      <c r="I269" s="62">
        <v>11.305999999999999</v>
      </c>
      <c r="J269" s="37">
        <v>64</v>
      </c>
      <c r="K269" s="37" t="s">
        <v>113</v>
      </c>
      <c r="L269" s="37" t="s">
        <v>45</v>
      </c>
      <c r="M269" s="38" t="s">
        <v>90</v>
      </c>
      <c r="N269" s="38"/>
      <c r="O269" s="37">
        <v>35</v>
      </c>
      <c r="P269" s="7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25"/>
      <c r="R269" s="625"/>
      <c r="S269" s="625"/>
      <c r="T269" s="626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111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37.5" customHeight="1" x14ac:dyDescent="0.25">
      <c r="A270" s="63" t="s">
        <v>440</v>
      </c>
      <c r="B270" s="63" t="s">
        <v>441</v>
      </c>
      <c r="C270" s="36">
        <v>4301012199</v>
      </c>
      <c r="D270" s="623">
        <v>4680115886957</v>
      </c>
      <c r="E270" s="623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113</v>
      </c>
      <c r="L270" s="37" t="s">
        <v>45</v>
      </c>
      <c r="M270" s="38" t="s">
        <v>90</v>
      </c>
      <c r="N270" s="38"/>
      <c r="O270" s="37">
        <v>30</v>
      </c>
      <c r="P270" s="75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625"/>
      <c r="R270" s="625"/>
      <c r="S270" s="625"/>
      <c r="T270" s="626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442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customHeight="1" x14ac:dyDescent="0.25">
      <c r="A271" s="63" t="s">
        <v>443</v>
      </c>
      <c r="B271" s="63" t="s">
        <v>444</v>
      </c>
      <c r="C271" s="36">
        <v>4301012098</v>
      </c>
      <c r="D271" s="623">
        <v>4680115885660</v>
      </c>
      <c r="E271" s="62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113</v>
      </c>
      <c r="L271" s="37" t="s">
        <v>45</v>
      </c>
      <c r="M271" s="38" t="s">
        <v>90</v>
      </c>
      <c r="N271" s="38"/>
      <c r="O271" s="37">
        <v>35</v>
      </c>
      <c r="P271" s="75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25"/>
      <c r="R271" s="625"/>
      <c r="S271" s="625"/>
      <c r="T271" s="62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389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445</v>
      </c>
      <c r="B272" s="63" t="s">
        <v>446</v>
      </c>
      <c r="C272" s="36">
        <v>4301012176</v>
      </c>
      <c r="D272" s="623">
        <v>4680115886773</v>
      </c>
      <c r="E272" s="623"/>
      <c r="F272" s="62">
        <v>0.9</v>
      </c>
      <c r="G272" s="37">
        <v>10</v>
      </c>
      <c r="H272" s="62">
        <v>9</v>
      </c>
      <c r="I272" s="62">
        <v>9.41</v>
      </c>
      <c r="J272" s="37">
        <v>64</v>
      </c>
      <c r="K272" s="37" t="s">
        <v>113</v>
      </c>
      <c r="L272" s="37" t="s">
        <v>45</v>
      </c>
      <c r="M272" s="38" t="s">
        <v>112</v>
      </c>
      <c r="N272" s="38"/>
      <c r="O272" s="37">
        <v>31</v>
      </c>
      <c r="P272" s="76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447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31"/>
      <c r="B273" s="631"/>
      <c r="C273" s="631"/>
      <c r="D273" s="631"/>
      <c r="E273" s="631"/>
      <c r="F273" s="631"/>
      <c r="G273" s="631"/>
      <c r="H273" s="631"/>
      <c r="I273" s="631"/>
      <c r="J273" s="631"/>
      <c r="K273" s="631"/>
      <c r="L273" s="631"/>
      <c r="M273" s="631"/>
      <c r="N273" s="631"/>
      <c r="O273" s="632"/>
      <c r="P273" s="628" t="s">
        <v>40</v>
      </c>
      <c r="Q273" s="629"/>
      <c r="R273" s="629"/>
      <c r="S273" s="629"/>
      <c r="T273" s="629"/>
      <c r="U273" s="629"/>
      <c r="V273" s="630"/>
      <c r="W273" s="42" t="s">
        <v>39</v>
      </c>
      <c r="X273" s="43">
        <f>IFERROR(X269/H269,"0")+IFERROR(X270/H270,"0")+IFERROR(X271/H271,"0")+IFERROR(X272/H272,"0")</f>
        <v>0</v>
      </c>
      <c r="Y273" s="43">
        <f>IFERROR(Y269/H269,"0")+IFERROR(Y270/H270,"0")+IFERROR(Y271/H271,"0")+IFERROR(Y272/H272,"0")</f>
        <v>0</v>
      </c>
      <c r="Z273" s="43">
        <f>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31"/>
      <c r="B274" s="631"/>
      <c r="C274" s="631"/>
      <c r="D274" s="631"/>
      <c r="E274" s="631"/>
      <c r="F274" s="631"/>
      <c r="G274" s="631"/>
      <c r="H274" s="631"/>
      <c r="I274" s="631"/>
      <c r="J274" s="631"/>
      <c r="K274" s="631"/>
      <c r="L274" s="631"/>
      <c r="M274" s="631"/>
      <c r="N274" s="631"/>
      <c r="O274" s="632"/>
      <c r="P274" s="628" t="s">
        <v>40</v>
      </c>
      <c r="Q274" s="629"/>
      <c r="R274" s="629"/>
      <c r="S274" s="629"/>
      <c r="T274" s="629"/>
      <c r="U274" s="629"/>
      <c r="V274" s="630"/>
      <c r="W274" s="42" t="s">
        <v>0</v>
      </c>
      <c r="X274" s="43">
        <f>IFERROR(SUM(X269:X272),"0")</f>
        <v>0</v>
      </c>
      <c r="Y274" s="43">
        <f>IFERROR(SUM(Y269:Y272),"0")</f>
        <v>0</v>
      </c>
      <c r="Z274" s="42"/>
      <c r="AA274" s="67"/>
      <c r="AB274" s="67"/>
      <c r="AC274" s="67"/>
    </row>
    <row r="275" spans="1:68" ht="16.5" customHeight="1" x14ac:dyDescent="0.25">
      <c r="A275" s="621" t="s">
        <v>448</v>
      </c>
      <c r="B275" s="621"/>
      <c r="C275" s="621"/>
      <c r="D275" s="621"/>
      <c r="E275" s="621"/>
      <c r="F275" s="621"/>
      <c r="G275" s="621"/>
      <c r="H275" s="621"/>
      <c r="I275" s="621"/>
      <c r="J275" s="621"/>
      <c r="K275" s="621"/>
      <c r="L275" s="621"/>
      <c r="M275" s="621"/>
      <c r="N275" s="621"/>
      <c r="O275" s="621"/>
      <c r="P275" s="621"/>
      <c r="Q275" s="621"/>
      <c r="R275" s="621"/>
      <c r="S275" s="621"/>
      <c r="T275" s="621"/>
      <c r="U275" s="621"/>
      <c r="V275" s="621"/>
      <c r="W275" s="621"/>
      <c r="X275" s="621"/>
      <c r="Y275" s="621"/>
      <c r="Z275" s="621"/>
      <c r="AA275" s="65"/>
      <c r="AB275" s="65"/>
      <c r="AC275" s="79"/>
    </row>
    <row r="276" spans="1:68" ht="14.25" customHeight="1" x14ac:dyDescent="0.25">
      <c r="A276" s="622" t="s">
        <v>86</v>
      </c>
      <c r="B276" s="622"/>
      <c r="C276" s="622"/>
      <c r="D276" s="622"/>
      <c r="E276" s="622"/>
      <c r="F276" s="622"/>
      <c r="G276" s="622"/>
      <c r="H276" s="622"/>
      <c r="I276" s="622"/>
      <c r="J276" s="622"/>
      <c r="K276" s="622"/>
      <c r="L276" s="622"/>
      <c r="M276" s="622"/>
      <c r="N276" s="622"/>
      <c r="O276" s="622"/>
      <c r="P276" s="622"/>
      <c r="Q276" s="622"/>
      <c r="R276" s="622"/>
      <c r="S276" s="622"/>
      <c r="T276" s="622"/>
      <c r="U276" s="622"/>
      <c r="V276" s="622"/>
      <c r="W276" s="622"/>
      <c r="X276" s="622"/>
      <c r="Y276" s="622"/>
      <c r="Z276" s="622"/>
      <c r="AA276" s="66"/>
      <c r="AB276" s="66"/>
      <c r="AC276" s="80"/>
    </row>
    <row r="277" spans="1:68" ht="27" customHeight="1" x14ac:dyDescent="0.25">
      <c r="A277" s="63" t="s">
        <v>449</v>
      </c>
      <c r="B277" s="63" t="s">
        <v>450</v>
      </c>
      <c r="C277" s="36">
        <v>4301051893</v>
      </c>
      <c r="D277" s="623">
        <v>4680115886186</v>
      </c>
      <c r="E277" s="623"/>
      <c r="F277" s="62">
        <v>0.3</v>
      </c>
      <c r="G277" s="37">
        <v>6</v>
      </c>
      <c r="H277" s="62">
        <v>1.8</v>
      </c>
      <c r="I277" s="62">
        <v>1.98</v>
      </c>
      <c r="J277" s="37">
        <v>182</v>
      </c>
      <c r="K277" s="37" t="s">
        <v>81</v>
      </c>
      <c r="L277" s="37" t="s">
        <v>45</v>
      </c>
      <c r="M277" s="38" t="s">
        <v>90</v>
      </c>
      <c r="N277" s="38"/>
      <c r="O277" s="37">
        <v>45</v>
      </c>
      <c r="P277" s="76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625"/>
      <c r="R277" s="625"/>
      <c r="S277" s="625"/>
      <c r="T277" s="626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451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452</v>
      </c>
      <c r="B278" s="63" t="s">
        <v>453</v>
      </c>
      <c r="C278" s="36">
        <v>4301051795</v>
      </c>
      <c r="D278" s="623">
        <v>4680115881228</v>
      </c>
      <c r="E278" s="623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81</v>
      </c>
      <c r="L278" s="37" t="s">
        <v>45</v>
      </c>
      <c r="M278" s="38" t="s">
        <v>96</v>
      </c>
      <c r="N278" s="38"/>
      <c r="O278" s="37">
        <v>40</v>
      </c>
      <c r="P278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625"/>
      <c r="R278" s="625"/>
      <c r="S278" s="625"/>
      <c r="T278" s="626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454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455</v>
      </c>
      <c r="B279" s="63" t="s">
        <v>456</v>
      </c>
      <c r="C279" s="36">
        <v>4301051388</v>
      </c>
      <c r="D279" s="623">
        <v>4680115881211</v>
      </c>
      <c r="E279" s="623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451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31"/>
      <c r="B280" s="631"/>
      <c r="C280" s="631"/>
      <c r="D280" s="631"/>
      <c r="E280" s="631"/>
      <c r="F280" s="631"/>
      <c r="G280" s="631"/>
      <c r="H280" s="631"/>
      <c r="I280" s="631"/>
      <c r="J280" s="631"/>
      <c r="K280" s="631"/>
      <c r="L280" s="631"/>
      <c r="M280" s="631"/>
      <c r="N280" s="631"/>
      <c r="O280" s="632"/>
      <c r="P280" s="628" t="s">
        <v>40</v>
      </c>
      <c r="Q280" s="629"/>
      <c r="R280" s="629"/>
      <c r="S280" s="629"/>
      <c r="T280" s="629"/>
      <c r="U280" s="629"/>
      <c r="V280" s="630"/>
      <c r="W280" s="42" t="s">
        <v>39</v>
      </c>
      <c r="X280" s="43">
        <f>IFERROR(X277/H277,"0")+IFERROR(X278/H278,"0")+IFERROR(X279/H279,"0")</f>
        <v>0</v>
      </c>
      <c r="Y280" s="43">
        <f>IFERROR(Y277/H277,"0")+IFERROR(Y278/H278,"0")+IFERROR(Y279/H279,"0")</f>
        <v>0</v>
      </c>
      <c r="Z280" s="43">
        <f>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31"/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  <c r="L281" s="631"/>
      <c r="M281" s="631"/>
      <c r="N281" s="631"/>
      <c r="O281" s="632"/>
      <c r="P281" s="628" t="s">
        <v>40</v>
      </c>
      <c r="Q281" s="629"/>
      <c r="R281" s="629"/>
      <c r="S281" s="629"/>
      <c r="T281" s="629"/>
      <c r="U281" s="629"/>
      <c r="V281" s="630"/>
      <c r="W281" s="42" t="s">
        <v>0</v>
      </c>
      <c r="X281" s="43">
        <f>IFERROR(SUM(X277:X279),"0")</f>
        <v>0</v>
      </c>
      <c r="Y281" s="43">
        <f>IFERROR(SUM(Y277:Y279),"0")</f>
        <v>0</v>
      </c>
      <c r="Z281" s="42"/>
      <c r="AA281" s="67"/>
      <c r="AB281" s="67"/>
      <c r="AC281" s="67"/>
    </row>
    <row r="282" spans="1:68" ht="16.5" customHeight="1" x14ac:dyDescent="0.25">
      <c r="A282" s="621" t="s">
        <v>457</v>
      </c>
      <c r="B282" s="621"/>
      <c r="C282" s="621"/>
      <c r="D282" s="621"/>
      <c r="E282" s="621"/>
      <c r="F282" s="621"/>
      <c r="G282" s="621"/>
      <c r="H282" s="621"/>
      <c r="I282" s="621"/>
      <c r="J282" s="621"/>
      <c r="K282" s="621"/>
      <c r="L282" s="621"/>
      <c r="M282" s="621"/>
      <c r="N282" s="621"/>
      <c r="O282" s="621"/>
      <c r="P282" s="621"/>
      <c r="Q282" s="621"/>
      <c r="R282" s="621"/>
      <c r="S282" s="621"/>
      <c r="T282" s="621"/>
      <c r="U282" s="621"/>
      <c r="V282" s="621"/>
      <c r="W282" s="621"/>
      <c r="X282" s="621"/>
      <c r="Y282" s="621"/>
      <c r="Z282" s="621"/>
      <c r="AA282" s="65"/>
      <c r="AB282" s="65"/>
      <c r="AC282" s="79"/>
    </row>
    <row r="283" spans="1:68" ht="14.25" customHeight="1" x14ac:dyDescent="0.25">
      <c r="A283" s="622" t="s">
        <v>76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27" customHeight="1" x14ac:dyDescent="0.25">
      <c r="A284" s="63" t="s">
        <v>458</v>
      </c>
      <c r="B284" s="63" t="s">
        <v>459</v>
      </c>
      <c r="C284" s="36">
        <v>4301031307</v>
      </c>
      <c r="D284" s="623">
        <v>4680115880344</v>
      </c>
      <c r="E284" s="623"/>
      <c r="F284" s="62">
        <v>0.28000000000000003</v>
      </c>
      <c r="G284" s="37">
        <v>6</v>
      </c>
      <c r="H284" s="62">
        <v>1.68</v>
      </c>
      <c r="I284" s="62">
        <v>1.78</v>
      </c>
      <c r="J284" s="37">
        <v>234</v>
      </c>
      <c r="K284" s="37" t="s">
        <v>85</v>
      </c>
      <c r="L284" s="37" t="s">
        <v>45</v>
      </c>
      <c r="M284" s="38" t="s">
        <v>80</v>
      </c>
      <c r="N284" s="38"/>
      <c r="O284" s="37">
        <v>40</v>
      </c>
      <c r="P284" s="7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IFERROR(IF(Y284=0,"",ROUNDUP(Y284/H284,0)*0.00502),"")</f>
        <v/>
      </c>
      <c r="AA284" s="68" t="s">
        <v>45</v>
      </c>
      <c r="AB284" s="69" t="s">
        <v>45</v>
      </c>
      <c r="AC284" s="352" t="s">
        <v>460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461</v>
      </c>
      <c r="B285" s="63" t="s">
        <v>462</v>
      </c>
      <c r="C285" s="36">
        <v>4301031429</v>
      </c>
      <c r="D285" s="623">
        <v>4680115886919</v>
      </c>
      <c r="E285" s="623"/>
      <c r="F285" s="62">
        <v>0.4</v>
      </c>
      <c r="G285" s="37">
        <v>6</v>
      </c>
      <c r="H285" s="62">
        <v>2.4</v>
      </c>
      <c r="I285" s="62">
        <v>2.58</v>
      </c>
      <c r="J285" s="37">
        <v>182</v>
      </c>
      <c r="K285" s="37" t="s">
        <v>81</v>
      </c>
      <c r="L285" s="37" t="s">
        <v>45</v>
      </c>
      <c r="M285" s="38" t="s">
        <v>80</v>
      </c>
      <c r="N285" s="38"/>
      <c r="O285" s="37">
        <v>40</v>
      </c>
      <c r="P285" s="76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45</v>
      </c>
      <c r="AB285" s="69" t="s">
        <v>45</v>
      </c>
      <c r="AC285" s="354" t="s">
        <v>463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1"/>
      <c r="B286" s="631"/>
      <c r="C286" s="631"/>
      <c r="D286" s="631"/>
      <c r="E286" s="631"/>
      <c r="F286" s="631"/>
      <c r="G286" s="631"/>
      <c r="H286" s="631"/>
      <c r="I286" s="631"/>
      <c r="J286" s="631"/>
      <c r="K286" s="631"/>
      <c r="L286" s="631"/>
      <c r="M286" s="631"/>
      <c r="N286" s="631"/>
      <c r="O286" s="632"/>
      <c r="P286" s="628" t="s">
        <v>40</v>
      </c>
      <c r="Q286" s="629"/>
      <c r="R286" s="629"/>
      <c r="S286" s="629"/>
      <c r="T286" s="629"/>
      <c r="U286" s="629"/>
      <c r="V286" s="630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1"/>
      <c r="B287" s="631"/>
      <c r="C287" s="631"/>
      <c r="D287" s="631"/>
      <c r="E287" s="631"/>
      <c r="F287" s="631"/>
      <c r="G287" s="631"/>
      <c r="H287" s="631"/>
      <c r="I287" s="631"/>
      <c r="J287" s="631"/>
      <c r="K287" s="631"/>
      <c r="L287" s="631"/>
      <c r="M287" s="631"/>
      <c r="N287" s="631"/>
      <c r="O287" s="632"/>
      <c r="P287" s="628" t="s">
        <v>40</v>
      </c>
      <c r="Q287" s="629"/>
      <c r="R287" s="629"/>
      <c r="S287" s="629"/>
      <c r="T287" s="629"/>
      <c r="U287" s="629"/>
      <c r="V287" s="630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4.25" customHeight="1" x14ac:dyDescent="0.25">
      <c r="A288" s="622" t="s">
        <v>86</v>
      </c>
      <c r="B288" s="622"/>
      <c r="C288" s="622"/>
      <c r="D288" s="622"/>
      <c r="E288" s="622"/>
      <c r="F288" s="622"/>
      <c r="G288" s="622"/>
      <c r="H288" s="622"/>
      <c r="I288" s="622"/>
      <c r="J288" s="622"/>
      <c r="K288" s="622"/>
      <c r="L288" s="622"/>
      <c r="M288" s="622"/>
      <c r="N288" s="622"/>
      <c r="O288" s="622"/>
      <c r="P288" s="622"/>
      <c r="Q288" s="622"/>
      <c r="R288" s="622"/>
      <c r="S288" s="622"/>
      <c r="T288" s="622"/>
      <c r="U288" s="622"/>
      <c r="V288" s="622"/>
      <c r="W288" s="622"/>
      <c r="X288" s="622"/>
      <c r="Y288" s="622"/>
      <c r="Z288" s="622"/>
      <c r="AA288" s="66"/>
      <c r="AB288" s="66"/>
      <c r="AC288" s="80"/>
    </row>
    <row r="289" spans="1:68" ht="37.5" customHeight="1" x14ac:dyDescent="0.25">
      <c r="A289" s="63" t="s">
        <v>464</v>
      </c>
      <c r="B289" s="63" t="s">
        <v>465</v>
      </c>
      <c r="C289" s="36">
        <v>4301051782</v>
      </c>
      <c r="D289" s="623">
        <v>4680115884618</v>
      </c>
      <c r="E289" s="623"/>
      <c r="F289" s="62">
        <v>0.6</v>
      </c>
      <c r="G289" s="37">
        <v>6</v>
      </c>
      <c r="H289" s="62">
        <v>3.6</v>
      </c>
      <c r="I289" s="62">
        <v>3.79</v>
      </c>
      <c r="J289" s="37">
        <v>132</v>
      </c>
      <c r="K289" s="37" t="s">
        <v>116</v>
      </c>
      <c r="L289" s="37" t="s">
        <v>45</v>
      </c>
      <c r="M289" s="38" t="s">
        <v>90</v>
      </c>
      <c r="N289" s="38"/>
      <c r="O289" s="37">
        <v>45</v>
      </c>
      <c r="P289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625"/>
      <c r="R289" s="625"/>
      <c r="S289" s="625"/>
      <c r="T289" s="626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466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467</v>
      </c>
      <c r="B290" s="63" t="s">
        <v>468</v>
      </c>
      <c r="C290" s="36">
        <v>4301052057</v>
      </c>
      <c r="D290" s="623">
        <v>4680115887114</v>
      </c>
      <c r="E290" s="623"/>
      <c r="F290" s="62">
        <v>0.55000000000000004</v>
      </c>
      <c r="G290" s="37">
        <v>6</v>
      </c>
      <c r="H290" s="62">
        <v>3.3</v>
      </c>
      <c r="I290" s="62">
        <v>3.49</v>
      </c>
      <c r="J290" s="37">
        <v>132</v>
      </c>
      <c r="K290" s="37" t="s">
        <v>116</v>
      </c>
      <c r="L290" s="37" t="s">
        <v>45</v>
      </c>
      <c r="M290" s="38" t="s">
        <v>90</v>
      </c>
      <c r="N290" s="38"/>
      <c r="O290" s="37">
        <v>45</v>
      </c>
      <c r="P290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469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31"/>
      <c r="B291" s="631"/>
      <c r="C291" s="631"/>
      <c r="D291" s="631"/>
      <c r="E291" s="631"/>
      <c r="F291" s="631"/>
      <c r="G291" s="631"/>
      <c r="H291" s="631"/>
      <c r="I291" s="631"/>
      <c r="J291" s="631"/>
      <c r="K291" s="631"/>
      <c r="L291" s="631"/>
      <c r="M291" s="631"/>
      <c r="N291" s="631"/>
      <c r="O291" s="632"/>
      <c r="P291" s="628" t="s">
        <v>40</v>
      </c>
      <c r="Q291" s="629"/>
      <c r="R291" s="629"/>
      <c r="S291" s="629"/>
      <c r="T291" s="629"/>
      <c r="U291" s="629"/>
      <c r="V291" s="63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31"/>
      <c r="B292" s="631"/>
      <c r="C292" s="631"/>
      <c r="D292" s="631"/>
      <c r="E292" s="631"/>
      <c r="F292" s="631"/>
      <c r="G292" s="631"/>
      <c r="H292" s="631"/>
      <c r="I292" s="631"/>
      <c r="J292" s="631"/>
      <c r="K292" s="631"/>
      <c r="L292" s="631"/>
      <c r="M292" s="631"/>
      <c r="N292" s="631"/>
      <c r="O292" s="632"/>
      <c r="P292" s="628" t="s">
        <v>40</v>
      </c>
      <c r="Q292" s="629"/>
      <c r="R292" s="629"/>
      <c r="S292" s="629"/>
      <c r="T292" s="629"/>
      <c r="U292" s="629"/>
      <c r="V292" s="63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21" t="s">
        <v>470</v>
      </c>
      <c r="B293" s="621"/>
      <c r="C293" s="621"/>
      <c r="D293" s="621"/>
      <c r="E293" s="621"/>
      <c r="F293" s="621"/>
      <c r="G293" s="621"/>
      <c r="H293" s="621"/>
      <c r="I293" s="621"/>
      <c r="J293" s="621"/>
      <c r="K293" s="621"/>
      <c r="L293" s="621"/>
      <c r="M293" s="621"/>
      <c r="N293" s="621"/>
      <c r="O293" s="621"/>
      <c r="P293" s="621"/>
      <c r="Q293" s="621"/>
      <c r="R293" s="621"/>
      <c r="S293" s="621"/>
      <c r="T293" s="621"/>
      <c r="U293" s="621"/>
      <c r="V293" s="621"/>
      <c r="W293" s="621"/>
      <c r="X293" s="621"/>
      <c r="Y293" s="621"/>
      <c r="Z293" s="621"/>
      <c r="AA293" s="65"/>
      <c r="AB293" s="65"/>
      <c r="AC293" s="79"/>
    </row>
    <row r="294" spans="1:68" ht="14.25" customHeight="1" x14ac:dyDescent="0.25">
      <c r="A294" s="622" t="s">
        <v>108</v>
      </c>
      <c r="B294" s="622"/>
      <c r="C294" s="622"/>
      <c r="D294" s="622"/>
      <c r="E294" s="622"/>
      <c r="F294" s="622"/>
      <c r="G294" s="622"/>
      <c r="H294" s="622"/>
      <c r="I294" s="622"/>
      <c r="J294" s="622"/>
      <c r="K294" s="622"/>
      <c r="L294" s="622"/>
      <c r="M294" s="622"/>
      <c r="N294" s="622"/>
      <c r="O294" s="622"/>
      <c r="P294" s="622"/>
      <c r="Q294" s="622"/>
      <c r="R294" s="622"/>
      <c r="S294" s="622"/>
      <c r="T294" s="622"/>
      <c r="U294" s="622"/>
      <c r="V294" s="622"/>
      <c r="W294" s="622"/>
      <c r="X294" s="622"/>
      <c r="Y294" s="622"/>
      <c r="Z294" s="622"/>
      <c r="AA294" s="66"/>
      <c r="AB294" s="66"/>
      <c r="AC294" s="80"/>
    </row>
    <row r="295" spans="1:68" ht="27" customHeight="1" x14ac:dyDescent="0.25">
      <c r="A295" s="63" t="s">
        <v>471</v>
      </c>
      <c r="B295" s="63" t="s">
        <v>472</v>
      </c>
      <c r="C295" s="36">
        <v>4301012126</v>
      </c>
      <c r="D295" s="623">
        <v>4607091386004</v>
      </c>
      <c r="E295" s="623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113</v>
      </c>
      <c r="L295" s="37" t="s">
        <v>45</v>
      </c>
      <c r="M295" s="38" t="s">
        <v>112</v>
      </c>
      <c r="N295" s="38"/>
      <c r="O295" s="37">
        <v>55</v>
      </c>
      <c r="P295" s="76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5" s="625"/>
      <c r="R295" s="625"/>
      <c r="S295" s="625"/>
      <c r="T295" s="626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ref="Y295:Y300" si="26"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473</v>
      </c>
      <c r="AG295" s="78"/>
      <c r="AJ295" s="84" t="s">
        <v>45</v>
      </c>
      <c r="AK295" s="84">
        <v>0</v>
      </c>
      <c r="BB295" s="361" t="s">
        <v>66</v>
      </c>
      <c r="BM295" s="78">
        <f t="shared" ref="BM295:BM300" si="27">IFERROR(X295*I295/H295,"0")</f>
        <v>0</v>
      </c>
      <c r="BN295" s="78">
        <f t="shared" ref="BN295:BN300" si="28">IFERROR(Y295*I295/H295,"0")</f>
        <v>0</v>
      </c>
      <c r="BO295" s="78">
        <f t="shared" ref="BO295:BO300" si="29">IFERROR(1/J295*(X295/H295),"0")</f>
        <v>0</v>
      </c>
      <c r="BP295" s="78">
        <f t="shared" ref="BP295:BP300" si="30">IFERROR(1/J295*(Y295/H295),"0")</f>
        <v>0</v>
      </c>
    </row>
    <row r="296" spans="1:68" ht="27" customHeight="1" x14ac:dyDescent="0.25">
      <c r="A296" s="63" t="s">
        <v>474</v>
      </c>
      <c r="B296" s="63" t="s">
        <v>475</v>
      </c>
      <c r="C296" s="36">
        <v>4301012024</v>
      </c>
      <c r="D296" s="623">
        <v>4680115885615</v>
      </c>
      <c r="E296" s="623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113</v>
      </c>
      <c r="L296" s="37" t="s">
        <v>45</v>
      </c>
      <c r="M296" s="38" t="s">
        <v>90</v>
      </c>
      <c r="N296" s="38"/>
      <c r="O296" s="37">
        <v>55</v>
      </c>
      <c r="P296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5"/>
      <c r="R296" s="625"/>
      <c r="S296" s="625"/>
      <c r="T296" s="626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si="26"/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476</v>
      </c>
      <c r="AG296" s="78"/>
      <c r="AJ296" s="84" t="s">
        <v>45</v>
      </c>
      <c r="AK296" s="84">
        <v>0</v>
      </c>
      <c r="BB296" s="363" t="s">
        <v>66</v>
      </c>
      <c r="BM296" s="78">
        <f t="shared" si="27"/>
        <v>0</v>
      </c>
      <c r="BN296" s="78">
        <f t="shared" si="28"/>
        <v>0</v>
      </c>
      <c r="BO296" s="78">
        <f t="shared" si="29"/>
        <v>0</v>
      </c>
      <c r="BP296" s="78">
        <f t="shared" si="30"/>
        <v>0</v>
      </c>
    </row>
    <row r="297" spans="1:68" ht="37.5" customHeight="1" x14ac:dyDescent="0.25">
      <c r="A297" s="63" t="s">
        <v>477</v>
      </c>
      <c r="B297" s="63" t="s">
        <v>478</v>
      </c>
      <c r="C297" s="36">
        <v>4301011858</v>
      </c>
      <c r="D297" s="623">
        <v>4680115885646</v>
      </c>
      <c r="E297" s="62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113</v>
      </c>
      <c r="L297" s="37" t="s">
        <v>45</v>
      </c>
      <c r="M297" s="38" t="s">
        <v>112</v>
      </c>
      <c r="N297" s="38"/>
      <c r="O297" s="37">
        <v>55</v>
      </c>
      <c r="P297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5"/>
      <c r="R297" s="625"/>
      <c r="S297" s="625"/>
      <c r="T297" s="626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479</v>
      </c>
      <c r="AG297" s="78"/>
      <c r="AJ297" s="84" t="s">
        <v>45</v>
      </c>
      <c r="AK297" s="84">
        <v>0</v>
      </c>
      <c r="BB297" s="365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480</v>
      </c>
      <c r="B298" s="63" t="s">
        <v>481</v>
      </c>
      <c r="C298" s="36">
        <v>4301012016</v>
      </c>
      <c r="D298" s="623">
        <v>4680115885554</v>
      </c>
      <c r="E298" s="62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113</v>
      </c>
      <c r="L298" s="37" t="s">
        <v>45</v>
      </c>
      <c r="M298" s="38" t="s">
        <v>90</v>
      </c>
      <c r="N298" s="38"/>
      <c r="O298" s="37">
        <v>55</v>
      </c>
      <c r="P298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482</v>
      </c>
      <c r="AG298" s="78"/>
      <c r="AJ298" s="84" t="s">
        <v>45</v>
      </c>
      <c r="AK298" s="84">
        <v>0</v>
      </c>
      <c r="BB298" s="367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483</v>
      </c>
      <c r="B299" s="63" t="s">
        <v>484</v>
      </c>
      <c r="C299" s="36">
        <v>4301011857</v>
      </c>
      <c r="D299" s="623">
        <v>4680115885622</v>
      </c>
      <c r="E299" s="62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116</v>
      </c>
      <c r="L299" s="37" t="s">
        <v>45</v>
      </c>
      <c r="M299" s="38" t="s">
        <v>112</v>
      </c>
      <c r="N299" s="38"/>
      <c r="O299" s="37">
        <v>55</v>
      </c>
      <c r="P299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476</v>
      </c>
      <c r="AG299" s="78"/>
      <c r="AJ299" s="84" t="s">
        <v>45</v>
      </c>
      <c r="AK299" s="84">
        <v>0</v>
      </c>
      <c r="BB299" s="369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485</v>
      </c>
      <c r="B300" s="63" t="s">
        <v>486</v>
      </c>
      <c r="C300" s="36">
        <v>4301011859</v>
      </c>
      <c r="D300" s="623">
        <v>4680115885608</v>
      </c>
      <c r="E300" s="62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116</v>
      </c>
      <c r="L300" s="37" t="s">
        <v>45</v>
      </c>
      <c r="M300" s="38" t="s">
        <v>112</v>
      </c>
      <c r="N300" s="38"/>
      <c r="O300" s="37">
        <v>55</v>
      </c>
      <c r="P300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487</v>
      </c>
      <c r="AG300" s="78"/>
      <c r="AJ300" s="84" t="s">
        <v>45</v>
      </c>
      <c r="AK300" s="84">
        <v>0</v>
      </c>
      <c r="BB300" s="371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x14ac:dyDescent="0.2">
      <c r="A301" s="631"/>
      <c r="B301" s="631"/>
      <c r="C301" s="631"/>
      <c r="D301" s="631"/>
      <c r="E301" s="631"/>
      <c r="F301" s="631"/>
      <c r="G301" s="631"/>
      <c r="H301" s="631"/>
      <c r="I301" s="631"/>
      <c r="J301" s="631"/>
      <c r="K301" s="631"/>
      <c r="L301" s="631"/>
      <c r="M301" s="631"/>
      <c r="N301" s="631"/>
      <c r="O301" s="632"/>
      <c r="P301" s="628" t="s">
        <v>40</v>
      </c>
      <c r="Q301" s="629"/>
      <c r="R301" s="629"/>
      <c r="S301" s="629"/>
      <c r="T301" s="629"/>
      <c r="U301" s="629"/>
      <c r="V301" s="630"/>
      <c r="W301" s="42" t="s">
        <v>39</v>
      </c>
      <c r="X301" s="43">
        <f>IFERROR(X295/H295,"0")+IFERROR(X296/H296,"0")+IFERROR(X297/H297,"0")+IFERROR(X298/H298,"0")+IFERROR(X299/H299,"0")+IFERROR(X300/H300,"0")</f>
        <v>0</v>
      </c>
      <c r="Y301" s="43">
        <f>IFERROR(Y295/H295,"0")+IFERROR(Y296/H296,"0")+IFERROR(Y297/H297,"0")+IFERROR(Y298/H298,"0")+IFERROR(Y299/H299,"0")+IFERROR(Y300/H300,"0")</f>
        <v>0</v>
      </c>
      <c r="Z301" s="43">
        <f>IFERROR(IF(Z295="",0,Z295),"0")+IFERROR(IF(Z296="",0,Z296),"0")+IFERROR(IF(Z297="",0,Z297),"0")+IFERROR(IF(Z298="",0,Z298),"0")+IFERROR(IF(Z299="",0,Z299),"0")+IFERROR(IF(Z300="",0,Z300),"0")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1"/>
      <c r="B302" s="631"/>
      <c r="C302" s="631"/>
      <c r="D302" s="631"/>
      <c r="E302" s="631"/>
      <c r="F302" s="631"/>
      <c r="G302" s="631"/>
      <c r="H302" s="631"/>
      <c r="I302" s="631"/>
      <c r="J302" s="631"/>
      <c r="K302" s="631"/>
      <c r="L302" s="631"/>
      <c r="M302" s="631"/>
      <c r="N302" s="631"/>
      <c r="O302" s="632"/>
      <c r="P302" s="628" t="s">
        <v>40</v>
      </c>
      <c r="Q302" s="629"/>
      <c r="R302" s="629"/>
      <c r="S302" s="629"/>
      <c r="T302" s="629"/>
      <c r="U302" s="629"/>
      <c r="V302" s="630"/>
      <c r="W302" s="42" t="s">
        <v>0</v>
      </c>
      <c r="X302" s="43">
        <f>IFERROR(SUM(X295:X300),"0")</f>
        <v>0</v>
      </c>
      <c r="Y302" s="43">
        <f>IFERROR(SUM(Y295:Y300),"0")</f>
        <v>0</v>
      </c>
      <c r="Z302" s="42"/>
      <c r="AA302" s="67"/>
      <c r="AB302" s="67"/>
      <c r="AC302" s="67"/>
    </row>
    <row r="303" spans="1:68" ht="14.25" customHeight="1" x14ac:dyDescent="0.25">
      <c r="A303" s="622" t="s">
        <v>76</v>
      </c>
      <c r="B303" s="622"/>
      <c r="C303" s="622"/>
      <c r="D303" s="622"/>
      <c r="E303" s="622"/>
      <c r="F303" s="622"/>
      <c r="G303" s="622"/>
      <c r="H303" s="622"/>
      <c r="I303" s="622"/>
      <c r="J303" s="622"/>
      <c r="K303" s="622"/>
      <c r="L303" s="622"/>
      <c r="M303" s="622"/>
      <c r="N303" s="622"/>
      <c r="O303" s="622"/>
      <c r="P303" s="622"/>
      <c r="Q303" s="622"/>
      <c r="R303" s="622"/>
      <c r="S303" s="622"/>
      <c r="T303" s="622"/>
      <c r="U303" s="622"/>
      <c r="V303" s="622"/>
      <c r="W303" s="622"/>
      <c r="X303" s="622"/>
      <c r="Y303" s="622"/>
      <c r="Z303" s="622"/>
      <c r="AA303" s="66"/>
      <c r="AB303" s="66"/>
      <c r="AC303" s="80"/>
    </row>
    <row r="304" spans="1:68" ht="27" customHeight="1" x14ac:dyDescent="0.25">
      <c r="A304" s="63" t="s">
        <v>488</v>
      </c>
      <c r="B304" s="63" t="s">
        <v>489</v>
      </c>
      <c r="C304" s="36">
        <v>4301030878</v>
      </c>
      <c r="D304" s="623">
        <v>4607091387193</v>
      </c>
      <c r="E304" s="623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116</v>
      </c>
      <c r="L304" s="37" t="s">
        <v>45</v>
      </c>
      <c r="M304" s="38" t="s">
        <v>80</v>
      </c>
      <c r="N304" s="38"/>
      <c r="O304" s="37">
        <v>35</v>
      </c>
      <c r="P304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5"/>
      <c r="R304" s="625"/>
      <c r="S304" s="625"/>
      <c r="T304" s="626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490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491</v>
      </c>
      <c r="B305" s="63" t="s">
        <v>492</v>
      </c>
      <c r="C305" s="36">
        <v>4301031153</v>
      </c>
      <c r="D305" s="623">
        <v>4607091387230</v>
      </c>
      <c r="E305" s="62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116</v>
      </c>
      <c r="L305" s="37" t="s">
        <v>45</v>
      </c>
      <c r="M305" s="38" t="s">
        <v>80</v>
      </c>
      <c r="N305" s="38"/>
      <c r="O305" s="37">
        <v>40</v>
      </c>
      <c r="P305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5"/>
      <c r="R305" s="625"/>
      <c r="S305" s="625"/>
      <c r="T305" s="62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493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494</v>
      </c>
      <c r="B306" s="63" t="s">
        <v>495</v>
      </c>
      <c r="C306" s="36">
        <v>4301031154</v>
      </c>
      <c r="D306" s="623">
        <v>4607091387292</v>
      </c>
      <c r="E306" s="623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116</v>
      </c>
      <c r="L306" s="37" t="s">
        <v>45</v>
      </c>
      <c r="M306" s="38" t="s">
        <v>80</v>
      </c>
      <c r="N306" s="38"/>
      <c r="O306" s="37">
        <v>45</v>
      </c>
      <c r="P306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5"/>
      <c r="R306" s="625"/>
      <c r="S306" s="625"/>
      <c r="T306" s="62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496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497</v>
      </c>
      <c r="B307" s="63" t="s">
        <v>498</v>
      </c>
      <c r="C307" s="36">
        <v>4301031152</v>
      </c>
      <c r="D307" s="623">
        <v>4607091387285</v>
      </c>
      <c r="E307" s="623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85</v>
      </c>
      <c r="L307" s="37" t="s">
        <v>45</v>
      </c>
      <c r="M307" s="38" t="s">
        <v>80</v>
      </c>
      <c r="N307" s="38"/>
      <c r="O307" s="37">
        <v>40</v>
      </c>
      <c r="P307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5"/>
      <c r="R307" s="625"/>
      <c r="S307" s="625"/>
      <c r="T307" s="62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493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499</v>
      </c>
      <c r="B308" s="63" t="s">
        <v>500</v>
      </c>
      <c r="C308" s="36">
        <v>4301031305</v>
      </c>
      <c r="D308" s="623">
        <v>4607091389845</v>
      </c>
      <c r="E308" s="623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502</v>
      </c>
      <c r="B309" s="63" t="s">
        <v>503</v>
      </c>
      <c r="C309" s="36">
        <v>4301031066</v>
      </c>
      <c r="D309" s="623">
        <v>4607091383836</v>
      </c>
      <c r="E309" s="623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81</v>
      </c>
      <c r="L309" s="37" t="s">
        <v>45</v>
      </c>
      <c r="M309" s="38" t="s">
        <v>80</v>
      </c>
      <c r="N309" s="38"/>
      <c r="O309" s="37">
        <v>40</v>
      </c>
      <c r="P309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504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1"/>
      <c r="B310" s="631"/>
      <c r="C310" s="631"/>
      <c r="D310" s="631"/>
      <c r="E310" s="631"/>
      <c r="F310" s="631"/>
      <c r="G310" s="631"/>
      <c r="H310" s="631"/>
      <c r="I310" s="631"/>
      <c r="J310" s="631"/>
      <c r="K310" s="631"/>
      <c r="L310" s="631"/>
      <c r="M310" s="631"/>
      <c r="N310" s="631"/>
      <c r="O310" s="632"/>
      <c r="P310" s="628" t="s">
        <v>40</v>
      </c>
      <c r="Q310" s="629"/>
      <c r="R310" s="629"/>
      <c r="S310" s="629"/>
      <c r="T310" s="629"/>
      <c r="U310" s="629"/>
      <c r="V310" s="630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1"/>
      <c r="B311" s="631"/>
      <c r="C311" s="631"/>
      <c r="D311" s="631"/>
      <c r="E311" s="631"/>
      <c r="F311" s="631"/>
      <c r="G311" s="631"/>
      <c r="H311" s="631"/>
      <c r="I311" s="631"/>
      <c r="J311" s="631"/>
      <c r="K311" s="631"/>
      <c r="L311" s="631"/>
      <c r="M311" s="631"/>
      <c r="N311" s="631"/>
      <c r="O311" s="632"/>
      <c r="P311" s="628" t="s">
        <v>40</v>
      </c>
      <c r="Q311" s="629"/>
      <c r="R311" s="629"/>
      <c r="S311" s="629"/>
      <c r="T311" s="629"/>
      <c r="U311" s="629"/>
      <c r="V311" s="630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2" t="s">
        <v>86</v>
      </c>
      <c r="B312" s="622"/>
      <c r="C312" s="622"/>
      <c r="D312" s="622"/>
      <c r="E312" s="622"/>
      <c r="F312" s="622"/>
      <c r="G312" s="622"/>
      <c r="H312" s="622"/>
      <c r="I312" s="622"/>
      <c r="J312" s="622"/>
      <c r="K312" s="622"/>
      <c r="L312" s="622"/>
      <c r="M312" s="622"/>
      <c r="N312" s="622"/>
      <c r="O312" s="622"/>
      <c r="P312" s="622"/>
      <c r="Q312" s="622"/>
      <c r="R312" s="622"/>
      <c r="S312" s="622"/>
      <c r="T312" s="622"/>
      <c r="U312" s="622"/>
      <c r="V312" s="622"/>
      <c r="W312" s="622"/>
      <c r="X312" s="622"/>
      <c r="Y312" s="622"/>
      <c r="Z312" s="622"/>
      <c r="AA312" s="66"/>
      <c r="AB312" s="66"/>
      <c r="AC312" s="80"/>
    </row>
    <row r="313" spans="1:68" ht="27" customHeight="1" x14ac:dyDescent="0.25">
      <c r="A313" s="63" t="s">
        <v>505</v>
      </c>
      <c r="B313" s="63" t="s">
        <v>506</v>
      </c>
      <c r="C313" s="36">
        <v>4301051100</v>
      </c>
      <c r="D313" s="623">
        <v>4607091387766</v>
      </c>
      <c r="E313" s="623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113</v>
      </c>
      <c r="L313" s="37" t="s">
        <v>45</v>
      </c>
      <c r="M313" s="38" t="s">
        <v>90</v>
      </c>
      <c r="N313" s="38"/>
      <c r="O313" s="37">
        <v>40</v>
      </c>
      <c r="P313" s="7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5"/>
      <c r="R313" s="625"/>
      <c r="S313" s="625"/>
      <c r="T313" s="626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507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508</v>
      </c>
      <c r="B314" s="63" t="s">
        <v>509</v>
      </c>
      <c r="C314" s="36">
        <v>4301051818</v>
      </c>
      <c r="D314" s="623">
        <v>4607091387957</v>
      </c>
      <c r="E314" s="623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113</v>
      </c>
      <c r="L314" s="37" t="s">
        <v>45</v>
      </c>
      <c r="M314" s="38" t="s">
        <v>90</v>
      </c>
      <c r="N314" s="38"/>
      <c r="O314" s="37">
        <v>40</v>
      </c>
      <c r="P314" s="7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5"/>
      <c r="R314" s="625"/>
      <c r="S314" s="625"/>
      <c r="T314" s="62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510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511</v>
      </c>
      <c r="B315" s="63" t="s">
        <v>512</v>
      </c>
      <c r="C315" s="36">
        <v>4301051819</v>
      </c>
      <c r="D315" s="623">
        <v>4607091387964</v>
      </c>
      <c r="E315" s="623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113</v>
      </c>
      <c r="L315" s="37" t="s">
        <v>45</v>
      </c>
      <c r="M315" s="38" t="s">
        <v>90</v>
      </c>
      <c r="N315" s="38"/>
      <c r="O315" s="37">
        <v>40</v>
      </c>
      <c r="P315" s="7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513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514</v>
      </c>
      <c r="B316" s="63" t="s">
        <v>515</v>
      </c>
      <c r="C316" s="36">
        <v>4301051734</v>
      </c>
      <c r="D316" s="623">
        <v>4680115884588</v>
      </c>
      <c r="E316" s="623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81</v>
      </c>
      <c r="L316" s="37" t="s">
        <v>45</v>
      </c>
      <c r="M316" s="38" t="s">
        <v>90</v>
      </c>
      <c r="N316" s="38"/>
      <c r="O316" s="37">
        <v>40</v>
      </c>
      <c r="P316" s="7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516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1"/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  <c r="L317" s="631"/>
      <c r="M317" s="631"/>
      <c r="N317" s="631"/>
      <c r="O317" s="632"/>
      <c r="P317" s="628" t="s">
        <v>40</v>
      </c>
      <c r="Q317" s="629"/>
      <c r="R317" s="629"/>
      <c r="S317" s="629"/>
      <c r="T317" s="629"/>
      <c r="U317" s="629"/>
      <c r="V317" s="63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1"/>
      <c r="B318" s="631"/>
      <c r="C318" s="631"/>
      <c r="D318" s="631"/>
      <c r="E318" s="631"/>
      <c r="F318" s="631"/>
      <c r="G318" s="631"/>
      <c r="H318" s="631"/>
      <c r="I318" s="631"/>
      <c r="J318" s="631"/>
      <c r="K318" s="631"/>
      <c r="L318" s="631"/>
      <c r="M318" s="631"/>
      <c r="N318" s="631"/>
      <c r="O318" s="632"/>
      <c r="P318" s="628" t="s">
        <v>40</v>
      </c>
      <c r="Q318" s="629"/>
      <c r="R318" s="629"/>
      <c r="S318" s="629"/>
      <c r="T318" s="629"/>
      <c r="U318" s="629"/>
      <c r="V318" s="63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2" t="s">
        <v>163</v>
      </c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2"/>
      <c r="P319" s="622"/>
      <c r="Q319" s="622"/>
      <c r="R319" s="622"/>
      <c r="S319" s="622"/>
      <c r="T319" s="622"/>
      <c r="U319" s="622"/>
      <c r="V319" s="622"/>
      <c r="W319" s="622"/>
      <c r="X319" s="622"/>
      <c r="Y319" s="622"/>
      <c r="Z319" s="622"/>
      <c r="AA319" s="66"/>
      <c r="AB319" s="66"/>
      <c r="AC319" s="80"/>
    </row>
    <row r="320" spans="1:68" ht="27" customHeight="1" x14ac:dyDescent="0.25">
      <c r="A320" s="63" t="s">
        <v>517</v>
      </c>
      <c r="B320" s="63" t="s">
        <v>518</v>
      </c>
      <c r="C320" s="36">
        <v>4301060387</v>
      </c>
      <c r="D320" s="623">
        <v>4607091380880</v>
      </c>
      <c r="E320" s="623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113</v>
      </c>
      <c r="L320" s="37" t="s">
        <v>45</v>
      </c>
      <c r="M320" s="38" t="s">
        <v>90</v>
      </c>
      <c r="N320" s="38"/>
      <c r="O320" s="37">
        <v>30</v>
      </c>
      <c r="P320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5"/>
      <c r="R320" s="625"/>
      <c r="S320" s="625"/>
      <c r="T320" s="62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519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520</v>
      </c>
      <c r="B321" s="63" t="s">
        <v>521</v>
      </c>
      <c r="C321" s="36">
        <v>4301060406</v>
      </c>
      <c r="D321" s="623">
        <v>4607091384482</v>
      </c>
      <c r="E321" s="623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113</v>
      </c>
      <c r="L321" s="37" t="s">
        <v>45</v>
      </c>
      <c r="M321" s="38" t="s">
        <v>90</v>
      </c>
      <c r="N321" s="38"/>
      <c r="O321" s="37">
        <v>30</v>
      </c>
      <c r="P321" s="7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522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523</v>
      </c>
      <c r="B322" s="63" t="s">
        <v>524</v>
      </c>
      <c r="C322" s="36">
        <v>4301060484</v>
      </c>
      <c r="D322" s="623">
        <v>4607091380897</v>
      </c>
      <c r="E322" s="623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113</v>
      </c>
      <c r="L322" s="37" t="s">
        <v>45</v>
      </c>
      <c r="M322" s="38" t="s">
        <v>96</v>
      </c>
      <c r="N322" s="38"/>
      <c r="O322" s="37">
        <v>30</v>
      </c>
      <c r="P322" s="7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525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1"/>
      <c r="B323" s="631"/>
      <c r="C323" s="631"/>
      <c r="D323" s="631"/>
      <c r="E323" s="631"/>
      <c r="F323" s="631"/>
      <c r="G323" s="631"/>
      <c r="H323" s="631"/>
      <c r="I323" s="631"/>
      <c r="J323" s="631"/>
      <c r="K323" s="631"/>
      <c r="L323" s="631"/>
      <c r="M323" s="631"/>
      <c r="N323" s="631"/>
      <c r="O323" s="632"/>
      <c r="P323" s="628" t="s">
        <v>40</v>
      </c>
      <c r="Q323" s="629"/>
      <c r="R323" s="629"/>
      <c r="S323" s="629"/>
      <c r="T323" s="629"/>
      <c r="U323" s="629"/>
      <c r="V323" s="630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1"/>
      <c r="B324" s="631"/>
      <c r="C324" s="631"/>
      <c r="D324" s="631"/>
      <c r="E324" s="631"/>
      <c r="F324" s="631"/>
      <c r="G324" s="631"/>
      <c r="H324" s="631"/>
      <c r="I324" s="631"/>
      <c r="J324" s="631"/>
      <c r="K324" s="631"/>
      <c r="L324" s="631"/>
      <c r="M324" s="631"/>
      <c r="N324" s="631"/>
      <c r="O324" s="632"/>
      <c r="P324" s="628" t="s">
        <v>40</v>
      </c>
      <c r="Q324" s="629"/>
      <c r="R324" s="629"/>
      <c r="S324" s="629"/>
      <c r="T324" s="629"/>
      <c r="U324" s="629"/>
      <c r="V324" s="630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2" t="s">
        <v>100</v>
      </c>
      <c r="B325" s="622"/>
      <c r="C325" s="622"/>
      <c r="D325" s="622"/>
      <c r="E325" s="622"/>
      <c r="F325" s="622"/>
      <c r="G325" s="622"/>
      <c r="H325" s="622"/>
      <c r="I325" s="622"/>
      <c r="J325" s="622"/>
      <c r="K325" s="622"/>
      <c r="L325" s="622"/>
      <c r="M325" s="622"/>
      <c r="N325" s="622"/>
      <c r="O325" s="622"/>
      <c r="P325" s="622"/>
      <c r="Q325" s="622"/>
      <c r="R325" s="622"/>
      <c r="S325" s="622"/>
      <c r="T325" s="622"/>
      <c r="U325" s="622"/>
      <c r="V325" s="622"/>
      <c r="W325" s="622"/>
      <c r="X325" s="622"/>
      <c r="Y325" s="622"/>
      <c r="Z325" s="622"/>
      <c r="AA325" s="66"/>
      <c r="AB325" s="66"/>
      <c r="AC325" s="80"/>
    </row>
    <row r="326" spans="1:68" ht="27" customHeight="1" x14ac:dyDescent="0.25">
      <c r="A326" s="63" t="s">
        <v>526</v>
      </c>
      <c r="B326" s="63" t="s">
        <v>527</v>
      </c>
      <c r="C326" s="36">
        <v>4301030235</v>
      </c>
      <c r="D326" s="623">
        <v>4607091388381</v>
      </c>
      <c r="E326" s="623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116</v>
      </c>
      <c r="L326" s="37" t="s">
        <v>45</v>
      </c>
      <c r="M326" s="38" t="s">
        <v>105</v>
      </c>
      <c r="N326" s="38"/>
      <c r="O326" s="37">
        <v>180</v>
      </c>
      <c r="P326" s="7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5"/>
      <c r="R326" s="625"/>
      <c r="S326" s="625"/>
      <c r="T326" s="626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528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529</v>
      </c>
      <c r="B327" s="63" t="s">
        <v>530</v>
      </c>
      <c r="C327" s="36">
        <v>4301030232</v>
      </c>
      <c r="D327" s="623">
        <v>4607091388374</v>
      </c>
      <c r="E327" s="623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116</v>
      </c>
      <c r="L327" s="37" t="s">
        <v>45</v>
      </c>
      <c r="M327" s="38" t="s">
        <v>105</v>
      </c>
      <c r="N327" s="38"/>
      <c r="O327" s="37">
        <v>180</v>
      </c>
      <c r="P327" s="7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5"/>
      <c r="R327" s="625"/>
      <c r="S327" s="625"/>
      <c r="T327" s="62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528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531</v>
      </c>
      <c r="B328" s="63" t="s">
        <v>532</v>
      </c>
      <c r="C328" s="36">
        <v>4301032015</v>
      </c>
      <c r="D328" s="623">
        <v>4607091383102</v>
      </c>
      <c r="E328" s="623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81</v>
      </c>
      <c r="L328" s="37" t="s">
        <v>45</v>
      </c>
      <c r="M328" s="38" t="s">
        <v>105</v>
      </c>
      <c r="N328" s="38"/>
      <c r="O328" s="37">
        <v>180</v>
      </c>
      <c r="P328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528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533</v>
      </c>
      <c r="B329" s="63" t="s">
        <v>534</v>
      </c>
      <c r="C329" s="36">
        <v>4301030233</v>
      </c>
      <c r="D329" s="623">
        <v>4607091388404</v>
      </c>
      <c r="E329" s="623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81</v>
      </c>
      <c r="L329" s="37" t="s">
        <v>45</v>
      </c>
      <c r="M329" s="38" t="s">
        <v>105</v>
      </c>
      <c r="N329" s="38"/>
      <c r="O329" s="37">
        <v>180</v>
      </c>
      <c r="P329" s="7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528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1"/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2"/>
      <c r="P330" s="628" t="s">
        <v>40</v>
      </c>
      <c r="Q330" s="629"/>
      <c r="R330" s="629"/>
      <c r="S330" s="629"/>
      <c r="T330" s="629"/>
      <c r="U330" s="629"/>
      <c r="V330" s="630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1"/>
      <c r="B331" s="631"/>
      <c r="C331" s="631"/>
      <c r="D331" s="631"/>
      <c r="E331" s="631"/>
      <c r="F331" s="631"/>
      <c r="G331" s="631"/>
      <c r="H331" s="631"/>
      <c r="I331" s="631"/>
      <c r="J331" s="631"/>
      <c r="K331" s="631"/>
      <c r="L331" s="631"/>
      <c r="M331" s="631"/>
      <c r="N331" s="631"/>
      <c r="O331" s="632"/>
      <c r="P331" s="628" t="s">
        <v>40</v>
      </c>
      <c r="Q331" s="629"/>
      <c r="R331" s="629"/>
      <c r="S331" s="629"/>
      <c r="T331" s="629"/>
      <c r="U331" s="629"/>
      <c r="V331" s="630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2" t="s">
        <v>535</v>
      </c>
      <c r="B332" s="622"/>
      <c r="C332" s="622"/>
      <c r="D332" s="622"/>
      <c r="E332" s="622"/>
      <c r="F332" s="622"/>
      <c r="G332" s="622"/>
      <c r="H332" s="622"/>
      <c r="I332" s="622"/>
      <c r="J332" s="622"/>
      <c r="K332" s="622"/>
      <c r="L332" s="622"/>
      <c r="M332" s="622"/>
      <c r="N332" s="622"/>
      <c r="O332" s="622"/>
      <c r="P332" s="622"/>
      <c r="Q332" s="622"/>
      <c r="R332" s="622"/>
      <c r="S332" s="622"/>
      <c r="T332" s="622"/>
      <c r="U332" s="622"/>
      <c r="V332" s="622"/>
      <c r="W332" s="622"/>
      <c r="X332" s="622"/>
      <c r="Y332" s="622"/>
      <c r="Z332" s="622"/>
      <c r="AA332" s="66"/>
      <c r="AB332" s="66"/>
      <c r="AC332" s="80"/>
    </row>
    <row r="333" spans="1:68" ht="16.5" customHeight="1" x14ac:dyDescent="0.25">
      <c r="A333" s="63" t="s">
        <v>536</v>
      </c>
      <c r="B333" s="63" t="s">
        <v>537</v>
      </c>
      <c r="C333" s="36">
        <v>4301180007</v>
      </c>
      <c r="D333" s="623">
        <v>4680115881808</v>
      </c>
      <c r="E333" s="623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81</v>
      </c>
      <c r="L333" s="37" t="s">
        <v>45</v>
      </c>
      <c r="M333" s="38" t="s">
        <v>539</v>
      </c>
      <c r="N333" s="38"/>
      <c r="O333" s="37">
        <v>730</v>
      </c>
      <c r="P333" s="7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5"/>
      <c r="R333" s="625"/>
      <c r="S333" s="625"/>
      <c r="T333" s="626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538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540</v>
      </c>
      <c r="B334" s="63" t="s">
        <v>541</v>
      </c>
      <c r="C334" s="36">
        <v>4301180006</v>
      </c>
      <c r="D334" s="623">
        <v>4680115881822</v>
      </c>
      <c r="E334" s="62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81</v>
      </c>
      <c r="L334" s="37" t="s">
        <v>45</v>
      </c>
      <c r="M334" s="38" t="s">
        <v>539</v>
      </c>
      <c r="N334" s="38"/>
      <c r="O334" s="37">
        <v>730</v>
      </c>
      <c r="P334" s="7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5"/>
      <c r="R334" s="625"/>
      <c r="S334" s="625"/>
      <c r="T334" s="62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538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542</v>
      </c>
      <c r="B335" s="63" t="s">
        <v>543</v>
      </c>
      <c r="C335" s="36">
        <v>4301180001</v>
      </c>
      <c r="D335" s="623">
        <v>4680115880016</v>
      </c>
      <c r="E335" s="62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539</v>
      </c>
      <c r="N335" s="38"/>
      <c r="O335" s="37">
        <v>730</v>
      </c>
      <c r="P335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538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1"/>
      <c r="B336" s="631"/>
      <c r="C336" s="631"/>
      <c r="D336" s="631"/>
      <c r="E336" s="631"/>
      <c r="F336" s="631"/>
      <c r="G336" s="631"/>
      <c r="H336" s="631"/>
      <c r="I336" s="631"/>
      <c r="J336" s="631"/>
      <c r="K336" s="631"/>
      <c r="L336" s="631"/>
      <c r="M336" s="631"/>
      <c r="N336" s="631"/>
      <c r="O336" s="632"/>
      <c r="P336" s="628" t="s">
        <v>40</v>
      </c>
      <c r="Q336" s="629"/>
      <c r="R336" s="629"/>
      <c r="S336" s="629"/>
      <c r="T336" s="629"/>
      <c r="U336" s="629"/>
      <c r="V336" s="63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1"/>
      <c r="B337" s="631"/>
      <c r="C337" s="631"/>
      <c r="D337" s="631"/>
      <c r="E337" s="631"/>
      <c r="F337" s="631"/>
      <c r="G337" s="631"/>
      <c r="H337" s="631"/>
      <c r="I337" s="631"/>
      <c r="J337" s="631"/>
      <c r="K337" s="631"/>
      <c r="L337" s="631"/>
      <c r="M337" s="631"/>
      <c r="N337" s="631"/>
      <c r="O337" s="632"/>
      <c r="P337" s="628" t="s">
        <v>40</v>
      </c>
      <c r="Q337" s="629"/>
      <c r="R337" s="629"/>
      <c r="S337" s="629"/>
      <c r="T337" s="629"/>
      <c r="U337" s="629"/>
      <c r="V337" s="63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1" t="s">
        <v>544</v>
      </c>
      <c r="B338" s="621"/>
      <c r="C338" s="621"/>
      <c r="D338" s="621"/>
      <c r="E338" s="621"/>
      <c r="F338" s="621"/>
      <c r="G338" s="621"/>
      <c r="H338" s="621"/>
      <c r="I338" s="621"/>
      <c r="J338" s="621"/>
      <c r="K338" s="621"/>
      <c r="L338" s="621"/>
      <c r="M338" s="621"/>
      <c r="N338" s="621"/>
      <c r="O338" s="621"/>
      <c r="P338" s="621"/>
      <c r="Q338" s="621"/>
      <c r="R338" s="621"/>
      <c r="S338" s="621"/>
      <c r="T338" s="621"/>
      <c r="U338" s="621"/>
      <c r="V338" s="621"/>
      <c r="W338" s="621"/>
      <c r="X338" s="621"/>
      <c r="Y338" s="621"/>
      <c r="Z338" s="621"/>
      <c r="AA338" s="65"/>
      <c r="AB338" s="65"/>
      <c r="AC338" s="79"/>
    </row>
    <row r="339" spans="1:68" ht="14.25" customHeight="1" x14ac:dyDescent="0.25">
      <c r="A339" s="622" t="s">
        <v>86</v>
      </c>
      <c r="B339" s="622"/>
      <c r="C339" s="622"/>
      <c r="D339" s="622"/>
      <c r="E339" s="622"/>
      <c r="F339" s="622"/>
      <c r="G339" s="622"/>
      <c r="H339" s="622"/>
      <c r="I339" s="622"/>
      <c r="J339" s="622"/>
      <c r="K339" s="622"/>
      <c r="L339" s="622"/>
      <c r="M339" s="622"/>
      <c r="N339" s="622"/>
      <c r="O339" s="622"/>
      <c r="P339" s="622"/>
      <c r="Q339" s="622"/>
      <c r="R339" s="622"/>
      <c r="S339" s="622"/>
      <c r="T339" s="622"/>
      <c r="U339" s="622"/>
      <c r="V339" s="622"/>
      <c r="W339" s="622"/>
      <c r="X339" s="622"/>
      <c r="Y339" s="622"/>
      <c r="Z339" s="622"/>
      <c r="AA339" s="66"/>
      <c r="AB339" s="66"/>
      <c r="AC339" s="80"/>
    </row>
    <row r="340" spans="1:68" ht="27" customHeight="1" x14ac:dyDescent="0.25">
      <c r="A340" s="63" t="s">
        <v>545</v>
      </c>
      <c r="B340" s="63" t="s">
        <v>546</v>
      </c>
      <c r="C340" s="36">
        <v>4301051489</v>
      </c>
      <c r="D340" s="623">
        <v>4607091387919</v>
      </c>
      <c r="E340" s="623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113</v>
      </c>
      <c r="L340" s="37" t="s">
        <v>45</v>
      </c>
      <c r="M340" s="38" t="s">
        <v>96</v>
      </c>
      <c r="N340" s="38"/>
      <c r="O340" s="37">
        <v>45</v>
      </c>
      <c r="P340" s="7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5"/>
      <c r="R340" s="625"/>
      <c r="S340" s="625"/>
      <c r="T340" s="626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547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548</v>
      </c>
      <c r="B341" s="63" t="s">
        <v>549</v>
      </c>
      <c r="C341" s="36">
        <v>4301051461</v>
      </c>
      <c r="D341" s="623">
        <v>4680115883604</v>
      </c>
      <c r="E341" s="623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81</v>
      </c>
      <c r="L341" s="37" t="s">
        <v>45</v>
      </c>
      <c r="M341" s="38" t="s">
        <v>90</v>
      </c>
      <c r="N341" s="38"/>
      <c r="O341" s="37">
        <v>45</v>
      </c>
      <c r="P341" s="7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5"/>
      <c r="R341" s="625"/>
      <c r="S341" s="625"/>
      <c r="T341" s="62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550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551</v>
      </c>
      <c r="B342" s="63" t="s">
        <v>552</v>
      </c>
      <c r="C342" s="36">
        <v>4301051864</v>
      </c>
      <c r="D342" s="623">
        <v>4680115883567</v>
      </c>
      <c r="E342" s="623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81</v>
      </c>
      <c r="L342" s="37" t="s">
        <v>45</v>
      </c>
      <c r="M342" s="38" t="s">
        <v>96</v>
      </c>
      <c r="N342" s="38"/>
      <c r="O342" s="37">
        <v>40</v>
      </c>
      <c r="P342" s="7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5"/>
      <c r="R342" s="625"/>
      <c r="S342" s="625"/>
      <c r="T342" s="62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553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1"/>
      <c r="B343" s="631"/>
      <c r="C343" s="631"/>
      <c r="D343" s="631"/>
      <c r="E343" s="631"/>
      <c r="F343" s="631"/>
      <c r="G343" s="631"/>
      <c r="H343" s="631"/>
      <c r="I343" s="631"/>
      <c r="J343" s="631"/>
      <c r="K343" s="631"/>
      <c r="L343" s="631"/>
      <c r="M343" s="631"/>
      <c r="N343" s="631"/>
      <c r="O343" s="632"/>
      <c r="P343" s="628" t="s">
        <v>40</v>
      </c>
      <c r="Q343" s="629"/>
      <c r="R343" s="629"/>
      <c r="S343" s="629"/>
      <c r="T343" s="629"/>
      <c r="U343" s="629"/>
      <c r="V343" s="630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1"/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2"/>
      <c r="P344" s="628" t="s">
        <v>40</v>
      </c>
      <c r="Q344" s="629"/>
      <c r="R344" s="629"/>
      <c r="S344" s="629"/>
      <c r="T344" s="629"/>
      <c r="U344" s="629"/>
      <c r="V344" s="630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0" t="s">
        <v>554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54"/>
      <c r="AB345" s="54"/>
      <c r="AC345" s="54"/>
    </row>
    <row r="346" spans="1:68" ht="16.5" customHeight="1" x14ac:dyDescent="0.25">
      <c r="A346" s="621" t="s">
        <v>555</v>
      </c>
      <c r="B346" s="621"/>
      <c r="C346" s="621"/>
      <c r="D346" s="621"/>
      <c r="E346" s="621"/>
      <c r="F346" s="621"/>
      <c r="G346" s="621"/>
      <c r="H346" s="621"/>
      <c r="I346" s="621"/>
      <c r="J346" s="621"/>
      <c r="K346" s="621"/>
      <c r="L346" s="621"/>
      <c r="M346" s="621"/>
      <c r="N346" s="621"/>
      <c r="O346" s="621"/>
      <c r="P346" s="621"/>
      <c r="Q346" s="621"/>
      <c r="R346" s="621"/>
      <c r="S346" s="621"/>
      <c r="T346" s="621"/>
      <c r="U346" s="621"/>
      <c r="V346" s="621"/>
      <c r="W346" s="621"/>
      <c r="X346" s="621"/>
      <c r="Y346" s="621"/>
      <c r="Z346" s="621"/>
      <c r="AA346" s="65"/>
      <c r="AB346" s="65"/>
      <c r="AC346" s="79"/>
    </row>
    <row r="347" spans="1:68" ht="14.25" customHeight="1" x14ac:dyDescent="0.25">
      <c r="A347" s="622" t="s">
        <v>108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66"/>
      <c r="AB347" s="66"/>
      <c r="AC347" s="80"/>
    </row>
    <row r="348" spans="1:68" ht="37.5" customHeight="1" x14ac:dyDescent="0.25">
      <c r="A348" s="63" t="s">
        <v>556</v>
      </c>
      <c r="B348" s="63" t="s">
        <v>557</v>
      </c>
      <c r="C348" s="36">
        <v>4301011869</v>
      </c>
      <c r="D348" s="623">
        <v>4680115884847</v>
      </c>
      <c r="E348" s="623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113</v>
      </c>
      <c r="L348" s="37" t="s">
        <v>45</v>
      </c>
      <c r="M348" s="38" t="s">
        <v>80</v>
      </c>
      <c r="N348" s="38"/>
      <c r="O348" s="37">
        <v>60</v>
      </c>
      <c r="P348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558</v>
      </c>
      <c r="AG348" s="78"/>
      <c r="AJ348" s="84" t="s">
        <v>45</v>
      </c>
      <c r="AK348" s="84">
        <v>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559</v>
      </c>
      <c r="B349" s="63" t="s">
        <v>560</v>
      </c>
      <c r="C349" s="36">
        <v>4301012083</v>
      </c>
      <c r="D349" s="623">
        <v>4680115884854</v>
      </c>
      <c r="E349" s="62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113</v>
      </c>
      <c r="L349" s="37" t="s">
        <v>45</v>
      </c>
      <c r="M349" s="38" t="s">
        <v>112</v>
      </c>
      <c r="N349" s="38"/>
      <c r="O349" s="37">
        <v>60</v>
      </c>
      <c r="P349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5"/>
      <c r="R349" s="625"/>
      <c r="S349" s="625"/>
      <c r="T349" s="62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561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27" customHeight="1" x14ac:dyDescent="0.25">
      <c r="A350" s="63" t="s">
        <v>562</v>
      </c>
      <c r="B350" s="63" t="s">
        <v>563</v>
      </c>
      <c r="C350" s="36">
        <v>4301012215</v>
      </c>
      <c r="D350" s="623">
        <v>4680115887046</v>
      </c>
      <c r="E350" s="62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113</v>
      </c>
      <c r="L350" s="37" t="s">
        <v>45</v>
      </c>
      <c r="M350" s="38" t="s">
        <v>96</v>
      </c>
      <c r="N350" s="38"/>
      <c r="O350" s="37">
        <v>60</v>
      </c>
      <c r="P350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5"/>
      <c r="R350" s="625"/>
      <c r="S350" s="625"/>
      <c r="T350" s="62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564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565</v>
      </c>
      <c r="B351" s="63" t="s">
        <v>566</v>
      </c>
      <c r="C351" s="36">
        <v>4301011867</v>
      </c>
      <c r="D351" s="623">
        <v>4680115884830</v>
      </c>
      <c r="E351" s="62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113</v>
      </c>
      <c r="L351" s="37" t="s">
        <v>45</v>
      </c>
      <c r="M351" s="38" t="s">
        <v>80</v>
      </c>
      <c r="N351" s="38"/>
      <c r="O351" s="37">
        <v>60</v>
      </c>
      <c r="P351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625"/>
      <c r="R351" s="625"/>
      <c r="S351" s="625"/>
      <c r="T351" s="62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567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568</v>
      </c>
      <c r="B352" s="63" t="s">
        <v>569</v>
      </c>
      <c r="C352" s="36">
        <v>4301011433</v>
      </c>
      <c r="D352" s="623">
        <v>4680115882638</v>
      </c>
      <c r="E352" s="623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116</v>
      </c>
      <c r="L352" s="37" t="s">
        <v>45</v>
      </c>
      <c r="M352" s="38" t="s">
        <v>112</v>
      </c>
      <c r="N352" s="38"/>
      <c r="O352" s="37">
        <v>90</v>
      </c>
      <c r="P352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5"/>
      <c r="R352" s="625"/>
      <c r="S352" s="625"/>
      <c r="T352" s="62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570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571</v>
      </c>
      <c r="B353" s="63" t="s">
        <v>572</v>
      </c>
      <c r="C353" s="36">
        <v>4301011952</v>
      </c>
      <c r="D353" s="623">
        <v>4680115884922</v>
      </c>
      <c r="E353" s="623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116</v>
      </c>
      <c r="L353" s="37" t="s">
        <v>45</v>
      </c>
      <c r="M353" s="38" t="s">
        <v>80</v>
      </c>
      <c r="N353" s="38"/>
      <c r="O353" s="37">
        <v>60</v>
      </c>
      <c r="P353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573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574</v>
      </c>
      <c r="B354" s="63" t="s">
        <v>575</v>
      </c>
      <c r="C354" s="36">
        <v>4301011868</v>
      </c>
      <c r="D354" s="623">
        <v>4680115884861</v>
      </c>
      <c r="E354" s="62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116</v>
      </c>
      <c r="L354" s="37" t="s">
        <v>45</v>
      </c>
      <c r="M354" s="38" t="s">
        <v>80</v>
      </c>
      <c r="N354" s="38"/>
      <c r="O354" s="37">
        <v>60</v>
      </c>
      <c r="P354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5"/>
      <c r="R354" s="625"/>
      <c r="S354" s="625"/>
      <c r="T354" s="62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567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1"/>
      <c r="B355" s="631"/>
      <c r="C355" s="631"/>
      <c r="D355" s="631"/>
      <c r="E355" s="631"/>
      <c r="F355" s="631"/>
      <c r="G355" s="631"/>
      <c r="H355" s="631"/>
      <c r="I355" s="631"/>
      <c r="J355" s="631"/>
      <c r="K355" s="631"/>
      <c r="L355" s="631"/>
      <c r="M355" s="631"/>
      <c r="N355" s="631"/>
      <c r="O355" s="632"/>
      <c r="P355" s="628" t="s">
        <v>40</v>
      </c>
      <c r="Q355" s="629"/>
      <c r="R355" s="629"/>
      <c r="S355" s="629"/>
      <c r="T355" s="629"/>
      <c r="U355" s="629"/>
      <c r="V355" s="630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1"/>
      <c r="B356" s="631"/>
      <c r="C356" s="631"/>
      <c r="D356" s="631"/>
      <c r="E356" s="631"/>
      <c r="F356" s="631"/>
      <c r="G356" s="631"/>
      <c r="H356" s="631"/>
      <c r="I356" s="631"/>
      <c r="J356" s="631"/>
      <c r="K356" s="631"/>
      <c r="L356" s="631"/>
      <c r="M356" s="631"/>
      <c r="N356" s="631"/>
      <c r="O356" s="632"/>
      <c r="P356" s="628" t="s">
        <v>40</v>
      </c>
      <c r="Q356" s="629"/>
      <c r="R356" s="629"/>
      <c r="S356" s="629"/>
      <c r="T356" s="629"/>
      <c r="U356" s="629"/>
      <c r="V356" s="630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2" t="s">
        <v>141</v>
      </c>
      <c r="B357" s="622"/>
      <c r="C357" s="622"/>
      <c r="D357" s="622"/>
      <c r="E357" s="622"/>
      <c r="F357" s="622"/>
      <c r="G357" s="622"/>
      <c r="H357" s="622"/>
      <c r="I357" s="622"/>
      <c r="J357" s="622"/>
      <c r="K357" s="622"/>
      <c r="L357" s="622"/>
      <c r="M357" s="622"/>
      <c r="N357" s="622"/>
      <c r="O357" s="622"/>
      <c r="P357" s="622"/>
      <c r="Q357" s="622"/>
      <c r="R357" s="622"/>
      <c r="S357" s="622"/>
      <c r="T357" s="622"/>
      <c r="U357" s="622"/>
      <c r="V357" s="622"/>
      <c r="W357" s="622"/>
      <c r="X357" s="622"/>
      <c r="Y357" s="622"/>
      <c r="Z357" s="622"/>
      <c r="AA357" s="66"/>
      <c r="AB357" s="66"/>
      <c r="AC357" s="80"/>
    </row>
    <row r="358" spans="1:68" ht="27" customHeight="1" x14ac:dyDescent="0.25">
      <c r="A358" s="63" t="s">
        <v>576</v>
      </c>
      <c r="B358" s="63" t="s">
        <v>577</v>
      </c>
      <c r="C358" s="36">
        <v>4301020178</v>
      </c>
      <c r="D358" s="623">
        <v>4607091383980</v>
      </c>
      <c r="E358" s="623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113</v>
      </c>
      <c r="L358" s="37" t="s">
        <v>45</v>
      </c>
      <c r="M358" s="38" t="s">
        <v>112</v>
      </c>
      <c r="N358" s="38"/>
      <c r="O358" s="37">
        <v>50</v>
      </c>
      <c r="P358" s="8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578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579</v>
      </c>
      <c r="B359" s="63" t="s">
        <v>580</v>
      </c>
      <c r="C359" s="36">
        <v>4301020179</v>
      </c>
      <c r="D359" s="623">
        <v>4607091384178</v>
      </c>
      <c r="E359" s="623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116</v>
      </c>
      <c r="L359" s="37" t="s">
        <v>45</v>
      </c>
      <c r="M359" s="38" t="s">
        <v>112</v>
      </c>
      <c r="N359" s="38"/>
      <c r="O359" s="37">
        <v>50</v>
      </c>
      <c r="P35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5"/>
      <c r="R359" s="625"/>
      <c r="S359" s="625"/>
      <c r="T359" s="62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581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1"/>
      <c r="B360" s="631"/>
      <c r="C360" s="631"/>
      <c r="D360" s="631"/>
      <c r="E360" s="631"/>
      <c r="F360" s="631"/>
      <c r="G360" s="631"/>
      <c r="H360" s="631"/>
      <c r="I360" s="631"/>
      <c r="J360" s="631"/>
      <c r="K360" s="631"/>
      <c r="L360" s="631"/>
      <c r="M360" s="631"/>
      <c r="N360" s="631"/>
      <c r="O360" s="632"/>
      <c r="P360" s="628" t="s">
        <v>40</v>
      </c>
      <c r="Q360" s="629"/>
      <c r="R360" s="629"/>
      <c r="S360" s="629"/>
      <c r="T360" s="629"/>
      <c r="U360" s="629"/>
      <c r="V360" s="630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1"/>
      <c r="B361" s="631"/>
      <c r="C361" s="631"/>
      <c r="D361" s="631"/>
      <c r="E361" s="631"/>
      <c r="F361" s="631"/>
      <c r="G361" s="631"/>
      <c r="H361" s="631"/>
      <c r="I361" s="631"/>
      <c r="J361" s="631"/>
      <c r="K361" s="631"/>
      <c r="L361" s="631"/>
      <c r="M361" s="631"/>
      <c r="N361" s="631"/>
      <c r="O361" s="632"/>
      <c r="P361" s="628" t="s">
        <v>40</v>
      </c>
      <c r="Q361" s="629"/>
      <c r="R361" s="629"/>
      <c r="S361" s="629"/>
      <c r="T361" s="629"/>
      <c r="U361" s="629"/>
      <c r="V361" s="630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2" t="s">
        <v>86</v>
      </c>
      <c r="B362" s="622"/>
      <c r="C362" s="622"/>
      <c r="D362" s="622"/>
      <c r="E362" s="622"/>
      <c r="F362" s="622"/>
      <c r="G362" s="622"/>
      <c r="H362" s="622"/>
      <c r="I362" s="622"/>
      <c r="J362" s="622"/>
      <c r="K362" s="622"/>
      <c r="L362" s="622"/>
      <c r="M362" s="622"/>
      <c r="N362" s="622"/>
      <c r="O362" s="622"/>
      <c r="P362" s="622"/>
      <c r="Q362" s="622"/>
      <c r="R362" s="622"/>
      <c r="S362" s="622"/>
      <c r="T362" s="622"/>
      <c r="U362" s="622"/>
      <c r="V362" s="622"/>
      <c r="W362" s="622"/>
      <c r="X362" s="622"/>
      <c r="Y362" s="622"/>
      <c r="Z362" s="622"/>
      <c r="AA362" s="66"/>
      <c r="AB362" s="66"/>
      <c r="AC362" s="80"/>
    </row>
    <row r="363" spans="1:68" ht="27" customHeight="1" x14ac:dyDescent="0.25">
      <c r="A363" s="63" t="s">
        <v>582</v>
      </c>
      <c r="B363" s="63" t="s">
        <v>583</v>
      </c>
      <c r="C363" s="36">
        <v>4301051903</v>
      </c>
      <c r="D363" s="623">
        <v>4607091383928</v>
      </c>
      <c r="E363" s="623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113</v>
      </c>
      <c r="L363" s="37" t="s">
        <v>45</v>
      </c>
      <c r="M363" s="38" t="s">
        <v>90</v>
      </c>
      <c r="N363" s="38"/>
      <c r="O363" s="37">
        <v>40</v>
      </c>
      <c r="P363" s="80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5"/>
      <c r="R363" s="625"/>
      <c r="S363" s="625"/>
      <c r="T363" s="626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584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585</v>
      </c>
      <c r="B364" s="63" t="s">
        <v>586</v>
      </c>
      <c r="C364" s="36">
        <v>4301051897</v>
      </c>
      <c r="D364" s="623">
        <v>4607091384260</v>
      </c>
      <c r="E364" s="623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113</v>
      </c>
      <c r="L364" s="37" t="s">
        <v>45</v>
      </c>
      <c r="M364" s="38" t="s">
        <v>90</v>
      </c>
      <c r="N364" s="38"/>
      <c r="O364" s="37">
        <v>40</v>
      </c>
      <c r="P364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5"/>
      <c r="R364" s="625"/>
      <c r="S364" s="625"/>
      <c r="T364" s="62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587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1"/>
      <c r="B365" s="631"/>
      <c r="C365" s="631"/>
      <c r="D365" s="631"/>
      <c r="E365" s="631"/>
      <c r="F365" s="631"/>
      <c r="G365" s="631"/>
      <c r="H365" s="631"/>
      <c r="I365" s="631"/>
      <c r="J365" s="631"/>
      <c r="K365" s="631"/>
      <c r="L365" s="631"/>
      <c r="M365" s="631"/>
      <c r="N365" s="631"/>
      <c r="O365" s="632"/>
      <c r="P365" s="628" t="s">
        <v>40</v>
      </c>
      <c r="Q365" s="629"/>
      <c r="R365" s="629"/>
      <c r="S365" s="629"/>
      <c r="T365" s="629"/>
      <c r="U365" s="629"/>
      <c r="V365" s="630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1"/>
      <c r="B366" s="631"/>
      <c r="C366" s="631"/>
      <c r="D366" s="631"/>
      <c r="E366" s="631"/>
      <c r="F366" s="631"/>
      <c r="G366" s="631"/>
      <c r="H366" s="631"/>
      <c r="I366" s="631"/>
      <c r="J366" s="631"/>
      <c r="K366" s="631"/>
      <c r="L366" s="631"/>
      <c r="M366" s="631"/>
      <c r="N366" s="631"/>
      <c r="O366" s="632"/>
      <c r="P366" s="628" t="s">
        <v>40</v>
      </c>
      <c r="Q366" s="629"/>
      <c r="R366" s="629"/>
      <c r="S366" s="629"/>
      <c r="T366" s="629"/>
      <c r="U366" s="629"/>
      <c r="V366" s="630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2" t="s">
        <v>163</v>
      </c>
      <c r="B367" s="622"/>
      <c r="C367" s="622"/>
      <c r="D367" s="622"/>
      <c r="E367" s="622"/>
      <c r="F367" s="622"/>
      <c r="G367" s="622"/>
      <c r="H367" s="622"/>
      <c r="I367" s="622"/>
      <c r="J367" s="622"/>
      <c r="K367" s="622"/>
      <c r="L367" s="622"/>
      <c r="M367" s="622"/>
      <c r="N367" s="622"/>
      <c r="O367" s="622"/>
      <c r="P367" s="622"/>
      <c r="Q367" s="622"/>
      <c r="R367" s="622"/>
      <c r="S367" s="622"/>
      <c r="T367" s="622"/>
      <c r="U367" s="622"/>
      <c r="V367" s="622"/>
      <c r="W367" s="622"/>
      <c r="X367" s="622"/>
      <c r="Y367" s="622"/>
      <c r="Z367" s="622"/>
      <c r="AA367" s="66"/>
      <c r="AB367" s="66"/>
      <c r="AC367" s="80"/>
    </row>
    <row r="368" spans="1:68" ht="16.5" customHeight="1" x14ac:dyDescent="0.25">
      <c r="A368" s="63" t="s">
        <v>588</v>
      </c>
      <c r="B368" s="63" t="s">
        <v>589</v>
      </c>
      <c r="C368" s="36">
        <v>4301060524</v>
      </c>
      <c r="D368" s="623">
        <v>4607091384673</v>
      </c>
      <c r="E368" s="623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113</v>
      </c>
      <c r="L368" s="37" t="s">
        <v>45</v>
      </c>
      <c r="M368" s="38" t="s">
        <v>90</v>
      </c>
      <c r="N368" s="38"/>
      <c r="O368" s="37">
        <v>40</v>
      </c>
      <c r="P368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590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1"/>
      <c r="B369" s="631"/>
      <c r="C369" s="631"/>
      <c r="D369" s="631"/>
      <c r="E369" s="631"/>
      <c r="F369" s="631"/>
      <c r="G369" s="631"/>
      <c r="H369" s="631"/>
      <c r="I369" s="631"/>
      <c r="J369" s="631"/>
      <c r="K369" s="631"/>
      <c r="L369" s="631"/>
      <c r="M369" s="631"/>
      <c r="N369" s="631"/>
      <c r="O369" s="632"/>
      <c r="P369" s="628" t="s">
        <v>40</v>
      </c>
      <c r="Q369" s="629"/>
      <c r="R369" s="629"/>
      <c r="S369" s="629"/>
      <c r="T369" s="629"/>
      <c r="U369" s="629"/>
      <c r="V369" s="630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1"/>
      <c r="B370" s="631"/>
      <c r="C370" s="631"/>
      <c r="D370" s="631"/>
      <c r="E370" s="631"/>
      <c r="F370" s="631"/>
      <c r="G370" s="631"/>
      <c r="H370" s="631"/>
      <c r="I370" s="631"/>
      <c r="J370" s="631"/>
      <c r="K370" s="631"/>
      <c r="L370" s="631"/>
      <c r="M370" s="631"/>
      <c r="N370" s="631"/>
      <c r="O370" s="632"/>
      <c r="P370" s="628" t="s">
        <v>40</v>
      </c>
      <c r="Q370" s="629"/>
      <c r="R370" s="629"/>
      <c r="S370" s="629"/>
      <c r="T370" s="629"/>
      <c r="U370" s="629"/>
      <c r="V370" s="630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1" t="s">
        <v>591</v>
      </c>
      <c r="B371" s="621"/>
      <c r="C371" s="621"/>
      <c r="D371" s="621"/>
      <c r="E371" s="621"/>
      <c r="F371" s="621"/>
      <c r="G371" s="621"/>
      <c r="H371" s="621"/>
      <c r="I371" s="621"/>
      <c r="J371" s="621"/>
      <c r="K371" s="621"/>
      <c r="L371" s="621"/>
      <c r="M371" s="621"/>
      <c r="N371" s="621"/>
      <c r="O371" s="621"/>
      <c r="P371" s="621"/>
      <c r="Q371" s="621"/>
      <c r="R371" s="621"/>
      <c r="S371" s="621"/>
      <c r="T371" s="621"/>
      <c r="U371" s="621"/>
      <c r="V371" s="621"/>
      <c r="W371" s="621"/>
      <c r="X371" s="621"/>
      <c r="Y371" s="621"/>
      <c r="Z371" s="621"/>
      <c r="AA371" s="65"/>
      <c r="AB371" s="65"/>
      <c r="AC371" s="79"/>
    </row>
    <row r="372" spans="1:68" ht="14.25" customHeight="1" x14ac:dyDescent="0.25">
      <c r="A372" s="622" t="s">
        <v>108</v>
      </c>
      <c r="B372" s="622"/>
      <c r="C372" s="622"/>
      <c r="D372" s="622"/>
      <c r="E372" s="622"/>
      <c r="F372" s="622"/>
      <c r="G372" s="622"/>
      <c r="H372" s="622"/>
      <c r="I372" s="622"/>
      <c r="J372" s="622"/>
      <c r="K372" s="622"/>
      <c r="L372" s="622"/>
      <c r="M372" s="622"/>
      <c r="N372" s="622"/>
      <c r="O372" s="622"/>
      <c r="P372" s="622"/>
      <c r="Q372" s="622"/>
      <c r="R372" s="622"/>
      <c r="S372" s="622"/>
      <c r="T372" s="622"/>
      <c r="U372" s="622"/>
      <c r="V372" s="622"/>
      <c r="W372" s="622"/>
      <c r="X372" s="622"/>
      <c r="Y372" s="622"/>
      <c r="Z372" s="622"/>
      <c r="AA372" s="66"/>
      <c r="AB372" s="66"/>
      <c r="AC372" s="80"/>
    </row>
    <row r="373" spans="1:68" ht="37.5" customHeight="1" x14ac:dyDescent="0.25">
      <c r="A373" s="63" t="s">
        <v>592</v>
      </c>
      <c r="B373" s="63" t="s">
        <v>593</v>
      </c>
      <c r="C373" s="36">
        <v>4301011875</v>
      </c>
      <c r="D373" s="623">
        <v>4680115884885</v>
      </c>
      <c r="E373" s="623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113</v>
      </c>
      <c r="L373" s="37" t="s">
        <v>45</v>
      </c>
      <c r="M373" s="38" t="s">
        <v>80</v>
      </c>
      <c r="N373" s="38"/>
      <c r="O373" s="37">
        <v>60</v>
      </c>
      <c r="P373" s="8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594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595</v>
      </c>
      <c r="B374" s="63" t="s">
        <v>596</v>
      </c>
      <c r="C374" s="36">
        <v>4301011871</v>
      </c>
      <c r="D374" s="623">
        <v>4680115884908</v>
      </c>
      <c r="E374" s="62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60</v>
      </c>
      <c r="P374" s="8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5"/>
      <c r="R374" s="625"/>
      <c r="S374" s="625"/>
      <c r="T374" s="62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594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1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  <c r="L375" s="631"/>
      <c r="M375" s="631"/>
      <c r="N375" s="631"/>
      <c r="O375" s="632"/>
      <c r="P375" s="628" t="s">
        <v>40</v>
      </c>
      <c r="Q375" s="629"/>
      <c r="R375" s="629"/>
      <c r="S375" s="629"/>
      <c r="T375" s="629"/>
      <c r="U375" s="629"/>
      <c r="V375" s="630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1"/>
      <c r="B376" s="631"/>
      <c r="C376" s="631"/>
      <c r="D376" s="631"/>
      <c r="E376" s="631"/>
      <c r="F376" s="631"/>
      <c r="G376" s="631"/>
      <c r="H376" s="631"/>
      <c r="I376" s="631"/>
      <c r="J376" s="631"/>
      <c r="K376" s="631"/>
      <c r="L376" s="631"/>
      <c r="M376" s="631"/>
      <c r="N376" s="631"/>
      <c r="O376" s="632"/>
      <c r="P376" s="628" t="s">
        <v>40</v>
      </c>
      <c r="Q376" s="629"/>
      <c r="R376" s="629"/>
      <c r="S376" s="629"/>
      <c r="T376" s="629"/>
      <c r="U376" s="629"/>
      <c r="V376" s="630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2" t="s">
        <v>76</v>
      </c>
      <c r="B377" s="622"/>
      <c r="C377" s="622"/>
      <c r="D377" s="622"/>
      <c r="E377" s="622"/>
      <c r="F377" s="622"/>
      <c r="G377" s="622"/>
      <c r="H377" s="622"/>
      <c r="I377" s="622"/>
      <c r="J377" s="622"/>
      <c r="K377" s="622"/>
      <c r="L377" s="622"/>
      <c r="M377" s="622"/>
      <c r="N377" s="622"/>
      <c r="O377" s="622"/>
      <c r="P377" s="622"/>
      <c r="Q377" s="622"/>
      <c r="R377" s="622"/>
      <c r="S377" s="622"/>
      <c r="T377" s="622"/>
      <c r="U377" s="622"/>
      <c r="V377" s="622"/>
      <c r="W377" s="622"/>
      <c r="X377" s="622"/>
      <c r="Y377" s="622"/>
      <c r="Z377" s="622"/>
      <c r="AA377" s="66"/>
      <c r="AB377" s="66"/>
      <c r="AC377" s="80"/>
    </row>
    <row r="378" spans="1:68" ht="27" customHeight="1" x14ac:dyDescent="0.25">
      <c r="A378" s="63" t="s">
        <v>597</v>
      </c>
      <c r="B378" s="63" t="s">
        <v>598</v>
      </c>
      <c r="C378" s="36">
        <v>4301031457</v>
      </c>
      <c r="D378" s="623">
        <v>4607091384802</v>
      </c>
      <c r="E378" s="623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116</v>
      </c>
      <c r="L378" s="37" t="s">
        <v>45</v>
      </c>
      <c r="M378" s="38" t="s">
        <v>80</v>
      </c>
      <c r="N378" s="38"/>
      <c r="O378" s="37">
        <v>50</v>
      </c>
      <c r="P378" s="8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599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31"/>
      <c r="B379" s="631"/>
      <c r="C379" s="631"/>
      <c r="D379" s="631"/>
      <c r="E379" s="631"/>
      <c r="F379" s="631"/>
      <c r="G379" s="631"/>
      <c r="H379" s="631"/>
      <c r="I379" s="631"/>
      <c r="J379" s="631"/>
      <c r="K379" s="631"/>
      <c r="L379" s="631"/>
      <c r="M379" s="631"/>
      <c r="N379" s="631"/>
      <c r="O379" s="632"/>
      <c r="P379" s="628" t="s">
        <v>40</v>
      </c>
      <c r="Q379" s="629"/>
      <c r="R379" s="629"/>
      <c r="S379" s="629"/>
      <c r="T379" s="629"/>
      <c r="U379" s="629"/>
      <c r="V379" s="630"/>
      <c r="W379" s="42" t="s">
        <v>39</v>
      </c>
      <c r="X379" s="43">
        <f>IFERROR(X378/H378,"0")</f>
        <v>0</v>
      </c>
      <c r="Y379" s="43">
        <f>IFERROR(Y378/H378,"0")</f>
        <v>0</v>
      </c>
      <c r="Z379" s="43">
        <f>IFERROR(IF(Z378="",0,Z378),"0")</f>
        <v>0</v>
      </c>
      <c r="AA379" s="67"/>
      <c r="AB379" s="67"/>
      <c r="AC379" s="67"/>
    </row>
    <row r="380" spans="1:68" x14ac:dyDescent="0.2">
      <c r="A380" s="631"/>
      <c r="B380" s="631"/>
      <c r="C380" s="631"/>
      <c r="D380" s="631"/>
      <c r="E380" s="631"/>
      <c r="F380" s="631"/>
      <c r="G380" s="631"/>
      <c r="H380" s="631"/>
      <c r="I380" s="631"/>
      <c r="J380" s="631"/>
      <c r="K380" s="631"/>
      <c r="L380" s="631"/>
      <c r="M380" s="631"/>
      <c r="N380" s="631"/>
      <c r="O380" s="632"/>
      <c r="P380" s="628" t="s">
        <v>40</v>
      </c>
      <c r="Q380" s="629"/>
      <c r="R380" s="629"/>
      <c r="S380" s="629"/>
      <c r="T380" s="629"/>
      <c r="U380" s="629"/>
      <c r="V380" s="630"/>
      <c r="W380" s="42" t="s">
        <v>0</v>
      </c>
      <c r="X380" s="43">
        <f>IFERROR(SUM(X378:X378),"0")</f>
        <v>0</v>
      </c>
      <c r="Y380" s="43">
        <f>IFERROR(SUM(Y378:Y378),"0")</f>
        <v>0</v>
      </c>
      <c r="Z380" s="42"/>
      <c r="AA380" s="67"/>
      <c r="AB380" s="67"/>
      <c r="AC380" s="67"/>
    </row>
    <row r="381" spans="1:68" ht="14.25" customHeight="1" x14ac:dyDescent="0.25">
      <c r="A381" s="622" t="s">
        <v>86</v>
      </c>
      <c r="B381" s="622"/>
      <c r="C381" s="622"/>
      <c r="D381" s="622"/>
      <c r="E381" s="622"/>
      <c r="F381" s="622"/>
      <c r="G381" s="622"/>
      <c r="H381" s="622"/>
      <c r="I381" s="622"/>
      <c r="J381" s="622"/>
      <c r="K381" s="622"/>
      <c r="L381" s="622"/>
      <c r="M381" s="622"/>
      <c r="N381" s="622"/>
      <c r="O381" s="622"/>
      <c r="P381" s="622"/>
      <c r="Q381" s="622"/>
      <c r="R381" s="622"/>
      <c r="S381" s="622"/>
      <c r="T381" s="622"/>
      <c r="U381" s="622"/>
      <c r="V381" s="622"/>
      <c r="W381" s="622"/>
      <c r="X381" s="622"/>
      <c r="Y381" s="622"/>
      <c r="Z381" s="622"/>
      <c r="AA381" s="66"/>
      <c r="AB381" s="66"/>
      <c r="AC381" s="80"/>
    </row>
    <row r="382" spans="1:68" ht="27" customHeight="1" x14ac:dyDescent="0.25">
      <c r="A382" s="63" t="s">
        <v>600</v>
      </c>
      <c r="B382" s="63" t="s">
        <v>601</v>
      </c>
      <c r="C382" s="36">
        <v>4301051899</v>
      </c>
      <c r="D382" s="623">
        <v>4607091384246</v>
      </c>
      <c r="E382" s="62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113</v>
      </c>
      <c r="L382" s="37" t="s">
        <v>45</v>
      </c>
      <c r="M382" s="38" t="s">
        <v>90</v>
      </c>
      <c r="N382" s="38"/>
      <c r="O382" s="37">
        <v>40</v>
      </c>
      <c r="P382" s="8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625"/>
      <c r="R382" s="625"/>
      <c r="S382" s="625"/>
      <c r="T382" s="626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45</v>
      </c>
      <c r="AB382" s="69" t="s">
        <v>45</v>
      </c>
      <c r="AC382" s="448" t="s">
        <v>602</v>
      </c>
      <c r="AG382" s="78"/>
      <c r="AJ382" s="84" t="s">
        <v>45</v>
      </c>
      <c r="AK382" s="84">
        <v>0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603</v>
      </c>
      <c r="B383" s="63" t="s">
        <v>604</v>
      </c>
      <c r="C383" s="36">
        <v>4301051660</v>
      </c>
      <c r="D383" s="623">
        <v>4607091384253</v>
      </c>
      <c r="E383" s="623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81</v>
      </c>
      <c r="L383" s="37" t="s">
        <v>45</v>
      </c>
      <c r="M383" s="38" t="s">
        <v>90</v>
      </c>
      <c r="N383" s="38"/>
      <c r="O383" s="37">
        <v>40</v>
      </c>
      <c r="P383" s="8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625"/>
      <c r="R383" s="625"/>
      <c r="S383" s="625"/>
      <c r="T383" s="626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602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603</v>
      </c>
      <c r="B384" s="63" t="s">
        <v>605</v>
      </c>
      <c r="C384" s="36">
        <v>4301052069</v>
      </c>
      <c r="D384" s="623">
        <v>4607091384253</v>
      </c>
      <c r="E384" s="623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81</v>
      </c>
      <c r="L384" s="37" t="s">
        <v>45</v>
      </c>
      <c r="M384" s="38" t="s">
        <v>90</v>
      </c>
      <c r="N384" s="38"/>
      <c r="O384" s="37">
        <v>40</v>
      </c>
      <c r="P384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625"/>
      <c r="R384" s="625"/>
      <c r="S384" s="625"/>
      <c r="T384" s="62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606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31"/>
      <c r="B385" s="631"/>
      <c r="C385" s="631"/>
      <c r="D385" s="631"/>
      <c r="E385" s="631"/>
      <c r="F385" s="631"/>
      <c r="G385" s="631"/>
      <c r="H385" s="631"/>
      <c r="I385" s="631"/>
      <c r="J385" s="631"/>
      <c r="K385" s="631"/>
      <c r="L385" s="631"/>
      <c r="M385" s="631"/>
      <c r="N385" s="631"/>
      <c r="O385" s="632"/>
      <c r="P385" s="628" t="s">
        <v>40</v>
      </c>
      <c r="Q385" s="629"/>
      <c r="R385" s="629"/>
      <c r="S385" s="629"/>
      <c r="T385" s="629"/>
      <c r="U385" s="629"/>
      <c r="V385" s="630"/>
      <c r="W385" s="42" t="s">
        <v>39</v>
      </c>
      <c r="X385" s="43">
        <f>IFERROR(X382/H382,"0")+IFERROR(X383/H383,"0")+IFERROR(X384/H384,"0")</f>
        <v>0</v>
      </c>
      <c r="Y385" s="43">
        <f>IFERROR(Y382/H382,"0")+IFERROR(Y383/H383,"0")+IFERROR(Y384/H384,"0")</f>
        <v>0</v>
      </c>
      <c r="Z385" s="43">
        <f>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31"/>
      <c r="B386" s="631"/>
      <c r="C386" s="631"/>
      <c r="D386" s="631"/>
      <c r="E386" s="631"/>
      <c r="F386" s="631"/>
      <c r="G386" s="631"/>
      <c r="H386" s="631"/>
      <c r="I386" s="631"/>
      <c r="J386" s="631"/>
      <c r="K386" s="631"/>
      <c r="L386" s="631"/>
      <c r="M386" s="631"/>
      <c r="N386" s="631"/>
      <c r="O386" s="632"/>
      <c r="P386" s="628" t="s">
        <v>40</v>
      </c>
      <c r="Q386" s="629"/>
      <c r="R386" s="629"/>
      <c r="S386" s="629"/>
      <c r="T386" s="629"/>
      <c r="U386" s="629"/>
      <c r="V386" s="630"/>
      <c r="W386" s="42" t="s">
        <v>0</v>
      </c>
      <c r="X386" s="43">
        <f>IFERROR(SUM(X382:X384),"0")</f>
        <v>0</v>
      </c>
      <c r="Y386" s="43">
        <f>IFERROR(SUM(Y382:Y384),"0")</f>
        <v>0</v>
      </c>
      <c r="Z386" s="42"/>
      <c r="AA386" s="67"/>
      <c r="AB386" s="67"/>
      <c r="AC386" s="67"/>
    </row>
    <row r="387" spans="1:68" ht="27.75" customHeight="1" x14ac:dyDescent="0.2">
      <c r="A387" s="620" t="s">
        <v>607</v>
      </c>
      <c r="B387" s="620"/>
      <c r="C387" s="620"/>
      <c r="D387" s="620"/>
      <c r="E387" s="620"/>
      <c r="F387" s="620"/>
      <c r="G387" s="620"/>
      <c r="H387" s="620"/>
      <c r="I387" s="620"/>
      <c r="J387" s="620"/>
      <c r="K387" s="620"/>
      <c r="L387" s="620"/>
      <c r="M387" s="620"/>
      <c r="N387" s="620"/>
      <c r="O387" s="620"/>
      <c r="P387" s="620"/>
      <c r="Q387" s="620"/>
      <c r="R387" s="620"/>
      <c r="S387" s="620"/>
      <c r="T387" s="620"/>
      <c r="U387" s="620"/>
      <c r="V387" s="620"/>
      <c r="W387" s="620"/>
      <c r="X387" s="620"/>
      <c r="Y387" s="620"/>
      <c r="Z387" s="620"/>
      <c r="AA387" s="54"/>
      <c r="AB387" s="54"/>
      <c r="AC387" s="54"/>
    </row>
    <row r="388" spans="1:68" ht="16.5" customHeight="1" x14ac:dyDescent="0.25">
      <c r="A388" s="621" t="s">
        <v>608</v>
      </c>
      <c r="B388" s="621"/>
      <c r="C388" s="621"/>
      <c r="D388" s="621"/>
      <c r="E388" s="621"/>
      <c r="F388" s="621"/>
      <c r="G388" s="621"/>
      <c r="H388" s="621"/>
      <c r="I388" s="621"/>
      <c r="J388" s="621"/>
      <c r="K388" s="621"/>
      <c r="L388" s="621"/>
      <c r="M388" s="621"/>
      <c r="N388" s="621"/>
      <c r="O388" s="621"/>
      <c r="P388" s="621"/>
      <c r="Q388" s="621"/>
      <c r="R388" s="621"/>
      <c r="S388" s="621"/>
      <c r="T388" s="621"/>
      <c r="U388" s="621"/>
      <c r="V388" s="621"/>
      <c r="W388" s="621"/>
      <c r="X388" s="621"/>
      <c r="Y388" s="621"/>
      <c r="Z388" s="621"/>
      <c r="AA388" s="65"/>
      <c r="AB388" s="65"/>
      <c r="AC388" s="79"/>
    </row>
    <row r="389" spans="1:68" ht="14.25" customHeight="1" x14ac:dyDescent="0.25">
      <c r="A389" s="622" t="s">
        <v>76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66"/>
      <c r="AB389" s="66"/>
      <c r="AC389" s="80"/>
    </row>
    <row r="390" spans="1:68" ht="27" customHeight="1" x14ac:dyDescent="0.25">
      <c r="A390" s="63" t="s">
        <v>609</v>
      </c>
      <c r="B390" s="63" t="s">
        <v>610</v>
      </c>
      <c r="C390" s="36">
        <v>4301031405</v>
      </c>
      <c r="D390" s="623">
        <v>4680115886100</v>
      </c>
      <c r="E390" s="623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116</v>
      </c>
      <c r="L390" s="37" t="s">
        <v>45</v>
      </c>
      <c r="M390" s="38" t="s">
        <v>80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ref="Y390:Y398" si="41">IFERROR(IF(X390="",0,CEILING((X390/$H390),1)*$H390),"")</f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611</v>
      </c>
      <c r="AG390" s="78"/>
      <c r="AJ390" s="84" t="s">
        <v>45</v>
      </c>
      <c r="AK390" s="84">
        <v>0</v>
      </c>
      <c r="BB390" s="455" t="s">
        <v>66</v>
      </c>
      <c r="BM390" s="78">
        <f t="shared" ref="BM390:BM398" si="42">IFERROR(X390*I390/H390,"0")</f>
        <v>0</v>
      </c>
      <c r="BN390" s="78">
        <f t="shared" ref="BN390:BN398" si="43">IFERROR(Y390*I390/H390,"0")</f>
        <v>0</v>
      </c>
      <c r="BO390" s="78">
        <f t="shared" ref="BO390:BO398" si="44">IFERROR(1/J390*(X390/H390),"0")</f>
        <v>0</v>
      </c>
      <c r="BP390" s="78">
        <f t="shared" ref="BP390:BP398" si="45">IFERROR(1/J390*(Y390/H390),"0")</f>
        <v>0</v>
      </c>
    </row>
    <row r="391" spans="1:68" ht="27" customHeight="1" x14ac:dyDescent="0.25">
      <c r="A391" s="63" t="s">
        <v>612</v>
      </c>
      <c r="B391" s="63" t="s">
        <v>613</v>
      </c>
      <c r="C391" s="36">
        <v>4301031406</v>
      </c>
      <c r="D391" s="623">
        <v>4680115886117</v>
      </c>
      <c r="E391" s="623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116</v>
      </c>
      <c r="L391" s="37" t="s">
        <v>45</v>
      </c>
      <c r="M391" s="38" t="s">
        <v>80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614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615</v>
      </c>
      <c r="B392" s="63" t="s">
        <v>616</v>
      </c>
      <c r="C392" s="36">
        <v>4301031402</v>
      </c>
      <c r="D392" s="623">
        <v>4680115886124</v>
      </c>
      <c r="E392" s="62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116</v>
      </c>
      <c r="L392" s="37" t="s">
        <v>45</v>
      </c>
      <c r="M392" s="38" t="s">
        <v>80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617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618</v>
      </c>
      <c r="B393" s="63" t="s">
        <v>619</v>
      </c>
      <c r="C393" s="36">
        <v>4301031366</v>
      </c>
      <c r="D393" s="623">
        <v>4680115883147</v>
      </c>
      <c r="E393" s="623"/>
      <c r="F393" s="62">
        <v>0.28000000000000003</v>
      </c>
      <c r="G393" s="37">
        <v>6</v>
      </c>
      <c r="H393" s="62">
        <v>1.68</v>
      </c>
      <c r="I393" s="62">
        <v>1.81</v>
      </c>
      <c r="J393" s="37">
        <v>234</v>
      </c>
      <c r="K393" s="37" t="s">
        <v>85</v>
      </c>
      <c r="L393" s="37" t="s">
        <v>45</v>
      </c>
      <c r="M393" s="38" t="s">
        <v>80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ref="Z393:Z398" si="46">IFERROR(IF(Y393=0,"",ROUNDUP(Y393/H393,0)*0.00502),"")</f>
        <v/>
      </c>
      <c r="AA393" s="68" t="s">
        <v>45</v>
      </c>
      <c r="AB393" s="69" t="s">
        <v>45</v>
      </c>
      <c r="AC393" s="460" t="s">
        <v>611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620</v>
      </c>
      <c r="B394" s="63" t="s">
        <v>621</v>
      </c>
      <c r="C394" s="36">
        <v>4301031362</v>
      </c>
      <c r="D394" s="623">
        <v>4607091384338</v>
      </c>
      <c r="E394" s="623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85</v>
      </c>
      <c r="L394" s="37" t="s">
        <v>45</v>
      </c>
      <c r="M394" s="38" t="s">
        <v>80</v>
      </c>
      <c r="N394" s="38"/>
      <c r="O394" s="37">
        <v>50</v>
      </c>
      <c r="P394" s="81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625"/>
      <c r="R394" s="625"/>
      <c r="S394" s="625"/>
      <c r="T394" s="62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611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37.5" customHeight="1" x14ac:dyDescent="0.25">
      <c r="A395" s="63" t="s">
        <v>622</v>
      </c>
      <c r="B395" s="63" t="s">
        <v>623</v>
      </c>
      <c r="C395" s="36">
        <v>4301031361</v>
      </c>
      <c r="D395" s="623">
        <v>4607091389524</v>
      </c>
      <c r="E395" s="623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625"/>
      <c r="R395" s="625"/>
      <c r="S395" s="625"/>
      <c r="T395" s="62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624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625</v>
      </c>
      <c r="B396" s="63" t="s">
        <v>626</v>
      </c>
      <c r="C396" s="36">
        <v>4301031364</v>
      </c>
      <c r="D396" s="623">
        <v>4680115883161</v>
      </c>
      <c r="E396" s="623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625"/>
      <c r="R396" s="625"/>
      <c r="S396" s="625"/>
      <c r="T396" s="62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627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628</v>
      </c>
      <c r="B397" s="63" t="s">
        <v>629</v>
      </c>
      <c r="C397" s="36">
        <v>4301031358</v>
      </c>
      <c r="D397" s="623">
        <v>4607091389531</v>
      </c>
      <c r="E397" s="62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625"/>
      <c r="R397" s="625"/>
      <c r="S397" s="625"/>
      <c r="T397" s="62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630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631</v>
      </c>
      <c r="B398" s="63" t="s">
        <v>632</v>
      </c>
      <c r="C398" s="36">
        <v>4301031360</v>
      </c>
      <c r="D398" s="623">
        <v>4607091384345</v>
      </c>
      <c r="E398" s="623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627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x14ac:dyDescent="0.2">
      <c r="A399" s="631"/>
      <c r="B399" s="631"/>
      <c r="C399" s="631"/>
      <c r="D399" s="631"/>
      <c r="E399" s="631"/>
      <c r="F399" s="631"/>
      <c r="G399" s="631"/>
      <c r="H399" s="631"/>
      <c r="I399" s="631"/>
      <c r="J399" s="631"/>
      <c r="K399" s="631"/>
      <c r="L399" s="631"/>
      <c r="M399" s="631"/>
      <c r="N399" s="631"/>
      <c r="O399" s="632"/>
      <c r="P399" s="628" t="s">
        <v>40</v>
      </c>
      <c r="Q399" s="629"/>
      <c r="R399" s="629"/>
      <c r="S399" s="629"/>
      <c r="T399" s="629"/>
      <c r="U399" s="629"/>
      <c r="V399" s="630"/>
      <c r="W399" s="42" t="s">
        <v>39</v>
      </c>
      <c r="X399" s="43">
        <f>IFERROR(X390/H390,"0")+IFERROR(X391/H391,"0")+IFERROR(X392/H392,"0")+IFERROR(X393/H393,"0")+IFERROR(X394/H394,"0")+IFERROR(X395/H395,"0")+IFERROR(X396/H396,"0")+IFERROR(X397/H397,"0")+IFERROR(X398/H398,"0")</f>
        <v>0</v>
      </c>
      <c r="Y399" s="43">
        <f>IFERROR(Y390/H390,"0")+IFERROR(Y391/H391,"0")+IFERROR(Y392/H392,"0")+IFERROR(Y393/H393,"0")+IFERROR(Y394/H394,"0")+IFERROR(Y395/H395,"0")+IFERROR(Y396/H396,"0")+IFERROR(Y397/H397,"0")+IFERROR(Y398/H398,"0")</f>
        <v>0</v>
      </c>
      <c r="Z399" s="43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31"/>
      <c r="B400" s="631"/>
      <c r="C400" s="631"/>
      <c r="D400" s="631"/>
      <c r="E400" s="631"/>
      <c r="F400" s="631"/>
      <c r="G400" s="631"/>
      <c r="H400" s="631"/>
      <c r="I400" s="631"/>
      <c r="J400" s="631"/>
      <c r="K400" s="631"/>
      <c r="L400" s="631"/>
      <c r="M400" s="631"/>
      <c r="N400" s="631"/>
      <c r="O400" s="632"/>
      <c r="P400" s="628" t="s">
        <v>40</v>
      </c>
      <c r="Q400" s="629"/>
      <c r="R400" s="629"/>
      <c r="S400" s="629"/>
      <c r="T400" s="629"/>
      <c r="U400" s="629"/>
      <c r="V400" s="630"/>
      <c r="W400" s="42" t="s">
        <v>0</v>
      </c>
      <c r="X400" s="43">
        <f>IFERROR(SUM(X390:X398),"0")</f>
        <v>0</v>
      </c>
      <c r="Y400" s="43">
        <f>IFERROR(SUM(Y390:Y398),"0")</f>
        <v>0</v>
      </c>
      <c r="Z400" s="42"/>
      <c r="AA400" s="67"/>
      <c r="AB400" s="67"/>
      <c r="AC400" s="67"/>
    </row>
    <row r="401" spans="1:68" ht="14.25" customHeight="1" x14ac:dyDescent="0.25">
      <c r="A401" s="622" t="s">
        <v>86</v>
      </c>
      <c r="B401" s="622"/>
      <c r="C401" s="622"/>
      <c r="D401" s="622"/>
      <c r="E401" s="622"/>
      <c r="F401" s="622"/>
      <c r="G401" s="622"/>
      <c r="H401" s="622"/>
      <c r="I401" s="622"/>
      <c r="J401" s="622"/>
      <c r="K401" s="622"/>
      <c r="L401" s="622"/>
      <c r="M401" s="622"/>
      <c r="N401" s="622"/>
      <c r="O401" s="622"/>
      <c r="P401" s="622"/>
      <c r="Q401" s="622"/>
      <c r="R401" s="622"/>
      <c r="S401" s="622"/>
      <c r="T401" s="622"/>
      <c r="U401" s="622"/>
      <c r="V401" s="622"/>
      <c r="W401" s="622"/>
      <c r="X401" s="622"/>
      <c r="Y401" s="622"/>
      <c r="Z401" s="622"/>
      <c r="AA401" s="66"/>
      <c r="AB401" s="66"/>
      <c r="AC401" s="80"/>
    </row>
    <row r="402" spans="1:68" ht="27" customHeight="1" x14ac:dyDescent="0.25">
      <c r="A402" s="63" t="s">
        <v>633</v>
      </c>
      <c r="B402" s="63" t="s">
        <v>634</v>
      </c>
      <c r="C402" s="36">
        <v>4301051284</v>
      </c>
      <c r="D402" s="623">
        <v>4607091384352</v>
      </c>
      <c r="E402" s="623"/>
      <c r="F402" s="62">
        <v>0.6</v>
      </c>
      <c r="G402" s="37">
        <v>4</v>
      </c>
      <c r="H402" s="62">
        <v>2.4</v>
      </c>
      <c r="I402" s="62">
        <v>2.6259999999999999</v>
      </c>
      <c r="J402" s="37">
        <v>132</v>
      </c>
      <c r="K402" s="37" t="s">
        <v>116</v>
      </c>
      <c r="L402" s="37" t="s">
        <v>45</v>
      </c>
      <c r="M402" s="38" t="s">
        <v>90</v>
      </c>
      <c r="N402" s="38"/>
      <c r="O402" s="37">
        <v>45</v>
      </c>
      <c r="P402" s="8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625"/>
      <c r="R402" s="625"/>
      <c r="S402" s="625"/>
      <c r="T402" s="626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45</v>
      </c>
      <c r="AB402" s="69" t="s">
        <v>45</v>
      </c>
      <c r="AC402" s="472" t="s">
        <v>635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636</v>
      </c>
      <c r="B403" s="63" t="s">
        <v>637</v>
      </c>
      <c r="C403" s="36">
        <v>4301051431</v>
      </c>
      <c r="D403" s="623">
        <v>4607091389654</v>
      </c>
      <c r="E403" s="623"/>
      <c r="F403" s="62">
        <v>0.33</v>
      </c>
      <c r="G403" s="37">
        <v>6</v>
      </c>
      <c r="H403" s="62">
        <v>1.98</v>
      </c>
      <c r="I403" s="62">
        <v>2.238</v>
      </c>
      <c r="J403" s="37">
        <v>182</v>
      </c>
      <c r="K403" s="37" t="s">
        <v>81</v>
      </c>
      <c r="L403" s="37" t="s">
        <v>45</v>
      </c>
      <c r="M403" s="38" t="s">
        <v>90</v>
      </c>
      <c r="N403" s="38"/>
      <c r="O403" s="37">
        <v>45</v>
      </c>
      <c r="P403" s="8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625"/>
      <c r="R403" s="625"/>
      <c r="S403" s="625"/>
      <c r="T403" s="626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74" t="s">
        <v>638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1"/>
      <c r="B404" s="631"/>
      <c r="C404" s="631"/>
      <c r="D404" s="631"/>
      <c r="E404" s="631"/>
      <c r="F404" s="631"/>
      <c r="G404" s="631"/>
      <c r="H404" s="631"/>
      <c r="I404" s="631"/>
      <c r="J404" s="631"/>
      <c r="K404" s="631"/>
      <c r="L404" s="631"/>
      <c r="M404" s="631"/>
      <c r="N404" s="631"/>
      <c r="O404" s="632"/>
      <c r="P404" s="628" t="s">
        <v>40</v>
      </c>
      <c r="Q404" s="629"/>
      <c r="R404" s="629"/>
      <c r="S404" s="629"/>
      <c r="T404" s="629"/>
      <c r="U404" s="629"/>
      <c r="V404" s="630"/>
      <c r="W404" s="42" t="s">
        <v>39</v>
      </c>
      <c r="X404" s="43">
        <f>IFERROR(X402/H402,"0")+IFERROR(X403/H403,"0")</f>
        <v>0</v>
      </c>
      <c r="Y404" s="43">
        <f>IFERROR(Y402/H402,"0")+IFERROR(Y403/H403,"0")</f>
        <v>0</v>
      </c>
      <c r="Z404" s="43">
        <f>IFERROR(IF(Z402="",0,Z402),"0")+IFERROR(IF(Z403="",0,Z403),"0")</f>
        <v>0</v>
      </c>
      <c r="AA404" s="67"/>
      <c r="AB404" s="67"/>
      <c r="AC404" s="67"/>
    </row>
    <row r="405" spans="1:68" x14ac:dyDescent="0.2">
      <c r="A405" s="631"/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2"/>
      <c r="P405" s="628" t="s">
        <v>40</v>
      </c>
      <c r="Q405" s="629"/>
      <c r="R405" s="629"/>
      <c r="S405" s="629"/>
      <c r="T405" s="629"/>
      <c r="U405" s="629"/>
      <c r="V405" s="630"/>
      <c r="W405" s="42" t="s">
        <v>0</v>
      </c>
      <c r="X405" s="43">
        <f>IFERROR(SUM(X402:X403),"0")</f>
        <v>0</v>
      </c>
      <c r="Y405" s="43">
        <f>IFERROR(SUM(Y402:Y403),"0")</f>
        <v>0</v>
      </c>
      <c r="Z405" s="42"/>
      <c r="AA405" s="67"/>
      <c r="AB405" s="67"/>
      <c r="AC405" s="67"/>
    </row>
    <row r="406" spans="1:68" ht="16.5" customHeight="1" x14ac:dyDescent="0.25">
      <c r="A406" s="621" t="s">
        <v>639</v>
      </c>
      <c r="B406" s="621"/>
      <c r="C406" s="621"/>
      <c r="D406" s="621"/>
      <c r="E406" s="621"/>
      <c r="F406" s="621"/>
      <c r="G406" s="621"/>
      <c r="H406" s="621"/>
      <c r="I406" s="621"/>
      <c r="J406" s="621"/>
      <c r="K406" s="621"/>
      <c r="L406" s="621"/>
      <c r="M406" s="621"/>
      <c r="N406" s="621"/>
      <c r="O406" s="621"/>
      <c r="P406" s="621"/>
      <c r="Q406" s="621"/>
      <c r="R406" s="621"/>
      <c r="S406" s="621"/>
      <c r="T406" s="621"/>
      <c r="U406" s="621"/>
      <c r="V406" s="621"/>
      <c r="W406" s="621"/>
      <c r="X406" s="621"/>
      <c r="Y406" s="621"/>
      <c r="Z406" s="621"/>
      <c r="AA406" s="65"/>
      <c r="AB406" s="65"/>
      <c r="AC406" s="79"/>
    </row>
    <row r="407" spans="1:68" ht="14.25" customHeight="1" x14ac:dyDescent="0.25">
      <c r="A407" s="622" t="s">
        <v>141</v>
      </c>
      <c r="B407" s="622"/>
      <c r="C407" s="622"/>
      <c r="D407" s="622"/>
      <c r="E407" s="622"/>
      <c r="F407" s="622"/>
      <c r="G407" s="622"/>
      <c r="H407" s="622"/>
      <c r="I407" s="622"/>
      <c r="J407" s="622"/>
      <c r="K407" s="622"/>
      <c r="L407" s="622"/>
      <c r="M407" s="622"/>
      <c r="N407" s="622"/>
      <c r="O407" s="622"/>
      <c r="P407" s="622"/>
      <c r="Q407" s="622"/>
      <c r="R407" s="622"/>
      <c r="S407" s="622"/>
      <c r="T407" s="622"/>
      <c r="U407" s="622"/>
      <c r="V407" s="622"/>
      <c r="W407" s="622"/>
      <c r="X407" s="622"/>
      <c r="Y407" s="622"/>
      <c r="Z407" s="622"/>
      <c r="AA407" s="66"/>
      <c r="AB407" s="66"/>
      <c r="AC407" s="80"/>
    </row>
    <row r="408" spans="1:68" ht="27" customHeight="1" x14ac:dyDescent="0.25">
      <c r="A408" s="63" t="s">
        <v>640</v>
      </c>
      <c r="B408" s="63" t="s">
        <v>641</v>
      </c>
      <c r="C408" s="36">
        <v>4301020319</v>
      </c>
      <c r="D408" s="623">
        <v>4680115885240</v>
      </c>
      <c r="E408" s="623"/>
      <c r="F408" s="62">
        <v>0.35</v>
      </c>
      <c r="G408" s="37">
        <v>6</v>
      </c>
      <c r="H408" s="62">
        <v>2.1</v>
      </c>
      <c r="I408" s="62">
        <v>2.31</v>
      </c>
      <c r="J408" s="37">
        <v>182</v>
      </c>
      <c r="K408" s="37" t="s">
        <v>81</v>
      </c>
      <c r="L408" s="37" t="s">
        <v>45</v>
      </c>
      <c r="M408" s="38" t="s">
        <v>80</v>
      </c>
      <c r="N408" s="38"/>
      <c r="O408" s="37">
        <v>40</v>
      </c>
      <c r="P408" s="8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IFERROR(IF(Y408=0,"",ROUNDUP(Y408/H408,0)*0.00651),"")</f>
        <v/>
      </c>
      <c r="AA408" s="68" t="s">
        <v>45</v>
      </c>
      <c r="AB408" s="69" t="s">
        <v>45</v>
      </c>
      <c r="AC408" s="476" t="s">
        <v>642</v>
      </c>
      <c r="AG408" s="78"/>
      <c r="AJ408" s="84" t="s">
        <v>45</v>
      </c>
      <c r="AK408" s="84">
        <v>0</v>
      </c>
      <c r="BB408" s="47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631"/>
      <c r="B409" s="631"/>
      <c r="C409" s="631"/>
      <c r="D409" s="631"/>
      <c r="E409" s="631"/>
      <c r="F409" s="631"/>
      <c r="G409" s="631"/>
      <c r="H409" s="631"/>
      <c r="I409" s="631"/>
      <c r="J409" s="631"/>
      <c r="K409" s="631"/>
      <c r="L409" s="631"/>
      <c r="M409" s="631"/>
      <c r="N409" s="631"/>
      <c r="O409" s="632"/>
      <c r="P409" s="628" t="s">
        <v>40</v>
      </c>
      <c r="Q409" s="629"/>
      <c r="R409" s="629"/>
      <c r="S409" s="629"/>
      <c r="T409" s="629"/>
      <c r="U409" s="629"/>
      <c r="V409" s="630"/>
      <c r="W409" s="42" t="s">
        <v>39</v>
      </c>
      <c r="X409" s="43">
        <f>IFERROR(X408/H408,"0")</f>
        <v>0</v>
      </c>
      <c r="Y409" s="43">
        <f>IFERROR(Y408/H408,"0")</f>
        <v>0</v>
      </c>
      <c r="Z409" s="43">
        <f>IFERROR(IF(Z408="",0,Z408),"0")</f>
        <v>0</v>
      </c>
      <c r="AA409" s="67"/>
      <c r="AB409" s="67"/>
      <c r="AC409" s="67"/>
    </row>
    <row r="410" spans="1:68" x14ac:dyDescent="0.2">
      <c r="A410" s="631"/>
      <c r="B410" s="631"/>
      <c r="C410" s="631"/>
      <c r="D410" s="631"/>
      <c r="E410" s="631"/>
      <c r="F410" s="631"/>
      <c r="G410" s="631"/>
      <c r="H410" s="631"/>
      <c r="I410" s="631"/>
      <c r="J410" s="631"/>
      <c r="K410" s="631"/>
      <c r="L410" s="631"/>
      <c r="M410" s="631"/>
      <c r="N410" s="631"/>
      <c r="O410" s="632"/>
      <c r="P410" s="628" t="s">
        <v>40</v>
      </c>
      <c r="Q410" s="629"/>
      <c r="R410" s="629"/>
      <c r="S410" s="629"/>
      <c r="T410" s="629"/>
      <c r="U410" s="629"/>
      <c r="V410" s="630"/>
      <c r="W410" s="42" t="s">
        <v>0</v>
      </c>
      <c r="X410" s="43">
        <f>IFERROR(SUM(X408:X408),"0")</f>
        <v>0</v>
      </c>
      <c r="Y410" s="43">
        <f>IFERROR(SUM(Y408:Y408),"0")</f>
        <v>0</v>
      </c>
      <c r="Z410" s="42"/>
      <c r="AA410" s="67"/>
      <c r="AB410" s="67"/>
      <c r="AC410" s="67"/>
    </row>
    <row r="411" spans="1:68" ht="14.25" customHeight="1" x14ac:dyDescent="0.25">
      <c r="A411" s="622" t="s">
        <v>76</v>
      </c>
      <c r="B411" s="622"/>
      <c r="C411" s="622"/>
      <c r="D411" s="622"/>
      <c r="E411" s="622"/>
      <c r="F411" s="622"/>
      <c r="G411" s="622"/>
      <c r="H411" s="622"/>
      <c r="I411" s="622"/>
      <c r="J411" s="622"/>
      <c r="K411" s="622"/>
      <c r="L411" s="622"/>
      <c r="M411" s="622"/>
      <c r="N411" s="622"/>
      <c r="O411" s="622"/>
      <c r="P411" s="622"/>
      <c r="Q411" s="622"/>
      <c r="R411" s="622"/>
      <c r="S411" s="622"/>
      <c r="T411" s="622"/>
      <c r="U411" s="622"/>
      <c r="V411" s="622"/>
      <c r="W411" s="622"/>
      <c r="X411" s="622"/>
      <c r="Y411" s="622"/>
      <c r="Z411" s="622"/>
      <c r="AA411" s="66"/>
      <c r="AB411" s="66"/>
      <c r="AC411" s="80"/>
    </row>
    <row r="412" spans="1:68" ht="27" customHeight="1" x14ac:dyDescent="0.25">
      <c r="A412" s="63" t="s">
        <v>643</v>
      </c>
      <c r="B412" s="63" t="s">
        <v>644</v>
      </c>
      <c r="C412" s="36">
        <v>4301031403</v>
      </c>
      <c r="D412" s="623">
        <v>4680115886094</v>
      </c>
      <c r="E412" s="623"/>
      <c r="F412" s="62">
        <v>0.9</v>
      </c>
      <c r="G412" s="37">
        <v>6</v>
      </c>
      <c r="H412" s="62">
        <v>5.4</v>
      </c>
      <c r="I412" s="62">
        <v>5.59</v>
      </c>
      <c r="J412" s="37">
        <v>132</v>
      </c>
      <c r="K412" s="37" t="s">
        <v>116</v>
      </c>
      <c r="L412" s="37" t="s">
        <v>45</v>
      </c>
      <c r="M412" s="38" t="s">
        <v>112</v>
      </c>
      <c r="N412" s="38"/>
      <c r="O412" s="37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625"/>
      <c r="R412" s="625"/>
      <c r="S412" s="625"/>
      <c r="T412" s="626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IFERROR(IF(Y412=0,"",ROUNDUP(Y412/H412,0)*0.00902),"")</f>
        <v/>
      </c>
      <c r="AA412" s="68" t="s">
        <v>45</v>
      </c>
      <c r="AB412" s="69" t="s">
        <v>45</v>
      </c>
      <c r="AC412" s="478" t="s">
        <v>645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646</v>
      </c>
      <c r="B413" s="63" t="s">
        <v>647</v>
      </c>
      <c r="C413" s="36">
        <v>4301031363</v>
      </c>
      <c r="D413" s="623">
        <v>4607091389425</v>
      </c>
      <c r="E413" s="62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85</v>
      </c>
      <c r="L413" s="37" t="s">
        <v>45</v>
      </c>
      <c r="M413" s="38" t="s">
        <v>80</v>
      </c>
      <c r="N413" s="38"/>
      <c r="O413" s="37">
        <v>50</v>
      </c>
      <c r="P413" s="82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625"/>
      <c r="R413" s="625"/>
      <c r="S413" s="625"/>
      <c r="T413" s="626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648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649</v>
      </c>
      <c r="B414" s="63" t="s">
        <v>650</v>
      </c>
      <c r="C414" s="36">
        <v>4301031373</v>
      </c>
      <c r="D414" s="623">
        <v>4680115880771</v>
      </c>
      <c r="E414" s="62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85</v>
      </c>
      <c r="L414" s="37" t="s">
        <v>45</v>
      </c>
      <c r="M414" s="38" t="s">
        <v>80</v>
      </c>
      <c r="N414" s="38"/>
      <c r="O414" s="37">
        <v>50</v>
      </c>
      <c r="P414" s="82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625"/>
      <c r="R414" s="625"/>
      <c r="S414" s="625"/>
      <c r="T414" s="62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651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652</v>
      </c>
      <c r="B415" s="63" t="s">
        <v>653</v>
      </c>
      <c r="C415" s="36">
        <v>4301031359</v>
      </c>
      <c r="D415" s="623">
        <v>4607091389500</v>
      </c>
      <c r="E415" s="62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625"/>
      <c r="R415" s="625"/>
      <c r="S415" s="625"/>
      <c r="T415" s="62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651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1"/>
      <c r="B416" s="631"/>
      <c r="C416" s="631"/>
      <c r="D416" s="631"/>
      <c r="E416" s="631"/>
      <c r="F416" s="631"/>
      <c r="G416" s="631"/>
      <c r="H416" s="631"/>
      <c r="I416" s="631"/>
      <c r="J416" s="631"/>
      <c r="K416" s="631"/>
      <c r="L416" s="631"/>
      <c r="M416" s="631"/>
      <c r="N416" s="631"/>
      <c r="O416" s="632"/>
      <c r="P416" s="628" t="s">
        <v>40</v>
      </c>
      <c r="Q416" s="629"/>
      <c r="R416" s="629"/>
      <c r="S416" s="629"/>
      <c r="T416" s="629"/>
      <c r="U416" s="629"/>
      <c r="V416" s="630"/>
      <c r="W416" s="42" t="s">
        <v>39</v>
      </c>
      <c r="X416" s="43">
        <f>IFERROR(X412/H412,"0")+IFERROR(X413/H413,"0")+IFERROR(X414/H414,"0")+IFERROR(X415/H415,"0")</f>
        <v>0</v>
      </c>
      <c r="Y416" s="43">
        <f>IFERROR(Y412/H412,"0")+IFERROR(Y413/H413,"0")+IFERROR(Y414/H414,"0")+IFERROR(Y415/H415,"0")</f>
        <v>0</v>
      </c>
      <c r="Z416" s="43">
        <f>IFERROR(IF(Z412="",0,Z412),"0")+IFERROR(IF(Z413="",0,Z413),"0")+IFERROR(IF(Z414="",0,Z414),"0")+IFERROR(IF(Z415="",0,Z415),"0")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31"/>
      <c r="B417" s="631"/>
      <c r="C417" s="631"/>
      <c r="D417" s="631"/>
      <c r="E417" s="631"/>
      <c r="F417" s="631"/>
      <c r="G417" s="631"/>
      <c r="H417" s="631"/>
      <c r="I417" s="631"/>
      <c r="J417" s="631"/>
      <c r="K417" s="631"/>
      <c r="L417" s="631"/>
      <c r="M417" s="631"/>
      <c r="N417" s="631"/>
      <c r="O417" s="632"/>
      <c r="P417" s="628" t="s">
        <v>40</v>
      </c>
      <c r="Q417" s="629"/>
      <c r="R417" s="629"/>
      <c r="S417" s="629"/>
      <c r="T417" s="629"/>
      <c r="U417" s="629"/>
      <c r="V417" s="630"/>
      <c r="W417" s="42" t="s">
        <v>0</v>
      </c>
      <c r="X417" s="43">
        <f>IFERROR(SUM(X412:X415),"0")</f>
        <v>0</v>
      </c>
      <c r="Y417" s="43">
        <f>IFERROR(SUM(Y412:Y415),"0")</f>
        <v>0</v>
      </c>
      <c r="Z417" s="42"/>
      <c r="AA417" s="67"/>
      <c r="AB417" s="67"/>
      <c r="AC417" s="67"/>
    </row>
    <row r="418" spans="1:68" ht="16.5" customHeight="1" x14ac:dyDescent="0.25">
      <c r="A418" s="621" t="s">
        <v>654</v>
      </c>
      <c r="B418" s="621"/>
      <c r="C418" s="621"/>
      <c r="D418" s="621"/>
      <c r="E418" s="621"/>
      <c r="F418" s="621"/>
      <c r="G418" s="621"/>
      <c r="H418" s="621"/>
      <c r="I418" s="621"/>
      <c r="J418" s="621"/>
      <c r="K418" s="621"/>
      <c r="L418" s="621"/>
      <c r="M418" s="621"/>
      <c r="N418" s="621"/>
      <c r="O418" s="621"/>
      <c r="P418" s="621"/>
      <c r="Q418" s="621"/>
      <c r="R418" s="621"/>
      <c r="S418" s="621"/>
      <c r="T418" s="621"/>
      <c r="U418" s="621"/>
      <c r="V418" s="621"/>
      <c r="W418" s="621"/>
      <c r="X418" s="621"/>
      <c r="Y418" s="621"/>
      <c r="Z418" s="621"/>
      <c r="AA418" s="65"/>
      <c r="AB418" s="65"/>
      <c r="AC418" s="79"/>
    </row>
    <row r="419" spans="1:68" ht="14.25" customHeight="1" x14ac:dyDescent="0.25">
      <c r="A419" s="622" t="s">
        <v>76</v>
      </c>
      <c r="B419" s="622"/>
      <c r="C419" s="622"/>
      <c r="D419" s="622"/>
      <c r="E419" s="622"/>
      <c r="F419" s="622"/>
      <c r="G419" s="622"/>
      <c r="H419" s="622"/>
      <c r="I419" s="622"/>
      <c r="J419" s="622"/>
      <c r="K419" s="622"/>
      <c r="L419" s="622"/>
      <c r="M419" s="622"/>
      <c r="N419" s="622"/>
      <c r="O419" s="622"/>
      <c r="P419" s="622"/>
      <c r="Q419" s="622"/>
      <c r="R419" s="622"/>
      <c r="S419" s="622"/>
      <c r="T419" s="622"/>
      <c r="U419" s="622"/>
      <c r="V419" s="622"/>
      <c r="W419" s="622"/>
      <c r="X419" s="622"/>
      <c r="Y419" s="622"/>
      <c r="Z419" s="622"/>
      <c r="AA419" s="66"/>
      <c r="AB419" s="66"/>
      <c r="AC419" s="80"/>
    </row>
    <row r="420" spans="1:68" ht="27" customHeight="1" x14ac:dyDescent="0.25">
      <c r="A420" s="63" t="s">
        <v>655</v>
      </c>
      <c r="B420" s="63" t="s">
        <v>656</v>
      </c>
      <c r="C420" s="36">
        <v>4301031347</v>
      </c>
      <c r="D420" s="623">
        <v>4680115885110</v>
      </c>
      <c r="E420" s="623"/>
      <c r="F420" s="62">
        <v>0.2</v>
      </c>
      <c r="G420" s="37">
        <v>6</v>
      </c>
      <c r="H420" s="62">
        <v>1.2</v>
      </c>
      <c r="I420" s="62">
        <v>2.1</v>
      </c>
      <c r="J420" s="37">
        <v>182</v>
      </c>
      <c r="K420" s="37" t="s">
        <v>81</v>
      </c>
      <c r="L420" s="37" t="s">
        <v>45</v>
      </c>
      <c r="M420" s="38" t="s">
        <v>80</v>
      </c>
      <c r="N420" s="38"/>
      <c r="O420" s="37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625"/>
      <c r="R420" s="625"/>
      <c r="S420" s="625"/>
      <c r="T420" s="626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86" t="s">
        <v>657</v>
      </c>
      <c r="AG420" s="78"/>
      <c r="AJ420" s="84" t="s">
        <v>45</v>
      </c>
      <c r="AK420" s="84">
        <v>0</v>
      </c>
      <c r="BB420" s="487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31"/>
      <c r="B421" s="631"/>
      <c r="C421" s="631"/>
      <c r="D421" s="631"/>
      <c r="E421" s="631"/>
      <c r="F421" s="631"/>
      <c r="G421" s="631"/>
      <c r="H421" s="631"/>
      <c r="I421" s="631"/>
      <c r="J421" s="631"/>
      <c r="K421" s="631"/>
      <c r="L421" s="631"/>
      <c r="M421" s="631"/>
      <c r="N421" s="631"/>
      <c r="O421" s="632"/>
      <c r="P421" s="628" t="s">
        <v>40</v>
      </c>
      <c r="Q421" s="629"/>
      <c r="R421" s="629"/>
      <c r="S421" s="629"/>
      <c r="T421" s="629"/>
      <c r="U421" s="629"/>
      <c r="V421" s="630"/>
      <c r="W421" s="42" t="s">
        <v>39</v>
      </c>
      <c r="X421" s="43">
        <f>IFERROR(X420/H420,"0")</f>
        <v>0</v>
      </c>
      <c r="Y421" s="43">
        <f>IFERROR(Y420/H420,"0")</f>
        <v>0</v>
      </c>
      <c r="Z421" s="43">
        <f>IFERROR(IF(Z420="",0,Z420),"0")</f>
        <v>0</v>
      </c>
      <c r="AA421" s="67"/>
      <c r="AB421" s="67"/>
      <c r="AC421" s="67"/>
    </row>
    <row r="422" spans="1:68" x14ac:dyDescent="0.2">
      <c r="A422" s="631"/>
      <c r="B422" s="631"/>
      <c r="C422" s="631"/>
      <c r="D422" s="631"/>
      <c r="E422" s="631"/>
      <c r="F422" s="631"/>
      <c r="G422" s="631"/>
      <c r="H422" s="631"/>
      <c r="I422" s="631"/>
      <c r="J422" s="631"/>
      <c r="K422" s="631"/>
      <c r="L422" s="631"/>
      <c r="M422" s="631"/>
      <c r="N422" s="631"/>
      <c r="O422" s="632"/>
      <c r="P422" s="628" t="s">
        <v>40</v>
      </c>
      <c r="Q422" s="629"/>
      <c r="R422" s="629"/>
      <c r="S422" s="629"/>
      <c r="T422" s="629"/>
      <c r="U422" s="629"/>
      <c r="V422" s="630"/>
      <c r="W422" s="42" t="s">
        <v>0</v>
      </c>
      <c r="X422" s="43">
        <f>IFERROR(SUM(X420:X420),"0")</f>
        <v>0</v>
      </c>
      <c r="Y422" s="43">
        <f>IFERROR(SUM(Y420:Y420),"0")</f>
        <v>0</v>
      </c>
      <c r="Z422" s="42"/>
      <c r="AA422" s="67"/>
      <c r="AB422" s="67"/>
      <c r="AC422" s="67"/>
    </row>
    <row r="423" spans="1:68" ht="27.75" customHeight="1" x14ac:dyDescent="0.2">
      <c r="A423" s="620" t="s">
        <v>658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54"/>
      <c r="AB423" s="54"/>
      <c r="AC423" s="54"/>
    </row>
    <row r="424" spans="1:68" ht="16.5" customHeight="1" x14ac:dyDescent="0.25">
      <c r="A424" s="621" t="s">
        <v>658</v>
      </c>
      <c r="B424" s="621"/>
      <c r="C424" s="621"/>
      <c r="D424" s="621"/>
      <c r="E424" s="621"/>
      <c r="F424" s="621"/>
      <c r="G424" s="621"/>
      <c r="H424" s="621"/>
      <c r="I424" s="621"/>
      <c r="J424" s="621"/>
      <c r="K424" s="621"/>
      <c r="L424" s="621"/>
      <c r="M424" s="621"/>
      <c r="N424" s="621"/>
      <c r="O424" s="621"/>
      <c r="P424" s="621"/>
      <c r="Q424" s="621"/>
      <c r="R424" s="621"/>
      <c r="S424" s="621"/>
      <c r="T424" s="621"/>
      <c r="U424" s="621"/>
      <c r="V424" s="621"/>
      <c r="W424" s="621"/>
      <c r="X424" s="621"/>
      <c r="Y424" s="621"/>
      <c r="Z424" s="621"/>
      <c r="AA424" s="65"/>
      <c r="AB424" s="65"/>
      <c r="AC424" s="79"/>
    </row>
    <row r="425" spans="1:68" ht="14.25" customHeight="1" x14ac:dyDescent="0.25">
      <c r="A425" s="622" t="s">
        <v>108</v>
      </c>
      <c r="B425" s="622"/>
      <c r="C425" s="622"/>
      <c r="D425" s="622"/>
      <c r="E425" s="622"/>
      <c r="F425" s="622"/>
      <c r="G425" s="622"/>
      <c r="H425" s="622"/>
      <c r="I425" s="622"/>
      <c r="J425" s="622"/>
      <c r="K425" s="622"/>
      <c r="L425" s="622"/>
      <c r="M425" s="622"/>
      <c r="N425" s="622"/>
      <c r="O425" s="622"/>
      <c r="P425" s="622"/>
      <c r="Q425" s="622"/>
      <c r="R425" s="622"/>
      <c r="S425" s="622"/>
      <c r="T425" s="622"/>
      <c r="U425" s="622"/>
      <c r="V425" s="622"/>
      <c r="W425" s="622"/>
      <c r="X425" s="622"/>
      <c r="Y425" s="622"/>
      <c r="Z425" s="622"/>
      <c r="AA425" s="66"/>
      <c r="AB425" s="66"/>
      <c r="AC425" s="80"/>
    </row>
    <row r="426" spans="1:68" ht="27" customHeight="1" x14ac:dyDescent="0.25">
      <c r="A426" s="63" t="s">
        <v>659</v>
      </c>
      <c r="B426" s="63" t="s">
        <v>660</v>
      </c>
      <c r="C426" s="36">
        <v>4301011795</v>
      </c>
      <c r="D426" s="623">
        <v>4607091389067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ref="Y426:Y437" si="47">IFERROR(IF(X426="",0,CEILING((X426/$H426),1)*$H426),"")</f>
        <v>0</v>
      </c>
      <c r="Z426" s="41" t="str">
        <f t="shared" ref="Z426:Z432" si="48">IFERROR(IF(Y426=0,"",ROUNDUP(Y426/H426,0)*0.01196),"")</f>
        <v/>
      </c>
      <c r="AA426" s="68" t="s">
        <v>45</v>
      </c>
      <c r="AB426" s="69" t="s">
        <v>45</v>
      </c>
      <c r="AC426" s="488" t="s">
        <v>111</v>
      </c>
      <c r="AG426" s="78"/>
      <c r="AJ426" s="84" t="s">
        <v>45</v>
      </c>
      <c r="AK426" s="84">
        <v>0</v>
      </c>
      <c r="BB426" s="489" t="s">
        <v>66</v>
      </c>
      <c r="BM426" s="78">
        <f t="shared" ref="BM426:BM437" si="49">IFERROR(X426*I426/H426,"0")</f>
        <v>0</v>
      </c>
      <c r="BN426" s="78">
        <f t="shared" ref="BN426:BN437" si="50">IFERROR(Y426*I426/H426,"0")</f>
        <v>0</v>
      </c>
      <c r="BO426" s="78">
        <f t="shared" ref="BO426:BO437" si="51">IFERROR(1/J426*(X426/H426),"0")</f>
        <v>0</v>
      </c>
      <c r="BP426" s="78">
        <f t="shared" ref="BP426:BP437" si="52">IFERROR(1/J426*(Y426/H426),"0")</f>
        <v>0</v>
      </c>
    </row>
    <row r="427" spans="1:68" ht="27" customHeight="1" x14ac:dyDescent="0.25">
      <c r="A427" s="63" t="s">
        <v>661</v>
      </c>
      <c r="B427" s="63" t="s">
        <v>662</v>
      </c>
      <c r="C427" s="36">
        <v>4301012210</v>
      </c>
      <c r="D427" s="623">
        <v>4607091383522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113</v>
      </c>
      <c r="L427" s="37" t="s">
        <v>45</v>
      </c>
      <c r="M427" s="38" t="s">
        <v>112</v>
      </c>
      <c r="N427" s="38"/>
      <c r="O427" s="37">
        <v>60</v>
      </c>
      <c r="P427" s="8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663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661</v>
      </c>
      <c r="B428" s="63" t="s">
        <v>664</v>
      </c>
      <c r="C428" s="36">
        <v>4301012145</v>
      </c>
      <c r="D428" s="623">
        <v>4607091383522</v>
      </c>
      <c r="E428" s="62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113</v>
      </c>
      <c r="L428" s="37" t="s">
        <v>45</v>
      </c>
      <c r="M428" s="38" t="s">
        <v>112</v>
      </c>
      <c r="N428" s="38"/>
      <c r="O428" s="37">
        <v>60</v>
      </c>
      <c r="P428" s="8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663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665</v>
      </c>
      <c r="B429" s="63" t="s">
        <v>666</v>
      </c>
      <c r="C429" s="36">
        <v>4301011961</v>
      </c>
      <c r="D429" s="623">
        <v>4680115885271</v>
      </c>
      <c r="E429" s="62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113</v>
      </c>
      <c r="L429" s="37" t="s">
        <v>45</v>
      </c>
      <c r="M429" s="38" t="s">
        <v>112</v>
      </c>
      <c r="N429" s="38"/>
      <c r="O429" s="37">
        <v>60</v>
      </c>
      <c r="P429" s="8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667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668</v>
      </c>
      <c r="B430" s="63" t="s">
        <v>669</v>
      </c>
      <c r="C430" s="36">
        <v>4301011376</v>
      </c>
      <c r="D430" s="623">
        <v>4680115885226</v>
      </c>
      <c r="E430" s="62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113</v>
      </c>
      <c r="L430" s="37" t="s">
        <v>45</v>
      </c>
      <c r="M430" s="38" t="s">
        <v>90</v>
      </c>
      <c r="N430" s="38"/>
      <c r="O430" s="37">
        <v>60</v>
      </c>
      <c r="P430" s="8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670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16.5" customHeight="1" x14ac:dyDescent="0.25">
      <c r="A431" s="63" t="s">
        <v>671</v>
      </c>
      <c r="B431" s="63" t="s">
        <v>672</v>
      </c>
      <c r="C431" s="36">
        <v>4301011774</v>
      </c>
      <c r="D431" s="623">
        <v>4680115884502</v>
      </c>
      <c r="E431" s="62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113</v>
      </c>
      <c r="L431" s="37" t="s">
        <v>45</v>
      </c>
      <c r="M431" s="38" t="s">
        <v>112</v>
      </c>
      <c r="N431" s="38"/>
      <c r="O431" s="37">
        <v>60</v>
      </c>
      <c r="P431" s="8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673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674</v>
      </c>
      <c r="B432" s="63" t="s">
        <v>675</v>
      </c>
      <c r="C432" s="36">
        <v>4301011771</v>
      </c>
      <c r="D432" s="623">
        <v>4607091389104</v>
      </c>
      <c r="E432" s="62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113</v>
      </c>
      <c r="L432" s="37" t="s">
        <v>45</v>
      </c>
      <c r="M432" s="38" t="s">
        <v>112</v>
      </c>
      <c r="N432" s="38"/>
      <c r="O432" s="37">
        <v>60</v>
      </c>
      <c r="P432" s="8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676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677</v>
      </c>
      <c r="B433" s="63" t="s">
        <v>678</v>
      </c>
      <c r="C433" s="36">
        <v>4301012125</v>
      </c>
      <c r="D433" s="623">
        <v>4680115886391</v>
      </c>
      <c r="E433" s="623"/>
      <c r="F433" s="62">
        <v>0.4</v>
      </c>
      <c r="G433" s="37">
        <v>6</v>
      </c>
      <c r="H433" s="62">
        <v>2.4</v>
      </c>
      <c r="I433" s="62">
        <v>2.58</v>
      </c>
      <c r="J433" s="37">
        <v>182</v>
      </c>
      <c r="K433" s="37" t="s">
        <v>81</v>
      </c>
      <c r="L433" s="37" t="s">
        <v>45</v>
      </c>
      <c r="M433" s="38" t="s">
        <v>90</v>
      </c>
      <c r="N433" s="38"/>
      <c r="O433" s="37">
        <v>60</v>
      </c>
      <c r="P433" s="8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625"/>
      <c r="R433" s="625"/>
      <c r="S433" s="625"/>
      <c r="T433" s="62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>IFERROR(IF(Y433=0,"",ROUNDUP(Y433/H433,0)*0.00651),"")</f>
        <v/>
      </c>
      <c r="AA433" s="68" t="s">
        <v>45</v>
      </c>
      <c r="AB433" s="69" t="s">
        <v>45</v>
      </c>
      <c r="AC433" s="502" t="s">
        <v>111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679</v>
      </c>
      <c r="B434" s="63" t="s">
        <v>680</v>
      </c>
      <c r="C434" s="36">
        <v>4301012035</v>
      </c>
      <c r="D434" s="623">
        <v>4680115880603</v>
      </c>
      <c r="E434" s="623"/>
      <c r="F434" s="62">
        <v>0.6</v>
      </c>
      <c r="G434" s="37">
        <v>8</v>
      </c>
      <c r="H434" s="62">
        <v>4.8</v>
      </c>
      <c r="I434" s="62">
        <v>6.91</v>
      </c>
      <c r="J434" s="37">
        <v>132</v>
      </c>
      <c r="K434" s="37" t="s">
        <v>116</v>
      </c>
      <c r="L434" s="37" t="s">
        <v>45</v>
      </c>
      <c r="M434" s="38" t="s">
        <v>112</v>
      </c>
      <c r="N434" s="38"/>
      <c r="O434" s="37">
        <v>60</v>
      </c>
      <c r="P434" s="8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625"/>
      <c r="R434" s="625"/>
      <c r="S434" s="625"/>
      <c r="T434" s="62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IFERROR(IF(Y434=0,"",ROUNDUP(Y434/H434,0)*0.00902),"")</f>
        <v/>
      </c>
      <c r="AA434" s="68" t="s">
        <v>45</v>
      </c>
      <c r="AB434" s="69" t="s">
        <v>45</v>
      </c>
      <c r="AC434" s="504" t="s">
        <v>111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681</v>
      </c>
      <c r="B435" s="63" t="s">
        <v>682</v>
      </c>
      <c r="C435" s="36">
        <v>4301012036</v>
      </c>
      <c r="D435" s="623">
        <v>4680115882782</v>
      </c>
      <c r="E435" s="623"/>
      <c r="F435" s="62">
        <v>0.6</v>
      </c>
      <c r="G435" s="37">
        <v>8</v>
      </c>
      <c r="H435" s="62">
        <v>4.8</v>
      </c>
      <c r="I435" s="62">
        <v>6.96</v>
      </c>
      <c r="J435" s="37">
        <v>120</v>
      </c>
      <c r="K435" s="37" t="s">
        <v>116</v>
      </c>
      <c r="L435" s="37" t="s">
        <v>45</v>
      </c>
      <c r="M435" s="38" t="s">
        <v>112</v>
      </c>
      <c r="N435" s="38"/>
      <c r="O435" s="37">
        <v>60</v>
      </c>
      <c r="P435" s="84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625"/>
      <c r="R435" s="625"/>
      <c r="S435" s="625"/>
      <c r="T435" s="62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IFERROR(IF(Y435=0,"",ROUNDUP(Y435/H435,0)*0.00937),"")</f>
        <v/>
      </c>
      <c r="AA435" s="68" t="s">
        <v>45</v>
      </c>
      <c r="AB435" s="69" t="s">
        <v>45</v>
      </c>
      <c r="AC435" s="506" t="s">
        <v>667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683</v>
      </c>
      <c r="B436" s="63" t="s">
        <v>684</v>
      </c>
      <c r="C436" s="36">
        <v>4301012050</v>
      </c>
      <c r="D436" s="623">
        <v>4680115885479</v>
      </c>
      <c r="E436" s="623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81</v>
      </c>
      <c r="L436" s="37" t="s">
        <v>45</v>
      </c>
      <c r="M436" s="38" t="s">
        <v>112</v>
      </c>
      <c r="N436" s="38"/>
      <c r="O436" s="37">
        <v>60</v>
      </c>
      <c r="P436" s="8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676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685</v>
      </c>
      <c r="B437" s="63" t="s">
        <v>686</v>
      </c>
      <c r="C437" s="36">
        <v>4301012034</v>
      </c>
      <c r="D437" s="623">
        <v>4607091389982</v>
      </c>
      <c r="E437" s="623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60</v>
      </c>
      <c r="P437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676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x14ac:dyDescent="0.2">
      <c r="A438" s="631"/>
      <c r="B438" s="631"/>
      <c r="C438" s="631"/>
      <c r="D438" s="631"/>
      <c r="E438" s="631"/>
      <c r="F438" s="631"/>
      <c r="G438" s="631"/>
      <c r="H438" s="631"/>
      <c r="I438" s="631"/>
      <c r="J438" s="631"/>
      <c r="K438" s="631"/>
      <c r="L438" s="631"/>
      <c r="M438" s="631"/>
      <c r="N438" s="631"/>
      <c r="O438" s="632"/>
      <c r="P438" s="628" t="s">
        <v>40</v>
      </c>
      <c r="Q438" s="629"/>
      <c r="R438" s="629"/>
      <c r="S438" s="629"/>
      <c r="T438" s="629"/>
      <c r="U438" s="629"/>
      <c r="V438" s="630"/>
      <c r="W438" s="42" t="s">
        <v>39</v>
      </c>
      <c r="X438" s="43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43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43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31"/>
      <c r="B439" s="631"/>
      <c r="C439" s="631"/>
      <c r="D439" s="631"/>
      <c r="E439" s="631"/>
      <c r="F439" s="631"/>
      <c r="G439" s="631"/>
      <c r="H439" s="631"/>
      <c r="I439" s="631"/>
      <c r="J439" s="631"/>
      <c r="K439" s="631"/>
      <c r="L439" s="631"/>
      <c r="M439" s="631"/>
      <c r="N439" s="631"/>
      <c r="O439" s="632"/>
      <c r="P439" s="628" t="s">
        <v>40</v>
      </c>
      <c r="Q439" s="629"/>
      <c r="R439" s="629"/>
      <c r="S439" s="629"/>
      <c r="T439" s="629"/>
      <c r="U439" s="629"/>
      <c r="V439" s="630"/>
      <c r="W439" s="42" t="s">
        <v>0</v>
      </c>
      <c r="X439" s="43">
        <f>IFERROR(SUM(X426:X437),"0")</f>
        <v>0</v>
      </c>
      <c r="Y439" s="43">
        <f>IFERROR(SUM(Y426:Y437),"0")</f>
        <v>0</v>
      </c>
      <c r="Z439" s="42"/>
      <c r="AA439" s="67"/>
      <c r="AB439" s="67"/>
      <c r="AC439" s="67"/>
    </row>
    <row r="440" spans="1:68" ht="14.25" customHeight="1" x14ac:dyDescent="0.25">
      <c r="A440" s="622" t="s">
        <v>141</v>
      </c>
      <c r="B440" s="622"/>
      <c r="C440" s="622"/>
      <c r="D440" s="622"/>
      <c r="E440" s="622"/>
      <c r="F440" s="622"/>
      <c r="G440" s="622"/>
      <c r="H440" s="622"/>
      <c r="I440" s="622"/>
      <c r="J440" s="622"/>
      <c r="K440" s="622"/>
      <c r="L440" s="622"/>
      <c r="M440" s="622"/>
      <c r="N440" s="622"/>
      <c r="O440" s="622"/>
      <c r="P440" s="622"/>
      <c r="Q440" s="622"/>
      <c r="R440" s="622"/>
      <c r="S440" s="622"/>
      <c r="T440" s="622"/>
      <c r="U440" s="622"/>
      <c r="V440" s="622"/>
      <c r="W440" s="622"/>
      <c r="X440" s="622"/>
      <c r="Y440" s="622"/>
      <c r="Z440" s="622"/>
      <c r="AA440" s="66"/>
      <c r="AB440" s="66"/>
      <c r="AC440" s="80"/>
    </row>
    <row r="441" spans="1:68" ht="16.5" customHeight="1" x14ac:dyDescent="0.25">
      <c r="A441" s="63" t="s">
        <v>687</v>
      </c>
      <c r="B441" s="63" t="s">
        <v>688</v>
      </c>
      <c r="C441" s="36">
        <v>4301020334</v>
      </c>
      <c r="D441" s="623">
        <v>4607091388930</v>
      </c>
      <c r="E441" s="623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113</v>
      </c>
      <c r="L441" s="37" t="s">
        <v>45</v>
      </c>
      <c r="M441" s="38" t="s">
        <v>90</v>
      </c>
      <c r="N441" s="38"/>
      <c r="O441" s="37">
        <v>70</v>
      </c>
      <c r="P441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625"/>
      <c r="R441" s="625"/>
      <c r="S441" s="625"/>
      <c r="T441" s="626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12" t="s">
        <v>689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690</v>
      </c>
      <c r="B442" s="63" t="s">
        <v>691</v>
      </c>
      <c r="C442" s="36">
        <v>4301020374</v>
      </c>
      <c r="D442" s="623">
        <v>4680115886407</v>
      </c>
      <c r="E442" s="623"/>
      <c r="F442" s="62">
        <v>0.4</v>
      </c>
      <c r="G442" s="37">
        <v>6</v>
      </c>
      <c r="H442" s="62">
        <v>2.4</v>
      </c>
      <c r="I442" s="62">
        <v>2.58</v>
      </c>
      <c r="J442" s="37">
        <v>182</v>
      </c>
      <c r="K442" s="37" t="s">
        <v>81</v>
      </c>
      <c r="L442" s="37" t="s">
        <v>45</v>
      </c>
      <c r="M442" s="38" t="s">
        <v>112</v>
      </c>
      <c r="N442" s="38"/>
      <c r="O442" s="37">
        <v>70</v>
      </c>
      <c r="P442" s="84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45</v>
      </c>
      <c r="AB442" s="69" t="s">
        <v>45</v>
      </c>
      <c r="AC442" s="514" t="s">
        <v>689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692</v>
      </c>
      <c r="B443" s="63" t="s">
        <v>693</v>
      </c>
      <c r="C443" s="36">
        <v>4301020385</v>
      </c>
      <c r="D443" s="623">
        <v>4680115880054</v>
      </c>
      <c r="E443" s="623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116</v>
      </c>
      <c r="L443" s="37" t="s">
        <v>45</v>
      </c>
      <c r="M443" s="38" t="s">
        <v>112</v>
      </c>
      <c r="N443" s="38"/>
      <c r="O443" s="37">
        <v>70</v>
      </c>
      <c r="P443" s="84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6" t="s">
        <v>689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31"/>
      <c r="B444" s="631"/>
      <c r="C444" s="631"/>
      <c r="D444" s="631"/>
      <c r="E444" s="631"/>
      <c r="F444" s="631"/>
      <c r="G444" s="631"/>
      <c r="H444" s="631"/>
      <c r="I444" s="631"/>
      <c r="J444" s="631"/>
      <c r="K444" s="631"/>
      <c r="L444" s="631"/>
      <c r="M444" s="631"/>
      <c r="N444" s="631"/>
      <c r="O444" s="632"/>
      <c r="P444" s="628" t="s">
        <v>40</v>
      </c>
      <c r="Q444" s="629"/>
      <c r="R444" s="629"/>
      <c r="S444" s="629"/>
      <c r="T444" s="629"/>
      <c r="U444" s="629"/>
      <c r="V444" s="630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631"/>
      <c r="B445" s="631"/>
      <c r="C445" s="631"/>
      <c r="D445" s="631"/>
      <c r="E445" s="631"/>
      <c r="F445" s="631"/>
      <c r="G445" s="631"/>
      <c r="H445" s="631"/>
      <c r="I445" s="631"/>
      <c r="J445" s="631"/>
      <c r="K445" s="631"/>
      <c r="L445" s="631"/>
      <c r="M445" s="631"/>
      <c r="N445" s="631"/>
      <c r="O445" s="632"/>
      <c r="P445" s="628" t="s">
        <v>40</v>
      </c>
      <c r="Q445" s="629"/>
      <c r="R445" s="629"/>
      <c r="S445" s="629"/>
      <c r="T445" s="629"/>
      <c r="U445" s="629"/>
      <c r="V445" s="630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622" t="s">
        <v>76</v>
      </c>
      <c r="B446" s="622"/>
      <c r="C446" s="622"/>
      <c r="D446" s="622"/>
      <c r="E446" s="622"/>
      <c r="F446" s="622"/>
      <c r="G446" s="622"/>
      <c r="H446" s="622"/>
      <c r="I446" s="622"/>
      <c r="J446" s="622"/>
      <c r="K446" s="622"/>
      <c r="L446" s="622"/>
      <c r="M446" s="622"/>
      <c r="N446" s="622"/>
      <c r="O446" s="622"/>
      <c r="P446" s="622"/>
      <c r="Q446" s="622"/>
      <c r="R446" s="622"/>
      <c r="S446" s="622"/>
      <c r="T446" s="622"/>
      <c r="U446" s="622"/>
      <c r="V446" s="622"/>
      <c r="W446" s="622"/>
      <c r="X446" s="622"/>
      <c r="Y446" s="622"/>
      <c r="Z446" s="622"/>
      <c r="AA446" s="66"/>
      <c r="AB446" s="66"/>
      <c r="AC446" s="80"/>
    </row>
    <row r="447" spans="1:68" ht="27" customHeight="1" x14ac:dyDescent="0.25">
      <c r="A447" s="63" t="s">
        <v>694</v>
      </c>
      <c r="B447" s="63" t="s">
        <v>695</v>
      </c>
      <c r="C447" s="36">
        <v>4301031349</v>
      </c>
      <c r="D447" s="623">
        <v>4680115883116</v>
      </c>
      <c r="E447" s="62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113</v>
      </c>
      <c r="L447" s="37" t="s">
        <v>45</v>
      </c>
      <c r="M447" s="38" t="s">
        <v>112</v>
      </c>
      <c r="N447" s="38"/>
      <c r="O447" s="37">
        <v>70</v>
      </c>
      <c r="P447" s="8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ref="Y447:Y452" si="53">IFERROR(IF(X447="",0,CEILING((X447/$H447),1)*$H447),"")</f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696</v>
      </c>
      <c r="AG447" s="78"/>
      <c r="AJ447" s="84" t="s">
        <v>45</v>
      </c>
      <c r="AK447" s="84">
        <v>0</v>
      </c>
      <c r="BB447" s="519" t="s">
        <v>66</v>
      </c>
      <c r="BM447" s="78">
        <f t="shared" ref="BM447:BM452" si="54">IFERROR(X447*I447/H447,"0")</f>
        <v>0</v>
      </c>
      <c r="BN447" s="78">
        <f t="shared" ref="BN447:BN452" si="55">IFERROR(Y447*I447/H447,"0")</f>
        <v>0</v>
      </c>
      <c r="BO447" s="78">
        <f t="shared" ref="BO447:BO452" si="56">IFERROR(1/J447*(X447/H447),"0")</f>
        <v>0</v>
      </c>
      <c r="BP447" s="78">
        <f t="shared" ref="BP447:BP452" si="57">IFERROR(1/J447*(Y447/H447),"0")</f>
        <v>0</v>
      </c>
    </row>
    <row r="448" spans="1:68" ht="27" customHeight="1" x14ac:dyDescent="0.25">
      <c r="A448" s="63" t="s">
        <v>697</v>
      </c>
      <c r="B448" s="63" t="s">
        <v>698</v>
      </c>
      <c r="C448" s="36">
        <v>4301031350</v>
      </c>
      <c r="D448" s="623">
        <v>4680115883093</v>
      </c>
      <c r="E448" s="62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113</v>
      </c>
      <c r="L448" s="37" t="s">
        <v>45</v>
      </c>
      <c r="M448" s="38" t="s">
        <v>80</v>
      </c>
      <c r="N448" s="38"/>
      <c r="O448" s="37">
        <v>70</v>
      </c>
      <c r="P448" s="8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625"/>
      <c r="R448" s="625"/>
      <c r="S448" s="625"/>
      <c r="T448" s="626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53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699</v>
      </c>
      <c r="AG448" s="78"/>
      <c r="AJ448" s="84" t="s">
        <v>45</v>
      </c>
      <c r="AK448" s="84">
        <v>0</v>
      </c>
      <c r="BB448" s="521" t="s">
        <v>66</v>
      </c>
      <c r="BM448" s="78">
        <f t="shared" si="54"/>
        <v>0</v>
      </c>
      <c r="BN448" s="78">
        <f t="shared" si="55"/>
        <v>0</v>
      </c>
      <c r="BO448" s="78">
        <f t="shared" si="56"/>
        <v>0</v>
      </c>
      <c r="BP448" s="78">
        <f t="shared" si="57"/>
        <v>0</v>
      </c>
    </row>
    <row r="449" spans="1:68" ht="27" customHeight="1" x14ac:dyDescent="0.25">
      <c r="A449" s="63" t="s">
        <v>700</v>
      </c>
      <c r="B449" s="63" t="s">
        <v>701</v>
      </c>
      <c r="C449" s="36">
        <v>4301031353</v>
      </c>
      <c r="D449" s="623">
        <v>4680115883109</v>
      </c>
      <c r="E449" s="62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113</v>
      </c>
      <c r="L449" s="37" t="s">
        <v>45</v>
      </c>
      <c r="M449" s="38" t="s">
        <v>80</v>
      </c>
      <c r="N449" s="38"/>
      <c r="O449" s="37">
        <v>70</v>
      </c>
      <c r="P449" s="8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625"/>
      <c r="R449" s="625"/>
      <c r="S449" s="625"/>
      <c r="T449" s="62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702</v>
      </c>
      <c r="AG449" s="78"/>
      <c r="AJ449" s="84" t="s">
        <v>45</v>
      </c>
      <c r="AK449" s="84">
        <v>0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703</v>
      </c>
      <c r="B450" s="63" t="s">
        <v>704</v>
      </c>
      <c r="C450" s="36">
        <v>4301031419</v>
      </c>
      <c r="D450" s="623">
        <v>4680115882072</v>
      </c>
      <c r="E450" s="62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116</v>
      </c>
      <c r="L450" s="37" t="s">
        <v>45</v>
      </c>
      <c r="M450" s="38" t="s">
        <v>112</v>
      </c>
      <c r="N450" s="38"/>
      <c r="O450" s="37">
        <v>70</v>
      </c>
      <c r="P450" s="85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625"/>
      <c r="R450" s="625"/>
      <c r="S450" s="625"/>
      <c r="T450" s="62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696</v>
      </c>
      <c r="AG450" s="78"/>
      <c r="AJ450" s="84" t="s">
        <v>45</v>
      </c>
      <c r="AK450" s="84">
        <v>0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705</v>
      </c>
      <c r="B451" s="63" t="s">
        <v>706</v>
      </c>
      <c r="C451" s="36">
        <v>4301031418</v>
      </c>
      <c r="D451" s="623">
        <v>4680115882102</v>
      </c>
      <c r="E451" s="623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116</v>
      </c>
      <c r="L451" s="37" t="s">
        <v>45</v>
      </c>
      <c r="M451" s="38" t="s">
        <v>80</v>
      </c>
      <c r="N451" s="38"/>
      <c r="O451" s="37">
        <v>70</v>
      </c>
      <c r="P451" s="8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625"/>
      <c r="R451" s="625"/>
      <c r="S451" s="625"/>
      <c r="T451" s="62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699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707</v>
      </c>
      <c r="B452" s="63" t="s">
        <v>708</v>
      </c>
      <c r="C452" s="36">
        <v>4301031417</v>
      </c>
      <c r="D452" s="623">
        <v>4680115882096</v>
      </c>
      <c r="E452" s="623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116</v>
      </c>
      <c r="L452" s="37" t="s">
        <v>45</v>
      </c>
      <c r="M452" s="38" t="s">
        <v>80</v>
      </c>
      <c r="N452" s="38"/>
      <c r="O452" s="37">
        <v>70</v>
      </c>
      <c r="P452" s="8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625"/>
      <c r="R452" s="625"/>
      <c r="S452" s="625"/>
      <c r="T452" s="62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702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x14ac:dyDescent="0.2">
      <c r="A453" s="631"/>
      <c r="B453" s="631"/>
      <c r="C453" s="631"/>
      <c r="D453" s="631"/>
      <c r="E453" s="631"/>
      <c r="F453" s="631"/>
      <c r="G453" s="631"/>
      <c r="H453" s="631"/>
      <c r="I453" s="631"/>
      <c r="J453" s="631"/>
      <c r="K453" s="631"/>
      <c r="L453" s="631"/>
      <c r="M453" s="631"/>
      <c r="N453" s="631"/>
      <c r="O453" s="632"/>
      <c r="P453" s="628" t="s">
        <v>40</v>
      </c>
      <c r="Q453" s="629"/>
      <c r="R453" s="629"/>
      <c r="S453" s="629"/>
      <c r="T453" s="629"/>
      <c r="U453" s="629"/>
      <c r="V453" s="630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31"/>
      <c r="B454" s="631"/>
      <c r="C454" s="631"/>
      <c r="D454" s="631"/>
      <c r="E454" s="631"/>
      <c r="F454" s="631"/>
      <c r="G454" s="631"/>
      <c r="H454" s="631"/>
      <c r="I454" s="631"/>
      <c r="J454" s="631"/>
      <c r="K454" s="631"/>
      <c r="L454" s="631"/>
      <c r="M454" s="631"/>
      <c r="N454" s="631"/>
      <c r="O454" s="632"/>
      <c r="P454" s="628" t="s">
        <v>40</v>
      </c>
      <c r="Q454" s="629"/>
      <c r="R454" s="629"/>
      <c r="S454" s="629"/>
      <c r="T454" s="629"/>
      <c r="U454" s="629"/>
      <c r="V454" s="630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27.75" customHeight="1" x14ac:dyDescent="0.2">
      <c r="A455" s="620" t="s">
        <v>709</v>
      </c>
      <c r="B455" s="620"/>
      <c r="C455" s="620"/>
      <c r="D455" s="620"/>
      <c r="E455" s="620"/>
      <c r="F455" s="620"/>
      <c r="G455" s="620"/>
      <c r="H455" s="620"/>
      <c r="I455" s="620"/>
      <c r="J455" s="620"/>
      <c r="K455" s="620"/>
      <c r="L455" s="620"/>
      <c r="M455" s="620"/>
      <c r="N455" s="620"/>
      <c r="O455" s="620"/>
      <c r="P455" s="620"/>
      <c r="Q455" s="620"/>
      <c r="R455" s="620"/>
      <c r="S455" s="620"/>
      <c r="T455" s="620"/>
      <c r="U455" s="620"/>
      <c r="V455" s="620"/>
      <c r="W455" s="620"/>
      <c r="X455" s="620"/>
      <c r="Y455" s="620"/>
      <c r="Z455" s="620"/>
      <c r="AA455" s="54"/>
      <c r="AB455" s="54"/>
      <c r="AC455" s="54"/>
    </row>
    <row r="456" spans="1:68" ht="16.5" customHeight="1" x14ac:dyDescent="0.25">
      <c r="A456" s="621" t="s">
        <v>709</v>
      </c>
      <c r="B456" s="621"/>
      <c r="C456" s="621"/>
      <c r="D456" s="621"/>
      <c r="E456" s="621"/>
      <c r="F456" s="621"/>
      <c r="G456" s="621"/>
      <c r="H456" s="621"/>
      <c r="I456" s="621"/>
      <c r="J456" s="621"/>
      <c r="K456" s="621"/>
      <c r="L456" s="621"/>
      <c r="M456" s="621"/>
      <c r="N456" s="621"/>
      <c r="O456" s="621"/>
      <c r="P456" s="621"/>
      <c r="Q456" s="621"/>
      <c r="R456" s="621"/>
      <c r="S456" s="621"/>
      <c r="T456" s="621"/>
      <c r="U456" s="621"/>
      <c r="V456" s="621"/>
      <c r="W456" s="621"/>
      <c r="X456" s="621"/>
      <c r="Y456" s="621"/>
      <c r="Z456" s="621"/>
      <c r="AA456" s="65"/>
      <c r="AB456" s="65"/>
      <c r="AC456" s="79"/>
    </row>
    <row r="457" spans="1:68" ht="14.25" customHeight="1" x14ac:dyDescent="0.25">
      <c r="A457" s="622" t="s">
        <v>108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66"/>
      <c r="AB457" s="66"/>
      <c r="AC457" s="80"/>
    </row>
    <row r="458" spans="1:68" ht="27" customHeight="1" x14ac:dyDescent="0.25">
      <c r="A458" s="63" t="s">
        <v>710</v>
      </c>
      <c r="B458" s="63" t="s">
        <v>711</v>
      </c>
      <c r="C458" s="36">
        <v>4301011763</v>
      </c>
      <c r="D458" s="623">
        <v>4640242181011</v>
      </c>
      <c r="E458" s="623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113</v>
      </c>
      <c r="L458" s="37" t="s">
        <v>45</v>
      </c>
      <c r="M458" s="38" t="s">
        <v>90</v>
      </c>
      <c r="N458" s="38"/>
      <c r="O458" s="37">
        <v>55</v>
      </c>
      <c r="P458" s="8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5"/>
      <c r="R458" s="625"/>
      <c r="S458" s="625"/>
      <c r="T458" s="62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30" t="s">
        <v>712</v>
      </c>
      <c r="AG458" s="78"/>
      <c r="AJ458" s="84" t="s">
        <v>45</v>
      </c>
      <c r="AK458" s="84">
        <v>0</v>
      </c>
      <c r="BB458" s="531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713</v>
      </c>
      <c r="B459" s="63" t="s">
        <v>714</v>
      </c>
      <c r="C459" s="36">
        <v>4301011585</v>
      </c>
      <c r="D459" s="623">
        <v>4640242180441</v>
      </c>
      <c r="E459" s="623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113</v>
      </c>
      <c r="L459" s="37" t="s">
        <v>45</v>
      </c>
      <c r="M459" s="38" t="s">
        <v>112</v>
      </c>
      <c r="N459" s="38"/>
      <c r="O459" s="37">
        <v>50</v>
      </c>
      <c r="P459" s="8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715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716</v>
      </c>
      <c r="B460" s="63" t="s">
        <v>717</v>
      </c>
      <c r="C460" s="36">
        <v>4301011584</v>
      </c>
      <c r="D460" s="623">
        <v>4640242180564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85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718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719</v>
      </c>
      <c r="B461" s="63" t="s">
        <v>720</v>
      </c>
      <c r="C461" s="36">
        <v>4301011764</v>
      </c>
      <c r="D461" s="623">
        <v>4640242181189</v>
      </c>
      <c r="E461" s="6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116</v>
      </c>
      <c r="L461" s="37" t="s">
        <v>45</v>
      </c>
      <c r="M461" s="38" t="s">
        <v>90</v>
      </c>
      <c r="N461" s="38"/>
      <c r="O461" s="37">
        <v>55</v>
      </c>
      <c r="P461" s="85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6" t="s">
        <v>712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31"/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2"/>
      <c r="P462" s="628" t="s">
        <v>40</v>
      </c>
      <c r="Q462" s="629"/>
      <c r="R462" s="629"/>
      <c r="S462" s="629"/>
      <c r="T462" s="629"/>
      <c r="U462" s="629"/>
      <c r="V462" s="630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31"/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2"/>
      <c r="P463" s="628" t="s">
        <v>40</v>
      </c>
      <c r="Q463" s="629"/>
      <c r="R463" s="629"/>
      <c r="S463" s="629"/>
      <c r="T463" s="629"/>
      <c r="U463" s="629"/>
      <c r="V463" s="630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2" t="s">
        <v>141</v>
      </c>
      <c r="B464" s="622"/>
      <c r="C464" s="622"/>
      <c r="D464" s="622"/>
      <c r="E464" s="622"/>
      <c r="F464" s="622"/>
      <c r="G464" s="622"/>
      <c r="H464" s="622"/>
      <c r="I464" s="622"/>
      <c r="J464" s="622"/>
      <c r="K464" s="622"/>
      <c r="L464" s="622"/>
      <c r="M464" s="622"/>
      <c r="N464" s="622"/>
      <c r="O464" s="622"/>
      <c r="P464" s="622"/>
      <c r="Q464" s="622"/>
      <c r="R464" s="622"/>
      <c r="S464" s="622"/>
      <c r="T464" s="622"/>
      <c r="U464" s="622"/>
      <c r="V464" s="622"/>
      <c r="W464" s="622"/>
      <c r="X464" s="622"/>
      <c r="Y464" s="622"/>
      <c r="Z464" s="622"/>
      <c r="AA464" s="66"/>
      <c r="AB464" s="66"/>
      <c r="AC464" s="80"/>
    </row>
    <row r="465" spans="1:68" ht="27" customHeight="1" x14ac:dyDescent="0.25">
      <c r="A465" s="63" t="s">
        <v>721</v>
      </c>
      <c r="B465" s="63" t="s">
        <v>722</v>
      </c>
      <c r="C465" s="36">
        <v>4301020400</v>
      </c>
      <c r="D465" s="623">
        <v>4640242180519</v>
      </c>
      <c r="E465" s="62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113</v>
      </c>
      <c r="L465" s="37" t="s">
        <v>45</v>
      </c>
      <c r="M465" s="38" t="s">
        <v>112</v>
      </c>
      <c r="N465" s="38"/>
      <c r="O465" s="37">
        <v>50</v>
      </c>
      <c r="P465" s="85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5"/>
      <c r="R465" s="625"/>
      <c r="S465" s="625"/>
      <c r="T465" s="62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723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724</v>
      </c>
      <c r="B466" s="63" t="s">
        <v>725</v>
      </c>
      <c r="C466" s="36">
        <v>4301020260</v>
      </c>
      <c r="D466" s="623">
        <v>4640242180526</v>
      </c>
      <c r="E466" s="623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85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726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1"/>
      <c r="B467" s="631"/>
      <c r="C467" s="631"/>
      <c r="D467" s="631"/>
      <c r="E467" s="631"/>
      <c r="F467" s="631"/>
      <c r="G467" s="631"/>
      <c r="H467" s="631"/>
      <c r="I467" s="631"/>
      <c r="J467" s="631"/>
      <c r="K467" s="631"/>
      <c r="L467" s="631"/>
      <c r="M467" s="631"/>
      <c r="N467" s="631"/>
      <c r="O467" s="632"/>
      <c r="P467" s="628" t="s">
        <v>40</v>
      </c>
      <c r="Q467" s="629"/>
      <c r="R467" s="629"/>
      <c r="S467" s="629"/>
      <c r="T467" s="629"/>
      <c r="U467" s="629"/>
      <c r="V467" s="630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631"/>
      <c r="B468" s="631"/>
      <c r="C468" s="631"/>
      <c r="D468" s="631"/>
      <c r="E468" s="631"/>
      <c r="F468" s="631"/>
      <c r="G468" s="631"/>
      <c r="H468" s="631"/>
      <c r="I468" s="631"/>
      <c r="J468" s="631"/>
      <c r="K468" s="631"/>
      <c r="L468" s="631"/>
      <c r="M468" s="631"/>
      <c r="N468" s="631"/>
      <c r="O468" s="632"/>
      <c r="P468" s="628" t="s">
        <v>40</v>
      </c>
      <c r="Q468" s="629"/>
      <c r="R468" s="629"/>
      <c r="S468" s="629"/>
      <c r="T468" s="629"/>
      <c r="U468" s="629"/>
      <c r="V468" s="630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622" t="s">
        <v>76</v>
      </c>
      <c r="B469" s="622"/>
      <c r="C469" s="622"/>
      <c r="D469" s="622"/>
      <c r="E469" s="622"/>
      <c r="F469" s="622"/>
      <c r="G469" s="622"/>
      <c r="H469" s="622"/>
      <c r="I469" s="622"/>
      <c r="J469" s="622"/>
      <c r="K469" s="622"/>
      <c r="L469" s="622"/>
      <c r="M469" s="622"/>
      <c r="N469" s="622"/>
      <c r="O469" s="622"/>
      <c r="P469" s="622"/>
      <c r="Q469" s="622"/>
      <c r="R469" s="622"/>
      <c r="S469" s="622"/>
      <c r="T469" s="622"/>
      <c r="U469" s="622"/>
      <c r="V469" s="622"/>
      <c r="W469" s="622"/>
      <c r="X469" s="622"/>
      <c r="Y469" s="622"/>
      <c r="Z469" s="622"/>
      <c r="AA469" s="66"/>
      <c r="AB469" s="66"/>
      <c r="AC469" s="80"/>
    </row>
    <row r="470" spans="1:68" ht="27" customHeight="1" x14ac:dyDescent="0.25">
      <c r="A470" s="63" t="s">
        <v>727</v>
      </c>
      <c r="B470" s="63" t="s">
        <v>728</v>
      </c>
      <c r="C470" s="36">
        <v>4301031467</v>
      </c>
      <c r="D470" s="623">
        <v>4640242180595</v>
      </c>
      <c r="E470" s="623"/>
      <c r="F470" s="62">
        <v>0.8</v>
      </c>
      <c r="G470" s="37">
        <v>6</v>
      </c>
      <c r="H470" s="62">
        <v>4.8</v>
      </c>
      <c r="I470" s="62">
        <v>5.05</v>
      </c>
      <c r="J470" s="37">
        <v>132</v>
      </c>
      <c r="K470" s="37" t="s">
        <v>116</v>
      </c>
      <c r="L470" s="37" t="s">
        <v>45</v>
      </c>
      <c r="M470" s="38" t="s">
        <v>80</v>
      </c>
      <c r="N470" s="38"/>
      <c r="O470" s="37">
        <v>40</v>
      </c>
      <c r="P470" s="8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0" s="625"/>
      <c r="R470" s="625"/>
      <c r="S470" s="625"/>
      <c r="T470" s="626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42" t="s">
        <v>729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31"/>
      <c r="B471" s="631"/>
      <c r="C471" s="631"/>
      <c r="D471" s="631"/>
      <c r="E471" s="631"/>
      <c r="F471" s="631"/>
      <c r="G471" s="631"/>
      <c r="H471" s="631"/>
      <c r="I471" s="631"/>
      <c r="J471" s="631"/>
      <c r="K471" s="631"/>
      <c r="L471" s="631"/>
      <c r="M471" s="631"/>
      <c r="N471" s="631"/>
      <c r="O471" s="632"/>
      <c r="P471" s="628" t="s">
        <v>40</v>
      </c>
      <c r="Q471" s="629"/>
      <c r="R471" s="629"/>
      <c r="S471" s="629"/>
      <c r="T471" s="629"/>
      <c r="U471" s="629"/>
      <c r="V471" s="63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31"/>
      <c r="B472" s="631"/>
      <c r="C472" s="631"/>
      <c r="D472" s="631"/>
      <c r="E472" s="631"/>
      <c r="F472" s="631"/>
      <c r="G472" s="631"/>
      <c r="H472" s="631"/>
      <c r="I472" s="631"/>
      <c r="J472" s="631"/>
      <c r="K472" s="631"/>
      <c r="L472" s="631"/>
      <c r="M472" s="631"/>
      <c r="N472" s="631"/>
      <c r="O472" s="632"/>
      <c r="P472" s="628" t="s">
        <v>40</v>
      </c>
      <c r="Q472" s="629"/>
      <c r="R472" s="629"/>
      <c r="S472" s="629"/>
      <c r="T472" s="629"/>
      <c r="U472" s="629"/>
      <c r="V472" s="63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22" t="s">
        <v>86</v>
      </c>
      <c r="B473" s="622"/>
      <c r="C473" s="622"/>
      <c r="D473" s="622"/>
      <c r="E473" s="622"/>
      <c r="F473" s="622"/>
      <c r="G473" s="622"/>
      <c r="H473" s="622"/>
      <c r="I473" s="622"/>
      <c r="J473" s="622"/>
      <c r="K473" s="622"/>
      <c r="L473" s="622"/>
      <c r="M473" s="622"/>
      <c r="N473" s="622"/>
      <c r="O473" s="622"/>
      <c r="P473" s="622"/>
      <c r="Q473" s="622"/>
      <c r="R473" s="622"/>
      <c r="S473" s="622"/>
      <c r="T473" s="622"/>
      <c r="U473" s="622"/>
      <c r="V473" s="622"/>
      <c r="W473" s="622"/>
      <c r="X473" s="622"/>
      <c r="Y473" s="622"/>
      <c r="Z473" s="622"/>
      <c r="AA473" s="66"/>
      <c r="AB473" s="66"/>
      <c r="AC473" s="80"/>
    </row>
    <row r="474" spans="1:68" ht="27" customHeight="1" x14ac:dyDescent="0.25">
      <c r="A474" s="63" t="s">
        <v>730</v>
      </c>
      <c r="B474" s="63" t="s">
        <v>731</v>
      </c>
      <c r="C474" s="36">
        <v>4301052046</v>
      </c>
      <c r="D474" s="623">
        <v>4640242180533</v>
      </c>
      <c r="E474" s="62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113</v>
      </c>
      <c r="L474" s="37" t="s">
        <v>45</v>
      </c>
      <c r="M474" s="38" t="s">
        <v>96</v>
      </c>
      <c r="N474" s="38"/>
      <c r="O474" s="37">
        <v>45</v>
      </c>
      <c r="P474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4" s="625"/>
      <c r="R474" s="625"/>
      <c r="S474" s="625"/>
      <c r="T474" s="626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45</v>
      </c>
      <c r="AB474" s="69" t="s">
        <v>45</v>
      </c>
      <c r="AC474" s="544" t="s">
        <v>732</v>
      </c>
      <c r="AG474" s="78"/>
      <c r="AJ474" s="84" t="s">
        <v>45</v>
      </c>
      <c r="AK474" s="84">
        <v>0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1"/>
      <c r="B475" s="631"/>
      <c r="C475" s="631"/>
      <c r="D475" s="631"/>
      <c r="E475" s="631"/>
      <c r="F475" s="631"/>
      <c r="G475" s="631"/>
      <c r="H475" s="631"/>
      <c r="I475" s="631"/>
      <c r="J475" s="631"/>
      <c r="K475" s="631"/>
      <c r="L475" s="631"/>
      <c r="M475" s="631"/>
      <c r="N475" s="631"/>
      <c r="O475" s="632"/>
      <c r="P475" s="628" t="s">
        <v>40</v>
      </c>
      <c r="Q475" s="629"/>
      <c r="R475" s="629"/>
      <c r="S475" s="629"/>
      <c r="T475" s="629"/>
      <c r="U475" s="629"/>
      <c r="V475" s="630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631"/>
      <c r="B476" s="631"/>
      <c r="C476" s="631"/>
      <c r="D476" s="631"/>
      <c r="E476" s="631"/>
      <c r="F476" s="631"/>
      <c r="G476" s="631"/>
      <c r="H476" s="631"/>
      <c r="I476" s="631"/>
      <c r="J476" s="631"/>
      <c r="K476" s="631"/>
      <c r="L476" s="631"/>
      <c r="M476" s="631"/>
      <c r="N476" s="631"/>
      <c r="O476" s="632"/>
      <c r="P476" s="628" t="s">
        <v>40</v>
      </c>
      <c r="Q476" s="629"/>
      <c r="R476" s="629"/>
      <c r="S476" s="629"/>
      <c r="T476" s="629"/>
      <c r="U476" s="629"/>
      <c r="V476" s="630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 x14ac:dyDescent="0.25">
      <c r="A477" s="622" t="s">
        <v>163</v>
      </c>
      <c r="B477" s="622"/>
      <c r="C477" s="622"/>
      <c r="D477" s="622"/>
      <c r="E477" s="622"/>
      <c r="F477" s="622"/>
      <c r="G477" s="622"/>
      <c r="H477" s="622"/>
      <c r="I477" s="622"/>
      <c r="J477" s="622"/>
      <c r="K477" s="622"/>
      <c r="L477" s="622"/>
      <c r="M477" s="622"/>
      <c r="N477" s="622"/>
      <c r="O477" s="622"/>
      <c r="P477" s="622"/>
      <c r="Q477" s="622"/>
      <c r="R477" s="622"/>
      <c r="S477" s="622"/>
      <c r="T477" s="622"/>
      <c r="U477" s="622"/>
      <c r="V477" s="622"/>
      <c r="W477" s="622"/>
      <c r="X477" s="622"/>
      <c r="Y477" s="622"/>
      <c r="Z477" s="622"/>
      <c r="AA477" s="66"/>
      <c r="AB477" s="66"/>
      <c r="AC477" s="80"/>
    </row>
    <row r="478" spans="1:68" ht="27" customHeight="1" x14ac:dyDescent="0.25">
      <c r="A478" s="63" t="s">
        <v>733</v>
      </c>
      <c r="B478" s="63" t="s">
        <v>734</v>
      </c>
      <c r="C478" s="36">
        <v>4301060491</v>
      </c>
      <c r="D478" s="623">
        <v>4640242180120</v>
      </c>
      <c r="E478" s="623"/>
      <c r="F478" s="62">
        <v>1.5</v>
      </c>
      <c r="G478" s="37">
        <v>6</v>
      </c>
      <c r="H478" s="62">
        <v>9</v>
      </c>
      <c r="I478" s="62">
        <v>9.41</v>
      </c>
      <c r="J478" s="37">
        <v>64</v>
      </c>
      <c r="K478" s="37" t="s">
        <v>113</v>
      </c>
      <c r="L478" s="37" t="s">
        <v>45</v>
      </c>
      <c r="M478" s="38" t="s">
        <v>90</v>
      </c>
      <c r="N478" s="38"/>
      <c r="O478" s="37">
        <v>40</v>
      </c>
      <c r="P478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8" s="625"/>
      <c r="R478" s="625"/>
      <c r="S478" s="625"/>
      <c r="T478" s="626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735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736</v>
      </c>
      <c r="B479" s="63" t="s">
        <v>737</v>
      </c>
      <c r="C479" s="36">
        <v>4301060493</v>
      </c>
      <c r="D479" s="623">
        <v>4640242180137</v>
      </c>
      <c r="E479" s="623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113</v>
      </c>
      <c r="L479" s="37" t="s">
        <v>45</v>
      </c>
      <c r="M479" s="38" t="s">
        <v>90</v>
      </c>
      <c r="N479" s="38"/>
      <c r="O479" s="37">
        <v>40</v>
      </c>
      <c r="P479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9" s="625"/>
      <c r="R479" s="625"/>
      <c r="S479" s="625"/>
      <c r="T479" s="626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738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1"/>
      <c r="B480" s="631"/>
      <c r="C480" s="631"/>
      <c r="D480" s="631"/>
      <c r="E480" s="631"/>
      <c r="F480" s="631"/>
      <c r="G480" s="631"/>
      <c r="H480" s="631"/>
      <c r="I480" s="631"/>
      <c r="J480" s="631"/>
      <c r="K480" s="631"/>
      <c r="L480" s="631"/>
      <c r="M480" s="631"/>
      <c r="N480" s="631"/>
      <c r="O480" s="632"/>
      <c r="P480" s="628" t="s">
        <v>40</v>
      </c>
      <c r="Q480" s="629"/>
      <c r="R480" s="629"/>
      <c r="S480" s="629"/>
      <c r="T480" s="629"/>
      <c r="U480" s="629"/>
      <c r="V480" s="630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631"/>
      <c r="B481" s="631"/>
      <c r="C481" s="631"/>
      <c r="D481" s="631"/>
      <c r="E481" s="631"/>
      <c r="F481" s="631"/>
      <c r="G481" s="631"/>
      <c r="H481" s="631"/>
      <c r="I481" s="631"/>
      <c r="J481" s="631"/>
      <c r="K481" s="631"/>
      <c r="L481" s="631"/>
      <c r="M481" s="631"/>
      <c r="N481" s="631"/>
      <c r="O481" s="632"/>
      <c r="P481" s="628" t="s">
        <v>40</v>
      </c>
      <c r="Q481" s="629"/>
      <c r="R481" s="629"/>
      <c r="S481" s="629"/>
      <c r="T481" s="629"/>
      <c r="U481" s="629"/>
      <c r="V481" s="630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621" t="s">
        <v>739</v>
      </c>
      <c r="B482" s="621"/>
      <c r="C482" s="621"/>
      <c r="D482" s="621"/>
      <c r="E482" s="621"/>
      <c r="F482" s="621"/>
      <c r="G482" s="621"/>
      <c r="H482" s="621"/>
      <c r="I482" s="621"/>
      <c r="J482" s="621"/>
      <c r="K482" s="621"/>
      <c r="L482" s="621"/>
      <c r="M482" s="621"/>
      <c r="N482" s="621"/>
      <c r="O482" s="621"/>
      <c r="P482" s="621"/>
      <c r="Q482" s="621"/>
      <c r="R482" s="621"/>
      <c r="S482" s="621"/>
      <c r="T482" s="621"/>
      <c r="U482" s="621"/>
      <c r="V482" s="621"/>
      <c r="W482" s="621"/>
      <c r="X482" s="621"/>
      <c r="Y482" s="621"/>
      <c r="Z482" s="621"/>
      <c r="AA482" s="65"/>
      <c r="AB482" s="65"/>
      <c r="AC482" s="79"/>
    </row>
    <row r="483" spans="1:68" ht="14.25" customHeight="1" x14ac:dyDescent="0.25">
      <c r="A483" s="622" t="s">
        <v>141</v>
      </c>
      <c r="B483" s="622"/>
      <c r="C483" s="622"/>
      <c r="D483" s="622"/>
      <c r="E483" s="622"/>
      <c r="F483" s="622"/>
      <c r="G483" s="622"/>
      <c r="H483" s="622"/>
      <c r="I483" s="622"/>
      <c r="J483" s="622"/>
      <c r="K483" s="622"/>
      <c r="L483" s="622"/>
      <c r="M483" s="622"/>
      <c r="N483" s="622"/>
      <c r="O483" s="622"/>
      <c r="P483" s="622"/>
      <c r="Q483" s="622"/>
      <c r="R483" s="622"/>
      <c r="S483" s="622"/>
      <c r="T483" s="622"/>
      <c r="U483" s="622"/>
      <c r="V483" s="622"/>
      <c r="W483" s="622"/>
      <c r="X483" s="622"/>
      <c r="Y483" s="622"/>
      <c r="Z483" s="622"/>
      <c r="AA483" s="66"/>
      <c r="AB483" s="66"/>
      <c r="AC483" s="80"/>
    </row>
    <row r="484" spans="1:68" ht="27" customHeight="1" x14ac:dyDescent="0.25">
      <c r="A484" s="63" t="s">
        <v>740</v>
      </c>
      <c r="B484" s="63" t="s">
        <v>741</v>
      </c>
      <c r="C484" s="36">
        <v>4301020314</v>
      </c>
      <c r="D484" s="623">
        <v>4640242180090</v>
      </c>
      <c r="E484" s="623"/>
      <c r="F484" s="62">
        <v>1.5</v>
      </c>
      <c r="G484" s="37">
        <v>8</v>
      </c>
      <c r="H484" s="62">
        <v>12</v>
      </c>
      <c r="I484" s="62">
        <v>12.41</v>
      </c>
      <c r="J484" s="37">
        <v>64</v>
      </c>
      <c r="K484" s="37" t="s">
        <v>113</v>
      </c>
      <c r="L484" s="37" t="s">
        <v>45</v>
      </c>
      <c r="M484" s="38" t="s">
        <v>112</v>
      </c>
      <c r="N484" s="38"/>
      <c r="O484" s="37">
        <v>50</v>
      </c>
      <c r="P484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4" s="625"/>
      <c r="R484" s="625"/>
      <c r="S484" s="625"/>
      <c r="T484" s="62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0" t="s">
        <v>742</v>
      </c>
      <c r="AG484" s="78"/>
      <c r="AJ484" s="84" t="s">
        <v>45</v>
      </c>
      <c r="AK484" s="84">
        <v>0</v>
      </c>
      <c r="BB484" s="551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1"/>
      <c r="B485" s="631"/>
      <c r="C485" s="631"/>
      <c r="D485" s="631"/>
      <c r="E485" s="631"/>
      <c r="F485" s="631"/>
      <c r="G485" s="631"/>
      <c r="H485" s="631"/>
      <c r="I485" s="631"/>
      <c r="J485" s="631"/>
      <c r="K485" s="631"/>
      <c r="L485" s="631"/>
      <c r="M485" s="631"/>
      <c r="N485" s="631"/>
      <c r="O485" s="632"/>
      <c r="P485" s="628" t="s">
        <v>40</v>
      </c>
      <c r="Q485" s="629"/>
      <c r="R485" s="629"/>
      <c r="S485" s="629"/>
      <c r="T485" s="629"/>
      <c r="U485" s="629"/>
      <c r="V485" s="630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631"/>
      <c r="B486" s="631"/>
      <c r="C486" s="631"/>
      <c r="D486" s="631"/>
      <c r="E486" s="631"/>
      <c r="F486" s="631"/>
      <c r="G486" s="631"/>
      <c r="H486" s="631"/>
      <c r="I486" s="631"/>
      <c r="J486" s="631"/>
      <c r="K486" s="631"/>
      <c r="L486" s="631"/>
      <c r="M486" s="631"/>
      <c r="N486" s="631"/>
      <c r="O486" s="632"/>
      <c r="P486" s="628" t="s">
        <v>40</v>
      </c>
      <c r="Q486" s="629"/>
      <c r="R486" s="629"/>
      <c r="S486" s="629"/>
      <c r="T486" s="629"/>
      <c r="U486" s="629"/>
      <c r="V486" s="630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5" customHeight="1" x14ac:dyDescent="0.2">
      <c r="A487" s="631"/>
      <c r="B487" s="631"/>
      <c r="C487" s="631"/>
      <c r="D487" s="631"/>
      <c r="E487" s="631"/>
      <c r="F487" s="631"/>
      <c r="G487" s="631"/>
      <c r="H487" s="631"/>
      <c r="I487" s="631"/>
      <c r="J487" s="631"/>
      <c r="K487" s="631"/>
      <c r="L487" s="631"/>
      <c r="M487" s="631"/>
      <c r="N487" s="631"/>
      <c r="O487" s="867"/>
      <c r="P487" s="864" t="s">
        <v>33</v>
      </c>
      <c r="Q487" s="865"/>
      <c r="R487" s="865"/>
      <c r="S487" s="865"/>
      <c r="T487" s="865"/>
      <c r="U487" s="865"/>
      <c r="V487" s="866"/>
      <c r="W487" s="42" t="s">
        <v>0</v>
      </c>
      <c r="X487" s="43">
        <f>IFERROR(X25+X32+X36+X44+X48+X58+X64+X68+X75+X80+X88+X95+X104+X111+X118+X122+X128+X133+X138+X144+X152+X156+X162+X179+X185+X189+X195+X200+X211+X223+X228+X241+X245+X249+X257+X266+X274+X281+X287+X292+X302+X311+X318+X324+X331+X337+X344+X356+X361+X366+X370+X376+X380+X386+X400+X405+X410+X417+X422+X439+X445+X454+X463+X468+X472+X476+X481+X486,"0")</f>
        <v>0</v>
      </c>
      <c r="Y487" s="43">
        <f>IFERROR(Y25+Y32+Y36+Y44+Y48+Y58+Y64+Y68+Y75+Y80+Y88+Y95+Y104+Y111+Y118+Y122+Y128+Y133+Y138+Y144+Y152+Y156+Y162+Y179+Y185+Y189+Y195+Y200+Y211+Y223+Y228+Y241+Y245+Y249+Y257+Y266+Y274+Y281+Y287+Y292+Y302+Y311+Y318+Y324+Y331+Y337+Y344+Y356+Y361+Y366+Y370+Y376+Y380+Y386+Y400+Y405+Y410+Y417+Y422+Y439+Y445+Y454+Y463+Y468+Y472+Y476+Y481+Y486,"0")</f>
        <v>0</v>
      </c>
      <c r="Z487" s="42"/>
      <c r="AA487" s="67"/>
      <c r="AB487" s="67"/>
      <c r="AC487" s="67"/>
    </row>
    <row r="488" spans="1:68" x14ac:dyDescent="0.2">
      <c r="A488" s="631"/>
      <c r="B488" s="631"/>
      <c r="C488" s="631"/>
      <c r="D488" s="631"/>
      <c r="E488" s="631"/>
      <c r="F488" s="631"/>
      <c r="G488" s="631"/>
      <c r="H488" s="631"/>
      <c r="I488" s="631"/>
      <c r="J488" s="631"/>
      <c r="K488" s="631"/>
      <c r="L488" s="631"/>
      <c r="M488" s="631"/>
      <c r="N488" s="631"/>
      <c r="O488" s="867"/>
      <c r="P488" s="864" t="s">
        <v>34</v>
      </c>
      <c r="Q488" s="865"/>
      <c r="R488" s="865"/>
      <c r="S488" s="865"/>
      <c r="T488" s="865"/>
      <c r="U488" s="865"/>
      <c r="V488" s="866"/>
      <c r="W488" s="42" t="s">
        <v>0</v>
      </c>
      <c r="X488" s="43">
        <f>IFERROR(SUM(BM22:BM484),"0")</f>
        <v>0</v>
      </c>
      <c r="Y488" s="43">
        <f>IFERROR(SUM(BN22:BN484),"0")</f>
        <v>0</v>
      </c>
      <c r="Z488" s="42"/>
      <c r="AA488" s="67"/>
      <c r="AB488" s="67"/>
      <c r="AC488" s="67"/>
    </row>
    <row r="489" spans="1:68" x14ac:dyDescent="0.2">
      <c r="A489" s="631"/>
      <c r="B489" s="631"/>
      <c r="C489" s="631"/>
      <c r="D489" s="631"/>
      <c r="E489" s="631"/>
      <c r="F489" s="631"/>
      <c r="G489" s="631"/>
      <c r="H489" s="631"/>
      <c r="I489" s="631"/>
      <c r="J489" s="631"/>
      <c r="K489" s="631"/>
      <c r="L489" s="631"/>
      <c r="M489" s="631"/>
      <c r="N489" s="631"/>
      <c r="O489" s="867"/>
      <c r="P489" s="864" t="s">
        <v>35</v>
      </c>
      <c r="Q489" s="865"/>
      <c r="R489" s="865"/>
      <c r="S489" s="865"/>
      <c r="T489" s="865"/>
      <c r="U489" s="865"/>
      <c r="V489" s="866"/>
      <c r="W489" s="42" t="s">
        <v>20</v>
      </c>
      <c r="X489" s="44">
        <f>ROUNDUP(SUM(BO22:BO484),0)</f>
        <v>0</v>
      </c>
      <c r="Y489" s="44">
        <f>ROUNDUP(SUM(BP22:BP484),0)</f>
        <v>0</v>
      </c>
      <c r="Z489" s="42"/>
      <c r="AA489" s="67"/>
      <c r="AB489" s="67"/>
      <c r="AC489" s="67"/>
    </row>
    <row r="490" spans="1:68" x14ac:dyDescent="0.2">
      <c r="A490" s="631"/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867"/>
      <c r="P490" s="864" t="s">
        <v>36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GrossWeightTotal+PalletQtyTotal*25</f>
        <v>0</v>
      </c>
      <c r="Y490" s="43">
        <f>GrossWeightTotalR+PalletQtyTotalR*25</f>
        <v>0</v>
      </c>
      <c r="Z490" s="42"/>
      <c r="AA490" s="67"/>
      <c r="AB490" s="67"/>
      <c r="AC490" s="67"/>
    </row>
    <row r="491" spans="1:68" x14ac:dyDescent="0.2">
      <c r="A491" s="631"/>
      <c r="B491" s="631"/>
      <c r="C491" s="631"/>
      <c r="D491" s="631"/>
      <c r="E491" s="631"/>
      <c r="F491" s="631"/>
      <c r="G491" s="631"/>
      <c r="H491" s="631"/>
      <c r="I491" s="631"/>
      <c r="J491" s="631"/>
      <c r="K491" s="631"/>
      <c r="L491" s="631"/>
      <c r="M491" s="631"/>
      <c r="N491" s="631"/>
      <c r="O491" s="867"/>
      <c r="P491" s="864" t="s">
        <v>37</v>
      </c>
      <c r="Q491" s="865"/>
      <c r="R491" s="865"/>
      <c r="S491" s="865"/>
      <c r="T491" s="865"/>
      <c r="U491" s="865"/>
      <c r="V491" s="866"/>
      <c r="W491" s="42" t="s">
        <v>20</v>
      </c>
      <c r="X491" s="43">
        <f>IFERROR(X24+X31+X35+X43+X47+X57+X63+X67+X74+X79+X87+X94+X103+X110+X117+X121+X127+X132+X137+X143+X151+X155+X161+X178+X184+X188+X194+X199+X210+X222+X227+X240+X244+X248+X256+X265+X273+X280+X286+X291+X301+X310+X317+X323+X330+X336+X343+X355+X360+X365+X369+X375+X379+X385+X399+X404+X409+X416+X421+X438+X444+X453+X462+X467+X471+X475+X480+X485,"0")</f>
        <v>0</v>
      </c>
      <c r="Y491" s="43">
        <f>IFERROR(Y24+Y31+Y35+Y43+Y47+Y57+Y63+Y67+Y74+Y79+Y87+Y94+Y103+Y110+Y117+Y121+Y127+Y132+Y137+Y143+Y151+Y155+Y161+Y178+Y184+Y188+Y194+Y199+Y210+Y222+Y227+Y240+Y244+Y248+Y256+Y265+Y273+Y280+Y286+Y291+Y301+Y310+Y317+Y323+Y330+Y336+Y343+Y355+Y360+Y365+Y369+Y375+Y379+Y385+Y399+Y404+Y409+Y416+Y421+Y438+Y444+Y453+Y462+Y467+Y471+Y475+Y480+Y485,"0")</f>
        <v>0</v>
      </c>
      <c r="Z491" s="42"/>
      <c r="AA491" s="67"/>
      <c r="AB491" s="67"/>
      <c r="AC491" s="67"/>
    </row>
    <row r="492" spans="1:68" ht="14.25" x14ac:dyDescent="0.2">
      <c r="A492" s="631"/>
      <c r="B492" s="631"/>
      <c r="C492" s="631"/>
      <c r="D492" s="631"/>
      <c r="E492" s="631"/>
      <c r="F492" s="631"/>
      <c r="G492" s="631"/>
      <c r="H492" s="631"/>
      <c r="I492" s="631"/>
      <c r="J492" s="631"/>
      <c r="K492" s="631"/>
      <c r="L492" s="631"/>
      <c r="M492" s="631"/>
      <c r="N492" s="631"/>
      <c r="O492" s="867"/>
      <c r="P492" s="864" t="s">
        <v>38</v>
      </c>
      <c r="Q492" s="865"/>
      <c r="R492" s="865"/>
      <c r="S492" s="865"/>
      <c r="T492" s="865"/>
      <c r="U492" s="865"/>
      <c r="V492" s="866"/>
      <c r="W492" s="45" t="s">
        <v>51</v>
      </c>
      <c r="X492" s="42"/>
      <c r="Y492" s="42"/>
      <c r="Z492" s="42">
        <f>IFERROR(Z24+Z31+Z35+Z43+Z47+Z57+Z63+Z67+Z74+Z79+Z87+Z94+Z103+Z110+Z117+Z121+Z127+Z132+Z137+Z143+Z151+Z155+Z161+Z178+Z184+Z188+Z194+Z199+Z210+Z222+Z227+Z240+Z244+Z248+Z256+Z265+Z273+Z280+Z286+Z291+Z301+Z310+Z317+Z323+Z330+Z336+Z343+Z355+Z360+Z365+Z369+Z375+Z379+Z385+Z399+Z404+Z409+Z416+Z421+Z438+Z444+Z453+Z462+Z467+Z471+Z475+Z480+Z485,"0")</f>
        <v>0</v>
      </c>
      <c r="AA492" s="67"/>
      <c r="AB492" s="67"/>
      <c r="AC492" s="67"/>
    </row>
    <row r="493" spans="1:68" ht="13.5" thickBot="1" x14ac:dyDescent="0.25"/>
    <row r="494" spans="1:68" ht="27" thickTop="1" thickBot="1" x14ac:dyDescent="0.25">
      <c r="A494" s="46" t="s">
        <v>9</v>
      </c>
      <c r="B494" s="85" t="s">
        <v>75</v>
      </c>
      <c r="C494" s="870" t="s">
        <v>106</v>
      </c>
      <c r="D494" s="870" t="s">
        <v>106</v>
      </c>
      <c r="E494" s="870" t="s">
        <v>106</v>
      </c>
      <c r="F494" s="870" t="s">
        <v>106</v>
      </c>
      <c r="G494" s="870" t="s">
        <v>106</v>
      </c>
      <c r="H494" s="870" t="s">
        <v>106</v>
      </c>
      <c r="I494" s="870" t="s">
        <v>265</v>
      </c>
      <c r="J494" s="870" t="s">
        <v>265</v>
      </c>
      <c r="K494" s="870" t="s">
        <v>265</v>
      </c>
      <c r="L494" s="870" t="s">
        <v>265</v>
      </c>
      <c r="M494" s="870" t="s">
        <v>265</v>
      </c>
      <c r="N494" s="871"/>
      <c r="O494" s="870" t="s">
        <v>265</v>
      </c>
      <c r="P494" s="870" t="s">
        <v>265</v>
      </c>
      <c r="Q494" s="870" t="s">
        <v>265</v>
      </c>
      <c r="R494" s="870" t="s">
        <v>265</v>
      </c>
      <c r="S494" s="870" t="s">
        <v>554</v>
      </c>
      <c r="T494" s="870" t="s">
        <v>554</v>
      </c>
      <c r="U494" s="870" t="s">
        <v>607</v>
      </c>
      <c r="V494" s="870" t="s">
        <v>607</v>
      </c>
      <c r="W494" s="870" t="s">
        <v>607</v>
      </c>
      <c r="X494" s="85" t="s">
        <v>658</v>
      </c>
      <c r="Y494" s="870" t="s">
        <v>709</v>
      </c>
      <c r="Z494" s="870" t="s">
        <v>709</v>
      </c>
      <c r="AB494" s="60"/>
      <c r="AC494" s="60"/>
      <c r="AF494" s="1"/>
    </row>
    <row r="495" spans="1:68" ht="14.25" customHeight="1" thickTop="1" x14ac:dyDescent="0.2">
      <c r="A495" s="868" t="s">
        <v>10</v>
      </c>
      <c r="B495" s="870" t="s">
        <v>75</v>
      </c>
      <c r="C495" s="870" t="s">
        <v>107</v>
      </c>
      <c r="D495" s="870" t="s">
        <v>122</v>
      </c>
      <c r="E495" s="870" t="s">
        <v>170</v>
      </c>
      <c r="F495" s="870" t="s">
        <v>192</v>
      </c>
      <c r="G495" s="870" t="s">
        <v>229</v>
      </c>
      <c r="H495" s="870" t="s">
        <v>106</v>
      </c>
      <c r="I495" s="870" t="s">
        <v>266</v>
      </c>
      <c r="J495" s="870" t="s">
        <v>320</v>
      </c>
      <c r="K495" s="870" t="s">
        <v>380</v>
      </c>
      <c r="L495" s="870" t="s">
        <v>421</v>
      </c>
      <c r="M495" s="870" t="s">
        <v>437</v>
      </c>
      <c r="N495" s="1"/>
      <c r="O495" s="870" t="s">
        <v>448</v>
      </c>
      <c r="P495" s="870" t="s">
        <v>457</v>
      </c>
      <c r="Q495" s="870" t="s">
        <v>470</v>
      </c>
      <c r="R495" s="870" t="s">
        <v>544</v>
      </c>
      <c r="S495" s="870" t="s">
        <v>555</v>
      </c>
      <c r="T495" s="870" t="s">
        <v>591</v>
      </c>
      <c r="U495" s="870" t="s">
        <v>608</v>
      </c>
      <c r="V495" s="870" t="s">
        <v>639</v>
      </c>
      <c r="W495" s="870" t="s">
        <v>654</v>
      </c>
      <c r="X495" s="870" t="s">
        <v>658</v>
      </c>
      <c r="Y495" s="870" t="s">
        <v>709</v>
      </c>
      <c r="Z495" s="870" t="s">
        <v>739</v>
      </c>
      <c r="AB495" s="60"/>
      <c r="AC495" s="60"/>
      <c r="AF495" s="1"/>
    </row>
    <row r="496" spans="1:68" ht="13.5" thickBot="1" x14ac:dyDescent="0.25">
      <c r="A496" s="869"/>
      <c r="B496" s="870"/>
      <c r="C496" s="870"/>
      <c r="D496" s="870"/>
      <c r="E496" s="870"/>
      <c r="F496" s="870"/>
      <c r="G496" s="870"/>
      <c r="H496" s="870"/>
      <c r="I496" s="870"/>
      <c r="J496" s="870"/>
      <c r="K496" s="870"/>
      <c r="L496" s="870"/>
      <c r="M496" s="870"/>
      <c r="N496" s="1"/>
      <c r="O496" s="870"/>
      <c r="P496" s="870"/>
      <c r="Q496" s="870"/>
      <c r="R496" s="870"/>
      <c r="S496" s="870"/>
      <c r="T496" s="870"/>
      <c r="U496" s="870"/>
      <c r="V496" s="870"/>
      <c r="W496" s="870"/>
      <c r="X496" s="870"/>
      <c r="Y496" s="870"/>
      <c r="Z496" s="870"/>
      <c r="AB496" s="60"/>
      <c r="AC496" s="60"/>
      <c r="AF496" s="1"/>
    </row>
    <row r="497" spans="1:32" ht="18" thickTop="1" thickBot="1" x14ac:dyDescent="0.25">
      <c r="A497" s="46" t="s">
        <v>13</v>
      </c>
      <c r="B497" s="52">
        <f>IFERROR(Y22*1,"0")+IFERROR(Y23*1,"0")+IFERROR(Y27*1,"0")+IFERROR(Y28*1,"0")+IFERROR(Y29*1,"0")+IFERROR(Y30*1,"0")+IFERROR(Y34*1,"0")</f>
        <v>0</v>
      </c>
      <c r="C497" s="52">
        <f>IFERROR(Y40*1,"0")+IFERROR(Y41*1,"0")+IFERROR(Y42*1,"0")+IFERROR(Y46*1,"0")</f>
        <v>0</v>
      </c>
      <c r="D497" s="52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0</v>
      </c>
      <c r="E497" s="52">
        <f>IFERROR(Y83*1,"0")+IFERROR(Y84*1,"0")+IFERROR(Y85*1,"0")+IFERROR(Y86*1,"0")+IFERROR(Y90*1,"0")+IFERROR(Y91*1,"0")+IFERROR(Y92*1,"0")+IFERROR(Y93*1,"0")</f>
        <v>0</v>
      </c>
      <c r="F497" s="52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0</v>
      </c>
      <c r="G497" s="52">
        <f>IFERROR(Y125*1,"0")+IFERROR(Y126*1,"0")+IFERROR(Y130*1,"0")+IFERROR(Y131*1,"0")+IFERROR(Y135*1,"0")+IFERROR(Y136*1,"0")</f>
        <v>0</v>
      </c>
      <c r="H497" s="52">
        <f>IFERROR(Y141*1,"0")+IFERROR(Y142*1,"0")+IFERROR(Y146*1,"0")+IFERROR(Y147*1,"0")+IFERROR(Y148*1,"0")+IFERROR(Y149*1,"0")+IFERROR(Y150*1,"0")+IFERROR(Y154*1,"0")</f>
        <v>0</v>
      </c>
      <c r="I497" s="52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497" s="52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0</v>
      </c>
      <c r="K497" s="52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7" s="52">
        <f>IFERROR(Y260*1,"0")+IFERROR(Y261*1,"0")+IFERROR(Y262*1,"0")+IFERROR(Y263*1,"0")+IFERROR(Y264*1,"0")</f>
        <v>0</v>
      </c>
      <c r="M497" s="52">
        <f>IFERROR(Y269*1,"0")+IFERROR(Y270*1,"0")+IFERROR(Y271*1,"0")+IFERROR(Y272*1,"0")</f>
        <v>0</v>
      </c>
      <c r="N497" s="1"/>
      <c r="O497" s="52">
        <f>IFERROR(Y277*1,"0")+IFERROR(Y278*1,"0")+IFERROR(Y279*1,"0")</f>
        <v>0</v>
      </c>
      <c r="P497" s="52">
        <f>IFERROR(Y284*1,"0")+IFERROR(Y285*1,"0")+IFERROR(Y289*1,"0")+IFERROR(Y290*1,"0")</f>
        <v>0</v>
      </c>
      <c r="Q497" s="52">
        <f>IFERROR(Y295*1,"0")+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7" s="52">
        <f>IFERROR(Y340*1,"0")+IFERROR(Y341*1,"0")+IFERROR(Y342*1,"0")</f>
        <v>0</v>
      </c>
      <c r="S497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7" s="52">
        <f>IFERROR(Y373*1,"0")+IFERROR(Y374*1,"0")+IFERROR(Y378*1,"0")+IFERROR(Y382*1,"0")+IFERROR(Y383*1,"0")+IFERROR(Y384*1,"0")</f>
        <v>0</v>
      </c>
      <c r="U497" s="52">
        <f>IFERROR(Y390*1,"0")+IFERROR(Y391*1,"0")+IFERROR(Y392*1,"0")+IFERROR(Y393*1,"0")+IFERROR(Y394*1,"0")+IFERROR(Y395*1,"0")+IFERROR(Y396*1,"0")+IFERROR(Y397*1,"0")+IFERROR(Y398*1,"0")+IFERROR(Y402*1,"0")+IFERROR(Y403*1,"0")</f>
        <v>0</v>
      </c>
      <c r="V497" s="52">
        <f>IFERROR(Y408*1,"0")+IFERROR(Y412*1,"0")+IFERROR(Y413*1,"0")+IFERROR(Y414*1,"0")+IFERROR(Y415*1,"0")</f>
        <v>0</v>
      </c>
      <c r="W497" s="52">
        <f>IFERROR(Y420*1,"0")</f>
        <v>0</v>
      </c>
      <c r="X497" s="52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</f>
        <v>0</v>
      </c>
      <c r="Y497" s="52">
        <f>IFERROR(Y458*1,"0")+IFERROR(Y459*1,"0")+IFERROR(Y460*1,"0")+IFERROR(Y461*1,"0")+IFERROR(Y465*1,"0")+IFERROR(Y466*1,"0")+IFERROR(Y470*1,"0")+IFERROR(Y474*1,"0")+IFERROR(Y478*1,"0")+IFERROR(Y479*1,"0")</f>
        <v>0</v>
      </c>
      <c r="Z497" s="52">
        <f>IFERROR(Y484*1,"0")</f>
        <v>0</v>
      </c>
      <c r="AB497" s="60"/>
      <c r="AC497" s="60"/>
      <c r="AF497" s="1"/>
    </row>
  </sheetData>
  <sheetProtection algorithmName="SHA-512" hashValue="+tumjOnq6Zhj5X0mB7quMkoQdvH2qE+fPvySnXoVRgIWKBBhjEHtyeptxuFKTMQ9bWz31heqNdsFkgYC+v0hlA==" saltValue="/B7XBkQGfWuDxw04K6Lmr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5:U496"/>
    <mergeCell ref="V495:V496"/>
    <mergeCell ref="W495:W496"/>
    <mergeCell ref="X495:X496"/>
    <mergeCell ref="Y495:Y496"/>
    <mergeCell ref="Z495:Z496"/>
    <mergeCell ref="C494:H494"/>
    <mergeCell ref="I494:R494"/>
    <mergeCell ref="S494:T494"/>
    <mergeCell ref="U494:W494"/>
    <mergeCell ref="Y494:Z494"/>
    <mergeCell ref="J495:J496"/>
    <mergeCell ref="K495:K496"/>
    <mergeCell ref="L495:L496"/>
    <mergeCell ref="M495:M496"/>
    <mergeCell ref="O495:O496"/>
    <mergeCell ref="P495:P496"/>
    <mergeCell ref="Q495:Q496"/>
    <mergeCell ref="R495:R496"/>
    <mergeCell ref="S495:S496"/>
    <mergeCell ref="T495:T496"/>
    <mergeCell ref="A495:A496"/>
    <mergeCell ref="B495:B496"/>
    <mergeCell ref="C495:C496"/>
    <mergeCell ref="D495:D496"/>
    <mergeCell ref="E495:E496"/>
    <mergeCell ref="F495:F496"/>
    <mergeCell ref="G495:G496"/>
    <mergeCell ref="H495:H496"/>
    <mergeCell ref="I495:I496"/>
    <mergeCell ref="A482:Z482"/>
    <mergeCell ref="A483:Z483"/>
    <mergeCell ref="D484:E484"/>
    <mergeCell ref="P484:T484"/>
    <mergeCell ref="P485:V485"/>
    <mergeCell ref="A485:O486"/>
    <mergeCell ref="P486:V486"/>
    <mergeCell ref="P487:V487"/>
    <mergeCell ref="A487:O492"/>
    <mergeCell ref="P488:V488"/>
    <mergeCell ref="P489:V489"/>
    <mergeCell ref="P490:V490"/>
    <mergeCell ref="P491:V491"/>
    <mergeCell ref="P492:V492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46:Z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P416:V416"/>
    <mergeCell ref="A416:O417"/>
    <mergeCell ref="P417:V417"/>
    <mergeCell ref="A418:Z418"/>
    <mergeCell ref="A419:Z419"/>
    <mergeCell ref="D420:E420"/>
    <mergeCell ref="P420:T420"/>
    <mergeCell ref="P421:V421"/>
    <mergeCell ref="A421:O422"/>
    <mergeCell ref="P422:V422"/>
    <mergeCell ref="A411:Z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P404:V404"/>
    <mergeCell ref="A404:O405"/>
    <mergeCell ref="P405:V405"/>
    <mergeCell ref="A406:Z406"/>
    <mergeCell ref="A407:Z407"/>
    <mergeCell ref="D408:E408"/>
    <mergeCell ref="P408:T408"/>
    <mergeCell ref="P409:V409"/>
    <mergeCell ref="A409:O410"/>
    <mergeCell ref="P410:V410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A387:Z387"/>
    <mergeCell ref="A388:Z388"/>
    <mergeCell ref="A389:Z389"/>
    <mergeCell ref="D390:E390"/>
    <mergeCell ref="P390:T390"/>
    <mergeCell ref="D391:E391"/>
    <mergeCell ref="P391:T391"/>
    <mergeCell ref="D392:E392"/>
    <mergeCell ref="P392:T392"/>
    <mergeCell ref="A381:Z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P379:V379"/>
    <mergeCell ref="A379:O380"/>
    <mergeCell ref="P380:V380"/>
    <mergeCell ref="A367:Z367"/>
    <mergeCell ref="D368:E368"/>
    <mergeCell ref="P368:T368"/>
    <mergeCell ref="P369:V369"/>
    <mergeCell ref="A369:O370"/>
    <mergeCell ref="P370:V370"/>
    <mergeCell ref="A371:Z371"/>
    <mergeCell ref="A372:Z372"/>
    <mergeCell ref="D373:E373"/>
    <mergeCell ref="P373:T373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P365:V365"/>
    <mergeCell ref="A365:O366"/>
    <mergeCell ref="P366:V366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A346:Z346"/>
    <mergeCell ref="A347:Z347"/>
    <mergeCell ref="D348:E348"/>
    <mergeCell ref="P348:T348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D335:E335"/>
    <mergeCell ref="P335:T335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A319:Z319"/>
    <mergeCell ref="D320:E320"/>
    <mergeCell ref="P320:T320"/>
    <mergeCell ref="D321:E321"/>
    <mergeCell ref="P321:T321"/>
    <mergeCell ref="D322:E322"/>
    <mergeCell ref="P322:T322"/>
    <mergeCell ref="P323:V323"/>
    <mergeCell ref="A323:O324"/>
    <mergeCell ref="P324:V324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79:E279"/>
    <mergeCell ref="P279:T279"/>
    <mergeCell ref="P280:V280"/>
    <mergeCell ref="A280:O281"/>
    <mergeCell ref="P281:V281"/>
    <mergeCell ref="A282:Z282"/>
    <mergeCell ref="A283:Z283"/>
    <mergeCell ref="D284:E284"/>
    <mergeCell ref="P284:T284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A267:Z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5:E255"/>
    <mergeCell ref="P255:T255"/>
    <mergeCell ref="P256:V256"/>
    <mergeCell ref="A256:O257"/>
    <mergeCell ref="P257:V257"/>
    <mergeCell ref="A258:Z258"/>
    <mergeCell ref="A259:Z259"/>
    <mergeCell ref="D260:E260"/>
    <mergeCell ref="P260:T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A157:Z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743</v>
      </c>
      <c r="H1" s="9"/>
    </row>
    <row r="3" spans="2:8" x14ac:dyDescent="0.2">
      <c r="B3" s="53" t="s">
        <v>744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745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746</v>
      </c>
      <c r="C6" s="53" t="s">
        <v>747</v>
      </c>
      <c r="D6" s="53" t="s">
        <v>748</v>
      </c>
      <c r="E6" s="53" t="s">
        <v>45</v>
      </c>
    </row>
    <row r="7" spans="2:8" x14ac:dyDescent="0.2">
      <c r="B7" s="53" t="s">
        <v>749</v>
      </c>
      <c r="C7" s="53" t="s">
        <v>750</v>
      </c>
      <c r="D7" s="53" t="s">
        <v>751</v>
      </c>
      <c r="E7" s="53" t="s">
        <v>45</v>
      </c>
    </row>
    <row r="9" spans="2:8" x14ac:dyDescent="0.2">
      <c r="B9" s="53" t="s">
        <v>752</v>
      </c>
      <c r="C9" s="53" t="s">
        <v>747</v>
      </c>
      <c r="D9" s="53" t="s">
        <v>45</v>
      </c>
      <c r="E9" s="53" t="s">
        <v>45</v>
      </c>
    </row>
    <row r="11" spans="2:8" x14ac:dyDescent="0.2">
      <c r="B11" s="53" t="s">
        <v>753</v>
      </c>
      <c r="C11" s="53" t="s">
        <v>750</v>
      </c>
      <c r="D11" s="53" t="s">
        <v>45</v>
      </c>
      <c r="E11" s="53" t="s">
        <v>45</v>
      </c>
    </row>
    <row r="13" spans="2:8" x14ac:dyDescent="0.2">
      <c r="B13" s="53" t="s">
        <v>754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762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763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764</v>
      </c>
      <c r="C23" s="53" t="s">
        <v>45</v>
      </c>
      <c r="D23" s="53" t="s">
        <v>45</v>
      </c>
      <c r="E23" s="53" t="s">
        <v>45</v>
      </c>
    </row>
  </sheetData>
  <sheetProtection algorithmName="SHA-512" hashValue="/hWS/DGOQWhb9V+Y91QNcvrtRNtLZEyFeTxZh0yqsBPWAX4sx/V3qbIiy8JbzYIiaSrRf/mzo+k24uaQYwv+ZA==" saltValue="kMV9zTLuKnQiPQDDPmAf3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976</vt:i4>
      </vt:variant>
    </vt:vector>
  </HeadingPairs>
  <TitlesOfParts>
    <vt:vector size="97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2026-01-28T13:08:28Z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