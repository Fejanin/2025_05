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810C7F-7B44-4740-97CC-F787832AB5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Y542" i="2"/>
  <c r="X542" i="2"/>
  <c r="X541" i="2"/>
  <c r="BO540" i="2"/>
  <c r="BM540" i="2"/>
  <c r="Y540" i="2"/>
  <c r="BP540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Y526" i="2" s="1"/>
  <c r="P522" i="2"/>
  <c r="X520" i="2"/>
  <c r="X519" i="2"/>
  <c r="BO518" i="2"/>
  <c r="BM518" i="2"/>
  <c r="Y518" i="2"/>
  <c r="BP518" i="2" s="1"/>
  <c r="P518" i="2"/>
  <c r="BO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P486" i="2"/>
  <c r="BO486" i="2"/>
  <c r="BN486" i="2"/>
  <c r="BM486" i="2"/>
  <c r="Z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Z444" i="2"/>
  <c r="Y444" i="2"/>
  <c r="BN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P426" i="2"/>
  <c r="BO426" i="2"/>
  <c r="BN426" i="2"/>
  <c r="BM426" i="2"/>
  <c r="Z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P406" i="2"/>
  <c r="BO406" i="2"/>
  <c r="BN406" i="2"/>
  <c r="BM406" i="2"/>
  <c r="Z406" i="2"/>
  <c r="Y406" i="2"/>
  <c r="P406" i="2"/>
  <c r="BO405" i="2"/>
  <c r="BN405" i="2"/>
  <c r="BM405" i="2"/>
  <c r="Z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P393" i="2"/>
  <c r="BO393" i="2"/>
  <c r="BN393" i="2"/>
  <c r="BM393" i="2"/>
  <c r="Z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Z384" i="2"/>
  <c r="Y384" i="2"/>
  <c r="BP384" i="2" s="1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P375" i="2"/>
  <c r="BO375" i="2"/>
  <c r="BN375" i="2"/>
  <c r="BM375" i="2"/>
  <c r="Z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P364" i="2"/>
  <c r="BO364" i="2"/>
  <c r="BN364" i="2"/>
  <c r="BM364" i="2"/>
  <c r="Z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P344" i="2"/>
  <c r="BO344" i="2"/>
  <c r="BN344" i="2"/>
  <c r="BM344" i="2"/>
  <c r="Z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P327" i="2"/>
  <c r="BO327" i="2"/>
  <c r="BN327" i="2"/>
  <c r="BM327" i="2"/>
  <c r="Z327" i="2"/>
  <c r="Y327" i="2"/>
  <c r="P327" i="2"/>
  <c r="BO326" i="2"/>
  <c r="BN326" i="2"/>
  <c r="BM326" i="2"/>
  <c r="Z326" i="2"/>
  <c r="Y326" i="2"/>
  <c r="BP326" i="2" s="1"/>
  <c r="P326" i="2"/>
  <c r="BO325" i="2"/>
  <c r="BN325" i="2"/>
  <c r="BM325" i="2"/>
  <c r="Z325" i="2"/>
  <c r="Y325" i="2"/>
  <c r="BP325" i="2" s="1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Z291" i="2"/>
  <c r="Y291" i="2"/>
  <c r="Y294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P282" i="2"/>
  <c r="BO282" i="2"/>
  <c r="BN282" i="2"/>
  <c r="BM282" i="2"/>
  <c r="Z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P270" i="2"/>
  <c r="BO270" i="2"/>
  <c r="BM270" i="2"/>
  <c r="Y270" i="2"/>
  <c r="P270" i="2"/>
  <c r="BO269" i="2"/>
  <c r="BM269" i="2"/>
  <c r="Y269" i="2"/>
  <c r="P269" i="2"/>
  <c r="BO268" i="2"/>
  <c r="BM268" i="2"/>
  <c r="Z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Z250" i="2"/>
  <c r="Z251" i="2" s="1"/>
  <c r="Y250" i="2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Y248" i="2" s="1"/>
  <c r="P244" i="2"/>
  <c r="X242" i="2"/>
  <c r="X241" i="2"/>
  <c r="BP240" i="2"/>
  <c r="BO240" i="2"/>
  <c r="BN240" i="2"/>
  <c r="BM240" i="2"/>
  <c r="Z240" i="2"/>
  <c r="Y240" i="2"/>
  <c r="P240" i="2"/>
  <c r="BO239" i="2"/>
  <c r="BN239" i="2"/>
  <c r="BM239" i="2"/>
  <c r="Z239" i="2"/>
  <c r="Y239" i="2"/>
  <c r="BP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Y233" i="2" s="1"/>
  <c r="P220" i="2"/>
  <c r="X218" i="2"/>
  <c r="X217" i="2"/>
  <c r="BO216" i="2"/>
  <c r="BM216" i="2"/>
  <c r="Y216" i="2"/>
  <c r="P216" i="2"/>
  <c r="X213" i="2"/>
  <c r="X212" i="2"/>
  <c r="BO211" i="2"/>
  <c r="BM211" i="2"/>
  <c r="Z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P172" i="2"/>
  <c r="BO172" i="2"/>
  <c r="BM172" i="2"/>
  <c r="Y172" i="2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P141" i="2"/>
  <c r="BO141" i="2"/>
  <c r="BN141" i="2"/>
  <c r="BM141" i="2"/>
  <c r="Z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P127" i="2"/>
  <c r="BO127" i="2"/>
  <c r="BN127" i="2"/>
  <c r="BM127" i="2"/>
  <c r="Z127" i="2"/>
  <c r="Y127" i="2"/>
  <c r="P127" i="2"/>
  <c r="BO126" i="2"/>
  <c r="BN126" i="2"/>
  <c r="BM126" i="2"/>
  <c r="Z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P94" i="2"/>
  <c r="BO94" i="2"/>
  <c r="BN94" i="2"/>
  <c r="BM94" i="2"/>
  <c r="Z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Z90" i="2"/>
  <c r="Y90" i="2"/>
  <c r="BN90" i="2" s="1"/>
  <c r="P90" i="2"/>
  <c r="BO89" i="2"/>
  <c r="BM89" i="2"/>
  <c r="Z89" i="2"/>
  <c r="Y89" i="2"/>
  <c r="Y96" i="2" s="1"/>
  <c r="P89" i="2"/>
  <c r="X86" i="2"/>
  <c r="X85" i="2"/>
  <c r="BO84" i="2"/>
  <c r="BM84" i="2"/>
  <c r="Y84" i="2"/>
  <c r="BP84" i="2" s="1"/>
  <c r="P84" i="2"/>
  <c r="BP83" i="2"/>
  <c r="BO83" i="2"/>
  <c r="BN83" i="2"/>
  <c r="BM83" i="2"/>
  <c r="Z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Y68" i="2" s="1"/>
  <c r="P59" i="2"/>
  <c r="X56" i="2"/>
  <c r="X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P30" i="2"/>
  <c r="BO30" i="2"/>
  <c r="BN30" i="2"/>
  <c r="BM30" i="2"/>
  <c r="Z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X569" i="2" s="1"/>
  <c r="BO22" i="2"/>
  <c r="X567" i="2" s="1"/>
  <c r="BM22" i="2"/>
  <c r="Y22" i="2"/>
  <c r="BN22" i="2" s="1"/>
  <c r="P22" i="2"/>
  <c r="H10" i="2"/>
  <c r="A9" i="2"/>
  <c r="F10" i="2" s="1"/>
  <c r="D7" i="2"/>
  <c r="Q6" i="2"/>
  <c r="P2" i="2"/>
  <c r="J9" i="2" l="1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491" i="2" s="1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Z401" i="2" s="1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Z34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79" i="2" l="1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<sst xmlns="http://schemas.openxmlformats.org/spreadsheetml/2006/main" count="4283" uniqueCount="914">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</sst>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0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0</v>
      </c>
      <c r="Y566" s="43">
        <f>IFERROR(SUM(BN22:BN562),"0")</f>
        <v>0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0</v>
      </c>
      <c r="Y567" s="44">
        <f>ROUNDUP(SUM(BP22:BP562),0)</f>
        <v>0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0</v>
      </c>
      <c r="Y568" s="43">
        <f>GrossWeightTotalR+PalletQtyTotalR*25</f>
        <v>0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0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0</v>
      </c>
      <c r="Z569" s="42"/>
      <c r="AA569" s="67"/>
      <c r="AB569" s="67"/>
      <c r="AC569" s="67"/>
    </row>
    <row r="570" spans="1:68" ht="14.25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9"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1168</vt:i4>
      </vt:variant>
    </vt:vector>
  </HeadingPairs>
  <TitlesOfParts>
    <vt:vector size="117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