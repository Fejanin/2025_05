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E0A2E92-9205-4DF6-B39A-A643872B89A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92" i="2" l="1"/>
  <c r="X492" i="2"/>
  <c r="X491" i="2"/>
  <c r="BO490" i="2"/>
  <c r="BM490" i="2"/>
  <c r="Y490" i="2"/>
  <c r="Y491" i="2" s="1"/>
  <c r="P490" i="2"/>
  <c r="X487" i="2"/>
  <c r="X486" i="2"/>
  <c r="BO485" i="2"/>
  <c r="BM485" i="2"/>
  <c r="Y485" i="2"/>
  <c r="Z485" i="2" s="1"/>
  <c r="P485" i="2"/>
  <c r="BP484" i="2"/>
  <c r="BO484" i="2"/>
  <c r="BM484" i="2"/>
  <c r="Y484" i="2"/>
  <c r="BN484" i="2" s="1"/>
  <c r="P484" i="2"/>
  <c r="X482" i="2"/>
  <c r="Y481" i="2"/>
  <c r="X481" i="2"/>
  <c r="BP480" i="2"/>
  <c r="BO480" i="2"/>
  <c r="BM480" i="2"/>
  <c r="Y480" i="2"/>
  <c r="P480" i="2"/>
  <c r="X478" i="2"/>
  <c r="X477" i="2"/>
  <c r="BO476" i="2"/>
  <c r="BM476" i="2"/>
  <c r="Y476" i="2"/>
  <c r="Y478" i="2" s="1"/>
  <c r="P476" i="2"/>
  <c r="X474" i="2"/>
  <c r="X473" i="2"/>
  <c r="BO472" i="2"/>
  <c r="BM472" i="2"/>
  <c r="Y472" i="2"/>
  <c r="P472" i="2"/>
  <c r="BO471" i="2"/>
  <c r="BM471" i="2"/>
  <c r="Y471" i="2"/>
  <c r="Y473" i="2" s="1"/>
  <c r="P471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Y503" i="2" s="1"/>
  <c r="P464" i="2"/>
  <c r="Y460" i="2"/>
  <c r="X460" i="2"/>
  <c r="X459" i="2"/>
  <c r="BP458" i="2"/>
  <c r="BO458" i="2"/>
  <c r="BN458" i="2"/>
  <c r="BM458" i="2"/>
  <c r="Z458" i="2"/>
  <c r="Z459" i="2" s="1"/>
  <c r="Y458" i="2"/>
  <c r="Y459" i="2" s="1"/>
  <c r="P458" i="2"/>
  <c r="X456" i="2"/>
  <c r="X455" i="2"/>
  <c r="BO454" i="2"/>
  <c r="BM454" i="2"/>
  <c r="Y454" i="2"/>
  <c r="Z454" i="2" s="1"/>
  <c r="P454" i="2"/>
  <c r="BO453" i="2"/>
  <c r="BM453" i="2"/>
  <c r="Z453" i="2"/>
  <c r="Y453" i="2"/>
  <c r="BN453" i="2" s="1"/>
  <c r="P453" i="2"/>
  <c r="BO452" i="2"/>
  <c r="BM452" i="2"/>
  <c r="Y452" i="2"/>
  <c r="P452" i="2"/>
  <c r="BO451" i="2"/>
  <c r="BM451" i="2"/>
  <c r="Y451" i="2"/>
  <c r="Z451" i="2" s="1"/>
  <c r="P451" i="2"/>
  <c r="BP450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Z444" i="2" s="1"/>
  <c r="P444" i="2"/>
  <c r="BP443" i="2"/>
  <c r="BO443" i="2"/>
  <c r="BN443" i="2"/>
  <c r="BM443" i="2"/>
  <c r="Z443" i="2"/>
  <c r="Y443" i="2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Z434" i="2" s="1"/>
  <c r="P434" i="2"/>
  <c r="BP433" i="2"/>
  <c r="BO433" i="2"/>
  <c r="BN433" i="2"/>
  <c r="BM433" i="2"/>
  <c r="Z433" i="2"/>
  <c r="Y433" i="2"/>
  <c r="P433" i="2"/>
  <c r="BO432" i="2"/>
  <c r="BM432" i="2"/>
  <c r="Y432" i="2"/>
  <c r="P432" i="2"/>
  <c r="BP431" i="2"/>
  <c r="BO431" i="2"/>
  <c r="BM431" i="2"/>
  <c r="Y431" i="2"/>
  <c r="BN431" i="2" s="1"/>
  <c r="P431" i="2"/>
  <c r="BO430" i="2"/>
  <c r="BM430" i="2"/>
  <c r="Y430" i="2"/>
  <c r="P430" i="2"/>
  <c r="BP429" i="2"/>
  <c r="BO429" i="2"/>
  <c r="BN429" i="2"/>
  <c r="BM429" i="2"/>
  <c r="Z429" i="2"/>
  <c r="Y429" i="2"/>
  <c r="P429" i="2"/>
  <c r="BO428" i="2"/>
  <c r="BN428" i="2"/>
  <c r="BM428" i="2"/>
  <c r="Z428" i="2"/>
  <c r="Y428" i="2"/>
  <c r="P428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BP417" i="2" s="1"/>
  <c r="P417" i="2"/>
  <c r="BP416" i="2"/>
  <c r="BO416" i="2"/>
  <c r="BN416" i="2"/>
  <c r="BM416" i="2"/>
  <c r="Z416" i="2"/>
  <c r="Y416" i="2"/>
  <c r="P416" i="2"/>
  <c r="BO415" i="2"/>
  <c r="BM415" i="2"/>
  <c r="Y415" i="2"/>
  <c r="Z415" i="2" s="1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P405" i="2"/>
  <c r="BP404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Z398" i="2" s="1"/>
  <c r="P398" i="2"/>
  <c r="BP397" i="2"/>
  <c r="BO397" i="2"/>
  <c r="BN397" i="2"/>
  <c r="BM397" i="2"/>
  <c r="Z397" i="2"/>
  <c r="Y397" i="2"/>
  <c r="P397" i="2"/>
  <c r="BO396" i="2"/>
  <c r="BM396" i="2"/>
  <c r="Y396" i="2"/>
  <c r="P396" i="2"/>
  <c r="BP395" i="2"/>
  <c r="BO395" i="2"/>
  <c r="BM395" i="2"/>
  <c r="Y395" i="2"/>
  <c r="BN395" i="2" s="1"/>
  <c r="P395" i="2"/>
  <c r="BO394" i="2"/>
  <c r="BM394" i="2"/>
  <c r="Y394" i="2"/>
  <c r="P394" i="2"/>
  <c r="BP393" i="2"/>
  <c r="BO393" i="2"/>
  <c r="BN393" i="2"/>
  <c r="BM393" i="2"/>
  <c r="Z393" i="2"/>
  <c r="Y393" i="2"/>
  <c r="P393" i="2"/>
  <c r="BO392" i="2"/>
  <c r="BN392" i="2"/>
  <c r="BM392" i="2"/>
  <c r="Z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Y382" i="2"/>
  <c r="X382" i="2"/>
  <c r="X381" i="2"/>
  <c r="BO380" i="2"/>
  <c r="BM380" i="2"/>
  <c r="Y380" i="2"/>
  <c r="Z380" i="2" s="1"/>
  <c r="P380" i="2"/>
  <c r="BO379" i="2"/>
  <c r="BM379" i="2"/>
  <c r="Y379" i="2"/>
  <c r="Y381" i="2" s="1"/>
  <c r="P379" i="2"/>
  <c r="X377" i="2"/>
  <c r="X376" i="2"/>
  <c r="BO375" i="2"/>
  <c r="BM375" i="2"/>
  <c r="Y375" i="2"/>
  <c r="Z375" i="2" s="1"/>
  <c r="P375" i="2"/>
  <c r="BO374" i="2"/>
  <c r="BM374" i="2"/>
  <c r="Y374" i="2"/>
  <c r="Y377" i="2" s="1"/>
  <c r="P374" i="2"/>
  <c r="X371" i="2"/>
  <c r="X370" i="2"/>
  <c r="BO369" i="2"/>
  <c r="BM369" i="2"/>
  <c r="Y369" i="2"/>
  <c r="P369" i="2"/>
  <c r="Y367" i="2"/>
  <c r="X367" i="2"/>
  <c r="Y366" i="2"/>
  <c r="X366" i="2"/>
  <c r="BO365" i="2"/>
  <c r="BM365" i="2"/>
  <c r="Z365" i="2"/>
  <c r="Y365" i="2"/>
  <c r="BP365" i="2" s="1"/>
  <c r="P365" i="2"/>
  <c r="BO364" i="2"/>
  <c r="BM364" i="2"/>
  <c r="Y364" i="2"/>
  <c r="BP364" i="2" s="1"/>
  <c r="P364" i="2"/>
  <c r="X362" i="2"/>
  <c r="X361" i="2"/>
  <c r="BO360" i="2"/>
  <c r="BM360" i="2"/>
  <c r="Z360" i="2"/>
  <c r="Y360" i="2"/>
  <c r="BN360" i="2" s="1"/>
  <c r="P360" i="2"/>
  <c r="BO359" i="2"/>
  <c r="BM359" i="2"/>
  <c r="Y359" i="2"/>
  <c r="BP359" i="2" s="1"/>
  <c r="P359" i="2"/>
  <c r="X357" i="2"/>
  <c r="X356" i="2"/>
  <c r="BO355" i="2"/>
  <c r="BN355" i="2"/>
  <c r="BM355" i="2"/>
  <c r="Z355" i="2"/>
  <c r="Y355" i="2"/>
  <c r="BP355" i="2" s="1"/>
  <c r="P355" i="2"/>
  <c r="BO354" i="2"/>
  <c r="BM354" i="2"/>
  <c r="Y354" i="2"/>
  <c r="BP354" i="2" s="1"/>
  <c r="P354" i="2"/>
  <c r="BO353" i="2"/>
  <c r="BM353" i="2"/>
  <c r="Z353" i="2"/>
  <c r="Y353" i="2"/>
  <c r="BN353" i="2" s="1"/>
  <c r="P353" i="2"/>
  <c r="BO352" i="2"/>
  <c r="BM352" i="2"/>
  <c r="Y352" i="2"/>
  <c r="Z352" i="2" s="1"/>
  <c r="P352" i="2"/>
  <c r="BO351" i="2"/>
  <c r="BM351" i="2"/>
  <c r="Y351" i="2"/>
  <c r="BP351" i="2" s="1"/>
  <c r="P351" i="2"/>
  <c r="BO350" i="2"/>
  <c r="BM350" i="2"/>
  <c r="Z350" i="2"/>
  <c r="Y350" i="2"/>
  <c r="BN350" i="2" s="1"/>
  <c r="P350" i="2"/>
  <c r="BO349" i="2"/>
  <c r="BM349" i="2"/>
  <c r="Y349" i="2"/>
  <c r="Y356" i="2" s="1"/>
  <c r="P349" i="2"/>
  <c r="X345" i="2"/>
  <c r="X344" i="2"/>
  <c r="BO343" i="2"/>
  <c r="BN343" i="2"/>
  <c r="BM343" i="2"/>
  <c r="Z343" i="2"/>
  <c r="Y343" i="2"/>
  <c r="BP343" i="2" s="1"/>
  <c r="P343" i="2"/>
  <c r="BO342" i="2"/>
  <c r="BM342" i="2"/>
  <c r="Y342" i="2"/>
  <c r="BP342" i="2" s="1"/>
  <c r="P342" i="2"/>
  <c r="BO341" i="2"/>
  <c r="BM341" i="2"/>
  <c r="Z341" i="2"/>
  <c r="Y341" i="2"/>
  <c r="Y344" i="2" s="1"/>
  <c r="P341" i="2"/>
  <c r="X338" i="2"/>
  <c r="X337" i="2"/>
  <c r="BO336" i="2"/>
  <c r="BM336" i="2"/>
  <c r="Y336" i="2"/>
  <c r="P336" i="2"/>
  <c r="BP335" i="2"/>
  <c r="BO335" i="2"/>
  <c r="BM335" i="2"/>
  <c r="Y335" i="2"/>
  <c r="BN335" i="2" s="1"/>
  <c r="P335" i="2"/>
  <c r="BO334" i="2"/>
  <c r="BM334" i="2"/>
  <c r="Y334" i="2"/>
  <c r="P334" i="2"/>
  <c r="Y332" i="2"/>
  <c r="X332" i="2"/>
  <c r="Y331" i="2"/>
  <c r="X331" i="2"/>
  <c r="BO330" i="2"/>
  <c r="BM330" i="2"/>
  <c r="Z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N327" i="2"/>
  <c r="BM327" i="2"/>
  <c r="Z327" i="2"/>
  <c r="Y327" i="2"/>
  <c r="BP327" i="2" s="1"/>
  <c r="P327" i="2"/>
  <c r="X325" i="2"/>
  <c r="X324" i="2"/>
  <c r="BO323" i="2"/>
  <c r="BM323" i="2"/>
  <c r="Y323" i="2"/>
  <c r="P323" i="2"/>
  <c r="BO322" i="2"/>
  <c r="BM322" i="2"/>
  <c r="Y322" i="2"/>
  <c r="Z322" i="2" s="1"/>
  <c r="P322" i="2"/>
  <c r="BO321" i="2"/>
  <c r="BM321" i="2"/>
  <c r="Y321" i="2"/>
  <c r="Y324" i="2" s="1"/>
  <c r="P321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P315" i="2"/>
  <c r="BO315" i="2"/>
  <c r="BM315" i="2"/>
  <c r="Y315" i="2"/>
  <c r="P315" i="2"/>
  <c r="BO314" i="2"/>
  <c r="BM314" i="2"/>
  <c r="Y314" i="2"/>
  <c r="P314" i="2"/>
  <c r="X312" i="2"/>
  <c r="X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Z307" i="2" s="1"/>
  <c r="P307" i="2"/>
  <c r="BO306" i="2"/>
  <c r="BM306" i="2"/>
  <c r="Y306" i="2"/>
  <c r="BN306" i="2" s="1"/>
  <c r="P306" i="2"/>
  <c r="BP305" i="2"/>
  <c r="BO305" i="2"/>
  <c r="BM305" i="2"/>
  <c r="Y305" i="2"/>
  <c r="P305" i="2"/>
  <c r="X303" i="2"/>
  <c r="X302" i="2"/>
  <c r="BP301" i="2"/>
  <c r="BO301" i="2"/>
  <c r="BN301" i="2"/>
  <c r="BM301" i="2"/>
  <c r="Z301" i="2"/>
  <c r="Y301" i="2"/>
  <c r="P301" i="2"/>
  <c r="BO300" i="2"/>
  <c r="BN300" i="2"/>
  <c r="BM300" i="2"/>
  <c r="Z300" i="2"/>
  <c r="Y300" i="2"/>
  <c r="BP300" i="2" s="1"/>
  <c r="P300" i="2"/>
  <c r="BO299" i="2"/>
  <c r="BM299" i="2"/>
  <c r="Y299" i="2"/>
  <c r="BP299" i="2" s="1"/>
  <c r="P299" i="2"/>
  <c r="BO298" i="2"/>
  <c r="BM298" i="2"/>
  <c r="Z298" i="2"/>
  <c r="Y298" i="2"/>
  <c r="BN298" i="2" s="1"/>
  <c r="P298" i="2"/>
  <c r="BO297" i="2"/>
  <c r="BM297" i="2"/>
  <c r="Y297" i="2"/>
  <c r="P297" i="2"/>
  <c r="X294" i="2"/>
  <c r="Y293" i="2"/>
  <c r="X293" i="2"/>
  <c r="BP292" i="2"/>
  <c r="BO292" i="2"/>
  <c r="BM292" i="2"/>
  <c r="Y292" i="2"/>
  <c r="BN292" i="2" s="1"/>
  <c r="P292" i="2"/>
  <c r="BO291" i="2"/>
  <c r="BM291" i="2"/>
  <c r="Y291" i="2"/>
  <c r="P291" i="2"/>
  <c r="Y289" i="2"/>
  <c r="X289" i="2"/>
  <c r="Y288" i="2"/>
  <c r="X288" i="2"/>
  <c r="BO287" i="2"/>
  <c r="BM287" i="2"/>
  <c r="Z287" i="2"/>
  <c r="Y287" i="2"/>
  <c r="BP287" i="2" s="1"/>
  <c r="P287" i="2"/>
  <c r="BO286" i="2"/>
  <c r="BM286" i="2"/>
  <c r="Y286" i="2"/>
  <c r="BP286" i="2" s="1"/>
  <c r="P286" i="2"/>
  <c r="X283" i="2"/>
  <c r="X282" i="2"/>
  <c r="BO281" i="2"/>
  <c r="BM281" i="2"/>
  <c r="Z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Y276" i="2" s="1"/>
  <c r="P271" i="2"/>
  <c r="X268" i="2"/>
  <c r="X267" i="2"/>
  <c r="BP266" i="2"/>
  <c r="BO266" i="2"/>
  <c r="BM266" i="2"/>
  <c r="Y266" i="2"/>
  <c r="BN266" i="2" s="1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Z262" i="2"/>
  <c r="Y262" i="2"/>
  <c r="BN262" i="2" s="1"/>
  <c r="P262" i="2"/>
  <c r="X259" i="2"/>
  <c r="X258" i="2"/>
  <c r="BO257" i="2"/>
  <c r="BM257" i="2"/>
  <c r="Y257" i="2"/>
  <c r="P257" i="2"/>
  <c r="BP256" i="2"/>
  <c r="BO256" i="2"/>
  <c r="BM256" i="2"/>
  <c r="Y256" i="2"/>
  <c r="BN256" i="2" s="1"/>
  <c r="P256" i="2"/>
  <c r="BO255" i="2"/>
  <c r="BM255" i="2"/>
  <c r="Y255" i="2"/>
  <c r="P255" i="2"/>
  <c r="BP254" i="2"/>
  <c r="BO254" i="2"/>
  <c r="BN254" i="2"/>
  <c r="BM254" i="2"/>
  <c r="Z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Z249" i="2" s="1"/>
  <c r="Z250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P239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P233" i="2"/>
  <c r="Y230" i="2"/>
  <c r="X230" i="2"/>
  <c r="Y229" i="2"/>
  <c r="X229" i="2"/>
  <c r="BP228" i="2"/>
  <c r="BO228" i="2"/>
  <c r="BM228" i="2"/>
  <c r="Y228" i="2"/>
  <c r="P228" i="2"/>
  <c r="BO227" i="2"/>
  <c r="BM227" i="2"/>
  <c r="Y227" i="2"/>
  <c r="Z227" i="2" s="1"/>
  <c r="P227" i="2"/>
  <c r="X225" i="2"/>
  <c r="X224" i="2"/>
  <c r="BP223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Z218" i="2"/>
  <c r="Y218" i="2"/>
  <c r="BN218" i="2" s="1"/>
  <c r="P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Z215" i="2"/>
  <c r="Y215" i="2"/>
  <c r="BN215" i="2" s="1"/>
  <c r="P215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Z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Z205" i="2"/>
  <c r="Y205" i="2"/>
  <c r="BN205" i="2" s="1"/>
  <c r="P205" i="2"/>
  <c r="BO204" i="2"/>
  <c r="BM204" i="2"/>
  <c r="Y204" i="2"/>
  <c r="P204" i="2"/>
  <c r="X202" i="2"/>
  <c r="X201" i="2"/>
  <c r="BO200" i="2"/>
  <c r="BM200" i="2"/>
  <c r="Y200" i="2"/>
  <c r="BP200" i="2" s="1"/>
  <c r="P200" i="2"/>
  <c r="BO199" i="2"/>
  <c r="BM199" i="2"/>
  <c r="Y199" i="2"/>
  <c r="Y201" i="2" s="1"/>
  <c r="P199" i="2"/>
  <c r="Y197" i="2"/>
  <c r="X197" i="2"/>
  <c r="X196" i="2"/>
  <c r="BO195" i="2"/>
  <c r="BM195" i="2"/>
  <c r="Y195" i="2"/>
  <c r="BP195" i="2" s="1"/>
  <c r="P195" i="2"/>
  <c r="BO194" i="2"/>
  <c r="BM194" i="2"/>
  <c r="Y194" i="2"/>
  <c r="P194" i="2"/>
  <c r="Y191" i="2"/>
  <c r="X191" i="2"/>
  <c r="Y190" i="2"/>
  <c r="X190" i="2"/>
  <c r="BP189" i="2"/>
  <c r="BO189" i="2"/>
  <c r="BN189" i="2"/>
  <c r="BM189" i="2"/>
  <c r="Z189" i="2"/>
  <c r="Z190" i="2" s="1"/>
  <c r="Y189" i="2"/>
  <c r="P189" i="2"/>
  <c r="X187" i="2"/>
  <c r="X186" i="2"/>
  <c r="BO185" i="2"/>
  <c r="BM185" i="2"/>
  <c r="Z185" i="2"/>
  <c r="Y185" i="2"/>
  <c r="BN185" i="2" s="1"/>
  <c r="P185" i="2"/>
  <c r="BO184" i="2"/>
  <c r="BM184" i="2"/>
  <c r="Y184" i="2"/>
  <c r="Z184" i="2" s="1"/>
  <c r="P184" i="2"/>
  <c r="BO183" i="2"/>
  <c r="BM183" i="2"/>
  <c r="Y183" i="2"/>
  <c r="BN183" i="2" s="1"/>
  <c r="P183" i="2"/>
  <c r="X181" i="2"/>
  <c r="X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Z175" i="2"/>
  <c r="Y175" i="2"/>
  <c r="BN175" i="2" s="1"/>
  <c r="P175" i="2"/>
  <c r="BO174" i="2"/>
  <c r="BM174" i="2"/>
  <c r="Y174" i="2"/>
  <c r="Z174" i="2" s="1"/>
  <c r="P174" i="2"/>
  <c r="BO173" i="2"/>
  <c r="BM173" i="2"/>
  <c r="Y173" i="2"/>
  <c r="BN173" i="2" s="1"/>
  <c r="P173" i="2"/>
  <c r="BO172" i="2"/>
  <c r="BM172" i="2"/>
  <c r="Z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BP169" i="2"/>
  <c r="BO169" i="2"/>
  <c r="BN169" i="2"/>
  <c r="BM169" i="2"/>
  <c r="Z169" i="2"/>
  <c r="Y169" i="2"/>
  <c r="P169" i="2"/>
  <c r="BO168" i="2"/>
  <c r="BM168" i="2"/>
  <c r="Y168" i="2"/>
  <c r="P168" i="2"/>
  <c r="BO167" i="2"/>
  <c r="BM167" i="2"/>
  <c r="Y167" i="2"/>
  <c r="P167" i="2"/>
  <c r="BO166" i="2"/>
  <c r="BM166" i="2"/>
  <c r="Y166" i="2"/>
  <c r="Y181" i="2" s="1"/>
  <c r="P166" i="2"/>
  <c r="Y164" i="2"/>
  <c r="X164" i="2"/>
  <c r="X163" i="2"/>
  <c r="BO162" i="2"/>
  <c r="BM162" i="2"/>
  <c r="Z162" i="2"/>
  <c r="Z163" i="2" s="1"/>
  <c r="Y162" i="2"/>
  <c r="BN162" i="2" s="1"/>
  <c r="P162" i="2"/>
  <c r="X158" i="2"/>
  <c r="X157" i="2"/>
  <c r="BO156" i="2"/>
  <c r="BM156" i="2"/>
  <c r="Y156" i="2"/>
  <c r="P156" i="2"/>
  <c r="X154" i="2"/>
  <c r="X153" i="2"/>
  <c r="BP152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Z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X145" i="2"/>
  <c r="X144" i="2"/>
  <c r="BO143" i="2"/>
  <c r="BM143" i="2"/>
  <c r="Y143" i="2"/>
  <c r="P143" i="2"/>
  <c r="BP142" i="2"/>
  <c r="BO142" i="2"/>
  <c r="BM142" i="2"/>
  <c r="Y142" i="2"/>
  <c r="BN142" i="2" s="1"/>
  <c r="P142" i="2"/>
  <c r="X139" i="2"/>
  <c r="X138" i="2"/>
  <c r="BO137" i="2"/>
  <c r="BM137" i="2"/>
  <c r="Y137" i="2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Y133" i="2" s="1"/>
  <c r="P131" i="2"/>
  <c r="Y129" i="2"/>
  <c r="X129" i="2"/>
  <c r="X128" i="2"/>
  <c r="BO127" i="2"/>
  <c r="BM127" i="2"/>
  <c r="Y127" i="2"/>
  <c r="P127" i="2"/>
  <c r="BO126" i="2"/>
  <c r="BM126" i="2"/>
  <c r="Z126" i="2"/>
  <c r="Y126" i="2"/>
  <c r="P126" i="2"/>
  <c r="X123" i="2"/>
  <c r="Y122" i="2"/>
  <c r="X122" i="2"/>
  <c r="BP121" i="2"/>
  <c r="BO121" i="2"/>
  <c r="BN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P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BN114" i="2" s="1"/>
  <c r="P114" i="2"/>
  <c r="X112" i="2"/>
  <c r="X111" i="2"/>
  <c r="BP110" i="2"/>
  <c r="BO110" i="2"/>
  <c r="BN110" i="2"/>
  <c r="BM110" i="2"/>
  <c r="Z110" i="2"/>
  <c r="Y110" i="2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Z107" i="2"/>
  <c r="Y107" i="2"/>
  <c r="BN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Z102" i="2" s="1"/>
  <c r="P102" i="2"/>
  <c r="BO101" i="2"/>
  <c r="BM101" i="2"/>
  <c r="Y101" i="2"/>
  <c r="Z101" i="2" s="1"/>
  <c r="P101" i="2"/>
  <c r="BP100" i="2"/>
  <c r="BO100" i="2"/>
  <c r="BN100" i="2"/>
  <c r="BM100" i="2"/>
  <c r="Z100" i="2"/>
  <c r="Y100" i="2"/>
  <c r="P100" i="2"/>
  <c r="BO99" i="2"/>
  <c r="BM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Z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P85" i="2"/>
  <c r="BO85" i="2"/>
  <c r="BM85" i="2"/>
  <c r="Y85" i="2"/>
  <c r="BN85" i="2" s="1"/>
  <c r="P85" i="2"/>
  <c r="BO84" i="2"/>
  <c r="BM84" i="2"/>
  <c r="Y84" i="2"/>
  <c r="Z84" i="2" s="1"/>
  <c r="P84" i="2"/>
  <c r="X81" i="2"/>
  <c r="X80" i="2"/>
  <c r="BO79" i="2"/>
  <c r="BM79" i="2"/>
  <c r="Y79" i="2"/>
  <c r="BP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P73" i="2"/>
  <c r="BO73" i="2"/>
  <c r="BM73" i="2"/>
  <c r="Y73" i="2"/>
  <c r="BN73" i="2" s="1"/>
  <c r="P73" i="2"/>
  <c r="BO72" i="2"/>
  <c r="BM72" i="2"/>
  <c r="Y72" i="2"/>
  <c r="Z72" i="2" s="1"/>
  <c r="P72" i="2"/>
  <c r="BO71" i="2"/>
  <c r="BM71" i="2"/>
  <c r="Y71" i="2"/>
  <c r="Y76" i="2" s="1"/>
  <c r="P71" i="2"/>
  <c r="X69" i="2"/>
  <c r="X68" i="2"/>
  <c r="BO67" i="2"/>
  <c r="BM67" i="2"/>
  <c r="Y67" i="2"/>
  <c r="Z67" i="2" s="1"/>
  <c r="P67" i="2"/>
  <c r="BO66" i="2"/>
  <c r="BM66" i="2"/>
  <c r="Y66" i="2"/>
  <c r="Y69" i="2" s="1"/>
  <c r="P66" i="2"/>
  <c r="X64" i="2"/>
  <c r="X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Y63" i="2" s="1"/>
  <c r="P60" i="2"/>
  <c r="X58" i="2"/>
  <c r="X57" i="2"/>
  <c r="BO56" i="2"/>
  <c r="BM56" i="2"/>
  <c r="Y56" i="2"/>
  <c r="Z56" i="2" s="1"/>
  <c r="P56" i="2"/>
  <c r="BO55" i="2"/>
  <c r="BM55" i="2"/>
  <c r="Y55" i="2"/>
  <c r="BP55" i="2" s="1"/>
  <c r="P55" i="2"/>
  <c r="BO54" i="2"/>
  <c r="BM54" i="2"/>
  <c r="Y54" i="2"/>
  <c r="BN54" i="2" s="1"/>
  <c r="P54" i="2"/>
  <c r="BO53" i="2"/>
  <c r="BM53" i="2"/>
  <c r="Y53" i="2"/>
  <c r="BP53" i="2" s="1"/>
  <c r="P53" i="2"/>
  <c r="BP52" i="2"/>
  <c r="BO52" i="2"/>
  <c r="BM52" i="2"/>
  <c r="Y52" i="2"/>
  <c r="BN52" i="2" s="1"/>
  <c r="P52" i="2"/>
  <c r="BO51" i="2"/>
  <c r="BM51" i="2"/>
  <c r="Y51" i="2"/>
  <c r="Z51" i="2" s="1"/>
  <c r="P51" i="2"/>
  <c r="X48" i="2"/>
  <c r="X47" i="2"/>
  <c r="BO46" i="2"/>
  <c r="BM46" i="2"/>
  <c r="Y46" i="2"/>
  <c r="Y47" i="2" s="1"/>
  <c r="P46" i="2"/>
  <c r="X44" i="2"/>
  <c r="X43" i="2"/>
  <c r="BP42" i="2"/>
  <c r="BO42" i="2"/>
  <c r="BM42" i="2"/>
  <c r="Y42" i="2"/>
  <c r="BN42" i="2" s="1"/>
  <c r="P42" i="2"/>
  <c r="BO41" i="2"/>
  <c r="BM41" i="2"/>
  <c r="Y41" i="2"/>
  <c r="BP41" i="2" s="1"/>
  <c r="P41" i="2"/>
  <c r="BO40" i="2"/>
  <c r="BM40" i="2"/>
  <c r="Y40" i="2"/>
  <c r="Y43" i="2" s="1"/>
  <c r="P40" i="2"/>
  <c r="X36" i="2"/>
  <c r="X35" i="2"/>
  <c r="BO34" i="2"/>
  <c r="BM34" i="2"/>
  <c r="Z34" i="2"/>
  <c r="Z35" i="2" s="1"/>
  <c r="Y34" i="2"/>
  <c r="Y36" i="2" s="1"/>
  <c r="P34" i="2"/>
  <c r="X32" i="2"/>
  <c r="X31" i="2"/>
  <c r="BP30" i="2"/>
  <c r="BO30" i="2"/>
  <c r="BN30" i="2"/>
  <c r="BM30" i="2"/>
  <c r="Z30" i="2"/>
  <c r="Y30" i="2"/>
  <c r="P30" i="2"/>
  <c r="BO29" i="2"/>
  <c r="BM29" i="2"/>
  <c r="Y29" i="2"/>
  <c r="P29" i="2"/>
  <c r="BO28" i="2"/>
  <c r="BN28" i="2"/>
  <c r="BM28" i="2"/>
  <c r="Z28" i="2"/>
  <c r="Y28" i="2"/>
  <c r="BP28" i="2" s="1"/>
  <c r="P28" i="2"/>
  <c r="BO27" i="2"/>
  <c r="BM27" i="2"/>
  <c r="Y27" i="2"/>
  <c r="BN27" i="2" s="1"/>
  <c r="P27" i="2"/>
  <c r="X25" i="2"/>
  <c r="X493" i="2" s="1"/>
  <c r="X24" i="2"/>
  <c r="X497" i="2" s="1"/>
  <c r="BO23" i="2"/>
  <c r="BM23" i="2"/>
  <c r="Y23" i="2"/>
  <c r="Z23" i="2" s="1"/>
  <c r="P23" i="2"/>
  <c r="BO22" i="2"/>
  <c r="BM22" i="2"/>
  <c r="Y22" i="2"/>
  <c r="B503" i="2" s="1"/>
  <c r="P22" i="2"/>
  <c r="H10" i="2"/>
  <c r="A9" i="2"/>
  <c r="J9" i="2" s="1"/>
  <c r="D7" i="2"/>
  <c r="Q6" i="2"/>
  <c r="P2" i="2"/>
  <c r="X494" i="2" l="1"/>
  <c r="BP27" i="2"/>
  <c r="Y31" i="2"/>
  <c r="Y32" i="2"/>
  <c r="BP40" i="2"/>
  <c r="Y48" i="2"/>
  <c r="BN51" i="2"/>
  <c r="BP51" i="2"/>
  <c r="Z53" i="2"/>
  <c r="BN53" i="2"/>
  <c r="Z55" i="2"/>
  <c r="BN55" i="2"/>
  <c r="BN56" i="2"/>
  <c r="Z60" i="2"/>
  <c r="BP62" i="2"/>
  <c r="Z66" i="2"/>
  <c r="BN66" i="2"/>
  <c r="BP66" i="2"/>
  <c r="BN67" i="2"/>
  <c r="BP67" i="2"/>
  <c r="Y68" i="2"/>
  <c r="BN72" i="2"/>
  <c r="BP72" i="2"/>
  <c r="BN84" i="2"/>
  <c r="BP84" i="2"/>
  <c r="Z86" i="2"/>
  <c r="BN91" i="2"/>
  <c r="BP91" i="2"/>
  <c r="Z93" i="2"/>
  <c r="BN94" i="2"/>
  <c r="BP94" i="2"/>
  <c r="F503" i="2"/>
  <c r="Z103" i="2"/>
  <c r="BP107" i="2"/>
  <c r="Y112" i="2"/>
  <c r="BP114" i="2"/>
  <c r="Y118" i="2"/>
  <c r="BN116" i="2"/>
  <c r="BP116" i="2"/>
  <c r="BN117" i="2"/>
  <c r="BP117" i="2"/>
  <c r="BP127" i="2"/>
  <c r="Z127" i="2"/>
  <c r="Z128" i="2" s="1"/>
  <c r="BP143" i="2"/>
  <c r="Z143" i="2"/>
  <c r="Y158" i="2"/>
  <c r="Y157" i="2"/>
  <c r="BP156" i="2"/>
  <c r="BN156" i="2"/>
  <c r="Z156" i="2"/>
  <c r="Z157" i="2" s="1"/>
  <c r="BP170" i="2"/>
  <c r="BN170" i="2"/>
  <c r="Z170" i="2"/>
  <c r="BP178" i="2"/>
  <c r="BN178" i="2"/>
  <c r="Z178" i="2"/>
  <c r="Y196" i="2"/>
  <c r="Z194" i="2"/>
  <c r="BP211" i="2"/>
  <c r="BN211" i="2"/>
  <c r="Z211" i="2"/>
  <c r="BP221" i="2"/>
  <c r="BN221" i="2"/>
  <c r="Z221" i="2"/>
  <c r="Y242" i="2"/>
  <c r="BP233" i="2"/>
  <c r="BN233" i="2"/>
  <c r="Z233" i="2"/>
  <c r="X495" i="2"/>
  <c r="BN23" i="2"/>
  <c r="BP23" i="2"/>
  <c r="Y24" i="2"/>
  <c r="Y25" i="2"/>
  <c r="BP60" i="2"/>
  <c r="BN61" i="2"/>
  <c r="BP61" i="2"/>
  <c r="Y64" i="2"/>
  <c r="BN78" i="2"/>
  <c r="BN101" i="2"/>
  <c r="BP101" i="2"/>
  <c r="BN102" i="2"/>
  <c r="BP102" i="2"/>
  <c r="BP136" i="2"/>
  <c r="Y139" i="2"/>
  <c r="Y138" i="2"/>
  <c r="BN137" i="2"/>
  <c r="BP137" i="2"/>
  <c r="BP150" i="2"/>
  <c r="Z150" i="2"/>
  <c r="BP167" i="2"/>
  <c r="Z167" i="2"/>
  <c r="BN200" i="2"/>
  <c r="BN227" i="2"/>
  <c r="BP227" i="2"/>
  <c r="BN228" i="2"/>
  <c r="Z228" i="2"/>
  <c r="Z229" i="2" s="1"/>
  <c r="G503" i="2"/>
  <c r="Y144" i="2"/>
  <c r="Y145" i="2"/>
  <c r="Y154" i="2"/>
  <c r="BN147" i="2"/>
  <c r="BP147" i="2"/>
  <c r="BN148" i="2"/>
  <c r="BP148" i="2"/>
  <c r="BN151" i="2"/>
  <c r="BP151" i="2"/>
  <c r="BP162" i="2"/>
  <c r="Y163" i="2"/>
  <c r="Y180" i="2"/>
  <c r="BP172" i="2"/>
  <c r="BN174" i="2"/>
  <c r="BP174" i="2"/>
  <c r="BP175" i="2"/>
  <c r="BN177" i="2"/>
  <c r="BN179" i="2"/>
  <c r="BP179" i="2"/>
  <c r="BN184" i="2"/>
  <c r="BP184" i="2"/>
  <c r="BP185" i="2"/>
  <c r="Y213" i="2"/>
  <c r="BP205" i="2"/>
  <c r="BN207" i="2"/>
  <c r="BP207" i="2"/>
  <c r="BP208" i="2"/>
  <c r="BN210" i="2"/>
  <c r="BP215" i="2"/>
  <c r="BN217" i="2"/>
  <c r="BP217" i="2"/>
  <c r="BP218" i="2"/>
  <c r="BN220" i="2"/>
  <c r="BN222" i="2"/>
  <c r="BP222" i="2"/>
  <c r="BN238" i="2"/>
  <c r="BP238" i="2"/>
  <c r="BN239" i="2"/>
  <c r="Z239" i="2"/>
  <c r="BN253" i="2"/>
  <c r="BN255" i="2"/>
  <c r="BP255" i="2"/>
  <c r="BP265" i="2"/>
  <c r="BN265" i="2"/>
  <c r="Z265" i="2"/>
  <c r="O503" i="2"/>
  <c r="Y283" i="2"/>
  <c r="Y282" i="2"/>
  <c r="BP279" i="2"/>
  <c r="BN279" i="2"/>
  <c r="Z279" i="2"/>
  <c r="BN291" i="2"/>
  <c r="BP291" i="2"/>
  <c r="Y311" i="2"/>
  <c r="Z305" i="2"/>
  <c r="BP310" i="2"/>
  <c r="BN310" i="2"/>
  <c r="Z310" i="2"/>
  <c r="Y319" i="2"/>
  <c r="BN315" i="2"/>
  <c r="Z315" i="2"/>
  <c r="Y337" i="2"/>
  <c r="BP334" i="2"/>
  <c r="BN369" i="2"/>
  <c r="Y371" i="2"/>
  <c r="Y370" i="2"/>
  <c r="BP369" i="2"/>
  <c r="BN394" i="2"/>
  <c r="BP394" i="2"/>
  <c r="BN398" i="2"/>
  <c r="BP398" i="2"/>
  <c r="BP400" i="2"/>
  <c r="Z400" i="2"/>
  <c r="BP432" i="2"/>
  <c r="Z432" i="2"/>
  <c r="BN444" i="2"/>
  <c r="BP444" i="2"/>
  <c r="BP449" i="2"/>
  <c r="BN449" i="2"/>
  <c r="Z449" i="2"/>
  <c r="Y474" i="2"/>
  <c r="BN480" i="2"/>
  <c r="Y482" i="2"/>
  <c r="Z480" i="2"/>
  <c r="Z481" i="2" s="1"/>
  <c r="BN236" i="2"/>
  <c r="Z236" i="2"/>
  <c r="BN241" i="2"/>
  <c r="BP257" i="2"/>
  <c r="Z257" i="2"/>
  <c r="BN272" i="2"/>
  <c r="BP272" i="2"/>
  <c r="BN273" i="2"/>
  <c r="Z273" i="2"/>
  <c r="BN307" i="2"/>
  <c r="BP307" i="2"/>
  <c r="BN308" i="2"/>
  <c r="Z308" i="2"/>
  <c r="BN317" i="2"/>
  <c r="BP317" i="2"/>
  <c r="BN322" i="2"/>
  <c r="BP322" i="2"/>
  <c r="BP323" i="2"/>
  <c r="BN323" i="2"/>
  <c r="Z323" i="2"/>
  <c r="BP336" i="2"/>
  <c r="Z336" i="2"/>
  <c r="Y388" i="2"/>
  <c r="Z384" i="2"/>
  <c r="BP396" i="2"/>
  <c r="Z396" i="2"/>
  <c r="BN405" i="2"/>
  <c r="BP405" i="2"/>
  <c r="BN410" i="2"/>
  <c r="BN422" i="2"/>
  <c r="BP422" i="2"/>
  <c r="Y423" i="2"/>
  <c r="BN430" i="2"/>
  <c r="BP430" i="2"/>
  <c r="BN434" i="2"/>
  <c r="BP434" i="2"/>
  <c r="BP436" i="2"/>
  <c r="BN436" i="2"/>
  <c r="Z436" i="2"/>
  <c r="Y440" i="2"/>
  <c r="BN438" i="2"/>
  <c r="BP438" i="2"/>
  <c r="BP439" i="2"/>
  <c r="BN439" i="2"/>
  <c r="Z439" i="2"/>
  <c r="BN451" i="2"/>
  <c r="BP451" i="2"/>
  <c r="BP452" i="2"/>
  <c r="Z452" i="2"/>
  <c r="BN472" i="2"/>
  <c r="BP472" i="2"/>
  <c r="BN485" i="2"/>
  <c r="BP485" i="2"/>
  <c r="Y486" i="2"/>
  <c r="BN249" i="2"/>
  <c r="BP249" i="2"/>
  <c r="Y250" i="2"/>
  <c r="BP262" i="2"/>
  <c r="Y268" i="2"/>
  <c r="BN264" i="2"/>
  <c r="BP281" i="2"/>
  <c r="Q503" i="2"/>
  <c r="BN297" i="2"/>
  <c r="BP297" i="2"/>
  <c r="BP298" i="2"/>
  <c r="BN328" i="2"/>
  <c r="BP328" i="2"/>
  <c r="BP341" i="2"/>
  <c r="BP350" i="2"/>
  <c r="BN352" i="2"/>
  <c r="BP352" i="2"/>
  <c r="BP353" i="2"/>
  <c r="BP360" i="2"/>
  <c r="Y361" i="2"/>
  <c r="Y362" i="2"/>
  <c r="BN375" i="2"/>
  <c r="BP375" i="2"/>
  <c r="BN380" i="2"/>
  <c r="BP380" i="2"/>
  <c r="BN386" i="2"/>
  <c r="BP386" i="2"/>
  <c r="Y401" i="2"/>
  <c r="Y402" i="2"/>
  <c r="Y406" i="2"/>
  <c r="Y419" i="2"/>
  <c r="BN415" i="2"/>
  <c r="BP415" i="2"/>
  <c r="X503" i="2"/>
  <c r="BP453" i="2"/>
  <c r="BN454" i="2"/>
  <c r="BP454" i="2"/>
  <c r="Z503" i="2"/>
  <c r="X496" i="2"/>
  <c r="Z95" i="2"/>
  <c r="Z387" i="2"/>
  <c r="Z68" i="2"/>
  <c r="Z115" i="2"/>
  <c r="Z173" i="2"/>
  <c r="Z183" i="2"/>
  <c r="Z186" i="2" s="1"/>
  <c r="Z206" i="2"/>
  <c r="Z216" i="2"/>
  <c r="Z237" i="2"/>
  <c r="Z271" i="2"/>
  <c r="Z306" i="2"/>
  <c r="Z316" i="2"/>
  <c r="Z351" i="2"/>
  <c r="Z374" i="2"/>
  <c r="Z376" i="2" s="1"/>
  <c r="Z466" i="2"/>
  <c r="H503" i="2"/>
  <c r="Z29" i="2"/>
  <c r="Y44" i="2"/>
  <c r="Z54" i="2"/>
  <c r="BP56" i="2"/>
  <c r="BP78" i="2"/>
  <c r="Z87" i="2"/>
  <c r="Y134" i="2"/>
  <c r="Z168" i="2"/>
  <c r="Y202" i="2"/>
  <c r="Y224" i="2"/>
  <c r="Y243" i="2"/>
  <c r="Y312" i="2"/>
  <c r="Z321" i="2"/>
  <c r="Z324" i="2" s="1"/>
  <c r="Y345" i="2"/>
  <c r="Y357" i="2"/>
  <c r="Z379" i="2"/>
  <c r="Z381" i="2" s="1"/>
  <c r="Z414" i="2"/>
  <c r="Z437" i="2"/>
  <c r="Z471" i="2"/>
  <c r="I503" i="2"/>
  <c r="BN466" i="2"/>
  <c r="Z476" i="2"/>
  <c r="Z477" i="2" s="1"/>
  <c r="J503" i="2"/>
  <c r="BN237" i="2"/>
  <c r="BN271" i="2"/>
  <c r="BN351" i="2"/>
  <c r="Z41" i="2"/>
  <c r="Z74" i="2"/>
  <c r="BN87" i="2"/>
  <c r="Z131" i="2"/>
  <c r="BN168" i="2"/>
  <c r="BN379" i="2"/>
  <c r="K503" i="2"/>
  <c r="Y186" i="2"/>
  <c r="BN206" i="2"/>
  <c r="BN316" i="2"/>
  <c r="Z209" i="2"/>
  <c r="Z219" i="2"/>
  <c r="Z240" i="2"/>
  <c r="Z274" i="2"/>
  <c r="Z309" i="2"/>
  <c r="Z342" i="2"/>
  <c r="Z344" i="2" s="1"/>
  <c r="Z354" i="2"/>
  <c r="BN437" i="2"/>
  <c r="BN471" i="2"/>
  <c r="Z22" i="2"/>
  <c r="Z24" i="2" s="1"/>
  <c r="BN34" i="2"/>
  <c r="Z46" i="2"/>
  <c r="Z47" i="2" s="1"/>
  <c r="BN92" i="2"/>
  <c r="Y95" i="2"/>
  <c r="Z136" i="2"/>
  <c r="BN149" i="2"/>
  <c r="Z171" i="2"/>
  <c r="BP173" i="2"/>
  <c r="BP183" i="2"/>
  <c r="BN194" i="2"/>
  <c r="Z204" i="2"/>
  <c r="BP216" i="2"/>
  <c r="Y225" i="2"/>
  <c r="Z235" i="2"/>
  <c r="Z245" i="2"/>
  <c r="Z246" i="2" s="1"/>
  <c r="BN257" i="2"/>
  <c r="BP271" i="2"/>
  <c r="Z280" i="2"/>
  <c r="Z282" i="2" s="1"/>
  <c r="Y294" i="2"/>
  <c r="BP306" i="2"/>
  <c r="Z314" i="2"/>
  <c r="Z318" i="2" s="1"/>
  <c r="BN336" i="2"/>
  <c r="Z349" i="2"/>
  <c r="Z356" i="2" s="1"/>
  <c r="Z359" i="2"/>
  <c r="Z361" i="2" s="1"/>
  <c r="BP374" i="2"/>
  <c r="BN384" i="2"/>
  <c r="Y387" i="2"/>
  <c r="BN396" i="2"/>
  <c r="Y407" i="2"/>
  <c r="Z417" i="2"/>
  <c r="BN432" i="2"/>
  <c r="BN452" i="2"/>
  <c r="Y455" i="2"/>
  <c r="Z464" i="2"/>
  <c r="BN476" i="2"/>
  <c r="L503" i="2"/>
  <c r="Y187" i="2"/>
  <c r="BN199" i="2"/>
  <c r="BN209" i="2"/>
  <c r="Y212" i="2"/>
  <c r="BN219" i="2"/>
  <c r="BN240" i="2"/>
  <c r="BN263" i="2"/>
  <c r="BN274" i="2"/>
  <c r="Z286" i="2"/>
  <c r="Z288" i="2" s="1"/>
  <c r="BN299" i="2"/>
  <c r="Y302" i="2"/>
  <c r="BN309" i="2"/>
  <c r="BP321" i="2"/>
  <c r="Z329" i="2"/>
  <c r="Z331" i="2" s="1"/>
  <c r="BN342" i="2"/>
  <c r="BN354" i="2"/>
  <c r="Z364" i="2"/>
  <c r="Z366" i="2" s="1"/>
  <c r="BP379" i="2"/>
  <c r="Z399" i="2"/>
  <c r="BP414" i="2"/>
  <c r="Z435" i="2"/>
  <c r="BP437" i="2"/>
  <c r="Z445" i="2"/>
  <c r="Z446" i="2" s="1"/>
  <c r="BP471" i="2"/>
  <c r="M503" i="2"/>
  <c r="BN29" i="2"/>
  <c r="BN321" i="2"/>
  <c r="BN414" i="2"/>
  <c r="BP71" i="2"/>
  <c r="Z79" i="2"/>
  <c r="Z80" i="2" s="1"/>
  <c r="BN103" i="2"/>
  <c r="BP115" i="2"/>
  <c r="BN126" i="2"/>
  <c r="Z27" i="2"/>
  <c r="BP29" i="2"/>
  <c r="BN41" i="2"/>
  <c r="Z52" i="2"/>
  <c r="Z57" i="2" s="1"/>
  <c r="BP54" i="2"/>
  <c r="Z62" i="2"/>
  <c r="Z63" i="2" s="1"/>
  <c r="BN74" i="2"/>
  <c r="Z85" i="2"/>
  <c r="Z88" i="2" s="1"/>
  <c r="BN108" i="2"/>
  <c r="Y111" i="2"/>
  <c r="BN131" i="2"/>
  <c r="Z166" i="2"/>
  <c r="BN176" i="2"/>
  <c r="BP34" i="2"/>
  <c r="BN46" i="2"/>
  <c r="BN79" i="2"/>
  <c r="BP126" i="2"/>
  <c r="BN136" i="2"/>
  <c r="Z147" i="2"/>
  <c r="BN171" i="2"/>
  <c r="BP194" i="2"/>
  <c r="BN204" i="2"/>
  <c r="BN235" i="2"/>
  <c r="BN245" i="2"/>
  <c r="Z255" i="2"/>
  <c r="Z266" i="2"/>
  <c r="BN280" i="2"/>
  <c r="Z291" i="2"/>
  <c r="BN314" i="2"/>
  <c r="Y325" i="2"/>
  <c r="Z334" i="2"/>
  <c r="BN349" i="2"/>
  <c r="BN359" i="2"/>
  <c r="Z369" i="2"/>
  <c r="Z370" i="2" s="1"/>
  <c r="BP384" i="2"/>
  <c r="Z394" i="2"/>
  <c r="Z404" i="2"/>
  <c r="BN417" i="2"/>
  <c r="Z430" i="2"/>
  <c r="Y441" i="2"/>
  <c r="Z450" i="2"/>
  <c r="Z455" i="2" s="1"/>
  <c r="BN464" i="2"/>
  <c r="BP476" i="2"/>
  <c r="Y487" i="2"/>
  <c r="Z71" i="2"/>
  <c r="BN71" i="2"/>
  <c r="BN115" i="2"/>
  <c r="Y57" i="2"/>
  <c r="Z108" i="2"/>
  <c r="Z176" i="2"/>
  <c r="Z263" i="2"/>
  <c r="Z299" i="2"/>
  <c r="Y119" i="2"/>
  <c r="Z142" i="2"/>
  <c r="Z144" i="2" s="1"/>
  <c r="Z152" i="2"/>
  <c r="BP168" i="2"/>
  <c r="BN22" i="2"/>
  <c r="Y58" i="2"/>
  <c r="Y88" i="2"/>
  <c r="Y96" i="2"/>
  <c r="BP108" i="2"/>
  <c r="BP131" i="2"/>
  <c r="BN166" i="2"/>
  <c r="BP199" i="2"/>
  <c r="Y251" i="2"/>
  <c r="BP263" i="2"/>
  <c r="BN286" i="2"/>
  <c r="Z297" i="2"/>
  <c r="BN329" i="2"/>
  <c r="BN364" i="2"/>
  <c r="BN399" i="2"/>
  <c r="Z410" i="2"/>
  <c r="Z411" i="2" s="1"/>
  <c r="Y424" i="2"/>
  <c r="BN435" i="2"/>
  <c r="BN445" i="2"/>
  <c r="Y456" i="2"/>
  <c r="Z467" i="2"/>
  <c r="P503" i="2"/>
  <c r="A10" i="2"/>
  <c r="BN374" i="2"/>
  <c r="Z199" i="2"/>
  <c r="BP22" i="2"/>
  <c r="Y35" i="2"/>
  <c r="BP46" i="2"/>
  <c r="Y104" i="2"/>
  <c r="BP204" i="2"/>
  <c r="BP245" i="2"/>
  <c r="Y258" i="2"/>
  <c r="Y303" i="2"/>
  <c r="BP314" i="2"/>
  <c r="BN334" i="2"/>
  <c r="BP349" i="2"/>
  <c r="BP464" i="2"/>
  <c r="Z472" i="2"/>
  <c r="Y477" i="2"/>
  <c r="Z484" i="2"/>
  <c r="Z486" i="2" s="1"/>
  <c r="F10" i="2"/>
  <c r="Y75" i="2"/>
  <c r="BP166" i="2"/>
  <c r="Z195" i="2"/>
  <c r="Z196" i="2" s="1"/>
  <c r="Y275" i="2"/>
  <c r="BN467" i="2"/>
  <c r="Z490" i="2"/>
  <c r="Z491" i="2" s="1"/>
  <c r="R503" i="2"/>
  <c r="Z177" i="2"/>
  <c r="Z200" i="2"/>
  <c r="Z210" i="2"/>
  <c r="Z220" i="2"/>
  <c r="Z241" i="2"/>
  <c r="Y246" i="2"/>
  <c r="Z253" i="2"/>
  <c r="Z264" i="2"/>
  <c r="Y418" i="2"/>
  <c r="S503" i="2"/>
  <c r="Z42" i="2"/>
  <c r="Y80" i="2"/>
  <c r="Y89" i="2"/>
  <c r="Z99" i="2"/>
  <c r="Z104" i="2" s="1"/>
  <c r="Z109" i="2"/>
  <c r="Z132" i="2"/>
  <c r="BN60" i="2"/>
  <c r="BN93" i="2"/>
  <c r="Y105" i="2"/>
  <c r="Z114" i="2"/>
  <c r="Z118" i="2" s="1"/>
  <c r="BN127" i="2"/>
  <c r="Z137" i="2"/>
  <c r="BN150" i="2"/>
  <c r="Y153" i="2"/>
  <c r="BN195" i="2"/>
  <c r="Y259" i="2"/>
  <c r="Y338" i="2"/>
  <c r="BP410" i="2"/>
  <c r="Y446" i="2"/>
  <c r="Z465" i="2"/>
  <c r="BN490" i="2"/>
  <c r="T503" i="2"/>
  <c r="BN99" i="2"/>
  <c r="BN109" i="2"/>
  <c r="BN132" i="2"/>
  <c r="Y267" i="2"/>
  <c r="U503" i="2"/>
  <c r="Y81" i="2"/>
  <c r="Z223" i="2"/>
  <c r="Z256" i="2"/>
  <c r="Z292" i="2"/>
  <c r="BN305" i="2"/>
  <c r="Y318" i="2"/>
  <c r="Z335" i="2"/>
  <c r="Y376" i="2"/>
  <c r="Z395" i="2"/>
  <c r="Z405" i="2"/>
  <c r="Y411" i="2"/>
  <c r="Z431" i="2"/>
  <c r="Z440" i="2" s="1"/>
  <c r="BN465" i="2"/>
  <c r="Y468" i="2"/>
  <c r="BP490" i="2"/>
  <c r="C503" i="2"/>
  <c r="V503" i="2"/>
  <c r="BN86" i="2"/>
  <c r="BP99" i="2"/>
  <c r="BN143" i="2"/>
  <c r="BN167" i="2"/>
  <c r="BN287" i="2"/>
  <c r="BN330" i="2"/>
  <c r="BN365" i="2"/>
  <c r="BN400" i="2"/>
  <c r="BP428" i="2"/>
  <c r="Y447" i="2"/>
  <c r="D503" i="2"/>
  <c r="W503" i="2"/>
  <c r="F9" i="2"/>
  <c r="Z40" i="2"/>
  <c r="Z43" i="2" s="1"/>
  <c r="Z73" i="2"/>
  <c r="H9" i="2"/>
  <c r="Y128" i="2"/>
  <c r="E503" i="2"/>
  <c r="BN40" i="2"/>
  <c r="BN341" i="2"/>
  <c r="Y469" i="2"/>
  <c r="Y497" i="2" l="1"/>
  <c r="Z267" i="2"/>
  <c r="Z111" i="2"/>
  <c r="Z337" i="2"/>
  <c r="Y493" i="2"/>
  <c r="Z401" i="2"/>
  <c r="Z293" i="2"/>
  <c r="Z212" i="2"/>
  <c r="Z138" i="2"/>
  <c r="Z473" i="2"/>
  <c r="Z418" i="2"/>
  <c r="Z201" i="2"/>
  <c r="Z302" i="2"/>
  <c r="Y495" i="2"/>
  <c r="Z311" i="2"/>
  <c r="Z133" i="2"/>
  <c r="Z275" i="2"/>
  <c r="Z75" i="2"/>
  <c r="Z224" i="2"/>
  <c r="Z406" i="2"/>
  <c r="Z153" i="2"/>
  <c r="Z31" i="2"/>
  <c r="Z468" i="2"/>
  <c r="Y494" i="2"/>
  <c r="Y496" i="2" s="1"/>
  <c r="Z180" i="2"/>
  <c r="Z258" i="2"/>
  <c r="Z242" i="2"/>
  <c r="Z498" i="2" l="1"/>
</calcChain>
</file>

<file path=xl/sharedStrings.xml><?xml version="1.0" encoding="utf-8"?>
<sst xmlns="http://schemas.openxmlformats.org/spreadsheetml/2006/main" count="3633" uniqueCount="774">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</sst>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8" t="s">
        <v>26</v>
      </c>
      <c r="E1" s="558"/>
      <c r="F1" s="558"/>
      <c r="G1" s="14" t="s">
        <v>66</v>
      </c>
      <c r="H1" s="558" t="s">
        <v>46</v>
      </c>
      <c r="I1" s="558"/>
      <c r="J1" s="558"/>
      <c r="K1" s="558"/>
      <c r="L1" s="558"/>
      <c r="M1" s="558"/>
      <c r="N1" s="558"/>
      <c r="O1" s="558"/>
      <c r="P1" s="558"/>
      <c r="Q1" s="558"/>
      <c r="R1" s="559" t="s">
        <v>67</v>
      </c>
      <c r="S1" s="560"/>
      <c r="T1" s="5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1"/>
      <c r="Q3" s="561"/>
      <c r="R3" s="561"/>
      <c r="S3" s="561"/>
      <c r="T3" s="561"/>
      <c r="U3" s="561"/>
      <c r="V3" s="561"/>
      <c r="W3" s="5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2" t="s">
        <v>8</v>
      </c>
      <c r="B5" s="562"/>
      <c r="C5" s="562"/>
      <c r="D5" s="563"/>
      <c r="E5" s="563"/>
      <c r="F5" s="564" t="s">
        <v>14</v>
      </c>
      <c r="G5" s="564"/>
      <c r="H5" s="563"/>
      <c r="I5" s="563"/>
      <c r="J5" s="563"/>
      <c r="K5" s="563"/>
      <c r="L5" s="563"/>
      <c r="M5" s="563"/>
      <c r="N5" s="72"/>
      <c r="P5" s="27" t="s">
        <v>4</v>
      </c>
      <c r="Q5" s="565">
        <v>46041</v>
      </c>
      <c r="R5" s="565"/>
      <c r="T5" s="566" t="s">
        <v>3</v>
      </c>
      <c r="U5" s="567"/>
      <c r="V5" s="568" t="s">
        <v>760</v>
      </c>
      <c r="W5" s="569"/>
      <c r="AB5" s="59"/>
      <c r="AC5" s="59"/>
      <c r="AD5" s="59"/>
      <c r="AE5" s="59"/>
    </row>
    <row r="6" spans="1:32" s="17" customFormat="1" ht="24" customHeight="1" x14ac:dyDescent="0.2">
      <c r="A6" s="562" t="s">
        <v>1</v>
      </c>
      <c r="B6" s="562"/>
      <c r="C6" s="562"/>
      <c r="D6" s="570" t="s">
        <v>75</v>
      </c>
      <c r="E6" s="570"/>
      <c r="F6" s="570"/>
      <c r="G6" s="570"/>
      <c r="H6" s="570"/>
      <c r="I6" s="570"/>
      <c r="J6" s="570"/>
      <c r="K6" s="570"/>
      <c r="L6" s="570"/>
      <c r="M6" s="570"/>
      <c r="N6" s="73"/>
      <c r="P6" s="27" t="s">
        <v>27</v>
      </c>
      <c r="Q6" s="571" t="str">
        <f>IF(Q5=0," ",CHOOSE(WEEKDAY(Q5,2),"Понедельник","Вторник","Среда","Четверг","Пятница","Суббота","Воскресенье"))</f>
        <v>Понедельник</v>
      </c>
      <c r="R6" s="571"/>
      <c r="T6" s="572" t="s">
        <v>5</v>
      </c>
      <c r="U6" s="573"/>
      <c r="V6" s="574" t="s">
        <v>69</v>
      </c>
      <c r="W6" s="5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0" t="str">
        <f>IFERROR(VLOOKUP(DeliveryAddress,Table,3,0),1)</f>
        <v>1</v>
      </c>
      <c r="E7" s="581"/>
      <c r="F7" s="581"/>
      <c r="G7" s="581"/>
      <c r="H7" s="581"/>
      <c r="I7" s="581"/>
      <c r="J7" s="581"/>
      <c r="K7" s="581"/>
      <c r="L7" s="581"/>
      <c r="M7" s="582"/>
      <c r="N7" s="74"/>
      <c r="P7" s="29"/>
      <c r="Q7" s="48"/>
      <c r="R7" s="48"/>
      <c r="T7" s="572"/>
      <c r="U7" s="573"/>
      <c r="V7" s="576"/>
      <c r="W7" s="577"/>
      <c r="AB7" s="59"/>
      <c r="AC7" s="59"/>
      <c r="AD7" s="59"/>
      <c r="AE7" s="59"/>
    </row>
    <row r="8" spans="1:32" s="17" customFormat="1" ht="25.5" customHeight="1" x14ac:dyDescent="0.2">
      <c r="A8" s="583" t="s">
        <v>57</v>
      </c>
      <c r="B8" s="583"/>
      <c r="C8" s="583"/>
      <c r="D8" s="584" t="s">
        <v>76</v>
      </c>
      <c r="E8" s="584"/>
      <c r="F8" s="584"/>
      <c r="G8" s="584"/>
      <c r="H8" s="584"/>
      <c r="I8" s="584"/>
      <c r="J8" s="584"/>
      <c r="K8" s="584"/>
      <c r="L8" s="584"/>
      <c r="M8" s="584"/>
      <c r="N8" s="75"/>
      <c r="P8" s="27" t="s">
        <v>11</v>
      </c>
      <c r="Q8" s="585">
        <v>0.41666666666666669</v>
      </c>
      <c r="R8" s="586"/>
      <c r="T8" s="572"/>
      <c r="U8" s="573"/>
      <c r="V8" s="576"/>
      <c r="W8" s="577"/>
      <c r="AB8" s="59"/>
      <c r="AC8" s="59"/>
      <c r="AD8" s="59"/>
      <c r="AE8" s="59"/>
    </row>
    <row r="9" spans="1:32" s="17" customFormat="1" ht="39.950000000000003" customHeight="1" x14ac:dyDescent="0.2">
      <c r="A9" s="5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7"/>
      <c r="C9" s="587"/>
      <c r="D9" s="588" t="s">
        <v>45</v>
      </c>
      <c r="E9" s="589"/>
      <c r="F9" s="5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7"/>
      <c r="H9" s="590" t="str">
        <f>IF(AND($A$9="Тип доверенности/получателя при получении в адресе перегруза:",$D$9="Разовая доверенность"),"Введите ФИО","")</f>
        <v/>
      </c>
      <c r="I9" s="590"/>
      <c r="J9" s="5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0"/>
      <c r="L9" s="590"/>
      <c r="M9" s="590"/>
      <c r="N9" s="70"/>
      <c r="P9" s="31" t="s">
        <v>15</v>
      </c>
      <c r="Q9" s="591"/>
      <c r="R9" s="591"/>
      <c r="T9" s="572"/>
      <c r="U9" s="573"/>
      <c r="V9" s="578"/>
      <c r="W9" s="5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7"/>
      <c r="C10" s="587"/>
      <c r="D10" s="588"/>
      <c r="E10" s="589"/>
      <c r="F10" s="5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7"/>
      <c r="H10" s="592" t="str">
        <f>IFERROR(VLOOKUP($D$10,Proxy,2,FALSE),"")</f>
        <v/>
      </c>
      <c r="I10" s="592"/>
      <c r="J10" s="592"/>
      <c r="K10" s="592"/>
      <c r="L10" s="592"/>
      <c r="M10" s="592"/>
      <c r="N10" s="71"/>
      <c r="P10" s="31" t="s">
        <v>32</v>
      </c>
      <c r="Q10" s="593"/>
      <c r="R10" s="593"/>
      <c r="U10" s="29" t="s">
        <v>12</v>
      </c>
      <c r="V10" s="594" t="s">
        <v>70</v>
      </c>
      <c r="W10" s="59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6"/>
      <c r="R11" s="596"/>
      <c r="U11" s="29" t="s">
        <v>28</v>
      </c>
      <c r="V11" s="597" t="s">
        <v>54</v>
      </c>
      <c r="W11" s="59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8" t="s">
        <v>71</v>
      </c>
      <c r="B12" s="598"/>
      <c r="C12" s="598"/>
      <c r="D12" s="598"/>
      <c r="E12" s="598"/>
      <c r="F12" s="598"/>
      <c r="G12" s="598"/>
      <c r="H12" s="598"/>
      <c r="I12" s="598"/>
      <c r="J12" s="598"/>
      <c r="K12" s="598"/>
      <c r="L12" s="598"/>
      <c r="M12" s="598"/>
      <c r="N12" s="76"/>
      <c r="P12" s="27" t="s">
        <v>30</v>
      </c>
      <c r="Q12" s="585"/>
      <c r="R12" s="585"/>
      <c r="S12" s="28"/>
      <c r="T12"/>
      <c r="U12" s="29" t="s">
        <v>45</v>
      </c>
      <c r="V12" s="599"/>
      <c r="W12" s="599"/>
      <c r="X12"/>
      <c r="AB12" s="59"/>
      <c r="AC12" s="59"/>
      <c r="AD12" s="59"/>
      <c r="AE12" s="59"/>
    </row>
    <row r="13" spans="1:32" s="17" customFormat="1" ht="23.25" customHeight="1" x14ac:dyDescent="0.2">
      <c r="A13" s="598" t="s">
        <v>72</v>
      </c>
      <c r="B13" s="598"/>
      <c r="C13" s="598"/>
      <c r="D13" s="598"/>
      <c r="E13" s="598"/>
      <c r="F13" s="598"/>
      <c r="G13" s="598"/>
      <c r="H13" s="598"/>
      <c r="I13" s="598"/>
      <c r="J13" s="598"/>
      <c r="K13" s="598"/>
      <c r="L13" s="598"/>
      <c r="M13" s="598"/>
      <c r="N13" s="76"/>
      <c r="O13" s="31"/>
      <c r="P13" s="31" t="s">
        <v>31</v>
      </c>
      <c r="Q13" s="597"/>
      <c r="R13" s="59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8" t="s">
        <v>73</v>
      </c>
      <c r="B14" s="598"/>
      <c r="C14" s="598"/>
      <c r="D14" s="598"/>
      <c r="E14" s="598"/>
      <c r="F14" s="598"/>
      <c r="G14" s="598"/>
      <c r="H14" s="598"/>
      <c r="I14" s="598"/>
      <c r="J14" s="598"/>
      <c r="K14" s="598"/>
      <c r="L14" s="598"/>
      <c r="M14" s="59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0" t="s">
        <v>74</v>
      </c>
      <c r="B15" s="600"/>
      <c r="C15" s="600"/>
      <c r="D15" s="600"/>
      <c r="E15" s="600"/>
      <c r="F15" s="600"/>
      <c r="G15" s="600"/>
      <c r="H15" s="600"/>
      <c r="I15" s="600"/>
      <c r="J15" s="600"/>
      <c r="K15" s="600"/>
      <c r="L15" s="600"/>
      <c r="M15" s="600"/>
      <c r="N15" s="77"/>
      <c r="O15"/>
      <c r="P15" s="601" t="s">
        <v>60</v>
      </c>
      <c r="Q15" s="601"/>
      <c r="R15" s="601"/>
      <c r="S15" s="601"/>
      <c r="T15" s="60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2"/>
      <c r="Q16" s="602"/>
      <c r="R16" s="602"/>
      <c r="S16" s="602"/>
      <c r="T16" s="60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5" t="s">
        <v>58</v>
      </c>
      <c r="B17" s="605" t="s">
        <v>48</v>
      </c>
      <c r="C17" s="607" t="s">
        <v>47</v>
      </c>
      <c r="D17" s="609" t="s">
        <v>49</v>
      </c>
      <c r="E17" s="610"/>
      <c r="F17" s="605" t="s">
        <v>21</v>
      </c>
      <c r="G17" s="605" t="s">
        <v>24</v>
      </c>
      <c r="H17" s="605" t="s">
        <v>22</v>
      </c>
      <c r="I17" s="605" t="s">
        <v>23</v>
      </c>
      <c r="J17" s="605" t="s">
        <v>16</v>
      </c>
      <c r="K17" s="605" t="s">
        <v>65</v>
      </c>
      <c r="L17" s="605" t="s">
        <v>63</v>
      </c>
      <c r="M17" s="605" t="s">
        <v>2</v>
      </c>
      <c r="N17" s="605" t="s">
        <v>62</v>
      </c>
      <c r="O17" s="605" t="s">
        <v>25</v>
      </c>
      <c r="P17" s="609" t="s">
        <v>17</v>
      </c>
      <c r="Q17" s="613"/>
      <c r="R17" s="613"/>
      <c r="S17" s="613"/>
      <c r="T17" s="610"/>
      <c r="U17" s="603" t="s">
        <v>55</v>
      </c>
      <c r="V17" s="604"/>
      <c r="W17" s="605" t="s">
        <v>6</v>
      </c>
      <c r="X17" s="605" t="s">
        <v>41</v>
      </c>
      <c r="Y17" s="615" t="s">
        <v>53</v>
      </c>
      <c r="Z17" s="617" t="s">
        <v>18</v>
      </c>
      <c r="AA17" s="619" t="s">
        <v>59</v>
      </c>
      <c r="AB17" s="619" t="s">
        <v>19</v>
      </c>
      <c r="AC17" s="619" t="s">
        <v>64</v>
      </c>
      <c r="AD17" s="621" t="s">
        <v>56</v>
      </c>
      <c r="AE17" s="622"/>
      <c r="AF17" s="623"/>
      <c r="AG17" s="82"/>
      <c r="BD17" s="81" t="s">
        <v>61</v>
      </c>
    </row>
    <row r="18" spans="1:68" ht="14.25" customHeight="1" x14ac:dyDescent="0.2">
      <c r="A18" s="606"/>
      <c r="B18" s="606"/>
      <c r="C18" s="608"/>
      <c r="D18" s="611"/>
      <c r="E18" s="612"/>
      <c r="F18" s="606"/>
      <c r="G18" s="606"/>
      <c r="H18" s="606"/>
      <c r="I18" s="606"/>
      <c r="J18" s="606"/>
      <c r="K18" s="606"/>
      <c r="L18" s="606"/>
      <c r="M18" s="606"/>
      <c r="N18" s="606"/>
      <c r="O18" s="606"/>
      <c r="P18" s="611"/>
      <c r="Q18" s="614"/>
      <c r="R18" s="614"/>
      <c r="S18" s="614"/>
      <c r="T18" s="612"/>
      <c r="U18" s="83" t="s">
        <v>44</v>
      </c>
      <c r="V18" s="83" t="s">
        <v>43</v>
      </c>
      <c r="W18" s="606"/>
      <c r="X18" s="606"/>
      <c r="Y18" s="616"/>
      <c r="Z18" s="618"/>
      <c r="AA18" s="620"/>
      <c r="AB18" s="620"/>
      <c r="AC18" s="620"/>
      <c r="AD18" s="624"/>
      <c r="AE18" s="625"/>
      <c r="AF18" s="626"/>
      <c r="AG18" s="82"/>
      <c r="BD18" s="81"/>
    </row>
    <row r="19" spans="1:68" ht="27.75" customHeight="1" x14ac:dyDescent="0.2">
      <c r="A19" s="627" t="s">
        <v>77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54"/>
      <c r="AB19" s="54"/>
      <c r="AC19" s="54"/>
    </row>
    <row r="20" spans="1:68" ht="16.5" customHeight="1" x14ac:dyDescent="0.25">
      <c r="A20" s="628" t="s">
        <v>77</v>
      </c>
      <c r="B20" s="628"/>
      <c r="C20" s="628"/>
      <c r="D20" s="628"/>
      <c r="E20" s="628"/>
      <c r="F20" s="628"/>
      <c r="G20" s="628"/>
      <c r="H20" s="628"/>
      <c r="I20" s="628"/>
      <c r="J20" s="628"/>
      <c r="K20" s="628"/>
      <c r="L20" s="628"/>
      <c r="M20" s="628"/>
      <c r="N20" s="628"/>
      <c r="O20" s="628"/>
      <c r="P20" s="628"/>
      <c r="Q20" s="628"/>
      <c r="R20" s="628"/>
      <c r="S20" s="628"/>
      <c r="T20" s="628"/>
      <c r="U20" s="628"/>
      <c r="V20" s="628"/>
      <c r="W20" s="628"/>
      <c r="X20" s="628"/>
      <c r="Y20" s="628"/>
      <c r="Z20" s="628"/>
      <c r="AA20" s="65"/>
      <c r="AB20" s="65"/>
      <c r="AC20" s="79"/>
    </row>
    <row r="21" spans="1:68" ht="14.25" customHeight="1" x14ac:dyDescent="0.25">
      <c r="A21" s="629" t="s">
        <v>78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0">
        <v>4680115887510</v>
      </c>
      <c r="E22" s="63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2"/>
      <c r="R22" s="632"/>
      <c r="S22" s="632"/>
      <c r="T22" s="63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0">
        <v>4680115886643</v>
      </c>
      <c r="E23" s="63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2"/>
      <c r="R23" s="632"/>
      <c r="S23" s="632"/>
      <c r="T23" s="63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9" t="s">
        <v>88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0">
        <v>4680115885912</v>
      </c>
      <c r="E27" s="63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2"/>
      <c r="R27" s="632"/>
      <c r="S27" s="632"/>
      <c r="T27" s="633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0">
        <v>4607091388237</v>
      </c>
      <c r="E28" s="63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2"/>
      <c r="R28" s="632"/>
      <c r="S28" s="632"/>
      <c r="T28" s="633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0">
        <v>4680115887350</v>
      </c>
      <c r="E29" s="63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2"/>
      <c r="R29" s="632"/>
      <c r="S29" s="632"/>
      <c r="T29" s="633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0">
        <v>4680115885905</v>
      </c>
      <c r="E30" s="63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2"/>
      <c r="R30" s="632"/>
      <c r="S30" s="632"/>
      <c r="T30" s="633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8"/>
      <c r="B31" s="638"/>
      <c r="C31" s="638"/>
      <c r="D31" s="638"/>
      <c r="E31" s="638"/>
      <c r="F31" s="638"/>
      <c r="G31" s="638"/>
      <c r="H31" s="638"/>
      <c r="I31" s="638"/>
      <c r="J31" s="638"/>
      <c r="K31" s="638"/>
      <c r="L31" s="638"/>
      <c r="M31" s="638"/>
      <c r="N31" s="638"/>
      <c r="O31" s="639"/>
      <c r="P31" s="635" t="s">
        <v>40</v>
      </c>
      <c r="Q31" s="636"/>
      <c r="R31" s="636"/>
      <c r="S31" s="636"/>
      <c r="T31" s="636"/>
      <c r="U31" s="636"/>
      <c r="V31" s="637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9" t="s">
        <v>102</v>
      </c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/>
      <c r="Q33" s="629"/>
      <c r="R33" s="629"/>
      <c r="S33" s="629"/>
      <c r="T33" s="629"/>
      <c r="U33" s="629"/>
      <c r="V33" s="629"/>
      <c r="W33" s="629"/>
      <c r="X33" s="629"/>
      <c r="Y33" s="629"/>
      <c r="Z33" s="629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30">
        <v>4607091388503</v>
      </c>
      <c r="E34" s="630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32"/>
      <c r="R34" s="632"/>
      <c r="S34" s="632"/>
      <c r="T34" s="633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8"/>
      <c r="B35" s="638"/>
      <c r="C35" s="638"/>
      <c r="D35" s="638"/>
      <c r="E35" s="638"/>
      <c r="F35" s="638"/>
      <c r="G35" s="638"/>
      <c r="H35" s="638"/>
      <c r="I35" s="638"/>
      <c r="J35" s="638"/>
      <c r="K35" s="638"/>
      <c r="L35" s="638"/>
      <c r="M35" s="638"/>
      <c r="N35" s="638"/>
      <c r="O35" s="639"/>
      <c r="P35" s="635" t="s">
        <v>40</v>
      </c>
      <c r="Q35" s="636"/>
      <c r="R35" s="636"/>
      <c r="S35" s="636"/>
      <c r="T35" s="636"/>
      <c r="U35" s="636"/>
      <c r="V35" s="63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7" t="s">
        <v>108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54"/>
      <c r="AB37" s="54"/>
      <c r="AC37" s="54"/>
    </row>
    <row r="38" spans="1:68" ht="16.5" customHeight="1" x14ac:dyDescent="0.25">
      <c r="A38" s="628" t="s">
        <v>109</v>
      </c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8"/>
      <c r="P38" s="628"/>
      <c r="Q38" s="628"/>
      <c r="R38" s="628"/>
      <c r="S38" s="628"/>
      <c r="T38" s="628"/>
      <c r="U38" s="628"/>
      <c r="V38" s="628"/>
      <c r="W38" s="628"/>
      <c r="X38" s="628"/>
      <c r="Y38" s="628"/>
      <c r="Z38" s="628"/>
      <c r="AA38" s="65"/>
      <c r="AB38" s="65"/>
      <c r="AC38" s="79"/>
    </row>
    <row r="39" spans="1:68" ht="14.25" customHeight="1" x14ac:dyDescent="0.25">
      <c r="A39" s="629" t="s">
        <v>110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30">
        <v>4607091385670</v>
      </c>
      <c r="E40" s="630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32"/>
      <c r="R40" s="632"/>
      <c r="S40" s="632"/>
      <c r="T40" s="633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30">
        <v>4607091385687</v>
      </c>
      <c r="E41" s="630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92</v>
      </c>
      <c r="N41" s="38"/>
      <c r="O41" s="37">
        <v>50</v>
      </c>
      <c r="P41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32"/>
      <c r="R41" s="632"/>
      <c r="S41" s="632"/>
      <c r="T41" s="633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30">
        <v>4680115882539</v>
      </c>
      <c r="E42" s="630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6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2"/>
      <c r="R42" s="632"/>
      <c r="S42" s="632"/>
      <c r="T42" s="633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8"/>
      <c r="B43" s="638"/>
      <c r="C43" s="638"/>
      <c r="D43" s="638"/>
      <c r="E43" s="638"/>
      <c r="F43" s="638"/>
      <c r="G43" s="638"/>
      <c r="H43" s="638"/>
      <c r="I43" s="638"/>
      <c r="J43" s="638"/>
      <c r="K43" s="638"/>
      <c r="L43" s="638"/>
      <c r="M43" s="638"/>
      <c r="N43" s="638"/>
      <c r="O43" s="639"/>
      <c r="P43" s="635" t="s">
        <v>40</v>
      </c>
      <c r="Q43" s="636"/>
      <c r="R43" s="636"/>
      <c r="S43" s="636"/>
      <c r="T43" s="636"/>
      <c r="U43" s="636"/>
      <c r="V43" s="63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8"/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9"/>
      <c r="P44" s="635" t="s">
        <v>40</v>
      </c>
      <c r="Q44" s="636"/>
      <c r="R44" s="636"/>
      <c r="S44" s="636"/>
      <c r="T44" s="636"/>
      <c r="U44" s="636"/>
      <c r="V44" s="63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9" t="s">
        <v>88</v>
      </c>
      <c r="B45" s="629"/>
      <c r="C45" s="629"/>
      <c r="D45" s="629"/>
      <c r="E45" s="629"/>
      <c r="F45" s="629"/>
      <c r="G45" s="629"/>
      <c r="H45" s="629"/>
      <c r="I45" s="629"/>
      <c r="J45" s="629"/>
      <c r="K45" s="629"/>
      <c r="L45" s="629"/>
      <c r="M45" s="629"/>
      <c r="N45" s="629"/>
      <c r="O45" s="629"/>
      <c r="P45" s="629"/>
      <c r="Q45" s="629"/>
      <c r="R45" s="629"/>
      <c r="S45" s="629"/>
      <c r="T45" s="629"/>
      <c r="U45" s="629"/>
      <c r="V45" s="629"/>
      <c r="W45" s="629"/>
      <c r="X45" s="629"/>
      <c r="Y45" s="629"/>
      <c r="Z45" s="629"/>
      <c r="AA45" s="66"/>
      <c r="AB45" s="66"/>
      <c r="AC45" s="80"/>
    </row>
    <row r="46" spans="1:68" ht="16.5" customHeight="1" x14ac:dyDescent="0.25">
      <c r="A46" s="63" t="s">
        <v>123</v>
      </c>
      <c r="B46" s="63" t="s">
        <v>124</v>
      </c>
      <c r="C46" s="36">
        <v>4301051820</v>
      </c>
      <c r="D46" s="630">
        <v>4680115884915</v>
      </c>
      <c r="E46" s="630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32"/>
      <c r="R46" s="632"/>
      <c r="S46" s="632"/>
      <c r="T46" s="633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125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8"/>
      <c r="B48" s="638"/>
      <c r="C48" s="638"/>
      <c r="D48" s="638"/>
      <c r="E48" s="638"/>
      <c r="F48" s="638"/>
      <c r="G48" s="638"/>
      <c r="H48" s="638"/>
      <c r="I48" s="638"/>
      <c r="J48" s="638"/>
      <c r="K48" s="638"/>
      <c r="L48" s="638"/>
      <c r="M48" s="638"/>
      <c r="N48" s="638"/>
      <c r="O48" s="639"/>
      <c r="P48" s="635" t="s">
        <v>40</v>
      </c>
      <c r="Q48" s="636"/>
      <c r="R48" s="636"/>
      <c r="S48" s="636"/>
      <c r="T48" s="636"/>
      <c r="U48" s="636"/>
      <c r="V48" s="63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8" t="s">
        <v>126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65"/>
      <c r="AB49" s="65"/>
      <c r="AC49" s="79"/>
    </row>
    <row r="50" spans="1:68" ht="14.25" customHeight="1" x14ac:dyDescent="0.25">
      <c r="A50" s="629" t="s">
        <v>110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6"/>
      <c r="AB50" s="66"/>
      <c r="AC50" s="80"/>
    </row>
    <row r="51" spans="1:68" ht="27" customHeight="1" x14ac:dyDescent="0.25">
      <c r="A51" s="63" t="s">
        <v>127</v>
      </c>
      <c r="B51" s="63" t="s">
        <v>128</v>
      </c>
      <c r="C51" s="36">
        <v>4301012030</v>
      </c>
      <c r="D51" s="630">
        <v>4680115885882</v>
      </c>
      <c r="E51" s="630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6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32"/>
      <c r="R51" s="632"/>
      <c r="S51" s="632"/>
      <c r="T51" s="633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129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4301011816</v>
      </c>
      <c r="D52" s="630">
        <v>4680115881426</v>
      </c>
      <c r="E52" s="630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32"/>
      <c r="R52" s="632"/>
      <c r="S52" s="632"/>
      <c r="T52" s="633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4301011386</v>
      </c>
      <c r="D53" s="630">
        <v>4680115880283</v>
      </c>
      <c r="E53" s="630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32"/>
      <c r="R53" s="632"/>
      <c r="S53" s="632"/>
      <c r="T53" s="63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4301011806</v>
      </c>
      <c r="D54" s="630">
        <v>4680115881525</v>
      </c>
      <c r="E54" s="630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32"/>
      <c r="R54" s="632"/>
      <c r="S54" s="632"/>
      <c r="T54" s="63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4301011589</v>
      </c>
      <c r="D55" s="630">
        <v>4680115885899</v>
      </c>
      <c r="E55" s="630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5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32"/>
      <c r="R55" s="632"/>
      <c r="S55" s="632"/>
      <c r="T55" s="63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142</v>
      </c>
      <c r="B56" s="63" t="s">
        <v>143</v>
      </c>
      <c r="C56" s="36">
        <v>4301011801</v>
      </c>
      <c r="D56" s="630">
        <v>4680115881419</v>
      </c>
      <c r="E56" s="630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32"/>
      <c r="R56" s="632"/>
      <c r="S56" s="632"/>
      <c r="T56" s="63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8"/>
      <c r="B57" s="638"/>
      <c r="C57" s="638"/>
      <c r="D57" s="638"/>
      <c r="E57" s="638"/>
      <c r="F57" s="638"/>
      <c r="G57" s="638"/>
      <c r="H57" s="638"/>
      <c r="I57" s="638"/>
      <c r="J57" s="638"/>
      <c r="K57" s="638"/>
      <c r="L57" s="638"/>
      <c r="M57" s="638"/>
      <c r="N57" s="638"/>
      <c r="O57" s="639"/>
      <c r="P57" s="635" t="s">
        <v>40</v>
      </c>
      <c r="Q57" s="636"/>
      <c r="R57" s="636"/>
      <c r="S57" s="636"/>
      <c r="T57" s="636"/>
      <c r="U57" s="636"/>
      <c r="V57" s="63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8"/>
      <c r="B58" s="638"/>
      <c r="C58" s="638"/>
      <c r="D58" s="638"/>
      <c r="E58" s="638"/>
      <c r="F58" s="638"/>
      <c r="G58" s="638"/>
      <c r="H58" s="638"/>
      <c r="I58" s="638"/>
      <c r="J58" s="638"/>
      <c r="K58" s="638"/>
      <c r="L58" s="638"/>
      <c r="M58" s="638"/>
      <c r="N58" s="638"/>
      <c r="O58" s="639"/>
      <c r="P58" s="635" t="s">
        <v>40</v>
      </c>
      <c r="Q58" s="636"/>
      <c r="R58" s="636"/>
      <c r="S58" s="636"/>
      <c r="T58" s="636"/>
      <c r="U58" s="636"/>
      <c r="V58" s="63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9" t="s">
        <v>145</v>
      </c>
      <c r="B59" s="629"/>
      <c r="C59" s="629"/>
      <c r="D59" s="629"/>
      <c r="E59" s="629"/>
      <c r="F59" s="629"/>
      <c r="G59" s="629"/>
      <c r="H59" s="629"/>
      <c r="I59" s="629"/>
      <c r="J59" s="629"/>
      <c r="K59" s="629"/>
      <c r="L59" s="629"/>
      <c r="M59" s="629"/>
      <c r="N59" s="629"/>
      <c r="O59" s="629"/>
      <c r="P59" s="629"/>
      <c r="Q59" s="629"/>
      <c r="R59" s="629"/>
      <c r="S59" s="629"/>
      <c r="T59" s="629"/>
      <c r="U59" s="629"/>
      <c r="V59" s="629"/>
      <c r="W59" s="629"/>
      <c r="X59" s="629"/>
      <c r="Y59" s="629"/>
      <c r="Z59" s="629"/>
      <c r="AA59" s="66"/>
      <c r="AB59" s="66"/>
      <c r="AC59" s="80"/>
    </row>
    <row r="60" spans="1:68" ht="16.5" customHeight="1" x14ac:dyDescent="0.25">
      <c r="A60" s="63" t="s">
        <v>146</v>
      </c>
      <c r="B60" s="63" t="s">
        <v>147</v>
      </c>
      <c r="C60" s="36">
        <v>4301020298</v>
      </c>
      <c r="D60" s="630">
        <v>4680115881440</v>
      </c>
      <c r="E60" s="630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32"/>
      <c r="R60" s="632"/>
      <c r="S60" s="632"/>
      <c r="T60" s="633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148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149</v>
      </c>
      <c r="B61" s="63" t="s">
        <v>150</v>
      </c>
      <c r="C61" s="36">
        <v>4301020358</v>
      </c>
      <c r="D61" s="630">
        <v>4680115885950</v>
      </c>
      <c r="E61" s="630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32"/>
      <c r="R61" s="632"/>
      <c r="S61" s="632"/>
      <c r="T61" s="633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151</v>
      </c>
      <c r="B62" s="63" t="s">
        <v>152</v>
      </c>
      <c r="C62" s="36">
        <v>4301020296</v>
      </c>
      <c r="D62" s="630">
        <v>4680115881433</v>
      </c>
      <c r="E62" s="630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32"/>
      <c r="R62" s="632"/>
      <c r="S62" s="632"/>
      <c r="T62" s="63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8"/>
      <c r="B63" s="638"/>
      <c r="C63" s="638"/>
      <c r="D63" s="638"/>
      <c r="E63" s="638"/>
      <c r="F63" s="638"/>
      <c r="G63" s="638"/>
      <c r="H63" s="638"/>
      <c r="I63" s="638"/>
      <c r="J63" s="638"/>
      <c r="K63" s="638"/>
      <c r="L63" s="638"/>
      <c r="M63" s="638"/>
      <c r="N63" s="638"/>
      <c r="O63" s="639"/>
      <c r="P63" s="635" t="s">
        <v>40</v>
      </c>
      <c r="Q63" s="636"/>
      <c r="R63" s="636"/>
      <c r="S63" s="636"/>
      <c r="T63" s="636"/>
      <c r="U63" s="636"/>
      <c r="V63" s="63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8"/>
      <c r="B64" s="638"/>
      <c r="C64" s="638"/>
      <c r="D64" s="638"/>
      <c r="E64" s="638"/>
      <c r="F64" s="638"/>
      <c r="G64" s="638"/>
      <c r="H64" s="638"/>
      <c r="I64" s="638"/>
      <c r="J64" s="638"/>
      <c r="K64" s="638"/>
      <c r="L64" s="638"/>
      <c r="M64" s="638"/>
      <c r="N64" s="638"/>
      <c r="O64" s="639"/>
      <c r="P64" s="635" t="s">
        <v>40</v>
      </c>
      <c r="Q64" s="636"/>
      <c r="R64" s="636"/>
      <c r="S64" s="636"/>
      <c r="T64" s="636"/>
      <c r="U64" s="636"/>
      <c r="V64" s="63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9" t="s">
        <v>78</v>
      </c>
      <c r="B65" s="629"/>
      <c r="C65" s="629"/>
      <c r="D65" s="629"/>
      <c r="E65" s="629"/>
      <c r="F65" s="629"/>
      <c r="G65" s="629"/>
      <c r="H65" s="629"/>
      <c r="I65" s="629"/>
      <c r="J65" s="629"/>
      <c r="K65" s="629"/>
      <c r="L65" s="629"/>
      <c r="M65" s="629"/>
      <c r="N65" s="629"/>
      <c r="O65" s="629"/>
      <c r="P65" s="629"/>
      <c r="Q65" s="629"/>
      <c r="R65" s="629"/>
      <c r="S65" s="629"/>
      <c r="T65" s="629"/>
      <c r="U65" s="629"/>
      <c r="V65" s="629"/>
      <c r="W65" s="629"/>
      <c r="X65" s="629"/>
      <c r="Y65" s="629"/>
      <c r="Z65" s="629"/>
      <c r="AA65" s="66"/>
      <c r="AB65" s="66"/>
      <c r="AC65" s="80"/>
    </row>
    <row r="66" spans="1:68" ht="27" customHeight="1" x14ac:dyDescent="0.25">
      <c r="A66" s="63" t="s">
        <v>153</v>
      </c>
      <c r="B66" s="63" t="s">
        <v>154</v>
      </c>
      <c r="C66" s="36">
        <v>4301031243</v>
      </c>
      <c r="D66" s="630">
        <v>4680115885073</v>
      </c>
      <c r="E66" s="630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32"/>
      <c r="R66" s="632"/>
      <c r="S66" s="632"/>
      <c r="T66" s="633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155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156</v>
      </c>
      <c r="B67" s="63" t="s">
        <v>157</v>
      </c>
      <c r="C67" s="36">
        <v>4301031316</v>
      </c>
      <c r="D67" s="630">
        <v>4680115885097</v>
      </c>
      <c r="E67" s="630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32"/>
      <c r="R67" s="632"/>
      <c r="S67" s="632"/>
      <c r="T67" s="633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8"/>
      <c r="B69" s="638"/>
      <c r="C69" s="638"/>
      <c r="D69" s="638"/>
      <c r="E69" s="638"/>
      <c r="F69" s="638"/>
      <c r="G69" s="638"/>
      <c r="H69" s="638"/>
      <c r="I69" s="638"/>
      <c r="J69" s="638"/>
      <c r="K69" s="638"/>
      <c r="L69" s="638"/>
      <c r="M69" s="638"/>
      <c r="N69" s="638"/>
      <c r="O69" s="639"/>
      <c r="P69" s="635" t="s">
        <v>40</v>
      </c>
      <c r="Q69" s="636"/>
      <c r="R69" s="636"/>
      <c r="S69" s="636"/>
      <c r="T69" s="636"/>
      <c r="U69" s="636"/>
      <c r="V69" s="637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9" t="s">
        <v>88</v>
      </c>
      <c r="B70" s="629"/>
      <c r="C70" s="629"/>
      <c r="D70" s="629"/>
      <c r="E70" s="629"/>
      <c r="F70" s="629"/>
      <c r="G70" s="629"/>
      <c r="H70" s="629"/>
      <c r="I70" s="629"/>
      <c r="J70" s="629"/>
      <c r="K70" s="629"/>
      <c r="L70" s="629"/>
      <c r="M70" s="629"/>
      <c r="N70" s="629"/>
      <c r="O70" s="629"/>
      <c r="P70" s="629"/>
      <c r="Q70" s="629"/>
      <c r="R70" s="629"/>
      <c r="S70" s="629"/>
      <c r="T70" s="629"/>
      <c r="U70" s="629"/>
      <c r="V70" s="629"/>
      <c r="W70" s="629"/>
      <c r="X70" s="629"/>
      <c r="Y70" s="629"/>
      <c r="Z70" s="629"/>
      <c r="AA70" s="66"/>
      <c r="AB70" s="66"/>
      <c r="AC70" s="80"/>
    </row>
    <row r="71" spans="1:68" ht="27" customHeight="1" x14ac:dyDescent="0.25">
      <c r="A71" s="63" t="s">
        <v>159</v>
      </c>
      <c r="B71" s="63" t="s">
        <v>160</v>
      </c>
      <c r="C71" s="36">
        <v>4301051846</v>
      </c>
      <c r="D71" s="630">
        <v>4680115885769</v>
      </c>
      <c r="E71" s="630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6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32"/>
      <c r="R71" s="632"/>
      <c r="S71" s="632"/>
      <c r="T71" s="633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161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162</v>
      </c>
      <c r="B72" s="63" t="s">
        <v>163</v>
      </c>
      <c r="C72" s="36">
        <v>4301051837</v>
      </c>
      <c r="D72" s="630">
        <v>4680115884311</v>
      </c>
      <c r="E72" s="630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2"/>
      <c r="R72" s="632"/>
      <c r="S72" s="632"/>
      <c r="T72" s="633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165</v>
      </c>
      <c r="B73" s="63" t="s">
        <v>166</v>
      </c>
      <c r="C73" s="36">
        <v>4301051844</v>
      </c>
      <c r="D73" s="630">
        <v>4680115885929</v>
      </c>
      <c r="E73" s="630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6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32"/>
      <c r="R73" s="632"/>
      <c r="S73" s="632"/>
      <c r="T73" s="63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161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167</v>
      </c>
      <c r="B74" s="63" t="s">
        <v>168</v>
      </c>
      <c r="C74" s="36">
        <v>4301051929</v>
      </c>
      <c r="D74" s="630">
        <v>4680115884403</v>
      </c>
      <c r="E74" s="630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6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2"/>
      <c r="R74" s="632"/>
      <c r="S74" s="632"/>
      <c r="T74" s="63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169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8"/>
      <c r="B76" s="638"/>
      <c r="C76" s="638"/>
      <c r="D76" s="638"/>
      <c r="E76" s="638"/>
      <c r="F76" s="638"/>
      <c r="G76" s="638"/>
      <c r="H76" s="638"/>
      <c r="I76" s="638"/>
      <c r="J76" s="638"/>
      <c r="K76" s="638"/>
      <c r="L76" s="638"/>
      <c r="M76" s="638"/>
      <c r="N76" s="638"/>
      <c r="O76" s="639"/>
      <c r="P76" s="635" t="s">
        <v>40</v>
      </c>
      <c r="Q76" s="636"/>
      <c r="R76" s="636"/>
      <c r="S76" s="636"/>
      <c r="T76" s="636"/>
      <c r="U76" s="636"/>
      <c r="V76" s="637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9" t="s">
        <v>170</v>
      </c>
      <c r="B77" s="629"/>
      <c r="C77" s="629"/>
      <c r="D77" s="629"/>
      <c r="E77" s="629"/>
      <c r="F77" s="629"/>
      <c r="G77" s="629"/>
      <c r="H77" s="629"/>
      <c r="I77" s="629"/>
      <c r="J77" s="629"/>
      <c r="K77" s="629"/>
      <c r="L77" s="629"/>
      <c r="M77" s="629"/>
      <c r="N77" s="629"/>
      <c r="O77" s="629"/>
      <c r="P77" s="629"/>
      <c r="Q77" s="629"/>
      <c r="R77" s="629"/>
      <c r="S77" s="629"/>
      <c r="T77" s="629"/>
      <c r="U77" s="629"/>
      <c r="V77" s="629"/>
      <c r="W77" s="629"/>
      <c r="X77" s="629"/>
      <c r="Y77" s="629"/>
      <c r="Z77" s="629"/>
      <c r="AA77" s="66"/>
      <c r="AB77" s="66"/>
      <c r="AC77" s="80"/>
    </row>
    <row r="78" spans="1:68" ht="27" customHeight="1" x14ac:dyDescent="0.25">
      <c r="A78" s="63" t="s">
        <v>171</v>
      </c>
      <c r="B78" s="63" t="s">
        <v>172</v>
      </c>
      <c r="C78" s="36">
        <v>4301060455</v>
      </c>
      <c r="D78" s="630">
        <v>4680115881532</v>
      </c>
      <c r="E78" s="630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45</v>
      </c>
      <c r="M78" s="38" t="s">
        <v>98</v>
      </c>
      <c r="N78" s="38"/>
      <c r="O78" s="37">
        <v>30</v>
      </c>
      <c r="P78" s="6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2"/>
      <c r="R78" s="632"/>
      <c r="S78" s="632"/>
      <c r="T78" s="633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173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174</v>
      </c>
      <c r="B79" s="63" t="s">
        <v>175</v>
      </c>
      <c r="C79" s="36">
        <v>4301060351</v>
      </c>
      <c r="D79" s="630">
        <v>4680115881464</v>
      </c>
      <c r="E79" s="630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6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2"/>
      <c r="R79" s="632"/>
      <c r="S79" s="632"/>
      <c r="T79" s="633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8"/>
      <c r="B81" s="638"/>
      <c r="C81" s="638"/>
      <c r="D81" s="638"/>
      <c r="E81" s="638"/>
      <c r="F81" s="638"/>
      <c r="G81" s="638"/>
      <c r="H81" s="638"/>
      <c r="I81" s="638"/>
      <c r="J81" s="638"/>
      <c r="K81" s="638"/>
      <c r="L81" s="638"/>
      <c r="M81" s="638"/>
      <c r="N81" s="638"/>
      <c r="O81" s="639"/>
      <c r="P81" s="635" t="s">
        <v>40</v>
      </c>
      <c r="Q81" s="636"/>
      <c r="R81" s="636"/>
      <c r="S81" s="636"/>
      <c r="T81" s="636"/>
      <c r="U81" s="636"/>
      <c r="V81" s="637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8" t="s">
        <v>177</v>
      </c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8"/>
      <c r="P82" s="628"/>
      <c r="Q82" s="628"/>
      <c r="R82" s="628"/>
      <c r="S82" s="628"/>
      <c r="T82" s="628"/>
      <c r="U82" s="628"/>
      <c r="V82" s="628"/>
      <c r="W82" s="628"/>
      <c r="X82" s="628"/>
      <c r="Y82" s="628"/>
      <c r="Z82" s="628"/>
      <c r="AA82" s="65"/>
      <c r="AB82" s="65"/>
      <c r="AC82" s="79"/>
    </row>
    <row r="83" spans="1:68" ht="14.25" customHeight="1" x14ac:dyDescent="0.25">
      <c r="A83" s="629" t="s">
        <v>110</v>
      </c>
      <c r="B83" s="629"/>
      <c r="C83" s="629"/>
      <c r="D83" s="629"/>
      <c r="E83" s="629"/>
      <c r="F83" s="629"/>
      <c r="G83" s="629"/>
      <c r="H83" s="629"/>
      <c r="I83" s="629"/>
      <c r="J83" s="629"/>
      <c r="K83" s="629"/>
      <c r="L83" s="629"/>
      <c r="M83" s="629"/>
      <c r="N83" s="629"/>
      <c r="O83" s="629"/>
      <c r="P83" s="629"/>
      <c r="Q83" s="629"/>
      <c r="R83" s="629"/>
      <c r="S83" s="629"/>
      <c r="T83" s="629"/>
      <c r="U83" s="629"/>
      <c r="V83" s="629"/>
      <c r="W83" s="629"/>
      <c r="X83" s="629"/>
      <c r="Y83" s="629"/>
      <c r="Z83" s="629"/>
      <c r="AA83" s="66"/>
      <c r="AB83" s="66"/>
      <c r="AC83" s="80"/>
    </row>
    <row r="84" spans="1:68" ht="27" customHeight="1" x14ac:dyDescent="0.25">
      <c r="A84" s="63" t="s">
        <v>178</v>
      </c>
      <c r="B84" s="63" t="s">
        <v>179</v>
      </c>
      <c r="C84" s="36">
        <v>4301011468</v>
      </c>
      <c r="D84" s="630">
        <v>4680115881327</v>
      </c>
      <c r="E84" s="630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6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2"/>
      <c r="R84" s="632"/>
      <c r="S84" s="632"/>
      <c r="T84" s="633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180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181</v>
      </c>
      <c r="B85" s="63" t="s">
        <v>182</v>
      </c>
      <c r="C85" s="36">
        <v>4301011261</v>
      </c>
      <c r="D85" s="630">
        <v>4680115887732</v>
      </c>
      <c r="E85" s="630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184</v>
      </c>
      <c r="L85" s="37" t="s">
        <v>45</v>
      </c>
      <c r="M85" s="38" t="s">
        <v>82</v>
      </c>
      <c r="N85" s="38"/>
      <c r="O85" s="37">
        <v>30</v>
      </c>
      <c r="P85" s="6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2"/>
      <c r="R85" s="632"/>
      <c r="S85" s="632"/>
      <c r="T85" s="633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30">
        <v>4680115881518</v>
      </c>
      <c r="E86" s="630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2"/>
      <c r="R86" s="632"/>
      <c r="S86" s="632"/>
      <c r="T86" s="63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180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30">
        <v>4680115881303</v>
      </c>
      <c r="E87" s="630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98</v>
      </c>
      <c r="N87" s="38"/>
      <c r="O87" s="37">
        <v>50</v>
      </c>
      <c r="P87" s="6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2"/>
      <c r="R87" s="632"/>
      <c r="S87" s="632"/>
      <c r="T87" s="63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180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8"/>
      <c r="B88" s="638"/>
      <c r="C88" s="638"/>
      <c r="D88" s="638"/>
      <c r="E88" s="638"/>
      <c r="F88" s="638"/>
      <c r="G88" s="638"/>
      <c r="H88" s="638"/>
      <c r="I88" s="638"/>
      <c r="J88" s="638"/>
      <c r="K88" s="638"/>
      <c r="L88" s="638"/>
      <c r="M88" s="638"/>
      <c r="N88" s="638"/>
      <c r="O88" s="639"/>
      <c r="P88" s="635" t="s">
        <v>40</v>
      </c>
      <c r="Q88" s="636"/>
      <c r="R88" s="636"/>
      <c r="S88" s="636"/>
      <c r="T88" s="636"/>
      <c r="U88" s="636"/>
      <c r="V88" s="637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8"/>
      <c r="B89" s="638"/>
      <c r="C89" s="638"/>
      <c r="D89" s="638"/>
      <c r="E89" s="638"/>
      <c r="F89" s="638"/>
      <c r="G89" s="638"/>
      <c r="H89" s="638"/>
      <c r="I89" s="638"/>
      <c r="J89" s="638"/>
      <c r="K89" s="638"/>
      <c r="L89" s="638"/>
      <c r="M89" s="638"/>
      <c r="N89" s="638"/>
      <c r="O89" s="639"/>
      <c r="P89" s="635" t="s">
        <v>40</v>
      </c>
      <c r="Q89" s="636"/>
      <c r="R89" s="636"/>
      <c r="S89" s="636"/>
      <c r="T89" s="636"/>
      <c r="U89" s="636"/>
      <c r="V89" s="637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9" t="s">
        <v>88</v>
      </c>
      <c r="B90" s="629"/>
      <c r="C90" s="629"/>
      <c r="D90" s="629"/>
      <c r="E90" s="629"/>
      <c r="F90" s="629"/>
      <c r="G90" s="629"/>
      <c r="H90" s="629"/>
      <c r="I90" s="629"/>
      <c r="J90" s="629"/>
      <c r="K90" s="629"/>
      <c r="L90" s="629"/>
      <c r="M90" s="629"/>
      <c r="N90" s="629"/>
      <c r="O90" s="629"/>
      <c r="P90" s="629"/>
      <c r="Q90" s="629"/>
      <c r="R90" s="629"/>
      <c r="S90" s="629"/>
      <c r="T90" s="629"/>
      <c r="U90" s="629"/>
      <c r="V90" s="629"/>
      <c r="W90" s="629"/>
      <c r="X90" s="629"/>
      <c r="Y90" s="629"/>
      <c r="Z90" s="629"/>
      <c r="AA90" s="66"/>
      <c r="AB90" s="66"/>
      <c r="AC90" s="80"/>
    </row>
    <row r="91" spans="1:68" ht="27" customHeight="1" x14ac:dyDescent="0.25">
      <c r="A91" s="63" t="s">
        <v>189</v>
      </c>
      <c r="B91" s="63" t="s">
        <v>190</v>
      </c>
      <c r="C91" s="36">
        <v>4301051712</v>
      </c>
      <c r="D91" s="630">
        <v>4607091386967</v>
      </c>
      <c r="E91" s="630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6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2"/>
      <c r="R91" s="632"/>
      <c r="S91" s="632"/>
      <c r="T91" s="633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30">
        <v>4680115884953</v>
      </c>
      <c r="E92" s="630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2"/>
      <c r="R92" s="632"/>
      <c r="S92" s="632"/>
      <c r="T92" s="633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191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194</v>
      </c>
      <c r="B93" s="63" t="s">
        <v>195</v>
      </c>
      <c r="C93" s="36">
        <v>4301051718</v>
      </c>
      <c r="D93" s="630">
        <v>4607091385731</v>
      </c>
      <c r="E93" s="630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6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2"/>
      <c r="R93" s="632"/>
      <c r="S93" s="632"/>
      <c r="T93" s="63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196</v>
      </c>
      <c r="B94" s="63" t="s">
        <v>197</v>
      </c>
      <c r="C94" s="36">
        <v>4301051438</v>
      </c>
      <c r="D94" s="630">
        <v>4680115880894</v>
      </c>
      <c r="E94" s="630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7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32"/>
      <c r="R94" s="632"/>
      <c r="S94" s="632"/>
      <c r="T94" s="63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8"/>
      <c r="B95" s="638"/>
      <c r="C95" s="638"/>
      <c r="D95" s="638"/>
      <c r="E95" s="638"/>
      <c r="F95" s="638"/>
      <c r="G95" s="638"/>
      <c r="H95" s="638"/>
      <c r="I95" s="638"/>
      <c r="J95" s="638"/>
      <c r="K95" s="638"/>
      <c r="L95" s="638"/>
      <c r="M95" s="638"/>
      <c r="N95" s="638"/>
      <c r="O95" s="639"/>
      <c r="P95" s="635" t="s">
        <v>40</v>
      </c>
      <c r="Q95" s="636"/>
      <c r="R95" s="636"/>
      <c r="S95" s="636"/>
      <c r="T95" s="636"/>
      <c r="U95" s="636"/>
      <c r="V95" s="63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8"/>
      <c r="B96" s="638"/>
      <c r="C96" s="638"/>
      <c r="D96" s="638"/>
      <c r="E96" s="638"/>
      <c r="F96" s="638"/>
      <c r="G96" s="638"/>
      <c r="H96" s="638"/>
      <c r="I96" s="638"/>
      <c r="J96" s="638"/>
      <c r="K96" s="638"/>
      <c r="L96" s="638"/>
      <c r="M96" s="638"/>
      <c r="N96" s="638"/>
      <c r="O96" s="639"/>
      <c r="P96" s="635" t="s">
        <v>40</v>
      </c>
      <c r="Q96" s="636"/>
      <c r="R96" s="636"/>
      <c r="S96" s="636"/>
      <c r="T96" s="636"/>
      <c r="U96" s="636"/>
      <c r="V96" s="63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8" t="s">
        <v>199</v>
      </c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8"/>
      <c r="P97" s="628"/>
      <c r="Q97" s="628"/>
      <c r="R97" s="628"/>
      <c r="S97" s="628"/>
      <c r="T97" s="628"/>
      <c r="U97" s="628"/>
      <c r="V97" s="628"/>
      <c r="W97" s="628"/>
      <c r="X97" s="628"/>
      <c r="Y97" s="628"/>
      <c r="Z97" s="628"/>
      <c r="AA97" s="65"/>
      <c r="AB97" s="65"/>
      <c r="AC97" s="79"/>
    </row>
    <row r="98" spans="1:68" ht="14.25" customHeight="1" x14ac:dyDescent="0.25">
      <c r="A98" s="629" t="s">
        <v>110</v>
      </c>
      <c r="B98" s="629"/>
      <c r="C98" s="629"/>
      <c r="D98" s="629"/>
      <c r="E98" s="629"/>
      <c r="F98" s="629"/>
      <c r="G98" s="629"/>
      <c r="H98" s="629"/>
      <c r="I98" s="629"/>
      <c r="J98" s="629"/>
      <c r="K98" s="629"/>
      <c r="L98" s="629"/>
      <c r="M98" s="629"/>
      <c r="N98" s="629"/>
      <c r="O98" s="629"/>
      <c r="P98" s="629"/>
      <c r="Q98" s="629"/>
      <c r="R98" s="629"/>
      <c r="S98" s="629"/>
      <c r="T98" s="629"/>
      <c r="U98" s="629"/>
      <c r="V98" s="629"/>
      <c r="W98" s="629"/>
      <c r="X98" s="629"/>
      <c r="Y98" s="629"/>
      <c r="Z98" s="629"/>
      <c r="AA98" s="66"/>
      <c r="AB98" s="66"/>
      <c r="AC98" s="80"/>
    </row>
    <row r="99" spans="1:68" ht="37.5" customHeight="1" x14ac:dyDescent="0.25">
      <c r="A99" s="63" t="s">
        <v>200</v>
      </c>
      <c r="B99" s="63" t="s">
        <v>201</v>
      </c>
      <c r="C99" s="36">
        <v>4301011514</v>
      </c>
      <c r="D99" s="630">
        <v>4680115882133</v>
      </c>
      <c r="E99" s="630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2"/>
      <c r="R99" s="632"/>
      <c r="S99" s="632"/>
      <c r="T99" s="633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202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203</v>
      </c>
      <c r="B100" s="63" t="s">
        <v>204</v>
      </c>
      <c r="C100" s="36">
        <v>4301012051</v>
      </c>
      <c r="D100" s="630">
        <v>4680115887718</v>
      </c>
      <c r="E100" s="630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184</v>
      </c>
      <c r="L100" s="37" t="s">
        <v>45</v>
      </c>
      <c r="M100" s="38" t="s">
        <v>82</v>
      </c>
      <c r="N100" s="38"/>
      <c r="O100" s="37">
        <v>30</v>
      </c>
      <c r="P100" s="67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2"/>
      <c r="R100" s="632"/>
      <c r="S100" s="632"/>
      <c r="T100" s="633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205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4301011417</v>
      </c>
      <c r="D101" s="630">
        <v>4680115880269</v>
      </c>
      <c r="E101" s="630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45</v>
      </c>
      <c r="M101" s="38" t="s">
        <v>92</v>
      </c>
      <c r="N101" s="38"/>
      <c r="O101" s="37">
        <v>50</v>
      </c>
      <c r="P101" s="6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32"/>
      <c r="R101" s="632"/>
      <c r="S101" s="632"/>
      <c r="T101" s="633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202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4301011415</v>
      </c>
      <c r="D102" s="630">
        <v>4680115880429</v>
      </c>
      <c r="E102" s="630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210</v>
      </c>
      <c r="M102" s="38" t="s">
        <v>92</v>
      </c>
      <c r="N102" s="38"/>
      <c r="O102" s="37">
        <v>50</v>
      </c>
      <c r="P102" s="6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32"/>
      <c r="R102" s="632"/>
      <c r="S102" s="632"/>
      <c r="T102" s="63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202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4301011462</v>
      </c>
      <c r="D103" s="630">
        <v>4680115881457</v>
      </c>
      <c r="E103" s="630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32"/>
      <c r="R103" s="632"/>
      <c r="S103" s="632"/>
      <c r="T103" s="63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202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8"/>
      <c r="B104" s="638"/>
      <c r="C104" s="638"/>
      <c r="D104" s="638"/>
      <c r="E104" s="638"/>
      <c r="F104" s="638"/>
      <c r="G104" s="638"/>
      <c r="H104" s="638"/>
      <c r="I104" s="638"/>
      <c r="J104" s="638"/>
      <c r="K104" s="638"/>
      <c r="L104" s="638"/>
      <c r="M104" s="638"/>
      <c r="N104" s="638"/>
      <c r="O104" s="639"/>
      <c r="P104" s="635" t="s">
        <v>40</v>
      </c>
      <c r="Q104" s="636"/>
      <c r="R104" s="636"/>
      <c r="S104" s="636"/>
      <c r="T104" s="636"/>
      <c r="U104" s="636"/>
      <c r="V104" s="637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8"/>
      <c r="B105" s="638"/>
      <c r="C105" s="638"/>
      <c r="D105" s="638"/>
      <c r="E105" s="638"/>
      <c r="F105" s="638"/>
      <c r="G105" s="638"/>
      <c r="H105" s="638"/>
      <c r="I105" s="638"/>
      <c r="J105" s="638"/>
      <c r="K105" s="638"/>
      <c r="L105" s="638"/>
      <c r="M105" s="638"/>
      <c r="N105" s="638"/>
      <c r="O105" s="639"/>
      <c r="P105" s="635" t="s">
        <v>40</v>
      </c>
      <c r="Q105" s="636"/>
      <c r="R105" s="636"/>
      <c r="S105" s="636"/>
      <c r="T105" s="636"/>
      <c r="U105" s="636"/>
      <c r="V105" s="637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9" t="s">
        <v>145</v>
      </c>
      <c r="B106" s="629"/>
      <c r="C106" s="629"/>
      <c r="D106" s="629"/>
      <c r="E106" s="629"/>
      <c r="F106" s="629"/>
      <c r="G106" s="629"/>
      <c r="H106" s="629"/>
      <c r="I106" s="629"/>
      <c r="J106" s="629"/>
      <c r="K106" s="629"/>
      <c r="L106" s="629"/>
      <c r="M106" s="629"/>
      <c r="N106" s="629"/>
      <c r="O106" s="629"/>
      <c r="P106" s="629"/>
      <c r="Q106" s="629"/>
      <c r="R106" s="629"/>
      <c r="S106" s="629"/>
      <c r="T106" s="629"/>
      <c r="U106" s="629"/>
      <c r="V106" s="629"/>
      <c r="W106" s="629"/>
      <c r="X106" s="629"/>
      <c r="Y106" s="629"/>
      <c r="Z106" s="629"/>
      <c r="AA106" s="66"/>
      <c r="AB106" s="66"/>
      <c r="AC106" s="80"/>
    </row>
    <row r="107" spans="1:68" ht="16.5" customHeight="1" x14ac:dyDescent="0.25">
      <c r="A107" s="63" t="s">
        <v>213</v>
      </c>
      <c r="B107" s="63" t="s">
        <v>214</v>
      </c>
      <c r="C107" s="36">
        <v>4301020345</v>
      </c>
      <c r="D107" s="630">
        <v>4680115881488</v>
      </c>
      <c r="E107" s="630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45</v>
      </c>
      <c r="M107" s="38" t="s">
        <v>114</v>
      </c>
      <c r="N107" s="38"/>
      <c r="O107" s="37">
        <v>55</v>
      </c>
      <c r="P107" s="6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32"/>
      <c r="R107" s="632"/>
      <c r="S107" s="632"/>
      <c r="T107" s="633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216</v>
      </c>
      <c r="B108" s="63" t="s">
        <v>217</v>
      </c>
      <c r="C108" s="36">
        <v>4301020186</v>
      </c>
      <c r="D108" s="630">
        <v>4680115887664</v>
      </c>
      <c r="E108" s="630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219</v>
      </c>
      <c r="L108" s="37" t="s">
        <v>45</v>
      </c>
      <c r="M108" s="38" t="s">
        <v>82</v>
      </c>
      <c r="N108" s="38"/>
      <c r="O108" s="37">
        <v>30</v>
      </c>
      <c r="P108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32"/>
      <c r="R108" s="632"/>
      <c r="S108" s="632"/>
      <c r="T108" s="633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4301020346</v>
      </c>
      <c r="D109" s="630">
        <v>4680115882775</v>
      </c>
      <c r="E109" s="630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6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32"/>
      <c r="R109" s="632"/>
      <c r="S109" s="632"/>
      <c r="T109" s="63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4301020344</v>
      </c>
      <c r="D110" s="630">
        <v>4680115880658</v>
      </c>
      <c r="E110" s="630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6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32"/>
      <c r="R110" s="632"/>
      <c r="S110" s="632"/>
      <c r="T110" s="63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215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8"/>
      <c r="B111" s="638"/>
      <c r="C111" s="638"/>
      <c r="D111" s="638"/>
      <c r="E111" s="638"/>
      <c r="F111" s="638"/>
      <c r="G111" s="638"/>
      <c r="H111" s="638"/>
      <c r="I111" s="638"/>
      <c r="J111" s="638"/>
      <c r="K111" s="638"/>
      <c r="L111" s="638"/>
      <c r="M111" s="638"/>
      <c r="N111" s="638"/>
      <c r="O111" s="639"/>
      <c r="P111" s="635" t="s">
        <v>40</v>
      </c>
      <c r="Q111" s="636"/>
      <c r="R111" s="636"/>
      <c r="S111" s="636"/>
      <c r="T111" s="636"/>
      <c r="U111" s="636"/>
      <c r="V111" s="637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8"/>
      <c r="B112" s="638"/>
      <c r="C112" s="638"/>
      <c r="D112" s="638"/>
      <c r="E112" s="638"/>
      <c r="F112" s="638"/>
      <c r="G112" s="638"/>
      <c r="H112" s="638"/>
      <c r="I112" s="638"/>
      <c r="J112" s="638"/>
      <c r="K112" s="638"/>
      <c r="L112" s="638"/>
      <c r="M112" s="638"/>
      <c r="N112" s="638"/>
      <c r="O112" s="639"/>
      <c r="P112" s="635" t="s">
        <v>40</v>
      </c>
      <c r="Q112" s="636"/>
      <c r="R112" s="636"/>
      <c r="S112" s="636"/>
      <c r="T112" s="636"/>
      <c r="U112" s="636"/>
      <c r="V112" s="637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9" t="s">
        <v>88</v>
      </c>
      <c r="B113" s="629"/>
      <c r="C113" s="629"/>
      <c r="D113" s="629"/>
      <c r="E113" s="629"/>
      <c r="F113" s="629"/>
      <c r="G113" s="629"/>
      <c r="H113" s="629"/>
      <c r="I113" s="629"/>
      <c r="J113" s="629"/>
      <c r="K113" s="629"/>
      <c r="L113" s="629"/>
      <c r="M113" s="629"/>
      <c r="N113" s="629"/>
      <c r="O113" s="629"/>
      <c r="P113" s="629"/>
      <c r="Q113" s="629"/>
      <c r="R113" s="629"/>
      <c r="S113" s="629"/>
      <c r="T113" s="629"/>
      <c r="U113" s="629"/>
      <c r="V113" s="629"/>
      <c r="W113" s="629"/>
      <c r="X113" s="629"/>
      <c r="Y113" s="629"/>
      <c r="Z113" s="629"/>
      <c r="AA113" s="66"/>
      <c r="AB113" s="66"/>
      <c r="AC113" s="80"/>
    </row>
    <row r="114" spans="1:68" ht="27" customHeight="1" x14ac:dyDescent="0.25">
      <c r="A114" s="63" t="s">
        <v>224</v>
      </c>
      <c r="B114" s="63" t="s">
        <v>225</v>
      </c>
      <c r="C114" s="36">
        <v>4301051724</v>
      </c>
      <c r="D114" s="630">
        <v>4607091385168</v>
      </c>
      <c r="E114" s="630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6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32"/>
      <c r="R114" s="632"/>
      <c r="S114" s="632"/>
      <c r="T114" s="633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226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4301051730</v>
      </c>
      <c r="D115" s="630">
        <v>4607091383256</v>
      </c>
      <c r="E115" s="630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6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32"/>
      <c r="R115" s="632"/>
      <c r="S115" s="632"/>
      <c r="T115" s="633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229</v>
      </c>
      <c r="B116" s="63" t="s">
        <v>230</v>
      </c>
      <c r="C116" s="36">
        <v>4301051721</v>
      </c>
      <c r="D116" s="630">
        <v>4607091385748</v>
      </c>
      <c r="E116" s="630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231</v>
      </c>
      <c r="M116" s="38" t="s">
        <v>98</v>
      </c>
      <c r="N116" s="38"/>
      <c r="O116" s="37">
        <v>45</v>
      </c>
      <c r="P116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32"/>
      <c r="R116" s="632"/>
      <c r="S116" s="632"/>
      <c r="T116" s="63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226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30">
        <v>4680115884533</v>
      </c>
      <c r="E117" s="630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68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32"/>
      <c r="R117" s="632"/>
      <c r="S117" s="632"/>
      <c r="T117" s="63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8"/>
      <c r="B119" s="638"/>
      <c r="C119" s="638"/>
      <c r="D119" s="638"/>
      <c r="E119" s="638"/>
      <c r="F119" s="638"/>
      <c r="G119" s="638"/>
      <c r="H119" s="638"/>
      <c r="I119" s="638"/>
      <c r="J119" s="638"/>
      <c r="K119" s="638"/>
      <c r="L119" s="638"/>
      <c r="M119" s="638"/>
      <c r="N119" s="638"/>
      <c r="O119" s="639"/>
      <c r="P119" s="635" t="s">
        <v>40</v>
      </c>
      <c r="Q119" s="636"/>
      <c r="R119" s="636"/>
      <c r="S119" s="636"/>
      <c r="T119" s="636"/>
      <c r="U119" s="636"/>
      <c r="V119" s="637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9" t="s">
        <v>170</v>
      </c>
      <c r="B120" s="629"/>
      <c r="C120" s="629"/>
      <c r="D120" s="629"/>
      <c r="E120" s="629"/>
      <c r="F120" s="629"/>
      <c r="G120" s="629"/>
      <c r="H120" s="629"/>
      <c r="I120" s="629"/>
      <c r="J120" s="629"/>
      <c r="K120" s="629"/>
      <c r="L120" s="629"/>
      <c r="M120" s="629"/>
      <c r="N120" s="629"/>
      <c r="O120" s="629"/>
      <c r="P120" s="629"/>
      <c r="Q120" s="629"/>
      <c r="R120" s="629"/>
      <c r="S120" s="629"/>
      <c r="T120" s="629"/>
      <c r="U120" s="629"/>
      <c r="V120" s="629"/>
      <c r="W120" s="629"/>
      <c r="X120" s="629"/>
      <c r="Y120" s="629"/>
      <c r="Z120" s="629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30">
        <v>4680115880238</v>
      </c>
      <c r="E121" s="630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68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32"/>
      <c r="R121" s="632"/>
      <c r="S121" s="632"/>
      <c r="T121" s="633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8"/>
      <c r="B122" s="638"/>
      <c r="C122" s="638"/>
      <c r="D122" s="638"/>
      <c r="E122" s="638"/>
      <c r="F122" s="638"/>
      <c r="G122" s="638"/>
      <c r="H122" s="638"/>
      <c r="I122" s="638"/>
      <c r="J122" s="638"/>
      <c r="K122" s="638"/>
      <c r="L122" s="638"/>
      <c r="M122" s="638"/>
      <c r="N122" s="638"/>
      <c r="O122" s="639"/>
      <c r="P122" s="635" t="s">
        <v>40</v>
      </c>
      <c r="Q122" s="636"/>
      <c r="R122" s="636"/>
      <c r="S122" s="636"/>
      <c r="T122" s="636"/>
      <c r="U122" s="636"/>
      <c r="V122" s="637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8"/>
      <c r="B123" s="638"/>
      <c r="C123" s="638"/>
      <c r="D123" s="638"/>
      <c r="E123" s="638"/>
      <c r="F123" s="638"/>
      <c r="G123" s="638"/>
      <c r="H123" s="638"/>
      <c r="I123" s="638"/>
      <c r="J123" s="638"/>
      <c r="K123" s="638"/>
      <c r="L123" s="638"/>
      <c r="M123" s="638"/>
      <c r="N123" s="638"/>
      <c r="O123" s="639"/>
      <c r="P123" s="635" t="s">
        <v>40</v>
      </c>
      <c r="Q123" s="636"/>
      <c r="R123" s="636"/>
      <c r="S123" s="636"/>
      <c r="T123" s="636"/>
      <c r="U123" s="636"/>
      <c r="V123" s="637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8" t="s">
        <v>238</v>
      </c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8"/>
      <c r="P124" s="628"/>
      <c r="Q124" s="628"/>
      <c r="R124" s="628"/>
      <c r="S124" s="628"/>
      <c r="T124" s="628"/>
      <c r="U124" s="628"/>
      <c r="V124" s="628"/>
      <c r="W124" s="628"/>
      <c r="X124" s="628"/>
      <c r="Y124" s="628"/>
      <c r="Z124" s="628"/>
      <c r="AA124" s="65"/>
      <c r="AB124" s="65"/>
      <c r="AC124" s="79"/>
    </row>
    <row r="125" spans="1:68" ht="14.25" customHeight="1" x14ac:dyDescent="0.25">
      <c r="A125" s="629" t="s">
        <v>110</v>
      </c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29"/>
      <c r="P125" s="629"/>
      <c r="Q125" s="629"/>
      <c r="R125" s="629"/>
      <c r="S125" s="629"/>
      <c r="T125" s="629"/>
      <c r="U125" s="629"/>
      <c r="V125" s="629"/>
      <c r="W125" s="629"/>
      <c r="X125" s="629"/>
      <c r="Y125" s="629"/>
      <c r="Z125" s="629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4301011564</v>
      </c>
      <c r="D126" s="630">
        <v>4680115882577</v>
      </c>
      <c r="E126" s="630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6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32"/>
      <c r="R126" s="632"/>
      <c r="S126" s="632"/>
      <c r="T126" s="633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4301011562</v>
      </c>
      <c r="D127" s="630">
        <v>4680115882577</v>
      </c>
      <c r="E127" s="630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107</v>
      </c>
      <c r="N127" s="38"/>
      <c r="O127" s="37">
        <v>90</v>
      </c>
      <c r="P127" s="68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2"/>
      <c r="R127" s="632"/>
      <c r="S127" s="632"/>
      <c r="T127" s="633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9" t="s">
        <v>78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4301031234</v>
      </c>
      <c r="D131" s="630">
        <v>4680115883444</v>
      </c>
      <c r="E131" s="630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32"/>
      <c r="R131" s="632"/>
      <c r="S131" s="632"/>
      <c r="T131" s="633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4301031235</v>
      </c>
      <c r="D132" s="630">
        <v>4680115883444</v>
      </c>
      <c r="E132" s="630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2"/>
      <c r="R132" s="632"/>
      <c r="S132" s="632"/>
      <c r="T132" s="633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8"/>
      <c r="B133" s="638"/>
      <c r="C133" s="638"/>
      <c r="D133" s="638"/>
      <c r="E133" s="638"/>
      <c r="F133" s="638"/>
      <c r="G133" s="638"/>
      <c r="H133" s="638"/>
      <c r="I133" s="638"/>
      <c r="J133" s="638"/>
      <c r="K133" s="638"/>
      <c r="L133" s="638"/>
      <c r="M133" s="638"/>
      <c r="N133" s="638"/>
      <c r="O133" s="639"/>
      <c r="P133" s="635" t="s">
        <v>40</v>
      </c>
      <c r="Q133" s="636"/>
      <c r="R133" s="636"/>
      <c r="S133" s="636"/>
      <c r="T133" s="636"/>
      <c r="U133" s="636"/>
      <c r="V133" s="637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9" t="s">
        <v>88</v>
      </c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29"/>
      <c r="P135" s="629"/>
      <c r="Q135" s="629"/>
      <c r="R135" s="629"/>
      <c r="S135" s="629"/>
      <c r="T135" s="629"/>
      <c r="U135" s="629"/>
      <c r="V135" s="629"/>
      <c r="W135" s="629"/>
      <c r="X135" s="629"/>
      <c r="Y135" s="629"/>
      <c r="Z135" s="629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30">
        <v>4680115882584</v>
      </c>
      <c r="E136" s="630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32"/>
      <c r="R136" s="632"/>
      <c r="S136" s="632"/>
      <c r="T136" s="633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30">
        <v>4680115882584</v>
      </c>
      <c r="E137" s="630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32"/>
      <c r="R137" s="632"/>
      <c r="S137" s="632"/>
      <c r="T137" s="633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8"/>
      <c r="B138" s="638"/>
      <c r="C138" s="638"/>
      <c r="D138" s="638"/>
      <c r="E138" s="638"/>
      <c r="F138" s="638"/>
      <c r="G138" s="638"/>
      <c r="H138" s="638"/>
      <c r="I138" s="638"/>
      <c r="J138" s="638"/>
      <c r="K138" s="638"/>
      <c r="L138" s="638"/>
      <c r="M138" s="638"/>
      <c r="N138" s="638"/>
      <c r="O138" s="639"/>
      <c r="P138" s="635" t="s">
        <v>40</v>
      </c>
      <c r="Q138" s="636"/>
      <c r="R138" s="636"/>
      <c r="S138" s="636"/>
      <c r="T138" s="636"/>
      <c r="U138" s="636"/>
      <c r="V138" s="63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8" t="s">
        <v>108</v>
      </c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8"/>
      <c r="P140" s="628"/>
      <c r="Q140" s="628"/>
      <c r="R140" s="628"/>
      <c r="S140" s="628"/>
      <c r="T140" s="628"/>
      <c r="U140" s="628"/>
      <c r="V140" s="628"/>
      <c r="W140" s="628"/>
      <c r="X140" s="628"/>
      <c r="Y140" s="628"/>
      <c r="Z140" s="628"/>
      <c r="AA140" s="65"/>
      <c r="AB140" s="65"/>
      <c r="AC140" s="79"/>
    </row>
    <row r="141" spans="1:68" ht="14.25" customHeight="1" x14ac:dyDescent="0.25">
      <c r="A141" s="629" t="s">
        <v>110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30">
        <v>4680115887374</v>
      </c>
      <c r="E142" s="630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69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32"/>
      <c r="R142" s="632"/>
      <c r="S142" s="632"/>
      <c r="T142" s="633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30">
        <v>4607091384604</v>
      </c>
      <c r="E143" s="630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32"/>
      <c r="R143" s="632"/>
      <c r="S143" s="632"/>
      <c r="T143" s="633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9" t="s">
        <v>78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4301030895</v>
      </c>
      <c r="D147" s="630">
        <v>4607091387667</v>
      </c>
      <c r="E147" s="630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69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32"/>
      <c r="R147" s="632"/>
      <c r="S147" s="632"/>
      <c r="T147" s="633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630">
        <v>4680115887428</v>
      </c>
      <c r="E148" s="630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6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632"/>
      <c r="R148" s="632"/>
      <c r="S148" s="632"/>
      <c r="T148" s="633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262</v>
      </c>
      <c r="B149" s="63" t="s">
        <v>263</v>
      </c>
      <c r="C149" s="36">
        <v>4301030961</v>
      </c>
      <c r="D149" s="630">
        <v>4607091387636</v>
      </c>
      <c r="E149" s="630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69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632"/>
      <c r="R149" s="632"/>
      <c r="S149" s="632"/>
      <c r="T149" s="633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4301031453</v>
      </c>
      <c r="D150" s="630">
        <v>4680115887336</v>
      </c>
      <c r="E150" s="63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69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32"/>
      <c r="R150" s="632"/>
      <c r="S150" s="632"/>
      <c r="T150" s="633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4301030963</v>
      </c>
      <c r="D151" s="630">
        <v>4607091382426</v>
      </c>
      <c r="E151" s="63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0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32"/>
      <c r="R151" s="632"/>
      <c r="S151" s="632"/>
      <c r="T151" s="633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4301031456</v>
      </c>
      <c r="D152" s="630">
        <v>4680115887398</v>
      </c>
      <c r="E152" s="63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0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32"/>
      <c r="R152" s="632"/>
      <c r="S152" s="632"/>
      <c r="T152" s="633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38"/>
      <c r="B154" s="638"/>
      <c r="C154" s="638"/>
      <c r="D154" s="638"/>
      <c r="E154" s="638"/>
      <c r="F154" s="638"/>
      <c r="G154" s="638"/>
      <c r="H154" s="638"/>
      <c r="I154" s="638"/>
      <c r="J154" s="638"/>
      <c r="K154" s="638"/>
      <c r="L154" s="638"/>
      <c r="M154" s="638"/>
      <c r="N154" s="638"/>
      <c r="O154" s="639"/>
      <c r="P154" s="635" t="s">
        <v>40</v>
      </c>
      <c r="Q154" s="636"/>
      <c r="R154" s="636"/>
      <c r="S154" s="636"/>
      <c r="T154" s="636"/>
      <c r="U154" s="636"/>
      <c r="V154" s="637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629" t="s">
        <v>88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6"/>
      <c r="AB155" s="66"/>
      <c r="AC155" s="80"/>
    </row>
    <row r="156" spans="1:68" ht="27" customHeight="1" x14ac:dyDescent="0.25">
      <c r="A156" s="63" t="s">
        <v>274</v>
      </c>
      <c r="B156" s="63" t="s">
        <v>275</v>
      </c>
      <c r="C156" s="36">
        <v>4301052064</v>
      </c>
      <c r="D156" s="630">
        <v>4680115887459</v>
      </c>
      <c r="E156" s="630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632"/>
      <c r="R156" s="632"/>
      <c r="S156" s="632"/>
      <c r="T156" s="633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638"/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9"/>
      <c r="P157" s="635" t="s">
        <v>40</v>
      </c>
      <c r="Q157" s="636"/>
      <c r="R157" s="636"/>
      <c r="S157" s="636"/>
      <c r="T157" s="636"/>
      <c r="U157" s="636"/>
      <c r="V157" s="637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627" t="s">
        <v>277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54"/>
      <c r="AB159" s="54"/>
      <c r="AC159" s="54"/>
    </row>
    <row r="160" spans="1:68" ht="16.5" customHeight="1" x14ac:dyDescent="0.25">
      <c r="A160" s="628" t="s">
        <v>278</v>
      </c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8"/>
      <c r="P160" s="628"/>
      <c r="Q160" s="628"/>
      <c r="R160" s="628"/>
      <c r="S160" s="628"/>
      <c r="T160" s="628"/>
      <c r="U160" s="628"/>
      <c r="V160" s="628"/>
      <c r="W160" s="628"/>
      <c r="X160" s="628"/>
      <c r="Y160" s="628"/>
      <c r="Z160" s="628"/>
      <c r="AA160" s="65"/>
      <c r="AB160" s="65"/>
      <c r="AC160" s="79"/>
    </row>
    <row r="161" spans="1:68" ht="14.25" customHeight="1" x14ac:dyDescent="0.25">
      <c r="A161" s="629" t="s">
        <v>145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6"/>
      <c r="AB161" s="66"/>
      <c r="AC161" s="80"/>
    </row>
    <row r="162" spans="1:68" ht="27" customHeight="1" x14ac:dyDescent="0.25">
      <c r="A162" s="63" t="s">
        <v>279</v>
      </c>
      <c r="B162" s="63" t="s">
        <v>280</v>
      </c>
      <c r="C162" s="36">
        <v>4301020323</v>
      </c>
      <c r="D162" s="630">
        <v>4680115886223</v>
      </c>
      <c r="E162" s="630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632"/>
      <c r="R162" s="632"/>
      <c r="S162" s="632"/>
      <c r="T162" s="633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29" t="s">
        <v>78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6"/>
      <c r="AB165" s="66"/>
      <c r="AC165" s="80"/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630">
        <v>4680115880993</v>
      </c>
      <c r="E166" s="630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210</v>
      </c>
      <c r="M166" s="38" t="s">
        <v>82</v>
      </c>
      <c r="N166" s="38"/>
      <c r="O166" s="37">
        <v>40</v>
      </c>
      <c r="P166" s="7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32"/>
      <c r="R166" s="632"/>
      <c r="S166" s="632"/>
      <c r="T166" s="633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630">
        <v>4680115881761</v>
      </c>
      <c r="E167" s="63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32"/>
      <c r="R167" s="632"/>
      <c r="S167" s="632"/>
      <c r="T167" s="63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630">
        <v>4680115881563</v>
      </c>
      <c r="E168" s="630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210</v>
      </c>
      <c r="M168" s="38" t="s">
        <v>82</v>
      </c>
      <c r="N168" s="38"/>
      <c r="O168" s="37">
        <v>40</v>
      </c>
      <c r="P168" s="7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32"/>
      <c r="R168" s="632"/>
      <c r="S168" s="632"/>
      <c r="T168" s="63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291</v>
      </c>
      <c r="B169" s="63" t="s">
        <v>292</v>
      </c>
      <c r="C169" s="36">
        <v>4301031447</v>
      </c>
      <c r="D169" s="630">
        <v>4680115887565</v>
      </c>
      <c r="E169" s="630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632"/>
      <c r="R169" s="632"/>
      <c r="S169" s="632"/>
      <c r="T169" s="63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4301031199</v>
      </c>
      <c r="D170" s="630">
        <v>4680115880986</v>
      </c>
      <c r="E170" s="630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632"/>
      <c r="R170" s="632"/>
      <c r="S170" s="632"/>
      <c r="T170" s="63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4301031443</v>
      </c>
      <c r="D171" s="630">
        <v>4680115887213</v>
      </c>
      <c r="E171" s="630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632"/>
      <c r="R171" s="632"/>
      <c r="S171" s="632"/>
      <c r="T171" s="63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4301031205</v>
      </c>
      <c r="D172" s="630">
        <v>4680115881785</v>
      </c>
      <c r="E172" s="630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632"/>
      <c r="R172" s="632"/>
      <c r="S172" s="632"/>
      <c r="T172" s="63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4301031463</v>
      </c>
      <c r="D173" s="630">
        <v>4680115887824</v>
      </c>
      <c r="E173" s="630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1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632"/>
      <c r="R173" s="632"/>
      <c r="S173" s="632"/>
      <c r="T173" s="63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4301031464</v>
      </c>
      <c r="D174" s="630">
        <v>4680115887701</v>
      </c>
      <c r="E174" s="630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12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632"/>
      <c r="R174" s="632"/>
      <c r="S174" s="632"/>
      <c r="T174" s="63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4301031399</v>
      </c>
      <c r="D175" s="630">
        <v>4680115886537</v>
      </c>
      <c r="E175" s="630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1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632"/>
      <c r="R175" s="632"/>
      <c r="S175" s="632"/>
      <c r="T175" s="63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4301031279</v>
      </c>
      <c r="D176" s="630">
        <v>4680115887596</v>
      </c>
      <c r="E176" s="630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184</v>
      </c>
      <c r="L176" s="37" t="s">
        <v>45</v>
      </c>
      <c r="M176" s="38" t="s">
        <v>82</v>
      </c>
      <c r="N176" s="38"/>
      <c r="O176" s="37">
        <v>45</v>
      </c>
      <c r="P176" s="71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632"/>
      <c r="R176" s="632"/>
      <c r="S176" s="632"/>
      <c r="T176" s="63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314</v>
      </c>
      <c r="B177" s="63" t="s">
        <v>315</v>
      </c>
      <c r="C177" s="36">
        <v>4301031202</v>
      </c>
      <c r="D177" s="630">
        <v>4680115881679</v>
      </c>
      <c r="E177" s="630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1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32"/>
      <c r="R177" s="632"/>
      <c r="S177" s="632"/>
      <c r="T177" s="63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4301031158</v>
      </c>
      <c r="D178" s="630">
        <v>4680115880191</v>
      </c>
      <c r="E178" s="630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1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32"/>
      <c r="R178" s="632"/>
      <c r="S178" s="632"/>
      <c r="T178" s="63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4301031245</v>
      </c>
      <c r="D179" s="630">
        <v>4680115883963</v>
      </c>
      <c r="E179" s="630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1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32"/>
      <c r="R179" s="632"/>
      <c r="S179" s="632"/>
      <c r="T179" s="63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638"/>
      <c r="B180" s="638"/>
      <c r="C180" s="638"/>
      <c r="D180" s="638"/>
      <c r="E180" s="638"/>
      <c r="F180" s="638"/>
      <c r="G180" s="638"/>
      <c r="H180" s="638"/>
      <c r="I180" s="638"/>
      <c r="J180" s="638"/>
      <c r="K180" s="638"/>
      <c r="L180" s="638"/>
      <c r="M180" s="638"/>
      <c r="N180" s="638"/>
      <c r="O180" s="639"/>
      <c r="P180" s="635" t="s">
        <v>40</v>
      </c>
      <c r="Q180" s="636"/>
      <c r="R180" s="636"/>
      <c r="S180" s="636"/>
      <c r="T180" s="636"/>
      <c r="U180" s="636"/>
      <c r="V180" s="637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638"/>
      <c r="B181" s="638"/>
      <c r="C181" s="638"/>
      <c r="D181" s="638"/>
      <c r="E181" s="638"/>
      <c r="F181" s="638"/>
      <c r="G181" s="638"/>
      <c r="H181" s="638"/>
      <c r="I181" s="638"/>
      <c r="J181" s="638"/>
      <c r="K181" s="638"/>
      <c r="L181" s="638"/>
      <c r="M181" s="638"/>
      <c r="N181" s="638"/>
      <c r="O181" s="639"/>
      <c r="P181" s="635" t="s">
        <v>40</v>
      </c>
      <c r="Q181" s="636"/>
      <c r="R181" s="636"/>
      <c r="S181" s="636"/>
      <c r="T181" s="636"/>
      <c r="U181" s="636"/>
      <c r="V181" s="637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629" t="s">
        <v>102</v>
      </c>
      <c r="B182" s="629"/>
      <c r="C182" s="629"/>
      <c r="D182" s="629"/>
      <c r="E182" s="629"/>
      <c r="F182" s="629"/>
      <c r="G182" s="629"/>
      <c r="H182" s="629"/>
      <c r="I182" s="629"/>
      <c r="J182" s="629"/>
      <c r="K182" s="629"/>
      <c r="L182" s="629"/>
      <c r="M182" s="629"/>
      <c r="N182" s="629"/>
      <c r="O182" s="629"/>
      <c r="P182" s="629"/>
      <c r="Q182" s="629"/>
      <c r="R182" s="629"/>
      <c r="S182" s="629"/>
      <c r="T182" s="629"/>
      <c r="U182" s="629"/>
      <c r="V182" s="629"/>
      <c r="W182" s="629"/>
      <c r="X182" s="629"/>
      <c r="Y182" s="629"/>
      <c r="Z182" s="629"/>
      <c r="AA182" s="66"/>
      <c r="AB182" s="66"/>
      <c r="AC182" s="80"/>
    </row>
    <row r="183" spans="1:68" ht="27" customHeight="1" x14ac:dyDescent="0.25">
      <c r="A183" s="63" t="s">
        <v>321</v>
      </c>
      <c r="B183" s="63" t="s">
        <v>322</v>
      </c>
      <c r="C183" s="36">
        <v>4301032053</v>
      </c>
      <c r="D183" s="630">
        <v>4680115886780</v>
      </c>
      <c r="E183" s="630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632"/>
      <c r="R183" s="632"/>
      <c r="S183" s="632"/>
      <c r="T183" s="633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4301032051</v>
      </c>
      <c r="D184" s="630">
        <v>4680115886742</v>
      </c>
      <c r="E184" s="630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632"/>
      <c r="R184" s="632"/>
      <c r="S184" s="632"/>
      <c r="T184" s="633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4301032052</v>
      </c>
      <c r="D185" s="630">
        <v>4680115886766</v>
      </c>
      <c r="E185" s="63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632"/>
      <c r="R185" s="632"/>
      <c r="S185" s="632"/>
      <c r="T185" s="63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638"/>
      <c r="B186" s="638"/>
      <c r="C186" s="638"/>
      <c r="D186" s="638"/>
      <c r="E186" s="638"/>
      <c r="F186" s="638"/>
      <c r="G186" s="638"/>
      <c r="H186" s="638"/>
      <c r="I186" s="638"/>
      <c r="J186" s="638"/>
      <c r="K186" s="638"/>
      <c r="L186" s="638"/>
      <c r="M186" s="638"/>
      <c r="N186" s="638"/>
      <c r="O186" s="639"/>
      <c r="P186" s="635" t="s">
        <v>40</v>
      </c>
      <c r="Q186" s="636"/>
      <c r="R186" s="636"/>
      <c r="S186" s="636"/>
      <c r="T186" s="636"/>
      <c r="U186" s="636"/>
      <c r="V186" s="637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38"/>
      <c r="B187" s="638"/>
      <c r="C187" s="638"/>
      <c r="D187" s="638"/>
      <c r="E187" s="638"/>
      <c r="F187" s="638"/>
      <c r="G187" s="638"/>
      <c r="H187" s="638"/>
      <c r="I187" s="638"/>
      <c r="J187" s="638"/>
      <c r="K187" s="638"/>
      <c r="L187" s="638"/>
      <c r="M187" s="638"/>
      <c r="N187" s="638"/>
      <c r="O187" s="639"/>
      <c r="P187" s="635" t="s">
        <v>40</v>
      </c>
      <c r="Q187" s="636"/>
      <c r="R187" s="636"/>
      <c r="S187" s="636"/>
      <c r="T187" s="636"/>
      <c r="U187" s="636"/>
      <c r="V187" s="637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629" t="s">
        <v>330</v>
      </c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29"/>
      <c r="P188" s="629"/>
      <c r="Q188" s="629"/>
      <c r="R188" s="629"/>
      <c r="S188" s="629"/>
      <c r="T188" s="629"/>
      <c r="U188" s="629"/>
      <c r="V188" s="629"/>
      <c r="W188" s="629"/>
      <c r="X188" s="629"/>
      <c r="Y188" s="629"/>
      <c r="Z188" s="629"/>
      <c r="AA188" s="66"/>
      <c r="AB188" s="66"/>
      <c r="AC188" s="80"/>
    </row>
    <row r="189" spans="1:68" ht="27" customHeight="1" x14ac:dyDescent="0.25">
      <c r="A189" s="63" t="s">
        <v>331</v>
      </c>
      <c r="B189" s="63" t="s">
        <v>332</v>
      </c>
      <c r="C189" s="36">
        <v>4301170013</v>
      </c>
      <c r="D189" s="630">
        <v>4680115886797</v>
      </c>
      <c r="E189" s="630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632"/>
      <c r="R189" s="632"/>
      <c r="S189" s="632"/>
      <c r="T189" s="633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638"/>
      <c r="B191" s="638"/>
      <c r="C191" s="638"/>
      <c r="D191" s="638"/>
      <c r="E191" s="638"/>
      <c r="F191" s="638"/>
      <c r="G191" s="638"/>
      <c r="H191" s="638"/>
      <c r="I191" s="638"/>
      <c r="J191" s="638"/>
      <c r="K191" s="638"/>
      <c r="L191" s="638"/>
      <c r="M191" s="638"/>
      <c r="N191" s="638"/>
      <c r="O191" s="639"/>
      <c r="P191" s="635" t="s">
        <v>40</v>
      </c>
      <c r="Q191" s="636"/>
      <c r="R191" s="636"/>
      <c r="S191" s="636"/>
      <c r="T191" s="636"/>
      <c r="U191" s="636"/>
      <c r="V191" s="637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628" t="s">
        <v>333</v>
      </c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8"/>
      <c r="P192" s="628"/>
      <c r="Q192" s="628"/>
      <c r="R192" s="628"/>
      <c r="S192" s="628"/>
      <c r="T192" s="628"/>
      <c r="U192" s="628"/>
      <c r="V192" s="628"/>
      <c r="W192" s="628"/>
      <c r="X192" s="628"/>
      <c r="Y192" s="628"/>
      <c r="Z192" s="628"/>
      <c r="AA192" s="65"/>
      <c r="AB192" s="65"/>
      <c r="AC192" s="79"/>
    </row>
    <row r="193" spans="1:68" ht="14.25" customHeight="1" x14ac:dyDescent="0.25">
      <c r="A193" s="629" t="s">
        <v>110</v>
      </c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29"/>
      <c r="P193" s="629"/>
      <c r="Q193" s="629"/>
      <c r="R193" s="629"/>
      <c r="S193" s="629"/>
      <c r="T193" s="629"/>
      <c r="U193" s="629"/>
      <c r="V193" s="629"/>
      <c r="W193" s="629"/>
      <c r="X193" s="629"/>
      <c r="Y193" s="629"/>
      <c r="Z193" s="629"/>
      <c r="AA193" s="66"/>
      <c r="AB193" s="66"/>
      <c r="AC193" s="80"/>
    </row>
    <row r="194" spans="1:68" ht="27" customHeight="1" x14ac:dyDescent="0.25">
      <c r="A194" s="63" t="s">
        <v>334</v>
      </c>
      <c r="B194" s="63" t="s">
        <v>335</v>
      </c>
      <c r="C194" s="36">
        <v>4301011450</v>
      </c>
      <c r="D194" s="630">
        <v>4680115881402</v>
      </c>
      <c r="E194" s="630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32"/>
      <c r="R194" s="632"/>
      <c r="S194" s="632"/>
      <c r="T194" s="633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337</v>
      </c>
      <c r="B195" s="63" t="s">
        <v>338</v>
      </c>
      <c r="C195" s="36">
        <v>4301011768</v>
      </c>
      <c r="D195" s="630">
        <v>4680115881396</v>
      </c>
      <c r="E195" s="630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114</v>
      </c>
      <c r="N195" s="38"/>
      <c r="O195" s="37">
        <v>55</v>
      </c>
      <c r="P195" s="7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32"/>
      <c r="R195" s="632"/>
      <c r="S195" s="632"/>
      <c r="T195" s="633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638"/>
      <c r="B196" s="638"/>
      <c r="C196" s="638"/>
      <c r="D196" s="638"/>
      <c r="E196" s="638"/>
      <c r="F196" s="638"/>
      <c r="G196" s="638"/>
      <c r="H196" s="638"/>
      <c r="I196" s="638"/>
      <c r="J196" s="638"/>
      <c r="K196" s="638"/>
      <c r="L196" s="638"/>
      <c r="M196" s="638"/>
      <c r="N196" s="638"/>
      <c r="O196" s="639"/>
      <c r="P196" s="635" t="s">
        <v>40</v>
      </c>
      <c r="Q196" s="636"/>
      <c r="R196" s="636"/>
      <c r="S196" s="636"/>
      <c r="T196" s="636"/>
      <c r="U196" s="636"/>
      <c r="V196" s="637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638"/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9"/>
      <c r="P197" s="635" t="s">
        <v>40</v>
      </c>
      <c r="Q197" s="636"/>
      <c r="R197" s="636"/>
      <c r="S197" s="636"/>
      <c r="T197" s="636"/>
      <c r="U197" s="636"/>
      <c r="V197" s="637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629" t="s">
        <v>145</v>
      </c>
      <c r="B198" s="629"/>
      <c r="C198" s="629"/>
      <c r="D198" s="629"/>
      <c r="E198" s="629"/>
      <c r="F198" s="629"/>
      <c r="G198" s="629"/>
      <c r="H198" s="629"/>
      <c r="I198" s="629"/>
      <c r="J198" s="629"/>
      <c r="K198" s="629"/>
      <c r="L198" s="629"/>
      <c r="M198" s="629"/>
      <c r="N198" s="629"/>
      <c r="O198" s="629"/>
      <c r="P198" s="629"/>
      <c r="Q198" s="629"/>
      <c r="R198" s="629"/>
      <c r="S198" s="629"/>
      <c r="T198" s="629"/>
      <c r="U198" s="629"/>
      <c r="V198" s="629"/>
      <c r="W198" s="629"/>
      <c r="X198" s="629"/>
      <c r="Y198" s="629"/>
      <c r="Z198" s="629"/>
      <c r="AA198" s="66"/>
      <c r="AB198" s="66"/>
      <c r="AC198" s="80"/>
    </row>
    <row r="199" spans="1:68" ht="16.5" customHeight="1" x14ac:dyDescent="0.25">
      <c r="A199" s="63" t="s">
        <v>339</v>
      </c>
      <c r="B199" s="63" t="s">
        <v>340</v>
      </c>
      <c r="C199" s="36">
        <v>4301020261</v>
      </c>
      <c r="D199" s="630">
        <v>4680115882935</v>
      </c>
      <c r="E199" s="630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32"/>
      <c r="R199" s="632"/>
      <c r="S199" s="632"/>
      <c r="T199" s="633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342</v>
      </c>
      <c r="B200" s="63" t="s">
        <v>343</v>
      </c>
      <c r="C200" s="36">
        <v>4301020220</v>
      </c>
      <c r="D200" s="630">
        <v>4680115880764</v>
      </c>
      <c r="E200" s="630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45</v>
      </c>
      <c r="M200" s="38" t="s">
        <v>114</v>
      </c>
      <c r="N200" s="38"/>
      <c r="O200" s="37">
        <v>50</v>
      </c>
      <c r="P200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32"/>
      <c r="R200" s="632"/>
      <c r="S200" s="632"/>
      <c r="T200" s="633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38"/>
      <c r="B201" s="638"/>
      <c r="C201" s="638"/>
      <c r="D201" s="638"/>
      <c r="E201" s="638"/>
      <c r="F201" s="638"/>
      <c r="G201" s="638"/>
      <c r="H201" s="638"/>
      <c r="I201" s="638"/>
      <c r="J201" s="638"/>
      <c r="K201" s="638"/>
      <c r="L201" s="638"/>
      <c r="M201" s="638"/>
      <c r="N201" s="638"/>
      <c r="O201" s="639"/>
      <c r="P201" s="635" t="s">
        <v>40</v>
      </c>
      <c r="Q201" s="636"/>
      <c r="R201" s="636"/>
      <c r="S201" s="636"/>
      <c r="T201" s="636"/>
      <c r="U201" s="636"/>
      <c r="V201" s="637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638"/>
      <c r="B202" s="638"/>
      <c r="C202" s="638"/>
      <c r="D202" s="638"/>
      <c r="E202" s="638"/>
      <c r="F202" s="638"/>
      <c r="G202" s="638"/>
      <c r="H202" s="638"/>
      <c r="I202" s="638"/>
      <c r="J202" s="638"/>
      <c r="K202" s="638"/>
      <c r="L202" s="638"/>
      <c r="M202" s="638"/>
      <c r="N202" s="638"/>
      <c r="O202" s="639"/>
      <c r="P202" s="635" t="s">
        <v>40</v>
      </c>
      <c r="Q202" s="636"/>
      <c r="R202" s="636"/>
      <c r="S202" s="636"/>
      <c r="T202" s="636"/>
      <c r="U202" s="636"/>
      <c r="V202" s="637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629" t="s">
        <v>78</v>
      </c>
      <c r="B203" s="629"/>
      <c r="C203" s="629"/>
      <c r="D203" s="629"/>
      <c r="E203" s="629"/>
      <c r="F203" s="629"/>
      <c r="G203" s="629"/>
      <c r="H203" s="629"/>
      <c r="I203" s="629"/>
      <c r="J203" s="629"/>
      <c r="K203" s="629"/>
      <c r="L203" s="629"/>
      <c r="M203" s="629"/>
      <c r="N203" s="629"/>
      <c r="O203" s="629"/>
      <c r="P203" s="629"/>
      <c r="Q203" s="629"/>
      <c r="R203" s="629"/>
      <c r="S203" s="629"/>
      <c r="T203" s="629"/>
      <c r="U203" s="629"/>
      <c r="V203" s="629"/>
      <c r="W203" s="629"/>
      <c r="X203" s="629"/>
      <c r="Y203" s="629"/>
      <c r="Z203" s="629"/>
      <c r="AA203" s="66"/>
      <c r="AB203" s="66"/>
      <c r="AC203" s="80"/>
    </row>
    <row r="204" spans="1:68" ht="27" customHeight="1" x14ac:dyDescent="0.25">
      <c r="A204" s="63" t="s">
        <v>344</v>
      </c>
      <c r="B204" s="63" t="s">
        <v>345</v>
      </c>
      <c r="C204" s="36">
        <v>4301031224</v>
      </c>
      <c r="D204" s="630">
        <v>4680115882683</v>
      </c>
      <c r="E204" s="630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210</v>
      </c>
      <c r="M204" s="38" t="s">
        <v>82</v>
      </c>
      <c r="N204" s="38"/>
      <c r="O204" s="37">
        <v>40</v>
      </c>
      <c r="P204" s="72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32"/>
      <c r="R204" s="632"/>
      <c r="S204" s="632"/>
      <c r="T204" s="633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4301031230</v>
      </c>
      <c r="D205" s="630">
        <v>4680115882690</v>
      </c>
      <c r="E205" s="630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210</v>
      </c>
      <c r="M205" s="38" t="s">
        <v>82</v>
      </c>
      <c r="N205" s="38"/>
      <c r="O205" s="37">
        <v>40</v>
      </c>
      <c r="P205" s="72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32"/>
      <c r="R205" s="632"/>
      <c r="S205" s="632"/>
      <c r="T205" s="633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4301031220</v>
      </c>
      <c r="D206" s="630">
        <v>4680115882669</v>
      </c>
      <c r="E206" s="63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45</v>
      </c>
      <c r="M206" s="38" t="s">
        <v>82</v>
      </c>
      <c r="N206" s="38"/>
      <c r="O206" s="37">
        <v>40</v>
      </c>
      <c r="P20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32"/>
      <c r="R206" s="632"/>
      <c r="S206" s="632"/>
      <c r="T206" s="63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4301031221</v>
      </c>
      <c r="D207" s="630">
        <v>4680115882676</v>
      </c>
      <c r="E207" s="63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210</v>
      </c>
      <c r="M207" s="38" t="s">
        <v>82</v>
      </c>
      <c r="N207" s="38"/>
      <c r="O207" s="37">
        <v>40</v>
      </c>
      <c r="P207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32"/>
      <c r="R207" s="632"/>
      <c r="S207" s="632"/>
      <c r="T207" s="63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4301031223</v>
      </c>
      <c r="D208" s="630">
        <v>4680115884014</v>
      </c>
      <c r="E208" s="630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3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32"/>
      <c r="R208" s="632"/>
      <c r="S208" s="632"/>
      <c r="T208" s="63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45</v>
      </c>
      <c r="AK208" s="84">
        <v>0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4301031222</v>
      </c>
      <c r="D209" s="630">
        <v>4680115884007</v>
      </c>
      <c r="E209" s="630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3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32"/>
      <c r="R209" s="632"/>
      <c r="S209" s="632"/>
      <c r="T209" s="63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4301031229</v>
      </c>
      <c r="D210" s="630">
        <v>4680115884038</v>
      </c>
      <c r="E210" s="630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32"/>
      <c r="R210" s="632"/>
      <c r="S210" s="632"/>
      <c r="T210" s="63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4301031225</v>
      </c>
      <c r="D211" s="630">
        <v>4680115884021</v>
      </c>
      <c r="E211" s="63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45</v>
      </c>
      <c r="M211" s="38" t="s">
        <v>82</v>
      </c>
      <c r="N211" s="38"/>
      <c r="O211" s="37">
        <v>40</v>
      </c>
      <c r="P211" s="7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32"/>
      <c r="R211" s="632"/>
      <c r="S211" s="632"/>
      <c r="T211" s="63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45</v>
      </c>
      <c r="AK211" s="84">
        <v>0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638"/>
      <c r="B212" s="638"/>
      <c r="C212" s="638"/>
      <c r="D212" s="638"/>
      <c r="E212" s="638"/>
      <c r="F212" s="638"/>
      <c r="G212" s="638"/>
      <c r="H212" s="638"/>
      <c r="I212" s="638"/>
      <c r="J212" s="638"/>
      <c r="K212" s="638"/>
      <c r="L212" s="638"/>
      <c r="M212" s="638"/>
      <c r="N212" s="638"/>
      <c r="O212" s="639"/>
      <c r="P212" s="635" t="s">
        <v>40</v>
      </c>
      <c r="Q212" s="636"/>
      <c r="R212" s="636"/>
      <c r="S212" s="636"/>
      <c r="T212" s="636"/>
      <c r="U212" s="636"/>
      <c r="V212" s="637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638"/>
      <c r="B213" s="638"/>
      <c r="C213" s="638"/>
      <c r="D213" s="638"/>
      <c r="E213" s="638"/>
      <c r="F213" s="638"/>
      <c r="G213" s="638"/>
      <c r="H213" s="638"/>
      <c r="I213" s="638"/>
      <c r="J213" s="638"/>
      <c r="K213" s="638"/>
      <c r="L213" s="638"/>
      <c r="M213" s="638"/>
      <c r="N213" s="638"/>
      <c r="O213" s="639"/>
      <c r="P213" s="635" t="s">
        <v>40</v>
      </c>
      <c r="Q213" s="636"/>
      <c r="R213" s="636"/>
      <c r="S213" s="636"/>
      <c r="T213" s="636"/>
      <c r="U213" s="636"/>
      <c r="V213" s="637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629" t="s">
        <v>88</v>
      </c>
      <c r="B214" s="629"/>
      <c r="C214" s="629"/>
      <c r="D214" s="629"/>
      <c r="E214" s="629"/>
      <c r="F214" s="629"/>
      <c r="G214" s="629"/>
      <c r="H214" s="629"/>
      <c r="I214" s="629"/>
      <c r="J214" s="629"/>
      <c r="K214" s="629"/>
      <c r="L214" s="629"/>
      <c r="M214" s="629"/>
      <c r="N214" s="629"/>
      <c r="O214" s="629"/>
      <c r="P214" s="629"/>
      <c r="Q214" s="629"/>
      <c r="R214" s="629"/>
      <c r="S214" s="629"/>
      <c r="T214" s="629"/>
      <c r="U214" s="629"/>
      <c r="V214" s="629"/>
      <c r="W214" s="629"/>
      <c r="X214" s="629"/>
      <c r="Y214" s="629"/>
      <c r="Z214" s="629"/>
      <c r="AA214" s="66"/>
      <c r="AB214" s="66"/>
      <c r="AC214" s="80"/>
    </row>
    <row r="215" spans="1:68" ht="27" customHeight="1" x14ac:dyDescent="0.25">
      <c r="A215" s="63" t="s">
        <v>364</v>
      </c>
      <c r="B215" s="63" t="s">
        <v>365</v>
      </c>
      <c r="C215" s="36">
        <v>4301051408</v>
      </c>
      <c r="D215" s="630">
        <v>4680115881594</v>
      </c>
      <c r="E215" s="630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3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32"/>
      <c r="R215" s="632"/>
      <c r="S215" s="632"/>
      <c r="T215" s="633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4301051411</v>
      </c>
      <c r="D216" s="630">
        <v>4680115881617</v>
      </c>
      <c r="E216" s="630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45</v>
      </c>
      <c r="M216" s="38" t="s">
        <v>92</v>
      </c>
      <c r="N216" s="38"/>
      <c r="O216" s="37">
        <v>40</v>
      </c>
      <c r="P216" s="7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32"/>
      <c r="R216" s="632"/>
      <c r="S216" s="632"/>
      <c r="T216" s="633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4301051656</v>
      </c>
      <c r="D217" s="630">
        <v>4680115880573</v>
      </c>
      <c r="E217" s="630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45</v>
      </c>
      <c r="M217" s="38" t="s">
        <v>92</v>
      </c>
      <c r="N217" s="38"/>
      <c r="O217" s="37">
        <v>45</v>
      </c>
      <c r="P217" s="73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32"/>
      <c r="R217" s="632"/>
      <c r="S217" s="632"/>
      <c r="T217" s="63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373</v>
      </c>
      <c r="B218" s="63" t="s">
        <v>374</v>
      </c>
      <c r="C218" s="36">
        <v>4301051407</v>
      </c>
      <c r="D218" s="630">
        <v>4680115882195</v>
      </c>
      <c r="E218" s="630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231</v>
      </c>
      <c r="M218" s="38" t="s">
        <v>92</v>
      </c>
      <c r="N218" s="38"/>
      <c r="O218" s="37">
        <v>40</v>
      </c>
      <c r="P218" s="73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32"/>
      <c r="R218" s="632"/>
      <c r="S218" s="632"/>
      <c r="T218" s="63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4301051752</v>
      </c>
      <c r="D219" s="630">
        <v>4680115882607</v>
      </c>
      <c r="E219" s="630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32"/>
      <c r="R219" s="632"/>
      <c r="S219" s="632"/>
      <c r="T219" s="63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4301051666</v>
      </c>
      <c r="D220" s="630">
        <v>4680115880092</v>
      </c>
      <c r="E220" s="630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231</v>
      </c>
      <c r="M220" s="38" t="s">
        <v>92</v>
      </c>
      <c r="N220" s="38"/>
      <c r="O220" s="37">
        <v>45</v>
      </c>
      <c r="P220" s="73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32"/>
      <c r="R220" s="632"/>
      <c r="S220" s="632"/>
      <c r="T220" s="63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4301051668</v>
      </c>
      <c r="D221" s="630">
        <v>4680115880221</v>
      </c>
      <c r="E221" s="630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231</v>
      </c>
      <c r="M221" s="38" t="s">
        <v>92</v>
      </c>
      <c r="N221" s="38"/>
      <c r="O221" s="37">
        <v>45</v>
      </c>
      <c r="P221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32"/>
      <c r="R221" s="632"/>
      <c r="S221" s="632"/>
      <c r="T221" s="63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4301051945</v>
      </c>
      <c r="D222" s="630">
        <v>4680115880504</v>
      </c>
      <c r="E222" s="63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231</v>
      </c>
      <c r="M222" s="38" t="s">
        <v>98</v>
      </c>
      <c r="N222" s="38"/>
      <c r="O222" s="37">
        <v>40</v>
      </c>
      <c r="P222" s="7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32"/>
      <c r="R222" s="632"/>
      <c r="S222" s="632"/>
      <c r="T222" s="63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4301051410</v>
      </c>
      <c r="D223" s="630">
        <v>4680115882164</v>
      </c>
      <c r="E223" s="630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231</v>
      </c>
      <c r="M223" s="38" t="s">
        <v>92</v>
      </c>
      <c r="N223" s="38"/>
      <c r="O223" s="37">
        <v>40</v>
      </c>
      <c r="P223" s="7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32"/>
      <c r="R223" s="632"/>
      <c r="S223" s="632"/>
      <c r="T223" s="63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638"/>
      <c r="B224" s="638"/>
      <c r="C224" s="638"/>
      <c r="D224" s="638"/>
      <c r="E224" s="638"/>
      <c r="F224" s="638"/>
      <c r="G224" s="638"/>
      <c r="H224" s="638"/>
      <c r="I224" s="638"/>
      <c r="J224" s="638"/>
      <c r="K224" s="638"/>
      <c r="L224" s="638"/>
      <c r="M224" s="638"/>
      <c r="N224" s="638"/>
      <c r="O224" s="639"/>
      <c r="P224" s="635" t="s">
        <v>40</v>
      </c>
      <c r="Q224" s="636"/>
      <c r="R224" s="636"/>
      <c r="S224" s="636"/>
      <c r="T224" s="636"/>
      <c r="U224" s="636"/>
      <c r="V224" s="637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638"/>
      <c r="B225" s="638"/>
      <c r="C225" s="638"/>
      <c r="D225" s="638"/>
      <c r="E225" s="638"/>
      <c r="F225" s="638"/>
      <c r="G225" s="638"/>
      <c r="H225" s="638"/>
      <c r="I225" s="638"/>
      <c r="J225" s="638"/>
      <c r="K225" s="638"/>
      <c r="L225" s="638"/>
      <c r="M225" s="638"/>
      <c r="N225" s="638"/>
      <c r="O225" s="639"/>
      <c r="P225" s="635" t="s">
        <v>40</v>
      </c>
      <c r="Q225" s="636"/>
      <c r="R225" s="636"/>
      <c r="S225" s="636"/>
      <c r="T225" s="636"/>
      <c r="U225" s="636"/>
      <c r="V225" s="637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629" t="s">
        <v>170</v>
      </c>
      <c r="B226" s="629"/>
      <c r="C226" s="629"/>
      <c r="D226" s="629"/>
      <c r="E226" s="629"/>
      <c r="F226" s="629"/>
      <c r="G226" s="629"/>
      <c r="H226" s="629"/>
      <c r="I226" s="629"/>
      <c r="J226" s="629"/>
      <c r="K226" s="629"/>
      <c r="L226" s="629"/>
      <c r="M226" s="629"/>
      <c r="N226" s="629"/>
      <c r="O226" s="629"/>
      <c r="P226" s="629"/>
      <c r="Q226" s="629"/>
      <c r="R226" s="629"/>
      <c r="S226" s="629"/>
      <c r="T226" s="629"/>
      <c r="U226" s="629"/>
      <c r="V226" s="629"/>
      <c r="W226" s="629"/>
      <c r="X226" s="629"/>
      <c r="Y226" s="629"/>
      <c r="Z226" s="629"/>
      <c r="AA226" s="66"/>
      <c r="AB226" s="66"/>
      <c r="AC226" s="80"/>
    </row>
    <row r="227" spans="1:68" ht="27" customHeight="1" x14ac:dyDescent="0.25">
      <c r="A227" s="63" t="s">
        <v>387</v>
      </c>
      <c r="B227" s="63" t="s">
        <v>388</v>
      </c>
      <c r="C227" s="36">
        <v>4301060463</v>
      </c>
      <c r="D227" s="630">
        <v>4680115880818</v>
      </c>
      <c r="E227" s="630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98</v>
      </c>
      <c r="N227" s="38"/>
      <c r="O227" s="37">
        <v>40</v>
      </c>
      <c r="P227" s="74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32"/>
      <c r="R227" s="632"/>
      <c r="S227" s="632"/>
      <c r="T227" s="633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390</v>
      </c>
      <c r="B228" s="63" t="s">
        <v>391</v>
      </c>
      <c r="C228" s="36">
        <v>4301060389</v>
      </c>
      <c r="D228" s="630">
        <v>4680115880801</v>
      </c>
      <c r="E228" s="630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92</v>
      </c>
      <c r="N228" s="38"/>
      <c r="O228" s="37">
        <v>40</v>
      </c>
      <c r="P228" s="7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32"/>
      <c r="R228" s="632"/>
      <c r="S228" s="632"/>
      <c r="T228" s="633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638"/>
      <c r="B229" s="638"/>
      <c r="C229" s="638"/>
      <c r="D229" s="638"/>
      <c r="E229" s="638"/>
      <c r="F229" s="638"/>
      <c r="G229" s="638"/>
      <c r="H229" s="638"/>
      <c r="I229" s="638"/>
      <c r="J229" s="638"/>
      <c r="K229" s="638"/>
      <c r="L229" s="638"/>
      <c r="M229" s="638"/>
      <c r="N229" s="638"/>
      <c r="O229" s="639"/>
      <c r="P229" s="635" t="s">
        <v>40</v>
      </c>
      <c r="Q229" s="636"/>
      <c r="R229" s="636"/>
      <c r="S229" s="636"/>
      <c r="T229" s="636"/>
      <c r="U229" s="636"/>
      <c r="V229" s="637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638"/>
      <c r="B230" s="638"/>
      <c r="C230" s="638"/>
      <c r="D230" s="638"/>
      <c r="E230" s="638"/>
      <c r="F230" s="638"/>
      <c r="G230" s="638"/>
      <c r="H230" s="638"/>
      <c r="I230" s="638"/>
      <c r="J230" s="638"/>
      <c r="K230" s="638"/>
      <c r="L230" s="638"/>
      <c r="M230" s="638"/>
      <c r="N230" s="638"/>
      <c r="O230" s="639"/>
      <c r="P230" s="635" t="s">
        <v>40</v>
      </c>
      <c r="Q230" s="636"/>
      <c r="R230" s="636"/>
      <c r="S230" s="636"/>
      <c r="T230" s="636"/>
      <c r="U230" s="636"/>
      <c r="V230" s="637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628" t="s">
        <v>393</v>
      </c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8"/>
      <c r="P231" s="628"/>
      <c r="Q231" s="628"/>
      <c r="R231" s="628"/>
      <c r="S231" s="628"/>
      <c r="T231" s="628"/>
      <c r="U231" s="628"/>
      <c r="V231" s="628"/>
      <c r="W231" s="628"/>
      <c r="X231" s="628"/>
      <c r="Y231" s="628"/>
      <c r="Z231" s="628"/>
      <c r="AA231" s="65"/>
      <c r="AB231" s="65"/>
      <c r="AC231" s="79"/>
    </row>
    <row r="232" spans="1:68" ht="14.25" customHeight="1" x14ac:dyDescent="0.25">
      <c r="A232" s="629" t="s">
        <v>110</v>
      </c>
      <c r="B232" s="629"/>
      <c r="C232" s="629"/>
      <c r="D232" s="629"/>
      <c r="E232" s="629"/>
      <c r="F232" s="629"/>
      <c r="G232" s="629"/>
      <c r="H232" s="629"/>
      <c r="I232" s="629"/>
      <c r="J232" s="629"/>
      <c r="K232" s="629"/>
      <c r="L232" s="629"/>
      <c r="M232" s="629"/>
      <c r="N232" s="629"/>
      <c r="O232" s="629"/>
      <c r="P232" s="629"/>
      <c r="Q232" s="629"/>
      <c r="R232" s="629"/>
      <c r="S232" s="629"/>
      <c r="T232" s="629"/>
      <c r="U232" s="629"/>
      <c r="V232" s="629"/>
      <c r="W232" s="629"/>
      <c r="X232" s="629"/>
      <c r="Y232" s="629"/>
      <c r="Z232" s="629"/>
      <c r="AA232" s="66"/>
      <c r="AB232" s="66"/>
      <c r="AC232" s="80"/>
    </row>
    <row r="233" spans="1:68" ht="27" customHeight="1" x14ac:dyDescent="0.25">
      <c r="A233" s="63" t="s">
        <v>394</v>
      </c>
      <c r="B233" s="63" t="s">
        <v>395</v>
      </c>
      <c r="C233" s="36">
        <v>4301011826</v>
      </c>
      <c r="D233" s="630">
        <v>4680115884137</v>
      </c>
      <c r="E233" s="630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32"/>
      <c r="R233" s="632"/>
      <c r="S233" s="632"/>
      <c r="T233" s="633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4301011724</v>
      </c>
      <c r="D234" s="630">
        <v>4680115884236</v>
      </c>
      <c r="E234" s="630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632"/>
      <c r="R234" s="632"/>
      <c r="S234" s="632"/>
      <c r="T234" s="633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4301011721</v>
      </c>
      <c r="D235" s="630">
        <v>4680115884175</v>
      </c>
      <c r="E235" s="63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32"/>
      <c r="R235" s="632"/>
      <c r="S235" s="632"/>
      <c r="T235" s="63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404</v>
      </c>
      <c r="C236" s="36">
        <v>4301012196</v>
      </c>
      <c r="D236" s="630">
        <v>4680115884144</v>
      </c>
      <c r="E236" s="630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4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32"/>
      <c r="R236" s="632"/>
      <c r="S236" s="632"/>
      <c r="T236" s="63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405</v>
      </c>
      <c r="C237" s="36">
        <v>4301011824</v>
      </c>
      <c r="D237" s="630">
        <v>4680115884144</v>
      </c>
      <c r="E237" s="630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632"/>
      <c r="R237" s="632"/>
      <c r="S237" s="632"/>
      <c r="T237" s="63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4301012149</v>
      </c>
      <c r="D238" s="630">
        <v>4680115886551</v>
      </c>
      <c r="E238" s="63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632"/>
      <c r="R238" s="632"/>
      <c r="S238" s="632"/>
      <c r="T238" s="63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4301012228</v>
      </c>
      <c r="D239" s="630">
        <v>4680115887282</v>
      </c>
      <c r="E239" s="630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632"/>
      <c r="R239" s="632"/>
      <c r="S239" s="632"/>
      <c r="T239" s="63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4301012195</v>
      </c>
      <c r="D240" s="630">
        <v>4680115884205</v>
      </c>
      <c r="E240" s="630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75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32"/>
      <c r="R240" s="632"/>
      <c r="S240" s="632"/>
      <c r="T240" s="63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412</v>
      </c>
      <c r="B241" s="63" t="s">
        <v>414</v>
      </c>
      <c r="C241" s="36">
        <v>4301011722</v>
      </c>
      <c r="D241" s="630">
        <v>4680115884205</v>
      </c>
      <c r="E241" s="63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75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32"/>
      <c r="R241" s="632"/>
      <c r="S241" s="632"/>
      <c r="T241" s="63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38"/>
      <c r="B243" s="638"/>
      <c r="C243" s="638"/>
      <c r="D243" s="638"/>
      <c r="E243" s="638"/>
      <c r="F243" s="638"/>
      <c r="G243" s="638"/>
      <c r="H243" s="638"/>
      <c r="I243" s="638"/>
      <c r="J243" s="638"/>
      <c r="K243" s="638"/>
      <c r="L243" s="638"/>
      <c r="M243" s="638"/>
      <c r="N243" s="638"/>
      <c r="O243" s="639"/>
      <c r="P243" s="635" t="s">
        <v>40</v>
      </c>
      <c r="Q243" s="636"/>
      <c r="R243" s="636"/>
      <c r="S243" s="636"/>
      <c r="T243" s="636"/>
      <c r="U243" s="636"/>
      <c r="V243" s="637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629" t="s">
        <v>145</v>
      </c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29"/>
      <c r="P244" s="629"/>
      <c r="Q244" s="629"/>
      <c r="R244" s="629"/>
      <c r="S244" s="629"/>
      <c r="T244" s="629"/>
      <c r="U244" s="629"/>
      <c r="V244" s="629"/>
      <c r="W244" s="629"/>
      <c r="X244" s="629"/>
      <c r="Y244" s="629"/>
      <c r="Z244" s="629"/>
      <c r="AA244" s="66"/>
      <c r="AB244" s="66"/>
      <c r="AC244" s="80"/>
    </row>
    <row r="245" spans="1:68" ht="27" customHeight="1" x14ac:dyDescent="0.25">
      <c r="A245" s="63" t="s">
        <v>415</v>
      </c>
      <c r="B245" s="63" t="s">
        <v>416</v>
      </c>
      <c r="C245" s="36">
        <v>4301020377</v>
      </c>
      <c r="D245" s="630">
        <v>4680115885981</v>
      </c>
      <c r="E245" s="63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7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32"/>
      <c r="R245" s="632"/>
      <c r="S245" s="632"/>
      <c r="T245" s="63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638"/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9"/>
      <c r="P247" s="635" t="s">
        <v>40</v>
      </c>
      <c r="Q247" s="636"/>
      <c r="R247" s="636"/>
      <c r="S247" s="636"/>
      <c r="T247" s="636"/>
      <c r="U247" s="636"/>
      <c r="V247" s="637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29" t="s">
        <v>418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6"/>
      <c r="AB248" s="66"/>
      <c r="AC248" s="80"/>
    </row>
    <row r="249" spans="1:68" ht="27" customHeight="1" x14ac:dyDescent="0.25">
      <c r="A249" s="63" t="s">
        <v>419</v>
      </c>
      <c r="B249" s="63" t="s">
        <v>420</v>
      </c>
      <c r="C249" s="36">
        <v>4301040362</v>
      </c>
      <c r="D249" s="630">
        <v>4680115886803</v>
      </c>
      <c r="E249" s="63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7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32"/>
      <c r="R249" s="632"/>
      <c r="S249" s="632"/>
      <c r="T249" s="63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8"/>
      <c r="B250" s="638"/>
      <c r="C250" s="638"/>
      <c r="D250" s="638"/>
      <c r="E250" s="638"/>
      <c r="F250" s="638"/>
      <c r="G250" s="638"/>
      <c r="H250" s="638"/>
      <c r="I250" s="638"/>
      <c r="J250" s="638"/>
      <c r="K250" s="638"/>
      <c r="L250" s="638"/>
      <c r="M250" s="638"/>
      <c r="N250" s="638"/>
      <c r="O250" s="639"/>
      <c r="P250" s="635" t="s">
        <v>40</v>
      </c>
      <c r="Q250" s="636"/>
      <c r="R250" s="636"/>
      <c r="S250" s="636"/>
      <c r="T250" s="636"/>
      <c r="U250" s="636"/>
      <c r="V250" s="637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29" t="s">
        <v>422</v>
      </c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29"/>
      <c r="P252" s="629"/>
      <c r="Q252" s="629"/>
      <c r="R252" s="629"/>
      <c r="S252" s="629"/>
      <c r="T252" s="629"/>
      <c r="U252" s="629"/>
      <c r="V252" s="629"/>
      <c r="W252" s="629"/>
      <c r="X252" s="629"/>
      <c r="Y252" s="629"/>
      <c r="Z252" s="629"/>
      <c r="AA252" s="66"/>
      <c r="AB252" s="66"/>
      <c r="AC252" s="80"/>
    </row>
    <row r="253" spans="1:68" ht="27" customHeight="1" x14ac:dyDescent="0.25">
      <c r="A253" s="63" t="s">
        <v>423</v>
      </c>
      <c r="B253" s="63" t="s">
        <v>424</v>
      </c>
      <c r="C253" s="36">
        <v>4301041004</v>
      </c>
      <c r="D253" s="630">
        <v>4680115886704</v>
      </c>
      <c r="E253" s="63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7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32"/>
      <c r="R253" s="632"/>
      <c r="S253" s="632"/>
      <c r="T253" s="63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4301041008</v>
      </c>
      <c r="D254" s="630">
        <v>4680115886681</v>
      </c>
      <c r="E254" s="63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7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32"/>
      <c r="R254" s="632"/>
      <c r="S254" s="632"/>
      <c r="T254" s="63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4301041007</v>
      </c>
      <c r="D255" s="630">
        <v>4680115886735</v>
      </c>
      <c r="E255" s="63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7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32"/>
      <c r="R255" s="632"/>
      <c r="S255" s="632"/>
      <c r="T255" s="63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4301041006</v>
      </c>
      <c r="D256" s="630">
        <v>4680115886728</v>
      </c>
      <c r="E256" s="63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7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32"/>
      <c r="R256" s="632"/>
      <c r="S256" s="632"/>
      <c r="T256" s="63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4301041005</v>
      </c>
      <c r="D257" s="630">
        <v>4680115886711</v>
      </c>
      <c r="E257" s="63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7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32"/>
      <c r="R257" s="632"/>
      <c r="S257" s="632"/>
      <c r="T257" s="63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38"/>
      <c r="B258" s="638"/>
      <c r="C258" s="638"/>
      <c r="D258" s="638"/>
      <c r="E258" s="638"/>
      <c r="F258" s="638"/>
      <c r="G258" s="638"/>
      <c r="H258" s="638"/>
      <c r="I258" s="638"/>
      <c r="J258" s="638"/>
      <c r="K258" s="638"/>
      <c r="L258" s="638"/>
      <c r="M258" s="638"/>
      <c r="N258" s="638"/>
      <c r="O258" s="639"/>
      <c r="P258" s="635" t="s">
        <v>40</v>
      </c>
      <c r="Q258" s="636"/>
      <c r="R258" s="636"/>
      <c r="S258" s="636"/>
      <c r="T258" s="636"/>
      <c r="U258" s="636"/>
      <c r="V258" s="637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38"/>
      <c r="B259" s="638"/>
      <c r="C259" s="638"/>
      <c r="D259" s="638"/>
      <c r="E259" s="638"/>
      <c r="F259" s="638"/>
      <c r="G259" s="638"/>
      <c r="H259" s="638"/>
      <c r="I259" s="638"/>
      <c r="J259" s="638"/>
      <c r="K259" s="638"/>
      <c r="L259" s="638"/>
      <c r="M259" s="638"/>
      <c r="N259" s="638"/>
      <c r="O259" s="639"/>
      <c r="P259" s="635" t="s">
        <v>40</v>
      </c>
      <c r="Q259" s="636"/>
      <c r="R259" s="636"/>
      <c r="S259" s="636"/>
      <c r="T259" s="636"/>
      <c r="U259" s="636"/>
      <c r="V259" s="637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8" t="s">
        <v>434</v>
      </c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8"/>
      <c r="P260" s="628"/>
      <c r="Q260" s="628"/>
      <c r="R260" s="628"/>
      <c r="S260" s="628"/>
      <c r="T260" s="628"/>
      <c r="U260" s="628"/>
      <c r="V260" s="628"/>
      <c r="W260" s="628"/>
      <c r="X260" s="628"/>
      <c r="Y260" s="628"/>
      <c r="Z260" s="628"/>
      <c r="AA260" s="65"/>
      <c r="AB260" s="65"/>
      <c r="AC260" s="79"/>
    </row>
    <row r="261" spans="1:68" ht="14.25" customHeight="1" x14ac:dyDescent="0.25">
      <c r="A261" s="629" t="s">
        <v>110</v>
      </c>
      <c r="B261" s="629"/>
      <c r="C261" s="629"/>
      <c r="D261" s="629"/>
      <c r="E261" s="629"/>
      <c r="F261" s="629"/>
      <c r="G261" s="629"/>
      <c r="H261" s="629"/>
      <c r="I261" s="629"/>
      <c r="J261" s="629"/>
      <c r="K261" s="629"/>
      <c r="L261" s="629"/>
      <c r="M261" s="629"/>
      <c r="N261" s="629"/>
      <c r="O261" s="629"/>
      <c r="P261" s="629"/>
      <c r="Q261" s="629"/>
      <c r="R261" s="629"/>
      <c r="S261" s="629"/>
      <c r="T261" s="629"/>
      <c r="U261" s="629"/>
      <c r="V261" s="629"/>
      <c r="W261" s="629"/>
      <c r="X261" s="629"/>
      <c r="Y261" s="629"/>
      <c r="Z261" s="629"/>
      <c r="AA261" s="66"/>
      <c r="AB261" s="66"/>
      <c r="AC261" s="80"/>
    </row>
    <row r="262" spans="1:68" ht="27" customHeight="1" x14ac:dyDescent="0.25">
      <c r="A262" s="63" t="s">
        <v>435</v>
      </c>
      <c r="B262" s="63" t="s">
        <v>436</v>
      </c>
      <c r="C262" s="36">
        <v>4301011855</v>
      </c>
      <c r="D262" s="630">
        <v>4680115885837</v>
      </c>
      <c r="E262" s="63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32"/>
      <c r="R262" s="632"/>
      <c r="S262" s="632"/>
      <c r="T262" s="63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438</v>
      </c>
      <c r="B263" s="63" t="s">
        <v>439</v>
      </c>
      <c r="C263" s="36">
        <v>4301011853</v>
      </c>
      <c r="D263" s="630">
        <v>4680115885851</v>
      </c>
      <c r="E263" s="63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32"/>
      <c r="R263" s="632"/>
      <c r="S263" s="632"/>
      <c r="T263" s="63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4301011850</v>
      </c>
      <c r="D264" s="630">
        <v>4680115885806</v>
      </c>
      <c r="E264" s="63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32"/>
      <c r="R264" s="632"/>
      <c r="S264" s="632"/>
      <c r="T264" s="63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444</v>
      </c>
      <c r="B265" s="63" t="s">
        <v>445</v>
      </c>
      <c r="C265" s="36">
        <v>4301011852</v>
      </c>
      <c r="D265" s="630">
        <v>4680115885844</v>
      </c>
      <c r="E265" s="63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32"/>
      <c r="R265" s="632"/>
      <c r="S265" s="632"/>
      <c r="T265" s="63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447</v>
      </c>
      <c r="B266" s="63" t="s">
        <v>448</v>
      </c>
      <c r="C266" s="36">
        <v>4301011851</v>
      </c>
      <c r="D266" s="630">
        <v>4680115885820</v>
      </c>
      <c r="E266" s="63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32"/>
      <c r="R266" s="632"/>
      <c r="S266" s="632"/>
      <c r="T266" s="63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8" t="s">
        <v>450</v>
      </c>
      <c r="B269" s="628"/>
      <c r="C269" s="628"/>
      <c r="D269" s="628"/>
      <c r="E269" s="628"/>
      <c r="F269" s="628"/>
      <c r="G269" s="628"/>
      <c r="H269" s="628"/>
      <c r="I269" s="628"/>
      <c r="J269" s="628"/>
      <c r="K269" s="628"/>
      <c r="L269" s="628"/>
      <c r="M269" s="628"/>
      <c r="N269" s="628"/>
      <c r="O269" s="628"/>
      <c r="P269" s="628"/>
      <c r="Q269" s="628"/>
      <c r="R269" s="628"/>
      <c r="S269" s="628"/>
      <c r="T269" s="628"/>
      <c r="U269" s="628"/>
      <c r="V269" s="628"/>
      <c r="W269" s="628"/>
      <c r="X269" s="628"/>
      <c r="Y269" s="628"/>
      <c r="Z269" s="628"/>
      <c r="AA269" s="65"/>
      <c r="AB269" s="65"/>
      <c r="AC269" s="79"/>
    </row>
    <row r="270" spans="1:68" ht="14.25" customHeight="1" x14ac:dyDescent="0.25">
      <c r="A270" s="629" t="s">
        <v>110</v>
      </c>
      <c r="B270" s="629"/>
      <c r="C270" s="629"/>
      <c r="D270" s="629"/>
      <c r="E270" s="629"/>
      <c r="F270" s="629"/>
      <c r="G270" s="629"/>
      <c r="H270" s="629"/>
      <c r="I270" s="629"/>
      <c r="J270" s="629"/>
      <c r="K270" s="629"/>
      <c r="L270" s="629"/>
      <c r="M270" s="629"/>
      <c r="N270" s="629"/>
      <c r="O270" s="629"/>
      <c r="P270" s="629"/>
      <c r="Q270" s="629"/>
      <c r="R270" s="629"/>
      <c r="S270" s="629"/>
      <c r="T270" s="629"/>
      <c r="U270" s="629"/>
      <c r="V270" s="629"/>
      <c r="W270" s="629"/>
      <c r="X270" s="629"/>
      <c r="Y270" s="629"/>
      <c r="Z270" s="629"/>
      <c r="AA270" s="66"/>
      <c r="AB270" s="66"/>
      <c r="AC270" s="80"/>
    </row>
    <row r="271" spans="1:68" ht="27" customHeight="1" x14ac:dyDescent="0.25">
      <c r="A271" s="63" t="s">
        <v>451</v>
      </c>
      <c r="B271" s="63" t="s">
        <v>452</v>
      </c>
      <c r="C271" s="36">
        <v>4301011223</v>
      </c>
      <c r="D271" s="630">
        <v>4607091383423</v>
      </c>
      <c r="E271" s="63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76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32"/>
      <c r="R271" s="632"/>
      <c r="S271" s="632"/>
      <c r="T271" s="63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453</v>
      </c>
      <c r="B272" s="63" t="s">
        <v>454</v>
      </c>
      <c r="C272" s="36">
        <v>4301012199</v>
      </c>
      <c r="D272" s="630">
        <v>4680115886957</v>
      </c>
      <c r="E272" s="63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76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32"/>
      <c r="R272" s="632"/>
      <c r="S272" s="632"/>
      <c r="T272" s="63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4301012098</v>
      </c>
      <c r="D273" s="630">
        <v>4680115885660</v>
      </c>
      <c r="E273" s="63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76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32"/>
      <c r="R273" s="632"/>
      <c r="S273" s="632"/>
      <c r="T273" s="63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458</v>
      </c>
      <c r="B274" s="63" t="s">
        <v>459</v>
      </c>
      <c r="C274" s="36">
        <v>4301012176</v>
      </c>
      <c r="D274" s="630">
        <v>4680115886773</v>
      </c>
      <c r="E274" s="63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76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32"/>
      <c r="R274" s="632"/>
      <c r="S274" s="632"/>
      <c r="T274" s="63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8"/>
      <c r="B275" s="638"/>
      <c r="C275" s="638"/>
      <c r="D275" s="638"/>
      <c r="E275" s="638"/>
      <c r="F275" s="638"/>
      <c r="G275" s="638"/>
      <c r="H275" s="638"/>
      <c r="I275" s="638"/>
      <c r="J275" s="638"/>
      <c r="K275" s="638"/>
      <c r="L275" s="638"/>
      <c r="M275" s="638"/>
      <c r="N275" s="638"/>
      <c r="O275" s="639"/>
      <c r="P275" s="635" t="s">
        <v>40</v>
      </c>
      <c r="Q275" s="636"/>
      <c r="R275" s="636"/>
      <c r="S275" s="636"/>
      <c r="T275" s="636"/>
      <c r="U275" s="636"/>
      <c r="V275" s="637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8"/>
      <c r="B276" s="638"/>
      <c r="C276" s="638"/>
      <c r="D276" s="638"/>
      <c r="E276" s="638"/>
      <c r="F276" s="638"/>
      <c r="G276" s="638"/>
      <c r="H276" s="638"/>
      <c r="I276" s="638"/>
      <c r="J276" s="638"/>
      <c r="K276" s="638"/>
      <c r="L276" s="638"/>
      <c r="M276" s="638"/>
      <c r="N276" s="638"/>
      <c r="O276" s="639"/>
      <c r="P276" s="635" t="s">
        <v>40</v>
      </c>
      <c r="Q276" s="636"/>
      <c r="R276" s="636"/>
      <c r="S276" s="636"/>
      <c r="T276" s="636"/>
      <c r="U276" s="636"/>
      <c r="V276" s="637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8" t="s">
        <v>461</v>
      </c>
      <c r="B277" s="628"/>
      <c r="C277" s="628"/>
      <c r="D277" s="628"/>
      <c r="E277" s="628"/>
      <c r="F277" s="628"/>
      <c r="G277" s="628"/>
      <c r="H277" s="628"/>
      <c r="I277" s="628"/>
      <c r="J277" s="628"/>
      <c r="K277" s="628"/>
      <c r="L277" s="628"/>
      <c r="M277" s="628"/>
      <c r="N277" s="628"/>
      <c r="O277" s="628"/>
      <c r="P277" s="628"/>
      <c r="Q277" s="628"/>
      <c r="R277" s="628"/>
      <c r="S277" s="628"/>
      <c r="T277" s="628"/>
      <c r="U277" s="628"/>
      <c r="V277" s="628"/>
      <c r="W277" s="628"/>
      <c r="X277" s="628"/>
      <c r="Y277" s="628"/>
      <c r="Z277" s="628"/>
      <c r="AA277" s="65"/>
      <c r="AB277" s="65"/>
      <c r="AC277" s="79"/>
    </row>
    <row r="278" spans="1:68" ht="14.25" customHeight="1" x14ac:dyDescent="0.25">
      <c r="A278" s="629" t="s">
        <v>88</v>
      </c>
      <c r="B278" s="629"/>
      <c r="C278" s="629"/>
      <c r="D278" s="629"/>
      <c r="E278" s="629"/>
      <c r="F278" s="629"/>
      <c r="G278" s="629"/>
      <c r="H278" s="629"/>
      <c r="I278" s="629"/>
      <c r="J278" s="629"/>
      <c r="K278" s="629"/>
      <c r="L278" s="629"/>
      <c r="M278" s="629"/>
      <c r="N278" s="629"/>
      <c r="O278" s="629"/>
      <c r="P278" s="629"/>
      <c r="Q278" s="629"/>
      <c r="R278" s="629"/>
      <c r="S278" s="629"/>
      <c r="T278" s="629"/>
      <c r="U278" s="629"/>
      <c r="V278" s="629"/>
      <c r="W278" s="629"/>
      <c r="X278" s="629"/>
      <c r="Y278" s="629"/>
      <c r="Z278" s="629"/>
      <c r="AA278" s="66"/>
      <c r="AB278" s="66"/>
      <c r="AC278" s="80"/>
    </row>
    <row r="279" spans="1:68" ht="27" customHeight="1" x14ac:dyDescent="0.25">
      <c r="A279" s="63" t="s">
        <v>462</v>
      </c>
      <c r="B279" s="63" t="s">
        <v>463</v>
      </c>
      <c r="C279" s="36">
        <v>4301051893</v>
      </c>
      <c r="D279" s="630">
        <v>4680115886186</v>
      </c>
      <c r="E279" s="63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32"/>
      <c r="R279" s="632"/>
      <c r="S279" s="632"/>
      <c r="T279" s="63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4301051795</v>
      </c>
      <c r="D280" s="630">
        <v>4680115881228</v>
      </c>
      <c r="E280" s="63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231</v>
      </c>
      <c r="M280" s="38" t="s">
        <v>98</v>
      </c>
      <c r="N280" s="38"/>
      <c r="O280" s="37">
        <v>40</v>
      </c>
      <c r="P280" s="77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32"/>
      <c r="R280" s="632"/>
      <c r="S280" s="632"/>
      <c r="T280" s="63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4301051388</v>
      </c>
      <c r="D281" s="630">
        <v>4680115881211</v>
      </c>
      <c r="E281" s="63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231</v>
      </c>
      <c r="M281" s="38" t="s">
        <v>92</v>
      </c>
      <c r="N281" s="38"/>
      <c r="O281" s="37">
        <v>45</v>
      </c>
      <c r="P281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32"/>
      <c r="R281" s="632"/>
      <c r="S281" s="632"/>
      <c r="T281" s="63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8" t="s">
        <v>470</v>
      </c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8"/>
      <c r="P284" s="628"/>
      <c r="Q284" s="628"/>
      <c r="R284" s="628"/>
      <c r="S284" s="628"/>
      <c r="T284" s="628"/>
      <c r="U284" s="628"/>
      <c r="V284" s="628"/>
      <c r="W284" s="628"/>
      <c r="X284" s="628"/>
      <c r="Y284" s="628"/>
      <c r="Z284" s="628"/>
      <c r="AA284" s="65"/>
      <c r="AB284" s="65"/>
      <c r="AC284" s="79"/>
    </row>
    <row r="285" spans="1:68" ht="14.25" customHeight="1" x14ac:dyDescent="0.25">
      <c r="A285" s="629" t="s">
        <v>78</v>
      </c>
      <c r="B285" s="629"/>
      <c r="C285" s="629"/>
      <c r="D285" s="629"/>
      <c r="E285" s="629"/>
      <c r="F285" s="629"/>
      <c r="G285" s="629"/>
      <c r="H285" s="629"/>
      <c r="I285" s="629"/>
      <c r="J285" s="629"/>
      <c r="K285" s="629"/>
      <c r="L285" s="629"/>
      <c r="M285" s="629"/>
      <c r="N285" s="629"/>
      <c r="O285" s="629"/>
      <c r="P285" s="629"/>
      <c r="Q285" s="629"/>
      <c r="R285" s="629"/>
      <c r="S285" s="629"/>
      <c r="T285" s="629"/>
      <c r="U285" s="629"/>
      <c r="V285" s="629"/>
      <c r="W285" s="629"/>
      <c r="X285" s="629"/>
      <c r="Y285" s="629"/>
      <c r="Z285" s="629"/>
      <c r="AA285" s="66"/>
      <c r="AB285" s="66"/>
      <c r="AC285" s="80"/>
    </row>
    <row r="286" spans="1:68" ht="27" customHeight="1" x14ac:dyDescent="0.25">
      <c r="A286" s="63" t="s">
        <v>471</v>
      </c>
      <c r="B286" s="63" t="s">
        <v>472</v>
      </c>
      <c r="C286" s="36">
        <v>4301031307</v>
      </c>
      <c r="D286" s="630">
        <v>4680115880344</v>
      </c>
      <c r="E286" s="63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32"/>
      <c r="R286" s="632"/>
      <c r="S286" s="632"/>
      <c r="T286" s="63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4301031429</v>
      </c>
      <c r="D287" s="630">
        <v>4680115886919</v>
      </c>
      <c r="E287" s="63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7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32"/>
      <c r="R287" s="632"/>
      <c r="S287" s="632"/>
      <c r="T287" s="63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38"/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9"/>
      <c r="P289" s="635" t="s">
        <v>40</v>
      </c>
      <c r="Q289" s="636"/>
      <c r="R289" s="636"/>
      <c r="S289" s="636"/>
      <c r="T289" s="636"/>
      <c r="U289" s="636"/>
      <c r="V289" s="637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29" t="s">
        <v>88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6"/>
      <c r="AB290" s="66"/>
      <c r="AC290" s="80"/>
    </row>
    <row r="291" spans="1:68" ht="37.5" customHeight="1" x14ac:dyDescent="0.25">
      <c r="A291" s="63" t="s">
        <v>477</v>
      </c>
      <c r="B291" s="63" t="s">
        <v>478</v>
      </c>
      <c r="C291" s="36">
        <v>4301051782</v>
      </c>
      <c r="D291" s="630">
        <v>4680115884618</v>
      </c>
      <c r="E291" s="63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7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32"/>
      <c r="R291" s="632"/>
      <c r="S291" s="632"/>
      <c r="T291" s="63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480</v>
      </c>
      <c r="B292" s="63" t="s">
        <v>481</v>
      </c>
      <c r="C292" s="36">
        <v>4301052057</v>
      </c>
      <c r="D292" s="630">
        <v>4680115887114</v>
      </c>
      <c r="E292" s="63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7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32"/>
      <c r="R292" s="632"/>
      <c r="S292" s="632"/>
      <c r="T292" s="63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38"/>
      <c r="B294" s="638"/>
      <c r="C294" s="638"/>
      <c r="D294" s="638"/>
      <c r="E294" s="638"/>
      <c r="F294" s="638"/>
      <c r="G294" s="638"/>
      <c r="H294" s="638"/>
      <c r="I294" s="638"/>
      <c r="J294" s="638"/>
      <c r="K294" s="638"/>
      <c r="L294" s="638"/>
      <c r="M294" s="638"/>
      <c r="N294" s="638"/>
      <c r="O294" s="639"/>
      <c r="P294" s="635" t="s">
        <v>40</v>
      </c>
      <c r="Q294" s="636"/>
      <c r="R294" s="636"/>
      <c r="S294" s="636"/>
      <c r="T294" s="636"/>
      <c r="U294" s="636"/>
      <c r="V294" s="63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8" t="s">
        <v>483</v>
      </c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8"/>
      <c r="P295" s="628"/>
      <c r="Q295" s="628"/>
      <c r="R295" s="628"/>
      <c r="S295" s="628"/>
      <c r="T295" s="628"/>
      <c r="U295" s="628"/>
      <c r="V295" s="628"/>
      <c r="W295" s="628"/>
      <c r="X295" s="628"/>
      <c r="Y295" s="628"/>
      <c r="Z295" s="628"/>
      <c r="AA295" s="65"/>
      <c r="AB295" s="65"/>
      <c r="AC295" s="79"/>
    </row>
    <row r="296" spans="1:68" ht="14.25" customHeight="1" x14ac:dyDescent="0.25">
      <c r="A296" s="629" t="s">
        <v>110</v>
      </c>
      <c r="B296" s="629"/>
      <c r="C296" s="629"/>
      <c r="D296" s="629"/>
      <c r="E296" s="629"/>
      <c r="F296" s="629"/>
      <c r="G296" s="629"/>
      <c r="H296" s="629"/>
      <c r="I296" s="629"/>
      <c r="J296" s="629"/>
      <c r="K296" s="629"/>
      <c r="L296" s="629"/>
      <c r="M296" s="629"/>
      <c r="N296" s="629"/>
      <c r="O296" s="629"/>
      <c r="P296" s="629"/>
      <c r="Q296" s="629"/>
      <c r="R296" s="629"/>
      <c r="S296" s="629"/>
      <c r="T296" s="629"/>
      <c r="U296" s="629"/>
      <c r="V296" s="629"/>
      <c r="W296" s="629"/>
      <c r="X296" s="629"/>
      <c r="Y296" s="629"/>
      <c r="Z296" s="629"/>
      <c r="AA296" s="66"/>
      <c r="AB296" s="66"/>
      <c r="AC296" s="80"/>
    </row>
    <row r="297" spans="1:68" ht="27" customHeight="1" x14ac:dyDescent="0.25">
      <c r="A297" s="63" t="s">
        <v>484</v>
      </c>
      <c r="B297" s="63" t="s">
        <v>485</v>
      </c>
      <c r="C297" s="36">
        <v>4301012024</v>
      </c>
      <c r="D297" s="630">
        <v>4680115885615</v>
      </c>
      <c r="E297" s="63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7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32"/>
      <c r="R297" s="632"/>
      <c r="S297" s="632"/>
      <c r="T297" s="63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487</v>
      </c>
      <c r="B298" s="63" t="s">
        <v>488</v>
      </c>
      <c r="C298" s="36">
        <v>4301011858</v>
      </c>
      <c r="D298" s="630">
        <v>4680115885646</v>
      </c>
      <c r="E298" s="63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77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32"/>
      <c r="R298" s="632"/>
      <c r="S298" s="632"/>
      <c r="T298" s="63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4301012016</v>
      </c>
      <c r="D299" s="630">
        <v>4680115885554</v>
      </c>
      <c r="E299" s="63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7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32"/>
      <c r="R299" s="632"/>
      <c r="S299" s="632"/>
      <c r="T299" s="63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4301011857</v>
      </c>
      <c r="D300" s="630">
        <v>4680115885622</v>
      </c>
      <c r="E300" s="63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78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32"/>
      <c r="R300" s="632"/>
      <c r="S300" s="632"/>
      <c r="T300" s="63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495</v>
      </c>
      <c r="B301" s="63" t="s">
        <v>496</v>
      </c>
      <c r="C301" s="36">
        <v>4301011859</v>
      </c>
      <c r="D301" s="630">
        <v>4680115885608</v>
      </c>
      <c r="E301" s="63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7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32"/>
      <c r="R301" s="632"/>
      <c r="S301" s="632"/>
      <c r="T301" s="63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629" t="s">
        <v>78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4301030878</v>
      </c>
      <c r="D305" s="630">
        <v>4607091387193</v>
      </c>
      <c r="E305" s="63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7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32"/>
      <c r="R305" s="632"/>
      <c r="S305" s="632"/>
      <c r="T305" s="63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4301031153</v>
      </c>
      <c r="D306" s="630">
        <v>4607091387230</v>
      </c>
      <c r="E306" s="63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40</v>
      </c>
      <c r="P306" s="7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32"/>
      <c r="R306" s="632"/>
      <c r="S306" s="632"/>
      <c r="T306" s="63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4301031154</v>
      </c>
      <c r="D307" s="630">
        <v>4607091387292</v>
      </c>
      <c r="E307" s="63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7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32"/>
      <c r="R307" s="632"/>
      <c r="S307" s="632"/>
      <c r="T307" s="63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4301031152</v>
      </c>
      <c r="D308" s="630">
        <v>4607091387285</v>
      </c>
      <c r="E308" s="63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32"/>
      <c r="R308" s="632"/>
      <c r="S308" s="632"/>
      <c r="T308" s="63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4301031305</v>
      </c>
      <c r="D309" s="630">
        <v>4607091389845</v>
      </c>
      <c r="E309" s="63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32"/>
      <c r="R309" s="632"/>
      <c r="S309" s="632"/>
      <c r="T309" s="63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4301031066</v>
      </c>
      <c r="D310" s="630">
        <v>4607091383836</v>
      </c>
      <c r="E310" s="630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78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632"/>
      <c r="R310" s="632"/>
      <c r="S310" s="632"/>
      <c r="T310" s="63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638"/>
      <c r="B311" s="638"/>
      <c r="C311" s="638"/>
      <c r="D311" s="638"/>
      <c r="E311" s="638"/>
      <c r="F311" s="638"/>
      <c r="G311" s="638"/>
      <c r="H311" s="638"/>
      <c r="I311" s="638"/>
      <c r="J311" s="638"/>
      <c r="K311" s="638"/>
      <c r="L311" s="638"/>
      <c r="M311" s="638"/>
      <c r="N311" s="638"/>
      <c r="O311" s="639"/>
      <c r="P311" s="635" t="s">
        <v>40</v>
      </c>
      <c r="Q311" s="636"/>
      <c r="R311" s="636"/>
      <c r="S311" s="636"/>
      <c r="T311" s="636"/>
      <c r="U311" s="636"/>
      <c r="V311" s="637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629" t="s">
        <v>88</v>
      </c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29"/>
      <c r="P313" s="629"/>
      <c r="Q313" s="629"/>
      <c r="R313" s="629"/>
      <c r="S313" s="629"/>
      <c r="T313" s="629"/>
      <c r="U313" s="629"/>
      <c r="V313" s="629"/>
      <c r="W313" s="629"/>
      <c r="X313" s="629"/>
      <c r="Y313" s="629"/>
      <c r="Z313" s="629"/>
      <c r="AA313" s="66"/>
      <c r="AB313" s="66"/>
      <c r="AC313" s="80"/>
    </row>
    <row r="314" spans="1:68" ht="27" customHeight="1" x14ac:dyDescent="0.25">
      <c r="A314" s="63" t="s">
        <v>515</v>
      </c>
      <c r="B314" s="63" t="s">
        <v>516</v>
      </c>
      <c r="C314" s="36">
        <v>4301051100</v>
      </c>
      <c r="D314" s="630">
        <v>4607091387766</v>
      </c>
      <c r="E314" s="630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632"/>
      <c r="R314" s="632"/>
      <c r="S314" s="632"/>
      <c r="T314" s="633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4301051818</v>
      </c>
      <c r="D315" s="630">
        <v>4607091387957</v>
      </c>
      <c r="E315" s="630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7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632"/>
      <c r="R315" s="632"/>
      <c r="S315" s="632"/>
      <c r="T315" s="63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4301051819</v>
      </c>
      <c r="D316" s="630">
        <v>4607091387964</v>
      </c>
      <c r="E316" s="630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7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632"/>
      <c r="R316" s="632"/>
      <c r="S316" s="632"/>
      <c r="T316" s="63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4301051734</v>
      </c>
      <c r="D317" s="630">
        <v>4680115884588</v>
      </c>
      <c r="E317" s="630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632"/>
      <c r="R317" s="632"/>
      <c r="S317" s="632"/>
      <c r="T317" s="63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8"/>
      <c r="B318" s="638"/>
      <c r="C318" s="638"/>
      <c r="D318" s="638"/>
      <c r="E318" s="638"/>
      <c r="F318" s="638"/>
      <c r="G318" s="638"/>
      <c r="H318" s="638"/>
      <c r="I318" s="638"/>
      <c r="J318" s="638"/>
      <c r="K318" s="638"/>
      <c r="L318" s="638"/>
      <c r="M318" s="638"/>
      <c r="N318" s="638"/>
      <c r="O318" s="639"/>
      <c r="P318" s="635" t="s">
        <v>40</v>
      </c>
      <c r="Q318" s="636"/>
      <c r="R318" s="636"/>
      <c r="S318" s="636"/>
      <c r="T318" s="636"/>
      <c r="U318" s="636"/>
      <c r="V318" s="637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8"/>
      <c r="B319" s="638"/>
      <c r="C319" s="638"/>
      <c r="D319" s="638"/>
      <c r="E319" s="638"/>
      <c r="F319" s="638"/>
      <c r="G319" s="638"/>
      <c r="H319" s="638"/>
      <c r="I319" s="638"/>
      <c r="J319" s="638"/>
      <c r="K319" s="638"/>
      <c r="L319" s="638"/>
      <c r="M319" s="638"/>
      <c r="N319" s="638"/>
      <c r="O319" s="639"/>
      <c r="P319" s="635" t="s">
        <v>40</v>
      </c>
      <c r="Q319" s="636"/>
      <c r="R319" s="636"/>
      <c r="S319" s="636"/>
      <c r="T319" s="636"/>
      <c r="U319" s="636"/>
      <c r="V319" s="637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629" t="s">
        <v>170</v>
      </c>
      <c r="B320" s="629"/>
      <c r="C320" s="629"/>
      <c r="D320" s="629"/>
      <c r="E320" s="629"/>
      <c r="F320" s="629"/>
      <c r="G320" s="629"/>
      <c r="H320" s="629"/>
      <c r="I320" s="629"/>
      <c r="J320" s="629"/>
      <c r="K320" s="629"/>
      <c r="L320" s="629"/>
      <c r="M320" s="629"/>
      <c r="N320" s="629"/>
      <c r="O320" s="629"/>
      <c r="P320" s="629"/>
      <c r="Q320" s="629"/>
      <c r="R320" s="629"/>
      <c r="S320" s="629"/>
      <c r="T320" s="629"/>
      <c r="U320" s="629"/>
      <c r="V320" s="629"/>
      <c r="W320" s="629"/>
      <c r="X320" s="629"/>
      <c r="Y320" s="629"/>
      <c r="Z320" s="629"/>
      <c r="AA320" s="66"/>
      <c r="AB320" s="66"/>
      <c r="AC320" s="80"/>
    </row>
    <row r="321" spans="1:68" ht="27" customHeight="1" x14ac:dyDescent="0.25">
      <c r="A321" s="63" t="s">
        <v>527</v>
      </c>
      <c r="B321" s="63" t="s">
        <v>528</v>
      </c>
      <c r="C321" s="36">
        <v>4301060387</v>
      </c>
      <c r="D321" s="630">
        <v>4607091380880</v>
      </c>
      <c r="E321" s="630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45</v>
      </c>
      <c r="M321" s="38" t="s">
        <v>92</v>
      </c>
      <c r="N321" s="38"/>
      <c r="O321" s="37">
        <v>30</v>
      </c>
      <c r="P321" s="79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632"/>
      <c r="R321" s="632"/>
      <c r="S321" s="632"/>
      <c r="T321" s="633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4301060406</v>
      </c>
      <c r="D322" s="630">
        <v>4607091384482</v>
      </c>
      <c r="E322" s="630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7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632"/>
      <c r="R322" s="632"/>
      <c r="S322" s="632"/>
      <c r="T322" s="63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533</v>
      </c>
      <c r="B323" s="63" t="s">
        <v>534</v>
      </c>
      <c r="C323" s="36">
        <v>4301060484</v>
      </c>
      <c r="D323" s="630">
        <v>4607091380897</v>
      </c>
      <c r="E323" s="630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45</v>
      </c>
      <c r="M323" s="38" t="s">
        <v>98</v>
      </c>
      <c r="N323" s="38"/>
      <c r="O323" s="37">
        <v>30</v>
      </c>
      <c r="P323" s="7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632"/>
      <c r="R323" s="632"/>
      <c r="S323" s="632"/>
      <c r="T323" s="633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8"/>
      <c r="B324" s="638"/>
      <c r="C324" s="638"/>
      <c r="D324" s="638"/>
      <c r="E324" s="638"/>
      <c r="F324" s="638"/>
      <c r="G324" s="638"/>
      <c r="H324" s="638"/>
      <c r="I324" s="638"/>
      <c r="J324" s="638"/>
      <c r="K324" s="638"/>
      <c r="L324" s="638"/>
      <c r="M324" s="638"/>
      <c r="N324" s="638"/>
      <c r="O324" s="639"/>
      <c r="P324" s="635" t="s">
        <v>40</v>
      </c>
      <c r="Q324" s="636"/>
      <c r="R324" s="636"/>
      <c r="S324" s="636"/>
      <c r="T324" s="636"/>
      <c r="U324" s="636"/>
      <c r="V324" s="637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8"/>
      <c r="B325" s="638"/>
      <c r="C325" s="638"/>
      <c r="D325" s="638"/>
      <c r="E325" s="638"/>
      <c r="F325" s="638"/>
      <c r="G325" s="638"/>
      <c r="H325" s="638"/>
      <c r="I325" s="638"/>
      <c r="J325" s="638"/>
      <c r="K325" s="638"/>
      <c r="L325" s="638"/>
      <c r="M325" s="638"/>
      <c r="N325" s="638"/>
      <c r="O325" s="639"/>
      <c r="P325" s="635" t="s">
        <v>40</v>
      </c>
      <c r="Q325" s="636"/>
      <c r="R325" s="636"/>
      <c r="S325" s="636"/>
      <c r="T325" s="636"/>
      <c r="U325" s="636"/>
      <c r="V325" s="637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629" t="s">
        <v>102</v>
      </c>
      <c r="B326" s="629"/>
      <c r="C326" s="629"/>
      <c r="D326" s="629"/>
      <c r="E326" s="629"/>
      <c r="F326" s="629"/>
      <c r="G326" s="629"/>
      <c r="H326" s="629"/>
      <c r="I326" s="629"/>
      <c r="J326" s="629"/>
      <c r="K326" s="629"/>
      <c r="L326" s="629"/>
      <c r="M326" s="629"/>
      <c r="N326" s="629"/>
      <c r="O326" s="629"/>
      <c r="P326" s="629"/>
      <c r="Q326" s="629"/>
      <c r="R326" s="629"/>
      <c r="S326" s="629"/>
      <c r="T326" s="629"/>
      <c r="U326" s="629"/>
      <c r="V326" s="629"/>
      <c r="W326" s="629"/>
      <c r="X326" s="629"/>
      <c r="Y326" s="629"/>
      <c r="Z326" s="629"/>
      <c r="AA326" s="66"/>
      <c r="AB326" s="66"/>
      <c r="AC326" s="80"/>
    </row>
    <row r="327" spans="1:68" ht="27" customHeight="1" x14ac:dyDescent="0.25">
      <c r="A327" s="63" t="s">
        <v>536</v>
      </c>
      <c r="B327" s="63" t="s">
        <v>537</v>
      </c>
      <c r="C327" s="36">
        <v>4301030235</v>
      </c>
      <c r="D327" s="630">
        <v>4607091388381</v>
      </c>
      <c r="E327" s="630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7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632"/>
      <c r="R327" s="632"/>
      <c r="S327" s="632"/>
      <c r="T327" s="633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4301030232</v>
      </c>
      <c r="D328" s="630">
        <v>4607091388374</v>
      </c>
      <c r="E328" s="630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79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632"/>
      <c r="R328" s="632"/>
      <c r="S328" s="632"/>
      <c r="T328" s="63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4301032015</v>
      </c>
      <c r="D329" s="630">
        <v>4607091383102</v>
      </c>
      <c r="E329" s="630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45</v>
      </c>
      <c r="M329" s="38" t="s">
        <v>107</v>
      </c>
      <c r="N329" s="38"/>
      <c r="O329" s="37">
        <v>180</v>
      </c>
      <c r="P329" s="7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632"/>
      <c r="R329" s="632"/>
      <c r="S329" s="632"/>
      <c r="T329" s="63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543</v>
      </c>
      <c r="B330" s="63" t="s">
        <v>544</v>
      </c>
      <c r="C330" s="36">
        <v>4301030233</v>
      </c>
      <c r="D330" s="630">
        <v>4607091388404</v>
      </c>
      <c r="E330" s="630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45</v>
      </c>
      <c r="M330" s="38" t="s">
        <v>107</v>
      </c>
      <c r="N330" s="38"/>
      <c r="O330" s="37">
        <v>180</v>
      </c>
      <c r="P330" s="7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632"/>
      <c r="R330" s="632"/>
      <c r="S330" s="632"/>
      <c r="T330" s="63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629" t="s">
        <v>545</v>
      </c>
      <c r="B333" s="629"/>
      <c r="C333" s="629"/>
      <c r="D333" s="629"/>
      <c r="E333" s="629"/>
      <c r="F333" s="629"/>
      <c r="G333" s="629"/>
      <c r="H333" s="629"/>
      <c r="I333" s="629"/>
      <c r="J333" s="629"/>
      <c r="K333" s="629"/>
      <c r="L333" s="629"/>
      <c r="M333" s="629"/>
      <c r="N333" s="629"/>
      <c r="O333" s="629"/>
      <c r="P333" s="629"/>
      <c r="Q333" s="629"/>
      <c r="R333" s="629"/>
      <c r="S333" s="629"/>
      <c r="T333" s="629"/>
      <c r="U333" s="629"/>
      <c r="V333" s="629"/>
      <c r="W333" s="629"/>
      <c r="X333" s="629"/>
      <c r="Y333" s="629"/>
      <c r="Z333" s="629"/>
      <c r="AA333" s="66"/>
      <c r="AB333" s="66"/>
      <c r="AC333" s="80"/>
    </row>
    <row r="334" spans="1:68" ht="16.5" customHeight="1" x14ac:dyDescent="0.25">
      <c r="A334" s="63" t="s">
        <v>546</v>
      </c>
      <c r="B334" s="63" t="s">
        <v>547</v>
      </c>
      <c r="C334" s="36">
        <v>4301180007</v>
      </c>
      <c r="D334" s="630">
        <v>4680115881808</v>
      </c>
      <c r="E334" s="630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7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632"/>
      <c r="R334" s="632"/>
      <c r="S334" s="632"/>
      <c r="T334" s="633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4301180006</v>
      </c>
      <c r="D335" s="630">
        <v>4680115881822</v>
      </c>
      <c r="E335" s="63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8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632"/>
      <c r="R335" s="632"/>
      <c r="S335" s="632"/>
      <c r="T335" s="63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552</v>
      </c>
      <c r="B336" s="63" t="s">
        <v>553</v>
      </c>
      <c r="C336" s="36">
        <v>4301180001</v>
      </c>
      <c r="D336" s="630">
        <v>4680115880016</v>
      </c>
      <c r="E336" s="63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549</v>
      </c>
      <c r="N336" s="38"/>
      <c r="O336" s="37">
        <v>730</v>
      </c>
      <c r="P336" s="80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632"/>
      <c r="R336" s="632"/>
      <c r="S336" s="632"/>
      <c r="T336" s="63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628" t="s">
        <v>554</v>
      </c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8"/>
      <c r="P339" s="628"/>
      <c r="Q339" s="628"/>
      <c r="R339" s="628"/>
      <c r="S339" s="628"/>
      <c r="T339" s="628"/>
      <c r="U339" s="628"/>
      <c r="V339" s="628"/>
      <c r="W339" s="628"/>
      <c r="X339" s="628"/>
      <c r="Y339" s="628"/>
      <c r="Z339" s="628"/>
      <c r="AA339" s="65"/>
      <c r="AB339" s="65"/>
      <c r="AC339" s="79"/>
    </row>
    <row r="340" spans="1:68" ht="14.25" customHeight="1" x14ac:dyDescent="0.25">
      <c r="A340" s="629" t="s">
        <v>88</v>
      </c>
      <c r="B340" s="629"/>
      <c r="C340" s="629"/>
      <c r="D340" s="629"/>
      <c r="E340" s="629"/>
      <c r="F340" s="629"/>
      <c r="G340" s="629"/>
      <c r="H340" s="629"/>
      <c r="I340" s="629"/>
      <c r="J340" s="629"/>
      <c r="K340" s="629"/>
      <c r="L340" s="629"/>
      <c r="M340" s="629"/>
      <c r="N340" s="629"/>
      <c r="O340" s="629"/>
      <c r="P340" s="629"/>
      <c r="Q340" s="629"/>
      <c r="R340" s="629"/>
      <c r="S340" s="629"/>
      <c r="T340" s="629"/>
      <c r="U340" s="629"/>
      <c r="V340" s="629"/>
      <c r="W340" s="629"/>
      <c r="X340" s="629"/>
      <c r="Y340" s="629"/>
      <c r="Z340" s="629"/>
      <c r="AA340" s="66"/>
      <c r="AB340" s="66"/>
      <c r="AC340" s="80"/>
    </row>
    <row r="341" spans="1:68" ht="27" customHeight="1" x14ac:dyDescent="0.25">
      <c r="A341" s="63" t="s">
        <v>555</v>
      </c>
      <c r="B341" s="63" t="s">
        <v>556</v>
      </c>
      <c r="C341" s="36">
        <v>4301051489</v>
      </c>
      <c r="D341" s="630">
        <v>4607091387919</v>
      </c>
      <c r="E341" s="630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45</v>
      </c>
      <c r="M341" s="38" t="s">
        <v>98</v>
      </c>
      <c r="N341" s="38"/>
      <c r="O341" s="37">
        <v>45</v>
      </c>
      <c r="P341" s="8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632"/>
      <c r="R341" s="632"/>
      <c r="S341" s="632"/>
      <c r="T341" s="633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4301051461</v>
      </c>
      <c r="D342" s="630">
        <v>4680115883604</v>
      </c>
      <c r="E342" s="630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45</v>
      </c>
      <c r="M342" s="38" t="s">
        <v>92</v>
      </c>
      <c r="N342" s="38"/>
      <c r="O342" s="37">
        <v>45</v>
      </c>
      <c r="P342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632"/>
      <c r="R342" s="632"/>
      <c r="S342" s="632"/>
      <c r="T342" s="63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4301051864</v>
      </c>
      <c r="D343" s="630">
        <v>4680115883567</v>
      </c>
      <c r="E343" s="630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45</v>
      </c>
      <c r="M343" s="38" t="s">
        <v>98</v>
      </c>
      <c r="N343" s="38"/>
      <c r="O343" s="37">
        <v>40</v>
      </c>
      <c r="P343" s="80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632"/>
      <c r="R343" s="632"/>
      <c r="S343" s="632"/>
      <c r="T343" s="63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38"/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9"/>
      <c r="P344" s="635" t="s">
        <v>40</v>
      </c>
      <c r="Q344" s="636"/>
      <c r="R344" s="636"/>
      <c r="S344" s="636"/>
      <c r="T344" s="636"/>
      <c r="U344" s="636"/>
      <c r="V344" s="637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638"/>
      <c r="B345" s="638"/>
      <c r="C345" s="638"/>
      <c r="D345" s="638"/>
      <c r="E345" s="638"/>
      <c r="F345" s="638"/>
      <c r="G345" s="638"/>
      <c r="H345" s="638"/>
      <c r="I345" s="638"/>
      <c r="J345" s="638"/>
      <c r="K345" s="638"/>
      <c r="L345" s="638"/>
      <c r="M345" s="638"/>
      <c r="N345" s="638"/>
      <c r="O345" s="639"/>
      <c r="P345" s="635" t="s">
        <v>40</v>
      </c>
      <c r="Q345" s="636"/>
      <c r="R345" s="636"/>
      <c r="S345" s="636"/>
      <c r="T345" s="636"/>
      <c r="U345" s="636"/>
      <c r="V345" s="637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627" t="s">
        <v>564</v>
      </c>
      <c r="B346" s="627"/>
      <c r="C346" s="627"/>
      <c r="D346" s="627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S346" s="627"/>
      <c r="T346" s="627"/>
      <c r="U346" s="627"/>
      <c r="V346" s="627"/>
      <c r="W346" s="627"/>
      <c r="X346" s="627"/>
      <c r="Y346" s="627"/>
      <c r="Z346" s="627"/>
      <c r="AA346" s="54"/>
      <c r="AB346" s="54"/>
      <c r="AC346" s="54"/>
    </row>
    <row r="347" spans="1:68" ht="16.5" customHeight="1" x14ac:dyDescent="0.25">
      <c r="A347" s="628" t="s">
        <v>565</v>
      </c>
      <c r="B347" s="628"/>
      <c r="C347" s="628"/>
      <c r="D347" s="628"/>
      <c r="E347" s="628"/>
      <c r="F347" s="628"/>
      <c r="G347" s="628"/>
      <c r="H347" s="628"/>
      <c r="I347" s="628"/>
      <c r="J347" s="628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8"/>
      <c r="W347" s="628"/>
      <c r="X347" s="628"/>
      <c r="Y347" s="628"/>
      <c r="Z347" s="628"/>
      <c r="AA347" s="65"/>
      <c r="AB347" s="65"/>
      <c r="AC347" s="79"/>
    </row>
    <row r="348" spans="1:68" ht="14.25" customHeight="1" x14ac:dyDescent="0.25">
      <c r="A348" s="629" t="s">
        <v>110</v>
      </c>
      <c r="B348" s="629"/>
      <c r="C348" s="629"/>
      <c r="D348" s="629"/>
      <c r="E348" s="629"/>
      <c r="F348" s="629"/>
      <c r="G348" s="629"/>
      <c r="H348" s="629"/>
      <c r="I348" s="629"/>
      <c r="J348" s="629"/>
      <c r="K348" s="629"/>
      <c r="L348" s="629"/>
      <c r="M348" s="629"/>
      <c r="N348" s="629"/>
      <c r="O348" s="629"/>
      <c r="P348" s="629"/>
      <c r="Q348" s="629"/>
      <c r="R348" s="629"/>
      <c r="S348" s="629"/>
      <c r="T348" s="629"/>
      <c r="U348" s="629"/>
      <c r="V348" s="629"/>
      <c r="W348" s="629"/>
      <c r="X348" s="629"/>
      <c r="Y348" s="629"/>
      <c r="Z348" s="629"/>
      <c r="AA348" s="66"/>
      <c r="AB348" s="66"/>
      <c r="AC348" s="80"/>
    </row>
    <row r="349" spans="1:68" ht="37.5" customHeight="1" x14ac:dyDescent="0.25">
      <c r="A349" s="63" t="s">
        <v>566</v>
      </c>
      <c r="B349" s="63" t="s">
        <v>567</v>
      </c>
      <c r="C349" s="36">
        <v>4301011869</v>
      </c>
      <c r="D349" s="630">
        <v>4680115884847</v>
      </c>
      <c r="E349" s="630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80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632"/>
      <c r="R349" s="632"/>
      <c r="S349" s="632"/>
      <c r="T349" s="633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4301011870</v>
      </c>
      <c r="D350" s="630">
        <v>4680115884854</v>
      </c>
      <c r="E350" s="63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632"/>
      <c r="R350" s="632"/>
      <c r="S350" s="632"/>
      <c r="T350" s="633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4301012215</v>
      </c>
      <c r="D351" s="630">
        <v>4680115887046</v>
      </c>
      <c r="E351" s="63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98</v>
      </c>
      <c r="N351" s="38"/>
      <c r="O351" s="37">
        <v>60</v>
      </c>
      <c r="P351" s="80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32"/>
      <c r="R351" s="632"/>
      <c r="S351" s="632"/>
      <c r="T351" s="63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customHeight="1" x14ac:dyDescent="0.25">
      <c r="A352" s="63" t="s">
        <v>575</v>
      </c>
      <c r="B352" s="63" t="s">
        <v>576</v>
      </c>
      <c r="C352" s="36">
        <v>4301011867</v>
      </c>
      <c r="D352" s="630">
        <v>4680115884830</v>
      </c>
      <c r="E352" s="63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82</v>
      </c>
      <c r="N352" s="38"/>
      <c r="O352" s="37">
        <v>60</v>
      </c>
      <c r="P352" s="8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32"/>
      <c r="R352" s="632"/>
      <c r="S352" s="632"/>
      <c r="T352" s="633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117</v>
      </c>
      <c r="AK352" s="84">
        <v>120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4301011433</v>
      </c>
      <c r="D353" s="630">
        <v>4680115882638</v>
      </c>
      <c r="E353" s="630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8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632"/>
      <c r="R353" s="632"/>
      <c r="S353" s="632"/>
      <c r="T353" s="63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4301011952</v>
      </c>
      <c r="D354" s="630">
        <v>4680115884922</v>
      </c>
      <c r="E354" s="630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632"/>
      <c r="R354" s="632"/>
      <c r="S354" s="632"/>
      <c r="T354" s="63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583</v>
      </c>
      <c r="B355" s="63" t="s">
        <v>584</v>
      </c>
      <c r="C355" s="36">
        <v>4301011868</v>
      </c>
      <c r="D355" s="630">
        <v>4680115884861</v>
      </c>
      <c r="E355" s="63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81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632"/>
      <c r="R355" s="632"/>
      <c r="S355" s="632"/>
      <c r="T355" s="63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638"/>
      <c r="B356" s="638"/>
      <c r="C356" s="638"/>
      <c r="D356" s="638"/>
      <c r="E356" s="638"/>
      <c r="F356" s="638"/>
      <c r="G356" s="638"/>
      <c r="H356" s="638"/>
      <c r="I356" s="638"/>
      <c r="J356" s="638"/>
      <c r="K356" s="638"/>
      <c r="L356" s="638"/>
      <c r="M356" s="638"/>
      <c r="N356" s="638"/>
      <c r="O356" s="639"/>
      <c r="P356" s="635" t="s">
        <v>40</v>
      </c>
      <c r="Q356" s="636"/>
      <c r="R356" s="636"/>
      <c r="S356" s="636"/>
      <c r="T356" s="636"/>
      <c r="U356" s="636"/>
      <c r="V356" s="637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638"/>
      <c r="B357" s="638"/>
      <c r="C357" s="638"/>
      <c r="D357" s="638"/>
      <c r="E357" s="638"/>
      <c r="F357" s="638"/>
      <c r="G357" s="638"/>
      <c r="H357" s="638"/>
      <c r="I357" s="638"/>
      <c r="J357" s="638"/>
      <c r="K357" s="638"/>
      <c r="L357" s="638"/>
      <c r="M357" s="638"/>
      <c r="N357" s="638"/>
      <c r="O357" s="639"/>
      <c r="P357" s="635" t="s">
        <v>40</v>
      </c>
      <c r="Q357" s="636"/>
      <c r="R357" s="636"/>
      <c r="S357" s="636"/>
      <c r="T357" s="636"/>
      <c r="U357" s="636"/>
      <c r="V357" s="637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629" t="s">
        <v>145</v>
      </c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29"/>
      <c r="P358" s="629"/>
      <c r="Q358" s="629"/>
      <c r="R358" s="629"/>
      <c r="S358" s="629"/>
      <c r="T358" s="629"/>
      <c r="U358" s="629"/>
      <c r="V358" s="629"/>
      <c r="W358" s="629"/>
      <c r="X358" s="629"/>
      <c r="Y358" s="629"/>
      <c r="Z358" s="629"/>
      <c r="AA358" s="66"/>
      <c r="AB358" s="66"/>
      <c r="AC358" s="80"/>
    </row>
    <row r="359" spans="1:68" ht="27" customHeight="1" x14ac:dyDescent="0.25">
      <c r="A359" s="63" t="s">
        <v>585</v>
      </c>
      <c r="B359" s="63" t="s">
        <v>586</v>
      </c>
      <c r="C359" s="36">
        <v>4301020178</v>
      </c>
      <c r="D359" s="630">
        <v>4607091383980</v>
      </c>
      <c r="E359" s="630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8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632"/>
      <c r="R359" s="632"/>
      <c r="S359" s="632"/>
      <c r="T359" s="633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588</v>
      </c>
      <c r="B360" s="63" t="s">
        <v>589</v>
      </c>
      <c r="C360" s="36">
        <v>4301020179</v>
      </c>
      <c r="D360" s="630">
        <v>4607091384178</v>
      </c>
      <c r="E360" s="630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8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632"/>
      <c r="R360" s="632"/>
      <c r="S360" s="632"/>
      <c r="T360" s="633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8"/>
      <c r="B361" s="638"/>
      <c r="C361" s="638"/>
      <c r="D361" s="638"/>
      <c r="E361" s="638"/>
      <c r="F361" s="638"/>
      <c r="G361" s="638"/>
      <c r="H361" s="638"/>
      <c r="I361" s="638"/>
      <c r="J361" s="638"/>
      <c r="K361" s="638"/>
      <c r="L361" s="638"/>
      <c r="M361" s="638"/>
      <c r="N361" s="638"/>
      <c r="O361" s="639"/>
      <c r="P361" s="635" t="s">
        <v>40</v>
      </c>
      <c r="Q361" s="636"/>
      <c r="R361" s="636"/>
      <c r="S361" s="636"/>
      <c r="T361" s="636"/>
      <c r="U361" s="636"/>
      <c r="V361" s="637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8"/>
      <c r="B362" s="638"/>
      <c r="C362" s="638"/>
      <c r="D362" s="638"/>
      <c r="E362" s="638"/>
      <c r="F362" s="638"/>
      <c r="G362" s="638"/>
      <c r="H362" s="638"/>
      <c r="I362" s="638"/>
      <c r="J362" s="638"/>
      <c r="K362" s="638"/>
      <c r="L362" s="638"/>
      <c r="M362" s="638"/>
      <c r="N362" s="638"/>
      <c r="O362" s="639"/>
      <c r="P362" s="635" t="s">
        <v>40</v>
      </c>
      <c r="Q362" s="636"/>
      <c r="R362" s="636"/>
      <c r="S362" s="636"/>
      <c r="T362" s="636"/>
      <c r="U362" s="636"/>
      <c r="V362" s="637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9" t="s">
        <v>88</v>
      </c>
      <c r="B363" s="629"/>
      <c r="C363" s="629"/>
      <c r="D363" s="629"/>
      <c r="E363" s="629"/>
      <c r="F363" s="629"/>
      <c r="G363" s="629"/>
      <c r="H363" s="629"/>
      <c r="I363" s="629"/>
      <c r="J363" s="629"/>
      <c r="K363" s="629"/>
      <c r="L363" s="629"/>
      <c r="M363" s="629"/>
      <c r="N363" s="629"/>
      <c r="O363" s="629"/>
      <c r="P363" s="629"/>
      <c r="Q363" s="629"/>
      <c r="R363" s="629"/>
      <c r="S363" s="629"/>
      <c r="T363" s="629"/>
      <c r="U363" s="629"/>
      <c r="V363" s="629"/>
      <c r="W363" s="629"/>
      <c r="X363" s="629"/>
      <c r="Y363" s="629"/>
      <c r="Z363" s="629"/>
      <c r="AA363" s="66"/>
      <c r="AB363" s="66"/>
      <c r="AC363" s="80"/>
    </row>
    <row r="364" spans="1:68" ht="27" customHeight="1" x14ac:dyDescent="0.25">
      <c r="A364" s="63" t="s">
        <v>591</v>
      </c>
      <c r="B364" s="63" t="s">
        <v>592</v>
      </c>
      <c r="C364" s="36">
        <v>4301051903</v>
      </c>
      <c r="D364" s="630">
        <v>4607091383928</v>
      </c>
      <c r="E364" s="630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8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632"/>
      <c r="R364" s="632"/>
      <c r="S364" s="632"/>
      <c r="T364" s="633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594</v>
      </c>
      <c r="B365" s="63" t="s">
        <v>595</v>
      </c>
      <c r="C365" s="36">
        <v>4301051897</v>
      </c>
      <c r="D365" s="630">
        <v>4607091384260</v>
      </c>
      <c r="E365" s="630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45</v>
      </c>
      <c r="M365" s="38" t="s">
        <v>92</v>
      </c>
      <c r="N365" s="38"/>
      <c r="O365" s="37">
        <v>40</v>
      </c>
      <c r="P365" s="8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632"/>
      <c r="R365" s="632"/>
      <c r="S365" s="632"/>
      <c r="T365" s="63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38"/>
      <c r="B366" s="638"/>
      <c r="C366" s="638"/>
      <c r="D366" s="638"/>
      <c r="E366" s="638"/>
      <c r="F366" s="638"/>
      <c r="G366" s="638"/>
      <c r="H366" s="638"/>
      <c r="I366" s="638"/>
      <c r="J366" s="638"/>
      <c r="K366" s="638"/>
      <c r="L366" s="638"/>
      <c r="M366" s="638"/>
      <c r="N366" s="638"/>
      <c r="O366" s="639"/>
      <c r="P366" s="635" t="s">
        <v>40</v>
      </c>
      <c r="Q366" s="636"/>
      <c r="R366" s="636"/>
      <c r="S366" s="636"/>
      <c r="T366" s="636"/>
      <c r="U366" s="636"/>
      <c r="V366" s="637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638"/>
      <c r="B367" s="638"/>
      <c r="C367" s="638"/>
      <c r="D367" s="638"/>
      <c r="E367" s="638"/>
      <c r="F367" s="638"/>
      <c r="G367" s="638"/>
      <c r="H367" s="638"/>
      <c r="I367" s="638"/>
      <c r="J367" s="638"/>
      <c r="K367" s="638"/>
      <c r="L367" s="638"/>
      <c r="M367" s="638"/>
      <c r="N367" s="638"/>
      <c r="O367" s="639"/>
      <c r="P367" s="635" t="s">
        <v>40</v>
      </c>
      <c r="Q367" s="636"/>
      <c r="R367" s="636"/>
      <c r="S367" s="636"/>
      <c r="T367" s="636"/>
      <c r="U367" s="636"/>
      <c r="V367" s="637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629" t="s">
        <v>170</v>
      </c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29"/>
      <c r="P368" s="629"/>
      <c r="Q368" s="629"/>
      <c r="R368" s="629"/>
      <c r="S368" s="629"/>
      <c r="T368" s="629"/>
      <c r="U368" s="629"/>
      <c r="V368" s="629"/>
      <c r="W368" s="629"/>
      <c r="X368" s="629"/>
      <c r="Y368" s="629"/>
      <c r="Z368" s="629"/>
      <c r="AA368" s="66"/>
      <c r="AB368" s="66"/>
      <c r="AC368" s="80"/>
    </row>
    <row r="369" spans="1:68" ht="16.5" customHeight="1" x14ac:dyDescent="0.25">
      <c r="A369" s="63" t="s">
        <v>597</v>
      </c>
      <c r="B369" s="63" t="s">
        <v>598</v>
      </c>
      <c r="C369" s="36">
        <v>4301060524</v>
      </c>
      <c r="D369" s="630">
        <v>4607091384673</v>
      </c>
      <c r="E369" s="630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632"/>
      <c r="R369" s="632"/>
      <c r="S369" s="632"/>
      <c r="T369" s="633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638"/>
      <c r="B371" s="638"/>
      <c r="C371" s="638"/>
      <c r="D371" s="638"/>
      <c r="E371" s="638"/>
      <c r="F371" s="638"/>
      <c r="G371" s="638"/>
      <c r="H371" s="638"/>
      <c r="I371" s="638"/>
      <c r="J371" s="638"/>
      <c r="K371" s="638"/>
      <c r="L371" s="638"/>
      <c r="M371" s="638"/>
      <c r="N371" s="638"/>
      <c r="O371" s="639"/>
      <c r="P371" s="635" t="s">
        <v>40</v>
      </c>
      <c r="Q371" s="636"/>
      <c r="R371" s="636"/>
      <c r="S371" s="636"/>
      <c r="T371" s="636"/>
      <c r="U371" s="636"/>
      <c r="V371" s="637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628" t="s">
        <v>600</v>
      </c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8"/>
      <c r="P372" s="628"/>
      <c r="Q372" s="628"/>
      <c r="R372" s="628"/>
      <c r="S372" s="628"/>
      <c r="T372" s="628"/>
      <c r="U372" s="628"/>
      <c r="V372" s="628"/>
      <c r="W372" s="628"/>
      <c r="X372" s="628"/>
      <c r="Y372" s="628"/>
      <c r="Z372" s="628"/>
      <c r="AA372" s="65"/>
      <c r="AB372" s="65"/>
      <c r="AC372" s="79"/>
    </row>
    <row r="373" spans="1:68" ht="14.25" customHeight="1" x14ac:dyDescent="0.25">
      <c r="A373" s="629" t="s">
        <v>110</v>
      </c>
      <c r="B373" s="629"/>
      <c r="C373" s="629"/>
      <c r="D373" s="629"/>
      <c r="E373" s="629"/>
      <c r="F373" s="629"/>
      <c r="G373" s="629"/>
      <c r="H373" s="629"/>
      <c r="I373" s="629"/>
      <c r="J373" s="629"/>
      <c r="K373" s="629"/>
      <c r="L373" s="629"/>
      <c r="M373" s="629"/>
      <c r="N373" s="629"/>
      <c r="O373" s="629"/>
      <c r="P373" s="629"/>
      <c r="Q373" s="629"/>
      <c r="R373" s="629"/>
      <c r="S373" s="629"/>
      <c r="T373" s="629"/>
      <c r="U373" s="629"/>
      <c r="V373" s="629"/>
      <c r="W373" s="629"/>
      <c r="X373" s="629"/>
      <c r="Y373" s="629"/>
      <c r="Z373" s="629"/>
      <c r="AA373" s="66"/>
      <c r="AB373" s="66"/>
      <c r="AC373" s="80"/>
    </row>
    <row r="374" spans="1:68" ht="37.5" customHeight="1" x14ac:dyDescent="0.25">
      <c r="A374" s="63" t="s">
        <v>601</v>
      </c>
      <c r="B374" s="63" t="s">
        <v>602</v>
      </c>
      <c r="C374" s="36">
        <v>4301011875</v>
      </c>
      <c r="D374" s="630">
        <v>4680115884885</v>
      </c>
      <c r="E374" s="630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45</v>
      </c>
      <c r="M374" s="38" t="s">
        <v>82</v>
      </c>
      <c r="N374" s="38"/>
      <c r="O374" s="37">
        <v>60</v>
      </c>
      <c r="P374" s="8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632"/>
      <c r="R374" s="632"/>
      <c r="S374" s="632"/>
      <c r="T374" s="633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604</v>
      </c>
      <c r="B375" s="63" t="s">
        <v>605</v>
      </c>
      <c r="C375" s="36">
        <v>4301011871</v>
      </c>
      <c r="D375" s="630">
        <v>4680115884908</v>
      </c>
      <c r="E375" s="630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8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632"/>
      <c r="R375" s="632"/>
      <c r="S375" s="632"/>
      <c r="T375" s="63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9" t="s">
        <v>78</v>
      </c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29"/>
      <c r="P378" s="629"/>
      <c r="Q378" s="629"/>
      <c r="R378" s="629"/>
      <c r="S378" s="629"/>
      <c r="T378" s="629"/>
      <c r="U378" s="629"/>
      <c r="V378" s="629"/>
      <c r="W378" s="629"/>
      <c r="X378" s="629"/>
      <c r="Y378" s="629"/>
      <c r="Z378" s="629"/>
      <c r="AA378" s="66"/>
      <c r="AB378" s="66"/>
      <c r="AC378" s="80"/>
    </row>
    <row r="379" spans="1:68" ht="27" customHeight="1" x14ac:dyDescent="0.25">
      <c r="A379" s="63" t="s">
        <v>606</v>
      </c>
      <c r="B379" s="63" t="s">
        <v>607</v>
      </c>
      <c r="C379" s="36">
        <v>4301031457</v>
      </c>
      <c r="D379" s="630">
        <v>4607091384802</v>
      </c>
      <c r="E379" s="630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8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32"/>
      <c r="R379" s="632"/>
      <c r="S379" s="632"/>
      <c r="T379" s="633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606</v>
      </c>
      <c r="B380" s="63" t="s">
        <v>609</v>
      </c>
      <c r="C380" s="36">
        <v>4301031303</v>
      </c>
      <c r="D380" s="630">
        <v>4607091384802</v>
      </c>
      <c r="E380" s="630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35</v>
      </c>
      <c r="P380" s="82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632"/>
      <c r="R380" s="632"/>
      <c r="S380" s="632"/>
      <c r="T380" s="63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8"/>
      <c r="B381" s="638"/>
      <c r="C381" s="638"/>
      <c r="D381" s="638"/>
      <c r="E381" s="638"/>
      <c r="F381" s="638"/>
      <c r="G381" s="638"/>
      <c r="H381" s="638"/>
      <c r="I381" s="638"/>
      <c r="J381" s="638"/>
      <c r="K381" s="638"/>
      <c r="L381" s="638"/>
      <c r="M381" s="638"/>
      <c r="N381" s="638"/>
      <c r="O381" s="639"/>
      <c r="P381" s="635" t="s">
        <v>40</v>
      </c>
      <c r="Q381" s="636"/>
      <c r="R381" s="636"/>
      <c r="S381" s="636"/>
      <c r="T381" s="636"/>
      <c r="U381" s="636"/>
      <c r="V381" s="637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629" t="s">
        <v>88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30">
        <v>4607091384246</v>
      </c>
      <c r="E384" s="63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8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32"/>
      <c r="R384" s="632"/>
      <c r="S384" s="632"/>
      <c r="T384" s="633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4301052069</v>
      </c>
      <c r="D385" s="630">
        <v>4607091384253</v>
      </c>
      <c r="E385" s="63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32"/>
      <c r="R385" s="632"/>
      <c r="S385" s="632"/>
      <c r="T385" s="633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616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617</v>
      </c>
      <c r="C386" s="36">
        <v>4301051660</v>
      </c>
      <c r="D386" s="630">
        <v>4607091384253</v>
      </c>
      <c r="E386" s="63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82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632"/>
      <c r="R386" s="632"/>
      <c r="S386" s="632"/>
      <c r="T386" s="63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613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8"/>
      <c r="B387" s="638"/>
      <c r="C387" s="638"/>
      <c r="D387" s="638"/>
      <c r="E387" s="638"/>
      <c r="F387" s="638"/>
      <c r="G387" s="638"/>
      <c r="H387" s="638"/>
      <c r="I387" s="638"/>
      <c r="J387" s="638"/>
      <c r="K387" s="638"/>
      <c r="L387" s="638"/>
      <c r="M387" s="638"/>
      <c r="N387" s="638"/>
      <c r="O387" s="639"/>
      <c r="P387" s="635" t="s">
        <v>40</v>
      </c>
      <c r="Q387" s="636"/>
      <c r="R387" s="636"/>
      <c r="S387" s="636"/>
      <c r="T387" s="636"/>
      <c r="U387" s="636"/>
      <c r="V387" s="637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38"/>
      <c r="B388" s="638"/>
      <c r="C388" s="638"/>
      <c r="D388" s="638"/>
      <c r="E388" s="638"/>
      <c r="F388" s="638"/>
      <c r="G388" s="638"/>
      <c r="H388" s="638"/>
      <c r="I388" s="638"/>
      <c r="J388" s="638"/>
      <c r="K388" s="638"/>
      <c r="L388" s="638"/>
      <c r="M388" s="638"/>
      <c r="N388" s="638"/>
      <c r="O388" s="639"/>
      <c r="P388" s="635" t="s">
        <v>40</v>
      </c>
      <c r="Q388" s="636"/>
      <c r="R388" s="636"/>
      <c r="S388" s="636"/>
      <c r="T388" s="636"/>
      <c r="U388" s="636"/>
      <c r="V388" s="637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627" t="s">
        <v>618</v>
      </c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7"/>
      <c r="P389" s="627"/>
      <c r="Q389" s="627"/>
      <c r="R389" s="627"/>
      <c r="S389" s="627"/>
      <c r="T389" s="627"/>
      <c r="U389" s="627"/>
      <c r="V389" s="627"/>
      <c r="W389" s="627"/>
      <c r="X389" s="627"/>
      <c r="Y389" s="627"/>
      <c r="Z389" s="627"/>
      <c r="AA389" s="54"/>
      <c r="AB389" s="54"/>
      <c r="AC389" s="54"/>
    </row>
    <row r="390" spans="1:68" ht="16.5" customHeight="1" x14ac:dyDescent="0.25">
      <c r="A390" s="628" t="s">
        <v>619</v>
      </c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8"/>
      <c r="P390" s="628"/>
      <c r="Q390" s="628"/>
      <c r="R390" s="628"/>
      <c r="S390" s="628"/>
      <c r="T390" s="628"/>
      <c r="U390" s="628"/>
      <c r="V390" s="628"/>
      <c r="W390" s="628"/>
      <c r="X390" s="628"/>
      <c r="Y390" s="628"/>
      <c r="Z390" s="628"/>
      <c r="AA390" s="65"/>
      <c r="AB390" s="65"/>
      <c r="AC390" s="79"/>
    </row>
    <row r="391" spans="1:68" ht="14.25" customHeight="1" x14ac:dyDescent="0.25">
      <c r="A391" s="629" t="s">
        <v>78</v>
      </c>
      <c r="B391" s="629"/>
      <c r="C391" s="629"/>
      <c r="D391" s="629"/>
      <c r="E391" s="629"/>
      <c r="F391" s="629"/>
      <c r="G391" s="629"/>
      <c r="H391" s="629"/>
      <c r="I391" s="629"/>
      <c r="J391" s="629"/>
      <c r="K391" s="629"/>
      <c r="L391" s="629"/>
      <c r="M391" s="629"/>
      <c r="N391" s="629"/>
      <c r="O391" s="629"/>
      <c r="P391" s="629"/>
      <c r="Q391" s="629"/>
      <c r="R391" s="629"/>
      <c r="S391" s="629"/>
      <c r="T391" s="629"/>
      <c r="U391" s="629"/>
      <c r="V391" s="629"/>
      <c r="W391" s="629"/>
      <c r="X391" s="629"/>
      <c r="Y391" s="629"/>
      <c r="Z391" s="629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30">
        <v>4680115886100</v>
      </c>
      <c r="E392" s="63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210</v>
      </c>
      <c r="M392" s="38" t="s">
        <v>82</v>
      </c>
      <c r="N392" s="38"/>
      <c r="O392" s="37">
        <v>50</v>
      </c>
      <c r="P392" s="82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32"/>
      <c r="R392" s="632"/>
      <c r="S392" s="632"/>
      <c r="T392" s="63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117</v>
      </c>
      <c r="AK392" s="84">
        <v>64.8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30">
        <v>4680115886117</v>
      </c>
      <c r="E393" s="63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8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32"/>
      <c r="R393" s="632"/>
      <c r="S393" s="632"/>
      <c r="T393" s="63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30">
        <v>4680115886124</v>
      </c>
      <c r="E394" s="63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45</v>
      </c>
      <c r="M394" s="38" t="s">
        <v>82</v>
      </c>
      <c r="N394" s="38"/>
      <c r="O394" s="37">
        <v>50</v>
      </c>
      <c r="P394" s="82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32"/>
      <c r="R394" s="632"/>
      <c r="S394" s="632"/>
      <c r="T394" s="63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30">
        <v>4680115883147</v>
      </c>
      <c r="E395" s="63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32"/>
      <c r="R395" s="632"/>
      <c r="S395" s="632"/>
      <c r="T395" s="63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30">
        <v>4607091384338</v>
      </c>
      <c r="E396" s="63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32"/>
      <c r="R396" s="632"/>
      <c r="S396" s="632"/>
      <c r="T396" s="63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30">
        <v>4607091389524</v>
      </c>
      <c r="E397" s="63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32"/>
      <c r="R397" s="632"/>
      <c r="S397" s="632"/>
      <c r="T397" s="63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30">
        <v>4680115883161</v>
      </c>
      <c r="E398" s="63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3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32"/>
      <c r="R398" s="632"/>
      <c r="S398" s="632"/>
      <c r="T398" s="63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30">
        <v>4607091389531</v>
      </c>
      <c r="E399" s="63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32"/>
      <c r="R399" s="632"/>
      <c r="S399" s="632"/>
      <c r="T399" s="63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30">
        <v>4607091384345</v>
      </c>
      <c r="E400" s="63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32"/>
      <c r="R400" s="632"/>
      <c r="S400" s="632"/>
      <c r="T400" s="63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9" t="s">
        <v>88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30">
        <v>4607091384352</v>
      </c>
      <c r="E404" s="63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8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32"/>
      <c r="R404" s="632"/>
      <c r="S404" s="632"/>
      <c r="T404" s="63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30">
        <v>4607091389654</v>
      </c>
      <c r="E405" s="63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83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32"/>
      <c r="R405" s="632"/>
      <c r="S405" s="632"/>
      <c r="T405" s="63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8"/>
      <c r="B406" s="638"/>
      <c r="C406" s="638"/>
      <c r="D406" s="638"/>
      <c r="E406" s="638"/>
      <c r="F406" s="638"/>
      <c r="G406" s="638"/>
      <c r="H406" s="638"/>
      <c r="I406" s="638"/>
      <c r="J406" s="638"/>
      <c r="K406" s="638"/>
      <c r="L406" s="638"/>
      <c r="M406" s="638"/>
      <c r="N406" s="638"/>
      <c r="O406" s="639"/>
      <c r="P406" s="635" t="s">
        <v>40</v>
      </c>
      <c r="Q406" s="636"/>
      <c r="R406" s="636"/>
      <c r="S406" s="636"/>
      <c r="T406" s="636"/>
      <c r="U406" s="636"/>
      <c r="V406" s="637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8"/>
      <c r="B407" s="638"/>
      <c r="C407" s="638"/>
      <c r="D407" s="638"/>
      <c r="E407" s="638"/>
      <c r="F407" s="638"/>
      <c r="G407" s="638"/>
      <c r="H407" s="638"/>
      <c r="I407" s="638"/>
      <c r="J407" s="638"/>
      <c r="K407" s="638"/>
      <c r="L407" s="638"/>
      <c r="M407" s="638"/>
      <c r="N407" s="638"/>
      <c r="O407" s="639"/>
      <c r="P407" s="635" t="s">
        <v>40</v>
      </c>
      <c r="Q407" s="636"/>
      <c r="R407" s="636"/>
      <c r="S407" s="636"/>
      <c r="T407" s="636"/>
      <c r="U407" s="636"/>
      <c r="V407" s="637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8" t="s">
        <v>650</v>
      </c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8"/>
      <c r="P408" s="628"/>
      <c r="Q408" s="628"/>
      <c r="R408" s="628"/>
      <c r="S408" s="628"/>
      <c r="T408" s="628"/>
      <c r="U408" s="628"/>
      <c r="V408" s="628"/>
      <c r="W408" s="628"/>
      <c r="X408" s="628"/>
      <c r="Y408" s="628"/>
      <c r="Z408" s="628"/>
      <c r="AA408" s="65"/>
      <c r="AB408" s="65"/>
      <c r="AC408" s="79"/>
    </row>
    <row r="409" spans="1:68" ht="14.25" customHeight="1" x14ac:dyDescent="0.25">
      <c r="A409" s="629" t="s">
        <v>145</v>
      </c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29"/>
      <c r="P409" s="629"/>
      <c r="Q409" s="629"/>
      <c r="R409" s="629"/>
      <c r="S409" s="629"/>
      <c r="T409" s="629"/>
      <c r="U409" s="629"/>
      <c r="V409" s="629"/>
      <c r="W409" s="629"/>
      <c r="X409" s="629"/>
      <c r="Y409" s="629"/>
      <c r="Z409" s="629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30">
        <v>4680115885240</v>
      </c>
      <c r="E410" s="63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8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32"/>
      <c r="R410" s="632"/>
      <c r="S410" s="632"/>
      <c r="T410" s="63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8"/>
      <c r="B412" s="638"/>
      <c r="C412" s="638"/>
      <c r="D412" s="638"/>
      <c r="E412" s="638"/>
      <c r="F412" s="638"/>
      <c r="G412" s="638"/>
      <c r="H412" s="638"/>
      <c r="I412" s="638"/>
      <c r="J412" s="638"/>
      <c r="K412" s="638"/>
      <c r="L412" s="638"/>
      <c r="M412" s="638"/>
      <c r="N412" s="638"/>
      <c r="O412" s="639"/>
      <c r="P412" s="635" t="s">
        <v>40</v>
      </c>
      <c r="Q412" s="636"/>
      <c r="R412" s="636"/>
      <c r="S412" s="636"/>
      <c r="T412" s="636"/>
      <c r="U412" s="636"/>
      <c r="V412" s="637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9" t="s">
        <v>78</v>
      </c>
      <c r="B413" s="629"/>
      <c r="C413" s="629"/>
      <c r="D413" s="629"/>
      <c r="E413" s="629"/>
      <c r="F413" s="629"/>
      <c r="G413" s="629"/>
      <c r="H413" s="629"/>
      <c r="I413" s="629"/>
      <c r="J413" s="629"/>
      <c r="K413" s="629"/>
      <c r="L413" s="629"/>
      <c r="M413" s="629"/>
      <c r="N413" s="629"/>
      <c r="O413" s="629"/>
      <c r="P413" s="629"/>
      <c r="Q413" s="629"/>
      <c r="R413" s="629"/>
      <c r="S413" s="629"/>
      <c r="T413" s="629"/>
      <c r="U413" s="629"/>
      <c r="V413" s="629"/>
      <c r="W413" s="629"/>
      <c r="X413" s="629"/>
      <c r="Y413" s="629"/>
      <c r="Z413" s="629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30">
        <v>4680115886094</v>
      </c>
      <c r="E414" s="63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210</v>
      </c>
      <c r="M414" s="38" t="s">
        <v>114</v>
      </c>
      <c r="N414" s="38"/>
      <c r="O414" s="37">
        <v>50</v>
      </c>
      <c r="P414" s="8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32"/>
      <c r="R414" s="632"/>
      <c r="S414" s="632"/>
      <c r="T414" s="63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117</v>
      </c>
      <c r="AK414" s="84">
        <v>64.8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4301031363</v>
      </c>
      <c r="D415" s="630">
        <v>4607091389425</v>
      </c>
      <c r="E415" s="630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632"/>
      <c r="R415" s="632"/>
      <c r="S415" s="632"/>
      <c r="T415" s="63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4301031373</v>
      </c>
      <c r="D416" s="630">
        <v>4680115880771</v>
      </c>
      <c r="E416" s="630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632"/>
      <c r="R416" s="632"/>
      <c r="S416" s="632"/>
      <c r="T416" s="63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4301031359</v>
      </c>
      <c r="D417" s="630">
        <v>4607091389500</v>
      </c>
      <c r="E417" s="630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632"/>
      <c r="R417" s="632"/>
      <c r="S417" s="632"/>
      <c r="T417" s="633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38"/>
      <c r="B419" s="638"/>
      <c r="C419" s="638"/>
      <c r="D419" s="638"/>
      <c r="E419" s="638"/>
      <c r="F419" s="638"/>
      <c r="G419" s="638"/>
      <c r="H419" s="638"/>
      <c r="I419" s="638"/>
      <c r="J419" s="638"/>
      <c r="K419" s="638"/>
      <c r="L419" s="638"/>
      <c r="M419" s="638"/>
      <c r="N419" s="638"/>
      <c r="O419" s="639"/>
      <c r="P419" s="635" t="s">
        <v>40</v>
      </c>
      <c r="Q419" s="636"/>
      <c r="R419" s="636"/>
      <c r="S419" s="636"/>
      <c r="T419" s="636"/>
      <c r="U419" s="636"/>
      <c r="V419" s="637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628" t="s">
        <v>665</v>
      </c>
      <c r="B420" s="628"/>
      <c r="C420" s="628"/>
      <c r="D420" s="628"/>
      <c r="E420" s="628"/>
      <c r="F420" s="628"/>
      <c r="G420" s="628"/>
      <c r="H420" s="628"/>
      <c r="I420" s="628"/>
      <c r="J420" s="628"/>
      <c r="K420" s="628"/>
      <c r="L420" s="628"/>
      <c r="M420" s="628"/>
      <c r="N420" s="628"/>
      <c r="O420" s="628"/>
      <c r="P420" s="628"/>
      <c r="Q420" s="628"/>
      <c r="R420" s="628"/>
      <c r="S420" s="628"/>
      <c r="T420" s="628"/>
      <c r="U420" s="628"/>
      <c r="V420" s="628"/>
      <c r="W420" s="628"/>
      <c r="X420" s="628"/>
      <c r="Y420" s="628"/>
      <c r="Z420" s="628"/>
      <c r="AA420" s="65"/>
      <c r="AB420" s="65"/>
      <c r="AC420" s="79"/>
    </row>
    <row r="421" spans="1:68" ht="14.25" customHeight="1" x14ac:dyDescent="0.25">
      <c r="A421" s="629" t="s">
        <v>78</v>
      </c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29"/>
      <c r="P421" s="629"/>
      <c r="Q421" s="629"/>
      <c r="R421" s="629"/>
      <c r="S421" s="629"/>
      <c r="T421" s="629"/>
      <c r="U421" s="629"/>
      <c r="V421" s="629"/>
      <c r="W421" s="629"/>
      <c r="X421" s="629"/>
      <c r="Y421" s="629"/>
      <c r="Z421" s="629"/>
      <c r="AA421" s="66"/>
      <c r="AB421" s="66"/>
      <c r="AC421" s="80"/>
    </row>
    <row r="422" spans="1:68" ht="27" customHeight="1" x14ac:dyDescent="0.25">
      <c r="A422" s="63" t="s">
        <v>666</v>
      </c>
      <c r="B422" s="63" t="s">
        <v>667</v>
      </c>
      <c r="C422" s="36">
        <v>4301031347</v>
      </c>
      <c r="D422" s="630">
        <v>4680115885110</v>
      </c>
      <c r="E422" s="630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84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632"/>
      <c r="R422" s="632"/>
      <c r="S422" s="632"/>
      <c r="T422" s="633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38"/>
      <c r="B423" s="638"/>
      <c r="C423" s="638"/>
      <c r="D423" s="638"/>
      <c r="E423" s="638"/>
      <c r="F423" s="638"/>
      <c r="G423" s="638"/>
      <c r="H423" s="638"/>
      <c r="I423" s="638"/>
      <c r="J423" s="638"/>
      <c r="K423" s="638"/>
      <c r="L423" s="638"/>
      <c r="M423" s="638"/>
      <c r="N423" s="638"/>
      <c r="O423" s="639"/>
      <c r="P423" s="635" t="s">
        <v>40</v>
      </c>
      <c r="Q423" s="636"/>
      <c r="R423" s="636"/>
      <c r="S423" s="636"/>
      <c r="T423" s="636"/>
      <c r="U423" s="636"/>
      <c r="V423" s="637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38"/>
      <c r="B424" s="638"/>
      <c r="C424" s="638"/>
      <c r="D424" s="638"/>
      <c r="E424" s="638"/>
      <c r="F424" s="638"/>
      <c r="G424" s="638"/>
      <c r="H424" s="638"/>
      <c r="I424" s="638"/>
      <c r="J424" s="638"/>
      <c r="K424" s="638"/>
      <c r="L424" s="638"/>
      <c r="M424" s="638"/>
      <c r="N424" s="638"/>
      <c r="O424" s="639"/>
      <c r="P424" s="635" t="s">
        <v>40</v>
      </c>
      <c r="Q424" s="636"/>
      <c r="R424" s="636"/>
      <c r="S424" s="636"/>
      <c r="T424" s="636"/>
      <c r="U424" s="636"/>
      <c r="V424" s="637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627" t="s">
        <v>669</v>
      </c>
      <c r="B425" s="627"/>
      <c r="C425" s="627"/>
      <c r="D425" s="627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S425" s="627"/>
      <c r="T425" s="627"/>
      <c r="U425" s="627"/>
      <c r="V425" s="627"/>
      <c r="W425" s="627"/>
      <c r="X425" s="627"/>
      <c r="Y425" s="627"/>
      <c r="Z425" s="627"/>
      <c r="AA425" s="54"/>
      <c r="AB425" s="54"/>
      <c r="AC425" s="54"/>
    </row>
    <row r="426" spans="1:68" ht="16.5" customHeight="1" x14ac:dyDescent="0.25">
      <c r="A426" s="628" t="s">
        <v>669</v>
      </c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8"/>
      <c r="P426" s="628"/>
      <c r="Q426" s="628"/>
      <c r="R426" s="628"/>
      <c r="S426" s="628"/>
      <c r="T426" s="628"/>
      <c r="U426" s="628"/>
      <c r="V426" s="628"/>
      <c r="W426" s="628"/>
      <c r="X426" s="628"/>
      <c r="Y426" s="628"/>
      <c r="Z426" s="628"/>
      <c r="AA426" s="65"/>
      <c r="AB426" s="65"/>
      <c r="AC426" s="79"/>
    </row>
    <row r="427" spans="1:68" ht="14.25" customHeight="1" x14ac:dyDescent="0.25">
      <c r="A427" s="629" t="s">
        <v>110</v>
      </c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29"/>
      <c r="P427" s="629"/>
      <c r="Q427" s="629"/>
      <c r="R427" s="629"/>
      <c r="S427" s="629"/>
      <c r="T427" s="629"/>
      <c r="U427" s="629"/>
      <c r="V427" s="629"/>
      <c r="W427" s="629"/>
      <c r="X427" s="629"/>
      <c r="Y427" s="629"/>
      <c r="Z427" s="629"/>
      <c r="AA427" s="66"/>
      <c r="AB427" s="66"/>
      <c r="AC427" s="80"/>
    </row>
    <row r="428" spans="1:68" ht="27" customHeight="1" x14ac:dyDescent="0.25">
      <c r="A428" s="63" t="s">
        <v>670</v>
      </c>
      <c r="B428" s="63" t="s">
        <v>671</v>
      </c>
      <c r="C428" s="36">
        <v>4301011795</v>
      </c>
      <c r="D428" s="630">
        <v>4607091389067</v>
      </c>
      <c r="E428" s="63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4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632"/>
      <c r="R428" s="632"/>
      <c r="S428" s="632"/>
      <c r="T428" s="63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4301012210</v>
      </c>
      <c r="D429" s="630">
        <v>4607091383522</v>
      </c>
      <c r="E429" s="63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4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32"/>
      <c r="R429" s="632"/>
      <c r="S429" s="632"/>
      <c r="T429" s="63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675</v>
      </c>
      <c r="C430" s="36">
        <v>4301012145</v>
      </c>
      <c r="D430" s="630">
        <v>4607091383522</v>
      </c>
      <c r="E430" s="63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4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632"/>
      <c r="R430" s="632"/>
      <c r="S430" s="632"/>
      <c r="T430" s="63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4301011961</v>
      </c>
      <c r="D431" s="630">
        <v>4680115885271</v>
      </c>
      <c r="E431" s="63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45</v>
      </c>
      <c r="M431" s="38" t="s">
        <v>114</v>
      </c>
      <c r="N431" s="38"/>
      <c r="O431" s="37">
        <v>60</v>
      </c>
      <c r="P431" s="8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632"/>
      <c r="R431" s="632"/>
      <c r="S431" s="632"/>
      <c r="T431" s="633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4301011376</v>
      </c>
      <c r="D432" s="630">
        <v>4680115885226</v>
      </c>
      <c r="E432" s="63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632"/>
      <c r="R432" s="632"/>
      <c r="S432" s="632"/>
      <c r="T432" s="63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682</v>
      </c>
      <c r="B433" s="63" t="s">
        <v>683</v>
      </c>
      <c r="C433" s="36">
        <v>4301011774</v>
      </c>
      <c r="D433" s="630">
        <v>4680115884502</v>
      </c>
      <c r="E433" s="63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632"/>
      <c r="R433" s="632"/>
      <c r="S433" s="632"/>
      <c r="T433" s="633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4301011771</v>
      </c>
      <c r="D434" s="630">
        <v>4607091389104</v>
      </c>
      <c r="E434" s="630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84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632"/>
      <c r="R434" s="632"/>
      <c r="S434" s="632"/>
      <c r="T434" s="63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4301012125</v>
      </c>
      <c r="D435" s="630">
        <v>4680115886391</v>
      </c>
      <c r="E435" s="630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632"/>
      <c r="R435" s="632"/>
      <c r="S435" s="632"/>
      <c r="T435" s="63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4301012035</v>
      </c>
      <c r="D436" s="630">
        <v>4680115880603</v>
      </c>
      <c r="E436" s="63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632"/>
      <c r="R436" s="632"/>
      <c r="S436" s="632"/>
      <c r="T436" s="63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4301012036</v>
      </c>
      <c r="D437" s="630">
        <v>4680115882782</v>
      </c>
      <c r="E437" s="630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632"/>
      <c r="R437" s="632"/>
      <c r="S437" s="632"/>
      <c r="T437" s="63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4301012050</v>
      </c>
      <c r="D438" s="630">
        <v>4680115885479</v>
      </c>
      <c r="E438" s="630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632"/>
      <c r="R438" s="632"/>
      <c r="S438" s="632"/>
      <c r="T438" s="63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4301012034</v>
      </c>
      <c r="D439" s="630">
        <v>4607091389982</v>
      </c>
      <c r="E439" s="630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45</v>
      </c>
      <c r="M439" s="38" t="s">
        <v>114</v>
      </c>
      <c r="N439" s="38"/>
      <c r="O439" s="37">
        <v>60</v>
      </c>
      <c r="P439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632"/>
      <c r="R439" s="632"/>
      <c r="S439" s="632"/>
      <c r="T439" s="633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638"/>
      <c r="B440" s="638"/>
      <c r="C440" s="638"/>
      <c r="D440" s="638"/>
      <c r="E440" s="638"/>
      <c r="F440" s="638"/>
      <c r="G440" s="638"/>
      <c r="H440" s="638"/>
      <c r="I440" s="638"/>
      <c r="J440" s="638"/>
      <c r="K440" s="638"/>
      <c r="L440" s="638"/>
      <c r="M440" s="638"/>
      <c r="N440" s="638"/>
      <c r="O440" s="639"/>
      <c r="P440" s="635" t="s">
        <v>40</v>
      </c>
      <c r="Q440" s="636"/>
      <c r="R440" s="636"/>
      <c r="S440" s="636"/>
      <c r="T440" s="636"/>
      <c r="U440" s="636"/>
      <c r="V440" s="637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8"/>
      <c r="B441" s="638"/>
      <c r="C441" s="638"/>
      <c r="D441" s="638"/>
      <c r="E441" s="638"/>
      <c r="F441" s="638"/>
      <c r="G441" s="638"/>
      <c r="H441" s="638"/>
      <c r="I441" s="638"/>
      <c r="J441" s="638"/>
      <c r="K441" s="638"/>
      <c r="L441" s="638"/>
      <c r="M441" s="638"/>
      <c r="N441" s="638"/>
      <c r="O441" s="639"/>
      <c r="P441" s="635" t="s">
        <v>40</v>
      </c>
      <c r="Q441" s="636"/>
      <c r="R441" s="636"/>
      <c r="S441" s="636"/>
      <c r="T441" s="636"/>
      <c r="U441" s="636"/>
      <c r="V441" s="637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629" t="s">
        <v>145</v>
      </c>
      <c r="B442" s="629"/>
      <c r="C442" s="629"/>
      <c r="D442" s="629"/>
      <c r="E442" s="629"/>
      <c r="F442" s="629"/>
      <c r="G442" s="629"/>
      <c r="H442" s="629"/>
      <c r="I442" s="629"/>
      <c r="J442" s="629"/>
      <c r="K442" s="629"/>
      <c r="L442" s="629"/>
      <c r="M442" s="629"/>
      <c r="N442" s="629"/>
      <c r="O442" s="629"/>
      <c r="P442" s="629"/>
      <c r="Q442" s="629"/>
      <c r="R442" s="629"/>
      <c r="S442" s="629"/>
      <c r="T442" s="629"/>
      <c r="U442" s="629"/>
      <c r="V442" s="629"/>
      <c r="W442" s="629"/>
      <c r="X442" s="629"/>
      <c r="Y442" s="629"/>
      <c r="Z442" s="629"/>
      <c r="AA442" s="66"/>
      <c r="AB442" s="66"/>
      <c r="AC442" s="80"/>
    </row>
    <row r="443" spans="1:68" ht="16.5" customHeight="1" x14ac:dyDescent="0.25">
      <c r="A443" s="63" t="s">
        <v>699</v>
      </c>
      <c r="B443" s="63" t="s">
        <v>700</v>
      </c>
      <c r="C443" s="36">
        <v>4301020334</v>
      </c>
      <c r="D443" s="630">
        <v>4607091388930</v>
      </c>
      <c r="E443" s="630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632"/>
      <c r="R443" s="632"/>
      <c r="S443" s="632"/>
      <c r="T443" s="63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4301020384</v>
      </c>
      <c r="D444" s="630">
        <v>4680115886407</v>
      </c>
      <c r="E444" s="630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85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632"/>
      <c r="R444" s="632"/>
      <c r="S444" s="632"/>
      <c r="T444" s="63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704</v>
      </c>
      <c r="B445" s="63" t="s">
        <v>705</v>
      </c>
      <c r="C445" s="36">
        <v>4301020385</v>
      </c>
      <c r="D445" s="630">
        <v>4680115880054</v>
      </c>
      <c r="E445" s="630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45</v>
      </c>
      <c r="M445" s="38" t="s">
        <v>114</v>
      </c>
      <c r="N445" s="38"/>
      <c r="O445" s="37">
        <v>70</v>
      </c>
      <c r="P445" s="85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632"/>
      <c r="R445" s="632"/>
      <c r="S445" s="632"/>
      <c r="T445" s="633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38"/>
      <c r="B446" s="638"/>
      <c r="C446" s="638"/>
      <c r="D446" s="638"/>
      <c r="E446" s="638"/>
      <c r="F446" s="638"/>
      <c r="G446" s="638"/>
      <c r="H446" s="638"/>
      <c r="I446" s="638"/>
      <c r="J446" s="638"/>
      <c r="K446" s="638"/>
      <c r="L446" s="638"/>
      <c r="M446" s="638"/>
      <c r="N446" s="638"/>
      <c r="O446" s="639"/>
      <c r="P446" s="635" t="s">
        <v>40</v>
      </c>
      <c r="Q446" s="636"/>
      <c r="R446" s="636"/>
      <c r="S446" s="636"/>
      <c r="T446" s="636"/>
      <c r="U446" s="636"/>
      <c r="V446" s="63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29" t="s">
        <v>78</v>
      </c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29"/>
      <c r="P448" s="629"/>
      <c r="Q448" s="629"/>
      <c r="R448" s="629"/>
      <c r="S448" s="629"/>
      <c r="T448" s="629"/>
      <c r="U448" s="629"/>
      <c r="V448" s="629"/>
      <c r="W448" s="629"/>
      <c r="X448" s="629"/>
      <c r="Y448" s="629"/>
      <c r="Z448" s="629"/>
      <c r="AA448" s="66"/>
      <c r="AB448" s="66"/>
      <c r="AC448" s="80"/>
    </row>
    <row r="449" spans="1:68" ht="27" customHeight="1" x14ac:dyDescent="0.25">
      <c r="A449" s="63" t="s">
        <v>706</v>
      </c>
      <c r="B449" s="63" t="s">
        <v>707</v>
      </c>
      <c r="C449" s="36">
        <v>4301031349</v>
      </c>
      <c r="D449" s="630">
        <v>4680115883116</v>
      </c>
      <c r="E449" s="63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8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632"/>
      <c r="R449" s="632"/>
      <c r="S449" s="632"/>
      <c r="T449" s="633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4301031350</v>
      </c>
      <c r="D450" s="630">
        <v>4680115883093</v>
      </c>
      <c r="E450" s="63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8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632"/>
      <c r="R450" s="632"/>
      <c r="S450" s="632"/>
      <c r="T450" s="633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4301031353</v>
      </c>
      <c r="D451" s="630">
        <v>4680115883109</v>
      </c>
      <c r="E451" s="630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632"/>
      <c r="R451" s="632"/>
      <c r="S451" s="632"/>
      <c r="T451" s="63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4301031419</v>
      </c>
      <c r="D452" s="630">
        <v>4680115882072</v>
      </c>
      <c r="E452" s="630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8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632"/>
      <c r="R452" s="632"/>
      <c r="S452" s="632"/>
      <c r="T452" s="63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4301031418</v>
      </c>
      <c r="D453" s="630">
        <v>4680115882102</v>
      </c>
      <c r="E453" s="63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32"/>
      <c r="R453" s="632"/>
      <c r="S453" s="632"/>
      <c r="T453" s="63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719</v>
      </c>
      <c r="B454" s="63" t="s">
        <v>720</v>
      </c>
      <c r="C454" s="36">
        <v>4301031417</v>
      </c>
      <c r="D454" s="630">
        <v>4680115882096</v>
      </c>
      <c r="E454" s="63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32"/>
      <c r="R454" s="632"/>
      <c r="S454" s="632"/>
      <c r="T454" s="63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38"/>
      <c r="B456" s="638"/>
      <c r="C456" s="638"/>
      <c r="D456" s="638"/>
      <c r="E456" s="638"/>
      <c r="F456" s="638"/>
      <c r="G456" s="638"/>
      <c r="H456" s="638"/>
      <c r="I456" s="638"/>
      <c r="J456" s="638"/>
      <c r="K456" s="638"/>
      <c r="L456" s="638"/>
      <c r="M456" s="638"/>
      <c r="N456" s="638"/>
      <c r="O456" s="639"/>
      <c r="P456" s="635" t="s">
        <v>40</v>
      </c>
      <c r="Q456" s="636"/>
      <c r="R456" s="636"/>
      <c r="S456" s="636"/>
      <c r="T456" s="636"/>
      <c r="U456" s="636"/>
      <c r="V456" s="637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629" t="s">
        <v>88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6"/>
      <c r="AB457" s="66"/>
      <c r="AC457" s="80"/>
    </row>
    <row r="458" spans="1:68" ht="27" customHeight="1" x14ac:dyDescent="0.25">
      <c r="A458" s="63" t="s">
        <v>721</v>
      </c>
      <c r="B458" s="63" t="s">
        <v>722</v>
      </c>
      <c r="C458" s="36">
        <v>4301051064</v>
      </c>
      <c r="D458" s="630">
        <v>4680115883536</v>
      </c>
      <c r="E458" s="630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8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632"/>
      <c r="R458" s="632"/>
      <c r="S458" s="632"/>
      <c r="T458" s="633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38"/>
      <c r="B459" s="638"/>
      <c r="C459" s="638"/>
      <c r="D459" s="638"/>
      <c r="E459" s="638"/>
      <c r="F459" s="638"/>
      <c r="G459" s="638"/>
      <c r="H459" s="638"/>
      <c r="I459" s="638"/>
      <c r="J459" s="638"/>
      <c r="K459" s="638"/>
      <c r="L459" s="638"/>
      <c r="M459" s="638"/>
      <c r="N459" s="638"/>
      <c r="O459" s="639"/>
      <c r="P459" s="635" t="s">
        <v>40</v>
      </c>
      <c r="Q459" s="636"/>
      <c r="R459" s="636"/>
      <c r="S459" s="636"/>
      <c r="T459" s="636"/>
      <c r="U459" s="636"/>
      <c r="V459" s="637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638"/>
      <c r="B460" s="638"/>
      <c r="C460" s="638"/>
      <c r="D460" s="638"/>
      <c r="E460" s="638"/>
      <c r="F460" s="638"/>
      <c r="G460" s="638"/>
      <c r="H460" s="638"/>
      <c r="I460" s="638"/>
      <c r="J460" s="638"/>
      <c r="K460" s="638"/>
      <c r="L460" s="638"/>
      <c r="M460" s="638"/>
      <c r="N460" s="638"/>
      <c r="O460" s="639"/>
      <c r="P460" s="635" t="s">
        <v>40</v>
      </c>
      <c r="Q460" s="636"/>
      <c r="R460" s="636"/>
      <c r="S460" s="636"/>
      <c r="T460" s="636"/>
      <c r="U460" s="636"/>
      <c r="V460" s="637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627" t="s">
        <v>724</v>
      </c>
      <c r="B461" s="627"/>
      <c r="C461" s="627"/>
      <c r="D461" s="627"/>
      <c r="E461" s="627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T461" s="627"/>
      <c r="U461" s="627"/>
      <c r="V461" s="627"/>
      <c r="W461" s="627"/>
      <c r="X461" s="627"/>
      <c r="Y461" s="627"/>
      <c r="Z461" s="627"/>
      <c r="AA461" s="54"/>
      <c r="AB461" s="54"/>
      <c r="AC461" s="54"/>
    </row>
    <row r="462" spans="1:68" ht="16.5" customHeight="1" x14ac:dyDescent="0.25">
      <c r="A462" s="628" t="s">
        <v>724</v>
      </c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8"/>
      <c r="P462" s="628"/>
      <c r="Q462" s="628"/>
      <c r="R462" s="628"/>
      <c r="S462" s="628"/>
      <c r="T462" s="628"/>
      <c r="U462" s="628"/>
      <c r="V462" s="628"/>
      <c r="W462" s="628"/>
      <c r="X462" s="628"/>
      <c r="Y462" s="628"/>
      <c r="Z462" s="628"/>
      <c r="AA462" s="65"/>
      <c r="AB462" s="65"/>
      <c r="AC462" s="79"/>
    </row>
    <row r="463" spans="1:68" ht="14.25" customHeight="1" x14ac:dyDescent="0.25">
      <c r="A463" s="629" t="s">
        <v>110</v>
      </c>
      <c r="B463" s="629"/>
      <c r="C463" s="629"/>
      <c r="D463" s="629"/>
      <c r="E463" s="629"/>
      <c r="F463" s="629"/>
      <c r="G463" s="629"/>
      <c r="H463" s="629"/>
      <c r="I463" s="629"/>
      <c r="J463" s="629"/>
      <c r="K463" s="629"/>
      <c r="L463" s="629"/>
      <c r="M463" s="629"/>
      <c r="N463" s="629"/>
      <c r="O463" s="629"/>
      <c r="P463" s="629"/>
      <c r="Q463" s="629"/>
      <c r="R463" s="629"/>
      <c r="S463" s="629"/>
      <c r="T463" s="629"/>
      <c r="U463" s="629"/>
      <c r="V463" s="629"/>
      <c r="W463" s="629"/>
      <c r="X463" s="629"/>
      <c r="Y463" s="629"/>
      <c r="Z463" s="629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4301011763</v>
      </c>
      <c r="D464" s="630">
        <v>4640242181011</v>
      </c>
      <c r="E464" s="630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86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632"/>
      <c r="R464" s="632"/>
      <c r="S464" s="632"/>
      <c r="T464" s="633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4301011585</v>
      </c>
      <c r="D465" s="630">
        <v>4640242180441</v>
      </c>
      <c r="E465" s="630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6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632"/>
      <c r="R465" s="632"/>
      <c r="S465" s="632"/>
      <c r="T465" s="633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4301011584</v>
      </c>
      <c r="D466" s="630">
        <v>4640242180564</v>
      </c>
      <c r="E466" s="630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632"/>
      <c r="R466" s="632"/>
      <c r="S466" s="632"/>
      <c r="T466" s="633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734</v>
      </c>
      <c r="B467" s="63" t="s">
        <v>735</v>
      </c>
      <c r="C467" s="36">
        <v>4301011764</v>
      </c>
      <c r="D467" s="630">
        <v>4640242181189</v>
      </c>
      <c r="E467" s="630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8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632"/>
      <c r="R467" s="632"/>
      <c r="S467" s="632"/>
      <c r="T467" s="63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8"/>
      <c r="B468" s="638"/>
      <c r="C468" s="638"/>
      <c r="D468" s="638"/>
      <c r="E468" s="638"/>
      <c r="F468" s="638"/>
      <c r="G468" s="638"/>
      <c r="H468" s="638"/>
      <c r="I468" s="638"/>
      <c r="J468" s="638"/>
      <c r="K468" s="638"/>
      <c r="L468" s="638"/>
      <c r="M468" s="638"/>
      <c r="N468" s="638"/>
      <c r="O468" s="639"/>
      <c r="P468" s="635" t="s">
        <v>40</v>
      </c>
      <c r="Q468" s="636"/>
      <c r="R468" s="636"/>
      <c r="S468" s="636"/>
      <c r="T468" s="636"/>
      <c r="U468" s="636"/>
      <c r="V468" s="637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38"/>
      <c r="B469" s="638"/>
      <c r="C469" s="638"/>
      <c r="D469" s="638"/>
      <c r="E469" s="638"/>
      <c r="F469" s="638"/>
      <c r="G469" s="638"/>
      <c r="H469" s="638"/>
      <c r="I469" s="638"/>
      <c r="J469" s="638"/>
      <c r="K469" s="638"/>
      <c r="L469" s="638"/>
      <c r="M469" s="638"/>
      <c r="N469" s="638"/>
      <c r="O469" s="639"/>
      <c r="P469" s="635" t="s">
        <v>40</v>
      </c>
      <c r="Q469" s="636"/>
      <c r="R469" s="636"/>
      <c r="S469" s="636"/>
      <c r="T469" s="636"/>
      <c r="U469" s="636"/>
      <c r="V469" s="637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629" t="s">
        <v>145</v>
      </c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29"/>
      <c r="P470" s="629"/>
      <c r="Q470" s="629"/>
      <c r="R470" s="629"/>
      <c r="S470" s="629"/>
      <c r="T470" s="629"/>
      <c r="U470" s="629"/>
      <c r="V470" s="629"/>
      <c r="W470" s="629"/>
      <c r="X470" s="629"/>
      <c r="Y470" s="629"/>
      <c r="Z470" s="629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4301020400</v>
      </c>
      <c r="D471" s="630">
        <v>4640242180519</v>
      </c>
      <c r="E471" s="630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86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632"/>
      <c r="R471" s="632"/>
      <c r="S471" s="632"/>
      <c r="T471" s="63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739</v>
      </c>
      <c r="B472" s="63" t="s">
        <v>740</v>
      </c>
      <c r="C472" s="36">
        <v>4301020260</v>
      </c>
      <c r="D472" s="630">
        <v>4640242180526</v>
      </c>
      <c r="E472" s="630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8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632"/>
      <c r="R472" s="632"/>
      <c r="S472" s="632"/>
      <c r="T472" s="633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38"/>
      <c r="B473" s="638"/>
      <c r="C473" s="638"/>
      <c r="D473" s="638"/>
      <c r="E473" s="638"/>
      <c r="F473" s="638"/>
      <c r="G473" s="638"/>
      <c r="H473" s="638"/>
      <c r="I473" s="638"/>
      <c r="J473" s="638"/>
      <c r="K473" s="638"/>
      <c r="L473" s="638"/>
      <c r="M473" s="638"/>
      <c r="N473" s="638"/>
      <c r="O473" s="639"/>
      <c r="P473" s="635" t="s">
        <v>40</v>
      </c>
      <c r="Q473" s="636"/>
      <c r="R473" s="636"/>
      <c r="S473" s="636"/>
      <c r="T473" s="636"/>
      <c r="U473" s="636"/>
      <c r="V473" s="63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9" t="s">
        <v>78</v>
      </c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29"/>
      <c r="P475" s="629"/>
      <c r="Q475" s="629"/>
      <c r="R475" s="629"/>
      <c r="S475" s="629"/>
      <c r="T475" s="629"/>
      <c r="U475" s="629"/>
      <c r="V475" s="629"/>
      <c r="W475" s="629"/>
      <c r="X475" s="629"/>
      <c r="Y475" s="629"/>
      <c r="Z475" s="629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4301031467</v>
      </c>
      <c r="D476" s="630">
        <v>4640242180595</v>
      </c>
      <c r="E476" s="630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8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632"/>
      <c r="R476" s="632"/>
      <c r="S476" s="632"/>
      <c r="T476" s="633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38"/>
      <c r="B477" s="638"/>
      <c r="C477" s="638"/>
      <c r="D477" s="638"/>
      <c r="E477" s="638"/>
      <c r="F477" s="638"/>
      <c r="G477" s="638"/>
      <c r="H477" s="638"/>
      <c r="I477" s="638"/>
      <c r="J477" s="638"/>
      <c r="K477" s="638"/>
      <c r="L477" s="638"/>
      <c r="M477" s="638"/>
      <c r="N477" s="638"/>
      <c r="O477" s="639"/>
      <c r="P477" s="635" t="s">
        <v>40</v>
      </c>
      <c r="Q477" s="636"/>
      <c r="R477" s="636"/>
      <c r="S477" s="636"/>
      <c r="T477" s="636"/>
      <c r="U477" s="636"/>
      <c r="V477" s="63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38"/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9"/>
      <c r="P478" s="635" t="s">
        <v>40</v>
      </c>
      <c r="Q478" s="636"/>
      <c r="R478" s="636"/>
      <c r="S478" s="636"/>
      <c r="T478" s="636"/>
      <c r="U478" s="636"/>
      <c r="V478" s="63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9" t="s">
        <v>88</v>
      </c>
      <c r="B479" s="629"/>
      <c r="C479" s="629"/>
      <c r="D479" s="629"/>
      <c r="E479" s="629"/>
      <c r="F479" s="629"/>
      <c r="G479" s="629"/>
      <c r="H479" s="629"/>
      <c r="I479" s="629"/>
      <c r="J479" s="629"/>
      <c r="K479" s="629"/>
      <c r="L479" s="629"/>
      <c r="M479" s="629"/>
      <c r="N479" s="629"/>
      <c r="O479" s="629"/>
      <c r="P479" s="629"/>
      <c r="Q479" s="629"/>
      <c r="R479" s="629"/>
      <c r="S479" s="629"/>
      <c r="T479" s="629"/>
      <c r="U479" s="629"/>
      <c r="V479" s="629"/>
      <c r="W479" s="629"/>
      <c r="X479" s="629"/>
      <c r="Y479" s="629"/>
      <c r="Z479" s="629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4301052046</v>
      </c>
      <c r="D480" s="630">
        <v>4640242180533</v>
      </c>
      <c r="E480" s="630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116</v>
      </c>
      <c r="M480" s="38" t="s">
        <v>98</v>
      </c>
      <c r="N480" s="38"/>
      <c r="O480" s="37">
        <v>45</v>
      </c>
      <c r="P480" s="8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632"/>
      <c r="R480" s="632"/>
      <c r="S480" s="632"/>
      <c r="T480" s="63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117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29" t="s">
        <v>170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6"/>
      <c r="AB483" s="66"/>
      <c r="AC483" s="80"/>
    </row>
    <row r="484" spans="1:68" ht="27" customHeight="1" x14ac:dyDescent="0.25">
      <c r="A484" s="63" t="s">
        <v>748</v>
      </c>
      <c r="B484" s="63" t="s">
        <v>749</v>
      </c>
      <c r="C484" s="36">
        <v>4301060491</v>
      </c>
      <c r="D484" s="630">
        <v>4640242180120</v>
      </c>
      <c r="E484" s="630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8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632"/>
      <c r="R484" s="632"/>
      <c r="S484" s="632"/>
      <c r="T484" s="633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751</v>
      </c>
      <c r="B485" s="63" t="s">
        <v>752</v>
      </c>
      <c r="C485" s="36">
        <v>4301060493</v>
      </c>
      <c r="D485" s="630">
        <v>4640242180137</v>
      </c>
      <c r="E485" s="630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8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632"/>
      <c r="R485" s="632"/>
      <c r="S485" s="632"/>
      <c r="T485" s="63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8"/>
      <c r="B486" s="638"/>
      <c r="C486" s="638"/>
      <c r="D486" s="638"/>
      <c r="E486" s="638"/>
      <c r="F486" s="638"/>
      <c r="G486" s="638"/>
      <c r="H486" s="638"/>
      <c r="I486" s="638"/>
      <c r="J486" s="638"/>
      <c r="K486" s="638"/>
      <c r="L486" s="638"/>
      <c r="M486" s="638"/>
      <c r="N486" s="638"/>
      <c r="O486" s="639"/>
      <c r="P486" s="635" t="s">
        <v>40</v>
      </c>
      <c r="Q486" s="636"/>
      <c r="R486" s="636"/>
      <c r="S486" s="636"/>
      <c r="T486" s="636"/>
      <c r="U486" s="636"/>
      <c r="V486" s="637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38"/>
      <c r="B487" s="638"/>
      <c r="C487" s="638"/>
      <c r="D487" s="638"/>
      <c r="E487" s="638"/>
      <c r="F487" s="638"/>
      <c r="G487" s="638"/>
      <c r="H487" s="638"/>
      <c r="I487" s="638"/>
      <c r="J487" s="638"/>
      <c r="K487" s="638"/>
      <c r="L487" s="638"/>
      <c r="M487" s="638"/>
      <c r="N487" s="638"/>
      <c r="O487" s="639"/>
      <c r="P487" s="635" t="s">
        <v>40</v>
      </c>
      <c r="Q487" s="636"/>
      <c r="R487" s="636"/>
      <c r="S487" s="636"/>
      <c r="T487" s="636"/>
      <c r="U487" s="636"/>
      <c r="V487" s="637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28" t="s">
        <v>754</v>
      </c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8"/>
      <c r="P488" s="628"/>
      <c r="Q488" s="628"/>
      <c r="R488" s="628"/>
      <c r="S488" s="628"/>
      <c r="T488" s="628"/>
      <c r="U488" s="628"/>
      <c r="V488" s="628"/>
      <c r="W488" s="628"/>
      <c r="X488" s="628"/>
      <c r="Y488" s="628"/>
      <c r="Z488" s="628"/>
      <c r="AA488" s="65"/>
      <c r="AB488" s="65"/>
      <c r="AC488" s="79"/>
    </row>
    <row r="489" spans="1:68" ht="14.25" customHeight="1" x14ac:dyDescent="0.25">
      <c r="A489" s="629" t="s">
        <v>145</v>
      </c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629"/>
      <c r="P489" s="629"/>
      <c r="Q489" s="629"/>
      <c r="R489" s="629"/>
      <c r="S489" s="629"/>
      <c r="T489" s="629"/>
      <c r="U489" s="629"/>
      <c r="V489" s="629"/>
      <c r="W489" s="629"/>
      <c r="X489" s="629"/>
      <c r="Y489" s="629"/>
      <c r="Z489" s="629"/>
      <c r="AA489" s="66"/>
      <c r="AB489" s="66"/>
      <c r="AC489" s="80"/>
    </row>
    <row r="490" spans="1:68" ht="27" customHeight="1" x14ac:dyDescent="0.25">
      <c r="A490" s="63" t="s">
        <v>755</v>
      </c>
      <c r="B490" s="63" t="s">
        <v>756</v>
      </c>
      <c r="C490" s="36">
        <v>4301020314</v>
      </c>
      <c r="D490" s="630">
        <v>4640242180090</v>
      </c>
      <c r="E490" s="630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8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632"/>
      <c r="R490" s="632"/>
      <c r="S490" s="632"/>
      <c r="T490" s="633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38"/>
      <c r="B492" s="638"/>
      <c r="C492" s="638"/>
      <c r="D492" s="638"/>
      <c r="E492" s="638"/>
      <c r="F492" s="638"/>
      <c r="G492" s="638"/>
      <c r="H492" s="638"/>
      <c r="I492" s="638"/>
      <c r="J492" s="638"/>
      <c r="K492" s="638"/>
      <c r="L492" s="638"/>
      <c r="M492" s="638"/>
      <c r="N492" s="638"/>
      <c r="O492" s="639"/>
      <c r="P492" s="635" t="s">
        <v>40</v>
      </c>
      <c r="Q492" s="636"/>
      <c r="R492" s="636"/>
      <c r="S492" s="636"/>
      <c r="T492" s="636"/>
      <c r="U492" s="636"/>
      <c r="V492" s="637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638"/>
      <c r="B493" s="638"/>
      <c r="C493" s="638"/>
      <c r="D493" s="638"/>
      <c r="E493" s="638"/>
      <c r="F493" s="638"/>
      <c r="G493" s="638"/>
      <c r="H493" s="638"/>
      <c r="I493" s="638"/>
      <c r="J493" s="638"/>
      <c r="K493" s="638"/>
      <c r="L493" s="638"/>
      <c r="M493" s="638"/>
      <c r="N493" s="638"/>
      <c r="O493" s="877"/>
      <c r="P493" s="874" t="s">
        <v>33</v>
      </c>
      <c r="Q493" s="875"/>
      <c r="R493" s="875"/>
      <c r="S493" s="875"/>
      <c r="T493" s="875"/>
      <c r="U493" s="875"/>
      <c r="V493" s="876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0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0</v>
      </c>
      <c r="Z493" s="42"/>
      <c r="AA493" s="67"/>
      <c r="AB493" s="67"/>
      <c r="AC493" s="67"/>
    </row>
    <row r="494" spans="1:68" x14ac:dyDescent="0.2">
      <c r="A494" s="638"/>
      <c r="B494" s="638"/>
      <c r="C494" s="638"/>
      <c r="D494" s="638"/>
      <c r="E494" s="638"/>
      <c r="F494" s="638"/>
      <c r="G494" s="638"/>
      <c r="H494" s="638"/>
      <c r="I494" s="638"/>
      <c r="J494" s="638"/>
      <c r="K494" s="638"/>
      <c r="L494" s="638"/>
      <c r="M494" s="638"/>
      <c r="N494" s="638"/>
      <c r="O494" s="877"/>
      <c r="P494" s="874" t="s">
        <v>34</v>
      </c>
      <c r="Q494" s="875"/>
      <c r="R494" s="875"/>
      <c r="S494" s="875"/>
      <c r="T494" s="875"/>
      <c r="U494" s="875"/>
      <c r="V494" s="876"/>
      <c r="W494" s="42" t="s">
        <v>0</v>
      </c>
      <c r="X494" s="43">
        <f>IFERROR(SUM(BM22:BM490),"0")</f>
        <v>0</v>
      </c>
      <c r="Y494" s="43">
        <f>IFERROR(SUM(BN22:BN490),"0")</f>
        <v>0</v>
      </c>
      <c r="Z494" s="42"/>
      <c r="AA494" s="67"/>
      <c r="AB494" s="67"/>
      <c r="AC494" s="67"/>
    </row>
    <row r="495" spans="1:68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877"/>
      <c r="P495" s="874" t="s">
        <v>35</v>
      </c>
      <c r="Q495" s="875"/>
      <c r="R495" s="875"/>
      <c r="S495" s="875"/>
      <c r="T495" s="875"/>
      <c r="U495" s="875"/>
      <c r="V495" s="876"/>
      <c r="W495" s="42" t="s">
        <v>20</v>
      </c>
      <c r="X495" s="44">
        <f>ROUNDUP(SUM(BO22:BO490),0)</f>
        <v>0</v>
      </c>
      <c r="Y495" s="44">
        <f>ROUNDUP(SUM(BP22:BP490),0)</f>
        <v>0</v>
      </c>
      <c r="Z495" s="42"/>
      <c r="AA495" s="67"/>
      <c r="AB495" s="67"/>
      <c r="AC495" s="67"/>
    </row>
    <row r="496" spans="1:68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877"/>
      <c r="P496" s="874" t="s">
        <v>36</v>
      </c>
      <c r="Q496" s="875"/>
      <c r="R496" s="875"/>
      <c r="S496" s="875"/>
      <c r="T496" s="875"/>
      <c r="U496" s="875"/>
      <c r="V496" s="876"/>
      <c r="W496" s="42" t="s">
        <v>0</v>
      </c>
      <c r="X496" s="43">
        <f>GrossWeightTotal+PalletQtyTotal*25</f>
        <v>0</v>
      </c>
      <c r="Y496" s="43">
        <f>GrossWeightTotalR+PalletQtyTotalR*25</f>
        <v>0</v>
      </c>
      <c r="Z496" s="42"/>
      <c r="AA496" s="67"/>
      <c r="AB496" s="67"/>
      <c r="AC496" s="67"/>
    </row>
    <row r="497" spans="1:32" x14ac:dyDescent="0.2">
      <c r="A497" s="638"/>
      <c r="B497" s="638"/>
      <c r="C497" s="638"/>
      <c r="D497" s="638"/>
      <c r="E497" s="638"/>
      <c r="F497" s="638"/>
      <c r="G497" s="638"/>
      <c r="H497" s="638"/>
      <c r="I497" s="638"/>
      <c r="J497" s="638"/>
      <c r="K497" s="638"/>
      <c r="L497" s="638"/>
      <c r="M497" s="638"/>
      <c r="N497" s="638"/>
      <c r="O497" s="877"/>
      <c r="P497" s="874" t="s">
        <v>37</v>
      </c>
      <c r="Q497" s="875"/>
      <c r="R497" s="875"/>
      <c r="S497" s="875"/>
      <c r="T497" s="875"/>
      <c r="U497" s="875"/>
      <c r="V497" s="876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7" s="42"/>
      <c r="AA497" s="67"/>
      <c r="AB497" s="67"/>
      <c r="AC497" s="67"/>
    </row>
    <row r="498" spans="1:32" ht="14.25" x14ac:dyDescent="0.2">
      <c r="A498" s="638"/>
      <c r="B498" s="638"/>
      <c r="C498" s="638"/>
      <c r="D498" s="638"/>
      <c r="E498" s="638"/>
      <c r="F498" s="638"/>
      <c r="G498" s="638"/>
      <c r="H498" s="638"/>
      <c r="I498" s="638"/>
      <c r="J498" s="638"/>
      <c r="K498" s="638"/>
      <c r="L498" s="638"/>
      <c r="M498" s="638"/>
      <c r="N498" s="638"/>
      <c r="O498" s="877"/>
      <c r="P498" s="874" t="s">
        <v>38</v>
      </c>
      <c r="Q498" s="875"/>
      <c r="R498" s="875"/>
      <c r="S498" s="875"/>
      <c r="T498" s="875"/>
      <c r="U498" s="875"/>
      <c r="V498" s="876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0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880" t="s">
        <v>108</v>
      </c>
      <c r="D500" s="880" t="s">
        <v>108</v>
      </c>
      <c r="E500" s="880" t="s">
        <v>108</v>
      </c>
      <c r="F500" s="880" t="s">
        <v>108</v>
      </c>
      <c r="G500" s="880" t="s">
        <v>108</v>
      </c>
      <c r="H500" s="880" t="s">
        <v>108</v>
      </c>
      <c r="I500" s="880" t="s">
        <v>277</v>
      </c>
      <c r="J500" s="880" t="s">
        <v>277</v>
      </c>
      <c r="K500" s="880" t="s">
        <v>277</v>
      </c>
      <c r="L500" s="880" t="s">
        <v>277</v>
      </c>
      <c r="M500" s="880" t="s">
        <v>277</v>
      </c>
      <c r="N500" s="881"/>
      <c r="O500" s="880" t="s">
        <v>277</v>
      </c>
      <c r="P500" s="880" t="s">
        <v>277</v>
      </c>
      <c r="Q500" s="880" t="s">
        <v>277</v>
      </c>
      <c r="R500" s="880" t="s">
        <v>277</v>
      </c>
      <c r="S500" s="880" t="s">
        <v>564</v>
      </c>
      <c r="T500" s="880" t="s">
        <v>564</v>
      </c>
      <c r="U500" s="880" t="s">
        <v>618</v>
      </c>
      <c r="V500" s="880" t="s">
        <v>618</v>
      </c>
      <c r="W500" s="880" t="s">
        <v>618</v>
      </c>
      <c r="X500" s="85" t="s">
        <v>669</v>
      </c>
      <c r="Y500" s="880" t="s">
        <v>724</v>
      </c>
      <c r="Z500" s="880" t="s">
        <v>724</v>
      </c>
      <c r="AB500" s="60"/>
      <c r="AC500" s="60"/>
      <c r="AF500" s="1"/>
    </row>
    <row r="501" spans="1:32" ht="14.25" customHeight="1" thickTop="1" x14ac:dyDescent="0.2">
      <c r="A501" s="878" t="s">
        <v>10</v>
      </c>
      <c r="B501" s="880" t="s">
        <v>77</v>
      </c>
      <c r="C501" s="880" t="s">
        <v>109</v>
      </c>
      <c r="D501" s="880" t="s">
        <v>126</v>
      </c>
      <c r="E501" s="880" t="s">
        <v>177</v>
      </c>
      <c r="F501" s="880" t="s">
        <v>199</v>
      </c>
      <c r="G501" s="880" t="s">
        <v>238</v>
      </c>
      <c r="H501" s="880" t="s">
        <v>108</v>
      </c>
      <c r="I501" s="880" t="s">
        <v>278</v>
      </c>
      <c r="J501" s="880" t="s">
        <v>333</v>
      </c>
      <c r="K501" s="880" t="s">
        <v>393</v>
      </c>
      <c r="L501" s="880" t="s">
        <v>434</v>
      </c>
      <c r="M501" s="880" t="s">
        <v>450</v>
      </c>
      <c r="N501" s="1"/>
      <c r="O501" s="880" t="s">
        <v>461</v>
      </c>
      <c r="P501" s="880" t="s">
        <v>470</v>
      </c>
      <c r="Q501" s="880" t="s">
        <v>483</v>
      </c>
      <c r="R501" s="880" t="s">
        <v>554</v>
      </c>
      <c r="S501" s="880" t="s">
        <v>565</v>
      </c>
      <c r="T501" s="880" t="s">
        <v>600</v>
      </c>
      <c r="U501" s="880" t="s">
        <v>619</v>
      </c>
      <c r="V501" s="880" t="s">
        <v>650</v>
      </c>
      <c r="W501" s="880" t="s">
        <v>665</v>
      </c>
      <c r="X501" s="880" t="s">
        <v>669</v>
      </c>
      <c r="Y501" s="880" t="s">
        <v>724</v>
      </c>
      <c r="Z501" s="880" t="s">
        <v>754</v>
      </c>
      <c r="AB501" s="60"/>
      <c r="AC501" s="60"/>
      <c r="AF501" s="1"/>
    </row>
    <row r="502" spans="1:32" ht="13.5" thickBot="1" x14ac:dyDescent="0.25">
      <c r="A502" s="879"/>
      <c r="B502" s="880"/>
      <c r="C502" s="880"/>
      <c r="D502" s="880"/>
      <c r="E502" s="880"/>
      <c r="F502" s="880"/>
      <c r="G502" s="880"/>
      <c r="H502" s="880"/>
      <c r="I502" s="880"/>
      <c r="J502" s="880"/>
      <c r="K502" s="880"/>
      <c r="L502" s="880"/>
      <c r="M502" s="880"/>
      <c r="N502" s="1"/>
      <c r="O502" s="880"/>
      <c r="P502" s="880"/>
      <c r="Q502" s="880"/>
      <c r="R502" s="880"/>
      <c r="S502" s="880"/>
      <c r="T502" s="880"/>
      <c r="U502" s="880"/>
      <c r="V502" s="880"/>
      <c r="W502" s="880"/>
      <c r="X502" s="880"/>
      <c r="Y502" s="880"/>
      <c r="Z502" s="880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0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iF9lin2EPXz2mpbQKaSOjZpd0ur942m3fy5zfALFXtYx2YetMSq480SNDFC7nX8uqqbShVSFu1po80ae6q3ZoQ==" saltValue="92nWDMT3nFogACDAvCnsb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80 X449:X451 X443 X434 X432 X414 X392 X384 X359 X352 X349:X350 X322 X280:X281 X220:X223 X218 X207 X204:X205 X170 X168 X166 X116 X114 X102 X99 X91 X84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QSIt3rAF6B9sjUpgj3QNyfQ1rmfSEmxtu5wR4VXbyO+3AK8HKnmghAz3zNxmYWyV08Jk0V5BcXtsAOV5VjSD3g==" saltValue="xDnndXMXPJUuHj0vcb4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986</vt:i4>
      </vt:variant>
    </vt:vector>
  </HeadingPairs>
  <TitlesOfParts>
    <vt:vector size="9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2026-01-15T06:35:32Z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