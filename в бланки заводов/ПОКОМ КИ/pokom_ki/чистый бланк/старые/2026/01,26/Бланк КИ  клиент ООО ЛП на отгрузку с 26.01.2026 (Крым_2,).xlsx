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D1BF0F-2F35-4337-92C6-D4A3F353F3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BN481" i="2" s="1"/>
  <c r="P481" i="2"/>
  <c r="BO480" i="2"/>
  <c r="BM480" i="2"/>
  <c r="Z480" i="2"/>
  <c r="Y480" i="2"/>
  <c r="BP480" i="2" s="1"/>
  <c r="P480" i="2"/>
  <c r="X478" i="2"/>
  <c r="X477" i="2"/>
  <c r="BO476" i="2"/>
  <c r="BM476" i="2"/>
  <c r="Y476" i="2"/>
  <c r="Z476" i="2" s="1"/>
  <c r="Z477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Z468" i="2"/>
  <c r="Y468" i="2"/>
  <c r="BN468" i="2" s="1"/>
  <c r="P468" i="2"/>
  <c r="BO467" i="2"/>
  <c r="BM467" i="2"/>
  <c r="Z467" i="2"/>
  <c r="Y467" i="2"/>
  <c r="Y470" i="2" s="1"/>
  <c r="P467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BO461" i="2"/>
  <c r="BM461" i="2"/>
  <c r="Y461" i="2"/>
  <c r="BP461" i="2" s="1"/>
  <c r="P461" i="2"/>
  <c r="BP460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P453" i="2"/>
  <c r="BO452" i="2"/>
  <c r="BM452" i="2"/>
  <c r="Y452" i="2"/>
  <c r="Z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Z445" i="2" s="1"/>
  <c r="P445" i="2"/>
  <c r="BO444" i="2"/>
  <c r="BM444" i="2"/>
  <c r="Y444" i="2"/>
  <c r="BP444" i="2" s="1"/>
  <c r="P444" i="2"/>
  <c r="BO443" i="2"/>
  <c r="BM443" i="2"/>
  <c r="Y443" i="2"/>
  <c r="P443" i="2"/>
  <c r="X441" i="2"/>
  <c r="X440" i="2"/>
  <c r="BO439" i="2"/>
  <c r="BM439" i="2"/>
  <c r="Y439" i="2"/>
  <c r="BP439" i="2" s="1"/>
  <c r="P439" i="2"/>
  <c r="BO438" i="2"/>
  <c r="BM438" i="2"/>
  <c r="Z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Z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Z431" i="2" s="1"/>
  <c r="P431" i="2"/>
  <c r="BO430" i="2"/>
  <c r="BM430" i="2"/>
  <c r="Y430" i="2"/>
  <c r="Z430" i="2" s="1"/>
  <c r="P430" i="2"/>
  <c r="BO429" i="2"/>
  <c r="BM429" i="2"/>
  <c r="Z429" i="2"/>
  <c r="Y429" i="2"/>
  <c r="BN429" i="2" s="1"/>
  <c r="P429" i="2"/>
  <c r="BO428" i="2"/>
  <c r="BM428" i="2"/>
  <c r="Y428" i="2"/>
  <c r="P428" i="2"/>
  <c r="Y424" i="2"/>
  <c r="X424" i="2"/>
  <c r="Y423" i="2"/>
  <c r="X423" i="2"/>
  <c r="BO422" i="2"/>
  <c r="BM422" i="2"/>
  <c r="Y422" i="2"/>
  <c r="W499" i="2" s="1"/>
  <c r="P422" i="2"/>
  <c r="X419" i="2"/>
  <c r="X418" i="2"/>
  <c r="BO417" i="2"/>
  <c r="BM417" i="2"/>
  <c r="Z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BP414" i="2" s="1"/>
  <c r="P414" i="2"/>
  <c r="X412" i="2"/>
  <c r="X411" i="2"/>
  <c r="BO410" i="2"/>
  <c r="BM410" i="2"/>
  <c r="Y410" i="2"/>
  <c r="P410" i="2"/>
  <c r="Y407" i="2"/>
  <c r="X407" i="2"/>
  <c r="X406" i="2"/>
  <c r="BO405" i="2"/>
  <c r="BM405" i="2"/>
  <c r="Y405" i="2"/>
  <c r="Z405" i="2" s="1"/>
  <c r="P405" i="2"/>
  <c r="BO404" i="2"/>
  <c r="BM404" i="2"/>
  <c r="Y404" i="2"/>
  <c r="Y406" i="2" s="1"/>
  <c r="P404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Z395" i="2" s="1"/>
  <c r="P395" i="2"/>
  <c r="BO394" i="2"/>
  <c r="BM394" i="2"/>
  <c r="Y394" i="2"/>
  <c r="Z394" i="2" s="1"/>
  <c r="P394" i="2"/>
  <c r="BO393" i="2"/>
  <c r="BM393" i="2"/>
  <c r="Z393" i="2"/>
  <c r="Y393" i="2"/>
  <c r="BN393" i="2" s="1"/>
  <c r="P393" i="2"/>
  <c r="BO392" i="2"/>
  <c r="BM392" i="2"/>
  <c r="Y392" i="2"/>
  <c r="P392" i="2"/>
  <c r="X388" i="2"/>
  <c r="X387" i="2"/>
  <c r="BO386" i="2"/>
  <c r="BM386" i="2"/>
  <c r="Y386" i="2"/>
  <c r="BP386" i="2" s="1"/>
  <c r="P386" i="2"/>
  <c r="BO385" i="2"/>
  <c r="BM385" i="2"/>
  <c r="Y385" i="2"/>
  <c r="P385" i="2"/>
  <c r="BO384" i="2"/>
  <c r="BM384" i="2"/>
  <c r="Y384" i="2"/>
  <c r="Z384" i="2" s="1"/>
  <c r="P384" i="2"/>
  <c r="X382" i="2"/>
  <c r="X381" i="2"/>
  <c r="BO380" i="2"/>
  <c r="BM380" i="2"/>
  <c r="Z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P375" i="2"/>
  <c r="BO374" i="2"/>
  <c r="BM374" i="2"/>
  <c r="Y374" i="2"/>
  <c r="P374" i="2"/>
  <c r="X371" i="2"/>
  <c r="X370" i="2"/>
  <c r="BO369" i="2"/>
  <c r="BM369" i="2"/>
  <c r="Y369" i="2"/>
  <c r="Y371" i="2" s="1"/>
  <c r="P369" i="2"/>
  <c r="X367" i="2"/>
  <c r="X366" i="2"/>
  <c r="BO365" i="2"/>
  <c r="BM365" i="2"/>
  <c r="Y365" i="2"/>
  <c r="P365" i="2"/>
  <c r="BO364" i="2"/>
  <c r="BM364" i="2"/>
  <c r="Y364" i="2"/>
  <c r="Z364" i="2" s="1"/>
  <c r="P364" i="2"/>
  <c r="X362" i="2"/>
  <c r="X361" i="2"/>
  <c r="BO360" i="2"/>
  <c r="BM360" i="2"/>
  <c r="Z360" i="2"/>
  <c r="Z361" i="2" s="1"/>
  <c r="Y360" i="2"/>
  <c r="P360" i="2"/>
  <c r="BO359" i="2"/>
  <c r="BM359" i="2"/>
  <c r="Z359" i="2"/>
  <c r="Y359" i="2"/>
  <c r="Y362" i="2" s="1"/>
  <c r="P359" i="2"/>
  <c r="X357" i="2"/>
  <c r="X356" i="2"/>
  <c r="BO355" i="2"/>
  <c r="BM355" i="2"/>
  <c r="Y355" i="2"/>
  <c r="P355" i="2"/>
  <c r="BP354" i="2"/>
  <c r="BO354" i="2"/>
  <c r="BN354" i="2"/>
  <c r="BM354" i="2"/>
  <c r="Z354" i="2"/>
  <c r="Y354" i="2"/>
  <c r="P354" i="2"/>
  <c r="BO353" i="2"/>
  <c r="BM353" i="2"/>
  <c r="Z353" i="2"/>
  <c r="Y353" i="2"/>
  <c r="BN353" i="2" s="1"/>
  <c r="P353" i="2"/>
  <c r="BO352" i="2"/>
  <c r="BM352" i="2"/>
  <c r="Y352" i="2"/>
  <c r="P352" i="2"/>
  <c r="BP351" i="2"/>
  <c r="BO351" i="2"/>
  <c r="BM351" i="2"/>
  <c r="Y351" i="2"/>
  <c r="P351" i="2"/>
  <c r="BO350" i="2"/>
  <c r="BM350" i="2"/>
  <c r="Z350" i="2"/>
  <c r="Y350" i="2"/>
  <c r="BP350" i="2" s="1"/>
  <c r="P350" i="2"/>
  <c r="BO349" i="2"/>
  <c r="BM349" i="2"/>
  <c r="Z349" i="2"/>
  <c r="Y349" i="2"/>
  <c r="P349" i="2"/>
  <c r="X345" i="2"/>
  <c r="X344" i="2"/>
  <c r="BO343" i="2"/>
  <c r="BM343" i="2"/>
  <c r="Y343" i="2"/>
  <c r="P343" i="2"/>
  <c r="BP342" i="2"/>
  <c r="BO342" i="2"/>
  <c r="BN342" i="2"/>
  <c r="BM342" i="2"/>
  <c r="Z342" i="2"/>
  <c r="Y342" i="2"/>
  <c r="P342" i="2"/>
  <c r="BO341" i="2"/>
  <c r="BM341" i="2"/>
  <c r="Z341" i="2"/>
  <c r="Y341" i="2"/>
  <c r="P341" i="2"/>
  <c r="X338" i="2"/>
  <c r="X337" i="2"/>
  <c r="BO336" i="2"/>
  <c r="BM336" i="2"/>
  <c r="Y336" i="2"/>
  <c r="Z336" i="2" s="1"/>
  <c r="P336" i="2"/>
  <c r="BO335" i="2"/>
  <c r="BM335" i="2"/>
  <c r="Y335" i="2"/>
  <c r="Z335" i="2" s="1"/>
  <c r="P335" i="2"/>
  <c r="BO334" i="2"/>
  <c r="BM334" i="2"/>
  <c r="Y334" i="2"/>
  <c r="Z334" i="2" s="1"/>
  <c r="Z337" i="2" s="1"/>
  <c r="P334" i="2"/>
  <c r="X332" i="2"/>
  <c r="X331" i="2"/>
  <c r="BO330" i="2"/>
  <c r="BM330" i="2"/>
  <c r="Y330" i="2"/>
  <c r="P330" i="2"/>
  <c r="BO329" i="2"/>
  <c r="BM329" i="2"/>
  <c r="Y329" i="2"/>
  <c r="Z329" i="2" s="1"/>
  <c r="P329" i="2"/>
  <c r="BO328" i="2"/>
  <c r="BM328" i="2"/>
  <c r="Y328" i="2"/>
  <c r="BP328" i="2" s="1"/>
  <c r="P328" i="2"/>
  <c r="BO327" i="2"/>
  <c r="BM327" i="2"/>
  <c r="Y327" i="2"/>
  <c r="P327" i="2"/>
  <c r="X325" i="2"/>
  <c r="X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BP321" i="2" s="1"/>
  <c r="P321" i="2"/>
  <c r="X319" i="2"/>
  <c r="X318" i="2"/>
  <c r="BP317" i="2"/>
  <c r="BO317" i="2"/>
  <c r="BN317" i="2"/>
  <c r="BM317" i="2"/>
  <c r="Z317" i="2"/>
  <c r="Y317" i="2"/>
  <c r="P317" i="2"/>
  <c r="BO316" i="2"/>
  <c r="BM316" i="2"/>
  <c r="Z316" i="2"/>
  <c r="Y316" i="2"/>
  <c r="BN316" i="2" s="1"/>
  <c r="P316" i="2"/>
  <c r="BO315" i="2"/>
  <c r="BM315" i="2"/>
  <c r="Y315" i="2"/>
  <c r="P315" i="2"/>
  <c r="BP314" i="2"/>
  <c r="BO314" i="2"/>
  <c r="BM314" i="2"/>
  <c r="Y314" i="2"/>
  <c r="P314" i="2"/>
  <c r="X312" i="2"/>
  <c r="X311" i="2"/>
  <c r="BP310" i="2"/>
  <c r="BO310" i="2"/>
  <c r="BM310" i="2"/>
  <c r="Y310" i="2"/>
  <c r="BN310" i="2" s="1"/>
  <c r="P310" i="2"/>
  <c r="BO309" i="2"/>
  <c r="BM309" i="2"/>
  <c r="Y309" i="2"/>
  <c r="P309" i="2"/>
  <c r="BP308" i="2"/>
  <c r="BO308" i="2"/>
  <c r="BM308" i="2"/>
  <c r="Y308" i="2"/>
  <c r="P308" i="2"/>
  <c r="BP307" i="2"/>
  <c r="BO307" i="2"/>
  <c r="BN307" i="2"/>
  <c r="BM307" i="2"/>
  <c r="Z307" i="2"/>
  <c r="Y307" i="2"/>
  <c r="P307" i="2"/>
  <c r="BO306" i="2"/>
  <c r="BM306" i="2"/>
  <c r="Z306" i="2"/>
  <c r="Y306" i="2"/>
  <c r="BN306" i="2" s="1"/>
  <c r="P306" i="2"/>
  <c r="BO305" i="2"/>
  <c r="BM305" i="2"/>
  <c r="Y305" i="2"/>
  <c r="P305" i="2"/>
  <c r="X303" i="2"/>
  <c r="X302" i="2"/>
  <c r="BO301" i="2"/>
  <c r="BM301" i="2"/>
  <c r="Z301" i="2"/>
  <c r="Y301" i="2"/>
  <c r="BN301" i="2" s="1"/>
  <c r="P301" i="2"/>
  <c r="BO300" i="2"/>
  <c r="BM300" i="2"/>
  <c r="Y300" i="2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BP297" i="2"/>
  <c r="BO297" i="2"/>
  <c r="BN297" i="2"/>
  <c r="BM297" i="2"/>
  <c r="Z297" i="2"/>
  <c r="Y297" i="2"/>
  <c r="P297" i="2"/>
  <c r="BO296" i="2"/>
  <c r="BM296" i="2"/>
  <c r="Z296" i="2"/>
  <c r="Y296" i="2"/>
  <c r="P296" i="2"/>
  <c r="X293" i="2"/>
  <c r="X292" i="2"/>
  <c r="BO291" i="2"/>
  <c r="BM291" i="2"/>
  <c r="Y291" i="2"/>
  <c r="P291" i="2"/>
  <c r="BO290" i="2"/>
  <c r="BM290" i="2"/>
  <c r="Z290" i="2"/>
  <c r="Y290" i="2"/>
  <c r="BN290" i="2" s="1"/>
  <c r="P290" i="2"/>
  <c r="X288" i="2"/>
  <c r="X287" i="2"/>
  <c r="BO286" i="2"/>
  <c r="BM286" i="2"/>
  <c r="Y286" i="2"/>
  <c r="Z286" i="2" s="1"/>
  <c r="P286" i="2"/>
  <c r="BO285" i="2"/>
  <c r="BN285" i="2"/>
  <c r="BM285" i="2"/>
  <c r="Z285" i="2"/>
  <c r="Y285" i="2"/>
  <c r="BP285" i="2" s="1"/>
  <c r="P285" i="2"/>
  <c r="X282" i="2"/>
  <c r="X281" i="2"/>
  <c r="BO280" i="2"/>
  <c r="BM280" i="2"/>
  <c r="Z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P278" i="2"/>
  <c r="X275" i="2"/>
  <c r="X274" i="2"/>
  <c r="BP273" i="2"/>
  <c r="BO273" i="2"/>
  <c r="BM273" i="2"/>
  <c r="Y273" i="2"/>
  <c r="P273" i="2"/>
  <c r="BP272" i="2"/>
  <c r="BO272" i="2"/>
  <c r="BN272" i="2"/>
  <c r="BM272" i="2"/>
  <c r="Z272" i="2"/>
  <c r="Y272" i="2"/>
  <c r="P272" i="2"/>
  <c r="BO271" i="2"/>
  <c r="BM271" i="2"/>
  <c r="Z271" i="2"/>
  <c r="Y271" i="2"/>
  <c r="BN271" i="2" s="1"/>
  <c r="P271" i="2"/>
  <c r="BO270" i="2"/>
  <c r="BM270" i="2"/>
  <c r="Y270" i="2"/>
  <c r="P270" i="2"/>
  <c r="X267" i="2"/>
  <c r="X266" i="2"/>
  <c r="BO265" i="2"/>
  <c r="BM265" i="2"/>
  <c r="Z265" i="2"/>
  <c r="Y265" i="2"/>
  <c r="BN265" i="2" s="1"/>
  <c r="P265" i="2"/>
  <c r="BO264" i="2"/>
  <c r="BM264" i="2"/>
  <c r="Y264" i="2"/>
  <c r="P264" i="2"/>
  <c r="BP263" i="2"/>
  <c r="BO263" i="2"/>
  <c r="BN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BO255" i="2"/>
  <c r="BM255" i="2"/>
  <c r="Y255" i="2"/>
  <c r="Z255" i="2" s="1"/>
  <c r="P255" i="2"/>
  <c r="BO254" i="2"/>
  <c r="BM254" i="2"/>
  <c r="Z254" i="2"/>
  <c r="Y254" i="2"/>
  <c r="BN254" i="2" s="1"/>
  <c r="P254" i="2"/>
  <c r="BO253" i="2"/>
  <c r="BM253" i="2"/>
  <c r="Y253" i="2"/>
  <c r="P253" i="2"/>
  <c r="BP252" i="2"/>
  <c r="BO252" i="2"/>
  <c r="BN252" i="2"/>
  <c r="BM252" i="2"/>
  <c r="Z252" i="2"/>
  <c r="Y252" i="2"/>
  <c r="P252" i="2"/>
  <c r="X250" i="2"/>
  <c r="X249" i="2"/>
  <c r="BO248" i="2"/>
  <c r="BM248" i="2"/>
  <c r="Y248" i="2"/>
  <c r="Y249" i="2" s="1"/>
  <c r="P248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P240" i="2"/>
  <c r="BO239" i="2"/>
  <c r="BM239" i="2"/>
  <c r="Y239" i="2"/>
  <c r="P239" i="2"/>
  <c r="BP238" i="2"/>
  <c r="BO238" i="2"/>
  <c r="BN238" i="2"/>
  <c r="BM238" i="2"/>
  <c r="Z238" i="2"/>
  <c r="Y238" i="2"/>
  <c r="P238" i="2"/>
  <c r="BO237" i="2"/>
  <c r="BM237" i="2"/>
  <c r="Z237" i="2"/>
  <c r="Y237" i="2"/>
  <c r="BN237" i="2" s="1"/>
  <c r="P237" i="2"/>
  <c r="BO236" i="2"/>
  <c r="BM236" i="2"/>
  <c r="Y236" i="2"/>
  <c r="P236" i="2"/>
  <c r="BP235" i="2"/>
  <c r="BO235" i="2"/>
  <c r="BM235" i="2"/>
  <c r="Y235" i="2"/>
  <c r="P235" i="2"/>
  <c r="BO234" i="2"/>
  <c r="BM234" i="2"/>
  <c r="Y234" i="2"/>
  <c r="BP234" i="2" s="1"/>
  <c r="P234" i="2"/>
  <c r="BO233" i="2"/>
  <c r="BM233" i="2"/>
  <c r="Z233" i="2"/>
  <c r="Y233" i="2"/>
  <c r="BP233" i="2" s="1"/>
  <c r="P233" i="2"/>
  <c r="BO232" i="2"/>
  <c r="BM232" i="2"/>
  <c r="Y232" i="2"/>
  <c r="BP232" i="2" s="1"/>
  <c r="P232" i="2"/>
  <c r="X229" i="2"/>
  <c r="X228" i="2"/>
  <c r="BO227" i="2"/>
  <c r="BM227" i="2"/>
  <c r="Y227" i="2"/>
  <c r="P227" i="2"/>
  <c r="BO226" i="2"/>
  <c r="BM226" i="2"/>
  <c r="Y226" i="2"/>
  <c r="BP226" i="2" s="1"/>
  <c r="P226" i="2"/>
  <c r="X224" i="2"/>
  <c r="X223" i="2"/>
  <c r="BO222" i="2"/>
  <c r="BM222" i="2"/>
  <c r="Y222" i="2"/>
  <c r="Z222" i="2" s="1"/>
  <c r="P222" i="2"/>
  <c r="BP221" i="2"/>
  <c r="BO221" i="2"/>
  <c r="BM221" i="2"/>
  <c r="Y221" i="2"/>
  <c r="P221" i="2"/>
  <c r="BP220" i="2"/>
  <c r="BO220" i="2"/>
  <c r="BM220" i="2"/>
  <c r="Y220" i="2"/>
  <c r="BN220" i="2" s="1"/>
  <c r="P220" i="2"/>
  <c r="BO219" i="2"/>
  <c r="BM219" i="2"/>
  <c r="Y219" i="2"/>
  <c r="P219" i="2"/>
  <c r="BP218" i="2"/>
  <c r="BO218" i="2"/>
  <c r="BM218" i="2"/>
  <c r="Y218" i="2"/>
  <c r="P218" i="2"/>
  <c r="BP217" i="2"/>
  <c r="BO217" i="2"/>
  <c r="BN217" i="2"/>
  <c r="BM217" i="2"/>
  <c r="Z217" i="2"/>
  <c r="Y217" i="2"/>
  <c r="P217" i="2"/>
  <c r="BO216" i="2"/>
  <c r="BM216" i="2"/>
  <c r="Z216" i="2"/>
  <c r="Y216" i="2"/>
  <c r="BN216" i="2" s="1"/>
  <c r="P216" i="2"/>
  <c r="BO215" i="2"/>
  <c r="BM215" i="2"/>
  <c r="Y215" i="2"/>
  <c r="P215" i="2"/>
  <c r="BO214" i="2"/>
  <c r="BM214" i="2"/>
  <c r="Y214" i="2"/>
  <c r="BP214" i="2" s="1"/>
  <c r="P214" i="2"/>
  <c r="X212" i="2"/>
  <c r="X211" i="2"/>
  <c r="BP210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BO206" i="2"/>
  <c r="BM206" i="2"/>
  <c r="Z206" i="2"/>
  <c r="Y206" i="2"/>
  <c r="BN206" i="2" s="1"/>
  <c r="P206" i="2"/>
  <c r="BO205" i="2"/>
  <c r="BM205" i="2"/>
  <c r="Y205" i="2"/>
  <c r="P205" i="2"/>
  <c r="BP204" i="2"/>
  <c r="BO204" i="2"/>
  <c r="BM204" i="2"/>
  <c r="Y204" i="2"/>
  <c r="P204" i="2"/>
  <c r="BO203" i="2"/>
  <c r="BM203" i="2"/>
  <c r="Y203" i="2"/>
  <c r="P203" i="2"/>
  <c r="Y201" i="2"/>
  <c r="X201" i="2"/>
  <c r="Y200" i="2"/>
  <c r="X200" i="2"/>
  <c r="BP199" i="2"/>
  <c r="BO199" i="2"/>
  <c r="BN199" i="2"/>
  <c r="BM199" i="2"/>
  <c r="Z199" i="2"/>
  <c r="Y199" i="2"/>
  <c r="P199" i="2"/>
  <c r="BO198" i="2"/>
  <c r="BM198" i="2"/>
  <c r="Z198" i="2"/>
  <c r="Z200" i="2" s="1"/>
  <c r="Y198" i="2"/>
  <c r="BN198" i="2" s="1"/>
  <c r="P198" i="2"/>
  <c r="X196" i="2"/>
  <c r="X195" i="2"/>
  <c r="BO194" i="2"/>
  <c r="BM194" i="2"/>
  <c r="Y194" i="2"/>
  <c r="Z194" i="2" s="1"/>
  <c r="P194" i="2"/>
  <c r="BO193" i="2"/>
  <c r="BM193" i="2"/>
  <c r="Y193" i="2"/>
  <c r="P193" i="2"/>
  <c r="X190" i="2"/>
  <c r="X189" i="2"/>
  <c r="BO188" i="2"/>
  <c r="BM188" i="2"/>
  <c r="Y188" i="2"/>
  <c r="BP188" i="2" s="1"/>
  <c r="P188" i="2"/>
  <c r="X186" i="2"/>
  <c r="X185" i="2"/>
  <c r="BP184" i="2"/>
  <c r="BO184" i="2"/>
  <c r="BN184" i="2"/>
  <c r="BM184" i="2"/>
  <c r="Z184" i="2"/>
  <c r="Y184" i="2"/>
  <c r="P184" i="2"/>
  <c r="BO183" i="2"/>
  <c r="BM183" i="2"/>
  <c r="Z183" i="2"/>
  <c r="Y183" i="2"/>
  <c r="BN183" i="2" s="1"/>
  <c r="P183" i="2"/>
  <c r="BO182" i="2"/>
  <c r="BM182" i="2"/>
  <c r="Y182" i="2"/>
  <c r="P182" i="2"/>
  <c r="X180" i="2"/>
  <c r="X179" i="2"/>
  <c r="BP178" i="2"/>
  <c r="BO178" i="2"/>
  <c r="BN178" i="2"/>
  <c r="BM178" i="2"/>
  <c r="Z178" i="2"/>
  <c r="Y178" i="2"/>
  <c r="P178" i="2"/>
  <c r="BO177" i="2"/>
  <c r="BM177" i="2"/>
  <c r="Y177" i="2"/>
  <c r="P177" i="2"/>
  <c r="BP176" i="2"/>
  <c r="BO176" i="2"/>
  <c r="BN176" i="2"/>
  <c r="BM176" i="2"/>
  <c r="Z176" i="2"/>
  <c r="Y176" i="2"/>
  <c r="P176" i="2"/>
  <c r="BO175" i="2"/>
  <c r="BM175" i="2"/>
  <c r="Z175" i="2"/>
  <c r="Y175" i="2"/>
  <c r="BN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Z172" i="2"/>
  <c r="Y172" i="2"/>
  <c r="BP172" i="2" s="1"/>
  <c r="P172" i="2"/>
  <c r="BO171" i="2"/>
  <c r="BM171" i="2"/>
  <c r="Z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P165" i="2"/>
  <c r="X163" i="2"/>
  <c r="X162" i="2"/>
  <c r="BO161" i="2"/>
  <c r="BM161" i="2"/>
  <c r="Y161" i="2"/>
  <c r="Y162" i="2" s="1"/>
  <c r="P161" i="2"/>
  <c r="X157" i="2"/>
  <c r="X156" i="2"/>
  <c r="BP155" i="2"/>
  <c r="BO155" i="2"/>
  <c r="BM155" i="2"/>
  <c r="Y155" i="2"/>
  <c r="Y157" i="2" s="1"/>
  <c r="P155" i="2"/>
  <c r="X153" i="2"/>
  <c r="X152" i="2"/>
  <c r="BO151" i="2"/>
  <c r="BN151" i="2"/>
  <c r="BM151" i="2"/>
  <c r="Z151" i="2"/>
  <c r="Y151" i="2"/>
  <c r="BP151" i="2" s="1"/>
  <c r="P151" i="2"/>
  <c r="BO150" i="2"/>
  <c r="BM150" i="2"/>
  <c r="Y150" i="2"/>
  <c r="Y152" i="2" s="1"/>
  <c r="P150" i="2"/>
  <c r="BO149" i="2"/>
  <c r="BM149" i="2"/>
  <c r="Y149" i="2"/>
  <c r="Z149" i="2" s="1"/>
  <c r="P149" i="2"/>
  <c r="BO148" i="2"/>
  <c r="BM148" i="2"/>
  <c r="Y148" i="2"/>
  <c r="BP148" i="2" s="1"/>
  <c r="P148" i="2"/>
  <c r="BO147" i="2"/>
  <c r="BM147" i="2"/>
  <c r="Y147" i="2"/>
  <c r="Z147" i="2" s="1"/>
  <c r="P147" i="2"/>
  <c r="X145" i="2"/>
  <c r="X144" i="2"/>
  <c r="BO143" i="2"/>
  <c r="BM143" i="2"/>
  <c r="Y143" i="2"/>
  <c r="P143" i="2"/>
  <c r="BO142" i="2"/>
  <c r="BM142" i="2"/>
  <c r="Y142" i="2"/>
  <c r="Z142" i="2" s="1"/>
  <c r="P142" i="2"/>
  <c r="X139" i="2"/>
  <c r="X138" i="2"/>
  <c r="BO137" i="2"/>
  <c r="BM137" i="2"/>
  <c r="Y137" i="2"/>
  <c r="P137" i="2"/>
  <c r="BO136" i="2"/>
  <c r="BM136" i="2"/>
  <c r="Y136" i="2"/>
  <c r="Y139" i="2" s="1"/>
  <c r="P136" i="2"/>
  <c r="X134" i="2"/>
  <c r="X133" i="2"/>
  <c r="BP132" i="2"/>
  <c r="BO132" i="2"/>
  <c r="BM132" i="2"/>
  <c r="Y132" i="2"/>
  <c r="P132" i="2"/>
  <c r="BO131" i="2"/>
  <c r="BM131" i="2"/>
  <c r="Y131" i="2"/>
  <c r="BP131" i="2" s="1"/>
  <c r="P131" i="2"/>
  <c r="X129" i="2"/>
  <c r="X128" i="2"/>
  <c r="BO127" i="2"/>
  <c r="BM127" i="2"/>
  <c r="Y127" i="2"/>
  <c r="BP127" i="2" s="1"/>
  <c r="P127" i="2"/>
  <c r="BO126" i="2"/>
  <c r="BM126" i="2"/>
  <c r="Y126" i="2"/>
  <c r="P126" i="2"/>
  <c r="X123" i="2"/>
  <c r="X122" i="2"/>
  <c r="BO121" i="2"/>
  <c r="BM121" i="2"/>
  <c r="Y121" i="2"/>
  <c r="Y123" i="2" s="1"/>
  <c r="P121" i="2"/>
  <c r="X119" i="2"/>
  <c r="X118" i="2"/>
  <c r="BO117" i="2"/>
  <c r="BM117" i="2"/>
  <c r="Y117" i="2"/>
  <c r="BN117" i="2" s="1"/>
  <c r="P117" i="2"/>
  <c r="BP116" i="2"/>
  <c r="BO116" i="2"/>
  <c r="BN116" i="2"/>
  <c r="BM116" i="2"/>
  <c r="Z116" i="2"/>
  <c r="Y116" i="2"/>
  <c r="P116" i="2"/>
  <c r="BO115" i="2"/>
  <c r="BM115" i="2"/>
  <c r="Z115" i="2"/>
  <c r="Y115" i="2"/>
  <c r="BN115" i="2" s="1"/>
  <c r="P115" i="2"/>
  <c r="BO114" i="2"/>
  <c r="BM114" i="2"/>
  <c r="Y114" i="2"/>
  <c r="Y119" i="2" s="1"/>
  <c r="P114" i="2"/>
  <c r="X112" i="2"/>
  <c r="X111" i="2"/>
  <c r="BO110" i="2"/>
  <c r="BM110" i="2"/>
  <c r="Z110" i="2"/>
  <c r="Y110" i="2"/>
  <c r="BN110" i="2" s="1"/>
  <c r="P110" i="2"/>
  <c r="BO109" i="2"/>
  <c r="BM109" i="2"/>
  <c r="Y109" i="2"/>
  <c r="Y111" i="2" s="1"/>
  <c r="P109" i="2"/>
  <c r="BP108" i="2"/>
  <c r="BO108" i="2"/>
  <c r="BN108" i="2"/>
  <c r="BM108" i="2"/>
  <c r="Z108" i="2"/>
  <c r="Y108" i="2"/>
  <c r="P108" i="2"/>
  <c r="BO107" i="2"/>
  <c r="BM107" i="2"/>
  <c r="Z107" i="2"/>
  <c r="Y107" i="2"/>
  <c r="BN107" i="2" s="1"/>
  <c r="P107" i="2"/>
  <c r="X105" i="2"/>
  <c r="X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Z101" i="2" s="1"/>
  <c r="P101" i="2"/>
  <c r="BO100" i="2"/>
  <c r="BM100" i="2"/>
  <c r="Y100" i="2"/>
  <c r="BN100" i="2" s="1"/>
  <c r="P100" i="2"/>
  <c r="BP99" i="2"/>
  <c r="BO99" i="2"/>
  <c r="BM99" i="2"/>
  <c r="Y99" i="2"/>
  <c r="P99" i="2"/>
  <c r="X96" i="2"/>
  <c r="X95" i="2"/>
  <c r="BO94" i="2"/>
  <c r="BN94" i="2"/>
  <c r="BM94" i="2"/>
  <c r="Z94" i="2"/>
  <c r="Y94" i="2"/>
  <c r="BP94" i="2" s="1"/>
  <c r="P94" i="2"/>
  <c r="BO93" i="2"/>
  <c r="BM93" i="2"/>
  <c r="Y93" i="2"/>
  <c r="Y95" i="2" s="1"/>
  <c r="P93" i="2"/>
  <c r="BO92" i="2"/>
  <c r="BM92" i="2"/>
  <c r="Y92" i="2"/>
  <c r="Z92" i="2" s="1"/>
  <c r="P92" i="2"/>
  <c r="BO91" i="2"/>
  <c r="BM91" i="2"/>
  <c r="Y91" i="2"/>
  <c r="BP91" i="2" s="1"/>
  <c r="P91" i="2"/>
  <c r="X89" i="2"/>
  <c r="X88" i="2"/>
  <c r="BO87" i="2"/>
  <c r="BM87" i="2"/>
  <c r="Y87" i="2"/>
  <c r="BN87" i="2" s="1"/>
  <c r="P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E499" i="2" s="1"/>
  <c r="P84" i="2"/>
  <c r="X81" i="2"/>
  <c r="X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P74" i="2"/>
  <c r="BO74" i="2"/>
  <c r="BN74" i="2"/>
  <c r="BM74" i="2"/>
  <c r="Z74" i="2"/>
  <c r="Y74" i="2"/>
  <c r="P74" i="2"/>
  <c r="BO73" i="2"/>
  <c r="BM73" i="2"/>
  <c r="Z73" i="2"/>
  <c r="Y73" i="2"/>
  <c r="BN73" i="2" s="1"/>
  <c r="P73" i="2"/>
  <c r="BO72" i="2"/>
  <c r="BM72" i="2"/>
  <c r="Y72" i="2"/>
  <c r="BP72" i="2" s="1"/>
  <c r="P72" i="2"/>
  <c r="BO71" i="2"/>
  <c r="BM71" i="2"/>
  <c r="Y71" i="2"/>
  <c r="BN71" i="2" s="1"/>
  <c r="P71" i="2"/>
  <c r="X69" i="2"/>
  <c r="X68" i="2"/>
  <c r="BO67" i="2"/>
  <c r="BM67" i="2"/>
  <c r="Y67" i="2"/>
  <c r="Z67" i="2" s="1"/>
  <c r="P67" i="2"/>
  <c r="BO66" i="2"/>
  <c r="BM66" i="2"/>
  <c r="Z66" i="2"/>
  <c r="Z68" i="2" s="1"/>
  <c r="Y66" i="2"/>
  <c r="BN66" i="2" s="1"/>
  <c r="P66" i="2"/>
  <c r="X64" i="2"/>
  <c r="X63" i="2"/>
  <c r="BP62" i="2"/>
  <c r="BO62" i="2"/>
  <c r="BM62" i="2"/>
  <c r="Y62" i="2"/>
  <c r="BN62" i="2" s="1"/>
  <c r="P62" i="2"/>
  <c r="BO61" i="2"/>
  <c r="BN61" i="2"/>
  <c r="BM61" i="2"/>
  <c r="Z61" i="2"/>
  <c r="Y61" i="2"/>
  <c r="BP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P53" i="2" s="1"/>
  <c r="P53" i="2"/>
  <c r="BP52" i="2"/>
  <c r="BO52" i="2"/>
  <c r="BM52" i="2"/>
  <c r="Y52" i="2"/>
  <c r="P52" i="2"/>
  <c r="BO51" i="2"/>
  <c r="BN51" i="2"/>
  <c r="BM51" i="2"/>
  <c r="Z51" i="2"/>
  <c r="Y51" i="2"/>
  <c r="P51" i="2"/>
  <c r="X48" i="2"/>
  <c r="X47" i="2"/>
  <c r="BO46" i="2"/>
  <c r="BM46" i="2"/>
  <c r="Z46" i="2"/>
  <c r="Z47" i="2" s="1"/>
  <c r="Y46" i="2"/>
  <c r="Y48" i="2" s="1"/>
  <c r="P46" i="2"/>
  <c r="X44" i="2"/>
  <c r="X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BO40" i="2"/>
  <c r="BM40" i="2"/>
  <c r="Z40" i="2"/>
  <c r="Y40" i="2"/>
  <c r="P40" i="2"/>
  <c r="X36" i="2"/>
  <c r="X35" i="2"/>
  <c r="BO34" i="2"/>
  <c r="BM34" i="2"/>
  <c r="Y34" i="2"/>
  <c r="Z34" i="2" s="1"/>
  <c r="Z35" i="2" s="1"/>
  <c r="P34" i="2"/>
  <c r="X32" i="2"/>
  <c r="X31" i="2"/>
  <c r="BO30" i="2"/>
  <c r="BN30" i="2"/>
  <c r="BM30" i="2"/>
  <c r="Z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489" i="2" s="1"/>
  <c r="X24" i="2"/>
  <c r="BO23" i="2"/>
  <c r="BM23" i="2"/>
  <c r="Z23" i="2"/>
  <c r="Y23" i="2"/>
  <c r="BP23" i="2" s="1"/>
  <c r="P23" i="2"/>
  <c r="BO22" i="2"/>
  <c r="X491" i="2" s="1"/>
  <c r="BM22" i="2"/>
  <c r="Z22" i="2"/>
  <c r="Y22" i="2"/>
  <c r="Y25" i="2" s="1"/>
  <c r="P22" i="2"/>
  <c r="H10" i="2"/>
  <c r="A9" i="2"/>
  <c r="A10" i="2" s="1"/>
  <c r="D7" i="2"/>
  <c r="Q6" i="2"/>
  <c r="P2" i="2"/>
  <c r="X490" i="2" l="1"/>
  <c r="BP22" i="2"/>
  <c r="X493" i="2"/>
  <c r="BP27" i="2"/>
  <c r="BN34" i="2"/>
  <c r="BP34" i="2"/>
  <c r="Y35" i="2"/>
  <c r="Y36" i="2"/>
  <c r="C499" i="2"/>
  <c r="BP40" i="2"/>
  <c r="BP42" i="2"/>
  <c r="BP46" i="2"/>
  <c r="Y47" i="2"/>
  <c r="D499" i="2"/>
  <c r="Y57" i="2"/>
  <c r="Z55" i="2"/>
  <c r="BN55" i="2"/>
  <c r="BP66" i="2"/>
  <c r="BN67" i="2"/>
  <c r="BP67" i="2"/>
  <c r="Y68" i="2"/>
  <c r="Z71" i="2"/>
  <c r="Z72" i="2"/>
  <c r="BN72" i="2"/>
  <c r="BP73" i="2"/>
  <c r="Z79" i="2"/>
  <c r="Z84" i="2"/>
  <c r="BN84" i="2"/>
  <c r="BP85" i="2"/>
  <c r="BN92" i="2"/>
  <c r="F499" i="2"/>
  <c r="Z100" i="2"/>
  <c r="Y104" i="2"/>
  <c r="Y105" i="2"/>
  <c r="BP107" i="2"/>
  <c r="BP109" i="2"/>
  <c r="BP110" i="2"/>
  <c r="Z114" i="2"/>
  <c r="BP115" i="2"/>
  <c r="Z117" i="2"/>
  <c r="Z121" i="2"/>
  <c r="Z122" i="2" s="1"/>
  <c r="BN121" i="2"/>
  <c r="G499" i="2"/>
  <c r="BN126" i="2"/>
  <c r="Z131" i="2"/>
  <c r="BN131" i="2"/>
  <c r="Y134" i="2"/>
  <c r="Z136" i="2"/>
  <c r="BP161" i="2"/>
  <c r="BP174" i="2"/>
  <c r="BN174" i="2"/>
  <c r="Z174" i="2"/>
  <c r="BN177" i="2"/>
  <c r="BP177" i="2"/>
  <c r="Y212" i="2"/>
  <c r="BN204" i="2"/>
  <c r="Z204" i="2"/>
  <c r="BP209" i="2"/>
  <c r="BN209" i="2"/>
  <c r="Z209" i="2"/>
  <c r="BP215" i="2"/>
  <c r="Z215" i="2"/>
  <c r="BN218" i="2"/>
  <c r="Z218" i="2"/>
  <c r="BN221" i="2"/>
  <c r="Z221" i="2"/>
  <c r="BP227" i="2"/>
  <c r="BN227" i="2"/>
  <c r="Z227" i="2"/>
  <c r="BP236" i="2"/>
  <c r="Z236" i="2"/>
  <c r="BN239" i="2"/>
  <c r="Z239" i="2"/>
  <c r="Y257" i="2"/>
  <c r="BP253" i="2"/>
  <c r="Y258" i="2"/>
  <c r="L499" i="2"/>
  <c r="BP261" i="2"/>
  <c r="BN261" i="2"/>
  <c r="Z261" i="2"/>
  <c r="Y266" i="2"/>
  <c r="BP264" i="2"/>
  <c r="Y267" i="2"/>
  <c r="Y275" i="2"/>
  <c r="Z270" i="2"/>
  <c r="BN273" i="2"/>
  <c r="Z273" i="2"/>
  <c r="BP309" i="2"/>
  <c r="BN309" i="2"/>
  <c r="Z309" i="2"/>
  <c r="BP315" i="2"/>
  <c r="Z315" i="2"/>
  <c r="BP322" i="2"/>
  <c r="Z322" i="2"/>
  <c r="BN328" i="2"/>
  <c r="BP352" i="2"/>
  <c r="BN352" i="2"/>
  <c r="Z352" i="2"/>
  <c r="BN355" i="2"/>
  <c r="BP355" i="2"/>
  <c r="Y366" i="2"/>
  <c r="BN369" i="2"/>
  <c r="BP369" i="2"/>
  <c r="BN374" i="2"/>
  <c r="Z374" i="2"/>
  <c r="BP374" i="2"/>
  <c r="BN454" i="2"/>
  <c r="F10" i="2"/>
  <c r="Z24" i="2"/>
  <c r="BN60" i="2"/>
  <c r="Y63" i="2"/>
  <c r="BP71" i="2"/>
  <c r="Y75" i="2"/>
  <c r="Y76" i="2"/>
  <c r="BP79" i="2"/>
  <c r="BN93" i="2"/>
  <c r="BP100" i="2"/>
  <c r="BN101" i="2"/>
  <c r="BP101" i="2"/>
  <c r="BN103" i="2"/>
  <c r="Y112" i="2"/>
  <c r="BP117" i="2"/>
  <c r="Y122" i="2"/>
  <c r="BN127" i="2"/>
  <c r="Y129" i="2"/>
  <c r="BP136" i="2"/>
  <c r="BP137" i="2"/>
  <c r="Z137" i="2"/>
  <c r="Z138" i="2" s="1"/>
  <c r="BN150" i="2"/>
  <c r="Y163" i="2"/>
  <c r="Z161" i="2"/>
  <c r="Z162" i="2" s="1"/>
  <c r="BP165" i="2"/>
  <c r="BN165" i="2"/>
  <c r="Z165" i="2"/>
  <c r="Y179" i="2"/>
  <c r="BP169" i="2"/>
  <c r="Z169" i="2"/>
  <c r="BN173" i="2"/>
  <c r="Z173" i="2"/>
  <c r="Y186" i="2"/>
  <c r="Z182" i="2"/>
  <c r="Z185" i="2" s="1"/>
  <c r="BP193" i="2"/>
  <c r="Y196" i="2"/>
  <c r="Y195" i="2"/>
  <c r="BN194" i="2"/>
  <c r="BP205" i="2"/>
  <c r="Z205" i="2"/>
  <c r="BN208" i="2"/>
  <c r="Z208" i="2"/>
  <c r="Y224" i="2"/>
  <c r="Z214" i="2"/>
  <c r="BP219" i="2"/>
  <c r="BN219" i="2"/>
  <c r="Z219" i="2"/>
  <c r="BN222" i="2"/>
  <c r="BP222" i="2"/>
  <c r="BN226" i="2"/>
  <c r="Z226" i="2"/>
  <c r="Z228" i="2" s="1"/>
  <c r="BN235" i="2"/>
  <c r="Z235" i="2"/>
  <c r="BP239" i="2"/>
  <c r="BP240" i="2"/>
  <c r="BN240" i="2"/>
  <c r="Z240" i="2"/>
  <c r="Y282" i="2"/>
  <c r="Z278" i="2"/>
  <c r="BP298" i="2"/>
  <c r="BN298" i="2"/>
  <c r="Z298" i="2"/>
  <c r="BN384" i="2"/>
  <c r="BP384" i="2"/>
  <c r="Y387" i="2"/>
  <c r="BN385" i="2"/>
  <c r="BN398" i="2"/>
  <c r="V499" i="2"/>
  <c r="BP410" i="2"/>
  <c r="BN410" i="2"/>
  <c r="Z410" i="2"/>
  <c r="Z411" i="2" s="1"/>
  <c r="BP415" i="2"/>
  <c r="Z415" i="2"/>
  <c r="BN434" i="2"/>
  <c r="BP443" i="2"/>
  <c r="Y447" i="2"/>
  <c r="Y446" i="2"/>
  <c r="BN443" i="2"/>
  <c r="Y144" i="2"/>
  <c r="BN147" i="2"/>
  <c r="BP147" i="2"/>
  <c r="BN149" i="2"/>
  <c r="BP171" i="2"/>
  <c r="BP175" i="2"/>
  <c r="BP183" i="2"/>
  <c r="BP198" i="2"/>
  <c r="BP206" i="2"/>
  <c r="BP216" i="2"/>
  <c r="BP237" i="2"/>
  <c r="BN248" i="2"/>
  <c r="Y250" i="2"/>
  <c r="BP254" i="2"/>
  <c r="BN255" i="2"/>
  <c r="BP255" i="2"/>
  <c r="BP262" i="2"/>
  <c r="BP265" i="2"/>
  <c r="BP271" i="2"/>
  <c r="BP280" i="2"/>
  <c r="Z287" i="2"/>
  <c r="Y287" i="2"/>
  <c r="Y288" i="2"/>
  <c r="BP290" i="2"/>
  <c r="Y292" i="2"/>
  <c r="BN291" i="2"/>
  <c r="BP291" i="2"/>
  <c r="Y302" i="2"/>
  <c r="BP296" i="2"/>
  <c r="BN300" i="2"/>
  <c r="BP300" i="2"/>
  <c r="Y303" i="2"/>
  <c r="Y312" i="2"/>
  <c r="Z305" i="2"/>
  <c r="BN308" i="2"/>
  <c r="Z308" i="2"/>
  <c r="Y319" i="2"/>
  <c r="Z314" i="2"/>
  <c r="BN343" i="2"/>
  <c r="BP343" i="2"/>
  <c r="BN351" i="2"/>
  <c r="Z351" i="2"/>
  <c r="BP375" i="2"/>
  <c r="BN375" i="2"/>
  <c r="Z375" i="2"/>
  <c r="Y402" i="2"/>
  <c r="BP392" i="2"/>
  <c r="X499" i="2"/>
  <c r="BP428" i="2"/>
  <c r="BN450" i="2"/>
  <c r="BP450" i="2"/>
  <c r="BN451" i="2"/>
  <c r="Z469" i="2"/>
  <c r="BN462" i="2"/>
  <c r="BP462" i="2"/>
  <c r="BN476" i="2"/>
  <c r="BP301" i="2"/>
  <c r="BP306" i="2"/>
  <c r="BP316" i="2"/>
  <c r="Y332" i="2"/>
  <c r="BN327" i="2"/>
  <c r="Y331" i="2"/>
  <c r="BN334" i="2"/>
  <c r="BP334" i="2"/>
  <c r="BN335" i="2"/>
  <c r="BP335" i="2"/>
  <c r="BN336" i="2"/>
  <c r="BP336" i="2"/>
  <c r="Y337" i="2"/>
  <c r="Y338" i="2"/>
  <c r="Y345" i="2"/>
  <c r="BP341" i="2"/>
  <c r="Y357" i="2"/>
  <c r="BP349" i="2"/>
  <c r="BP353" i="2"/>
  <c r="BP359" i="2"/>
  <c r="Y361" i="2"/>
  <c r="BN386" i="2"/>
  <c r="BP393" i="2"/>
  <c r="BN394" i="2"/>
  <c r="BP394" i="2"/>
  <c r="BN395" i="2"/>
  <c r="BP395" i="2"/>
  <c r="BN396" i="2"/>
  <c r="BP396" i="2"/>
  <c r="BN397" i="2"/>
  <c r="Y401" i="2"/>
  <c r="BN404" i="2"/>
  <c r="BP404" i="2"/>
  <c r="BN405" i="2"/>
  <c r="BP405" i="2"/>
  <c r="BP417" i="2"/>
  <c r="BN422" i="2"/>
  <c r="BP429" i="2"/>
  <c r="BN430" i="2"/>
  <c r="BP430" i="2"/>
  <c r="BN431" i="2"/>
  <c r="BP431" i="2"/>
  <c r="BN432" i="2"/>
  <c r="BP432" i="2"/>
  <c r="BN433" i="2"/>
  <c r="BN444" i="2"/>
  <c r="BN452" i="2"/>
  <c r="BP452" i="2"/>
  <c r="Y455" i="2"/>
  <c r="BN453" i="2"/>
  <c r="Y464" i="2"/>
  <c r="Y465" i="2"/>
  <c r="BP467" i="2"/>
  <c r="BP468" i="2"/>
  <c r="Y473" i="2"/>
  <c r="Y499" i="2"/>
  <c r="X492" i="2"/>
  <c r="Z292" i="2"/>
  <c r="Z27" i="2"/>
  <c r="Z52" i="2"/>
  <c r="Z62" i="2"/>
  <c r="BP87" i="2"/>
  <c r="BN22" i="2"/>
  <c r="BN46" i="2"/>
  <c r="Y58" i="2"/>
  <c r="BP92" i="2"/>
  <c r="BP103" i="2"/>
  <c r="BP126" i="2"/>
  <c r="BN136" i="2"/>
  <c r="BP149" i="2"/>
  <c r="BN161" i="2"/>
  <c r="BP194" i="2"/>
  <c r="BN214" i="2"/>
  <c r="Y246" i="2"/>
  <c r="Z291" i="2"/>
  <c r="BN314" i="2"/>
  <c r="Y325" i="2"/>
  <c r="BN349" i="2"/>
  <c r="BN359" i="2"/>
  <c r="Z369" i="2"/>
  <c r="Z370" i="2" s="1"/>
  <c r="Z404" i="2"/>
  <c r="Z406" i="2" s="1"/>
  <c r="Y441" i="2"/>
  <c r="BP476" i="2"/>
  <c r="Y488" i="2"/>
  <c r="H499" i="2"/>
  <c r="BN27" i="2"/>
  <c r="BN52" i="2"/>
  <c r="BN85" i="2"/>
  <c r="Y88" i="2"/>
  <c r="Y96" i="2"/>
  <c r="BN142" i="2"/>
  <c r="Y153" i="2"/>
  <c r="BN166" i="2"/>
  <c r="Y189" i="2"/>
  <c r="BN286" i="2"/>
  <c r="BN329" i="2"/>
  <c r="BN364" i="2"/>
  <c r="Y388" i="2"/>
  <c r="BN399" i="2"/>
  <c r="BN435" i="2"/>
  <c r="BN445" i="2"/>
  <c r="Y456" i="2"/>
  <c r="BP481" i="2"/>
  <c r="I499" i="2"/>
  <c r="Y180" i="2"/>
  <c r="Z472" i="2"/>
  <c r="Z473" i="2" s="1"/>
  <c r="Y477" i="2"/>
  <c r="J499" i="2"/>
  <c r="Z60" i="2"/>
  <c r="Z93" i="2"/>
  <c r="Z127" i="2"/>
  <c r="BP142" i="2"/>
  <c r="Z150" i="2"/>
  <c r="BP166" i="2"/>
  <c r="Y241" i="2"/>
  <c r="Z248" i="2"/>
  <c r="Z249" i="2" s="1"/>
  <c r="BP286" i="2"/>
  <c r="Z327" i="2"/>
  <c r="BP329" i="2"/>
  <c r="BP364" i="2"/>
  <c r="Z385" i="2"/>
  <c r="Z397" i="2"/>
  <c r="BP399" i="2"/>
  <c r="Z433" i="2"/>
  <c r="BP435" i="2"/>
  <c r="Z443" i="2"/>
  <c r="BP445" i="2"/>
  <c r="Z453" i="2"/>
  <c r="BN467" i="2"/>
  <c r="Y482" i="2"/>
  <c r="K499" i="2"/>
  <c r="Z42" i="2"/>
  <c r="Z43" i="2" s="1"/>
  <c r="Y80" i="2"/>
  <c r="Y89" i="2"/>
  <c r="Z99" i="2"/>
  <c r="Z109" i="2"/>
  <c r="Z111" i="2" s="1"/>
  <c r="Z132" i="2"/>
  <c r="Z133" i="2" s="1"/>
  <c r="Z155" i="2"/>
  <c r="Z156" i="2" s="1"/>
  <c r="BN169" i="2"/>
  <c r="Z177" i="2"/>
  <c r="Y190" i="2"/>
  <c r="Z210" i="2"/>
  <c r="Z220" i="2"/>
  <c r="Z223" i="2" s="1"/>
  <c r="BN233" i="2"/>
  <c r="Z253" i="2"/>
  <c r="Z264" i="2"/>
  <c r="Z266" i="2" s="1"/>
  <c r="BN278" i="2"/>
  <c r="Y281" i="2"/>
  <c r="Z300" i="2"/>
  <c r="Z302" i="2" s="1"/>
  <c r="Z310" i="2"/>
  <c r="Z311" i="2" s="1"/>
  <c r="BN322" i="2"/>
  <c r="Z343" i="2"/>
  <c r="Z344" i="2" s="1"/>
  <c r="Z355" i="2"/>
  <c r="Z356" i="2" s="1"/>
  <c r="BN380" i="2"/>
  <c r="Z392" i="2"/>
  <c r="BN415" i="2"/>
  <c r="Y418" i="2"/>
  <c r="Z428" i="2"/>
  <c r="BN438" i="2"/>
  <c r="Z460" i="2"/>
  <c r="BN472" i="2"/>
  <c r="Y478" i="2"/>
  <c r="M499" i="2"/>
  <c r="Z28" i="2"/>
  <c r="Z53" i="2"/>
  <c r="Z86" i="2"/>
  <c r="Z88" i="2" s="1"/>
  <c r="BN99" i="2"/>
  <c r="BN109" i="2"/>
  <c r="BP121" i="2"/>
  <c r="BN132" i="2"/>
  <c r="Z143" i="2"/>
  <c r="Z144" i="2" s="1"/>
  <c r="BN155" i="2"/>
  <c r="Z167" i="2"/>
  <c r="Y223" i="2"/>
  <c r="Y242" i="2"/>
  <c r="BN253" i="2"/>
  <c r="BN264" i="2"/>
  <c r="BP278" i="2"/>
  <c r="Z330" i="2"/>
  <c r="Z365" i="2"/>
  <c r="Z366" i="2" s="1"/>
  <c r="Y370" i="2"/>
  <c r="BN392" i="2"/>
  <c r="Z400" i="2"/>
  <c r="BN428" i="2"/>
  <c r="Z436" i="2"/>
  <c r="BN460" i="2"/>
  <c r="BP472" i="2"/>
  <c r="Y483" i="2"/>
  <c r="O499" i="2"/>
  <c r="BN23" i="2"/>
  <c r="BP60" i="2"/>
  <c r="Y81" i="2"/>
  <c r="Z91" i="2"/>
  <c r="Z95" i="2" s="1"/>
  <c r="BP93" i="2"/>
  <c r="Z102" i="2"/>
  <c r="BN114" i="2"/>
  <c r="BN137" i="2"/>
  <c r="Z148" i="2"/>
  <c r="Z152" i="2" s="1"/>
  <c r="BP150" i="2"/>
  <c r="BN172" i="2"/>
  <c r="BN182" i="2"/>
  <c r="Y185" i="2"/>
  <c r="Z193" i="2"/>
  <c r="Z195" i="2" s="1"/>
  <c r="BN205" i="2"/>
  <c r="BN215" i="2"/>
  <c r="Y228" i="2"/>
  <c r="BN236" i="2"/>
  <c r="BP248" i="2"/>
  <c r="Z256" i="2"/>
  <c r="BN270" i="2"/>
  <c r="BN305" i="2"/>
  <c r="BN315" i="2"/>
  <c r="Y318" i="2"/>
  <c r="BP327" i="2"/>
  <c r="BN350" i="2"/>
  <c r="BN360" i="2"/>
  <c r="Y376" i="2"/>
  <c r="BP385" i="2"/>
  <c r="Y411" i="2"/>
  <c r="Y419" i="2"/>
  <c r="Z451" i="2"/>
  <c r="BP453" i="2"/>
  <c r="Z463" i="2"/>
  <c r="P499" i="2"/>
  <c r="BN167" i="2"/>
  <c r="BN330" i="2"/>
  <c r="BN365" i="2"/>
  <c r="Y381" i="2"/>
  <c r="BN400" i="2"/>
  <c r="BN436" i="2"/>
  <c r="Q499" i="2"/>
  <c r="F9" i="2"/>
  <c r="BN28" i="2"/>
  <c r="BN53" i="2"/>
  <c r="BN143" i="2"/>
  <c r="H9" i="2"/>
  <c r="Z56" i="2"/>
  <c r="Y69" i="2"/>
  <c r="Z78" i="2"/>
  <c r="Z80" i="2" s="1"/>
  <c r="BN91" i="2"/>
  <c r="BN102" i="2"/>
  <c r="BP114" i="2"/>
  <c r="Y128" i="2"/>
  <c r="BN148" i="2"/>
  <c r="Z170" i="2"/>
  <c r="BP182" i="2"/>
  <c r="BN193" i="2"/>
  <c r="Z203" i="2"/>
  <c r="Z234" i="2"/>
  <c r="Z244" i="2"/>
  <c r="Z245" i="2" s="1"/>
  <c r="BN256" i="2"/>
  <c r="BP270" i="2"/>
  <c r="Z279" i="2"/>
  <c r="Z281" i="2" s="1"/>
  <c r="Y293" i="2"/>
  <c r="BP305" i="2"/>
  <c r="Z323" i="2"/>
  <c r="BP360" i="2"/>
  <c r="Z416" i="2"/>
  <c r="Z439" i="2"/>
  <c r="BN463" i="2"/>
  <c r="Z486" i="2"/>
  <c r="Z487" i="2" s="1"/>
  <c r="R499" i="2"/>
  <c r="Y31" i="2"/>
  <c r="BN86" i="2"/>
  <c r="J9" i="2"/>
  <c r="BN40" i="2"/>
  <c r="Y43" i="2"/>
  <c r="Y133" i="2"/>
  <c r="BP143" i="2"/>
  <c r="Y156" i="2"/>
  <c r="Y211" i="2"/>
  <c r="Y229" i="2"/>
  <c r="Y311" i="2"/>
  <c r="Z328" i="2"/>
  <c r="BP330" i="2"/>
  <c r="BN341" i="2"/>
  <c r="Y344" i="2"/>
  <c r="Y356" i="2"/>
  <c r="BP365" i="2"/>
  <c r="Y377" i="2"/>
  <c r="Z386" i="2"/>
  <c r="Z398" i="2"/>
  <c r="BP400" i="2"/>
  <c r="Y412" i="2"/>
  <c r="Z422" i="2"/>
  <c r="Z423" i="2" s="1"/>
  <c r="Z434" i="2"/>
  <c r="Z444" i="2"/>
  <c r="Z454" i="2"/>
  <c r="BN480" i="2"/>
  <c r="S499" i="2"/>
  <c r="Y24" i="2"/>
  <c r="BN56" i="2"/>
  <c r="BN78" i="2"/>
  <c r="Y138" i="2"/>
  <c r="BN170" i="2"/>
  <c r="BN203" i="2"/>
  <c r="BN234" i="2"/>
  <c r="BN244" i="2"/>
  <c r="BN279" i="2"/>
  <c r="BN323" i="2"/>
  <c r="Y382" i="2"/>
  <c r="BN416" i="2"/>
  <c r="BN439" i="2"/>
  <c r="Z449" i="2"/>
  <c r="Z461" i="2"/>
  <c r="BN486" i="2"/>
  <c r="T499" i="2"/>
  <c r="B499" i="2"/>
  <c r="U499" i="2"/>
  <c r="Z29" i="2"/>
  <c r="Y44" i="2"/>
  <c r="Z54" i="2"/>
  <c r="Z87" i="2"/>
  <c r="Z168" i="2"/>
  <c r="Z188" i="2"/>
  <c r="Z189" i="2" s="1"/>
  <c r="BP203" i="2"/>
  <c r="Z232" i="2"/>
  <c r="BP244" i="2"/>
  <c r="Z321" i="2"/>
  <c r="Z324" i="2" s="1"/>
  <c r="Z379" i="2"/>
  <c r="Z381" i="2" s="1"/>
  <c r="Z414" i="2"/>
  <c r="Z418" i="2" s="1"/>
  <c r="Z437" i="2"/>
  <c r="BN449" i="2"/>
  <c r="BN461" i="2"/>
  <c r="BP486" i="2"/>
  <c r="BP51" i="2"/>
  <c r="Y491" i="2" s="1"/>
  <c r="BP84" i="2"/>
  <c r="Y118" i="2"/>
  <c r="Z126" i="2"/>
  <c r="Z128" i="2" s="1"/>
  <c r="Y274" i="2"/>
  <c r="BN296" i="2"/>
  <c r="BP422" i="2"/>
  <c r="Y469" i="2"/>
  <c r="BN29" i="2"/>
  <c r="BN54" i="2"/>
  <c r="Y145" i="2"/>
  <c r="BN168" i="2"/>
  <c r="BN188" i="2"/>
  <c r="BN232" i="2"/>
  <c r="BN321" i="2"/>
  <c r="Y324" i="2"/>
  <c r="Y367" i="2"/>
  <c r="BN379" i="2"/>
  <c r="BN414" i="2"/>
  <c r="BN437" i="2"/>
  <c r="Y440" i="2"/>
  <c r="Z481" i="2"/>
  <c r="Z482" i="2" s="1"/>
  <c r="Y487" i="2"/>
  <c r="Z166" i="2"/>
  <c r="Y489" i="2" l="1"/>
  <c r="Z179" i="2"/>
  <c r="Z257" i="2"/>
  <c r="Z387" i="2"/>
  <c r="Z318" i="2"/>
  <c r="Z118" i="2"/>
  <c r="Z75" i="2"/>
  <c r="Z376" i="2"/>
  <c r="Z274" i="2"/>
  <c r="Z446" i="2"/>
  <c r="Z401" i="2"/>
  <c r="Z440" i="2"/>
  <c r="Z331" i="2"/>
  <c r="Z104" i="2"/>
  <c r="Y490" i="2"/>
  <c r="Y492" i="2" s="1"/>
  <c r="Z455" i="2"/>
  <c r="Z464" i="2"/>
  <c r="Z57" i="2"/>
  <c r="Z211" i="2"/>
  <c r="Z241" i="2"/>
  <c r="Z31" i="2"/>
  <c r="Y493" i="2"/>
  <c r="Z63" i="2"/>
  <c r="Z494" i="2" l="1"/>
</calcChain>
</file>

<file path=xl/sharedStrings.xml><?xml version="1.0" encoding="utf-8"?>
<sst xmlns="http://schemas.openxmlformats.org/spreadsheetml/2006/main" count="3615" uniqueCount="771">
  <si>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</si>
  <si>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</si>
  <si>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</si>
  <si>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</si>
  <si>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</si>
  <si>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</si>
  <si>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</si>
  <si>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</si>
  <si>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</si>
  <si>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</si>
  <si>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</si>
  <si>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</si>
  <si>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</si>
  <si>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</si>
  <si>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</si>
  <si>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</si>
  <si>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</si>
  <si>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</si>
  <si>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</si>
  <si>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</si>
  <si>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</si>
  <si>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</si>
  <si>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</si>
  <si>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</si>
  <si>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</si>
  <si>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</si>
  <si>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</si>
  <si>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</si>
  <si>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</si>
  <si>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</si>
  <si>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</si>
  <si>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</si>
  <si>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</si>
  <si>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</si>
  <si>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</si>
  <si>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</si>
  <si>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</si>
  <si>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</si>
  <si>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</si>
  <si>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</si>
  <si>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</si>
  <si>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</si>
  <si>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</si>
  <si>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</si>
  <si>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</si>
  <si>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</si>
  <si>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</si>
  <si>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</si>
  <si>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</si>
  <si>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</si>
  <si>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</si>
  <si>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</si>
  <si>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</si>
  <si>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</si>
  <si>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</si>
  <si>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</si>
  <si>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</si>
  <si>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</si>
  <si>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</si>
  <si>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</si>
  <si>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</si>
  <si>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</si>
  <si>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</si>
  <si>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</si>
  <si>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</si>
  <si>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</si>
  <si>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</si>
  <si>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26.01.2026</t>
  </si>
  <si>
    <t>21.01.2026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</si>
  <si>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</si>
  <si>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</si>
  <si>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</si>
  <si>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</si>
  <si>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</si>
  <si>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</si>
  <si>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</si>
  <si>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</si>
  <si>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</si>
  <si>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</si>
  <si>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</si>
  <si>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</si>
  <si>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</si>
  <si>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</si>
  <si>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</si>
  <si>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</si>
  <si>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</si>
  <si>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</si>
  <si>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</si>
  <si>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</si>
  <si>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</si>
  <si>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</si>
  <si>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</si>
  <si>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</si>
  <si>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Короб, мин. 14</t>
  </si>
  <si>
    <t>Короб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</si>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</sst>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46047</v>
      </c>
      <c r="R5" s="563"/>
      <c r="T5" s="564" t="s">
        <v>3</v>
      </c>
      <c r="U5" s="565"/>
      <c r="V5" s="566" t="s">
        <v>757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75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Воскресенье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1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 t="s">
        <v>76</v>
      </c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0.375</v>
      </c>
      <c r="R8" s="583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/>
      <c r="R9" s="588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/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3"/>
      <c r="R12" s="583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customHeight="1" x14ac:dyDescent="0.2">
      <c r="A19" s="624" t="s">
        <v>77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customHeight="1" x14ac:dyDescent="0.25">
      <c r="A20" s="625" t="s">
        <v>77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customHeight="1" x14ac:dyDescent="0.25">
      <c r="A21" s="626" t="s">
        <v>78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6" t="s">
        <v>88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93</v>
      </c>
      <c r="M27" s="38" t="s">
        <v>92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94</v>
      </c>
      <c r="AK27" s="84">
        <v>25.2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95</v>
      </c>
      <c r="B28" s="63" t="s">
        <v>96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100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100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5"/>
      <c r="B31" s="635"/>
      <c r="C31" s="635"/>
      <c r="D31" s="635"/>
      <c r="E31" s="635"/>
      <c r="F31" s="635"/>
      <c r="G31" s="635"/>
      <c r="H31" s="635"/>
      <c r="I31" s="635"/>
      <c r="J31" s="635"/>
      <c r="K31" s="635"/>
      <c r="L31" s="635"/>
      <c r="M31" s="635"/>
      <c r="N31" s="635"/>
      <c r="O31" s="636"/>
      <c r="P31" s="632" t="s">
        <v>40</v>
      </c>
      <c r="Q31" s="633"/>
      <c r="R31" s="633"/>
      <c r="S31" s="633"/>
      <c r="T31" s="633"/>
      <c r="U31" s="633"/>
      <c r="V31" s="634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6" t="s">
        <v>104</v>
      </c>
      <c r="B33" s="626"/>
      <c r="C33" s="626"/>
      <c r="D33" s="626"/>
      <c r="E33" s="626"/>
      <c r="F33" s="626"/>
      <c r="G33" s="626"/>
      <c r="H33" s="626"/>
      <c r="I33" s="626"/>
      <c r="J33" s="626"/>
      <c r="K33" s="626"/>
      <c r="L33" s="626"/>
      <c r="M33" s="626"/>
      <c r="N33" s="626"/>
      <c r="O33" s="626"/>
      <c r="P33" s="626"/>
      <c r="Q33" s="626"/>
      <c r="R33" s="626"/>
      <c r="S33" s="626"/>
      <c r="T33" s="626"/>
      <c r="U33" s="626"/>
      <c r="V33" s="626"/>
      <c r="W33" s="626"/>
      <c r="X33" s="626"/>
      <c r="Y33" s="626"/>
      <c r="Z33" s="626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7">
        <v>4607091388503</v>
      </c>
      <c r="E34" s="627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109</v>
      </c>
      <c r="N34" s="38"/>
      <c r="O34" s="37">
        <v>120</v>
      </c>
      <c r="P34" s="6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9"/>
      <c r="R34" s="629"/>
      <c r="S34" s="629"/>
      <c r="T34" s="630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5"/>
      <c r="B35" s="635"/>
      <c r="C35" s="635"/>
      <c r="D35" s="635"/>
      <c r="E35" s="635"/>
      <c r="F35" s="635"/>
      <c r="G35" s="635"/>
      <c r="H35" s="635"/>
      <c r="I35" s="635"/>
      <c r="J35" s="635"/>
      <c r="K35" s="635"/>
      <c r="L35" s="635"/>
      <c r="M35" s="635"/>
      <c r="N35" s="635"/>
      <c r="O35" s="636"/>
      <c r="P35" s="632" t="s">
        <v>40</v>
      </c>
      <c r="Q35" s="633"/>
      <c r="R35" s="633"/>
      <c r="S35" s="633"/>
      <c r="T35" s="633"/>
      <c r="U35" s="633"/>
      <c r="V35" s="634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5"/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6"/>
      <c r="P36" s="632" t="s">
        <v>40</v>
      </c>
      <c r="Q36" s="633"/>
      <c r="R36" s="633"/>
      <c r="S36" s="633"/>
      <c r="T36" s="633"/>
      <c r="U36" s="633"/>
      <c r="V36" s="634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4" t="s">
        <v>110</v>
      </c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4"/>
      <c r="P37" s="624"/>
      <c r="Q37" s="624"/>
      <c r="R37" s="624"/>
      <c r="S37" s="624"/>
      <c r="T37" s="624"/>
      <c r="U37" s="624"/>
      <c r="V37" s="624"/>
      <c r="W37" s="624"/>
      <c r="X37" s="624"/>
      <c r="Y37" s="624"/>
      <c r="Z37" s="624"/>
      <c r="AA37" s="54"/>
      <c r="AB37" s="54"/>
      <c r="AC37" s="54"/>
    </row>
    <row r="38" spans="1:68" ht="16.5" customHeight="1" x14ac:dyDescent="0.25">
      <c r="A38" s="625" t="s">
        <v>111</v>
      </c>
      <c r="B38" s="625"/>
      <c r="C38" s="625"/>
      <c r="D38" s="625"/>
      <c r="E38" s="625"/>
      <c r="F38" s="625"/>
      <c r="G38" s="625"/>
      <c r="H38" s="625"/>
      <c r="I38" s="625"/>
      <c r="J38" s="625"/>
      <c r="K38" s="625"/>
      <c r="L38" s="625"/>
      <c r="M38" s="625"/>
      <c r="N38" s="625"/>
      <c r="O38" s="625"/>
      <c r="P38" s="625"/>
      <c r="Q38" s="625"/>
      <c r="R38" s="625"/>
      <c r="S38" s="625"/>
      <c r="T38" s="625"/>
      <c r="U38" s="625"/>
      <c r="V38" s="625"/>
      <c r="W38" s="625"/>
      <c r="X38" s="625"/>
      <c r="Y38" s="625"/>
      <c r="Z38" s="625"/>
      <c r="AA38" s="65"/>
      <c r="AB38" s="65"/>
      <c r="AC38" s="79"/>
    </row>
    <row r="39" spans="1:68" ht="14.25" customHeight="1" x14ac:dyDescent="0.25">
      <c r="A39" s="626" t="s">
        <v>112</v>
      </c>
      <c r="B39" s="626"/>
      <c r="C39" s="626"/>
      <c r="D39" s="626"/>
      <c r="E39" s="626"/>
      <c r="F39" s="626"/>
      <c r="G39" s="626"/>
      <c r="H39" s="626"/>
      <c r="I39" s="626"/>
      <c r="J39" s="626"/>
      <c r="K39" s="626"/>
      <c r="L39" s="626"/>
      <c r="M39" s="626"/>
      <c r="N39" s="626"/>
      <c r="O39" s="626"/>
      <c r="P39" s="626"/>
      <c r="Q39" s="626"/>
      <c r="R39" s="626"/>
      <c r="S39" s="626"/>
      <c r="T39" s="626"/>
      <c r="U39" s="626"/>
      <c r="V39" s="626"/>
      <c r="W39" s="626"/>
      <c r="X39" s="626"/>
      <c r="Y39" s="626"/>
      <c r="Z39" s="626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7">
        <v>4607091385670</v>
      </c>
      <c r="E40" s="627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9"/>
      <c r="R40" s="629"/>
      <c r="S40" s="629"/>
      <c r="T40" s="630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94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27">
        <v>4607091385687</v>
      </c>
      <c r="E41" s="627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92</v>
      </c>
      <c r="N41" s="38"/>
      <c r="O41" s="37">
        <v>50</v>
      </c>
      <c r="P41" s="6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9"/>
      <c r="R41" s="629"/>
      <c r="S41" s="629"/>
      <c r="T41" s="63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94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27">
        <v>4680115882539</v>
      </c>
      <c r="E42" s="627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92</v>
      </c>
      <c r="N42" s="38"/>
      <c r="O42" s="37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5"/>
      <c r="B43" s="635"/>
      <c r="C43" s="635"/>
      <c r="D43" s="635"/>
      <c r="E43" s="635"/>
      <c r="F43" s="635"/>
      <c r="G43" s="635"/>
      <c r="H43" s="635"/>
      <c r="I43" s="635"/>
      <c r="J43" s="635"/>
      <c r="K43" s="635"/>
      <c r="L43" s="635"/>
      <c r="M43" s="635"/>
      <c r="N43" s="635"/>
      <c r="O43" s="636"/>
      <c r="P43" s="632" t="s">
        <v>40</v>
      </c>
      <c r="Q43" s="633"/>
      <c r="R43" s="633"/>
      <c r="S43" s="633"/>
      <c r="T43" s="633"/>
      <c r="U43" s="633"/>
      <c r="V43" s="634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6" t="s">
        <v>88</v>
      </c>
      <c r="B45" s="626"/>
      <c r="C45" s="626"/>
      <c r="D45" s="626"/>
      <c r="E45" s="626"/>
      <c r="F45" s="626"/>
      <c r="G45" s="626"/>
      <c r="H45" s="626"/>
      <c r="I45" s="626"/>
      <c r="J45" s="626"/>
      <c r="K45" s="626"/>
      <c r="L45" s="626"/>
      <c r="M45" s="626"/>
      <c r="N45" s="626"/>
      <c r="O45" s="626"/>
      <c r="P45" s="626"/>
      <c r="Q45" s="626"/>
      <c r="R45" s="626"/>
      <c r="S45" s="626"/>
      <c r="T45" s="626"/>
      <c r="U45" s="626"/>
      <c r="V45" s="626"/>
      <c r="W45" s="626"/>
      <c r="X45" s="626"/>
      <c r="Y45" s="626"/>
      <c r="Z45" s="626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7">
        <v>4680115884915</v>
      </c>
      <c r="E46" s="627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9"/>
      <c r="R46" s="629"/>
      <c r="S46" s="629"/>
      <c r="T46" s="630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5"/>
      <c r="B47" s="635"/>
      <c r="C47" s="635"/>
      <c r="D47" s="635"/>
      <c r="E47" s="635"/>
      <c r="F47" s="635"/>
      <c r="G47" s="635"/>
      <c r="H47" s="635"/>
      <c r="I47" s="635"/>
      <c r="J47" s="635"/>
      <c r="K47" s="635"/>
      <c r="L47" s="635"/>
      <c r="M47" s="635"/>
      <c r="N47" s="635"/>
      <c r="O47" s="636"/>
      <c r="P47" s="632" t="s">
        <v>40</v>
      </c>
      <c r="Q47" s="633"/>
      <c r="R47" s="633"/>
      <c r="S47" s="633"/>
      <c r="T47" s="633"/>
      <c r="U47" s="633"/>
      <c r="V47" s="634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6"/>
      <c r="P48" s="632" t="s">
        <v>40</v>
      </c>
      <c r="Q48" s="633"/>
      <c r="R48" s="633"/>
      <c r="S48" s="633"/>
      <c r="T48" s="633"/>
      <c r="U48" s="633"/>
      <c r="V48" s="634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5" t="s">
        <v>128</v>
      </c>
      <c r="B49" s="625"/>
      <c r="C49" s="625"/>
      <c r="D49" s="625"/>
      <c r="E49" s="625"/>
      <c r="F49" s="625"/>
      <c r="G49" s="625"/>
      <c r="H49" s="625"/>
      <c r="I49" s="625"/>
      <c r="J49" s="625"/>
      <c r="K49" s="625"/>
      <c r="L49" s="625"/>
      <c r="M49" s="625"/>
      <c r="N49" s="625"/>
      <c r="O49" s="625"/>
      <c r="P49" s="625"/>
      <c r="Q49" s="625"/>
      <c r="R49" s="625"/>
      <c r="S49" s="625"/>
      <c r="T49" s="625"/>
      <c r="U49" s="625"/>
      <c r="V49" s="625"/>
      <c r="W49" s="625"/>
      <c r="X49" s="625"/>
      <c r="Y49" s="625"/>
      <c r="Z49" s="625"/>
      <c r="AA49" s="65"/>
      <c r="AB49" s="65"/>
      <c r="AC49" s="79"/>
    </row>
    <row r="50" spans="1:68" ht="14.25" customHeight="1" x14ac:dyDescent="0.25">
      <c r="A50" s="626" t="s">
        <v>112</v>
      </c>
      <c r="B50" s="626"/>
      <c r="C50" s="626"/>
      <c r="D50" s="626"/>
      <c r="E50" s="626"/>
      <c r="F50" s="626"/>
      <c r="G50" s="626"/>
      <c r="H50" s="626"/>
      <c r="I50" s="626"/>
      <c r="J50" s="626"/>
      <c r="K50" s="626"/>
      <c r="L50" s="626"/>
      <c r="M50" s="626"/>
      <c r="N50" s="626"/>
      <c r="O50" s="626"/>
      <c r="P50" s="626"/>
      <c r="Q50" s="626"/>
      <c r="R50" s="626"/>
      <c r="S50" s="626"/>
      <c r="T50" s="626"/>
      <c r="U50" s="626"/>
      <c r="V50" s="626"/>
      <c r="W50" s="626"/>
      <c r="X50" s="626"/>
      <c r="Y50" s="626"/>
      <c r="Z50" s="626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7">
        <v>4680115885882</v>
      </c>
      <c r="E51" s="627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45</v>
      </c>
      <c r="M51" s="38" t="s">
        <v>92</v>
      </c>
      <c r="N51" s="38"/>
      <c r="O51" s="37">
        <v>50</v>
      </c>
      <c r="P51" s="6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9"/>
      <c r="R51" s="629"/>
      <c r="S51" s="629"/>
      <c r="T51" s="630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7">
        <v>4680115881426</v>
      </c>
      <c r="E52" s="627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9"/>
      <c r="R52" s="629"/>
      <c r="S52" s="629"/>
      <c r="T52" s="630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7">
        <v>4680115880283</v>
      </c>
      <c r="E53" s="627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4301011806</v>
      </c>
      <c r="D54" s="627">
        <v>4680115881525</v>
      </c>
      <c r="E54" s="627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7">
        <v>4680115885899</v>
      </c>
      <c r="E55" s="627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100</v>
      </c>
      <c r="N55" s="38"/>
      <c r="O55" s="37">
        <v>50</v>
      </c>
      <c r="P55" s="6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144</v>
      </c>
      <c r="B56" s="63" t="s">
        <v>145</v>
      </c>
      <c r="C56" s="36">
        <v>4301011801</v>
      </c>
      <c r="D56" s="627">
        <v>4680115881419</v>
      </c>
      <c r="E56" s="627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122</v>
      </c>
      <c r="M56" s="38" t="s">
        <v>116</v>
      </c>
      <c r="N56" s="38"/>
      <c r="O56" s="37">
        <v>50</v>
      </c>
      <c r="P56" s="6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94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5"/>
      <c r="B57" s="635"/>
      <c r="C57" s="635"/>
      <c r="D57" s="635"/>
      <c r="E57" s="635"/>
      <c r="F57" s="635"/>
      <c r="G57" s="635"/>
      <c r="H57" s="635"/>
      <c r="I57" s="635"/>
      <c r="J57" s="635"/>
      <c r="K57" s="635"/>
      <c r="L57" s="635"/>
      <c r="M57" s="635"/>
      <c r="N57" s="635"/>
      <c r="O57" s="636"/>
      <c r="P57" s="632" t="s">
        <v>40</v>
      </c>
      <c r="Q57" s="633"/>
      <c r="R57" s="633"/>
      <c r="S57" s="633"/>
      <c r="T57" s="633"/>
      <c r="U57" s="633"/>
      <c r="V57" s="634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5"/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6"/>
      <c r="P58" s="632" t="s">
        <v>40</v>
      </c>
      <c r="Q58" s="633"/>
      <c r="R58" s="633"/>
      <c r="S58" s="633"/>
      <c r="T58" s="633"/>
      <c r="U58" s="633"/>
      <c r="V58" s="634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6" t="s">
        <v>147</v>
      </c>
      <c r="B59" s="626"/>
      <c r="C59" s="626"/>
      <c r="D59" s="626"/>
      <c r="E59" s="626"/>
      <c r="F59" s="626"/>
      <c r="G59" s="626"/>
      <c r="H59" s="626"/>
      <c r="I59" s="626"/>
      <c r="J59" s="626"/>
      <c r="K59" s="626"/>
      <c r="L59" s="626"/>
      <c r="M59" s="626"/>
      <c r="N59" s="626"/>
      <c r="O59" s="626"/>
      <c r="P59" s="626"/>
      <c r="Q59" s="626"/>
      <c r="R59" s="626"/>
      <c r="S59" s="626"/>
      <c r="T59" s="626"/>
      <c r="U59" s="626"/>
      <c r="V59" s="626"/>
      <c r="W59" s="626"/>
      <c r="X59" s="626"/>
      <c r="Y59" s="626"/>
      <c r="Z59" s="626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27">
        <v>4680115881440</v>
      </c>
      <c r="E60" s="627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45</v>
      </c>
      <c r="M60" s="38" t="s">
        <v>116</v>
      </c>
      <c r="N60" s="38"/>
      <c r="O60" s="37">
        <v>50</v>
      </c>
      <c r="P60" s="6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9"/>
      <c r="R60" s="629"/>
      <c r="S60" s="629"/>
      <c r="T60" s="630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27">
        <v>4680115885950</v>
      </c>
      <c r="E61" s="627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9"/>
      <c r="R61" s="629"/>
      <c r="S61" s="629"/>
      <c r="T61" s="63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27">
        <v>4680115881433</v>
      </c>
      <c r="E62" s="627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93</v>
      </c>
      <c r="M62" s="38" t="s">
        <v>116</v>
      </c>
      <c r="N62" s="38"/>
      <c r="O62" s="37">
        <v>50</v>
      </c>
      <c r="P62" s="65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94</v>
      </c>
      <c r="AK62" s="84">
        <v>37.799999999999997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5"/>
      <c r="B63" s="635"/>
      <c r="C63" s="635"/>
      <c r="D63" s="635"/>
      <c r="E63" s="635"/>
      <c r="F63" s="635"/>
      <c r="G63" s="635"/>
      <c r="H63" s="635"/>
      <c r="I63" s="635"/>
      <c r="J63" s="635"/>
      <c r="K63" s="635"/>
      <c r="L63" s="635"/>
      <c r="M63" s="635"/>
      <c r="N63" s="635"/>
      <c r="O63" s="636"/>
      <c r="P63" s="632" t="s">
        <v>40</v>
      </c>
      <c r="Q63" s="633"/>
      <c r="R63" s="633"/>
      <c r="S63" s="633"/>
      <c r="T63" s="633"/>
      <c r="U63" s="633"/>
      <c r="V63" s="634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6"/>
      <c r="P64" s="632" t="s">
        <v>40</v>
      </c>
      <c r="Q64" s="633"/>
      <c r="R64" s="633"/>
      <c r="S64" s="633"/>
      <c r="T64" s="633"/>
      <c r="U64" s="633"/>
      <c r="V64" s="634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6" t="s">
        <v>78</v>
      </c>
      <c r="B65" s="626"/>
      <c r="C65" s="626"/>
      <c r="D65" s="626"/>
      <c r="E65" s="626"/>
      <c r="F65" s="626"/>
      <c r="G65" s="626"/>
      <c r="H65" s="626"/>
      <c r="I65" s="626"/>
      <c r="J65" s="626"/>
      <c r="K65" s="626"/>
      <c r="L65" s="626"/>
      <c r="M65" s="626"/>
      <c r="N65" s="626"/>
      <c r="O65" s="626"/>
      <c r="P65" s="626"/>
      <c r="Q65" s="626"/>
      <c r="R65" s="626"/>
      <c r="S65" s="626"/>
      <c r="T65" s="626"/>
      <c r="U65" s="626"/>
      <c r="V65" s="626"/>
      <c r="W65" s="626"/>
      <c r="X65" s="626"/>
      <c r="Y65" s="626"/>
      <c r="Z65" s="626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627">
        <v>4680115885073</v>
      </c>
      <c r="E66" s="627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9"/>
      <c r="R66" s="629"/>
      <c r="S66" s="629"/>
      <c r="T66" s="630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4301031316</v>
      </c>
      <c r="D67" s="627">
        <v>4680115885097</v>
      </c>
      <c r="E67" s="62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29"/>
      <c r="R67" s="629"/>
      <c r="S67" s="629"/>
      <c r="T67" s="630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5"/>
      <c r="B68" s="635"/>
      <c r="C68" s="635"/>
      <c r="D68" s="635"/>
      <c r="E68" s="635"/>
      <c r="F68" s="635"/>
      <c r="G68" s="635"/>
      <c r="H68" s="635"/>
      <c r="I68" s="635"/>
      <c r="J68" s="635"/>
      <c r="K68" s="635"/>
      <c r="L68" s="635"/>
      <c r="M68" s="635"/>
      <c r="N68" s="635"/>
      <c r="O68" s="636"/>
      <c r="P68" s="632" t="s">
        <v>40</v>
      </c>
      <c r="Q68" s="633"/>
      <c r="R68" s="633"/>
      <c r="S68" s="633"/>
      <c r="T68" s="633"/>
      <c r="U68" s="633"/>
      <c r="V68" s="634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5"/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5"/>
      <c r="O69" s="636"/>
      <c r="P69" s="632" t="s">
        <v>40</v>
      </c>
      <c r="Q69" s="633"/>
      <c r="R69" s="633"/>
      <c r="S69" s="633"/>
      <c r="T69" s="633"/>
      <c r="U69" s="633"/>
      <c r="V69" s="634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6" t="s">
        <v>88</v>
      </c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Y70" s="626"/>
      <c r="Z70" s="626"/>
      <c r="AA70" s="66"/>
      <c r="AB70" s="66"/>
      <c r="AC70" s="80"/>
    </row>
    <row r="71" spans="1:68" ht="27" customHeight="1" x14ac:dyDescent="0.25">
      <c r="A71" s="63" t="s">
        <v>161</v>
      </c>
      <c r="B71" s="63" t="s">
        <v>162</v>
      </c>
      <c r="C71" s="36">
        <v>4301051846</v>
      </c>
      <c r="D71" s="627">
        <v>4680115885769</v>
      </c>
      <c r="E71" s="627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117</v>
      </c>
      <c r="L71" s="37" t="s">
        <v>45</v>
      </c>
      <c r="M71" s="38" t="s">
        <v>92</v>
      </c>
      <c r="N71" s="38"/>
      <c r="O71" s="37">
        <v>45</v>
      </c>
      <c r="P71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29"/>
      <c r="R71" s="629"/>
      <c r="S71" s="629"/>
      <c r="T71" s="630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163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164</v>
      </c>
      <c r="B72" s="63" t="s">
        <v>165</v>
      </c>
      <c r="C72" s="36">
        <v>4301051837</v>
      </c>
      <c r="D72" s="627">
        <v>4680115884311</v>
      </c>
      <c r="E72" s="62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9"/>
      <c r="R72" s="629"/>
      <c r="S72" s="629"/>
      <c r="T72" s="630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167</v>
      </c>
      <c r="B73" s="63" t="s">
        <v>168</v>
      </c>
      <c r="C73" s="36">
        <v>4301051844</v>
      </c>
      <c r="D73" s="627">
        <v>4680115885929</v>
      </c>
      <c r="E73" s="627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4301051929</v>
      </c>
      <c r="D74" s="627">
        <v>4680115884403</v>
      </c>
      <c r="E74" s="62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171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5"/>
      <c r="B75" s="635"/>
      <c r="C75" s="635"/>
      <c r="D75" s="635"/>
      <c r="E75" s="635"/>
      <c r="F75" s="635"/>
      <c r="G75" s="635"/>
      <c r="H75" s="635"/>
      <c r="I75" s="635"/>
      <c r="J75" s="635"/>
      <c r="K75" s="635"/>
      <c r="L75" s="635"/>
      <c r="M75" s="635"/>
      <c r="N75" s="635"/>
      <c r="O75" s="636"/>
      <c r="P75" s="632" t="s">
        <v>40</v>
      </c>
      <c r="Q75" s="633"/>
      <c r="R75" s="633"/>
      <c r="S75" s="633"/>
      <c r="T75" s="633"/>
      <c r="U75" s="633"/>
      <c r="V75" s="634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5"/>
      <c r="B76" s="635"/>
      <c r="C76" s="635"/>
      <c r="D76" s="635"/>
      <c r="E76" s="635"/>
      <c r="F76" s="635"/>
      <c r="G76" s="635"/>
      <c r="H76" s="635"/>
      <c r="I76" s="635"/>
      <c r="J76" s="635"/>
      <c r="K76" s="635"/>
      <c r="L76" s="635"/>
      <c r="M76" s="635"/>
      <c r="N76" s="635"/>
      <c r="O76" s="636"/>
      <c r="P76" s="632" t="s">
        <v>40</v>
      </c>
      <c r="Q76" s="633"/>
      <c r="R76" s="633"/>
      <c r="S76" s="633"/>
      <c r="T76" s="633"/>
      <c r="U76" s="633"/>
      <c r="V76" s="634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6" t="s">
        <v>172</v>
      </c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6"/>
      <c r="P77" s="626"/>
      <c r="Q77" s="626"/>
      <c r="R77" s="626"/>
      <c r="S77" s="626"/>
      <c r="T77" s="626"/>
      <c r="U77" s="626"/>
      <c r="V77" s="626"/>
      <c r="W77" s="626"/>
      <c r="X77" s="626"/>
      <c r="Y77" s="626"/>
      <c r="Z77" s="626"/>
      <c r="AA77" s="66"/>
      <c r="AB77" s="66"/>
      <c r="AC77" s="80"/>
    </row>
    <row r="78" spans="1:68" ht="27" customHeight="1" x14ac:dyDescent="0.25">
      <c r="A78" s="63" t="s">
        <v>173</v>
      </c>
      <c r="B78" s="63" t="s">
        <v>174</v>
      </c>
      <c r="C78" s="36">
        <v>4301060455</v>
      </c>
      <c r="D78" s="627">
        <v>4680115881532</v>
      </c>
      <c r="E78" s="62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117</v>
      </c>
      <c r="L78" s="37" t="s">
        <v>45</v>
      </c>
      <c r="M78" s="38" t="s">
        <v>100</v>
      </c>
      <c r="N78" s="38"/>
      <c r="O78" s="37">
        <v>30</v>
      </c>
      <c r="P78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29"/>
      <c r="R78" s="629"/>
      <c r="S78" s="629"/>
      <c r="T78" s="630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175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177</v>
      </c>
      <c r="C79" s="36">
        <v>4301060351</v>
      </c>
      <c r="D79" s="627">
        <v>4680115881464</v>
      </c>
      <c r="E79" s="62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121</v>
      </c>
      <c r="L79" s="37" t="s">
        <v>45</v>
      </c>
      <c r="M79" s="38" t="s">
        <v>92</v>
      </c>
      <c r="N79" s="38"/>
      <c r="O79" s="37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29"/>
      <c r="R79" s="629"/>
      <c r="S79" s="629"/>
      <c r="T79" s="630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5"/>
      <c r="B80" s="635"/>
      <c r="C80" s="635"/>
      <c r="D80" s="635"/>
      <c r="E80" s="635"/>
      <c r="F80" s="635"/>
      <c r="G80" s="635"/>
      <c r="H80" s="635"/>
      <c r="I80" s="635"/>
      <c r="J80" s="635"/>
      <c r="K80" s="635"/>
      <c r="L80" s="635"/>
      <c r="M80" s="635"/>
      <c r="N80" s="635"/>
      <c r="O80" s="636"/>
      <c r="P80" s="632" t="s">
        <v>40</v>
      </c>
      <c r="Q80" s="633"/>
      <c r="R80" s="633"/>
      <c r="S80" s="633"/>
      <c r="T80" s="633"/>
      <c r="U80" s="633"/>
      <c r="V80" s="634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5"/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  <c r="M81" s="635"/>
      <c r="N81" s="635"/>
      <c r="O81" s="636"/>
      <c r="P81" s="632" t="s">
        <v>40</v>
      </c>
      <c r="Q81" s="633"/>
      <c r="R81" s="633"/>
      <c r="S81" s="633"/>
      <c r="T81" s="633"/>
      <c r="U81" s="633"/>
      <c r="V81" s="634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5" t="s">
        <v>179</v>
      </c>
      <c r="B82" s="625"/>
      <c r="C82" s="625"/>
      <c r="D82" s="625"/>
      <c r="E82" s="625"/>
      <c r="F82" s="625"/>
      <c r="G82" s="625"/>
      <c r="H82" s="625"/>
      <c r="I82" s="625"/>
      <c r="J82" s="625"/>
      <c r="K82" s="625"/>
      <c r="L82" s="625"/>
      <c r="M82" s="625"/>
      <c r="N82" s="625"/>
      <c r="O82" s="625"/>
      <c r="P82" s="625"/>
      <c r="Q82" s="625"/>
      <c r="R82" s="625"/>
      <c r="S82" s="625"/>
      <c r="T82" s="625"/>
      <c r="U82" s="625"/>
      <c r="V82" s="625"/>
      <c r="W82" s="625"/>
      <c r="X82" s="625"/>
      <c r="Y82" s="625"/>
      <c r="Z82" s="625"/>
      <c r="AA82" s="65"/>
      <c r="AB82" s="65"/>
      <c r="AC82" s="79"/>
    </row>
    <row r="83" spans="1:68" ht="14.25" customHeight="1" x14ac:dyDescent="0.25">
      <c r="A83" s="626" t="s">
        <v>112</v>
      </c>
      <c r="B83" s="626"/>
      <c r="C83" s="626"/>
      <c r="D83" s="626"/>
      <c r="E83" s="626"/>
      <c r="F83" s="626"/>
      <c r="G83" s="626"/>
      <c r="H83" s="626"/>
      <c r="I83" s="626"/>
      <c r="J83" s="626"/>
      <c r="K83" s="626"/>
      <c r="L83" s="626"/>
      <c r="M83" s="626"/>
      <c r="N83" s="626"/>
      <c r="O83" s="626"/>
      <c r="P83" s="626"/>
      <c r="Q83" s="626"/>
      <c r="R83" s="626"/>
      <c r="S83" s="626"/>
      <c r="T83" s="626"/>
      <c r="U83" s="626"/>
      <c r="V83" s="626"/>
      <c r="W83" s="626"/>
      <c r="X83" s="626"/>
      <c r="Y83" s="626"/>
      <c r="Z83" s="626"/>
      <c r="AA83" s="66"/>
      <c r="AB83" s="66"/>
      <c r="AC83" s="80"/>
    </row>
    <row r="84" spans="1:68" ht="27" customHeight="1" x14ac:dyDescent="0.25">
      <c r="A84" s="63" t="s">
        <v>180</v>
      </c>
      <c r="B84" s="63" t="s">
        <v>181</v>
      </c>
      <c r="C84" s="36">
        <v>4301011468</v>
      </c>
      <c r="D84" s="627">
        <v>4680115881327</v>
      </c>
      <c r="E84" s="62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117</v>
      </c>
      <c r="L84" s="37" t="s">
        <v>118</v>
      </c>
      <c r="M84" s="38" t="s">
        <v>100</v>
      </c>
      <c r="N84" s="38"/>
      <c r="O84" s="37">
        <v>50</v>
      </c>
      <c r="P84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9"/>
      <c r="R84" s="629"/>
      <c r="S84" s="629"/>
      <c r="T84" s="630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182</v>
      </c>
      <c r="AG84" s="78"/>
      <c r="AJ84" s="84" t="s">
        <v>94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183</v>
      </c>
      <c r="B85" s="63" t="s">
        <v>184</v>
      </c>
      <c r="C85" s="36">
        <v>4301011261</v>
      </c>
      <c r="D85" s="627">
        <v>4680115887732</v>
      </c>
      <c r="E85" s="62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186</v>
      </c>
      <c r="L85" s="37" t="s">
        <v>45</v>
      </c>
      <c r="M85" s="38" t="s">
        <v>82</v>
      </c>
      <c r="N85" s="38"/>
      <c r="O85" s="37">
        <v>30</v>
      </c>
      <c r="P85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29"/>
      <c r="R85" s="629"/>
      <c r="S85" s="629"/>
      <c r="T85" s="630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4301011476</v>
      </c>
      <c r="D86" s="627">
        <v>4680115881518</v>
      </c>
      <c r="E86" s="62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92</v>
      </c>
      <c r="N86" s="38"/>
      <c r="O86" s="37">
        <v>50</v>
      </c>
      <c r="P86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182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4301011443</v>
      </c>
      <c r="D87" s="627">
        <v>4680115881303</v>
      </c>
      <c r="E87" s="62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122</v>
      </c>
      <c r="M87" s="38" t="s">
        <v>100</v>
      </c>
      <c r="N87" s="38"/>
      <c r="O87" s="37">
        <v>50</v>
      </c>
      <c r="P87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182</v>
      </c>
      <c r="AG87" s="78"/>
      <c r="AJ87" s="84" t="s">
        <v>94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5"/>
      <c r="B88" s="635"/>
      <c r="C88" s="635"/>
      <c r="D88" s="635"/>
      <c r="E88" s="635"/>
      <c r="F88" s="635"/>
      <c r="G88" s="635"/>
      <c r="H88" s="635"/>
      <c r="I88" s="635"/>
      <c r="J88" s="635"/>
      <c r="K88" s="635"/>
      <c r="L88" s="635"/>
      <c r="M88" s="635"/>
      <c r="N88" s="635"/>
      <c r="O88" s="636"/>
      <c r="P88" s="632" t="s">
        <v>40</v>
      </c>
      <c r="Q88" s="633"/>
      <c r="R88" s="633"/>
      <c r="S88" s="633"/>
      <c r="T88" s="633"/>
      <c r="U88" s="633"/>
      <c r="V88" s="634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5"/>
      <c r="B89" s="635"/>
      <c r="C89" s="635"/>
      <c r="D89" s="635"/>
      <c r="E89" s="635"/>
      <c r="F89" s="635"/>
      <c r="G89" s="635"/>
      <c r="H89" s="635"/>
      <c r="I89" s="635"/>
      <c r="J89" s="635"/>
      <c r="K89" s="635"/>
      <c r="L89" s="635"/>
      <c r="M89" s="635"/>
      <c r="N89" s="635"/>
      <c r="O89" s="636"/>
      <c r="P89" s="632" t="s">
        <v>40</v>
      </c>
      <c r="Q89" s="633"/>
      <c r="R89" s="633"/>
      <c r="S89" s="633"/>
      <c r="T89" s="633"/>
      <c r="U89" s="633"/>
      <c r="V89" s="634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6" t="s">
        <v>88</v>
      </c>
      <c r="B90" s="626"/>
      <c r="C90" s="626"/>
      <c r="D90" s="626"/>
      <c r="E90" s="626"/>
      <c r="F90" s="626"/>
      <c r="G90" s="626"/>
      <c r="H90" s="626"/>
      <c r="I90" s="626"/>
      <c r="J90" s="626"/>
      <c r="K90" s="626"/>
      <c r="L90" s="626"/>
      <c r="M90" s="626"/>
      <c r="N90" s="626"/>
      <c r="O90" s="626"/>
      <c r="P90" s="626"/>
      <c r="Q90" s="626"/>
      <c r="R90" s="626"/>
      <c r="S90" s="626"/>
      <c r="T90" s="626"/>
      <c r="U90" s="626"/>
      <c r="V90" s="626"/>
      <c r="W90" s="626"/>
      <c r="X90" s="626"/>
      <c r="Y90" s="626"/>
      <c r="Z90" s="626"/>
      <c r="AA90" s="66"/>
      <c r="AB90" s="66"/>
      <c r="AC90" s="80"/>
    </row>
    <row r="91" spans="1:68" ht="27" customHeight="1" x14ac:dyDescent="0.25">
      <c r="A91" s="63" t="s">
        <v>191</v>
      </c>
      <c r="B91" s="63" t="s">
        <v>192</v>
      </c>
      <c r="C91" s="36">
        <v>4301051712</v>
      </c>
      <c r="D91" s="627">
        <v>4607091386967</v>
      </c>
      <c r="E91" s="62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45</v>
      </c>
      <c r="M91" s="38" t="s">
        <v>100</v>
      </c>
      <c r="N91" s="38"/>
      <c r="O91" s="37">
        <v>45</v>
      </c>
      <c r="P91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9"/>
      <c r="R91" s="629"/>
      <c r="S91" s="629"/>
      <c r="T91" s="630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193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194</v>
      </c>
      <c r="B92" s="63" t="s">
        <v>195</v>
      </c>
      <c r="C92" s="36">
        <v>4301051788</v>
      </c>
      <c r="D92" s="627">
        <v>4680115884953</v>
      </c>
      <c r="E92" s="62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9"/>
      <c r="R92" s="629"/>
      <c r="S92" s="629"/>
      <c r="T92" s="630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627">
        <v>4607091385731</v>
      </c>
      <c r="E93" s="62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100</v>
      </c>
      <c r="N93" s="38"/>
      <c r="O93" s="37">
        <v>45</v>
      </c>
      <c r="P93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7">
        <v>4680115880894</v>
      </c>
      <c r="E94" s="62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5"/>
      <c r="B95" s="635"/>
      <c r="C95" s="635"/>
      <c r="D95" s="635"/>
      <c r="E95" s="635"/>
      <c r="F95" s="635"/>
      <c r="G95" s="635"/>
      <c r="H95" s="635"/>
      <c r="I95" s="635"/>
      <c r="J95" s="635"/>
      <c r="K95" s="635"/>
      <c r="L95" s="635"/>
      <c r="M95" s="635"/>
      <c r="N95" s="635"/>
      <c r="O95" s="636"/>
      <c r="P95" s="632" t="s">
        <v>40</v>
      </c>
      <c r="Q95" s="633"/>
      <c r="R95" s="633"/>
      <c r="S95" s="633"/>
      <c r="T95" s="633"/>
      <c r="U95" s="633"/>
      <c r="V95" s="634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5"/>
      <c r="B96" s="635"/>
      <c r="C96" s="635"/>
      <c r="D96" s="635"/>
      <c r="E96" s="635"/>
      <c r="F96" s="635"/>
      <c r="G96" s="635"/>
      <c r="H96" s="635"/>
      <c r="I96" s="635"/>
      <c r="J96" s="635"/>
      <c r="K96" s="635"/>
      <c r="L96" s="635"/>
      <c r="M96" s="635"/>
      <c r="N96" s="635"/>
      <c r="O96" s="636"/>
      <c r="P96" s="632" t="s">
        <v>40</v>
      </c>
      <c r="Q96" s="633"/>
      <c r="R96" s="633"/>
      <c r="S96" s="633"/>
      <c r="T96" s="633"/>
      <c r="U96" s="633"/>
      <c r="V96" s="634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5" t="s">
        <v>201</v>
      </c>
      <c r="B97" s="625"/>
      <c r="C97" s="625"/>
      <c r="D97" s="625"/>
      <c r="E97" s="625"/>
      <c r="F97" s="625"/>
      <c r="G97" s="625"/>
      <c r="H97" s="625"/>
      <c r="I97" s="625"/>
      <c r="J97" s="625"/>
      <c r="K97" s="625"/>
      <c r="L97" s="625"/>
      <c r="M97" s="625"/>
      <c r="N97" s="625"/>
      <c r="O97" s="625"/>
      <c r="P97" s="625"/>
      <c r="Q97" s="625"/>
      <c r="R97" s="625"/>
      <c r="S97" s="625"/>
      <c r="T97" s="625"/>
      <c r="U97" s="625"/>
      <c r="V97" s="625"/>
      <c r="W97" s="625"/>
      <c r="X97" s="625"/>
      <c r="Y97" s="625"/>
      <c r="Z97" s="625"/>
      <c r="AA97" s="65"/>
      <c r="AB97" s="65"/>
      <c r="AC97" s="79"/>
    </row>
    <row r="98" spans="1:68" ht="14.25" customHeight="1" x14ac:dyDescent="0.25">
      <c r="A98" s="626" t="s">
        <v>112</v>
      </c>
      <c r="B98" s="626"/>
      <c r="C98" s="626"/>
      <c r="D98" s="626"/>
      <c r="E98" s="626"/>
      <c r="F98" s="626"/>
      <c r="G98" s="626"/>
      <c r="H98" s="626"/>
      <c r="I98" s="626"/>
      <c r="J98" s="626"/>
      <c r="K98" s="626"/>
      <c r="L98" s="626"/>
      <c r="M98" s="626"/>
      <c r="N98" s="626"/>
      <c r="O98" s="626"/>
      <c r="P98" s="626"/>
      <c r="Q98" s="626"/>
      <c r="R98" s="626"/>
      <c r="S98" s="626"/>
      <c r="T98" s="626"/>
      <c r="U98" s="626"/>
      <c r="V98" s="626"/>
      <c r="W98" s="626"/>
      <c r="X98" s="626"/>
      <c r="Y98" s="626"/>
      <c r="Z98" s="626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7">
        <v>4680115882133</v>
      </c>
      <c r="E99" s="62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9"/>
      <c r="R99" s="629"/>
      <c r="S99" s="629"/>
      <c r="T99" s="630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94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205</v>
      </c>
      <c r="B100" s="63" t="s">
        <v>206</v>
      </c>
      <c r="C100" s="36">
        <v>4301012051</v>
      </c>
      <c r="D100" s="627">
        <v>4680115887718</v>
      </c>
      <c r="E100" s="62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186</v>
      </c>
      <c r="L100" s="37" t="s">
        <v>45</v>
      </c>
      <c r="M100" s="38" t="s">
        <v>82</v>
      </c>
      <c r="N100" s="38"/>
      <c r="O100" s="37">
        <v>30</v>
      </c>
      <c r="P100" s="6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29"/>
      <c r="R100" s="629"/>
      <c r="S100" s="629"/>
      <c r="T100" s="630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627">
        <v>4680115880269</v>
      </c>
      <c r="E101" s="627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121</v>
      </c>
      <c r="L101" s="37" t="s">
        <v>45</v>
      </c>
      <c r="M101" s="38" t="s">
        <v>92</v>
      </c>
      <c r="N101" s="38"/>
      <c r="O101" s="37">
        <v>50</v>
      </c>
      <c r="P101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627">
        <v>4680115880429</v>
      </c>
      <c r="E102" s="627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122</v>
      </c>
      <c r="M102" s="38" t="s">
        <v>92</v>
      </c>
      <c r="N102" s="38"/>
      <c r="O102" s="37">
        <v>50</v>
      </c>
      <c r="P102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94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627">
        <v>4680115881457</v>
      </c>
      <c r="E103" s="627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121</v>
      </c>
      <c r="L103" s="37" t="s">
        <v>45</v>
      </c>
      <c r="M103" s="38" t="s">
        <v>92</v>
      </c>
      <c r="N103" s="38"/>
      <c r="O103" s="37">
        <v>50</v>
      </c>
      <c r="P103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5"/>
      <c r="B104" s="635"/>
      <c r="C104" s="635"/>
      <c r="D104" s="635"/>
      <c r="E104" s="635"/>
      <c r="F104" s="635"/>
      <c r="G104" s="635"/>
      <c r="H104" s="635"/>
      <c r="I104" s="635"/>
      <c r="J104" s="635"/>
      <c r="K104" s="635"/>
      <c r="L104" s="635"/>
      <c r="M104" s="635"/>
      <c r="N104" s="635"/>
      <c r="O104" s="636"/>
      <c r="P104" s="632" t="s">
        <v>40</v>
      </c>
      <c r="Q104" s="633"/>
      <c r="R104" s="633"/>
      <c r="S104" s="633"/>
      <c r="T104" s="633"/>
      <c r="U104" s="633"/>
      <c r="V104" s="634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5"/>
      <c r="B105" s="635"/>
      <c r="C105" s="635"/>
      <c r="D105" s="635"/>
      <c r="E105" s="635"/>
      <c r="F105" s="635"/>
      <c r="G105" s="635"/>
      <c r="H105" s="635"/>
      <c r="I105" s="635"/>
      <c r="J105" s="635"/>
      <c r="K105" s="635"/>
      <c r="L105" s="635"/>
      <c r="M105" s="635"/>
      <c r="N105" s="635"/>
      <c r="O105" s="636"/>
      <c r="P105" s="632" t="s">
        <v>40</v>
      </c>
      <c r="Q105" s="633"/>
      <c r="R105" s="633"/>
      <c r="S105" s="633"/>
      <c r="T105" s="633"/>
      <c r="U105" s="633"/>
      <c r="V105" s="634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6" t="s">
        <v>147</v>
      </c>
      <c r="B106" s="626"/>
      <c r="C106" s="626"/>
      <c r="D106" s="626"/>
      <c r="E106" s="626"/>
      <c r="F106" s="626"/>
      <c r="G106" s="626"/>
      <c r="H106" s="626"/>
      <c r="I106" s="626"/>
      <c r="J106" s="626"/>
      <c r="K106" s="626"/>
      <c r="L106" s="626"/>
      <c r="M106" s="626"/>
      <c r="N106" s="626"/>
      <c r="O106" s="626"/>
      <c r="P106" s="626"/>
      <c r="Q106" s="626"/>
      <c r="R106" s="626"/>
      <c r="S106" s="626"/>
      <c r="T106" s="626"/>
      <c r="U106" s="626"/>
      <c r="V106" s="626"/>
      <c r="W106" s="626"/>
      <c r="X106" s="626"/>
      <c r="Y106" s="626"/>
      <c r="Z106" s="626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627">
        <v>4680115881488</v>
      </c>
      <c r="E107" s="627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117</v>
      </c>
      <c r="L107" s="37" t="s">
        <v>45</v>
      </c>
      <c r="M107" s="38" t="s">
        <v>116</v>
      </c>
      <c r="N107" s="38"/>
      <c r="O107" s="37">
        <v>55</v>
      </c>
      <c r="P107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9"/>
      <c r="R107" s="629"/>
      <c r="S107" s="629"/>
      <c r="T107" s="630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217</v>
      </c>
      <c r="B108" s="63" t="s">
        <v>218</v>
      </c>
      <c r="C108" s="36">
        <v>4301020186</v>
      </c>
      <c r="D108" s="627">
        <v>4680115887664</v>
      </c>
      <c r="E108" s="627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29"/>
      <c r="R108" s="629"/>
      <c r="S108" s="629"/>
      <c r="T108" s="630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221</v>
      </c>
      <c r="B109" s="63" t="s">
        <v>222</v>
      </c>
      <c r="C109" s="36">
        <v>4301020346</v>
      </c>
      <c r="D109" s="627">
        <v>4680115882775</v>
      </c>
      <c r="E109" s="627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116</v>
      </c>
      <c r="N109" s="38"/>
      <c r="O109" s="37">
        <v>55</v>
      </c>
      <c r="P109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4301020344</v>
      </c>
      <c r="D110" s="627">
        <v>4680115880658</v>
      </c>
      <c r="E110" s="627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116</v>
      </c>
      <c r="N110" s="38"/>
      <c r="O110" s="37">
        <v>55</v>
      </c>
      <c r="P110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5"/>
      <c r="B111" s="635"/>
      <c r="C111" s="635"/>
      <c r="D111" s="635"/>
      <c r="E111" s="635"/>
      <c r="F111" s="635"/>
      <c r="G111" s="635"/>
      <c r="H111" s="635"/>
      <c r="I111" s="635"/>
      <c r="J111" s="635"/>
      <c r="K111" s="635"/>
      <c r="L111" s="635"/>
      <c r="M111" s="635"/>
      <c r="N111" s="635"/>
      <c r="O111" s="636"/>
      <c r="P111" s="632" t="s">
        <v>40</v>
      </c>
      <c r="Q111" s="633"/>
      <c r="R111" s="633"/>
      <c r="S111" s="633"/>
      <c r="T111" s="633"/>
      <c r="U111" s="633"/>
      <c r="V111" s="634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5"/>
      <c r="B112" s="635"/>
      <c r="C112" s="635"/>
      <c r="D112" s="635"/>
      <c r="E112" s="635"/>
      <c r="F112" s="635"/>
      <c r="G112" s="635"/>
      <c r="H112" s="635"/>
      <c r="I112" s="635"/>
      <c r="J112" s="635"/>
      <c r="K112" s="635"/>
      <c r="L112" s="635"/>
      <c r="M112" s="635"/>
      <c r="N112" s="635"/>
      <c r="O112" s="636"/>
      <c r="P112" s="632" t="s">
        <v>40</v>
      </c>
      <c r="Q112" s="633"/>
      <c r="R112" s="633"/>
      <c r="S112" s="633"/>
      <c r="T112" s="633"/>
      <c r="U112" s="633"/>
      <c r="V112" s="634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6" t="s">
        <v>88</v>
      </c>
      <c r="B113" s="626"/>
      <c r="C113" s="626"/>
      <c r="D113" s="626"/>
      <c r="E113" s="626"/>
      <c r="F113" s="626"/>
      <c r="G113" s="626"/>
      <c r="H113" s="626"/>
      <c r="I113" s="626"/>
      <c r="J113" s="626"/>
      <c r="K113" s="626"/>
      <c r="L113" s="626"/>
      <c r="M113" s="626"/>
      <c r="N113" s="626"/>
      <c r="O113" s="626"/>
      <c r="P113" s="626"/>
      <c r="Q113" s="626"/>
      <c r="R113" s="626"/>
      <c r="S113" s="626"/>
      <c r="T113" s="626"/>
      <c r="U113" s="626"/>
      <c r="V113" s="626"/>
      <c r="W113" s="626"/>
      <c r="X113" s="626"/>
      <c r="Y113" s="626"/>
      <c r="Z113" s="626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627">
        <v>4607091385168</v>
      </c>
      <c r="E114" s="627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117</v>
      </c>
      <c r="L114" s="37" t="s">
        <v>45</v>
      </c>
      <c r="M114" s="38" t="s">
        <v>100</v>
      </c>
      <c r="N114" s="38"/>
      <c r="O114" s="37">
        <v>45</v>
      </c>
      <c r="P114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29"/>
      <c r="R114" s="629"/>
      <c r="S114" s="629"/>
      <c r="T114" s="630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627">
        <v>4607091383256</v>
      </c>
      <c r="E115" s="627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100</v>
      </c>
      <c r="N115" s="38"/>
      <c r="O115" s="37">
        <v>45</v>
      </c>
      <c r="P115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29"/>
      <c r="R115" s="629"/>
      <c r="S115" s="629"/>
      <c r="T115" s="630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627">
        <v>4607091385748</v>
      </c>
      <c r="E116" s="627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45</v>
      </c>
      <c r="M116" s="38" t="s">
        <v>100</v>
      </c>
      <c r="N116" s="38"/>
      <c r="O116" s="37">
        <v>45</v>
      </c>
      <c r="P116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27">
        <v>4680115884533</v>
      </c>
      <c r="E117" s="627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93</v>
      </c>
      <c r="M117" s="38" t="s">
        <v>92</v>
      </c>
      <c r="N117" s="38"/>
      <c r="O117" s="37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94</v>
      </c>
      <c r="AK117" s="84">
        <v>25.2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5"/>
      <c r="B118" s="635"/>
      <c r="C118" s="635"/>
      <c r="D118" s="635"/>
      <c r="E118" s="635"/>
      <c r="F118" s="635"/>
      <c r="G118" s="635"/>
      <c r="H118" s="635"/>
      <c r="I118" s="635"/>
      <c r="J118" s="635"/>
      <c r="K118" s="635"/>
      <c r="L118" s="635"/>
      <c r="M118" s="635"/>
      <c r="N118" s="635"/>
      <c r="O118" s="636"/>
      <c r="P118" s="632" t="s">
        <v>40</v>
      </c>
      <c r="Q118" s="633"/>
      <c r="R118" s="633"/>
      <c r="S118" s="633"/>
      <c r="T118" s="633"/>
      <c r="U118" s="633"/>
      <c r="V118" s="634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5"/>
      <c r="B119" s="635"/>
      <c r="C119" s="635"/>
      <c r="D119" s="635"/>
      <c r="E119" s="635"/>
      <c r="F119" s="635"/>
      <c r="G119" s="635"/>
      <c r="H119" s="635"/>
      <c r="I119" s="635"/>
      <c r="J119" s="635"/>
      <c r="K119" s="635"/>
      <c r="L119" s="635"/>
      <c r="M119" s="635"/>
      <c r="N119" s="635"/>
      <c r="O119" s="636"/>
      <c r="P119" s="632" t="s">
        <v>40</v>
      </c>
      <c r="Q119" s="633"/>
      <c r="R119" s="633"/>
      <c r="S119" s="633"/>
      <c r="T119" s="633"/>
      <c r="U119" s="633"/>
      <c r="V119" s="634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6" t="s">
        <v>172</v>
      </c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6"/>
      <c r="P120" s="626"/>
      <c r="Q120" s="626"/>
      <c r="R120" s="626"/>
      <c r="S120" s="626"/>
      <c r="T120" s="626"/>
      <c r="U120" s="626"/>
      <c r="V120" s="626"/>
      <c r="W120" s="626"/>
      <c r="X120" s="626"/>
      <c r="Y120" s="626"/>
      <c r="Z120" s="626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27">
        <v>4680115880238</v>
      </c>
      <c r="E121" s="627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93</v>
      </c>
      <c r="M121" s="38" t="s">
        <v>92</v>
      </c>
      <c r="N121" s="38"/>
      <c r="O121" s="37">
        <v>40</v>
      </c>
      <c r="P121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29"/>
      <c r="R121" s="629"/>
      <c r="S121" s="629"/>
      <c r="T121" s="630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94</v>
      </c>
      <c r="AK121" s="84">
        <v>27.72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5"/>
      <c r="B122" s="635"/>
      <c r="C122" s="635"/>
      <c r="D122" s="635"/>
      <c r="E122" s="635"/>
      <c r="F122" s="635"/>
      <c r="G122" s="635"/>
      <c r="H122" s="635"/>
      <c r="I122" s="635"/>
      <c r="J122" s="635"/>
      <c r="K122" s="635"/>
      <c r="L122" s="635"/>
      <c r="M122" s="635"/>
      <c r="N122" s="635"/>
      <c r="O122" s="636"/>
      <c r="P122" s="632" t="s">
        <v>40</v>
      </c>
      <c r="Q122" s="633"/>
      <c r="R122" s="633"/>
      <c r="S122" s="633"/>
      <c r="T122" s="633"/>
      <c r="U122" s="633"/>
      <c r="V122" s="634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5"/>
      <c r="B123" s="635"/>
      <c r="C123" s="635"/>
      <c r="D123" s="635"/>
      <c r="E123" s="635"/>
      <c r="F123" s="635"/>
      <c r="G123" s="635"/>
      <c r="H123" s="635"/>
      <c r="I123" s="635"/>
      <c r="J123" s="635"/>
      <c r="K123" s="635"/>
      <c r="L123" s="635"/>
      <c r="M123" s="635"/>
      <c r="N123" s="635"/>
      <c r="O123" s="636"/>
      <c r="P123" s="632" t="s">
        <v>40</v>
      </c>
      <c r="Q123" s="633"/>
      <c r="R123" s="633"/>
      <c r="S123" s="633"/>
      <c r="T123" s="633"/>
      <c r="U123" s="633"/>
      <c r="V123" s="634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5" t="s">
        <v>238</v>
      </c>
      <c r="B124" s="625"/>
      <c r="C124" s="625"/>
      <c r="D124" s="625"/>
      <c r="E124" s="625"/>
      <c r="F124" s="625"/>
      <c r="G124" s="625"/>
      <c r="H124" s="625"/>
      <c r="I124" s="625"/>
      <c r="J124" s="625"/>
      <c r="K124" s="625"/>
      <c r="L124" s="625"/>
      <c r="M124" s="625"/>
      <c r="N124" s="625"/>
      <c r="O124" s="625"/>
      <c r="P124" s="625"/>
      <c r="Q124" s="625"/>
      <c r="R124" s="625"/>
      <c r="S124" s="625"/>
      <c r="T124" s="625"/>
      <c r="U124" s="625"/>
      <c r="V124" s="625"/>
      <c r="W124" s="625"/>
      <c r="X124" s="625"/>
      <c r="Y124" s="625"/>
      <c r="Z124" s="625"/>
      <c r="AA124" s="65"/>
      <c r="AB124" s="65"/>
      <c r="AC124" s="79"/>
    </row>
    <row r="125" spans="1:68" ht="14.25" customHeight="1" x14ac:dyDescent="0.25">
      <c r="A125" s="626" t="s">
        <v>112</v>
      </c>
      <c r="B125" s="626"/>
      <c r="C125" s="626"/>
      <c r="D125" s="626"/>
      <c r="E125" s="626"/>
      <c r="F125" s="626"/>
      <c r="G125" s="626"/>
      <c r="H125" s="626"/>
      <c r="I125" s="626"/>
      <c r="J125" s="626"/>
      <c r="K125" s="626"/>
      <c r="L125" s="626"/>
      <c r="M125" s="626"/>
      <c r="N125" s="626"/>
      <c r="O125" s="626"/>
      <c r="P125" s="626"/>
      <c r="Q125" s="626"/>
      <c r="R125" s="626"/>
      <c r="S125" s="626"/>
      <c r="T125" s="626"/>
      <c r="U125" s="626"/>
      <c r="V125" s="626"/>
      <c r="W125" s="626"/>
      <c r="X125" s="626"/>
      <c r="Y125" s="626"/>
      <c r="Z125" s="626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627">
        <v>4680115882577</v>
      </c>
      <c r="E126" s="627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109</v>
      </c>
      <c r="N126" s="38"/>
      <c r="O126" s="37">
        <v>90</v>
      </c>
      <c r="P126" s="6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9"/>
      <c r="R126" s="629"/>
      <c r="S126" s="629"/>
      <c r="T126" s="630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627">
        <v>4680115882577</v>
      </c>
      <c r="E127" s="627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109</v>
      </c>
      <c r="N127" s="38"/>
      <c r="O127" s="37">
        <v>90</v>
      </c>
      <c r="P127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9"/>
      <c r="R127" s="629"/>
      <c r="S127" s="629"/>
      <c r="T127" s="630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5"/>
      <c r="B128" s="635"/>
      <c r="C128" s="635"/>
      <c r="D128" s="635"/>
      <c r="E128" s="635"/>
      <c r="F128" s="635"/>
      <c r="G128" s="635"/>
      <c r="H128" s="635"/>
      <c r="I128" s="635"/>
      <c r="J128" s="635"/>
      <c r="K128" s="635"/>
      <c r="L128" s="635"/>
      <c r="M128" s="635"/>
      <c r="N128" s="635"/>
      <c r="O128" s="636"/>
      <c r="P128" s="632" t="s">
        <v>40</v>
      </c>
      <c r="Q128" s="633"/>
      <c r="R128" s="633"/>
      <c r="S128" s="633"/>
      <c r="T128" s="633"/>
      <c r="U128" s="633"/>
      <c r="V128" s="634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5"/>
      <c r="O129" s="636"/>
      <c r="P129" s="632" t="s">
        <v>40</v>
      </c>
      <c r="Q129" s="633"/>
      <c r="R129" s="633"/>
      <c r="S129" s="633"/>
      <c r="T129" s="633"/>
      <c r="U129" s="633"/>
      <c r="V129" s="634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6" t="s">
        <v>78</v>
      </c>
      <c r="B130" s="626"/>
      <c r="C130" s="626"/>
      <c r="D130" s="626"/>
      <c r="E130" s="626"/>
      <c r="F130" s="626"/>
      <c r="G130" s="626"/>
      <c r="H130" s="626"/>
      <c r="I130" s="626"/>
      <c r="J130" s="626"/>
      <c r="K130" s="626"/>
      <c r="L130" s="626"/>
      <c r="M130" s="626"/>
      <c r="N130" s="626"/>
      <c r="O130" s="626"/>
      <c r="P130" s="626"/>
      <c r="Q130" s="626"/>
      <c r="R130" s="626"/>
      <c r="S130" s="626"/>
      <c r="T130" s="626"/>
      <c r="U130" s="626"/>
      <c r="V130" s="626"/>
      <c r="W130" s="626"/>
      <c r="X130" s="626"/>
      <c r="Y130" s="626"/>
      <c r="Z130" s="626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627">
        <v>4680115883444</v>
      </c>
      <c r="E131" s="627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109</v>
      </c>
      <c r="N131" s="38"/>
      <c r="O131" s="37">
        <v>90</v>
      </c>
      <c r="P131" s="6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9"/>
      <c r="R131" s="629"/>
      <c r="S131" s="629"/>
      <c r="T131" s="630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627">
        <v>4680115883444</v>
      </c>
      <c r="E132" s="627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9"/>
      <c r="R132" s="629"/>
      <c r="S132" s="629"/>
      <c r="T132" s="630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5"/>
      <c r="B133" s="635"/>
      <c r="C133" s="635"/>
      <c r="D133" s="635"/>
      <c r="E133" s="635"/>
      <c r="F133" s="635"/>
      <c r="G133" s="635"/>
      <c r="H133" s="635"/>
      <c r="I133" s="635"/>
      <c r="J133" s="635"/>
      <c r="K133" s="635"/>
      <c r="L133" s="635"/>
      <c r="M133" s="635"/>
      <c r="N133" s="635"/>
      <c r="O133" s="636"/>
      <c r="P133" s="632" t="s">
        <v>40</v>
      </c>
      <c r="Q133" s="633"/>
      <c r="R133" s="633"/>
      <c r="S133" s="633"/>
      <c r="T133" s="633"/>
      <c r="U133" s="633"/>
      <c r="V133" s="634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5"/>
      <c r="B134" s="635"/>
      <c r="C134" s="635"/>
      <c r="D134" s="635"/>
      <c r="E134" s="635"/>
      <c r="F134" s="635"/>
      <c r="G134" s="635"/>
      <c r="H134" s="635"/>
      <c r="I134" s="635"/>
      <c r="J134" s="635"/>
      <c r="K134" s="635"/>
      <c r="L134" s="635"/>
      <c r="M134" s="635"/>
      <c r="N134" s="635"/>
      <c r="O134" s="636"/>
      <c r="P134" s="632" t="s">
        <v>40</v>
      </c>
      <c r="Q134" s="633"/>
      <c r="R134" s="633"/>
      <c r="S134" s="633"/>
      <c r="T134" s="633"/>
      <c r="U134" s="633"/>
      <c r="V134" s="634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6" t="s">
        <v>88</v>
      </c>
      <c r="B135" s="626"/>
      <c r="C135" s="626"/>
      <c r="D135" s="626"/>
      <c r="E135" s="626"/>
      <c r="F135" s="626"/>
      <c r="G135" s="626"/>
      <c r="H135" s="626"/>
      <c r="I135" s="626"/>
      <c r="J135" s="626"/>
      <c r="K135" s="626"/>
      <c r="L135" s="626"/>
      <c r="M135" s="626"/>
      <c r="N135" s="626"/>
      <c r="O135" s="626"/>
      <c r="P135" s="626"/>
      <c r="Q135" s="626"/>
      <c r="R135" s="626"/>
      <c r="S135" s="626"/>
      <c r="T135" s="626"/>
      <c r="U135" s="626"/>
      <c r="V135" s="626"/>
      <c r="W135" s="626"/>
      <c r="X135" s="626"/>
      <c r="Y135" s="626"/>
      <c r="Z135" s="626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27">
        <v>4680115882584</v>
      </c>
      <c r="E136" s="627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109</v>
      </c>
      <c r="N136" s="38"/>
      <c r="O136" s="37">
        <v>60</v>
      </c>
      <c r="P136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29"/>
      <c r="R136" s="629"/>
      <c r="S136" s="629"/>
      <c r="T136" s="630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27">
        <v>4680115882584</v>
      </c>
      <c r="E137" s="627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29"/>
      <c r="R137" s="629"/>
      <c r="S137" s="629"/>
      <c r="T137" s="630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5"/>
      <c r="B138" s="635"/>
      <c r="C138" s="635"/>
      <c r="D138" s="635"/>
      <c r="E138" s="635"/>
      <c r="F138" s="635"/>
      <c r="G138" s="635"/>
      <c r="H138" s="635"/>
      <c r="I138" s="635"/>
      <c r="J138" s="635"/>
      <c r="K138" s="635"/>
      <c r="L138" s="635"/>
      <c r="M138" s="635"/>
      <c r="N138" s="635"/>
      <c r="O138" s="636"/>
      <c r="P138" s="632" t="s">
        <v>40</v>
      </c>
      <c r="Q138" s="633"/>
      <c r="R138" s="633"/>
      <c r="S138" s="633"/>
      <c r="T138" s="633"/>
      <c r="U138" s="633"/>
      <c r="V138" s="634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5"/>
      <c r="B139" s="635"/>
      <c r="C139" s="635"/>
      <c r="D139" s="635"/>
      <c r="E139" s="635"/>
      <c r="F139" s="635"/>
      <c r="G139" s="635"/>
      <c r="H139" s="635"/>
      <c r="I139" s="635"/>
      <c r="J139" s="635"/>
      <c r="K139" s="635"/>
      <c r="L139" s="635"/>
      <c r="M139" s="635"/>
      <c r="N139" s="635"/>
      <c r="O139" s="636"/>
      <c r="P139" s="632" t="s">
        <v>40</v>
      </c>
      <c r="Q139" s="633"/>
      <c r="R139" s="633"/>
      <c r="S139" s="633"/>
      <c r="T139" s="633"/>
      <c r="U139" s="633"/>
      <c r="V139" s="634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5" t="s">
        <v>110</v>
      </c>
      <c r="B140" s="625"/>
      <c r="C140" s="625"/>
      <c r="D140" s="625"/>
      <c r="E140" s="625"/>
      <c r="F140" s="625"/>
      <c r="G140" s="625"/>
      <c r="H140" s="625"/>
      <c r="I140" s="625"/>
      <c r="J140" s="625"/>
      <c r="K140" s="625"/>
      <c r="L140" s="625"/>
      <c r="M140" s="625"/>
      <c r="N140" s="625"/>
      <c r="O140" s="625"/>
      <c r="P140" s="625"/>
      <c r="Q140" s="625"/>
      <c r="R140" s="625"/>
      <c r="S140" s="625"/>
      <c r="T140" s="625"/>
      <c r="U140" s="625"/>
      <c r="V140" s="625"/>
      <c r="W140" s="625"/>
      <c r="X140" s="625"/>
      <c r="Y140" s="625"/>
      <c r="Z140" s="625"/>
      <c r="AA140" s="65"/>
      <c r="AB140" s="65"/>
      <c r="AC140" s="79"/>
    </row>
    <row r="141" spans="1:68" ht="14.25" customHeight="1" x14ac:dyDescent="0.25">
      <c r="A141" s="626" t="s">
        <v>112</v>
      </c>
      <c r="B141" s="626"/>
      <c r="C141" s="626"/>
      <c r="D141" s="626"/>
      <c r="E141" s="626"/>
      <c r="F141" s="626"/>
      <c r="G141" s="626"/>
      <c r="H141" s="626"/>
      <c r="I141" s="626"/>
      <c r="J141" s="626"/>
      <c r="K141" s="626"/>
      <c r="L141" s="626"/>
      <c r="M141" s="626"/>
      <c r="N141" s="626"/>
      <c r="O141" s="626"/>
      <c r="P141" s="626"/>
      <c r="Q141" s="626"/>
      <c r="R141" s="626"/>
      <c r="S141" s="626"/>
      <c r="T141" s="626"/>
      <c r="U141" s="626"/>
      <c r="V141" s="626"/>
      <c r="W141" s="626"/>
      <c r="X141" s="626"/>
      <c r="Y141" s="626"/>
      <c r="Z141" s="626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27">
        <v>4680115887374</v>
      </c>
      <c r="E142" s="627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117</v>
      </c>
      <c r="L142" s="37" t="s">
        <v>45</v>
      </c>
      <c r="M142" s="38" t="s">
        <v>116</v>
      </c>
      <c r="N142" s="38"/>
      <c r="O142" s="37">
        <v>55</v>
      </c>
      <c r="P142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29"/>
      <c r="R142" s="629"/>
      <c r="S142" s="629"/>
      <c r="T142" s="630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27">
        <v>4607091384604</v>
      </c>
      <c r="E143" s="627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121</v>
      </c>
      <c r="L143" s="37" t="s">
        <v>45</v>
      </c>
      <c r="M143" s="38" t="s">
        <v>116</v>
      </c>
      <c r="N143" s="38"/>
      <c r="O143" s="37">
        <v>50</v>
      </c>
      <c r="P143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29"/>
      <c r="R143" s="629"/>
      <c r="S143" s="629"/>
      <c r="T143" s="630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5"/>
      <c r="B144" s="635"/>
      <c r="C144" s="635"/>
      <c r="D144" s="635"/>
      <c r="E144" s="635"/>
      <c r="F144" s="635"/>
      <c r="G144" s="635"/>
      <c r="H144" s="635"/>
      <c r="I144" s="635"/>
      <c r="J144" s="635"/>
      <c r="K144" s="635"/>
      <c r="L144" s="635"/>
      <c r="M144" s="635"/>
      <c r="N144" s="635"/>
      <c r="O144" s="636"/>
      <c r="P144" s="632" t="s">
        <v>40</v>
      </c>
      <c r="Q144" s="633"/>
      <c r="R144" s="633"/>
      <c r="S144" s="633"/>
      <c r="T144" s="633"/>
      <c r="U144" s="633"/>
      <c r="V144" s="63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5"/>
      <c r="B145" s="635"/>
      <c r="C145" s="635"/>
      <c r="D145" s="635"/>
      <c r="E145" s="635"/>
      <c r="F145" s="635"/>
      <c r="G145" s="635"/>
      <c r="H145" s="635"/>
      <c r="I145" s="635"/>
      <c r="J145" s="635"/>
      <c r="K145" s="635"/>
      <c r="L145" s="635"/>
      <c r="M145" s="635"/>
      <c r="N145" s="635"/>
      <c r="O145" s="636"/>
      <c r="P145" s="632" t="s">
        <v>40</v>
      </c>
      <c r="Q145" s="633"/>
      <c r="R145" s="633"/>
      <c r="S145" s="633"/>
      <c r="T145" s="633"/>
      <c r="U145" s="633"/>
      <c r="V145" s="63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6" t="s">
        <v>78</v>
      </c>
      <c r="B146" s="626"/>
      <c r="C146" s="626"/>
      <c r="D146" s="626"/>
      <c r="E146" s="626"/>
      <c r="F146" s="626"/>
      <c r="G146" s="626"/>
      <c r="H146" s="626"/>
      <c r="I146" s="626"/>
      <c r="J146" s="626"/>
      <c r="K146" s="626"/>
      <c r="L146" s="626"/>
      <c r="M146" s="626"/>
      <c r="N146" s="626"/>
      <c r="O146" s="626"/>
      <c r="P146" s="626"/>
      <c r="Q146" s="626"/>
      <c r="R146" s="626"/>
      <c r="S146" s="626"/>
      <c r="T146" s="626"/>
      <c r="U146" s="626"/>
      <c r="V146" s="626"/>
      <c r="W146" s="626"/>
      <c r="X146" s="626"/>
      <c r="Y146" s="626"/>
      <c r="Z146" s="626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4301031450</v>
      </c>
      <c r="D147" s="627">
        <v>4680115887428</v>
      </c>
      <c r="E147" s="627"/>
      <c r="F147" s="62">
        <v>0.7</v>
      </c>
      <c r="G147" s="37">
        <v>6</v>
      </c>
      <c r="H147" s="62">
        <v>4.2</v>
      </c>
      <c r="I147" s="62">
        <v>4.3899999999999997</v>
      </c>
      <c r="J147" s="37">
        <v>132</v>
      </c>
      <c r="K147" s="37" t="s">
        <v>121</v>
      </c>
      <c r="L147" s="37" t="s">
        <v>45</v>
      </c>
      <c r="M147" s="38" t="s">
        <v>82</v>
      </c>
      <c r="N147" s="38"/>
      <c r="O147" s="37">
        <v>40</v>
      </c>
      <c r="P147" s="69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629"/>
      <c r="R147" s="629"/>
      <c r="S147" s="629"/>
      <c r="T147" s="630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4301030961</v>
      </c>
      <c r="D148" s="627">
        <v>4607091387636</v>
      </c>
      <c r="E148" s="627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83</v>
      </c>
      <c r="L148" s="37" t="s">
        <v>45</v>
      </c>
      <c r="M148" s="38" t="s">
        <v>82</v>
      </c>
      <c r="N148" s="38"/>
      <c r="O148" s="37">
        <v>40</v>
      </c>
      <c r="P148" s="6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29"/>
      <c r="R148" s="629"/>
      <c r="S148" s="629"/>
      <c r="T148" s="630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4301031453</v>
      </c>
      <c r="D149" s="627">
        <v>4680115887336</v>
      </c>
      <c r="E149" s="627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121</v>
      </c>
      <c r="L149" s="37" t="s">
        <v>45</v>
      </c>
      <c r="M149" s="38" t="s">
        <v>82</v>
      </c>
      <c r="N149" s="38"/>
      <c r="O149" s="37">
        <v>40</v>
      </c>
      <c r="P149" s="6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4301030963</v>
      </c>
      <c r="D150" s="627">
        <v>4607091382426</v>
      </c>
      <c r="E150" s="627"/>
      <c r="F150" s="62">
        <v>0.9</v>
      </c>
      <c r="G150" s="37">
        <v>10</v>
      </c>
      <c r="H150" s="62">
        <v>9</v>
      </c>
      <c r="I150" s="62">
        <v>9.56</v>
      </c>
      <c r="J150" s="37">
        <v>64</v>
      </c>
      <c r="K150" s="37" t="s">
        <v>117</v>
      </c>
      <c r="L150" s="37" t="s">
        <v>45</v>
      </c>
      <c r="M150" s="38" t="s">
        <v>82</v>
      </c>
      <c r="N150" s="38"/>
      <c r="O150" s="37">
        <v>40</v>
      </c>
      <c r="P150" s="69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IFERROR(IF(Y150=0,"",ROUNDUP(Y150/H150,0)*0.01898),"")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4301031456</v>
      </c>
      <c r="D151" s="627">
        <v>4680115887398</v>
      </c>
      <c r="E151" s="627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121</v>
      </c>
      <c r="L151" s="37" t="s">
        <v>45</v>
      </c>
      <c r="M151" s="38" t="s">
        <v>82</v>
      </c>
      <c r="N151" s="38"/>
      <c r="O151" s="37">
        <v>40</v>
      </c>
      <c r="P151" s="6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5"/>
      <c r="B152" s="635"/>
      <c r="C152" s="635"/>
      <c r="D152" s="635"/>
      <c r="E152" s="635"/>
      <c r="F152" s="635"/>
      <c r="G152" s="635"/>
      <c r="H152" s="635"/>
      <c r="I152" s="635"/>
      <c r="J152" s="635"/>
      <c r="K152" s="635"/>
      <c r="L152" s="635"/>
      <c r="M152" s="635"/>
      <c r="N152" s="635"/>
      <c r="O152" s="636"/>
      <c r="P152" s="632" t="s">
        <v>40</v>
      </c>
      <c r="Q152" s="633"/>
      <c r="R152" s="633"/>
      <c r="S152" s="633"/>
      <c r="T152" s="633"/>
      <c r="U152" s="633"/>
      <c r="V152" s="634"/>
      <c r="W152" s="42" t="s">
        <v>39</v>
      </c>
      <c r="X152" s="43">
        <f>IFERROR(X147/H147,"0")+IFERROR(X148/H148,"0")+IFERROR(X149/H149,"0")+IFERROR(X150/H150,"0")+IFERROR(X151/H151,"0")</f>
        <v>0</v>
      </c>
      <c r="Y152" s="43">
        <f>IFERROR(Y147/H147,"0")+IFERROR(Y148/H148,"0")+IFERROR(Y149/H149,"0")+IFERROR(Y150/H150,"0")+IFERROR(Y151/H151,"0")</f>
        <v>0</v>
      </c>
      <c r="Z152" s="43">
        <f>IFERROR(IF(Z147="",0,Z147),"0")+IFERROR(IF(Z148="",0,Z148),"0")+IFERROR(IF(Z149="",0,Z149),"0")+IFERROR(IF(Z150="",0,Z150),"0")+IFERROR(IF(Z151="",0,Z151),"0")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5"/>
      <c r="B153" s="635"/>
      <c r="C153" s="635"/>
      <c r="D153" s="635"/>
      <c r="E153" s="635"/>
      <c r="F153" s="635"/>
      <c r="G153" s="635"/>
      <c r="H153" s="635"/>
      <c r="I153" s="635"/>
      <c r="J153" s="635"/>
      <c r="K153" s="635"/>
      <c r="L153" s="635"/>
      <c r="M153" s="635"/>
      <c r="N153" s="635"/>
      <c r="O153" s="636"/>
      <c r="P153" s="632" t="s">
        <v>40</v>
      </c>
      <c r="Q153" s="633"/>
      <c r="R153" s="633"/>
      <c r="S153" s="633"/>
      <c r="T153" s="633"/>
      <c r="U153" s="633"/>
      <c r="V153" s="634"/>
      <c r="W153" s="42" t="s">
        <v>0</v>
      </c>
      <c r="X153" s="43">
        <f>IFERROR(SUM(X147:X151),"0")</f>
        <v>0</v>
      </c>
      <c r="Y153" s="43">
        <f>IFERROR(SUM(Y147:Y151),"0")</f>
        <v>0</v>
      </c>
      <c r="Z153" s="42"/>
      <c r="AA153" s="67"/>
      <c r="AB153" s="67"/>
      <c r="AC153" s="67"/>
    </row>
    <row r="154" spans="1:68" ht="14.25" customHeight="1" x14ac:dyDescent="0.25">
      <c r="A154" s="626" t="s">
        <v>88</v>
      </c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6"/>
      <c r="P154" s="626"/>
      <c r="Q154" s="626"/>
      <c r="R154" s="626"/>
      <c r="S154" s="626"/>
      <c r="T154" s="626"/>
      <c r="U154" s="626"/>
      <c r="V154" s="626"/>
      <c r="W154" s="626"/>
      <c r="X154" s="626"/>
      <c r="Y154" s="626"/>
      <c r="Z154" s="626"/>
      <c r="AA154" s="66"/>
      <c r="AB154" s="66"/>
      <c r="AC154" s="80"/>
    </row>
    <row r="155" spans="1:68" ht="27" customHeight="1" x14ac:dyDescent="0.25">
      <c r="A155" s="63" t="s">
        <v>271</v>
      </c>
      <c r="B155" s="63" t="s">
        <v>272</v>
      </c>
      <c r="C155" s="36">
        <v>4301052064</v>
      </c>
      <c r="D155" s="627">
        <v>4680115887459</v>
      </c>
      <c r="E155" s="627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9"/>
      <c r="R155" s="629"/>
      <c r="S155" s="629"/>
      <c r="T155" s="630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273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5"/>
      <c r="B156" s="635"/>
      <c r="C156" s="635"/>
      <c r="D156" s="635"/>
      <c r="E156" s="635"/>
      <c r="F156" s="635"/>
      <c r="G156" s="635"/>
      <c r="H156" s="635"/>
      <c r="I156" s="635"/>
      <c r="J156" s="635"/>
      <c r="K156" s="635"/>
      <c r="L156" s="635"/>
      <c r="M156" s="635"/>
      <c r="N156" s="635"/>
      <c r="O156" s="636"/>
      <c r="P156" s="632" t="s">
        <v>40</v>
      </c>
      <c r="Q156" s="633"/>
      <c r="R156" s="633"/>
      <c r="S156" s="633"/>
      <c r="T156" s="633"/>
      <c r="U156" s="633"/>
      <c r="V156" s="634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5"/>
      <c r="B157" s="635"/>
      <c r="C157" s="635"/>
      <c r="D157" s="635"/>
      <c r="E157" s="635"/>
      <c r="F157" s="635"/>
      <c r="G157" s="635"/>
      <c r="H157" s="635"/>
      <c r="I157" s="635"/>
      <c r="J157" s="635"/>
      <c r="K157" s="635"/>
      <c r="L157" s="635"/>
      <c r="M157" s="635"/>
      <c r="N157" s="635"/>
      <c r="O157" s="636"/>
      <c r="P157" s="632" t="s">
        <v>40</v>
      </c>
      <c r="Q157" s="633"/>
      <c r="R157" s="633"/>
      <c r="S157" s="633"/>
      <c r="T157" s="633"/>
      <c r="U157" s="633"/>
      <c r="V157" s="634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4" t="s">
        <v>274</v>
      </c>
      <c r="B158" s="624"/>
      <c r="C158" s="624"/>
      <c r="D158" s="624"/>
      <c r="E158" s="624"/>
      <c r="F158" s="624"/>
      <c r="G158" s="624"/>
      <c r="H158" s="624"/>
      <c r="I158" s="624"/>
      <c r="J158" s="624"/>
      <c r="K158" s="624"/>
      <c r="L158" s="624"/>
      <c r="M158" s="624"/>
      <c r="N158" s="624"/>
      <c r="O158" s="624"/>
      <c r="P158" s="624"/>
      <c r="Q158" s="624"/>
      <c r="R158" s="624"/>
      <c r="S158" s="624"/>
      <c r="T158" s="624"/>
      <c r="U158" s="624"/>
      <c r="V158" s="624"/>
      <c r="W158" s="624"/>
      <c r="X158" s="624"/>
      <c r="Y158" s="624"/>
      <c r="Z158" s="624"/>
      <c r="AA158" s="54"/>
      <c r="AB158" s="54"/>
      <c r="AC158" s="54"/>
    </row>
    <row r="159" spans="1:68" ht="16.5" customHeight="1" x14ac:dyDescent="0.25">
      <c r="A159" s="625" t="s">
        <v>275</v>
      </c>
      <c r="B159" s="625"/>
      <c r="C159" s="625"/>
      <c r="D159" s="625"/>
      <c r="E159" s="625"/>
      <c r="F159" s="625"/>
      <c r="G159" s="625"/>
      <c r="H159" s="625"/>
      <c r="I159" s="625"/>
      <c r="J159" s="625"/>
      <c r="K159" s="625"/>
      <c r="L159" s="625"/>
      <c r="M159" s="625"/>
      <c r="N159" s="625"/>
      <c r="O159" s="625"/>
      <c r="P159" s="625"/>
      <c r="Q159" s="625"/>
      <c r="R159" s="625"/>
      <c r="S159" s="625"/>
      <c r="T159" s="625"/>
      <c r="U159" s="625"/>
      <c r="V159" s="625"/>
      <c r="W159" s="625"/>
      <c r="X159" s="625"/>
      <c r="Y159" s="625"/>
      <c r="Z159" s="625"/>
      <c r="AA159" s="65"/>
      <c r="AB159" s="65"/>
      <c r="AC159" s="79"/>
    </row>
    <row r="160" spans="1:68" ht="14.25" customHeight="1" x14ac:dyDescent="0.25">
      <c r="A160" s="626" t="s">
        <v>147</v>
      </c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6"/>
      <c r="P160" s="626"/>
      <c r="Q160" s="626"/>
      <c r="R160" s="626"/>
      <c r="S160" s="626"/>
      <c r="T160" s="626"/>
      <c r="U160" s="626"/>
      <c r="V160" s="626"/>
      <c r="W160" s="626"/>
      <c r="X160" s="626"/>
      <c r="Y160" s="626"/>
      <c r="Z160" s="626"/>
      <c r="AA160" s="66"/>
      <c r="AB160" s="66"/>
      <c r="AC160" s="80"/>
    </row>
    <row r="161" spans="1:68" ht="27" customHeight="1" x14ac:dyDescent="0.25">
      <c r="A161" s="63" t="s">
        <v>276</v>
      </c>
      <c r="B161" s="63" t="s">
        <v>277</v>
      </c>
      <c r="C161" s="36">
        <v>4301020323</v>
      </c>
      <c r="D161" s="627">
        <v>4680115886223</v>
      </c>
      <c r="E161" s="627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9"/>
      <c r="R161" s="629"/>
      <c r="S161" s="629"/>
      <c r="T161" s="630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278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5"/>
      <c r="B162" s="635"/>
      <c r="C162" s="635"/>
      <c r="D162" s="635"/>
      <c r="E162" s="635"/>
      <c r="F162" s="635"/>
      <c r="G162" s="635"/>
      <c r="H162" s="635"/>
      <c r="I162" s="635"/>
      <c r="J162" s="635"/>
      <c r="K162" s="635"/>
      <c r="L162" s="635"/>
      <c r="M162" s="635"/>
      <c r="N162" s="635"/>
      <c r="O162" s="636"/>
      <c r="P162" s="632" t="s">
        <v>40</v>
      </c>
      <c r="Q162" s="633"/>
      <c r="R162" s="633"/>
      <c r="S162" s="633"/>
      <c r="T162" s="633"/>
      <c r="U162" s="633"/>
      <c r="V162" s="63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5"/>
      <c r="B163" s="635"/>
      <c r="C163" s="635"/>
      <c r="D163" s="635"/>
      <c r="E163" s="635"/>
      <c r="F163" s="635"/>
      <c r="G163" s="635"/>
      <c r="H163" s="635"/>
      <c r="I163" s="635"/>
      <c r="J163" s="635"/>
      <c r="K163" s="635"/>
      <c r="L163" s="635"/>
      <c r="M163" s="635"/>
      <c r="N163" s="635"/>
      <c r="O163" s="636"/>
      <c r="P163" s="632" t="s">
        <v>40</v>
      </c>
      <c r="Q163" s="633"/>
      <c r="R163" s="633"/>
      <c r="S163" s="633"/>
      <c r="T163" s="633"/>
      <c r="U163" s="633"/>
      <c r="V163" s="63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6" t="s">
        <v>78</v>
      </c>
      <c r="B164" s="626"/>
      <c r="C164" s="626"/>
      <c r="D164" s="626"/>
      <c r="E164" s="626"/>
      <c r="F164" s="626"/>
      <c r="G164" s="626"/>
      <c r="H164" s="626"/>
      <c r="I164" s="626"/>
      <c r="J164" s="626"/>
      <c r="K164" s="626"/>
      <c r="L164" s="626"/>
      <c r="M164" s="626"/>
      <c r="N164" s="626"/>
      <c r="O164" s="626"/>
      <c r="P164" s="626"/>
      <c r="Q164" s="626"/>
      <c r="R164" s="626"/>
      <c r="S164" s="626"/>
      <c r="T164" s="626"/>
      <c r="U164" s="626"/>
      <c r="V164" s="626"/>
      <c r="W164" s="626"/>
      <c r="X164" s="626"/>
      <c r="Y164" s="626"/>
      <c r="Z164" s="626"/>
      <c r="AA164" s="66"/>
      <c r="AB164" s="66"/>
      <c r="AC164" s="80"/>
    </row>
    <row r="165" spans="1:68" ht="27" customHeight="1" x14ac:dyDescent="0.25">
      <c r="A165" s="63" t="s">
        <v>279</v>
      </c>
      <c r="B165" s="63" t="s">
        <v>280</v>
      </c>
      <c r="C165" s="36">
        <v>4301031191</v>
      </c>
      <c r="D165" s="627">
        <v>4680115880993</v>
      </c>
      <c r="E165" s="627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121</v>
      </c>
      <c r="L165" s="37" t="s">
        <v>122</v>
      </c>
      <c r="M165" s="38" t="s">
        <v>82</v>
      </c>
      <c r="N165" s="38"/>
      <c r="O165" s="37">
        <v>40</v>
      </c>
      <c r="P165" s="7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629"/>
      <c r="R165" s="629"/>
      <c r="S165" s="629"/>
      <c r="T165" s="630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8" si="5">IFERROR(IF(X165="",0,CEILING((X165/$H165),1)*$H165),"")</f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94</v>
      </c>
      <c r="AK165" s="84">
        <v>50.4</v>
      </c>
      <c r="BB165" s="217" t="s">
        <v>66</v>
      </c>
      <c r="BM165" s="78">
        <f t="shared" ref="BM165:BM178" si="6">IFERROR(X165*I165/H165,"0")</f>
        <v>0</v>
      </c>
      <c r="BN165" s="78">
        <f t="shared" ref="BN165:BN178" si="7">IFERROR(Y165*I165/H165,"0")</f>
        <v>0</v>
      </c>
      <c r="BO165" s="78">
        <f t="shared" ref="BO165:BO178" si="8">IFERROR(1/J165*(X165/H165),"0")</f>
        <v>0</v>
      </c>
      <c r="BP165" s="78">
        <f t="shared" ref="BP165:BP178" si="9">IFERROR(1/J165*(Y165/H165),"0")</f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4301031204</v>
      </c>
      <c r="D166" s="627">
        <v>4680115881761</v>
      </c>
      <c r="E166" s="627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121</v>
      </c>
      <c r="L166" s="37" t="s">
        <v>45</v>
      </c>
      <c r="M166" s="38" t="s">
        <v>82</v>
      </c>
      <c r="N166" s="38"/>
      <c r="O166" s="37">
        <v>40</v>
      </c>
      <c r="P166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629"/>
      <c r="R166" s="629"/>
      <c r="S166" s="629"/>
      <c r="T166" s="630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4301031201</v>
      </c>
      <c r="D167" s="627">
        <v>4680115881563</v>
      </c>
      <c r="E167" s="627"/>
      <c r="F167" s="62">
        <v>0.7</v>
      </c>
      <c r="G167" s="37">
        <v>6</v>
      </c>
      <c r="H167" s="62">
        <v>4.2</v>
      </c>
      <c r="I167" s="62">
        <v>4.3899999999999997</v>
      </c>
      <c r="J167" s="37">
        <v>132</v>
      </c>
      <c r="K167" s="37" t="s">
        <v>121</v>
      </c>
      <c r="L167" s="37" t="s">
        <v>122</v>
      </c>
      <c r="M167" s="38" t="s">
        <v>82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94</v>
      </c>
      <c r="AK167" s="84">
        <v>50.4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4301031447</v>
      </c>
      <c r="D168" s="627">
        <v>4680115887565</v>
      </c>
      <c r="E168" s="627"/>
      <c r="F168" s="62">
        <v>0.08</v>
      </c>
      <c r="G168" s="37">
        <v>10</v>
      </c>
      <c r="H168" s="62">
        <v>0.8</v>
      </c>
      <c r="I168" s="62">
        <v>0.93</v>
      </c>
      <c r="J168" s="37">
        <v>216</v>
      </c>
      <c r="K168" s="37" t="s">
        <v>87</v>
      </c>
      <c r="L168" s="37" t="s">
        <v>45</v>
      </c>
      <c r="M168" s="38" t="s">
        <v>82</v>
      </c>
      <c r="N168" s="38"/>
      <c r="O168" s="37">
        <v>45</v>
      </c>
      <c r="P168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IFERROR(IF(Y168=0,"",ROUNDUP(Y168/H168,0)*0.00556),"")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4301031199</v>
      </c>
      <c r="D169" s="627">
        <v>4680115880986</v>
      </c>
      <c r="E169" s="627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281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293</v>
      </c>
      <c r="B170" s="63" t="s">
        <v>294</v>
      </c>
      <c r="C170" s="36">
        <v>4301031443</v>
      </c>
      <c r="D170" s="627">
        <v>4680115887213</v>
      </c>
      <c r="E170" s="627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295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4301031205</v>
      </c>
      <c r="D171" s="627">
        <v>4680115881785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298</v>
      </c>
      <c r="M171" s="38" t="s">
        <v>82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284</v>
      </c>
      <c r="AG171" s="78"/>
      <c r="AJ171" s="84" t="s">
        <v>94</v>
      </c>
      <c r="AK171" s="84">
        <v>37.799999999999997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299</v>
      </c>
      <c r="B172" s="63" t="s">
        <v>300</v>
      </c>
      <c r="C172" s="36">
        <v>4301031463</v>
      </c>
      <c r="D172" s="627">
        <v>4680115887824</v>
      </c>
      <c r="E172" s="627"/>
      <c r="F172" s="62">
        <v>0.15</v>
      </c>
      <c r="G172" s="37">
        <v>16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302</v>
      </c>
      <c r="N172" s="38"/>
      <c r="O172" s="37">
        <v>60</v>
      </c>
      <c r="P172" s="70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301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4301031464</v>
      </c>
      <c r="D173" s="627">
        <v>4680115887701</v>
      </c>
      <c r="E173" s="627"/>
      <c r="F173" s="62">
        <v>0.3</v>
      </c>
      <c r="G173" s="37">
        <v>8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302</v>
      </c>
      <c r="N173" s="38"/>
      <c r="O173" s="37">
        <v>60</v>
      </c>
      <c r="P173" s="70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4301031399</v>
      </c>
      <c r="D174" s="627">
        <v>4680115886537</v>
      </c>
      <c r="E174" s="627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4301031279</v>
      </c>
      <c r="D175" s="627">
        <v>4680115887596</v>
      </c>
      <c r="E175" s="627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186</v>
      </c>
      <c r="L175" s="37" t="s">
        <v>45</v>
      </c>
      <c r="M175" s="38" t="s">
        <v>82</v>
      </c>
      <c r="N175" s="38"/>
      <c r="O175" s="37">
        <v>45</v>
      </c>
      <c r="P175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37.5" customHeight="1" x14ac:dyDescent="0.25">
      <c r="A176" s="63" t="s">
        <v>311</v>
      </c>
      <c r="B176" s="63" t="s">
        <v>312</v>
      </c>
      <c r="C176" s="36">
        <v>4301031202</v>
      </c>
      <c r="D176" s="627">
        <v>4680115881679</v>
      </c>
      <c r="E176" s="627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298</v>
      </c>
      <c r="M176" s="38" t="s">
        <v>82</v>
      </c>
      <c r="N176" s="38"/>
      <c r="O176" s="37">
        <v>40</v>
      </c>
      <c r="P176" s="7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287</v>
      </c>
      <c r="AG176" s="78"/>
      <c r="AJ176" s="84" t="s">
        <v>94</v>
      </c>
      <c r="AK176" s="84">
        <v>37.799999999999997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4301031158</v>
      </c>
      <c r="D177" s="627">
        <v>4680115880191</v>
      </c>
      <c r="E177" s="627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9"/>
      <c r="R177" s="629"/>
      <c r="S177" s="629"/>
      <c r="T177" s="630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287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ht="27" customHeight="1" x14ac:dyDescent="0.25">
      <c r="A178" s="63" t="s">
        <v>315</v>
      </c>
      <c r="B178" s="63" t="s">
        <v>316</v>
      </c>
      <c r="C178" s="36">
        <v>4301031245</v>
      </c>
      <c r="D178" s="627">
        <v>4680115883963</v>
      </c>
      <c r="E178" s="62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9"/>
      <c r="R178" s="629"/>
      <c r="S178" s="629"/>
      <c r="T178" s="630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5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317</v>
      </c>
      <c r="AG178" s="78"/>
      <c r="AJ178" s="84" t="s">
        <v>45</v>
      </c>
      <c r="AK178" s="84">
        <v>0</v>
      </c>
      <c r="BB178" s="243" t="s">
        <v>66</v>
      </c>
      <c r="BM178" s="78">
        <f t="shared" si="6"/>
        <v>0</v>
      </c>
      <c r="BN178" s="78">
        <f t="shared" si="7"/>
        <v>0</v>
      </c>
      <c r="BO178" s="78">
        <f t="shared" si="8"/>
        <v>0</v>
      </c>
      <c r="BP178" s="78">
        <f t="shared" si="9"/>
        <v>0</v>
      </c>
    </row>
    <row r="179" spans="1:68" x14ac:dyDescent="0.2">
      <c r="A179" s="635"/>
      <c r="B179" s="635"/>
      <c r="C179" s="635"/>
      <c r="D179" s="635"/>
      <c r="E179" s="635"/>
      <c r="F179" s="635"/>
      <c r="G179" s="635"/>
      <c r="H179" s="635"/>
      <c r="I179" s="635"/>
      <c r="J179" s="635"/>
      <c r="K179" s="635"/>
      <c r="L179" s="635"/>
      <c r="M179" s="635"/>
      <c r="N179" s="635"/>
      <c r="O179" s="636"/>
      <c r="P179" s="632" t="s">
        <v>40</v>
      </c>
      <c r="Q179" s="633"/>
      <c r="R179" s="633"/>
      <c r="S179" s="633"/>
      <c r="T179" s="633"/>
      <c r="U179" s="633"/>
      <c r="V179" s="634"/>
      <c r="W179" s="42" t="s">
        <v>39</v>
      </c>
      <c r="X179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5"/>
      <c r="M180" s="635"/>
      <c r="N180" s="635"/>
      <c r="O180" s="636"/>
      <c r="P180" s="632" t="s">
        <v>40</v>
      </c>
      <c r="Q180" s="633"/>
      <c r="R180" s="633"/>
      <c r="S180" s="633"/>
      <c r="T180" s="633"/>
      <c r="U180" s="633"/>
      <c r="V180" s="634"/>
      <c r="W180" s="42" t="s">
        <v>0</v>
      </c>
      <c r="X180" s="43">
        <f>IFERROR(SUM(X165:X178),"0")</f>
        <v>0</v>
      </c>
      <c r="Y180" s="43">
        <f>IFERROR(SUM(Y165:Y178),"0")</f>
        <v>0</v>
      </c>
      <c r="Z180" s="42"/>
      <c r="AA180" s="67"/>
      <c r="AB180" s="67"/>
      <c r="AC180" s="67"/>
    </row>
    <row r="181" spans="1:68" ht="14.25" customHeight="1" x14ac:dyDescent="0.25">
      <c r="A181" s="626" t="s">
        <v>104</v>
      </c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6"/>
      <c r="P181" s="626"/>
      <c r="Q181" s="626"/>
      <c r="R181" s="626"/>
      <c r="S181" s="626"/>
      <c r="T181" s="626"/>
      <c r="U181" s="626"/>
      <c r="V181" s="626"/>
      <c r="W181" s="626"/>
      <c r="X181" s="626"/>
      <c r="Y181" s="626"/>
      <c r="Z181" s="626"/>
      <c r="AA181" s="66"/>
      <c r="AB181" s="66"/>
      <c r="AC181" s="80"/>
    </row>
    <row r="182" spans="1:68" ht="27" customHeight="1" x14ac:dyDescent="0.25">
      <c r="A182" s="63" t="s">
        <v>318</v>
      </c>
      <c r="B182" s="63" t="s">
        <v>319</v>
      </c>
      <c r="C182" s="36">
        <v>4301032053</v>
      </c>
      <c r="D182" s="627">
        <v>4680115886780</v>
      </c>
      <c r="E182" s="627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321</v>
      </c>
      <c r="L182" s="37" t="s">
        <v>45</v>
      </c>
      <c r="M182" s="38" t="s">
        <v>302</v>
      </c>
      <c r="N182" s="38"/>
      <c r="O182" s="37">
        <v>60</v>
      </c>
      <c r="P182" s="71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9"/>
      <c r="R182" s="629"/>
      <c r="S182" s="629"/>
      <c r="T182" s="630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320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4301032051</v>
      </c>
      <c r="D183" s="627">
        <v>4680115886742</v>
      </c>
      <c r="E183" s="627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321</v>
      </c>
      <c r="L183" s="37" t="s">
        <v>45</v>
      </c>
      <c r="M183" s="38" t="s">
        <v>302</v>
      </c>
      <c r="N183" s="38"/>
      <c r="O183" s="37">
        <v>90</v>
      </c>
      <c r="P183" s="71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9"/>
      <c r="R183" s="629"/>
      <c r="S183" s="629"/>
      <c r="T183" s="630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324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4301032052</v>
      </c>
      <c r="D184" s="627">
        <v>4680115886766</v>
      </c>
      <c r="E184" s="627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321</v>
      </c>
      <c r="L184" s="37" t="s">
        <v>45</v>
      </c>
      <c r="M184" s="38" t="s">
        <v>302</v>
      </c>
      <c r="N184" s="38"/>
      <c r="O184" s="37">
        <v>90</v>
      </c>
      <c r="P184" s="71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9"/>
      <c r="R184" s="629"/>
      <c r="S184" s="629"/>
      <c r="T184" s="630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324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5"/>
      <c r="B185" s="635"/>
      <c r="C185" s="635"/>
      <c r="D185" s="635"/>
      <c r="E185" s="635"/>
      <c r="F185" s="635"/>
      <c r="G185" s="635"/>
      <c r="H185" s="635"/>
      <c r="I185" s="635"/>
      <c r="J185" s="635"/>
      <c r="K185" s="635"/>
      <c r="L185" s="635"/>
      <c r="M185" s="635"/>
      <c r="N185" s="635"/>
      <c r="O185" s="636"/>
      <c r="P185" s="632" t="s">
        <v>40</v>
      </c>
      <c r="Q185" s="633"/>
      <c r="R185" s="633"/>
      <c r="S185" s="633"/>
      <c r="T185" s="633"/>
      <c r="U185" s="633"/>
      <c r="V185" s="63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5"/>
      <c r="B186" s="635"/>
      <c r="C186" s="635"/>
      <c r="D186" s="635"/>
      <c r="E186" s="635"/>
      <c r="F186" s="635"/>
      <c r="G186" s="635"/>
      <c r="H186" s="635"/>
      <c r="I186" s="635"/>
      <c r="J186" s="635"/>
      <c r="K186" s="635"/>
      <c r="L186" s="635"/>
      <c r="M186" s="635"/>
      <c r="N186" s="635"/>
      <c r="O186" s="636"/>
      <c r="P186" s="632" t="s">
        <v>40</v>
      </c>
      <c r="Q186" s="633"/>
      <c r="R186" s="633"/>
      <c r="S186" s="633"/>
      <c r="T186" s="633"/>
      <c r="U186" s="633"/>
      <c r="V186" s="63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6" t="s">
        <v>327</v>
      </c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6"/>
      <c r="P187" s="626"/>
      <c r="Q187" s="626"/>
      <c r="R187" s="626"/>
      <c r="S187" s="626"/>
      <c r="T187" s="626"/>
      <c r="U187" s="626"/>
      <c r="V187" s="626"/>
      <c r="W187" s="626"/>
      <c r="X187" s="626"/>
      <c r="Y187" s="626"/>
      <c r="Z187" s="626"/>
      <c r="AA187" s="66"/>
      <c r="AB187" s="66"/>
      <c r="AC187" s="80"/>
    </row>
    <row r="188" spans="1:68" ht="27" customHeight="1" x14ac:dyDescent="0.25">
      <c r="A188" s="63" t="s">
        <v>328</v>
      </c>
      <c r="B188" s="63" t="s">
        <v>329</v>
      </c>
      <c r="C188" s="36">
        <v>4301170013</v>
      </c>
      <c r="D188" s="627">
        <v>4680115886797</v>
      </c>
      <c r="E188" s="627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321</v>
      </c>
      <c r="L188" s="37" t="s">
        <v>45</v>
      </c>
      <c r="M188" s="38" t="s">
        <v>302</v>
      </c>
      <c r="N188" s="38"/>
      <c r="O188" s="37">
        <v>90</v>
      </c>
      <c r="P188" s="71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9"/>
      <c r="R188" s="629"/>
      <c r="S188" s="629"/>
      <c r="T188" s="630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324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6"/>
      <c r="P190" s="632" t="s">
        <v>40</v>
      </c>
      <c r="Q190" s="633"/>
      <c r="R190" s="633"/>
      <c r="S190" s="633"/>
      <c r="T190" s="633"/>
      <c r="U190" s="633"/>
      <c r="V190" s="634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5" t="s">
        <v>330</v>
      </c>
      <c r="B191" s="625"/>
      <c r="C191" s="625"/>
      <c r="D191" s="625"/>
      <c r="E191" s="625"/>
      <c r="F191" s="625"/>
      <c r="G191" s="625"/>
      <c r="H191" s="625"/>
      <c r="I191" s="625"/>
      <c r="J191" s="625"/>
      <c r="K191" s="625"/>
      <c r="L191" s="625"/>
      <c r="M191" s="625"/>
      <c r="N191" s="625"/>
      <c r="O191" s="625"/>
      <c r="P191" s="625"/>
      <c r="Q191" s="625"/>
      <c r="R191" s="625"/>
      <c r="S191" s="625"/>
      <c r="T191" s="625"/>
      <c r="U191" s="625"/>
      <c r="V191" s="625"/>
      <c r="W191" s="625"/>
      <c r="X191" s="625"/>
      <c r="Y191" s="625"/>
      <c r="Z191" s="625"/>
      <c r="AA191" s="65"/>
      <c r="AB191" s="65"/>
      <c r="AC191" s="79"/>
    </row>
    <row r="192" spans="1:68" ht="14.25" customHeight="1" x14ac:dyDescent="0.25">
      <c r="A192" s="626" t="s">
        <v>112</v>
      </c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6"/>
      <c r="P192" s="626"/>
      <c r="Q192" s="626"/>
      <c r="R192" s="626"/>
      <c r="S192" s="626"/>
      <c r="T192" s="626"/>
      <c r="U192" s="626"/>
      <c r="V192" s="626"/>
      <c r="W192" s="626"/>
      <c r="X192" s="626"/>
      <c r="Y192" s="626"/>
      <c r="Z192" s="626"/>
      <c r="AA192" s="66"/>
      <c r="AB192" s="66"/>
      <c r="AC192" s="80"/>
    </row>
    <row r="193" spans="1:68" ht="27" customHeight="1" x14ac:dyDescent="0.25">
      <c r="A193" s="63" t="s">
        <v>331</v>
      </c>
      <c r="B193" s="63" t="s">
        <v>332</v>
      </c>
      <c r="C193" s="36">
        <v>4301011450</v>
      </c>
      <c r="D193" s="627">
        <v>4680115881402</v>
      </c>
      <c r="E193" s="627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117</v>
      </c>
      <c r="L193" s="37" t="s">
        <v>45</v>
      </c>
      <c r="M193" s="38" t="s">
        <v>116</v>
      </c>
      <c r="N193" s="38"/>
      <c r="O193" s="37">
        <v>55</v>
      </c>
      <c r="P193" s="7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9"/>
      <c r="R193" s="629"/>
      <c r="S193" s="629"/>
      <c r="T193" s="630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333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334</v>
      </c>
      <c r="B194" s="63" t="s">
        <v>335</v>
      </c>
      <c r="C194" s="36">
        <v>4301011768</v>
      </c>
      <c r="D194" s="627">
        <v>4680115881396</v>
      </c>
      <c r="E194" s="627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116</v>
      </c>
      <c r="N194" s="38"/>
      <c r="O194" s="37">
        <v>55</v>
      </c>
      <c r="P194" s="7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9"/>
      <c r="R194" s="629"/>
      <c r="S194" s="629"/>
      <c r="T194" s="630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333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5"/>
      <c r="B195" s="635"/>
      <c r="C195" s="635"/>
      <c r="D195" s="635"/>
      <c r="E195" s="635"/>
      <c r="F195" s="635"/>
      <c r="G195" s="635"/>
      <c r="H195" s="635"/>
      <c r="I195" s="635"/>
      <c r="J195" s="635"/>
      <c r="K195" s="635"/>
      <c r="L195" s="635"/>
      <c r="M195" s="635"/>
      <c r="N195" s="635"/>
      <c r="O195" s="636"/>
      <c r="P195" s="632" t="s">
        <v>40</v>
      </c>
      <c r="Q195" s="633"/>
      <c r="R195" s="633"/>
      <c r="S195" s="633"/>
      <c r="T195" s="633"/>
      <c r="U195" s="633"/>
      <c r="V195" s="634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5"/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6"/>
      <c r="P196" s="632" t="s">
        <v>40</v>
      </c>
      <c r="Q196" s="633"/>
      <c r="R196" s="633"/>
      <c r="S196" s="633"/>
      <c r="T196" s="633"/>
      <c r="U196" s="633"/>
      <c r="V196" s="634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6" t="s">
        <v>147</v>
      </c>
      <c r="B197" s="626"/>
      <c r="C197" s="626"/>
      <c r="D197" s="626"/>
      <c r="E197" s="626"/>
      <c r="F197" s="626"/>
      <c r="G197" s="626"/>
      <c r="H197" s="626"/>
      <c r="I197" s="626"/>
      <c r="J197" s="626"/>
      <c r="K197" s="626"/>
      <c r="L197" s="626"/>
      <c r="M197" s="626"/>
      <c r="N197" s="626"/>
      <c r="O197" s="626"/>
      <c r="P197" s="626"/>
      <c r="Q197" s="626"/>
      <c r="R197" s="626"/>
      <c r="S197" s="626"/>
      <c r="T197" s="626"/>
      <c r="U197" s="626"/>
      <c r="V197" s="626"/>
      <c r="W197" s="626"/>
      <c r="X197" s="626"/>
      <c r="Y197" s="626"/>
      <c r="Z197" s="626"/>
      <c r="AA197" s="66"/>
      <c r="AB197" s="66"/>
      <c r="AC197" s="80"/>
    </row>
    <row r="198" spans="1:68" ht="16.5" customHeight="1" x14ac:dyDescent="0.25">
      <c r="A198" s="63" t="s">
        <v>336</v>
      </c>
      <c r="B198" s="63" t="s">
        <v>337</v>
      </c>
      <c r="C198" s="36">
        <v>4301020261</v>
      </c>
      <c r="D198" s="627">
        <v>4680115882935</v>
      </c>
      <c r="E198" s="627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117</v>
      </c>
      <c r="L198" s="37" t="s">
        <v>45</v>
      </c>
      <c r="M198" s="38" t="s">
        <v>116</v>
      </c>
      <c r="N198" s="38"/>
      <c r="O198" s="37">
        <v>50</v>
      </c>
      <c r="P198" s="7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9"/>
      <c r="R198" s="629"/>
      <c r="S198" s="629"/>
      <c r="T198" s="630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338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339</v>
      </c>
      <c r="B199" s="63" t="s">
        <v>340</v>
      </c>
      <c r="C199" s="36">
        <v>4301020220</v>
      </c>
      <c r="D199" s="627">
        <v>4680115880764</v>
      </c>
      <c r="E199" s="627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116</v>
      </c>
      <c r="N199" s="38"/>
      <c r="O199" s="37">
        <v>50</v>
      </c>
      <c r="P199" s="7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9"/>
      <c r="R199" s="629"/>
      <c r="S199" s="629"/>
      <c r="T199" s="630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338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5"/>
      <c r="B200" s="635"/>
      <c r="C200" s="635"/>
      <c r="D200" s="635"/>
      <c r="E200" s="635"/>
      <c r="F200" s="635"/>
      <c r="G200" s="635"/>
      <c r="H200" s="635"/>
      <c r="I200" s="635"/>
      <c r="J200" s="635"/>
      <c r="K200" s="635"/>
      <c r="L200" s="635"/>
      <c r="M200" s="635"/>
      <c r="N200" s="635"/>
      <c r="O200" s="636"/>
      <c r="P200" s="632" t="s">
        <v>40</v>
      </c>
      <c r="Q200" s="633"/>
      <c r="R200" s="633"/>
      <c r="S200" s="633"/>
      <c r="T200" s="633"/>
      <c r="U200" s="633"/>
      <c r="V200" s="634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5"/>
      <c r="B201" s="635"/>
      <c r="C201" s="635"/>
      <c r="D201" s="635"/>
      <c r="E201" s="635"/>
      <c r="F201" s="635"/>
      <c r="G201" s="635"/>
      <c r="H201" s="635"/>
      <c r="I201" s="635"/>
      <c r="J201" s="635"/>
      <c r="K201" s="635"/>
      <c r="L201" s="635"/>
      <c r="M201" s="635"/>
      <c r="N201" s="635"/>
      <c r="O201" s="636"/>
      <c r="P201" s="632" t="s">
        <v>40</v>
      </c>
      <c r="Q201" s="633"/>
      <c r="R201" s="633"/>
      <c r="S201" s="633"/>
      <c r="T201" s="633"/>
      <c r="U201" s="633"/>
      <c r="V201" s="634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6" t="s">
        <v>78</v>
      </c>
      <c r="B202" s="626"/>
      <c r="C202" s="626"/>
      <c r="D202" s="626"/>
      <c r="E202" s="626"/>
      <c r="F202" s="626"/>
      <c r="G202" s="626"/>
      <c r="H202" s="626"/>
      <c r="I202" s="626"/>
      <c r="J202" s="626"/>
      <c r="K202" s="626"/>
      <c r="L202" s="626"/>
      <c r="M202" s="626"/>
      <c r="N202" s="626"/>
      <c r="O202" s="626"/>
      <c r="P202" s="626"/>
      <c r="Q202" s="626"/>
      <c r="R202" s="626"/>
      <c r="S202" s="626"/>
      <c r="T202" s="626"/>
      <c r="U202" s="626"/>
      <c r="V202" s="626"/>
      <c r="W202" s="626"/>
      <c r="X202" s="626"/>
      <c r="Y202" s="626"/>
      <c r="Z202" s="626"/>
      <c r="AA202" s="66"/>
      <c r="AB202" s="66"/>
      <c r="AC202" s="80"/>
    </row>
    <row r="203" spans="1:68" ht="27" customHeight="1" x14ac:dyDescent="0.25">
      <c r="A203" s="63" t="s">
        <v>341</v>
      </c>
      <c r="B203" s="63" t="s">
        <v>342</v>
      </c>
      <c r="C203" s="36">
        <v>4301031224</v>
      </c>
      <c r="D203" s="627">
        <v>4680115882683</v>
      </c>
      <c r="E203" s="627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121</v>
      </c>
      <c r="L203" s="37" t="s">
        <v>122</v>
      </c>
      <c r="M203" s="38" t="s">
        <v>82</v>
      </c>
      <c r="N203" s="38"/>
      <c r="O203" s="37">
        <v>40</v>
      </c>
      <c r="P203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9"/>
      <c r="R203" s="629"/>
      <c r="S203" s="629"/>
      <c r="T203" s="63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94</v>
      </c>
      <c r="AK203" s="84">
        <v>64.8</v>
      </c>
      <c r="BB203" s="261" t="s">
        <v>66</v>
      </c>
      <c r="BM203" s="78">
        <f t="shared" ref="BM203:BM210" si="11">IFERROR(X203*I203/H203,"0")</f>
        <v>0</v>
      </c>
      <c r="BN203" s="78">
        <f t="shared" ref="BN203:BN210" si="12">IFERROR(Y203*I203/H203,"0")</f>
        <v>0</v>
      </c>
      <c r="BO203" s="78">
        <f t="shared" ref="BO203:BO210" si="13">IFERROR(1/J203*(X203/H203),"0")</f>
        <v>0</v>
      </c>
      <c r="BP203" s="78">
        <f t="shared" ref="BP203:BP210" si="14">IFERROR(1/J203*(Y203/H203),"0")</f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4301031230</v>
      </c>
      <c r="D204" s="627">
        <v>4680115882690</v>
      </c>
      <c r="E204" s="627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121</v>
      </c>
      <c r="L204" s="37" t="s">
        <v>122</v>
      </c>
      <c r="M204" s="38" t="s">
        <v>82</v>
      </c>
      <c r="N204" s="38"/>
      <c r="O204" s="37">
        <v>40</v>
      </c>
      <c r="P204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9"/>
      <c r="R204" s="629"/>
      <c r="S204" s="629"/>
      <c r="T204" s="630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94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4301031220</v>
      </c>
      <c r="D205" s="627">
        <v>4680115882669</v>
      </c>
      <c r="E205" s="627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121</v>
      </c>
      <c r="L205" s="37" t="s">
        <v>122</v>
      </c>
      <c r="M205" s="38" t="s">
        <v>82</v>
      </c>
      <c r="N205" s="38"/>
      <c r="O205" s="37">
        <v>40</v>
      </c>
      <c r="P205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9"/>
      <c r="R205" s="629"/>
      <c r="S205" s="629"/>
      <c r="T205" s="630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94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4301031221</v>
      </c>
      <c r="D206" s="627">
        <v>4680115882676</v>
      </c>
      <c r="E206" s="627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121</v>
      </c>
      <c r="L206" s="37" t="s">
        <v>122</v>
      </c>
      <c r="M206" s="38" t="s">
        <v>82</v>
      </c>
      <c r="N206" s="38"/>
      <c r="O206" s="37">
        <v>40</v>
      </c>
      <c r="P206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94</v>
      </c>
      <c r="AK206" s="84">
        <v>64.8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4301031223</v>
      </c>
      <c r="D207" s="627">
        <v>4680115884014</v>
      </c>
      <c r="E207" s="627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4301031222</v>
      </c>
      <c r="D208" s="627">
        <v>4680115884007</v>
      </c>
      <c r="E208" s="627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298</v>
      </c>
      <c r="M208" s="38" t="s">
        <v>82</v>
      </c>
      <c r="N208" s="38"/>
      <c r="O208" s="37">
        <v>40</v>
      </c>
      <c r="P208" s="7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94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357</v>
      </c>
      <c r="B209" s="63" t="s">
        <v>358</v>
      </c>
      <c r="C209" s="36">
        <v>4301031229</v>
      </c>
      <c r="D209" s="627">
        <v>4680115884038</v>
      </c>
      <c r="E209" s="627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298</v>
      </c>
      <c r="M209" s="38" t="s">
        <v>82</v>
      </c>
      <c r="N209" s="38"/>
      <c r="O209" s="37">
        <v>40</v>
      </c>
      <c r="P209" s="7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9"/>
      <c r="R209" s="629"/>
      <c r="S209" s="629"/>
      <c r="T209" s="630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94</v>
      </c>
      <c r="AK209" s="84">
        <v>32.4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ht="27" customHeight="1" x14ac:dyDescent="0.25">
      <c r="A210" s="63" t="s">
        <v>359</v>
      </c>
      <c r="B210" s="63" t="s">
        <v>360</v>
      </c>
      <c r="C210" s="36">
        <v>4301031225</v>
      </c>
      <c r="D210" s="627">
        <v>4680115884021</v>
      </c>
      <c r="E210" s="627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298</v>
      </c>
      <c r="M210" s="38" t="s">
        <v>82</v>
      </c>
      <c r="N210" s="38"/>
      <c r="O210" s="37">
        <v>40</v>
      </c>
      <c r="P210" s="72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9"/>
      <c r="R210" s="629"/>
      <c r="S210" s="629"/>
      <c r="T210" s="630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0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94</v>
      </c>
      <c r="AK210" s="84">
        <v>32.4</v>
      </c>
      <c r="BB210" s="275" t="s">
        <v>66</v>
      </c>
      <c r="BM210" s="78">
        <f t="shared" si="11"/>
        <v>0</v>
      </c>
      <c r="BN210" s="78">
        <f t="shared" si="12"/>
        <v>0</v>
      </c>
      <c r="BO210" s="78">
        <f t="shared" si="13"/>
        <v>0</v>
      </c>
      <c r="BP210" s="78">
        <f t="shared" si="14"/>
        <v>0</v>
      </c>
    </row>
    <row r="211" spans="1:68" x14ac:dyDescent="0.2">
      <c r="A211" s="635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5"/>
      <c r="O211" s="636"/>
      <c r="P211" s="632" t="s">
        <v>40</v>
      </c>
      <c r="Q211" s="633"/>
      <c r="R211" s="633"/>
      <c r="S211" s="633"/>
      <c r="T211" s="633"/>
      <c r="U211" s="633"/>
      <c r="V211" s="634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5"/>
      <c r="B212" s="635"/>
      <c r="C212" s="635"/>
      <c r="D212" s="635"/>
      <c r="E212" s="635"/>
      <c r="F212" s="635"/>
      <c r="G212" s="635"/>
      <c r="H212" s="635"/>
      <c r="I212" s="635"/>
      <c r="J212" s="635"/>
      <c r="K212" s="635"/>
      <c r="L212" s="635"/>
      <c r="M212" s="635"/>
      <c r="N212" s="635"/>
      <c r="O212" s="636"/>
      <c r="P212" s="632" t="s">
        <v>40</v>
      </c>
      <c r="Q212" s="633"/>
      <c r="R212" s="633"/>
      <c r="S212" s="633"/>
      <c r="T212" s="633"/>
      <c r="U212" s="633"/>
      <c r="V212" s="634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6" t="s">
        <v>88</v>
      </c>
      <c r="B213" s="626"/>
      <c r="C213" s="626"/>
      <c r="D213" s="626"/>
      <c r="E213" s="626"/>
      <c r="F213" s="626"/>
      <c r="G213" s="626"/>
      <c r="H213" s="626"/>
      <c r="I213" s="626"/>
      <c r="J213" s="626"/>
      <c r="K213" s="626"/>
      <c r="L213" s="626"/>
      <c r="M213" s="626"/>
      <c r="N213" s="626"/>
      <c r="O213" s="626"/>
      <c r="P213" s="626"/>
      <c r="Q213" s="626"/>
      <c r="R213" s="626"/>
      <c r="S213" s="626"/>
      <c r="T213" s="626"/>
      <c r="U213" s="626"/>
      <c r="V213" s="626"/>
      <c r="W213" s="626"/>
      <c r="X213" s="626"/>
      <c r="Y213" s="626"/>
      <c r="Z213" s="626"/>
      <c r="AA213" s="66"/>
      <c r="AB213" s="66"/>
      <c r="AC213" s="80"/>
    </row>
    <row r="214" spans="1:68" ht="27" customHeight="1" x14ac:dyDescent="0.25">
      <c r="A214" s="63" t="s">
        <v>361</v>
      </c>
      <c r="B214" s="63" t="s">
        <v>362</v>
      </c>
      <c r="C214" s="36">
        <v>4301051408</v>
      </c>
      <c r="D214" s="627">
        <v>4680115881594</v>
      </c>
      <c r="E214" s="627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117</v>
      </c>
      <c r="L214" s="37" t="s">
        <v>45</v>
      </c>
      <c r="M214" s="38" t="s">
        <v>92</v>
      </c>
      <c r="N214" s="38"/>
      <c r="O214" s="37">
        <v>40</v>
      </c>
      <c r="P214" s="73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9"/>
      <c r="R214" s="629"/>
      <c r="S214" s="629"/>
      <c r="T214" s="630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15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16">IFERROR(X214*I214/H214,"0")</f>
        <v>0</v>
      </c>
      <c r="BN214" s="78">
        <f t="shared" ref="BN214:BN222" si="17">IFERROR(Y214*I214/H214,"0")</f>
        <v>0</v>
      </c>
      <c r="BO214" s="78">
        <f t="shared" ref="BO214:BO222" si="18">IFERROR(1/J214*(X214/H214),"0")</f>
        <v>0</v>
      </c>
      <c r="BP214" s="78">
        <f t="shared" ref="BP214:BP222" si="19">IFERROR(1/J214*(Y214/H214),"0")</f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4301051411</v>
      </c>
      <c r="D215" s="627">
        <v>4680115881617</v>
      </c>
      <c r="E215" s="627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117</v>
      </c>
      <c r="L215" s="37" t="s">
        <v>45</v>
      </c>
      <c r="M215" s="38" t="s">
        <v>92</v>
      </c>
      <c r="N215" s="38"/>
      <c r="O215" s="37">
        <v>40</v>
      </c>
      <c r="P215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9"/>
      <c r="R215" s="629"/>
      <c r="S215" s="629"/>
      <c r="T215" s="630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4301051656</v>
      </c>
      <c r="D216" s="627">
        <v>4680115880573</v>
      </c>
      <c r="E216" s="627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117</v>
      </c>
      <c r="L216" s="37" t="s">
        <v>118</v>
      </c>
      <c r="M216" s="38" t="s">
        <v>92</v>
      </c>
      <c r="N216" s="38"/>
      <c r="O216" s="37">
        <v>45</v>
      </c>
      <c r="P216" s="73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9"/>
      <c r="R216" s="629"/>
      <c r="S216" s="629"/>
      <c r="T216" s="630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94</v>
      </c>
      <c r="AK216" s="84">
        <v>69.599999999999994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37.5" customHeight="1" x14ac:dyDescent="0.25">
      <c r="A217" s="63" t="s">
        <v>370</v>
      </c>
      <c r="B217" s="63" t="s">
        <v>371</v>
      </c>
      <c r="C217" s="36">
        <v>4301051407</v>
      </c>
      <c r="D217" s="627">
        <v>4680115882195</v>
      </c>
      <c r="E217" s="627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93</v>
      </c>
      <c r="M217" s="38" t="s">
        <v>92</v>
      </c>
      <c r="N217" s="38"/>
      <c r="O217" s="37">
        <v>40</v>
      </c>
      <c r="P217" s="7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ref="Z217:Z222" si="20">IFERROR(IF(Y217=0,"",ROUNDUP(Y217/H217,0)*0.00651),"")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94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373</v>
      </c>
      <c r="B218" s="63" t="s">
        <v>374</v>
      </c>
      <c r="C218" s="36">
        <v>4301051752</v>
      </c>
      <c r="D218" s="627">
        <v>4680115882607</v>
      </c>
      <c r="E218" s="627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100</v>
      </c>
      <c r="N218" s="38"/>
      <c r="O218" s="37">
        <v>45</v>
      </c>
      <c r="P218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369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375</v>
      </c>
      <c r="B219" s="63" t="s">
        <v>376</v>
      </c>
      <c r="C219" s="36">
        <v>4301051666</v>
      </c>
      <c r="D219" s="627">
        <v>4680115880092</v>
      </c>
      <c r="E219" s="627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93</v>
      </c>
      <c r="M219" s="38" t="s">
        <v>92</v>
      </c>
      <c r="N219" s="38"/>
      <c r="O219" s="37">
        <v>45</v>
      </c>
      <c r="P219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369</v>
      </c>
      <c r="AG219" s="78"/>
      <c r="AJ219" s="84" t="s">
        <v>94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377</v>
      </c>
      <c r="B220" s="63" t="s">
        <v>378</v>
      </c>
      <c r="C220" s="36">
        <v>4301051668</v>
      </c>
      <c r="D220" s="627">
        <v>4680115880221</v>
      </c>
      <c r="E220" s="627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45</v>
      </c>
      <c r="M220" s="38" t="s">
        <v>92</v>
      </c>
      <c r="N220" s="38"/>
      <c r="O220" s="37">
        <v>45</v>
      </c>
      <c r="P220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369</v>
      </c>
      <c r="AG220" s="78"/>
      <c r="AJ220" s="84" t="s">
        <v>45</v>
      </c>
      <c r="AK220" s="84">
        <v>0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4301051945</v>
      </c>
      <c r="D221" s="627">
        <v>4680115880504</v>
      </c>
      <c r="E221" s="627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93</v>
      </c>
      <c r="M221" s="38" t="s">
        <v>100</v>
      </c>
      <c r="N221" s="38"/>
      <c r="O221" s="37">
        <v>40</v>
      </c>
      <c r="P221" s="7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9"/>
      <c r="R221" s="629"/>
      <c r="S221" s="629"/>
      <c r="T221" s="630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381</v>
      </c>
      <c r="AG221" s="78"/>
      <c r="AJ221" s="84" t="s">
        <v>94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4301051410</v>
      </c>
      <c r="D222" s="627">
        <v>4680115882164</v>
      </c>
      <c r="E222" s="627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93</v>
      </c>
      <c r="M222" s="38" t="s">
        <v>92</v>
      </c>
      <c r="N222" s="38"/>
      <c r="O222" s="37">
        <v>40</v>
      </c>
      <c r="P222" s="7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9"/>
      <c r="R222" s="629"/>
      <c r="S222" s="629"/>
      <c r="T222" s="630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15"/>
        <v>0</v>
      </c>
      <c r="Z222" s="41" t="str">
        <f t="shared" si="20"/>
        <v/>
      </c>
      <c r="AA222" s="68" t="s">
        <v>45</v>
      </c>
      <c r="AB222" s="69" t="s">
        <v>45</v>
      </c>
      <c r="AC222" s="292" t="s">
        <v>366</v>
      </c>
      <c r="AG222" s="78"/>
      <c r="AJ222" s="84" t="s">
        <v>94</v>
      </c>
      <c r="AK222" s="84">
        <v>33.6</v>
      </c>
      <c r="BB222" s="293" t="s">
        <v>66</v>
      </c>
      <c r="BM222" s="78">
        <f t="shared" si="16"/>
        <v>0</v>
      </c>
      <c r="BN222" s="78">
        <f t="shared" si="17"/>
        <v>0</v>
      </c>
      <c r="BO222" s="78">
        <f t="shared" si="18"/>
        <v>0</v>
      </c>
      <c r="BP222" s="78">
        <f t="shared" si="19"/>
        <v>0</v>
      </c>
    </row>
    <row r="223" spans="1:68" x14ac:dyDescent="0.2">
      <c r="A223" s="635"/>
      <c r="B223" s="635"/>
      <c r="C223" s="635"/>
      <c r="D223" s="635"/>
      <c r="E223" s="635"/>
      <c r="F223" s="635"/>
      <c r="G223" s="635"/>
      <c r="H223" s="635"/>
      <c r="I223" s="635"/>
      <c r="J223" s="635"/>
      <c r="K223" s="635"/>
      <c r="L223" s="635"/>
      <c r="M223" s="635"/>
      <c r="N223" s="635"/>
      <c r="O223" s="636"/>
      <c r="P223" s="632" t="s">
        <v>40</v>
      </c>
      <c r="Q223" s="633"/>
      <c r="R223" s="633"/>
      <c r="S223" s="633"/>
      <c r="T223" s="633"/>
      <c r="U223" s="633"/>
      <c r="V223" s="634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5"/>
      <c r="B224" s="635"/>
      <c r="C224" s="635"/>
      <c r="D224" s="635"/>
      <c r="E224" s="635"/>
      <c r="F224" s="635"/>
      <c r="G224" s="635"/>
      <c r="H224" s="635"/>
      <c r="I224" s="635"/>
      <c r="J224" s="635"/>
      <c r="K224" s="635"/>
      <c r="L224" s="635"/>
      <c r="M224" s="635"/>
      <c r="N224" s="635"/>
      <c r="O224" s="636"/>
      <c r="P224" s="632" t="s">
        <v>40</v>
      </c>
      <c r="Q224" s="633"/>
      <c r="R224" s="633"/>
      <c r="S224" s="633"/>
      <c r="T224" s="633"/>
      <c r="U224" s="633"/>
      <c r="V224" s="634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6" t="s">
        <v>172</v>
      </c>
      <c r="B225" s="626"/>
      <c r="C225" s="626"/>
      <c r="D225" s="626"/>
      <c r="E225" s="626"/>
      <c r="F225" s="626"/>
      <c r="G225" s="626"/>
      <c r="H225" s="626"/>
      <c r="I225" s="626"/>
      <c r="J225" s="626"/>
      <c r="K225" s="626"/>
      <c r="L225" s="626"/>
      <c r="M225" s="626"/>
      <c r="N225" s="626"/>
      <c r="O225" s="626"/>
      <c r="P225" s="626"/>
      <c r="Q225" s="626"/>
      <c r="R225" s="626"/>
      <c r="S225" s="626"/>
      <c r="T225" s="626"/>
      <c r="U225" s="626"/>
      <c r="V225" s="626"/>
      <c r="W225" s="626"/>
      <c r="X225" s="626"/>
      <c r="Y225" s="626"/>
      <c r="Z225" s="626"/>
      <c r="AA225" s="66"/>
      <c r="AB225" s="66"/>
      <c r="AC225" s="80"/>
    </row>
    <row r="226" spans="1:68" ht="27" customHeight="1" x14ac:dyDescent="0.25">
      <c r="A226" s="63" t="s">
        <v>384</v>
      </c>
      <c r="B226" s="63" t="s">
        <v>385</v>
      </c>
      <c r="C226" s="36">
        <v>4301060463</v>
      </c>
      <c r="D226" s="627">
        <v>4680115880818</v>
      </c>
      <c r="E226" s="627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93</v>
      </c>
      <c r="M226" s="38" t="s">
        <v>100</v>
      </c>
      <c r="N226" s="38"/>
      <c r="O226" s="37">
        <v>40</v>
      </c>
      <c r="P226" s="7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9"/>
      <c r="R226" s="629"/>
      <c r="S226" s="629"/>
      <c r="T226" s="630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94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387</v>
      </c>
      <c r="B227" s="63" t="s">
        <v>388</v>
      </c>
      <c r="C227" s="36">
        <v>4301060389</v>
      </c>
      <c r="D227" s="627">
        <v>4680115880801</v>
      </c>
      <c r="E227" s="627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93</v>
      </c>
      <c r="M227" s="38" t="s">
        <v>92</v>
      </c>
      <c r="N227" s="38"/>
      <c r="O227" s="37">
        <v>40</v>
      </c>
      <c r="P227" s="7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9"/>
      <c r="R227" s="629"/>
      <c r="S227" s="629"/>
      <c r="T227" s="630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94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5"/>
      <c r="B228" s="635"/>
      <c r="C228" s="635"/>
      <c r="D228" s="635"/>
      <c r="E228" s="635"/>
      <c r="F228" s="635"/>
      <c r="G228" s="635"/>
      <c r="H228" s="635"/>
      <c r="I228" s="635"/>
      <c r="J228" s="635"/>
      <c r="K228" s="635"/>
      <c r="L228" s="635"/>
      <c r="M228" s="635"/>
      <c r="N228" s="635"/>
      <c r="O228" s="636"/>
      <c r="P228" s="632" t="s">
        <v>40</v>
      </c>
      <c r="Q228" s="633"/>
      <c r="R228" s="633"/>
      <c r="S228" s="633"/>
      <c r="T228" s="633"/>
      <c r="U228" s="633"/>
      <c r="V228" s="634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5"/>
      <c r="B229" s="635"/>
      <c r="C229" s="635"/>
      <c r="D229" s="635"/>
      <c r="E229" s="635"/>
      <c r="F229" s="635"/>
      <c r="G229" s="635"/>
      <c r="H229" s="635"/>
      <c r="I229" s="635"/>
      <c r="J229" s="635"/>
      <c r="K229" s="635"/>
      <c r="L229" s="635"/>
      <c r="M229" s="635"/>
      <c r="N229" s="635"/>
      <c r="O229" s="636"/>
      <c r="P229" s="632" t="s">
        <v>40</v>
      </c>
      <c r="Q229" s="633"/>
      <c r="R229" s="633"/>
      <c r="S229" s="633"/>
      <c r="T229" s="633"/>
      <c r="U229" s="633"/>
      <c r="V229" s="634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5" t="s">
        <v>390</v>
      </c>
      <c r="B230" s="625"/>
      <c r="C230" s="625"/>
      <c r="D230" s="625"/>
      <c r="E230" s="625"/>
      <c r="F230" s="625"/>
      <c r="G230" s="625"/>
      <c r="H230" s="625"/>
      <c r="I230" s="625"/>
      <c r="J230" s="625"/>
      <c r="K230" s="625"/>
      <c r="L230" s="625"/>
      <c r="M230" s="625"/>
      <c r="N230" s="625"/>
      <c r="O230" s="625"/>
      <c r="P230" s="625"/>
      <c r="Q230" s="625"/>
      <c r="R230" s="625"/>
      <c r="S230" s="625"/>
      <c r="T230" s="625"/>
      <c r="U230" s="625"/>
      <c r="V230" s="625"/>
      <c r="W230" s="625"/>
      <c r="X230" s="625"/>
      <c r="Y230" s="625"/>
      <c r="Z230" s="625"/>
      <c r="AA230" s="65"/>
      <c r="AB230" s="65"/>
      <c r="AC230" s="79"/>
    </row>
    <row r="231" spans="1:68" ht="14.25" customHeight="1" x14ac:dyDescent="0.25">
      <c r="A231" s="626" t="s">
        <v>112</v>
      </c>
      <c r="B231" s="626"/>
      <c r="C231" s="626"/>
      <c r="D231" s="626"/>
      <c r="E231" s="626"/>
      <c r="F231" s="626"/>
      <c r="G231" s="626"/>
      <c r="H231" s="626"/>
      <c r="I231" s="626"/>
      <c r="J231" s="626"/>
      <c r="K231" s="626"/>
      <c r="L231" s="626"/>
      <c r="M231" s="626"/>
      <c r="N231" s="626"/>
      <c r="O231" s="626"/>
      <c r="P231" s="626"/>
      <c r="Q231" s="626"/>
      <c r="R231" s="626"/>
      <c r="S231" s="626"/>
      <c r="T231" s="626"/>
      <c r="U231" s="626"/>
      <c r="V231" s="626"/>
      <c r="W231" s="626"/>
      <c r="X231" s="626"/>
      <c r="Y231" s="626"/>
      <c r="Z231" s="626"/>
      <c r="AA231" s="66"/>
      <c r="AB231" s="66"/>
      <c r="AC231" s="80"/>
    </row>
    <row r="232" spans="1:68" ht="27" customHeight="1" x14ac:dyDescent="0.25">
      <c r="A232" s="63" t="s">
        <v>391</v>
      </c>
      <c r="B232" s="63" t="s">
        <v>392</v>
      </c>
      <c r="C232" s="36">
        <v>4301011826</v>
      </c>
      <c r="D232" s="627">
        <v>4680115884137</v>
      </c>
      <c r="E232" s="627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45</v>
      </c>
      <c r="M232" s="38" t="s">
        <v>116</v>
      </c>
      <c r="N232" s="38"/>
      <c r="O232" s="37">
        <v>55</v>
      </c>
      <c r="P232" s="7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9"/>
      <c r="R232" s="629"/>
      <c r="S232" s="629"/>
      <c r="T232" s="630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1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2">IFERROR(X232*I232/H232,"0")</f>
        <v>0</v>
      </c>
      <c r="BN232" s="78">
        <f t="shared" ref="BN232:BN240" si="23">IFERROR(Y232*I232/H232,"0")</f>
        <v>0</v>
      </c>
      <c r="BO232" s="78">
        <f t="shared" ref="BO232:BO240" si="24">IFERROR(1/J232*(X232/H232),"0")</f>
        <v>0</v>
      </c>
      <c r="BP232" s="78">
        <f t="shared" ref="BP232:BP240" si="25">IFERROR(1/J232*(Y232/H232),"0")</f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4301011724</v>
      </c>
      <c r="D233" s="627">
        <v>4680115884236</v>
      </c>
      <c r="E233" s="627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9"/>
      <c r="R233" s="629"/>
      <c r="S233" s="629"/>
      <c r="T233" s="630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4301011721</v>
      </c>
      <c r="D234" s="627">
        <v>4680115884175</v>
      </c>
      <c r="E234" s="627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9"/>
      <c r="R234" s="629"/>
      <c r="S234" s="629"/>
      <c r="T234" s="630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4301012196</v>
      </c>
      <c r="D235" s="627">
        <v>4680115884144</v>
      </c>
      <c r="E235" s="627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121</v>
      </c>
      <c r="L235" s="37" t="s">
        <v>45</v>
      </c>
      <c r="M235" s="38" t="s">
        <v>116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393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402</v>
      </c>
      <c r="C236" s="36">
        <v>4301011824</v>
      </c>
      <c r="D236" s="627">
        <v>4680115884144</v>
      </c>
      <c r="E236" s="627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121</v>
      </c>
      <c r="L236" s="37" t="s">
        <v>45</v>
      </c>
      <c r="M236" s="38" t="s">
        <v>116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393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4301012149</v>
      </c>
      <c r="D237" s="627">
        <v>4680115886551</v>
      </c>
      <c r="E237" s="627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121</v>
      </c>
      <c r="L237" s="37" t="s">
        <v>45</v>
      </c>
      <c r="M237" s="38" t="s">
        <v>116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4301012228</v>
      </c>
      <c r="D238" s="627">
        <v>4680115887282</v>
      </c>
      <c r="E238" s="627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116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4301012195</v>
      </c>
      <c r="D239" s="627">
        <v>4680115884205</v>
      </c>
      <c r="E239" s="627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121</v>
      </c>
      <c r="L239" s="37" t="s">
        <v>45</v>
      </c>
      <c r="M239" s="38" t="s">
        <v>116</v>
      </c>
      <c r="N239" s="38"/>
      <c r="O239" s="37">
        <v>55</v>
      </c>
      <c r="P239" s="74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9"/>
      <c r="R239" s="629"/>
      <c r="S239" s="629"/>
      <c r="T239" s="630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399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ht="27" customHeight="1" x14ac:dyDescent="0.25">
      <c r="A240" s="63" t="s">
        <v>409</v>
      </c>
      <c r="B240" s="63" t="s">
        <v>411</v>
      </c>
      <c r="C240" s="36">
        <v>4301011722</v>
      </c>
      <c r="D240" s="627">
        <v>4680115884205</v>
      </c>
      <c r="E240" s="627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121</v>
      </c>
      <c r="L240" s="37" t="s">
        <v>122</v>
      </c>
      <c r="M240" s="38" t="s">
        <v>116</v>
      </c>
      <c r="N240" s="38"/>
      <c r="O240" s="37">
        <v>55</v>
      </c>
      <c r="P240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29"/>
      <c r="R240" s="629"/>
      <c r="S240" s="629"/>
      <c r="T240" s="630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1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399</v>
      </c>
      <c r="AG240" s="78"/>
      <c r="AJ240" s="84" t="s">
        <v>94</v>
      </c>
      <c r="AK240" s="84">
        <v>48</v>
      </c>
      <c r="BB240" s="315" t="s">
        <v>66</v>
      </c>
      <c r="BM240" s="78">
        <f t="shared" si="22"/>
        <v>0</v>
      </c>
      <c r="BN240" s="78">
        <f t="shared" si="23"/>
        <v>0</v>
      </c>
      <c r="BO240" s="78">
        <f t="shared" si="24"/>
        <v>0</v>
      </c>
      <c r="BP240" s="78">
        <f t="shared" si="25"/>
        <v>0</v>
      </c>
    </row>
    <row r="241" spans="1:68" x14ac:dyDescent="0.2">
      <c r="A241" s="635"/>
      <c r="B241" s="635"/>
      <c r="C241" s="635"/>
      <c r="D241" s="635"/>
      <c r="E241" s="635"/>
      <c r="F241" s="635"/>
      <c r="G241" s="635"/>
      <c r="H241" s="635"/>
      <c r="I241" s="635"/>
      <c r="J241" s="635"/>
      <c r="K241" s="635"/>
      <c r="L241" s="635"/>
      <c r="M241" s="635"/>
      <c r="N241" s="635"/>
      <c r="O241" s="636"/>
      <c r="P241" s="632" t="s">
        <v>40</v>
      </c>
      <c r="Q241" s="633"/>
      <c r="R241" s="633"/>
      <c r="S241" s="633"/>
      <c r="T241" s="633"/>
      <c r="U241" s="633"/>
      <c r="V241" s="634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6" t="s">
        <v>147</v>
      </c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6"/>
      <c r="P243" s="626"/>
      <c r="Q243" s="626"/>
      <c r="R243" s="626"/>
      <c r="S243" s="626"/>
      <c r="T243" s="626"/>
      <c r="U243" s="626"/>
      <c r="V243" s="626"/>
      <c r="W243" s="626"/>
      <c r="X243" s="626"/>
      <c r="Y243" s="626"/>
      <c r="Z243" s="626"/>
      <c r="AA243" s="66"/>
      <c r="AB243" s="66"/>
      <c r="AC243" s="80"/>
    </row>
    <row r="244" spans="1:68" ht="27" customHeight="1" x14ac:dyDescent="0.25">
      <c r="A244" s="63" t="s">
        <v>412</v>
      </c>
      <c r="B244" s="63" t="s">
        <v>413</v>
      </c>
      <c r="C244" s="36">
        <v>4301020377</v>
      </c>
      <c r="D244" s="627">
        <v>4680115885981</v>
      </c>
      <c r="E244" s="627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9"/>
      <c r="R244" s="629"/>
      <c r="S244" s="629"/>
      <c r="T244" s="630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414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5"/>
      <c r="B245" s="635"/>
      <c r="C245" s="635"/>
      <c r="D245" s="635"/>
      <c r="E245" s="635"/>
      <c r="F245" s="635"/>
      <c r="G245" s="635"/>
      <c r="H245" s="635"/>
      <c r="I245" s="635"/>
      <c r="J245" s="635"/>
      <c r="K245" s="635"/>
      <c r="L245" s="635"/>
      <c r="M245" s="635"/>
      <c r="N245" s="635"/>
      <c r="O245" s="636"/>
      <c r="P245" s="632" t="s">
        <v>40</v>
      </c>
      <c r="Q245" s="633"/>
      <c r="R245" s="633"/>
      <c r="S245" s="633"/>
      <c r="T245" s="633"/>
      <c r="U245" s="633"/>
      <c r="V245" s="63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6" t="s">
        <v>415</v>
      </c>
      <c r="B247" s="626"/>
      <c r="C247" s="626"/>
      <c r="D247" s="626"/>
      <c r="E247" s="626"/>
      <c r="F247" s="626"/>
      <c r="G247" s="626"/>
      <c r="H247" s="626"/>
      <c r="I247" s="626"/>
      <c r="J247" s="626"/>
      <c r="K247" s="626"/>
      <c r="L247" s="626"/>
      <c r="M247" s="626"/>
      <c r="N247" s="626"/>
      <c r="O247" s="626"/>
      <c r="P247" s="626"/>
      <c r="Q247" s="626"/>
      <c r="R247" s="626"/>
      <c r="S247" s="626"/>
      <c r="T247" s="626"/>
      <c r="U247" s="626"/>
      <c r="V247" s="626"/>
      <c r="W247" s="626"/>
      <c r="X247" s="626"/>
      <c r="Y247" s="626"/>
      <c r="Z247" s="626"/>
      <c r="AA247" s="66"/>
      <c r="AB247" s="66"/>
      <c r="AC247" s="80"/>
    </row>
    <row r="248" spans="1:68" ht="27" customHeight="1" x14ac:dyDescent="0.25">
      <c r="A248" s="63" t="s">
        <v>416</v>
      </c>
      <c r="B248" s="63" t="s">
        <v>417</v>
      </c>
      <c r="C248" s="36">
        <v>4301040362</v>
      </c>
      <c r="D248" s="627">
        <v>4680115886803</v>
      </c>
      <c r="E248" s="627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321</v>
      </c>
      <c r="L248" s="37" t="s">
        <v>45</v>
      </c>
      <c r="M248" s="38" t="s">
        <v>302</v>
      </c>
      <c r="N248" s="38"/>
      <c r="O248" s="37">
        <v>45</v>
      </c>
      <c r="P248" s="75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9"/>
      <c r="R248" s="629"/>
      <c r="S248" s="629"/>
      <c r="T248" s="630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418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5"/>
      <c r="B249" s="635"/>
      <c r="C249" s="635"/>
      <c r="D249" s="635"/>
      <c r="E249" s="635"/>
      <c r="F249" s="635"/>
      <c r="G249" s="635"/>
      <c r="H249" s="635"/>
      <c r="I249" s="635"/>
      <c r="J249" s="635"/>
      <c r="K249" s="635"/>
      <c r="L249" s="635"/>
      <c r="M249" s="635"/>
      <c r="N249" s="635"/>
      <c r="O249" s="636"/>
      <c r="P249" s="632" t="s">
        <v>40</v>
      </c>
      <c r="Q249" s="633"/>
      <c r="R249" s="633"/>
      <c r="S249" s="633"/>
      <c r="T249" s="633"/>
      <c r="U249" s="633"/>
      <c r="V249" s="634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5"/>
      <c r="B250" s="635"/>
      <c r="C250" s="635"/>
      <c r="D250" s="635"/>
      <c r="E250" s="635"/>
      <c r="F250" s="635"/>
      <c r="G250" s="635"/>
      <c r="H250" s="635"/>
      <c r="I250" s="635"/>
      <c r="J250" s="635"/>
      <c r="K250" s="635"/>
      <c r="L250" s="635"/>
      <c r="M250" s="635"/>
      <c r="N250" s="635"/>
      <c r="O250" s="636"/>
      <c r="P250" s="632" t="s">
        <v>40</v>
      </c>
      <c r="Q250" s="633"/>
      <c r="R250" s="633"/>
      <c r="S250" s="633"/>
      <c r="T250" s="633"/>
      <c r="U250" s="633"/>
      <c r="V250" s="634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6" t="s">
        <v>419</v>
      </c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6"/>
      <c r="P251" s="626"/>
      <c r="Q251" s="626"/>
      <c r="R251" s="626"/>
      <c r="S251" s="626"/>
      <c r="T251" s="626"/>
      <c r="U251" s="626"/>
      <c r="V251" s="626"/>
      <c r="W251" s="626"/>
      <c r="X251" s="626"/>
      <c r="Y251" s="626"/>
      <c r="Z251" s="626"/>
      <c r="AA251" s="66"/>
      <c r="AB251" s="66"/>
      <c r="AC251" s="80"/>
    </row>
    <row r="252" spans="1:68" ht="27" customHeight="1" x14ac:dyDescent="0.25">
      <c r="A252" s="63" t="s">
        <v>420</v>
      </c>
      <c r="B252" s="63" t="s">
        <v>421</v>
      </c>
      <c r="C252" s="36">
        <v>4301041004</v>
      </c>
      <c r="D252" s="627">
        <v>4680115886704</v>
      </c>
      <c r="E252" s="627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321</v>
      </c>
      <c r="L252" s="37" t="s">
        <v>45</v>
      </c>
      <c r="M252" s="38" t="s">
        <v>302</v>
      </c>
      <c r="N252" s="38"/>
      <c r="O252" s="37">
        <v>90</v>
      </c>
      <c r="P252" s="75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9"/>
      <c r="R252" s="629"/>
      <c r="S252" s="629"/>
      <c r="T252" s="630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423</v>
      </c>
      <c r="B253" s="63" t="s">
        <v>424</v>
      </c>
      <c r="C253" s="36">
        <v>4301041008</v>
      </c>
      <c r="D253" s="627">
        <v>4680115886681</v>
      </c>
      <c r="E253" s="627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321</v>
      </c>
      <c r="L253" s="37" t="s">
        <v>45</v>
      </c>
      <c r="M253" s="38" t="s">
        <v>302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4301041007</v>
      </c>
      <c r="D254" s="627">
        <v>4680115886735</v>
      </c>
      <c r="E254" s="627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321</v>
      </c>
      <c r="L254" s="37" t="s">
        <v>45</v>
      </c>
      <c r="M254" s="38" t="s">
        <v>302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427</v>
      </c>
      <c r="B255" s="63" t="s">
        <v>428</v>
      </c>
      <c r="C255" s="36">
        <v>4301041006</v>
      </c>
      <c r="D255" s="627">
        <v>4680115886728</v>
      </c>
      <c r="E255" s="627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321</v>
      </c>
      <c r="L255" s="37" t="s">
        <v>45</v>
      </c>
      <c r="M255" s="38" t="s">
        <v>302</v>
      </c>
      <c r="N255" s="38"/>
      <c r="O255" s="37">
        <v>90</v>
      </c>
      <c r="P255" s="75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9"/>
      <c r="R255" s="629"/>
      <c r="S255" s="629"/>
      <c r="T255" s="630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422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4301041005</v>
      </c>
      <c r="D256" s="627">
        <v>4680115886711</v>
      </c>
      <c r="E256" s="627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321</v>
      </c>
      <c r="L256" s="37" t="s">
        <v>45</v>
      </c>
      <c r="M256" s="38" t="s">
        <v>302</v>
      </c>
      <c r="N256" s="38"/>
      <c r="O256" s="37">
        <v>90</v>
      </c>
      <c r="P256" s="7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9"/>
      <c r="R256" s="629"/>
      <c r="S256" s="629"/>
      <c r="T256" s="630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422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5"/>
      <c r="B257" s="635"/>
      <c r="C257" s="635"/>
      <c r="D257" s="635"/>
      <c r="E257" s="635"/>
      <c r="F257" s="635"/>
      <c r="G257" s="635"/>
      <c r="H257" s="635"/>
      <c r="I257" s="635"/>
      <c r="J257" s="635"/>
      <c r="K257" s="635"/>
      <c r="L257" s="635"/>
      <c r="M257" s="635"/>
      <c r="N257" s="635"/>
      <c r="O257" s="636"/>
      <c r="P257" s="632" t="s">
        <v>40</v>
      </c>
      <c r="Q257" s="633"/>
      <c r="R257" s="633"/>
      <c r="S257" s="633"/>
      <c r="T257" s="633"/>
      <c r="U257" s="633"/>
      <c r="V257" s="634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5"/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5"/>
      <c r="M258" s="635"/>
      <c r="N258" s="635"/>
      <c r="O258" s="636"/>
      <c r="P258" s="632" t="s">
        <v>40</v>
      </c>
      <c r="Q258" s="633"/>
      <c r="R258" s="633"/>
      <c r="S258" s="633"/>
      <c r="T258" s="633"/>
      <c r="U258" s="633"/>
      <c r="V258" s="634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5" t="s">
        <v>431</v>
      </c>
      <c r="B259" s="625"/>
      <c r="C259" s="625"/>
      <c r="D259" s="625"/>
      <c r="E259" s="625"/>
      <c r="F259" s="625"/>
      <c r="G259" s="625"/>
      <c r="H259" s="625"/>
      <c r="I259" s="625"/>
      <c r="J259" s="625"/>
      <c r="K259" s="625"/>
      <c r="L259" s="625"/>
      <c r="M259" s="625"/>
      <c r="N259" s="625"/>
      <c r="O259" s="625"/>
      <c r="P259" s="625"/>
      <c r="Q259" s="625"/>
      <c r="R259" s="625"/>
      <c r="S259" s="625"/>
      <c r="T259" s="625"/>
      <c r="U259" s="625"/>
      <c r="V259" s="625"/>
      <c r="W259" s="625"/>
      <c r="X259" s="625"/>
      <c r="Y259" s="625"/>
      <c r="Z259" s="625"/>
      <c r="AA259" s="65"/>
      <c r="AB259" s="65"/>
      <c r="AC259" s="79"/>
    </row>
    <row r="260" spans="1:68" ht="14.25" customHeight="1" x14ac:dyDescent="0.25">
      <c r="A260" s="626" t="s">
        <v>112</v>
      </c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6"/>
      <c r="P260" s="626"/>
      <c r="Q260" s="626"/>
      <c r="R260" s="626"/>
      <c r="S260" s="626"/>
      <c r="T260" s="626"/>
      <c r="U260" s="626"/>
      <c r="V260" s="626"/>
      <c r="W260" s="626"/>
      <c r="X260" s="626"/>
      <c r="Y260" s="626"/>
      <c r="Z260" s="626"/>
      <c r="AA260" s="66"/>
      <c r="AB260" s="66"/>
      <c r="AC260" s="80"/>
    </row>
    <row r="261" spans="1:68" ht="27" customHeight="1" x14ac:dyDescent="0.25">
      <c r="A261" s="63" t="s">
        <v>432</v>
      </c>
      <c r="B261" s="63" t="s">
        <v>433</v>
      </c>
      <c r="C261" s="36">
        <v>4301011855</v>
      </c>
      <c r="D261" s="627">
        <v>4680115885837</v>
      </c>
      <c r="E261" s="627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45</v>
      </c>
      <c r="M261" s="38" t="s">
        <v>116</v>
      </c>
      <c r="N261" s="38"/>
      <c r="O261" s="37">
        <v>55</v>
      </c>
      <c r="P261" s="7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9"/>
      <c r="R261" s="629"/>
      <c r="S261" s="629"/>
      <c r="T261" s="630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435</v>
      </c>
      <c r="B262" s="63" t="s">
        <v>436</v>
      </c>
      <c r="C262" s="36">
        <v>4301011853</v>
      </c>
      <c r="D262" s="627">
        <v>4680115885851</v>
      </c>
      <c r="E262" s="6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4301011850</v>
      </c>
      <c r="D263" s="627">
        <v>4680115885806</v>
      </c>
      <c r="E263" s="6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4301011852</v>
      </c>
      <c r="D264" s="627">
        <v>4680115885844</v>
      </c>
      <c r="E264" s="627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121</v>
      </c>
      <c r="L264" s="37" t="s">
        <v>45</v>
      </c>
      <c r="M264" s="38" t="s">
        <v>116</v>
      </c>
      <c r="N264" s="38"/>
      <c r="O264" s="37">
        <v>55</v>
      </c>
      <c r="P264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9"/>
      <c r="R264" s="629"/>
      <c r="S264" s="629"/>
      <c r="T264" s="63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444</v>
      </c>
      <c r="B265" s="63" t="s">
        <v>445</v>
      </c>
      <c r="C265" s="36">
        <v>4301011851</v>
      </c>
      <c r="D265" s="627">
        <v>4680115885820</v>
      </c>
      <c r="E265" s="627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121</v>
      </c>
      <c r="L265" s="37" t="s">
        <v>45</v>
      </c>
      <c r="M265" s="38" t="s">
        <v>116</v>
      </c>
      <c r="N265" s="38"/>
      <c r="O265" s="37">
        <v>55</v>
      </c>
      <c r="P265" s="7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9"/>
      <c r="R265" s="629"/>
      <c r="S265" s="629"/>
      <c r="T265" s="630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5"/>
      <c r="B266" s="635"/>
      <c r="C266" s="635"/>
      <c r="D266" s="635"/>
      <c r="E266" s="635"/>
      <c r="F266" s="635"/>
      <c r="G266" s="635"/>
      <c r="H266" s="635"/>
      <c r="I266" s="635"/>
      <c r="J266" s="635"/>
      <c r="K266" s="635"/>
      <c r="L266" s="635"/>
      <c r="M266" s="635"/>
      <c r="N266" s="635"/>
      <c r="O266" s="636"/>
      <c r="P266" s="632" t="s">
        <v>40</v>
      </c>
      <c r="Q266" s="633"/>
      <c r="R266" s="633"/>
      <c r="S266" s="633"/>
      <c r="T266" s="633"/>
      <c r="U266" s="633"/>
      <c r="V266" s="634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5" t="s">
        <v>447</v>
      </c>
      <c r="B268" s="625"/>
      <c r="C268" s="625"/>
      <c r="D268" s="625"/>
      <c r="E268" s="625"/>
      <c r="F268" s="625"/>
      <c r="G268" s="625"/>
      <c r="H268" s="625"/>
      <c r="I268" s="625"/>
      <c r="J268" s="625"/>
      <c r="K268" s="625"/>
      <c r="L268" s="625"/>
      <c r="M268" s="625"/>
      <c r="N268" s="625"/>
      <c r="O268" s="625"/>
      <c r="P268" s="625"/>
      <c r="Q268" s="625"/>
      <c r="R268" s="625"/>
      <c r="S268" s="625"/>
      <c r="T268" s="625"/>
      <c r="U268" s="625"/>
      <c r="V268" s="625"/>
      <c r="W268" s="625"/>
      <c r="X268" s="625"/>
      <c r="Y268" s="625"/>
      <c r="Z268" s="625"/>
      <c r="AA268" s="65"/>
      <c r="AB268" s="65"/>
      <c r="AC268" s="79"/>
    </row>
    <row r="269" spans="1:68" ht="14.25" customHeight="1" x14ac:dyDescent="0.25">
      <c r="A269" s="626" t="s">
        <v>112</v>
      </c>
      <c r="B269" s="626"/>
      <c r="C269" s="626"/>
      <c r="D269" s="626"/>
      <c r="E269" s="626"/>
      <c r="F269" s="626"/>
      <c r="G269" s="626"/>
      <c r="H269" s="626"/>
      <c r="I269" s="626"/>
      <c r="J269" s="626"/>
      <c r="K269" s="626"/>
      <c r="L269" s="626"/>
      <c r="M269" s="626"/>
      <c r="N269" s="626"/>
      <c r="O269" s="626"/>
      <c r="P269" s="626"/>
      <c r="Q269" s="626"/>
      <c r="R269" s="626"/>
      <c r="S269" s="626"/>
      <c r="T269" s="626"/>
      <c r="U269" s="626"/>
      <c r="V269" s="626"/>
      <c r="W269" s="626"/>
      <c r="X269" s="626"/>
      <c r="Y269" s="626"/>
      <c r="Z269" s="626"/>
      <c r="AA269" s="66"/>
      <c r="AB269" s="66"/>
      <c r="AC269" s="80"/>
    </row>
    <row r="270" spans="1:68" ht="27" customHeight="1" x14ac:dyDescent="0.25">
      <c r="A270" s="63" t="s">
        <v>448</v>
      </c>
      <c r="B270" s="63" t="s">
        <v>449</v>
      </c>
      <c r="C270" s="36">
        <v>4301011223</v>
      </c>
      <c r="D270" s="627">
        <v>4607091383423</v>
      </c>
      <c r="E270" s="627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35</v>
      </c>
      <c r="P270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9"/>
      <c r="R270" s="629"/>
      <c r="S270" s="629"/>
      <c r="T270" s="630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115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450</v>
      </c>
      <c r="B271" s="63" t="s">
        <v>451</v>
      </c>
      <c r="C271" s="36">
        <v>4301012199</v>
      </c>
      <c r="D271" s="627">
        <v>4680115886957</v>
      </c>
      <c r="E271" s="627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30</v>
      </c>
      <c r="P271" s="7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452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453</v>
      </c>
      <c r="B272" s="63" t="s">
        <v>454</v>
      </c>
      <c r="C272" s="36">
        <v>4301012098</v>
      </c>
      <c r="D272" s="627">
        <v>4680115885660</v>
      </c>
      <c r="E272" s="627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6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9"/>
      <c r="R272" s="629"/>
      <c r="S272" s="629"/>
      <c r="T272" s="630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399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455</v>
      </c>
      <c r="B273" s="63" t="s">
        <v>456</v>
      </c>
      <c r="C273" s="36">
        <v>4301012176</v>
      </c>
      <c r="D273" s="627">
        <v>4680115886773</v>
      </c>
      <c r="E273" s="627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117</v>
      </c>
      <c r="L273" s="37" t="s">
        <v>45</v>
      </c>
      <c r="M273" s="38" t="s">
        <v>116</v>
      </c>
      <c r="N273" s="38"/>
      <c r="O273" s="37">
        <v>31</v>
      </c>
      <c r="P273" s="76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9"/>
      <c r="R273" s="629"/>
      <c r="S273" s="629"/>
      <c r="T273" s="630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457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5"/>
      <c r="B274" s="635"/>
      <c r="C274" s="635"/>
      <c r="D274" s="635"/>
      <c r="E274" s="635"/>
      <c r="F274" s="635"/>
      <c r="G274" s="635"/>
      <c r="H274" s="635"/>
      <c r="I274" s="635"/>
      <c r="J274" s="635"/>
      <c r="K274" s="635"/>
      <c r="L274" s="635"/>
      <c r="M274" s="635"/>
      <c r="N274" s="635"/>
      <c r="O274" s="636"/>
      <c r="P274" s="632" t="s">
        <v>40</v>
      </c>
      <c r="Q274" s="633"/>
      <c r="R274" s="633"/>
      <c r="S274" s="633"/>
      <c r="T274" s="633"/>
      <c r="U274" s="633"/>
      <c r="V274" s="634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5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635"/>
      <c r="O275" s="636"/>
      <c r="P275" s="632" t="s">
        <v>40</v>
      </c>
      <c r="Q275" s="633"/>
      <c r="R275" s="633"/>
      <c r="S275" s="633"/>
      <c r="T275" s="633"/>
      <c r="U275" s="633"/>
      <c r="V275" s="634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5" t="s">
        <v>458</v>
      </c>
      <c r="B276" s="625"/>
      <c r="C276" s="625"/>
      <c r="D276" s="625"/>
      <c r="E276" s="625"/>
      <c r="F276" s="625"/>
      <c r="G276" s="625"/>
      <c r="H276" s="625"/>
      <c r="I276" s="625"/>
      <c r="J276" s="625"/>
      <c r="K276" s="625"/>
      <c r="L276" s="625"/>
      <c r="M276" s="625"/>
      <c r="N276" s="625"/>
      <c r="O276" s="625"/>
      <c r="P276" s="625"/>
      <c r="Q276" s="625"/>
      <c r="R276" s="625"/>
      <c r="S276" s="625"/>
      <c r="T276" s="625"/>
      <c r="U276" s="625"/>
      <c r="V276" s="625"/>
      <c r="W276" s="625"/>
      <c r="X276" s="625"/>
      <c r="Y276" s="625"/>
      <c r="Z276" s="625"/>
      <c r="AA276" s="65"/>
      <c r="AB276" s="65"/>
      <c r="AC276" s="79"/>
    </row>
    <row r="277" spans="1:68" ht="14.25" customHeight="1" x14ac:dyDescent="0.25">
      <c r="A277" s="626" t="s">
        <v>88</v>
      </c>
      <c r="B277" s="626"/>
      <c r="C277" s="626"/>
      <c r="D277" s="626"/>
      <c r="E277" s="626"/>
      <c r="F277" s="626"/>
      <c r="G277" s="626"/>
      <c r="H277" s="626"/>
      <c r="I277" s="626"/>
      <c r="J277" s="626"/>
      <c r="K277" s="626"/>
      <c r="L277" s="626"/>
      <c r="M277" s="626"/>
      <c r="N277" s="626"/>
      <c r="O277" s="626"/>
      <c r="P277" s="626"/>
      <c r="Q277" s="626"/>
      <c r="R277" s="626"/>
      <c r="S277" s="626"/>
      <c r="T277" s="626"/>
      <c r="U277" s="626"/>
      <c r="V277" s="626"/>
      <c r="W277" s="626"/>
      <c r="X277" s="626"/>
      <c r="Y277" s="626"/>
      <c r="Z277" s="626"/>
      <c r="AA277" s="66"/>
      <c r="AB277" s="66"/>
      <c r="AC277" s="80"/>
    </row>
    <row r="278" spans="1:68" ht="27" customHeight="1" x14ac:dyDescent="0.25">
      <c r="A278" s="63" t="s">
        <v>459</v>
      </c>
      <c r="B278" s="63" t="s">
        <v>460</v>
      </c>
      <c r="C278" s="36">
        <v>4301051893</v>
      </c>
      <c r="D278" s="627">
        <v>4680115886186</v>
      </c>
      <c r="E278" s="627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9"/>
      <c r="R278" s="629"/>
      <c r="S278" s="629"/>
      <c r="T278" s="630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4301051795</v>
      </c>
      <c r="D279" s="627">
        <v>4680115881228</v>
      </c>
      <c r="E279" s="62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93</v>
      </c>
      <c r="M279" s="38" t="s">
        <v>100</v>
      </c>
      <c r="N279" s="38"/>
      <c r="O279" s="37">
        <v>40</v>
      </c>
      <c r="P279" s="7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9"/>
      <c r="R279" s="629"/>
      <c r="S279" s="629"/>
      <c r="T279" s="630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94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4301051388</v>
      </c>
      <c r="D280" s="627">
        <v>4680115881211</v>
      </c>
      <c r="E280" s="627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9"/>
      <c r="R280" s="629"/>
      <c r="S280" s="629"/>
      <c r="T280" s="630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461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5"/>
      <c r="B281" s="635"/>
      <c r="C281" s="635"/>
      <c r="D281" s="635"/>
      <c r="E281" s="635"/>
      <c r="F281" s="635"/>
      <c r="G281" s="635"/>
      <c r="H281" s="635"/>
      <c r="I281" s="635"/>
      <c r="J281" s="635"/>
      <c r="K281" s="635"/>
      <c r="L281" s="635"/>
      <c r="M281" s="635"/>
      <c r="N281" s="635"/>
      <c r="O281" s="636"/>
      <c r="P281" s="632" t="s">
        <v>40</v>
      </c>
      <c r="Q281" s="633"/>
      <c r="R281" s="633"/>
      <c r="S281" s="633"/>
      <c r="T281" s="633"/>
      <c r="U281" s="633"/>
      <c r="V281" s="634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5" t="s">
        <v>467</v>
      </c>
      <c r="B283" s="625"/>
      <c r="C283" s="625"/>
      <c r="D283" s="625"/>
      <c r="E283" s="625"/>
      <c r="F283" s="625"/>
      <c r="G283" s="625"/>
      <c r="H283" s="625"/>
      <c r="I283" s="625"/>
      <c r="J283" s="625"/>
      <c r="K283" s="625"/>
      <c r="L283" s="625"/>
      <c r="M283" s="625"/>
      <c r="N283" s="625"/>
      <c r="O283" s="625"/>
      <c r="P283" s="625"/>
      <c r="Q283" s="625"/>
      <c r="R283" s="625"/>
      <c r="S283" s="625"/>
      <c r="T283" s="625"/>
      <c r="U283" s="625"/>
      <c r="V283" s="625"/>
      <c r="W283" s="625"/>
      <c r="X283" s="625"/>
      <c r="Y283" s="625"/>
      <c r="Z283" s="625"/>
      <c r="AA283" s="65"/>
      <c r="AB283" s="65"/>
      <c r="AC283" s="79"/>
    </row>
    <row r="284" spans="1:68" ht="14.25" customHeight="1" x14ac:dyDescent="0.25">
      <c r="A284" s="626" t="s">
        <v>78</v>
      </c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6"/>
      <c r="P284" s="626"/>
      <c r="Q284" s="626"/>
      <c r="R284" s="626"/>
      <c r="S284" s="626"/>
      <c r="T284" s="626"/>
      <c r="U284" s="626"/>
      <c r="V284" s="626"/>
      <c r="W284" s="626"/>
      <c r="X284" s="626"/>
      <c r="Y284" s="626"/>
      <c r="Z284" s="626"/>
      <c r="AA284" s="66"/>
      <c r="AB284" s="66"/>
      <c r="AC284" s="80"/>
    </row>
    <row r="285" spans="1:68" ht="27" customHeight="1" x14ac:dyDescent="0.25">
      <c r="A285" s="63" t="s">
        <v>468</v>
      </c>
      <c r="B285" s="63" t="s">
        <v>469</v>
      </c>
      <c r="C285" s="36">
        <v>4301031307</v>
      </c>
      <c r="D285" s="627">
        <v>4680115880344</v>
      </c>
      <c r="E285" s="627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9"/>
      <c r="R285" s="629"/>
      <c r="S285" s="629"/>
      <c r="T285" s="630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471</v>
      </c>
      <c r="B286" s="63" t="s">
        <v>472</v>
      </c>
      <c r="C286" s="36">
        <v>4301031429</v>
      </c>
      <c r="D286" s="627">
        <v>4680115886919</v>
      </c>
      <c r="E286" s="627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9"/>
      <c r="R286" s="629"/>
      <c r="S286" s="629"/>
      <c r="T286" s="630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5"/>
      <c r="B287" s="635"/>
      <c r="C287" s="635"/>
      <c r="D287" s="635"/>
      <c r="E287" s="635"/>
      <c r="F287" s="635"/>
      <c r="G287" s="635"/>
      <c r="H287" s="635"/>
      <c r="I287" s="635"/>
      <c r="J287" s="635"/>
      <c r="K287" s="635"/>
      <c r="L287" s="635"/>
      <c r="M287" s="635"/>
      <c r="N287" s="635"/>
      <c r="O287" s="636"/>
      <c r="P287" s="632" t="s">
        <v>40</v>
      </c>
      <c r="Q287" s="633"/>
      <c r="R287" s="633"/>
      <c r="S287" s="633"/>
      <c r="T287" s="633"/>
      <c r="U287" s="633"/>
      <c r="V287" s="63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6" t="s">
        <v>88</v>
      </c>
      <c r="B289" s="626"/>
      <c r="C289" s="626"/>
      <c r="D289" s="626"/>
      <c r="E289" s="626"/>
      <c r="F289" s="626"/>
      <c r="G289" s="626"/>
      <c r="H289" s="626"/>
      <c r="I289" s="626"/>
      <c r="J289" s="626"/>
      <c r="K289" s="626"/>
      <c r="L289" s="626"/>
      <c r="M289" s="626"/>
      <c r="N289" s="626"/>
      <c r="O289" s="626"/>
      <c r="P289" s="626"/>
      <c r="Q289" s="626"/>
      <c r="R289" s="626"/>
      <c r="S289" s="626"/>
      <c r="T289" s="626"/>
      <c r="U289" s="626"/>
      <c r="V289" s="626"/>
      <c r="W289" s="626"/>
      <c r="X289" s="626"/>
      <c r="Y289" s="626"/>
      <c r="Z289" s="626"/>
      <c r="AA289" s="66"/>
      <c r="AB289" s="66"/>
      <c r="AC289" s="80"/>
    </row>
    <row r="290" spans="1:68" ht="37.5" customHeight="1" x14ac:dyDescent="0.25">
      <c r="A290" s="63" t="s">
        <v>474</v>
      </c>
      <c r="B290" s="63" t="s">
        <v>475</v>
      </c>
      <c r="C290" s="36">
        <v>4301051782</v>
      </c>
      <c r="D290" s="627">
        <v>4680115884618</v>
      </c>
      <c r="E290" s="627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121</v>
      </c>
      <c r="L290" s="37" t="s">
        <v>45</v>
      </c>
      <c r="M290" s="38" t="s">
        <v>92</v>
      </c>
      <c r="N290" s="38"/>
      <c r="O290" s="37">
        <v>45</v>
      </c>
      <c r="P290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9"/>
      <c r="R290" s="629"/>
      <c r="S290" s="629"/>
      <c r="T290" s="630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477</v>
      </c>
      <c r="B291" s="63" t="s">
        <v>478</v>
      </c>
      <c r="C291" s="36">
        <v>4301052057</v>
      </c>
      <c r="D291" s="627">
        <v>4680115887114</v>
      </c>
      <c r="E291" s="627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121</v>
      </c>
      <c r="L291" s="37" t="s">
        <v>45</v>
      </c>
      <c r="M291" s="38" t="s">
        <v>92</v>
      </c>
      <c r="N291" s="38"/>
      <c r="O291" s="37">
        <v>45</v>
      </c>
      <c r="P291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9"/>
      <c r="R291" s="629"/>
      <c r="S291" s="629"/>
      <c r="T291" s="630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5"/>
      <c r="B292" s="635"/>
      <c r="C292" s="635"/>
      <c r="D292" s="635"/>
      <c r="E292" s="635"/>
      <c r="F292" s="635"/>
      <c r="G292" s="635"/>
      <c r="H292" s="635"/>
      <c r="I292" s="635"/>
      <c r="J292" s="635"/>
      <c r="K292" s="635"/>
      <c r="L292" s="635"/>
      <c r="M292" s="635"/>
      <c r="N292" s="635"/>
      <c r="O292" s="636"/>
      <c r="P292" s="632" t="s">
        <v>40</v>
      </c>
      <c r="Q292" s="633"/>
      <c r="R292" s="633"/>
      <c r="S292" s="633"/>
      <c r="T292" s="633"/>
      <c r="U292" s="633"/>
      <c r="V292" s="634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5"/>
      <c r="M293" s="635"/>
      <c r="N293" s="635"/>
      <c r="O293" s="636"/>
      <c r="P293" s="632" t="s">
        <v>40</v>
      </c>
      <c r="Q293" s="633"/>
      <c r="R293" s="633"/>
      <c r="S293" s="633"/>
      <c r="T293" s="633"/>
      <c r="U293" s="633"/>
      <c r="V293" s="634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5" t="s">
        <v>480</v>
      </c>
      <c r="B294" s="625"/>
      <c r="C294" s="625"/>
      <c r="D294" s="625"/>
      <c r="E294" s="625"/>
      <c r="F294" s="625"/>
      <c r="G294" s="625"/>
      <c r="H294" s="625"/>
      <c r="I294" s="625"/>
      <c r="J294" s="625"/>
      <c r="K294" s="625"/>
      <c r="L294" s="625"/>
      <c r="M294" s="625"/>
      <c r="N294" s="625"/>
      <c r="O294" s="625"/>
      <c r="P294" s="625"/>
      <c r="Q294" s="625"/>
      <c r="R294" s="625"/>
      <c r="S294" s="625"/>
      <c r="T294" s="625"/>
      <c r="U294" s="625"/>
      <c r="V294" s="625"/>
      <c r="W294" s="625"/>
      <c r="X294" s="625"/>
      <c r="Y294" s="625"/>
      <c r="Z294" s="625"/>
      <c r="AA294" s="65"/>
      <c r="AB294" s="65"/>
      <c r="AC294" s="79"/>
    </row>
    <row r="295" spans="1:68" ht="14.25" customHeight="1" x14ac:dyDescent="0.25">
      <c r="A295" s="626" t="s">
        <v>112</v>
      </c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6"/>
      <c r="P295" s="626"/>
      <c r="Q295" s="626"/>
      <c r="R295" s="626"/>
      <c r="S295" s="626"/>
      <c r="T295" s="626"/>
      <c r="U295" s="626"/>
      <c r="V295" s="626"/>
      <c r="W295" s="626"/>
      <c r="X295" s="626"/>
      <c r="Y295" s="626"/>
      <c r="Z295" s="626"/>
      <c r="AA295" s="66"/>
      <c r="AB295" s="66"/>
      <c r="AC295" s="80"/>
    </row>
    <row r="296" spans="1:68" ht="27" customHeight="1" x14ac:dyDescent="0.25">
      <c r="A296" s="63" t="s">
        <v>481</v>
      </c>
      <c r="B296" s="63" t="s">
        <v>482</v>
      </c>
      <c r="C296" s="36">
        <v>4301012126</v>
      </c>
      <c r="D296" s="627">
        <v>4607091386004</v>
      </c>
      <c r="E296" s="627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116</v>
      </c>
      <c r="N296" s="38"/>
      <c r="O296" s="37">
        <v>55</v>
      </c>
      <c r="P296" s="77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629"/>
      <c r="R296" s="629"/>
      <c r="S296" s="629"/>
      <c r="T296" s="630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1" si="26"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 t="shared" ref="BM296:BM301" si="27">IFERROR(X296*I296/H296,"0")</f>
        <v>0</v>
      </c>
      <c r="BN296" s="78">
        <f t="shared" ref="BN296:BN301" si="28">IFERROR(Y296*I296/H296,"0")</f>
        <v>0</v>
      </c>
      <c r="BO296" s="78">
        <f t="shared" ref="BO296:BO301" si="29">IFERROR(1/J296*(X296/H296),"0")</f>
        <v>0</v>
      </c>
      <c r="BP296" s="78">
        <f t="shared" ref="BP296:BP301" si="30">IFERROR(1/J296*(Y296/H296),"0")</f>
        <v>0</v>
      </c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627">
        <v>4680115885615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92</v>
      </c>
      <c r="N297" s="38"/>
      <c r="O297" s="37">
        <v>55</v>
      </c>
      <c r="P297" s="7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627">
        <v>4680115885646</v>
      </c>
      <c r="E298" s="627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116</v>
      </c>
      <c r="N298" s="38"/>
      <c r="O298" s="37">
        <v>55</v>
      </c>
      <c r="P298" s="7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627">
        <v>4680115885554</v>
      </c>
      <c r="E299" s="627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92</v>
      </c>
      <c r="N299" s="38"/>
      <c r="O299" s="37">
        <v>55</v>
      </c>
      <c r="P299" s="7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627">
        <v>4680115885622</v>
      </c>
      <c r="E300" s="627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121</v>
      </c>
      <c r="L300" s="37" t="s">
        <v>45</v>
      </c>
      <c r="M300" s="38" t="s">
        <v>116</v>
      </c>
      <c r="N300" s="38"/>
      <c r="O300" s="37">
        <v>55</v>
      </c>
      <c r="P300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9"/>
      <c r="R300" s="629"/>
      <c r="S300" s="629"/>
      <c r="T300" s="630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627">
        <v>4680115885608</v>
      </c>
      <c r="E301" s="627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121</v>
      </c>
      <c r="L301" s="37" t="s">
        <v>45</v>
      </c>
      <c r="M301" s="38" t="s">
        <v>116</v>
      </c>
      <c r="N301" s="38"/>
      <c r="O301" s="37">
        <v>55</v>
      </c>
      <c r="P301" s="7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9"/>
      <c r="R301" s="629"/>
      <c r="S301" s="629"/>
      <c r="T301" s="630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x14ac:dyDescent="0.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39</v>
      </c>
      <c r="X302" s="43">
        <f>IFERROR(X296/H296,"0")+IFERROR(X297/H297,"0")+IFERROR(X298/H298,"0")+IFERROR(X299/H299,"0")+IFERROR(X300/H300,"0")+IFERROR(X301/H301,"0")</f>
        <v>0</v>
      </c>
      <c r="Y302" s="43">
        <f>IFERROR(Y296/H296,"0")+IFERROR(Y297/H297,"0")+IFERROR(Y298/H298,"0")+IFERROR(Y299/H299,"0")+IFERROR(Y300/H300,"0")+IFERROR(Y301/H301,"0")</f>
        <v>0</v>
      </c>
      <c r="Z302" s="43">
        <f>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5"/>
      <c r="B303" s="635"/>
      <c r="C303" s="635"/>
      <c r="D303" s="635"/>
      <c r="E303" s="635"/>
      <c r="F303" s="635"/>
      <c r="G303" s="635"/>
      <c r="H303" s="635"/>
      <c r="I303" s="635"/>
      <c r="J303" s="635"/>
      <c r="K303" s="635"/>
      <c r="L303" s="635"/>
      <c r="M303" s="635"/>
      <c r="N303" s="635"/>
      <c r="O303" s="636"/>
      <c r="P303" s="632" t="s">
        <v>40</v>
      </c>
      <c r="Q303" s="633"/>
      <c r="R303" s="633"/>
      <c r="S303" s="633"/>
      <c r="T303" s="633"/>
      <c r="U303" s="633"/>
      <c r="V303" s="634"/>
      <c r="W303" s="42" t="s">
        <v>0</v>
      </c>
      <c r="X303" s="43">
        <f>IFERROR(SUM(X296:X301),"0")</f>
        <v>0</v>
      </c>
      <c r="Y303" s="43">
        <f>IFERROR(SUM(Y296:Y301),"0")</f>
        <v>0</v>
      </c>
      <c r="Z303" s="42"/>
      <c r="AA303" s="67"/>
      <c r="AB303" s="67"/>
      <c r="AC303" s="67"/>
    </row>
    <row r="304" spans="1:68" ht="14.25" customHeight="1" x14ac:dyDescent="0.25">
      <c r="A304" s="626" t="s">
        <v>78</v>
      </c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6"/>
      <c r="P304" s="626"/>
      <c r="Q304" s="626"/>
      <c r="R304" s="626"/>
      <c r="S304" s="626"/>
      <c r="T304" s="626"/>
      <c r="U304" s="626"/>
      <c r="V304" s="626"/>
      <c r="W304" s="626"/>
      <c r="X304" s="626"/>
      <c r="Y304" s="626"/>
      <c r="Z304" s="626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627">
        <v>4607091387193</v>
      </c>
      <c r="E305" s="627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121</v>
      </c>
      <c r="L305" s="37" t="s">
        <v>45</v>
      </c>
      <c r="M305" s="38" t="s">
        <v>82</v>
      </c>
      <c r="N305" s="38"/>
      <c r="O305" s="37">
        <v>35</v>
      </c>
      <c r="P305" s="77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627">
        <v>4607091387230</v>
      </c>
      <c r="E306" s="627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121</v>
      </c>
      <c r="L306" s="37" t="s">
        <v>45</v>
      </c>
      <c r="M306" s="38" t="s">
        <v>82</v>
      </c>
      <c r="N306" s="38"/>
      <c r="O306" s="37">
        <v>40</v>
      </c>
      <c r="P306" s="7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627">
        <v>4607091387292</v>
      </c>
      <c r="E307" s="627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121</v>
      </c>
      <c r="L307" s="37" t="s">
        <v>45</v>
      </c>
      <c r="M307" s="38" t="s">
        <v>82</v>
      </c>
      <c r="N307" s="38"/>
      <c r="O307" s="37">
        <v>45</v>
      </c>
      <c r="P307" s="7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627">
        <v>4607091387285</v>
      </c>
      <c r="E308" s="627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627">
        <v>4607091389845</v>
      </c>
      <c r="E309" s="627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298</v>
      </c>
      <c r="M309" s="38" t="s">
        <v>82</v>
      </c>
      <c r="N309" s="38"/>
      <c r="O309" s="37">
        <v>40</v>
      </c>
      <c r="P309" s="78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9"/>
      <c r="R309" s="629"/>
      <c r="S309" s="629"/>
      <c r="T309" s="630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94</v>
      </c>
      <c r="AK309" s="84">
        <v>37.799999999999997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627">
        <v>4607091383836</v>
      </c>
      <c r="E310" s="627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93</v>
      </c>
      <c r="M310" s="38" t="s">
        <v>82</v>
      </c>
      <c r="N310" s="38"/>
      <c r="O310" s="37">
        <v>40</v>
      </c>
      <c r="P310" s="7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629"/>
      <c r="R310" s="629"/>
      <c r="S310" s="629"/>
      <c r="T310" s="630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94</v>
      </c>
      <c r="AK310" s="84">
        <v>25.2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635"/>
      <c r="B311" s="635"/>
      <c r="C311" s="635"/>
      <c r="D311" s="635"/>
      <c r="E311" s="635"/>
      <c r="F311" s="635"/>
      <c r="G311" s="635"/>
      <c r="H311" s="635"/>
      <c r="I311" s="635"/>
      <c r="J311" s="635"/>
      <c r="K311" s="635"/>
      <c r="L311" s="635"/>
      <c r="M311" s="635"/>
      <c r="N311" s="635"/>
      <c r="O311" s="636"/>
      <c r="P311" s="632" t="s">
        <v>40</v>
      </c>
      <c r="Q311" s="633"/>
      <c r="R311" s="633"/>
      <c r="S311" s="633"/>
      <c r="T311" s="633"/>
      <c r="U311" s="633"/>
      <c r="V311" s="634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5"/>
      <c r="B312" s="635"/>
      <c r="C312" s="635"/>
      <c r="D312" s="635"/>
      <c r="E312" s="635"/>
      <c r="F312" s="635"/>
      <c r="G312" s="635"/>
      <c r="H312" s="635"/>
      <c r="I312" s="635"/>
      <c r="J312" s="635"/>
      <c r="K312" s="635"/>
      <c r="L312" s="635"/>
      <c r="M312" s="635"/>
      <c r="N312" s="635"/>
      <c r="O312" s="636"/>
      <c r="P312" s="632" t="s">
        <v>40</v>
      </c>
      <c r="Q312" s="633"/>
      <c r="R312" s="633"/>
      <c r="S312" s="633"/>
      <c r="T312" s="633"/>
      <c r="U312" s="633"/>
      <c r="V312" s="634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626" t="s">
        <v>88</v>
      </c>
      <c r="B313" s="626"/>
      <c r="C313" s="626"/>
      <c r="D313" s="626"/>
      <c r="E313" s="626"/>
      <c r="F313" s="626"/>
      <c r="G313" s="626"/>
      <c r="H313" s="626"/>
      <c r="I313" s="626"/>
      <c r="J313" s="626"/>
      <c r="K313" s="626"/>
      <c r="L313" s="626"/>
      <c r="M313" s="626"/>
      <c r="N313" s="626"/>
      <c r="O313" s="626"/>
      <c r="P313" s="626"/>
      <c r="Q313" s="626"/>
      <c r="R313" s="626"/>
      <c r="S313" s="626"/>
      <c r="T313" s="626"/>
      <c r="U313" s="626"/>
      <c r="V313" s="626"/>
      <c r="W313" s="626"/>
      <c r="X313" s="626"/>
      <c r="Y313" s="626"/>
      <c r="Z313" s="626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627">
        <v>4607091387766</v>
      </c>
      <c r="E314" s="627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629"/>
      <c r="R314" s="629"/>
      <c r="S314" s="629"/>
      <c r="T314" s="630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627">
        <v>4607091387957</v>
      </c>
      <c r="E315" s="627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627">
        <v>4607091387964</v>
      </c>
      <c r="E316" s="627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7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629"/>
      <c r="R316" s="629"/>
      <c r="S316" s="629"/>
      <c r="T316" s="630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627">
        <v>4680115884588</v>
      </c>
      <c r="E317" s="627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7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629"/>
      <c r="R317" s="629"/>
      <c r="S317" s="629"/>
      <c r="T317" s="630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5"/>
      <c r="B318" s="635"/>
      <c r="C318" s="635"/>
      <c r="D318" s="635"/>
      <c r="E318" s="635"/>
      <c r="F318" s="635"/>
      <c r="G318" s="635"/>
      <c r="H318" s="635"/>
      <c r="I318" s="635"/>
      <c r="J318" s="635"/>
      <c r="K318" s="635"/>
      <c r="L318" s="635"/>
      <c r="M318" s="635"/>
      <c r="N318" s="635"/>
      <c r="O318" s="636"/>
      <c r="P318" s="632" t="s">
        <v>40</v>
      </c>
      <c r="Q318" s="633"/>
      <c r="R318" s="633"/>
      <c r="S318" s="633"/>
      <c r="T318" s="633"/>
      <c r="U318" s="633"/>
      <c r="V318" s="634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5"/>
      <c r="B319" s="635"/>
      <c r="C319" s="635"/>
      <c r="D319" s="635"/>
      <c r="E319" s="635"/>
      <c r="F319" s="635"/>
      <c r="G319" s="635"/>
      <c r="H319" s="635"/>
      <c r="I319" s="635"/>
      <c r="J319" s="635"/>
      <c r="K319" s="635"/>
      <c r="L319" s="635"/>
      <c r="M319" s="635"/>
      <c r="N319" s="635"/>
      <c r="O319" s="636"/>
      <c r="P319" s="632" t="s">
        <v>40</v>
      </c>
      <c r="Q319" s="633"/>
      <c r="R319" s="633"/>
      <c r="S319" s="633"/>
      <c r="T319" s="633"/>
      <c r="U319" s="633"/>
      <c r="V319" s="634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626" t="s">
        <v>172</v>
      </c>
      <c r="B320" s="626"/>
      <c r="C320" s="626"/>
      <c r="D320" s="626"/>
      <c r="E320" s="626"/>
      <c r="F320" s="626"/>
      <c r="G320" s="626"/>
      <c r="H320" s="626"/>
      <c r="I320" s="626"/>
      <c r="J320" s="626"/>
      <c r="K320" s="626"/>
      <c r="L320" s="626"/>
      <c r="M320" s="626"/>
      <c r="N320" s="626"/>
      <c r="O320" s="626"/>
      <c r="P320" s="626"/>
      <c r="Q320" s="626"/>
      <c r="R320" s="626"/>
      <c r="S320" s="626"/>
      <c r="T320" s="626"/>
      <c r="U320" s="626"/>
      <c r="V320" s="626"/>
      <c r="W320" s="626"/>
      <c r="X320" s="626"/>
      <c r="Y320" s="626"/>
      <c r="Z320" s="626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627">
        <v>4607091380880</v>
      </c>
      <c r="E321" s="627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117</v>
      </c>
      <c r="L321" s="37" t="s">
        <v>118</v>
      </c>
      <c r="M321" s="38" t="s">
        <v>92</v>
      </c>
      <c r="N321" s="38"/>
      <c r="O321" s="37">
        <v>30</v>
      </c>
      <c r="P321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629"/>
      <c r="R321" s="629"/>
      <c r="S321" s="629"/>
      <c r="T321" s="630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94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627">
        <v>4607091384482</v>
      </c>
      <c r="E322" s="627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117</v>
      </c>
      <c r="L322" s="37" t="s">
        <v>118</v>
      </c>
      <c r="M322" s="38" t="s">
        <v>92</v>
      </c>
      <c r="N322" s="38"/>
      <c r="O322" s="37">
        <v>30</v>
      </c>
      <c r="P322" s="7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629"/>
      <c r="R322" s="629"/>
      <c r="S322" s="629"/>
      <c r="T322" s="630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94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627">
        <v>4607091380897</v>
      </c>
      <c r="E323" s="627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117</v>
      </c>
      <c r="L323" s="37" t="s">
        <v>45</v>
      </c>
      <c r="M323" s="38" t="s">
        <v>100</v>
      </c>
      <c r="N323" s="38"/>
      <c r="O323" s="37">
        <v>30</v>
      </c>
      <c r="P323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629"/>
      <c r="R323" s="629"/>
      <c r="S323" s="629"/>
      <c r="T323" s="630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5"/>
      <c r="B324" s="635"/>
      <c r="C324" s="635"/>
      <c r="D324" s="635"/>
      <c r="E324" s="635"/>
      <c r="F324" s="635"/>
      <c r="G324" s="635"/>
      <c r="H324" s="635"/>
      <c r="I324" s="635"/>
      <c r="J324" s="635"/>
      <c r="K324" s="635"/>
      <c r="L324" s="635"/>
      <c r="M324" s="635"/>
      <c r="N324" s="635"/>
      <c r="O324" s="636"/>
      <c r="P324" s="632" t="s">
        <v>40</v>
      </c>
      <c r="Q324" s="633"/>
      <c r="R324" s="633"/>
      <c r="S324" s="633"/>
      <c r="T324" s="633"/>
      <c r="U324" s="633"/>
      <c r="V324" s="634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5"/>
      <c r="B325" s="635"/>
      <c r="C325" s="635"/>
      <c r="D325" s="635"/>
      <c r="E325" s="635"/>
      <c r="F325" s="635"/>
      <c r="G325" s="635"/>
      <c r="H325" s="635"/>
      <c r="I325" s="635"/>
      <c r="J325" s="635"/>
      <c r="K325" s="635"/>
      <c r="L325" s="635"/>
      <c r="M325" s="635"/>
      <c r="N325" s="635"/>
      <c r="O325" s="636"/>
      <c r="P325" s="632" t="s">
        <v>40</v>
      </c>
      <c r="Q325" s="633"/>
      <c r="R325" s="633"/>
      <c r="S325" s="633"/>
      <c r="T325" s="633"/>
      <c r="U325" s="633"/>
      <c r="V325" s="634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626" t="s">
        <v>104</v>
      </c>
      <c r="B326" s="626"/>
      <c r="C326" s="626"/>
      <c r="D326" s="626"/>
      <c r="E326" s="626"/>
      <c r="F326" s="626"/>
      <c r="G326" s="626"/>
      <c r="H326" s="626"/>
      <c r="I326" s="626"/>
      <c r="J326" s="626"/>
      <c r="K326" s="626"/>
      <c r="L326" s="626"/>
      <c r="M326" s="626"/>
      <c r="N326" s="626"/>
      <c r="O326" s="626"/>
      <c r="P326" s="626"/>
      <c r="Q326" s="626"/>
      <c r="R326" s="626"/>
      <c r="S326" s="626"/>
      <c r="T326" s="626"/>
      <c r="U326" s="626"/>
      <c r="V326" s="626"/>
      <c r="W326" s="626"/>
      <c r="X326" s="626"/>
      <c r="Y326" s="626"/>
      <c r="Z326" s="626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627">
        <v>4607091388381</v>
      </c>
      <c r="E327" s="627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121</v>
      </c>
      <c r="L327" s="37" t="s">
        <v>45</v>
      </c>
      <c r="M327" s="38" t="s">
        <v>109</v>
      </c>
      <c r="N327" s="38"/>
      <c r="O327" s="37">
        <v>180</v>
      </c>
      <c r="P327" s="7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629"/>
      <c r="R327" s="629"/>
      <c r="S327" s="629"/>
      <c r="T327" s="630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627">
        <v>4607091388374</v>
      </c>
      <c r="E328" s="627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121</v>
      </c>
      <c r="L328" s="37" t="s">
        <v>45</v>
      </c>
      <c r="M328" s="38" t="s">
        <v>109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627">
        <v>4607091383102</v>
      </c>
      <c r="E329" s="627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93</v>
      </c>
      <c r="M329" s="38" t="s">
        <v>109</v>
      </c>
      <c r="N329" s="38"/>
      <c r="O329" s="37">
        <v>180</v>
      </c>
      <c r="P329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629"/>
      <c r="R329" s="629"/>
      <c r="S329" s="629"/>
      <c r="T329" s="630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94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627">
        <v>4607091388404</v>
      </c>
      <c r="E330" s="627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45</v>
      </c>
      <c r="M330" s="38" t="s">
        <v>109</v>
      </c>
      <c r="N330" s="38"/>
      <c r="O330" s="37">
        <v>180</v>
      </c>
      <c r="P330" s="7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629"/>
      <c r="R330" s="629"/>
      <c r="S330" s="629"/>
      <c r="T330" s="630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5"/>
      <c r="B331" s="635"/>
      <c r="C331" s="635"/>
      <c r="D331" s="635"/>
      <c r="E331" s="635"/>
      <c r="F331" s="635"/>
      <c r="G331" s="635"/>
      <c r="H331" s="635"/>
      <c r="I331" s="635"/>
      <c r="J331" s="635"/>
      <c r="K331" s="635"/>
      <c r="L331" s="635"/>
      <c r="M331" s="635"/>
      <c r="N331" s="635"/>
      <c r="O331" s="636"/>
      <c r="P331" s="632" t="s">
        <v>40</v>
      </c>
      <c r="Q331" s="633"/>
      <c r="R331" s="633"/>
      <c r="S331" s="633"/>
      <c r="T331" s="633"/>
      <c r="U331" s="633"/>
      <c r="V331" s="634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5"/>
      <c r="B332" s="635"/>
      <c r="C332" s="635"/>
      <c r="D332" s="635"/>
      <c r="E332" s="635"/>
      <c r="F332" s="635"/>
      <c r="G332" s="635"/>
      <c r="H332" s="635"/>
      <c r="I332" s="635"/>
      <c r="J332" s="635"/>
      <c r="K332" s="635"/>
      <c r="L332" s="635"/>
      <c r="M332" s="635"/>
      <c r="N332" s="635"/>
      <c r="O332" s="636"/>
      <c r="P332" s="632" t="s">
        <v>40</v>
      </c>
      <c r="Q332" s="633"/>
      <c r="R332" s="633"/>
      <c r="S332" s="633"/>
      <c r="T332" s="633"/>
      <c r="U332" s="633"/>
      <c r="V332" s="634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626" t="s">
        <v>545</v>
      </c>
      <c r="B333" s="626"/>
      <c r="C333" s="626"/>
      <c r="D333" s="626"/>
      <c r="E333" s="626"/>
      <c r="F333" s="626"/>
      <c r="G333" s="626"/>
      <c r="H333" s="626"/>
      <c r="I333" s="626"/>
      <c r="J333" s="626"/>
      <c r="K333" s="626"/>
      <c r="L333" s="626"/>
      <c r="M333" s="626"/>
      <c r="N333" s="626"/>
      <c r="O333" s="626"/>
      <c r="P333" s="626"/>
      <c r="Q333" s="626"/>
      <c r="R333" s="626"/>
      <c r="S333" s="626"/>
      <c r="T333" s="626"/>
      <c r="U333" s="626"/>
      <c r="V333" s="626"/>
      <c r="W333" s="626"/>
      <c r="X333" s="626"/>
      <c r="Y333" s="626"/>
      <c r="Z333" s="626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627">
        <v>4680115881808</v>
      </c>
      <c r="E334" s="627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629"/>
      <c r="R334" s="629"/>
      <c r="S334" s="629"/>
      <c r="T334" s="630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627">
        <v>4680115881822</v>
      </c>
      <c r="E335" s="627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7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629"/>
      <c r="R335" s="629"/>
      <c r="S335" s="629"/>
      <c r="T335" s="630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627">
        <v>4680115880016</v>
      </c>
      <c r="E336" s="627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7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629"/>
      <c r="R336" s="629"/>
      <c r="S336" s="629"/>
      <c r="T336" s="630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5"/>
      <c r="B337" s="635"/>
      <c r="C337" s="635"/>
      <c r="D337" s="635"/>
      <c r="E337" s="635"/>
      <c r="F337" s="635"/>
      <c r="G337" s="635"/>
      <c r="H337" s="635"/>
      <c r="I337" s="635"/>
      <c r="J337" s="635"/>
      <c r="K337" s="635"/>
      <c r="L337" s="635"/>
      <c r="M337" s="635"/>
      <c r="N337" s="635"/>
      <c r="O337" s="636"/>
      <c r="P337" s="632" t="s">
        <v>40</v>
      </c>
      <c r="Q337" s="633"/>
      <c r="R337" s="633"/>
      <c r="S337" s="633"/>
      <c r="T337" s="633"/>
      <c r="U337" s="633"/>
      <c r="V337" s="634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5"/>
      <c r="B338" s="635"/>
      <c r="C338" s="635"/>
      <c r="D338" s="635"/>
      <c r="E338" s="635"/>
      <c r="F338" s="635"/>
      <c r="G338" s="635"/>
      <c r="H338" s="635"/>
      <c r="I338" s="635"/>
      <c r="J338" s="635"/>
      <c r="K338" s="635"/>
      <c r="L338" s="635"/>
      <c r="M338" s="635"/>
      <c r="N338" s="635"/>
      <c r="O338" s="636"/>
      <c r="P338" s="632" t="s">
        <v>40</v>
      </c>
      <c r="Q338" s="633"/>
      <c r="R338" s="633"/>
      <c r="S338" s="633"/>
      <c r="T338" s="633"/>
      <c r="U338" s="633"/>
      <c r="V338" s="634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25" t="s">
        <v>554</v>
      </c>
      <c r="B339" s="625"/>
      <c r="C339" s="625"/>
      <c r="D339" s="625"/>
      <c r="E339" s="625"/>
      <c r="F339" s="625"/>
      <c r="G339" s="625"/>
      <c r="H339" s="625"/>
      <c r="I339" s="625"/>
      <c r="J339" s="625"/>
      <c r="K339" s="625"/>
      <c r="L339" s="625"/>
      <c r="M339" s="625"/>
      <c r="N339" s="625"/>
      <c r="O339" s="625"/>
      <c r="P339" s="625"/>
      <c r="Q339" s="625"/>
      <c r="R339" s="625"/>
      <c r="S339" s="625"/>
      <c r="T339" s="625"/>
      <c r="U339" s="625"/>
      <c r="V339" s="625"/>
      <c r="W339" s="625"/>
      <c r="X339" s="625"/>
      <c r="Y339" s="625"/>
      <c r="Z339" s="625"/>
      <c r="AA339" s="65"/>
      <c r="AB339" s="65"/>
      <c r="AC339" s="79"/>
    </row>
    <row r="340" spans="1:68" ht="14.25" customHeight="1" x14ac:dyDescent="0.25">
      <c r="A340" s="626" t="s">
        <v>88</v>
      </c>
      <c r="B340" s="626"/>
      <c r="C340" s="626"/>
      <c r="D340" s="626"/>
      <c r="E340" s="626"/>
      <c r="F340" s="626"/>
      <c r="G340" s="626"/>
      <c r="H340" s="626"/>
      <c r="I340" s="626"/>
      <c r="J340" s="626"/>
      <c r="K340" s="626"/>
      <c r="L340" s="626"/>
      <c r="M340" s="626"/>
      <c r="N340" s="626"/>
      <c r="O340" s="626"/>
      <c r="P340" s="626"/>
      <c r="Q340" s="626"/>
      <c r="R340" s="626"/>
      <c r="S340" s="626"/>
      <c r="T340" s="626"/>
      <c r="U340" s="626"/>
      <c r="V340" s="626"/>
      <c r="W340" s="626"/>
      <c r="X340" s="626"/>
      <c r="Y340" s="626"/>
      <c r="Z340" s="626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627">
        <v>4607091387919</v>
      </c>
      <c r="E341" s="627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117</v>
      </c>
      <c r="L341" s="37" t="s">
        <v>45</v>
      </c>
      <c r="M341" s="38" t="s">
        <v>100</v>
      </c>
      <c r="N341" s="38"/>
      <c r="O341" s="37">
        <v>45</v>
      </c>
      <c r="P341" s="7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629"/>
      <c r="R341" s="629"/>
      <c r="S341" s="629"/>
      <c r="T341" s="630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627">
        <v>4680115883604</v>
      </c>
      <c r="E342" s="627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93</v>
      </c>
      <c r="M342" s="38" t="s">
        <v>92</v>
      </c>
      <c r="N342" s="38"/>
      <c r="O342" s="37">
        <v>45</v>
      </c>
      <c r="P342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629"/>
      <c r="R342" s="629"/>
      <c r="S342" s="629"/>
      <c r="T342" s="630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94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627">
        <v>4680115883567</v>
      </c>
      <c r="E343" s="627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93</v>
      </c>
      <c r="M343" s="38" t="s">
        <v>100</v>
      </c>
      <c r="N343" s="38"/>
      <c r="O343" s="37">
        <v>40</v>
      </c>
      <c r="P343" s="8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629"/>
      <c r="R343" s="629"/>
      <c r="S343" s="629"/>
      <c r="T343" s="630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94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35"/>
      <c r="B344" s="635"/>
      <c r="C344" s="635"/>
      <c r="D344" s="635"/>
      <c r="E344" s="635"/>
      <c r="F344" s="635"/>
      <c r="G344" s="635"/>
      <c r="H344" s="635"/>
      <c r="I344" s="635"/>
      <c r="J344" s="635"/>
      <c r="K344" s="635"/>
      <c r="L344" s="635"/>
      <c r="M344" s="635"/>
      <c r="N344" s="635"/>
      <c r="O344" s="636"/>
      <c r="P344" s="632" t="s">
        <v>40</v>
      </c>
      <c r="Q344" s="633"/>
      <c r="R344" s="633"/>
      <c r="S344" s="633"/>
      <c r="T344" s="633"/>
      <c r="U344" s="633"/>
      <c r="V344" s="634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635"/>
      <c r="B345" s="635"/>
      <c r="C345" s="635"/>
      <c r="D345" s="635"/>
      <c r="E345" s="635"/>
      <c r="F345" s="635"/>
      <c r="G345" s="635"/>
      <c r="H345" s="635"/>
      <c r="I345" s="635"/>
      <c r="J345" s="635"/>
      <c r="K345" s="635"/>
      <c r="L345" s="635"/>
      <c r="M345" s="635"/>
      <c r="N345" s="635"/>
      <c r="O345" s="636"/>
      <c r="P345" s="632" t="s">
        <v>40</v>
      </c>
      <c r="Q345" s="633"/>
      <c r="R345" s="633"/>
      <c r="S345" s="633"/>
      <c r="T345" s="633"/>
      <c r="U345" s="633"/>
      <c r="V345" s="634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624" t="s">
        <v>564</v>
      </c>
      <c r="B346" s="624"/>
      <c r="C346" s="624"/>
      <c r="D346" s="624"/>
      <c r="E346" s="624"/>
      <c r="F346" s="624"/>
      <c r="G346" s="624"/>
      <c r="H346" s="624"/>
      <c r="I346" s="624"/>
      <c r="J346" s="624"/>
      <c r="K346" s="624"/>
      <c r="L346" s="624"/>
      <c r="M346" s="624"/>
      <c r="N346" s="624"/>
      <c r="O346" s="624"/>
      <c r="P346" s="624"/>
      <c r="Q346" s="624"/>
      <c r="R346" s="624"/>
      <c r="S346" s="624"/>
      <c r="T346" s="624"/>
      <c r="U346" s="624"/>
      <c r="V346" s="624"/>
      <c r="W346" s="624"/>
      <c r="X346" s="624"/>
      <c r="Y346" s="624"/>
      <c r="Z346" s="624"/>
      <c r="AA346" s="54"/>
      <c r="AB346" s="54"/>
      <c r="AC346" s="54"/>
    </row>
    <row r="347" spans="1:68" ht="16.5" customHeight="1" x14ac:dyDescent="0.25">
      <c r="A347" s="625" t="s">
        <v>565</v>
      </c>
      <c r="B347" s="625"/>
      <c r="C347" s="625"/>
      <c r="D347" s="625"/>
      <c r="E347" s="625"/>
      <c r="F347" s="625"/>
      <c r="G347" s="625"/>
      <c r="H347" s="625"/>
      <c r="I347" s="625"/>
      <c r="J347" s="625"/>
      <c r="K347" s="625"/>
      <c r="L347" s="625"/>
      <c r="M347" s="625"/>
      <c r="N347" s="625"/>
      <c r="O347" s="625"/>
      <c r="P347" s="625"/>
      <c r="Q347" s="625"/>
      <c r="R347" s="625"/>
      <c r="S347" s="625"/>
      <c r="T347" s="625"/>
      <c r="U347" s="625"/>
      <c r="V347" s="625"/>
      <c r="W347" s="625"/>
      <c r="X347" s="625"/>
      <c r="Y347" s="625"/>
      <c r="Z347" s="625"/>
      <c r="AA347" s="65"/>
      <c r="AB347" s="65"/>
      <c r="AC347" s="79"/>
    </row>
    <row r="348" spans="1:68" ht="14.25" customHeight="1" x14ac:dyDescent="0.25">
      <c r="A348" s="626" t="s">
        <v>112</v>
      </c>
      <c r="B348" s="626"/>
      <c r="C348" s="626"/>
      <c r="D348" s="626"/>
      <c r="E348" s="626"/>
      <c r="F348" s="626"/>
      <c r="G348" s="626"/>
      <c r="H348" s="626"/>
      <c r="I348" s="626"/>
      <c r="J348" s="626"/>
      <c r="K348" s="626"/>
      <c r="L348" s="626"/>
      <c r="M348" s="626"/>
      <c r="N348" s="626"/>
      <c r="O348" s="626"/>
      <c r="P348" s="626"/>
      <c r="Q348" s="626"/>
      <c r="R348" s="626"/>
      <c r="S348" s="626"/>
      <c r="T348" s="626"/>
      <c r="U348" s="626"/>
      <c r="V348" s="626"/>
      <c r="W348" s="626"/>
      <c r="X348" s="626"/>
      <c r="Y348" s="626"/>
      <c r="Z348" s="626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627">
        <v>4680115884847</v>
      </c>
      <c r="E349" s="627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118</v>
      </c>
      <c r="M349" s="38" t="s">
        <v>82</v>
      </c>
      <c r="N349" s="38"/>
      <c r="O349" s="37">
        <v>60</v>
      </c>
      <c r="P349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629"/>
      <c r="R349" s="629"/>
      <c r="S349" s="629"/>
      <c r="T349" s="630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94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627">
        <v>4680115884854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118</v>
      </c>
      <c r="M350" s="38" t="s">
        <v>82</v>
      </c>
      <c r="N350" s="38"/>
      <c r="O350" s="37">
        <v>60</v>
      </c>
      <c r="P350" s="8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94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4301012215</v>
      </c>
      <c r="D351" s="627">
        <v>4680115887046</v>
      </c>
      <c r="E351" s="627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100</v>
      </c>
      <c r="N351" s="38"/>
      <c r="O351" s="37">
        <v>60</v>
      </c>
      <c r="P351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customHeight="1" x14ac:dyDescent="0.25">
      <c r="A352" s="63" t="s">
        <v>575</v>
      </c>
      <c r="B352" s="63" t="s">
        <v>576</v>
      </c>
      <c r="C352" s="36">
        <v>4301011867</v>
      </c>
      <c r="D352" s="627">
        <v>4680115884830</v>
      </c>
      <c r="E352" s="627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118</v>
      </c>
      <c r="M352" s="38" t="s">
        <v>82</v>
      </c>
      <c r="N352" s="38"/>
      <c r="O352" s="37">
        <v>60</v>
      </c>
      <c r="P352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94</v>
      </c>
      <c r="AK352" s="84">
        <v>120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627">
        <v>4680115882638</v>
      </c>
      <c r="E353" s="627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121</v>
      </c>
      <c r="L353" s="37" t="s">
        <v>45</v>
      </c>
      <c r="M353" s="38" t="s">
        <v>116</v>
      </c>
      <c r="N353" s="38"/>
      <c r="O353" s="37">
        <v>90</v>
      </c>
      <c r="P353" s="8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627">
        <v>4680115884922</v>
      </c>
      <c r="E354" s="627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121</v>
      </c>
      <c r="L354" s="37" t="s">
        <v>45</v>
      </c>
      <c r="M354" s="38" t="s">
        <v>82</v>
      </c>
      <c r="N354" s="38"/>
      <c r="O354" s="37">
        <v>60</v>
      </c>
      <c r="P354" s="8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629"/>
      <c r="R354" s="629"/>
      <c r="S354" s="629"/>
      <c r="T354" s="630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627">
        <v>4680115884861</v>
      </c>
      <c r="E355" s="627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121</v>
      </c>
      <c r="L355" s="37" t="s">
        <v>45</v>
      </c>
      <c r="M355" s="38" t="s">
        <v>82</v>
      </c>
      <c r="N355" s="38"/>
      <c r="O355" s="37">
        <v>60</v>
      </c>
      <c r="P355" s="8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629"/>
      <c r="R355" s="629"/>
      <c r="S355" s="629"/>
      <c r="T355" s="630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635"/>
      <c r="B356" s="635"/>
      <c r="C356" s="635"/>
      <c r="D356" s="635"/>
      <c r="E356" s="635"/>
      <c r="F356" s="635"/>
      <c r="G356" s="635"/>
      <c r="H356" s="635"/>
      <c r="I356" s="635"/>
      <c r="J356" s="635"/>
      <c r="K356" s="635"/>
      <c r="L356" s="635"/>
      <c r="M356" s="635"/>
      <c r="N356" s="635"/>
      <c r="O356" s="636"/>
      <c r="P356" s="632" t="s">
        <v>40</v>
      </c>
      <c r="Q356" s="633"/>
      <c r="R356" s="633"/>
      <c r="S356" s="633"/>
      <c r="T356" s="633"/>
      <c r="U356" s="633"/>
      <c r="V356" s="634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635"/>
      <c r="B357" s="635"/>
      <c r="C357" s="635"/>
      <c r="D357" s="635"/>
      <c r="E357" s="635"/>
      <c r="F357" s="635"/>
      <c r="G357" s="635"/>
      <c r="H357" s="635"/>
      <c r="I357" s="635"/>
      <c r="J357" s="635"/>
      <c r="K357" s="635"/>
      <c r="L357" s="635"/>
      <c r="M357" s="635"/>
      <c r="N357" s="635"/>
      <c r="O357" s="636"/>
      <c r="P357" s="632" t="s">
        <v>40</v>
      </c>
      <c r="Q357" s="633"/>
      <c r="R357" s="633"/>
      <c r="S357" s="633"/>
      <c r="T357" s="633"/>
      <c r="U357" s="633"/>
      <c r="V357" s="634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626" t="s">
        <v>147</v>
      </c>
      <c r="B358" s="626"/>
      <c r="C358" s="626"/>
      <c r="D358" s="626"/>
      <c r="E358" s="626"/>
      <c r="F358" s="626"/>
      <c r="G358" s="626"/>
      <c r="H358" s="626"/>
      <c r="I358" s="626"/>
      <c r="J358" s="626"/>
      <c r="K358" s="626"/>
      <c r="L358" s="626"/>
      <c r="M358" s="626"/>
      <c r="N358" s="626"/>
      <c r="O358" s="626"/>
      <c r="P358" s="626"/>
      <c r="Q358" s="626"/>
      <c r="R358" s="626"/>
      <c r="S358" s="626"/>
      <c r="T358" s="626"/>
      <c r="U358" s="626"/>
      <c r="V358" s="626"/>
      <c r="W358" s="626"/>
      <c r="X358" s="626"/>
      <c r="Y358" s="626"/>
      <c r="Z358" s="626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627">
        <v>4607091383980</v>
      </c>
      <c r="E359" s="627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117</v>
      </c>
      <c r="L359" s="37" t="s">
        <v>118</v>
      </c>
      <c r="M359" s="38" t="s">
        <v>116</v>
      </c>
      <c r="N359" s="38"/>
      <c r="O359" s="37">
        <v>50</v>
      </c>
      <c r="P359" s="8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629"/>
      <c r="R359" s="629"/>
      <c r="S359" s="629"/>
      <c r="T359" s="630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94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627">
        <v>4607091384178</v>
      </c>
      <c r="E360" s="627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121</v>
      </c>
      <c r="L360" s="37" t="s">
        <v>45</v>
      </c>
      <c r="M360" s="38" t="s">
        <v>116</v>
      </c>
      <c r="N360" s="38"/>
      <c r="O360" s="37">
        <v>50</v>
      </c>
      <c r="P360" s="8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629"/>
      <c r="R360" s="629"/>
      <c r="S360" s="629"/>
      <c r="T360" s="630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5"/>
      <c r="B361" s="635"/>
      <c r="C361" s="635"/>
      <c r="D361" s="635"/>
      <c r="E361" s="635"/>
      <c r="F361" s="635"/>
      <c r="G361" s="635"/>
      <c r="H361" s="635"/>
      <c r="I361" s="635"/>
      <c r="J361" s="635"/>
      <c r="K361" s="635"/>
      <c r="L361" s="635"/>
      <c r="M361" s="635"/>
      <c r="N361" s="635"/>
      <c r="O361" s="636"/>
      <c r="P361" s="632" t="s">
        <v>40</v>
      </c>
      <c r="Q361" s="633"/>
      <c r="R361" s="633"/>
      <c r="S361" s="633"/>
      <c r="T361" s="633"/>
      <c r="U361" s="633"/>
      <c r="V361" s="634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5"/>
      <c r="B362" s="635"/>
      <c r="C362" s="635"/>
      <c r="D362" s="635"/>
      <c r="E362" s="635"/>
      <c r="F362" s="635"/>
      <c r="G362" s="635"/>
      <c r="H362" s="635"/>
      <c r="I362" s="635"/>
      <c r="J362" s="635"/>
      <c r="K362" s="635"/>
      <c r="L362" s="635"/>
      <c r="M362" s="635"/>
      <c r="N362" s="635"/>
      <c r="O362" s="636"/>
      <c r="P362" s="632" t="s">
        <v>40</v>
      </c>
      <c r="Q362" s="633"/>
      <c r="R362" s="633"/>
      <c r="S362" s="633"/>
      <c r="T362" s="633"/>
      <c r="U362" s="633"/>
      <c r="V362" s="634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6" t="s">
        <v>88</v>
      </c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6"/>
      <c r="P363" s="626"/>
      <c r="Q363" s="626"/>
      <c r="R363" s="626"/>
      <c r="S363" s="626"/>
      <c r="T363" s="626"/>
      <c r="U363" s="626"/>
      <c r="V363" s="626"/>
      <c r="W363" s="626"/>
      <c r="X363" s="626"/>
      <c r="Y363" s="626"/>
      <c r="Z363" s="626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627">
        <v>4607091383928</v>
      </c>
      <c r="E364" s="627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117</v>
      </c>
      <c r="L364" s="37" t="s">
        <v>45</v>
      </c>
      <c r="M364" s="38" t="s">
        <v>92</v>
      </c>
      <c r="N364" s="38"/>
      <c r="O364" s="37">
        <v>40</v>
      </c>
      <c r="P364" s="81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629"/>
      <c r="R364" s="629"/>
      <c r="S364" s="629"/>
      <c r="T364" s="630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627">
        <v>4607091384260</v>
      </c>
      <c r="E365" s="627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117</v>
      </c>
      <c r="L365" s="37" t="s">
        <v>45</v>
      </c>
      <c r="M365" s="38" t="s">
        <v>92</v>
      </c>
      <c r="N365" s="38"/>
      <c r="O365" s="37">
        <v>40</v>
      </c>
      <c r="P365" s="8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629"/>
      <c r="R365" s="629"/>
      <c r="S365" s="629"/>
      <c r="T365" s="630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35"/>
      <c r="B366" s="635"/>
      <c r="C366" s="635"/>
      <c r="D366" s="635"/>
      <c r="E366" s="635"/>
      <c r="F366" s="635"/>
      <c r="G366" s="635"/>
      <c r="H366" s="635"/>
      <c r="I366" s="635"/>
      <c r="J366" s="635"/>
      <c r="K366" s="635"/>
      <c r="L366" s="635"/>
      <c r="M366" s="635"/>
      <c r="N366" s="635"/>
      <c r="O366" s="636"/>
      <c r="P366" s="632" t="s">
        <v>40</v>
      </c>
      <c r="Q366" s="633"/>
      <c r="R366" s="633"/>
      <c r="S366" s="633"/>
      <c r="T366" s="633"/>
      <c r="U366" s="633"/>
      <c r="V366" s="634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635"/>
      <c r="B367" s="635"/>
      <c r="C367" s="635"/>
      <c r="D367" s="635"/>
      <c r="E367" s="635"/>
      <c r="F367" s="635"/>
      <c r="G367" s="635"/>
      <c r="H367" s="635"/>
      <c r="I367" s="635"/>
      <c r="J367" s="635"/>
      <c r="K367" s="635"/>
      <c r="L367" s="635"/>
      <c r="M367" s="635"/>
      <c r="N367" s="635"/>
      <c r="O367" s="636"/>
      <c r="P367" s="632" t="s">
        <v>40</v>
      </c>
      <c r="Q367" s="633"/>
      <c r="R367" s="633"/>
      <c r="S367" s="633"/>
      <c r="T367" s="633"/>
      <c r="U367" s="633"/>
      <c r="V367" s="634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626" t="s">
        <v>172</v>
      </c>
      <c r="B368" s="626"/>
      <c r="C368" s="626"/>
      <c r="D368" s="626"/>
      <c r="E368" s="626"/>
      <c r="F368" s="626"/>
      <c r="G368" s="626"/>
      <c r="H368" s="626"/>
      <c r="I368" s="626"/>
      <c r="J368" s="626"/>
      <c r="K368" s="626"/>
      <c r="L368" s="626"/>
      <c r="M368" s="626"/>
      <c r="N368" s="626"/>
      <c r="O368" s="626"/>
      <c r="P368" s="626"/>
      <c r="Q368" s="626"/>
      <c r="R368" s="626"/>
      <c r="S368" s="626"/>
      <c r="T368" s="626"/>
      <c r="U368" s="626"/>
      <c r="V368" s="626"/>
      <c r="W368" s="626"/>
      <c r="X368" s="626"/>
      <c r="Y368" s="626"/>
      <c r="Z368" s="626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627">
        <v>4607091384673</v>
      </c>
      <c r="E369" s="627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117</v>
      </c>
      <c r="L369" s="37" t="s">
        <v>45</v>
      </c>
      <c r="M369" s="38" t="s">
        <v>92</v>
      </c>
      <c r="N369" s="38"/>
      <c r="O369" s="37">
        <v>40</v>
      </c>
      <c r="P369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629"/>
      <c r="R369" s="629"/>
      <c r="S369" s="629"/>
      <c r="T369" s="630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5"/>
      <c r="B370" s="635"/>
      <c r="C370" s="635"/>
      <c r="D370" s="635"/>
      <c r="E370" s="635"/>
      <c r="F370" s="635"/>
      <c r="G370" s="635"/>
      <c r="H370" s="635"/>
      <c r="I370" s="635"/>
      <c r="J370" s="635"/>
      <c r="K370" s="635"/>
      <c r="L370" s="635"/>
      <c r="M370" s="635"/>
      <c r="N370" s="635"/>
      <c r="O370" s="636"/>
      <c r="P370" s="632" t="s">
        <v>40</v>
      </c>
      <c r="Q370" s="633"/>
      <c r="R370" s="633"/>
      <c r="S370" s="633"/>
      <c r="T370" s="633"/>
      <c r="U370" s="633"/>
      <c r="V370" s="634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635"/>
      <c r="B371" s="635"/>
      <c r="C371" s="635"/>
      <c r="D371" s="635"/>
      <c r="E371" s="635"/>
      <c r="F371" s="635"/>
      <c r="G371" s="635"/>
      <c r="H371" s="635"/>
      <c r="I371" s="635"/>
      <c r="J371" s="635"/>
      <c r="K371" s="635"/>
      <c r="L371" s="635"/>
      <c r="M371" s="635"/>
      <c r="N371" s="635"/>
      <c r="O371" s="636"/>
      <c r="P371" s="632" t="s">
        <v>40</v>
      </c>
      <c r="Q371" s="633"/>
      <c r="R371" s="633"/>
      <c r="S371" s="633"/>
      <c r="T371" s="633"/>
      <c r="U371" s="633"/>
      <c r="V371" s="634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625" t="s">
        <v>600</v>
      </c>
      <c r="B372" s="625"/>
      <c r="C372" s="625"/>
      <c r="D372" s="625"/>
      <c r="E372" s="625"/>
      <c r="F372" s="625"/>
      <c r="G372" s="625"/>
      <c r="H372" s="625"/>
      <c r="I372" s="625"/>
      <c r="J372" s="625"/>
      <c r="K372" s="625"/>
      <c r="L372" s="625"/>
      <c r="M372" s="625"/>
      <c r="N372" s="625"/>
      <c r="O372" s="625"/>
      <c r="P372" s="625"/>
      <c r="Q372" s="625"/>
      <c r="R372" s="625"/>
      <c r="S372" s="625"/>
      <c r="T372" s="625"/>
      <c r="U372" s="625"/>
      <c r="V372" s="625"/>
      <c r="W372" s="625"/>
      <c r="X372" s="625"/>
      <c r="Y372" s="625"/>
      <c r="Z372" s="625"/>
      <c r="AA372" s="65"/>
      <c r="AB372" s="65"/>
      <c r="AC372" s="79"/>
    </row>
    <row r="373" spans="1:68" ht="14.25" customHeight="1" x14ac:dyDescent="0.25">
      <c r="A373" s="626" t="s">
        <v>112</v>
      </c>
      <c r="B373" s="626"/>
      <c r="C373" s="626"/>
      <c r="D373" s="626"/>
      <c r="E373" s="626"/>
      <c r="F373" s="626"/>
      <c r="G373" s="626"/>
      <c r="H373" s="626"/>
      <c r="I373" s="626"/>
      <c r="J373" s="626"/>
      <c r="K373" s="626"/>
      <c r="L373" s="626"/>
      <c r="M373" s="626"/>
      <c r="N373" s="626"/>
      <c r="O373" s="626"/>
      <c r="P373" s="626"/>
      <c r="Q373" s="626"/>
      <c r="R373" s="626"/>
      <c r="S373" s="626"/>
      <c r="T373" s="626"/>
      <c r="U373" s="626"/>
      <c r="V373" s="626"/>
      <c r="W373" s="626"/>
      <c r="X373" s="626"/>
      <c r="Y373" s="626"/>
      <c r="Z373" s="626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627">
        <v>4680115884885</v>
      </c>
      <c r="E374" s="627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117</v>
      </c>
      <c r="L374" s="37" t="s">
        <v>45</v>
      </c>
      <c r="M374" s="38" t="s">
        <v>82</v>
      </c>
      <c r="N374" s="38"/>
      <c r="O374" s="37">
        <v>60</v>
      </c>
      <c r="P374" s="81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629"/>
      <c r="R374" s="629"/>
      <c r="S374" s="629"/>
      <c r="T374" s="630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627">
        <v>4680115884908</v>
      </c>
      <c r="E375" s="627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121</v>
      </c>
      <c r="L375" s="37" t="s">
        <v>45</v>
      </c>
      <c r="M375" s="38" t="s">
        <v>82</v>
      </c>
      <c r="N375" s="38"/>
      <c r="O375" s="37">
        <v>60</v>
      </c>
      <c r="P375" s="8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629"/>
      <c r="R375" s="629"/>
      <c r="S375" s="629"/>
      <c r="T375" s="630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5"/>
      <c r="B376" s="635"/>
      <c r="C376" s="635"/>
      <c r="D376" s="635"/>
      <c r="E376" s="635"/>
      <c r="F376" s="635"/>
      <c r="G376" s="635"/>
      <c r="H376" s="635"/>
      <c r="I376" s="635"/>
      <c r="J376" s="635"/>
      <c r="K376" s="635"/>
      <c r="L376" s="635"/>
      <c r="M376" s="635"/>
      <c r="N376" s="635"/>
      <c r="O376" s="636"/>
      <c r="P376" s="632" t="s">
        <v>40</v>
      </c>
      <c r="Q376" s="633"/>
      <c r="R376" s="633"/>
      <c r="S376" s="633"/>
      <c r="T376" s="633"/>
      <c r="U376" s="633"/>
      <c r="V376" s="634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5"/>
      <c r="B377" s="635"/>
      <c r="C377" s="635"/>
      <c r="D377" s="635"/>
      <c r="E377" s="635"/>
      <c r="F377" s="635"/>
      <c r="G377" s="635"/>
      <c r="H377" s="635"/>
      <c r="I377" s="635"/>
      <c r="J377" s="635"/>
      <c r="K377" s="635"/>
      <c r="L377" s="635"/>
      <c r="M377" s="635"/>
      <c r="N377" s="635"/>
      <c r="O377" s="636"/>
      <c r="P377" s="632" t="s">
        <v>40</v>
      </c>
      <c r="Q377" s="633"/>
      <c r="R377" s="633"/>
      <c r="S377" s="633"/>
      <c r="T377" s="633"/>
      <c r="U377" s="633"/>
      <c r="V377" s="634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6" t="s">
        <v>78</v>
      </c>
      <c r="B378" s="626"/>
      <c r="C378" s="626"/>
      <c r="D378" s="626"/>
      <c r="E378" s="626"/>
      <c r="F378" s="626"/>
      <c r="G378" s="626"/>
      <c r="H378" s="626"/>
      <c r="I378" s="626"/>
      <c r="J378" s="626"/>
      <c r="K378" s="626"/>
      <c r="L378" s="626"/>
      <c r="M378" s="626"/>
      <c r="N378" s="626"/>
      <c r="O378" s="626"/>
      <c r="P378" s="626"/>
      <c r="Q378" s="626"/>
      <c r="R378" s="626"/>
      <c r="S378" s="626"/>
      <c r="T378" s="626"/>
      <c r="U378" s="626"/>
      <c r="V378" s="626"/>
      <c r="W378" s="626"/>
      <c r="X378" s="626"/>
      <c r="Y378" s="626"/>
      <c r="Z378" s="626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4301031457</v>
      </c>
      <c r="D379" s="627">
        <v>4607091384802</v>
      </c>
      <c r="E379" s="627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121</v>
      </c>
      <c r="L379" s="37" t="s">
        <v>45</v>
      </c>
      <c r="M379" s="38" t="s">
        <v>82</v>
      </c>
      <c r="N379" s="38"/>
      <c r="O379" s="37">
        <v>50</v>
      </c>
      <c r="P379" s="8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29"/>
      <c r="R379" s="629"/>
      <c r="S379" s="629"/>
      <c r="T379" s="630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4301031303</v>
      </c>
      <c r="D380" s="627">
        <v>4607091384802</v>
      </c>
      <c r="E380" s="627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121</v>
      </c>
      <c r="L380" s="37" t="s">
        <v>45</v>
      </c>
      <c r="M380" s="38" t="s">
        <v>82</v>
      </c>
      <c r="N380" s="38"/>
      <c r="O380" s="37">
        <v>35</v>
      </c>
      <c r="P380" s="81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629"/>
      <c r="R380" s="629"/>
      <c r="S380" s="629"/>
      <c r="T380" s="630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5"/>
      <c r="B381" s="635"/>
      <c r="C381" s="635"/>
      <c r="D381" s="635"/>
      <c r="E381" s="635"/>
      <c r="F381" s="635"/>
      <c r="G381" s="635"/>
      <c r="H381" s="635"/>
      <c r="I381" s="635"/>
      <c r="J381" s="635"/>
      <c r="K381" s="635"/>
      <c r="L381" s="635"/>
      <c r="M381" s="635"/>
      <c r="N381" s="635"/>
      <c r="O381" s="636"/>
      <c r="P381" s="632" t="s">
        <v>40</v>
      </c>
      <c r="Q381" s="633"/>
      <c r="R381" s="633"/>
      <c r="S381" s="633"/>
      <c r="T381" s="633"/>
      <c r="U381" s="633"/>
      <c r="V381" s="634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5"/>
      <c r="B382" s="635"/>
      <c r="C382" s="635"/>
      <c r="D382" s="635"/>
      <c r="E382" s="635"/>
      <c r="F382" s="635"/>
      <c r="G382" s="635"/>
      <c r="H382" s="635"/>
      <c r="I382" s="635"/>
      <c r="J382" s="635"/>
      <c r="K382" s="635"/>
      <c r="L382" s="635"/>
      <c r="M382" s="635"/>
      <c r="N382" s="635"/>
      <c r="O382" s="636"/>
      <c r="P382" s="632" t="s">
        <v>40</v>
      </c>
      <c r="Q382" s="633"/>
      <c r="R382" s="633"/>
      <c r="S382" s="633"/>
      <c r="T382" s="633"/>
      <c r="U382" s="633"/>
      <c r="V382" s="634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626" t="s">
        <v>88</v>
      </c>
      <c r="B383" s="626"/>
      <c r="C383" s="626"/>
      <c r="D383" s="626"/>
      <c r="E383" s="626"/>
      <c r="F383" s="626"/>
      <c r="G383" s="626"/>
      <c r="H383" s="626"/>
      <c r="I383" s="626"/>
      <c r="J383" s="626"/>
      <c r="K383" s="626"/>
      <c r="L383" s="626"/>
      <c r="M383" s="626"/>
      <c r="N383" s="626"/>
      <c r="O383" s="626"/>
      <c r="P383" s="626"/>
      <c r="Q383" s="626"/>
      <c r="R383" s="626"/>
      <c r="S383" s="626"/>
      <c r="T383" s="626"/>
      <c r="U383" s="626"/>
      <c r="V383" s="626"/>
      <c r="W383" s="626"/>
      <c r="X383" s="626"/>
      <c r="Y383" s="626"/>
      <c r="Z383" s="626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7">
        <v>4607091384246</v>
      </c>
      <c r="E384" s="627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117</v>
      </c>
      <c r="L384" s="37" t="s">
        <v>45</v>
      </c>
      <c r="M384" s="38" t="s">
        <v>92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4301052069</v>
      </c>
      <c r="D385" s="627">
        <v>4607091384253</v>
      </c>
      <c r="E385" s="627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29"/>
      <c r="R385" s="629"/>
      <c r="S385" s="629"/>
      <c r="T385" s="630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616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617</v>
      </c>
      <c r="C386" s="36">
        <v>4301051660</v>
      </c>
      <c r="D386" s="627">
        <v>4607091384253</v>
      </c>
      <c r="E386" s="627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8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29"/>
      <c r="R386" s="629"/>
      <c r="S386" s="629"/>
      <c r="T386" s="630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613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5"/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5"/>
      <c r="M387" s="635"/>
      <c r="N387" s="635"/>
      <c r="O387" s="636"/>
      <c r="P387" s="632" t="s">
        <v>40</v>
      </c>
      <c r="Q387" s="633"/>
      <c r="R387" s="633"/>
      <c r="S387" s="633"/>
      <c r="T387" s="633"/>
      <c r="U387" s="633"/>
      <c r="V387" s="634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35"/>
      <c r="B388" s="635"/>
      <c r="C388" s="635"/>
      <c r="D388" s="635"/>
      <c r="E388" s="635"/>
      <c r="F388" s="635"/>
      <c r="G388" s="635"/>
      <c r="H388" s="635"/>
      <c r="I388" s="635"/>
      <c r="J388" s="635"/>
      <c r="K388" s="635"/>
      <c r="L388" s="635"/>
      <c r="M388" s="635"/>
      <c r="N388" s="635"/>
      <c r="O388" s="636"/>
      <c r="P388" s="632" t="s">
        <v>40</v>
      </c>
      <c r="Q388" s="633"/>
      <c r="R388" s="633"/>
      <c r="S388" s="633"/>
      <c r="T388" s="633"/>
      <c r="U388" s="633"/>
      <c r="V388" s="634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624" t="s">
        <v>618</v>
      </c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4"/>
      <c r="P389" s="624"/>
      <c r="Q389" s="624"/>
      <c r="R389" s="624"/>
      <c r="S389" s="624"/>
      <c r="T389" s="624"/>
      <c r="U389" s="624"/>
      <c r="V389" s="624"/>
      <c r="W389" s="624"/>
      <c r="X389" s="624"/>
      <c r="Y389" s="624"/>
      <c r="Z389" s="624"/>
      <c r="AA389" s="54"/>
      <c r="AB389" s="54"/>
      <c r="AC389" s="54"/>
    </row>
    <row r="390" spans="1:68" ht="16.5" customHeight="1" x14ac:dyDescent="0.25">
      <c r="A390" s="625" t="s">
        <v>619</v>
      </c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5"/>
      <c r="AB390" s="65"/>
      <c r="AC390" s="79"/>
    </row>
    <row r="391" spans="1:68" ht="14.25" customHeight="1" x14ac:dyDescent="0.25">
      <c r="A391" s="626" t="s">
        <v>78</v>
      </c>
      <c r="B391" s="626"/>
      <c r="C391" s="626"/>
      <c r="D391" s="626"/>
      <c r="E391" s="626"/>
      <c r="F391" s="626"/>
      <c r="G391" s="626"/>
      <c r="H391" s="626"/>
      <c r="I391" s="626"/>
      <c r="J391" s="626"/>
      <c r="K391" s="626"/>
      <c r="L391" s="626"/>
      <c r="M391" s="626"/>
      <c r="N391" s="626"/>
      <c r="O391" s="626"/>
      <c r="P391" s="626"/>
      <c r="Q391" s="626"/>
      <c r="R391" s="626"/>
      <c r="S391" s="626"/>
      <c r="T391" s="626"/>
      <c r="U391" s="626"/>
      <c r="V391" s="626"/>
      <c r="W391" s="626"/>
      <c r="X391" s="626"/>
      <c r="Y391" s="626"/>
      <c r="Z391" s="626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27">
        <v>4680115886100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121</v>
      </c>
      <c r="L392" s="37" t="s">
        <v>45</v>
      </c>
      <c r="M392" s="38" t="s">
        <v>82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27">
        <v>4680115886117</v>
      </c>
      <c r="E393" s="627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121</v>
      </c>
      <c r="L393" s="37" t="s">
        <v>45</v>
      </c>
      <c r="M393" s="38" t="s">
        <v>82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27">
        <v>4680115886124</v>
      </c>
      <c r="E394" s="627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121</v>
      </c>
      <c r="L394" s="37" t="s">
        <v>45</v>
      </c>
      <c r="M394" s="38" t="s">
        <v>82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27">
        <v>4680115883147</v>
      </c>
      <c r="E395" s="627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27">
        <v>4607091384338</v>
      </c>
      <c r="E396" s="627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298</v>
      </c>
      <c r="M396" s="38" t="s">
        <v>82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94</v>
      </c>
      <c r="AK396" s="84">
        <v>37.799999999999997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27">
        <v>4607091389524</v>
      </c>
      <c r="E397" s="627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27">
        <v>4680115883161</v>
      </c>
      <c r="E398" s="627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27">
        <v>4607091389531</v>
      </c>
      <c r="E399" s="627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9"/>
      <c r="R399" s="629"/>
      <c r="S399" s="629"/>
      <c r="T399" s="630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27">
        <v>4607091384345</v>
      </c>
      <c r="E400" s="627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2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9"/>
      <c r="R400" s="629"/>
      <c r="S400" s="629"/>
      <c r="T400" s="630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5"/>
      <c r="B402" s="635"/>
      <c r="C402" s="635"/>
      <c r="D402" s="635"/>
      <c r="E402" s="635"/>
      <c r="F402" s="635"/>
      <c r="G402" s="635"/>
      <c r="H402" s="635"/>
      <c r="I402" s="635"/>
      <c r="J402" s="635"/>
      <c r="K402" s="635"/>
      <c r="L402" s="635"/>
      <c r="M402" s="635"/>
      <c r="N402" s="635"/>
      <c r="O402" s="636"/>
      <c r="P402" s="632" t="s">
        <v>40</v>
      </c>
      <c r="Q402" s="633"/>
      <c r="R402" s="633"/>
      <c r="S402" s="633"/>
      <c r="T402" s="633"/>
      <c r="U402" s="633"/>
      <c r="V402" s="634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6" t="s">
        <v>88</v>
      </c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6"/>
      <c r="P403" s="626"/>
      <c r="Q403" s="626"/>
      <c r="R403" s="626"/>
      <c r="S403" s="626"/>
      <c r="T403" s="626"/>
      <c r="U403" s="626"/>
      <c r="V403" s="626"/>
      <c r="W403" s="626"/>
      <c r="X403" s="626"/>
      <c r="Y403" s="626"/>
      <c r="Z403" s="626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27">
        <v>4607091384352</v>
      </c>
      <c r="E404" s="627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121</v>
      </c>
      <c r="L404" s="37" t="s">
        <v>45</v>
      </c>
      <c r="M404" s="38" t="s">
        <v>92</v>
      </c>
      <c r="N404" s="38"/>
      <c r="O404" s="37">
        <v>45</v>
      </c>
      <c r="P404" s="83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9"/>
      <c r="R404" s="629"/>
      <c r="S404" s="629"/>
      <c r="T404" s="630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27">
        <v>4607091389654</v>
      </c>
      <c r="E405" s="627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83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9"/>
      <c r="R405" s="629"/>
      <c r="S405" s="629"/>
      <c r="T405" s="630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5"/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5"/>
      <c r="M406" s="635"/>
      <c r="N406" s="635"/>
      <c r="O406" s="636"/>
      <c r="P406" s="632" t="s">
        <v>40</v>
      </c>
      <c r="Q406" s="633"/>
      <c r="R406" s="633"/>
      <c r="S406" s="633"/>
      <c r="T406" s="633"/>
      <c r="U406" s="633"/>
      <c r="V406" s="634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5"/>
      <c r="B407" s="635"/>
      <c r="C407" s="635"/>
      <c r="D407" s="635"/>
      <c r="E407" s="635"/>
      <c r="F407" s="635"/>
      <c r="G407" s="635"/>
      <c r="H407" s="635"/>
      <c r="I407" s="635"/>
      <c r="J407" s="635"/>
      <c r="K407" s="635"/>
      <c r="L407" s="635"/>
      <c r="M407" s="635"/>
      <c r="N407" s="635"/>
      <c r="O407" s="636"/>
      <c r="P407" s="632" t="s">
        <v>40</v>
      </c>
      <c r="Q407" s="633"/>
      <c r="R407" s="633"/>
      <c r="S407" s="633"/>
      <c r="T407" s="633"/>
      <c r="U407" s="633"/>
      <c r="V407" s="634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5" t="s">
        <v>650</v>
      </c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5"/>
      <c r="P408" s="625"/>
      <c r="Q408" s="625"/>
      <c r="R408" s="625"/>
      <c r="S408" s="625"/>
      <c r="T408" s="625"/>
      <c r="U408" s="625"/>
      <c r="V408" s="625"/>
      <c r="W408" s="625"/>
      <c r="X408" s="625"/>
      <c r="Y408" s="625"/>
      <c r="Z408" s="625"/>
      <c r="AA408" s="65"/>
      <c r="AB408" s="65"/>
      <c r="AC408" s="79"/>
    </row>
    <row r="409" spans="1:68" ht="14.25" customHeight="1" x14ac:dyDescent="0.25">
      <c r="A409" s="626" t="s">
        <v>147</v>
      </c>
      <c r="B409" s="626"/>
      <c r="C409" s="626"/>
      <c r="D409" s="626"/>
      <c r="E409" s="626"/>
      <c r="F409" s="626"/>
      <c r="G409" s="626"/>
      <c r="H409" s="626"/>
      <c r="I409" s="626"/>
      <c r="J409" s="626"/>
      <c r="K409" s="626"/>
      <c r="L409" s="626"/>
      <c r="M409" s="626"/>
      <c r="N409" s="626"/>
      <c r="O409" s="626"/>
      <c r="P409" s="626"/>
      <c r="Q409" s="626"/>
      <c r="R409" s="626"/>
      <c r="S409" s="626"/>
      <c r="T409" s="626"/>
      <c r="U409" s="626"/>
      <c r="V409" s="626"/>
      <c r="W409" s="626"/>
      <c r="X409" s="626"/>
      <c r="Y409" s="626"/>
      <c r="Z409" s="626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27">
        <v>4680115885240</v>
      </c>
      <c r="E410" s="627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8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9"/>
      <c r="R410" s="629"/>
      <c r="S410" s="629"/>
      <c r="T410" s="630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5"/>
      <c r="M411" s="635"/>
      <c r="N411" s="635"/>
      <c r="O411" s="636"/>
      <c r="P411" s="632" t="s">
        <v>40</v>
      </c>
      <c r="Q411" s="633"/>
      <c r="R411" s="633"/>
      <c r="S411" s="633"/>
      <c r="T411" s="633"/>
      <c r="U411" s="633"/>
      <c r="V411" s="634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5"/>
      <c r="B412" s="635"/>
      <c r="C412" s="635"/>
      <c r="D412" s="635"/>
      <c r="E412" s="635"/>
      <c r="F412" s="635"/>
      <c r="G412" s="635"/>
      <c r="H412" s="635"/>
      <c r="I412" s="635"/>
      <c r="J412" s="635"/>
      <c r="K412" s="635"/>
      <c r="L412" s="635"/>
      <c r="M412" s="635"/>
      <c r="N412" s="635"/>
      <c r="O412" s="636"/>
      <c r="P412" s="632" t="s">
        <v>40</v>
      </c>
      <c r="Q412" s="633"/>
      <c r="R412" s="633"/>
      <c r="S412" s="633"/>
      <c r="T412" s="633"/>
      <c r="U412" s="633"/>
      <c r="V412" s="634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6" t="s">
        <v>78</v>
      </c>
      <c r="B413" s="626"/>
      <c r="C413" s="626"/>
      <c r="D413" s="626"/>
      <c r="E413" s="626"/>
      <c r="F413" s="626"/>
      <c r="G413" s="626"/>
      <c r="H413" s="626"/>
      <c r="I413" s="626"/>
      <c r="J413" s="626"/>
      <c r="K413" s="626"/>
      <c r="L413" s="626"/>
      <c r="M413" s="626"/>
      <c r="N413" s="626"/>
      <c r="O413" s="626"/>
      <c r="P413" s="626"/>
      <c r="Q413" s="626"/>
      <c r="R413" s="626"/>
      <c r="S413" s="626"/>
      <c r="T413" s="626"/>
      <c r="U413" s="626"/>
      <c r="V413" s="626"/>
      <c r="W413" s="626"/>
      <c r="X413" s="626"/>
      <c r="Y413" s="626"/>
      <c r="Z413" s="626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27">
        <v>4680115886094</v>
      </c>
      <c r="E414" s="627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121</v>
      </c>
      <c r="L414" s="37" t="s">
        <v>45</v>
      </c>
      <c r="M414" s="38" t="s">
        <v>116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627">
        <v>4607091389425</v>
      </c>
      <c r="E415" s="627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627">
        <v>4680115880771</v>
      </c>
      <c r="E416" s="627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629"/>
      <c r="R416" s="629"/>
      <c r="S416" s="629"/>
      <c r="T416" s="630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627">
        <v>4607091389500</v>
      </c>
      <c r="E417" s="627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3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629"/>
      <c r="R417" s="629"/>
      <c r="S417" s="629"/>
      <c r="T417" s="630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5"/>
      <c r="M418" s="635"/>
      <c r="N418" s="635"/>
      <c r="O418" s="636"/>
      <c r="P418" s="632" t="s">
        <v>40</v>
      </c>
      <c r="Q418" s="633"/>
      <c r="R418" s="633"/>
      <c r="S418" s="633"/>
      <c r="T418" s="633"/>
      <c r="U418" s="633"/>
      <c r="V418" s="634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35"/>
      <c r="B419" s="635"/>
      <c r="C419" s="635"/>
      <c r="D419" s="635"/>
      <c r="E419" s="635"/>
      <c r="F419" s="635"/>
      <c r="G419" s="635"/>
      <c r="H419" s="635"/>
      <c r="I419" s="635"/>
      <c r="J419" s="635"/>
      <c r="K419" s="635"/>
      <c r="L419" s="635"/>
      <c r="M419" s="635"/>
      <c r="N419" s="635"/>
      <c r="O419" s="636"/>
      <c r="P419" s="632" t="s">
        <v>40</v>
      </c>
      <c r="Q419" s="633"/>
      <c r="R419" s="633"/>
      <c r="S419" s="633"/>
      <c r="T419" s="633"/>
      <c r="U419" s="633"/>
      <c r="V419" s="634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625" t="s">
        <v>665</v>
      </c>
      <c r="B420" s="625"/>
      <c r="C420" s="625"/>
      <c r="D420" s="625"/>
      <c r="E420" s="625"/>
      <c r="F420" s="625"/>
      <c r="G420" s="625"/>
      <c r="H420" s="625"/>
      <c r="I420" s="625"/>
      <c r="J420" s="625"/>
      <c r="K420" s="625"/>
      <c r="L420" s="625"/>
      <c r="M420" s="625"/>
      <c r="N420" s="625"/>
      <c r="O420" s="625"/>
      <c r="P420" s="625"/>
      <c r="Q420" s="625"/>
      <c r="R420" s="625"/>
      <c r="S420" s="625"/>
      <c r="T420" s="625"/>
      <c r="U420" s="625"/>
      <c r="V420" s="625"/>
      <c r="W420" s="625"/>
      <c r="X420" s="625"/>
      <c r="Y420" s="625"/>
      <c r="Z420" s="625"/>
      <c r="AA420" s="65"/>
      <c r="AB420" s="65"/>
      <c r="AC420" s="79"/>
    </row>
    <row r="421" spans="1:68" ht="14.25" customHeight="1" x14ac:dyDescent="0.25">
      <c r="A421" s="626" t="s">
        <v>78</v>
      </c>
      <c r="B421" s="626"/>
      <c r="C421" s="626"/>
      <c r="D421" s="626"/>
      <c r="E421" s="626"/>
      <c r="F421" s="626"/>
      <c r="G421" s="626"/>
      <c r="H421" s="626"/>
      <c r="I421" s="626"/>
      <c r="J421" s="626"/>
      <c r="K421" s="626"/>
      <c r="L421" s="626"/>
      <c r="M421" s="626"/>
      <c r="N421" s="626"/>
      <c r="O421" s="626"/>
      <c r="P421" s="626"/>
      <c r="Q421" s="626"/>
      <c r="R421" s="626"/>
      <c r="S421" s="626"/>
      <c r="T421" s="626"/>
      <c r="U421" s="626"/>
      <c r="V421" s="626"/>
      <c r="W421" s="626"/>
      <c r="X421" s="626"/>
      <c r="Y421" s="626"/>
      <c r="Z421" s="626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627">
        <v>4680115885110</v>
      </c>
      <c r="E422" s="627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83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629"/>
      <c r="R422" s="629"/>
      <c r="S422" s="629"/>
      <c r="T422" s="630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35"/>
      <c r="B423" s="635"/>
      <c r="C423" s="635"/>
      <c r="D423" s="635"/>
      <c r="E423" s="635"/>
      <c r="F423" s="635"/>
      <c r="G423" s="635"/>
      <c r="H423" s="635"/>
      <c r="I423" s="635"/>
      <c r="J423" s="635"/>
      <c r="K423" s="635"/>
      <c r="L423" s="635"/>
      <c r="M423" s="635"/>
      <c r="N423" s="635"/>
      <c r="O423" s="636"/>
      <c r="P423" s="632" t="s">
        <v>40</v>
      </c>
      <c r="Q423" s="633"/>
      <c r="R423" s="633"/>
      <c r="S423" s="633"/>
      <c r="T423" s="633"/>
      <c r="U423" s="633"/>
      <c r="V423" s="634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35"/>
      <c r="B424" s="635"/>
      <c r="C424" s="635"/>
      <c r="D424" s="635"/>
      <c r="E424" s="635"/>
      <c r="F424" s="635"/>
      <c r="G424" s="635"/>
      <c r="H424" s="635"/>
      <c r="I424" s="635"/>
      <c r="J424" s="635"/>
      <c r="K424" s="635"/>
      <c r="L424" s="635"/>
      <c r="M424" s="635"/>
      <c r="N424" s="635"/>
      <c r="O424" s="636"/>
      <c r="P424" s="632" t="s">
        <v>40</v>
      </c>
      <c r="Q424" s="633"/>
      <c r="R424" s="633"/>
      <c r="S424" s="633"/>
      <c r="T424" s="633"/>
      <c r="U424" s="633"/>
      <c r="V424" s="634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624" t="s">
        <v>669</v>
      </c>
      <c r="B425" s="624"/>
      <c r="C425" s="624"/>
      <c r="D425" s="624"/>
      <c r="E425" s="624"/>
      <c r="F425" s="624"/>
      <c r="G425" s="624"/>
      <c r="H425" s="624"/>
      <c r="I425" s="624"/>
      <c r="J425" s="624"/>
      <c r="K425" s="624"/>
      <c r="L425" s="624"/>
      <c r="M425" s="624"/>
      <c r="N425" s="624"/>
      <c r="O425" s="624"/>
      <c r="P425" s="624"/>
      <c r="Q425" s="624"/>
      <c r="R425" s="624"/>
      <c r="S425" s="624"/>
      <c r="T425" s="624"/>
      <c r="U425" s="624"/>
      <c r="V425" s="624"/>
      <c r="W425" s="624"/>
      <c r="X425" s="624"/>
      <c r="Y425" s="624"/>
      <c r="Z425" s="624"/>
      <c r="AA425" s="54"/>
      <c r="AB425" s="54"/>
      <c r="AC425" s="54"/>
    </row>
    <row r="426" spans="1:68" ht="16.5" customHeight="1" x14ac:dyDescent="0.25">
      <c r="A426" s="625" t="s">
        <v>669</v>
      </c>
      <c r="B426" s="625"/>
      <c r="C426" s="625"/>
      <c r="D426" s="625"/>
      <c r="E426" s="625"/>
      <c r="F426" s="625"/>
      <c r="G426" s="625"/>
      <c r="H426" s="625"/>
      <c r="I426" s="625"/>
      <c r="J426" s="625"/>
      <c r="K426" s="625"/>
      <c r="L426" s="625"/>
      <c r="M426" s="625"/>
      <c r="N426" s="625"/>
      <c r="O426" s="625"/>
      <c r="P426" s="625"/>
      <c r="Q426" s="625"/>
      <c r="R426" s="625"/>
      <c r="S426" s="625"/>
      <c r="T426" s="625"/>
      <c r="U426" s="625"/>
      <c r="V426" s="625"/>
      <c r="W426" s="625"/>
      <c r="X426" s="625"/>
      <c r="Y426" s="625"/>
      <c r="Z426" s="625"/>
      <c r="AA426" s="65"/>
      <c r="AB426" s="65"/>
      <c r="AC426" s="79"/>
    </row>
    <row r="427" spans="1:68" ht="14.25" customHeight="1" x14ac:dyDescent="0.25">
      <c r="A427" s="626" t="s">
        <v>112</v>
      </c>
      <c r="B427" s="626"/>
      <c r="C427" s="626"/>
      <c r="D427" s="626"/>
      <c r="E427" s="626"/>
      <c r="F427" s="626"/>
      <c r="G427" s="626"/>
      <c r="H427" s="626"/>
      <c r="I427" s="626"/>
      <c r="J427" s="626"/>
      <c r="K427" s="626"/>
      <c r="L427" s="626"/>
      <c r="M427" s="626"/>
      <c r="N427" s="626"/>
      <c r="O427" s="626"/>
      <c r="P427" s="626"/>
      <c r="Q427" s="626"/>
      <c r="R427" s="626"/>
      <c r="S427" s="626"/>
      <c r="T427" s="626"/>
      <c r="U427" s="626"/>
      <c r="V427" s="626"/>
      <c r="W427" s="626"/>
      <c r="X427" s="626"/>
      <c r="Y427" s="626"/>
      <c r="Z427" s="626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627">
        <v>4607091389067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118</v>
      </c>
      <c r="M428" s="38" t="s">
        <v>116</v>
      </c>
      <c r="N428" s="38"/>
      <c r="O428" s="37">
        <v>60</v>
      </c>
      <c r="P428" s="83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94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627">
        <v>4607091383522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3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627">
        <v>4607091383522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627">
        <v>4680115885271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627">
        <v>4680115885226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118</v>
      </c>
      <c r="M432" s="38" t="s">
        <v>92</v>
      </c>
      <c r="N432" s="38"/>
      <c r="O432" s="37">
        <v>60</v>
      </c>
      <c r="P432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94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627">
        <v>4680115884502</v>
      </c>
      <c r="E433" s="627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45</v>
      </c>
      <c r="M433" s="38" t="s">
        <v>116</v>
      </c>
      <c r="N433" s="38"/>
      <c r="O433" s="37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627">
        <v>4607091389104</v>
      </c>
      <c r="E434" s="627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118</v>
      </c>
      <c r="M434" s="38" t="s">
        <v>116</v>
      </c>
      <c r="N434" s="38"/>
      <c r="O434" s="37">
        <v>60</v>
      </c>
      <c r="P434" s="84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94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627">
        <v>4680115886391</v>
      </c>
      <c r="E435" s="627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84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115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627">
        <v>4680115880603</v>
      </c>
      <c r="E436" s="627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121</v>
      </c>
      <c r="L436" s="37" t="s">
        <v>45</v>
      </c>
      <c r="M436" s="38" t="s">
        <v>116</v>
      </c>
      <c r="N436" s="38"/>
      <c r="O436" s="37">
        <v>60</v>
      </c>
      <c r="P436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627">
        <v>4680115882782</v>
      </c>
      <c r="E437" s="627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121</v>
      </c>
      <c r="L437" s="37" t="s">
        <v>45</v>
      </c>
      <c r="M437" s="38" t="s">
        <v>116</v>
      </c>
      <c r="N437" s="38"/>
      <c r="O437" s="37">
        <v>60</v>
      </c>
      <c r="P437" s="84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627">
        <v>4680115885479</v>
      </c>
      <c r="E438" s="627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116</v>
      </c>
      <c r="N438" s="38"/>
      <c r="O438" s="37">
        <v>60</v>
      </c>
      <c r="P438" s="84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629"/>
      <c r="R438" s="629"/>
      <c r="S438" s="629"/>
      <c r="T438" s="630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627">
        <v>4607091389982</v>
      </c>
      <c r="E439" s="627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121</v>
      </c>
      <c r="L439" s="37" t="s">
        <v>45</v>
      </c>
      <c r="M439" s="38" t="s">
        <v>116</v>
      </c>
      <c r="N439" s="38"/>
      <c r="O439" s="37">
        <v>60</v>
      </c>
      <c r="P439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629"/>
      <c r="R439" s="629"/>
      <c r="S439" s="629"/>
      <c r="T439" s="630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5"/>
      <c r="B441" s="635"/>
      <c r="C441" s="635"/>
      <c r="D441" s="635"/>
      <c r="E441" s="635"/>
      <c r="F441" s="635"/>
      <c r="G441" s="635"/>
      <c r="H441" s="635"/>
      <c r="I441" s="635"/>
      <c r="J441" s="635"/>
      <c r="K441" s="635"/>
      <c r="L441" s="635"/>
      <c r="M441" s="635"/>
      <c r="N441" s="635"/>
      <c r="O441" s="636"/>
      <c r="P441" s="632" t="s">
        <v>40</v>
      </c>
      <c r="Q441" s="633"/>
      <c r="R441" s="633"/>
      <c r="S441" s="633"/>
      <c r="T441" s="633"/>
      <c r="U441" s="633"/>
      <c r="V441" s="634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626" t="s">
        <v>147</v>
      </c>
      <c r="B442" s="626"/>
      <c r="C442" s="626"/>
      <c r="D442" s="626"/>
      <c r="E442" s="626"/>
      <c r="F442" s="626"/>
      <c r="G442" s="626"/>
      <c r="H442" s="626"/>
      <c r="I442" s="626"/>
      <c r="J442" s="626"/>
      <c r="K442" s="626"/>
      <c r="L442" s="626"/>
      <c r="M442" s="626"/>
      <c r="N442" s="626"/>
      <c r="O442" s="626"/>
      <c r="P442" s="626"/>
      <c r="Q442" s="626"/>
      <c r="R442" s="626"/>
      <c r="S442" s="626"/>
      <c r="T442" s="626"/>
      <c r="U442" s="626"/>
      <c r="V442" s="626"/>
      <c r="W442" s="626"/>
      <c r="X442" s="626"/>
      <c r="Y442" s="626"/>
      <c r="Z442" s="626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627">
        <v>4607091388930</v>
      </c>
      <c r="E443" s="627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45</v>
      </c>
      <c r="M443" s="38" t="s">
        <v>92</v>
      </c>
      <c r="N443" s="38"/>
      <c r="O443" s="37">
        <v>70</v>
      </c>
      <c r="P443" s="8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627">
        <v>4680115886407</v>
      </c>
      <c r="E444" s="627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629"/>
      <c r="R444" s="629"/>
      <c r="S444" s="629"/>
      <c r="T444" s="630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627">
        <v>4680115880054</v>
      </c>
      <c r="E445" s="627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121</v>
      </c>
      <c r="L445" s="37" t="s">
        <v>45</v>
      </c>
      <c r="M445" s="38" t="s">
        <v>116</v>
      </c>
      <c r="N445" s="38"/>
      <c r="O445" s="37">
        <v>70</v>
      </c>
      <c r="P445" s="8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629"/>
      <c r="R445" s="629"/>
      <c r="S445" s="629"/>
      <c r="T445" s="630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35"/>
      <c r="B446" s="635"/>
      <c r="C446" s="635"/>
      <c r="D446" s="635"/>
      <c r="E446" s="635"/>
      <c r="F446" s="635"/>
      <c r="G446" s="635"/>
      <c r="H446" s="635"/>
      <c r="I446" s="635"/>
      <c r="J446" s="635"/>
      <c r="K446" s="635"/>
      <c r="L446" s="635"/>
      <c r="M446" s="635"/>
      <c r="N446" s="635"/>
      <c r="O446" s="636"/>
      <c r="P446" s="632" t="s">
        <v>40</v>
      </c>
      <c r="Q446" s="633"/>
      <c r="R446" s="633"/>
      <c r="S446" s="633"/>
      <c r="T446" s="633"/>
      <c r="U446" s="633"/>
      <c r="V446" s="63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35"/>
      <c r="B447" s="635"/>
      <c r="C447" s="635"/>
      <c r="D447" s="635"/>
      <c r="E447" s="635"/>
      <c r="F447" s="635"/>
      <c r="G447" s="635"/>
      <c r="H447" s="635"/>
      <c r="I447" s="635"/>
      <c r="J447" s="635"/>
      <c r="K447" s="635"/>
      <c r="L447" s="635"/>
      <c r="M447" s="635"/>
      <c r="N447" s="635"/>
      <c r="O447" s="636"/>
      <c r="P447" s="632" t="s">
        <v>40</v>
      </c>
      <c r="Q447" s="633"/>
      <c r="R447" s="633"/>
      <c r="S447" s="633"/>
      <c r="T447" s="633"/>
      <c r="U447" s="633"/>
      <c r="V447" s="63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26" t="s">
        <v>78</v>
      </c>
      <c r="B448" s="626"/>
      <c r="C448" s="626"/>
      <c r="D448" s="626"/>
      <c r="E448" s="626"/>
      <c r="F448" s="626"/>
      <c r="G448" s="626"/>
      <c r="H448" s="626"/>
      <c r="I448" s="626"/>
      <c r="J448" s="626"/>
      <c r="K448" s="626"/>
      <c r="L448" s="626"/>
      <c r="M448" s="626"/>
      <c r="N448" s="626"/>
      <c r="O448" s="626"/>
      <c r="P448" s="626"/>
      <c r="Q448" s="626"/>
      <c r="R448" s="626"/>
      <c r="S448" s="626"/>
      <c r="T448" s="626"/>
      <c r="U448" s="626"/>
      <c r="V448" s="626"/>
      <c r="W448" s="626"/>
      <c r="X448" s="626"/>
      <c r="Y448" s="626"/>
      <c r="Z448" s="626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627">
        <v>4680115883116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45</v>
      </c>
      <c r="M449" s="38" t="s">
        <v>116</v>
      </c>
      <c r="N449" s="38"/>
      <c r="O449" s="37">
        <v>70</v>
      </c>
      <c r="P449" s="85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45</v>
      </c>
      <c r="AK449" s="84">
        <v>0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627">
        <v>4680115883093</v>
      </c>
      <c r="E450" s="627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82</v>
      </c>
      <c r="N450" s="38"/>
      <c r="O450" s="37">
        <v>70</v>
      </c>
      <c r="P450" s="85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94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627">
        <v>4680115883109</v>
      </c>
      <c r="E451" s="627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94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627">
        <v>4680115882072</v>
      </c>
      <c r="E452" s="627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121</v>
      </c>
      <c r="L452" s="37" t="s">
        <v>45</v>
      </c>
      <c r="M452" s="38" t="s">
        <v>116</v>
      </c>
      <c r="N452" s="38"/>
      <c r="O452" s="37">
        <v>70</v>
      </c>
      <c r="P452" s="85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627">
        <v>4680115882102</v>
      </c>
      <c r="E453" s="627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121</v>
      </c>
      <c r="L453" s="37" t="s">
        <v>45</v>
      </c>
      <c r="M453" s="38" t="s">
        <v>82</v>
      </c>
      <c r="N453" s="38"/>
      <c r="O453" s="37">
        <v>70</v>
      </c>
      <c r="P453" s="85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9"/>
      <c r="R453" s="629"/>
      <c r="S453" s="629"/>
      <c r="T453" s="630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627">
        <v>4680115882096</v>
      </c>
      <c r="E454" s="627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121</v>
      </c>
      <c r="L454" s="37" t="s">
        <v>45</v>
      </c>
      <c r="M454" s="38" t="s">
        <v>82</v>
      </c>
      <c r="N454" s="38"/>
      <c r="O454" s="37">
        <v>70</v>
      </c>
      <c r="P454" s="85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9"/>
      <c r="R454" s="629"/>
      <c r="S454" s="629"/>
      <c r="T454" s="630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5"/>
      <c r="B456" s="635"/>
      <c r="C456" s="635"/>
      <c r="D456" s="635"/>
      <c r="E456" s="635"/>
      <c r="F456" s="635"/>
      <c r="G456" s="635"/>
      <c r="H456" s="635"/>
      <c r="I456" s="635"/>
      <c r="J456" s="635"/>
      <c r="K456" s="635"/>
      <c r="L456" s="635"/>
      <c r="M456" s="635"/>
      <c r="N456" s="635"/>
      <c r="O456" s="636"/>
      <c r="P456" s="632" t="s">
        <v>40</v>
      </c>
      <c r="Q456" s="633"/>
      <c r="R456" s="633"/>
      <c r="S456" s="633"/>
      <c r="T456" s="633"/>
      <c r="U456" s="633"/>
      <c r="V456" s="634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27.75" customHeight="1" x14ac:dyDescent="0.2">
      <c r="A457" s="624" t="s">
        <v>721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54"/>
      <c r="AB457" s="54"/>
      <c r="AC457" s="54"/>
    </row>
    <row r="458" spans="1:68" ht="16.5" customHeight="1" x14ac:dyDescent="0.25">
      <c r="A458" s="625" t="s">
        <v>721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5"/>
      <c r="AB458" s="65"/>
      <c r="AC458" s="79"/>
    </row>
    <row r="459" spans="1:68" ht="14.25" customHeight="1" x14ac:dyDescent="0.25">
      <c r="A459" s="626" t="s">
        <v>112</v>
      </c>
      <c r="B459" s="626"/>
      <c r="C459" s="626"/>
      <c r="D459" s="626"/>
      <c r="E459" s="626"/>
      <c r="F459" s="626"/>
      <c r="G459" s="626"/>
      <c r="H459" s="626"/>
      <c r="I459" s="626"/>
      <c r="J459" s="626"/>
      <c r="K459" s="626"/>
      <c r="L459" s="626"/>
      <c r="M459" s="626"/>
      <c r="N459" s="626"/>
      <c r="O459" s="626"/>
      <c r="P459" s="626"/>
      <c r="Q459" s="626"/>
      <c r="R459" s="626"/>
      <c r="S459" s="626"/>
      <c r="T459" s="626"/>
      <c r="U459" s="626"/>
      <c r="V459" s="626"/>
      <c r="W459" s="626"/>
      <c r="X459" s="626"/>
      <c r="Y459" s="626"/>
      <c r="Z459" s="626"/>
      <c r="AA459" s="66"/>
      <c r="AB459" s="66"/>
      <c r="AC459" s="80"/>
    </row>
    <row r="460" spans="1:68" ht="27" customHeight="1" x14ac:dyDescent="0.25">
      <c r="A460" s="63" t="s">
        <v>722</v>
      </c>
      <c r="B460" s="63" t="s">
        <v>723</v>
      </c>
      <c r="C460" s="36">
        <v>4301011763</v>
      </c>
      <c r="D460" s="627">
        <v>4640242181011</v>
      </c>
      <c r="E460" s="627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117</v>
      </c>
      <c r="L460" s="37" t="s">
        <v>45</v>
      </c>
      <c r="M460" s="38" t="s">
        <v>92</v>
      </c>
      <c r="N460" s="38"/>
      <c r="O460" s="37">
        <v>55</v>
      </c>
      <c r="P460" s="85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9"/>
      <c r="R460" s="629"/>
      <c r="S460" s="629"/>
      <c r="T460" s="630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724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725</v>
      </c>
      <c r="B461" s="63" t="s">
        <v>726</v>
      </c>
      <c r="C461" s="36">
        <v>4301011585</v>
      </c>
      <c r="D461" s="627">
        <v>4640242180441</v>
      </c>
      <c r="E461" s="627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117</v>
      </c>
      <c r="L461" s="37" t="s">
        <v>45</v>
      </c>
      <c r="M461" s="38" t="s">
        <v>116</v>
      </c>
      <c r="N461" s="38"/>
      <c r="O461" s="37">
        <v>50</v>
      </c>
      <c r="P461" s="86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9"/>
      <c r="R461" s="629"/>
      <c r="S461" s="629"/>
      <c r="T461" s="630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727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728</v>
      </c>
      <c r="B462" s="63" t="s">
        <v>729</v>
      </c>
      <c r="C462" s="36">
        <v>4301011584</v>
      </c>
      <c r="D462" s="627">
        <v>4640242180564</v>
      </c>
      <c r="E462" s="627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117</v>
      </c>
      <c r="L462" s="37" t="s">
        <v>45</v>
      </c>
      <c r="M462" s="38" t="s">
        <v>116</v>
      </c>
      <c r="N462" s="38"/>
      <c r="O462" s="37">
        <v>50</v>
      </c>
      <c r="P462" s="8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9"/>
      <c r="R462" s="629"/>
      <c r="S462" s="629"/>
      <c r="T462" s="630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730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731</v>
      </c>
      <c r="B463" s="63" t="s">
        <v>732</v>
      </c>
      <c r="C463" s="36">
        <v>4301011764</v>
      </c>
      <c r="D463" s="627">
        <v>4640242181189</v>
      </c>
      <c r="E463" s="6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121</v>
      </c>
      <c r="L463" s="37" t="s">
        <v>45</v>
      </c>
      <c r="M463" s="38" t="s">
        <v>92</v>
      </c>
      <c r="N463" s="38"/>
      <c r="O463" s="37">
        <v>55</v>
      </c>
      <c r="P463" s="86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724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35"/>
      <c r="B464" s="635"/>
      <c r="C464" s="635"/>
      <c r="D464" s="635"/>
      <c r="E464" s="635"/>
      <c r="F464" s="635"/>
      <c r="G464" s="635"/>
      <c r="H464" s="635"/>
      <c r="I464" s="635"/>
      <c r="J464" s="635"/>
      <c r="K464" s="635"/>
      <c r="L464" s="635"/>
      <c r="M464" s="635"/>
      <c r="N464" s="635"/>
      <c r="O464" s="636"/>
      <c r="P464" s="632" t="s">
        <v>40</v>
      </c>
      <c r="Q464" s="633"/>
      <c r="R464" s="633"/>
      <c r="S464" s="633"/>
      <c r="T464" s="633"/>
      <c r="U464" s="633"/>
      <c r="V464" s="634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635"/>
      <c r="B465" s="635"/>
      <c r="C465" s="635"/>
      <c r="D465" s="635"/>
      <c r="E465" s="635"/>
      <c r="F465" s="635"/>
      <c r="G465" s="635"/>
      <c r="H465" s="635"/>
      <c r="I465" s="635"/>
      <c r="J465" s="635"/>
      <c r="K465" s="635"/>
      <c r="L465" s="635"/>
      <c r="M465" s="635"/>
      <c r="N465" s="635"/>
      <c r="O465" s="636"/>
      <c r="P465" s="632" t="s">
        <v>40</v>
      </c>
      <c r="Q465" s="633"/>
      <c r="R465" s="633"/>
      <c r="S465" s="633"/>
      <c r="T465" s="633"/>
      <c r="U465" s="633"/>
      <c r="V465" s="634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626" t="s">
        <v>147</v>
      </c>
      <c r="B466" s="626"/>
      <c r="C466" s="626"/>
      <c r="D466" s="626"/>
      <c r="E466" s="626"/>
      <c r="F466" s="626"/>
      <c r="G466" s="626"/>
      <c r="H466" s="626"/>
      <c r="I466" s="626"/>
      <c r="J466" s="626"/>
      <c r="K466" s="626"/>
      <c r="L466" s="626"/>
      <c r="M466" s="626"/>
      <c r="N466" s="626"/>
      <c r="O466" s="626"/>
      <c r="P466" s="626"/>
      <c r="Q466" s="626"/>
      <c r="R466" s="626"/>
      <c r="S466" s="626"/>
      <c r="T466" s="626"/>
      <c r="U466" s="626"/>
      <c r="V466" s="626"/>
      <c r="W466" s="626"/>
      <c r="X466" s="626"/>
      <c r="Y466" s="626"/>
      <c r="Z466" s="626"/>
      <c r="AA466" s="66"/>
      <c r="AB466" s="66"/>
      <c r="AC466" s="80"/>
    </row>
    <row r="467" spans="1:68" ht="27" customHeight="1" x14ac:dyDescent="0.25">
      <c r="A467" s="63" t="s">
        <v>733</v>
      </c>
      <c r="B467" s="63" t="s">
        <v>734</v>
      </c>
      <c r="C467" s="36">
        <v>4301020400</v>
      </c>
      <c r="D467" s="627">
        <v>4640242180519</v>
      </c>
      <c r="E467" s="627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9"/>
      <c r="R467" s="629"/>
      <c r="S467" s="629"/>
      <c r="T467" s="630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735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736</v>
      </c>
      <c r="B468" s="63" t="s">
        <v>737</v>
      </c>
      <c r="C468" s="36">
        <v>4301020260</v>
      </c>
      <c r="D468" s="627">
        <v>4640242180526</v>
      </c>
      <c r="E468" s="627"/>
      <c r="F468" s="62">
        <v>1.8</v>
      </c>
      <c r="G468" s="37">
        <v>6</v>
      </c>
      <c r="H468" s="62">
        <v>10.8</v>
      </c>
      <c r="I468" s="62">
        <v>11.21</v>
      </c>
      <c r="J468" s="37">
        <v>64</v>
      </c>
      <c r="K468" s="37" t="s">
        <v>117</v>
      </c>
      <c r="L468" s="37" t="s">
        <v>45</v>
      </c>
      <c r="M468" s="38" t="s">
        <v>116</v>
      </c>
      <c r="N468" s="38"/>
      <c r="O468" s="37">
        <v>50</v>
      </c>
      <c r="P468" s="8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629"/>
      <c r="R468" s="629"/>
      <c r="S468" s="629"/>
      <c r="T468" s="630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44" t="s">
        <v>738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5"/>
      <c r="B469" s="635"/>
      <c r="C469" s="635"/>
      <c r="D469" s="635"/>
      <c r="E469" s="635"/>
      <c r="F469" s="635"/>
      <c r="G469" s="635"/>
      <c r="H469" s="635"/>
      <c r="I469" s="635"/>
      <c r="J469" s="635"/>
      <c r="K469" s="635"/>
      <c r="L469" s="635"/>
      <c r="M469" s="635"/>
      <c r="N469" s="635"/>
      <c r="O469" s="636"/>
      <c r="P469" s="632" t="s">
        <v>40</v>
      </c>
      <c r="Q469" s="633"/>
      <c r="R469" s="633"/>
      <c r="S469" s="633"/>
      <c r="T469" s="633"/>
      <c r="U469" s="633"/>
      <c r="V469" s="634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x14ac:dyDescent="0.2">
      <c r="A470" s="635"/>
      <c r="B470" s="635"/>
      <c r="C470" s="635"/>
      <c r="D470" s="635"/>
      <c r="E470" s="635"/>
      <c r="F470" s="635"/>
      <c r="G470" s="635"/>
      <c r="H470" s="635"/>
      <c r="I470" s="635"/>
      <c r="J470" s="635"/>
      <c r="K470" s="635"/>
      <c r="L470" s="635"/>
      <c r="M470" s="635"/>
      <c r="N470" s="635"/>
      <c r="O470" s="636"/>
      <c r="P470" s="632" t="s">
        <v>40</v>
      </c>
      <c r="Q470" s="633"/>
      <c r="R470" s="633"/>
      <c r="S470" s="633"/>
      <c r="T470" s="633"/>
      <c r="U470" s="633"/>
      <c r="V470" s="634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customHeight="1" x14ac:dyDescent="0.25">
      <c r="A471" s="626" t="s">
        <v>78</v>
      </c>
      <c r="B471" s="626"/>
      <c r="C471" s="626"/>
      <c r="D471" s="626"/>
      <c r="E471" s="626"/>
      <c r="F471" s="626"/>
      <c r="G471" s="626"/>
      <c r="H471" s="626"/>
      <c r="I471" s="626"/>
      <c r="J471" s="626"/>
      <c r="K471" s="626"/>
      <c r="L471" s="626"/>
      <c r="M471" s="626"/>
      <c r="N471" s="626"/>
      <c r="O471" s="626"/>
      <c r="P471" s="626"/>
      <c r="Q471" s="626"/>
      <c r="R471" s="626"/>
      <c r="S471" s="626"/>
      <c r="T471" s="626"/>
      <c r="U471" s="626"/>
      <c r="V471" s="626"/>
      <c r="W471" s="626"/>
      <c r="X471" s="626"/>
      <c r="Y471" s="626"/>
      <c r="Z471" s="626"/>
      <c r="AA471" s="66"/>
      <c r="AB471" s="66"/>
      <c r="AC471" s="80"/>
    </row>
    <row r="472" spans="1:68" ht="27" customHeight="1" x14ac:dyDescent="0.25">
      <c r="A472" s="63" t="s">
        <v>739</v>
      </c>
      <c r="B472" s="63" t="s">
        <v>740</v>
      </c>
      <c r="C472" s="36">
        <v>4301031467</v>
      </c>
      <c r="D472" s="627">
        <v>4640242180595</v>
      </c>
      <c r="E472" s="627"/>
      <c r="F472" s="62">
        <v>0.8</v>
      </c>
      <c r="G472" s="37">
        <v>6</v>
      </c>
      <c r="H472" s="62">
        <v>4.8</v>
      </c>
      <c r="I472" s="62">
        <v>5.05</v>
      </c>
      <c r="J472" s="37">
        <v>132</v>
      </c>
      <c r="K472" s="37" t="s">
        <v>121</v>
      </c>
      <c r="L472" s="37" t="s">
        <v>45</v>
      </c>
      <c r="M472" s="38" t="s">
        <v>82</v>
      </c>
      <c r="N472" s="38"/>
      <c r="O472" s="37">
        <v>40</v>
      </c>
      <c r="P472" s="86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629"/>
      <c r="R472" s="629"/>
      <c r="S472" s="629"/>
      <c r="T472" s="630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35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635"/>
      <c r="N473" s="635"/>
      <c r="O473" s="636"/>
      <c r="P473" s="632" t="s">
        <v>40</v>
      </c>
      <c r="Q473" s="633"/>
      <c r="R473" s="633"/>
      <c r="S473" s="633"/>
      <c r="T473" s="633"/>
      <c r="U473" s="633"/>
      <c r="V473" s="634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635"/>
      <c r="B474" s="635"/>
      <c r="C474" s="635"/>
      <c r="D474" s="635"/>
      <c r="E474" s="635"/>
      <c r="F474" s="635"/>
      <c r="G474" s="635"/>
      <c r="H474" s="635"/>
      <c r="I474" s="635"/>
      <c r="J474" s="635"/>
      <c r="K474" s="635"/>
      <c r="L474" s="635"/>
      <c r="M474" s="635"/>
      <c r="N474" s="635"/>
      <c r="O474" s="636"/>
      <c r="P474" s="632" t="s">
        <v>40</v>
      </c>
      <c r="Q474" s="633"/>
      <c r="R474" s="633"/>
      <c r="S474" s="633"/>
      <c r="T474" s="633"/>
      <c r="U474" s="633"/>
      <c r="V474" s="634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customHeight="1" x14ac:dyDescent="0.25">
      <c r="A475" s="626" t="s">
        <v>88</v>
      </c>
      <c r="B475" s="626"/>
      <c r="C475" s="626"/>
      <c r="D475" s="626"/>
      <c r="E475" s="626"/>
      <c r="F475" s="626"/>
      <c r="G475" s="626"/>
      <c r="H475" s="626"/>
      <c r="I475" s="626"/>
      <c r="J475" s="626"/>
      <c r="K475" s="626"/>
      <c r="L475" s="626"/>
      <c r="M475" s="626"/>
      <c r="N475" s="626"/>
      <c r="O475" s="626"/>
      <c r="P475" s="626"/>
      <c r="Q475" s="626"/>
      <c r="R475" s="626"/>
      <c r="S475" s="626"/>
      <c r="T475" s="626"/>
      <c r="U475" s="626"/>
      <c r="V475" s="626"/>
      <c r="W475" s="626"/>
      <c r="X475" s="626"/>
      <c r="Y475" s="626"/>
      <c r="Z475" s="626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4301052046</v>
      </c>
      <c r="D476" s="627">
        <v>4640242180533</v>
      </c>
      <c r="E476" s="627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117</v>
      </c>
      <c r="L476" s="37" t="s">
        <v>45</v>
      </c>
      <c r="M476" s="38" t="s">
        <v>100</v>
      </c>
      <c r="N476" s="38"/>
      <c r="O476" s="37">
        <v>45</v>
      </c>
      <c r="P476" s="8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9"/>
      <c r="R476" s="629"/>
      <c r="S476" s="629"/>
      <c r="T476" s="630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35"/>
      <c r="B478" s="635"/>
      <c r="C478" s="635"/>
      <c r="D478" s="635"/>
      <c r="E478" s="635"/>
      <c r="F478" s="635"/>
      <c r="G478" s="635"/>
      <c r="H478" s="635"/>
      <c r="I478" s="635"/>
      <c r="J478" s="635"/>
      <c r="K478" s="635"/>
      <c r="L478" s="635"/>
      <c r="M478" s="635"/>
      <c r="N478" s="635"/>
      <c r="O478" s="636"/>
      <c r="P478" s="632" t="s">
        <v>40</v>
      </c>
      <c r="Q478" s="633"/>
      <c r="R478" s="633"/>
      <c r="S478" s="633"/>
      <c r="T478" s="633"/>
      <c r="U478" s="633"/>
      <c r="V478" s="634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6" t="s">
        <v>172</v>
      </c>
      <c r="B479" s="626"/>
      <c r="C479" s="626"/>
      <c r="D479" s="626"/>
      <c r="E479" s="626"/>
      <c r="F479" s="626"/>
      <c r="G479" s="626"/>
      <c r="H479" s="626"/>
      <c r="I479" s="626"/>
      <c r="J479" s="626"/>
      <c r="K479" s="626"/>
      <c r="L479" s="626"/>
      <c r="M479" s="626"/>
      <c r="N479" s="626"/>
      <c r="O479" s="626"/>
      <c r="P479" s="626"/>
      <c r="Q479" s="626"/>
      <c r="R479" s="626"/>
      <c r="S479" s="626"/>
      <c r="T479" s="626"/>
      <c r="U479" s="626"/>
      <c r="V479" s="626"/>
      <c r="W479" s="626"/>
      <c r="X479" s="626"/>
      <c r="Y479" s="626"/>
      <c r="Z479" s="626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4301060491</v>
      </c>
      <c r="D480" s="627">
        <v>4640242180120</v>
      </c>
      <c r="E480" s="627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117</v>
      </c>
      <c r="L480" s="37" t="s">
        <v>45</v>
      </c>
      <c r="M480" s="38" t="s">
        <v>92</v>
      </c>
      <c r="N480" s="38"/>
      <c r="O480" s="37">
        <v>40</v>
      </c>
      <c r="P480" s="8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9"/>
      <c r="R480" s="629"/>
      <c r="S480" s="629"/>
      <c r="T480" s="630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748</v>
      </c>
      <c r="B481" s="63" t="s">
        <v>749</v>
      </c>
      <c r="C481" s="36">
        <v>4301060493</v>
      </c>
      <c r="D481" s="627">
        <v>4640242180137</v>
      </c>
      <c r="E481" s="627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92</v>
      </c>
      <c r="N481" s="38"/>
      <c r="O481" s="37">
        <v>40</v>
      </c>
      <c r="P481" s="8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9"/>
      <c r="R481" s="629"/>
      <c r="S481" s="629"/>
      <c r="T481" s="630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52" t="s">
        <v>750</v>
      </c>
      <c r="AG481" s="78"/>
      <c r="AJ481" s="84" t="s">
        <v>45</v>
      </c>
      <c r="AK481" s="84">
        <v>0</v>
      </c>
      <c r="BB481" s="553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35"/>
      <c r="B482" s="635"/>
      <c r="C482" s="635"/>
      <c r="D482" s="635"/>
      <c r="E482" s="635"/>
      <c r="F482" s="635"/>
      <c r="G482" s="635"/>
      <c r="H482" s="635"/>
      <c r="I482" s="635"/>
      <c r="J482" s="635"/>
      <c r="K482" s="635"/>
      <c r="L482" s="635"/>
      <c r="M482" s="635"/>
      <c r="N482" s="635"/>
      <c r="O482" s="636"/>
      <c r="P482" s="632" t="s">
        <v>40</v>
      </c>
      <c r="Q482" s="633"/>
      <c r="R482" s="633"/>
      <c r="S482" s="633"/>
      <c r="T482" s="633"/>
      <c r="U482" s="633"/>
      <c r="V482" s="634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35"/>
      <c r="B483" s="635"/>
      <c r="C483" s="635"/>
      <c r="D483" s="635"/>
      <c r="E483" s="635"/>
      <c r="F483" s="635"/>
      <c r="G483" s="635"/>
      <c r="H483" s="635"/>
      <c r="I483" s="635"/>
      <c r="J483" s="635"/>
      <c r="K483" s="635"/>
      <c r="L483" s="635"/>
      <c r="M483" s="635"/>
      <c r="N483" s="635"/>
      <c r="O483" s="636"/>
      <c r="P483" s="632" t="s">
        <v>40</v>
      </c>
      <c r="Q483" s="633"/>
      <c r="R483" s="633"/>
      <c r="S483" s="633"/>
      <c r="T483" s="633"/>
      <c r="U483" s="633"/>
      <c r="V483" s="634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25" t="s">
        <v>751</v>
      </c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5"/>
      <c r="V484" s="625"/>
      <c r="W484" s="625"/>
      <c r="X484" s="625"/>
      <c r="Y484" s="625"/>
      <c r="Z484" s="625"/>
      <c r="AA484" s="65"/>
      <c r="AB484" s="65"/>
      <c r="AC484" s="79"/>
    </row>
    <row r="485" spans="1:68" ht="14.25" customHeight="1" x14ac:dyDescent="0.25">
      <c r="A485" s="626" t="s">
        <v>147</v>
      </c>
      <c r="B485" s="626"/>
      <c r="C485" s="626"/>
      <c r="D485" s="626"/>
      <c r="E485" s="626"/>
      <c r="F485" s="626"/>
      <c r="G485" s="626"/>
      <c r="H485" s="626"/>
      <c r="I485" s="626"/>
      <c r="J485" s="626"/>
      <c r="K485" s="626"/>
      <c r="L485" s="626"/>
      <c r="M485" s="626"/>
      <c r="N485" s="626"/>
      <c r="O485" s="626"/>
      <c r="P485" s="626"/>
      <c r="Q485" s="626"/>
      <c r="R485" s="626"/>
      <c r="S485" s="626"/>
      <c r="T485" s="626"/>
      <c r="U485" s="626"/>
      <c r="V485" s="626"/>
      <c r="W485" s="626"/>
      <c r="X485" s="626"/>
      <c r="Y485" s="626"/>
      <c r="Z485" s="626"/>
      <c r="AA485" s="66"/>
      <c r="AB485" s="66"/>
      <c r="AC485" s="80"/>
    </row>
    <row r="486" spans="1:68" ht="27" customHeight="1" x14ac:dyDescent="0.25">
      <c r="A486" s="63" t="s">
        <v>752</v>
      </c>
      <c r="B486" s="63" t="s">
        <v>753</v>
      </c>
      <c r="C486" s="36">
        <v>4301020314</v>
      </c>
      <c r="D486" s="627">
        <v>4640242180090</v>
      </c>
      <c r="E486" s="627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117</v>
      </c>
      <c r="L486" s="37" t="s">
        <v>45</v>
      </c>
      <c r="M486" s="38" t="s">
        <v>116</v>
      </c>
      <c r="N486" s="38"/>
      <c r="O486" s="37">
        <v>50</v>
      </c>
      <c r="P486" s="8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9"/>
      <c r="R486" s="629"/>
      <c r="S486" s="629"/>
      <c r="T486" s="630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4" t="s">
        <v>754</v>
      </c>
      <c r="AG486" s="78"/>
      <c r="AJ486" s="84" t="s">
        <v>45</v>
      </c>
      <c r="AK486" s="84">
        <v>0</v>
      </c>
      <c r="BB486" s="555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35"/>
      <c r="B487" s="635"/>
      <c r="C487" s="635"/>
      <c r="D487" s="635"/>
      <c r="E487" s="635"/>
      <c r="F487" s="635"/>
      <c r="G487" s="635"/>
      <c r="H487" s="635"/>
      <c r="I487" s="635"/>
      <c r="J487" s="635"/>
      <c r="K487" s="635"/>
      <c r="L487" s="635"/>
      <c r="M487" s="635"/>
      <c r="N487" s="635"/>
      <c r="O487" s="636"/>
      <c r="P487" s="632" t="s">
        <v>40</v>
      </c>
      <c r="Q487" s="633"/>
      <c r="R487" s="633"/>
      <c r="S487" s="633"/>
      <c r="T487" s="633"/>
      <c r="U487" s="633"/>
      <c r="V487" s="634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35"/>
      <c r="B488" s="635"/>
      <c r="C488" s="635"/>
      <c r="D488" s="635"/>
      <c r="E488" s="635"/>
      <c r="F488" s="635"/>
      <c r="G488" s="635"/>
      <c r="H488" s="635"/>
      <c r="I488" s="635"/>
      <c r="J488" s="635"/>
      <c r="K488" s="635"/>
      <c r="L488" s="635"/>
      <c r="M488" s="635"/>
      <c r="N488" s="635"/>
      <c r="O488" s="636"/>
      <c r="P488" s="632" t="s">
        <v>40</v>
      </c>
      <c r="Q488" s="633"/>
      <c r="R488" s="633"/>
      <c r="S488" s="633"/>
      <c r="T488" s="633"/>
      <c r="U488" s="633"/>
      <c r="V488" s="634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35"/>
      <c r="B489" s="635"/>
      <c r="C489" s="635"/>
      <c r="D489" s="635"/>
      <c r="E489" s="635"/>
      <c r="F489" s="635"/>
      <c r="G489" s="635"/>
      <c r="H489" s="635"/>
      <c r="I489" s="635"/>
      <c r="J489" s="635"/>
      <c r="K489" s="635"/>
      <c r="L489" s="635"/>
      <c r="M489" s="635"/>
      <c r="N489" s="635"/>
      <c r="O489" s="873"/>
      <c r="P489" s="870" t="s">
        <v>33</v>
      </c>
      <c r="Q489" s="871"/>
      <c r="R489" s="871"/>
      <c r="S489" s="871"/>
      <c r="T489" s="871"/>
      <c r="U489" s="871"/>
      <c r="V489" s="872"/>
      <c r="W489" s="42" t="s">
        <v>0</v>
      </c>
      <c r="X489" s="43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0</v>
      </c>
      <c r="Y489" s="43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0</v>
      </c>
      <c r="Z489" s="42"/>
      <c r="AA489" s="67"/>
      <c r="AB489" s="67"/>
      <c r="AC489" s="67"/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873"/>
      <c r="P490" s="870" t="s">
        <v>34</v>
      </c>
      <c r="Q490" s="871"/>
      <c r="R490" s="871"/>
      <c r="S490" s="871"/>
      <c r="T490" s="871"/>
      <c r="U490" s="871"/>
      <c r="V490" s="872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873"/>
      <c r="P491" s="870" t="s">
        <v>35</v>
      </c>
      <c r="Q491" s="871"/>
      <c r="R491" s="871"/>
      <c r="S491" s="871"/>
      <c r="T491" s="871"/>
      <c r="U491" s="871"/>
      <c r="V491" s="872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3"/>
      <c r="P492" s="870" t="s">
        <v>36</v>
      </c>
      <c r="Q492" s="871"/>
      <c r="R492" s="871"/>
      <c r="S492" s="871"/>
      <c r="T492" s="871"/>
      <c r="U492" s="871"/>
      <c r="V492" s="872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3"/>
      <c r="P493" s="870" t="s">
        <v>37</v>
      </c>
      <c r="Q493" s="871"/>
      <c r="R493" s="871"/>
      <c r="S493" s="871"/>
      <c r="T493" s="871"/>
      <c r="U493" s="871"/>
      <c r="V493" s="872"/>
      <c r="W493" s="42" t="s">
        <v>20</v>
      </c>
      <c r="X493" s="43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0</v>
      </c>
      <c r="Y493" s="43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0</v>
      </c>
      <c r="Z493" s="42"/>
      <c r="AA493" s="67"/>
      <c r="AB493" s="67"/>
      <c r="AC493" s="67"/>
    </row>
    <row r="494" spans="1:68" ht="14.25" x14ac:dyDescent="0.2">
      <c r="A494" s="635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635"/>
      <c r="N494" s="635"/>
      <c r="O494" s="873"/>
      <c r="P494" s="870" t="s">
        <v>38</v>
      </c>
      <c r="Q494" s="871"/>
      <c r="R494" s="871"/>
      <c r="S494" s="871"/>
      <c r="T494" s="871"/>
      <c r="U494" s="871"/>
      <c r="V494" s="872"/>
      <c r="W494" s="45" t="s">
        <v>51</v>
      </c>
      <c r="X494" s="42"/>
      <c r="Y494" s="42"/>
      <c r="Z494" s="42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76" t="s">
        <v>110</v>
      </c>
      <c r="D496" s="876" t="s">
        <v>110</v>
      </c>
      <c r="E496" s="876" t="s">
        <v>110</v>
      </c>
      <c r="F496" s="876" t="s">
        <v>110</v>
      </c>
      <c r="G496" s="876" t="s">
        <v>110</v>
      </c>
      <c r="H496" s="876" t="s">
        <v>110</v>
      </c>
      <c r="I496" s="876" t="s">
        <v>274</v>
      </c>
      <c r="J496" s="876" t="s">
        <v>274</v>
      </c>
      <c r="K496" s="876" t="s">
        <v>274</v>
      </c>
      <c r="L496" s="876" t="s">
        <v>274</v>
      </c>
      <c r="M496" s="876" t="s">
        <v>274</v>
      </c>
      <c r="N496" s="877"/>
      <c r="O496" s="876" t="s">
        <v>274</v>
      </c>
      <c r="P496" s="876" t="s">
        <v>274</v>
      </c>
      <c r="Q496" s="876" t="s">
        <v>274</v>
      </c>
      <c r="R496" s="876" t="s">
        <v>274</v>
      </c>
      <c r="S496" s="876" t="s">
        <v>564</v>
      </c>
      <c r="T496" s="876" t="s">
        <v>564</v>
      </c>
      <c r="U496" s="876" t="s">
        <v>618</v>
      </c>
      <c r="V496" s="876" t="s">
        <v>618</v>
      </c>
      <c r="W496" s="876" t="s">
        <v>618</v>
      </c>
      <c r="X496" s="85" t="s">
        <v>669</v>
      </c>
      <c r="Y496" s="876" t="s">
        <v>721</v>
      </c>
      <c r="Z496" s="876" t="s">
        <v>721</v>
      </c>
      <c r="AB496" s="60"/>
      <c r="AC496" s="60"/>
      <c r="AF496" s="1"/>
    </row>
    <row r="497" spans="1:32" ht="14.25" customHeight="1" thickTop="1" x14ac:dyDescent="0.2">
      <c r="A497" s="874" t="s">
        <v>10</v>
      </c>
      <c r="B497" s="876" t="s">
        <v>77</v>
      </c>
      <c r="C497" s="876" t="s">
        <v>111</v>
      </c>
      <c r="D497" s="876" t="s">
        <v>128</v>
      </c>
      <c r="E497" s="876" t="s">
        <v>179</v>
      </c>
      <c r="F497" s="876" t="s">
        <v>201</v>
      </c>
      <c r="G497" s="876" t="s">
        <v>238</v>
      </c>
      <c r="H497" s="876" t="s">
        <v>110</v>
      </c>
      <c r="I497" s="876" t="s">
        <v>275</v>
      </c>
      <c r="J497" s="876" t="s">
        <v>330</v>
      </c>
      <c r="K497" s="876" t="s">
        <v>390</v>
      </c>
      <c r="L497" s="876" t="s">
        <v>431</v>
      </c>
      <c r="M497" s="876" t="s">
        <v>447</v>
      </c>
      <c r="N497" s="1"/>
      <c r="O497" s="876" t="s">
        <v>458</v>
      </c>
      <c r="P497" s="876" t="s">
        <v>467</v>
      </c>
      <c r="Q497" s="876" t="s">
        <v>480</v>
      </c>
      <c r="R497" s="876" t="s">
        <v>554</v>
      </c>
      <c r="S497" s="876" t="s">
        <v>565</v>
      </c>
      <c r="T497" s="876" t="s">
        <v>600</v>
      </c>
      <c r="U497" s="876" t="s">
        <v>619</v>
      </c>
      <c r="V497" s="876" t="s">
        <v>650</v>
      </c>
      <c r="W497" s="876" t="s">
        <v>665</v>
      </c>
      <c r="X497" s="876" t="s">
        <v>669</v>
      </c>
      <c r="Y497" s="876" t="s">
        <v>721</v>
      </c>
      <c r="Z497" s="876" t="s">
        <v>751</v>
      </c>
      <c r="AB497" s="60"/>
      <c r="AC497" s="60"/>
      <c r="AF497" s="1"/>
    </row>
    <row r="498" spans="1:32" ht="13.5" thickBot="1" x14ac:dyDescent="0.25">
      <c r="A498" s="875"/>
      <c r="B498" s="876"/>
      <c r="C498" s="876"/>
      <c r="D498" s="876"/>
      <c r="E498" s="876"/>
      <c r="F498" s="876"/>
      <c r="G498" s="876"/>
      <c r="H498" s="876"/>
      <c r="I498" s="876"/>
      <c r="J498" s="876"/>
      <c r="K498" s="876"/>
      <c r="L498" s="876"/>
      <c r="M498" s="876"/>
      <c r="N498" s="1"/>
      <c r="O498" s="876"/>
      <c r="P498" s="876"/>
      <c r="Q498" s="876"/>
      <c r="R498" s="876"/>
      <c r="S498" s="876"/>
      <c r="T498" s="876"/>
      <c r="U498" s="876"/>
      <c r="V498" s="876"/>
      <c r="W498" s="876"/>
      <c r="X498" s="876"/>
      <c r="Y498" s="876"/>
      <c r="Z498" s="876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IFERROR(Y22*1,"0")+IFERROR(Y23*1,"0")+IFERROR(Y27*1,"0")+IFERROR(Y28*1,"0")+IFERROR(Y29*1,"0")+IFERROR(Y30*1,"0")+IFERROR(Y34*1,"0")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9" s="52">
        <f>IFERROR(Y84*1,"0")+IFERROR(Y85*1,"0")+IFERROR(Y86*1,"0")+IFERROR(Y87*1,"0")+IFERROR(Y91*1,"0")+IFERROR(Y92*1,"0")+IFERROR(Y93*1,"0")+IFERROR(Y94*1,"0")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9" s="52">
        <f>IFERROR(Y126*1,"0")+IFERROR(Y127*1,"0")+IFERROR(Y131*1,"0")+IFERROR(Y132*1,"0")+IFERROR(Y136*1,"0")+IFERROR(Y137*1,"0")</f>
        <v>0</v>
      </c>
      <c r="H499" s="52">
        <f>IFERROR(Y142*1,"0")+IFERROR(Y143*1,"0")+IFERROR(Y147*1,"0")+IFERROR(Y148*1,"0")+IFERROR(Y149*1,"0")+IFERROR(Y150*1,"0")+IFERROR(Y151*1,"0")+IFERROR(Y155*1,"0")</f>
        <v>0</v>
      </c>
      <c r="I499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9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52">
        <f>IFERROR(Y261*1,"0")+IFERROR(Y262*1,"0")+IFERROR(Y263*1,"0")+IFERROR(Y264*1,"0")+IFERROR(Y265*1,"0")</f>
        <v>0</v>
      </c>
      <c r="M499" s="52">
        <f>IFERROR(Y270*1,"0")+IFERROR(Y271*1,"0")+IFERROR(Y272*1,"0")+IFERROR(Y273*1,"0")</f>
        <v>0</v>
      </c>
      <c r="N499" s="1"/>
      <c r="O499" s="52">
        <f>IFERROR(Y278*1,"0")+IFERROR(Y279*1,"0")+IFERROR(Y280*1,"0")</f>
        <v>0</v>
      </c>
      <c r="P499" s="52">
        <f>IFERROR(Y285*1,"0")+IFERROR(Y286*1,"0")+IFERROR(Y290*1,"0")+IFERROR(Y291*1,"0")</f>
        <v>0</v>
      </c>
      <c r="Q499" s="52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499" s="52">
        <f>IFERROR(Y341*1,"0")+IFERROR(Y342*1,"0")+IFERROR(Y343*1,"0")</f>
        <v>0</v>
      </c>
      <c r="S499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499" s="52">
        <f>IFERROR(Y374*1,"0")+IFERROR(Y375*1,"0")+IFERROR(Y379*1,"0")+IFERROR(Y380*1,"0")+IFERROR(Y384*1,"0")+IFERROR(Y385*1,"0")+IFERROR(Y386*1,"0")</f>
        <v>0</v>
      </c>
      <c r="U499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52">
        <f>IFERROR(Y410*1,"0")+IFERROR(Y414*1,"0")+IFERROR(Y415*1,"0")+IFERROR(Y416*1,"0")+IFERROR(Y417*1,"0")</f>
        <v>0</v>
      </c>
      <c r="W499" s="52">
        <f>IFERROR(Y422*1,"0")</f>
        <v>0</v>
      </c>
      <c r="X499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0</v>
      </c>
      <c r="Y499" s="52">
        <f>IFERROR(Y460*1,"0")+IFERROR(Y461*1,"0")+IFERROR(Y462*1,"0")+IFERROR(Y463*1,"0")+IFERROR(Y467*1,"0")+IFERROR(Y468*1,"0")+IFERROR(Y472*1,"0")+IFERROR(Y476*1,"0")+IFERROR(Y480*1,"0")+IFERROR(Y481*1,"0")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sWJLvuocHP3CFqZKjcj9w5gaXIShKU5M6pBhMC0Hur8wYFfpm+uX3yyMEFgHVH1S+Y8fmoxPEaxIFx5OIsH7Zg==" saltValue="IJQ2mugdV3Rekjpz9dAnU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4:Z484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50:X451 X434 X432 X428 X396 X359 X352 X349:X350 X342:X343 X329 X321:X322 X309:X310 X279 X240 X226:X227 X221:X222 X219 X216:X217 X208:X210 X203:X206 X176 X171 X167 X165 X121 X117 X102 X99 X87 X84 X62 X56 X40:X41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9"/>
    </row>
    <row r="3" spans="2:8" x14ac:dyDescent="0.2">
      <c r="B3" s="53" t="s">
        <v>756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757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758</v>
      </c>
      <c r="D6" s="53" t="s">
        <v>759</v>
      </c>
      <c r="E6" s="53" t="s">
        <v>45</v>
      </c>
    </row>
    <row r="8" spans="2:8" x14ac:dyDescent="0.2">
      <c r="B8" s="53" t="s">
        <v>76</v>
      </c>
      <c r="C8" s="53" t="s">
        <v>758</v>
      </c>
      <c r="D8" s="53" t="s">
        <v>45</v>
      </c>
      <c r="E8" s="53" t="s">
        <v>45</v>
      </c>
    </row>
    <row r="10" spans="2:8" x14ac:dyDescent="0.2">
      <c r="B10" s="53" t="s">
        <v>760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761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762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763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764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765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766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767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768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769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770</v>
      </c>
      <c r="C20" s="53" t="s">
        <v>45</v>
      </c>
      <c r="D20" s="53" t="s">
        <v>45</v>
      </c>
      <c r="E20" s="53" t="s">
        <v>45</v>
      </c>
    </row>
  </sheetData>
  <sheetProtection algorithmName="SHA-512" hashValue="i9EkOURKIXmMPTJhgIuXmUEb0H/KCL7Nfrch3ZcLMNWVWifibSBBYMkwAUeDAOchl/OxsI6LNGldYt0mUDvfMg==" saltValue="t1cgYgMAEj2yy/9oMrhe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982</vt:i4>
      </vt:variant>
    </vt:vector>
  </HeadingPairs>
  <TitlesOfParts>
    <vt:vector size="9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2026-01-22T06:36:03Z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