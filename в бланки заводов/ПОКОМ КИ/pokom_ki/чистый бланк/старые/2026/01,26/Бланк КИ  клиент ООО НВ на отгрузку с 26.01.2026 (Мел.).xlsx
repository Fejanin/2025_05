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4C7D4E3-A1F0-4FD1-9CFE-3D4DEDF99E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Y482" i="2"/>
  <c r="X482" i="2"/>
  <c r="Y481" i="2"/>
  <c r="X481" i="2"/>
  <c r="BP480" i="2"/>
  <c r="BO480" i="2"/>
  <c r="BM480" i="2"/>
  <c r="Y480" i="2"/>
  <c r="BN480" i="2" s="1"/>
  <c r="P480" i="2"/>
  <c r="BO479" i="2"/>
  <c r="BM479" i="2"/>
  <c r="Y479" i="2"/>
  <c r="P479" i="2"/>
  <c r="X477" i="2"/>
  <c r="Y476" i="2"/>
  <c r="X476" i="2"/>
  <c r="BP475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P467" i="2"/>
  <c r="BP466" i="2"/>
  <c r="BO466" i="2"/>
  <c r="BN466" i="2"/>
  <c r="BM466" i="2"/>
  <c r="Z466" i="2"/>
  <c r="Y466" i="2"/>
  <c r="P466" i="2"/>
  <c r="X464" i="2"/>
  <c r="X463" i="2"/>
  <c r="BO462" i="2"/>
  <c r="BM462" i="2"/>
  <c r="Y462" i="2"/>
  <c r="P462" i="2"/>
  <c r="BO461" i="2"/>
  <c r="BM461" i="2"/>
  <c r="Y461" i="2"/>
  <c r="P461" i="2"/>
  <c r="BP460" i="2"/>
  <c r="BO460" i="2"/>
  <c r="BM460" i="2"/>
  <c r="Y460" i="2"/>
  <c r="BN460" i="2" s="1"/>
  <c r="P460" i="2"/>
  <c r="BO459" i="2"/>
  <c r="BM459" i="2"/>
  <c r="Y459" i="2"/>
  <c r="P459" i="2"/>
  <c r="X455" i="2"/>
  <c r="X454" i="2"/>
  <c r="BP453" i="2"/>
  <c r="BO453" i="2"/>
  <c r="BN453" i="2"/>
  <c r="BM453" i="2"/>
  <c r="Z453" i="2"/>
  <c r="Y453" i="2"/>
  <c r="P453" i="2"/>
  <c r="BO452" i="2"/>
  <c r="BM452" i="2"/>
  <c r="Y452" i="2"/>
  <c r="BP452" i="2" s="1"/>
  <c r="P452" i="2"/>
  <c r="BO451" i="2"/>
  <c r="BM451" i="2"/>
  <c r="Z451" i="2"/>
  <c r="Y451" i="2"/>
  <c r="BN451" i="2" s="1"/>
  <c r="P451" i="2"/>
  <c r="BO450" i="2"/>
  <c r="BM450" i="2"/>
  <c r="Y450" i="2"/>
  <c r="P450" i="2"/>
  <c r="BO449" i="2"/>
  <c r="BM449" i="2"/>
  <c r="Y449" i="2"/>
  <c r="P449" i="2"/>
  <c r="BP448" i="2"/>
  <c r="BO448" i="2"/>
  <c r="BM448" i="2"/>
  <c r="Y448" i="2"/>
  <c r="P448" i="2"/>
  <c r="X446" i="2"/>
  <c r="X445" i="2"/>
  <c r="BO444" i="2"/>
  <c r="BM444" i="2"/>
  <c r="Y444" i="2"/>
  <c r="P444" i="2"/>
  <c r="BP443" i="2"/>
  <c r="BO443" i="2"/>
  <c r="BN443" i="2"/>
  <c r="BM443" i="2"/>
  <c r="Z443" i="2"/>
  <c r="Y443" i="2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P433" i="2"/>
  <c r="BO433" i="2"/>
  <c r="BN433" i="2"/>
  <c r="BM433" i="2"/>
  <c r="Z433" i="2"/>
  <c r="Y433" i="2"/>
  <c r="P433" i="2"/>
  <c r="BO432" i="2"/>
  <c r="BM432" i="2"/>
  <c r="Y432" i="2"/>
  <c r="BP432" i="2" s="1"/>
  <c r="P432" i="2"/>
  <c r="BO431" i="2"/>
  <c r="BM431" i="2"/>
  <c r="Z431" i="2"/>
  <c r="Y431" i="2"/>
  <c r="BN431" i="2" s="1"/>
  <c r="P431" i="2"/>
  <c r="BO430" i="2"/>
  <c r="BM430" i="2"/>
  <c r="Y430" i="2"/>
  <c r="P430" i="2"/>
  <c r="BO429" i="2"/>
  <c r="BM429" i="2"/>
  <c r="Y429" i="2"/>
  <c r="P429" i="2"/>
  <c r="BP428" i="2"/>
  <c r="BO428" i="2"/>
  <c r="BM428" i="2"/>
  <c r="Y428" i="2"/>
  <c r="BN428" i="2" s="1"/>
  <c r="P428" i="2"/>
  <c r="BO427" i="2"/>
  <c r="BM427" i="2"/>
  <c r="Y427" i="2"/>
  <c r="P427" i="2"/>
  <c r="X423" i="2"/>
  <c r="X422" i="2"/>
  <c r="BP421" i="2"/>
  <c r="BO421" i="2"/>
  <c r="BN421" i="2"/>
  <c r="BM421" i="2"/>
  <c r="Z421" i="2"/>
  <c r="Z422" i="2" s="1"/>
  <c r="Y421" i="2"/>
  <c r="Y422" i="2" s="1"/>
  <c r="P421" i="2"/>
  <c r="X418" i="2"/>
  <c r="X417" i="2"/>
  <c r="BP416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P414" i="2"/>
  <c r="BO413" i="2"/>
  <c r="BM413" i="2"/>
  <c r="Y413" i="2"/>
  <c r="BP413" i="2" s="1"/>
  <c r="P413" i="2"/>
  <c r="Y411" i="2"/>
  <c r="X411" i="2"/>
  <c r="Y410" i="2"/>
  <c r="X410" i="2"/>
  <c r="BP409" i="2"/>
  <c r="BO409" i="2"/>
  <c r="BN409" i="2"/>
  <c r="BM409" i="2"/>
  <c r="Z409" i="2"/>
  <c r="Z410" i="2" s="1"/>
  <c r="Y409" i="2"/>
  <c r="P409" i="2"/>
  <c r="X406" i="2"/>
  <c r="X405" i="2"/>
  <c r="BO404" i="2"/>
  <c r="BM404" i="2"/>
  <c r="Y404" i="2"/>
  <c r="P404" i="2"/>
  <c r="BO403" i="2"/>
  <c r="BM403" i="2"/>
  <c r="Y403" i="2"/>
  <c r="P403" i="2"/>
  <c r="X401" i="2"/>
  <c r="X400" i="2"/>
  <c r="BO399" i="2"/>
  <c r="BM399" i="2"/>
  <c r="Y399" i="2"/>
  <c r="P399" i="2"/>
  <c r="BP398" i="2"/>
  <c r="BO398" i="2"/>
  <c r="BN398" i="2"/>
  <c r="BM398" i="2"/>
  <c r="Z398" i="2"/>
  <c r="Y398" i="2"/>
  <c r="P398" i="2"/>
  <c r="BO397" i="2"/>
  <c r="BM397" i="2"/>
  <c r="Y397" i="2"/>
  <c r="P397" i="2"/>
  <c r="BO396" i="2"/>
  <c r="BM396" i="2"/>
  <c r="Y396" i="2"/>
  <c r="BP396" i="2" s="1"/>
  <c r="P396" i="2"/>
  <c r="BP395" i="2"/>
  <c r="BO395" i="2"/>
  <c r="BM395" i="2"/>
  <c r="Y395" i="2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Y392" i="2"/>
  <c r="BP392" i="2" s="1"/>
  <c r="P392" i="2"/>
  <c r="BO391" i="2"/>
  <c r="BM391" i="2"/>
  <c r="Y391" i="2"/>
  <c r="Z391" i="2" s="1"/>
  <c r="P391" i="2"/>
  <c r="X387" i="2"/>
  <c r="X386" i="2"/>
  <c r="BP385" i="2"/>
  <c r="BO385" i="2"/>
  <c r="BN385" i="2"/>
  <c r="BM385" i="2"/>
  <c r="Z385" i="2"/>
  <c r="Y385" i="2"/>
  <c r="P385" i="2"/>
  <c r="BO384" i="2"/>
  <c r="BM384" i="2"/>
  <c r="Y384" i="2"/>
  <c r="BP384" i="2" s="1"/>
  <c r="P384" i="2"/>
  <c r="BO383" i="2"/>
  <c r="BM383" i="2"/>
  <c r="Z383" i="2"/>
  <c r="Y383" i="2"/>
  <c r="BP383" i="2" s="1"/>
  <c r="P383" i="2"/>
  <c r="X381" i="2"/>
  <c r="X380" i="2"/>
  <c r="BO379" i="2"/>
  <c r="BM379" i="2"/>
  <c r="Y379" i="2"/>
  <c r="P379" i="2"/>
  <c r="BO378" i="2"/>
  <c r="BM378" i="2"/>
  <c r="Y378" i="2"/>
  <c r="BP378" i="2" s="1"/>
  <c r="P378" i="2"/>
  <c r="Y376" i="2"/>
  <c r="X376" i="2"/>
  <c r="Y375" i="2"/>
  <c r="X375" i="2"/>
  <c r="BP374" i="2"/>
  <c r="BO374" i="2"/>
  <c r="BN374" i="2"/>
  <c r="BM374" i="2"/>
  <c r="Z374" i="2"/>
  <c r="Y374" i="2"/>
  <c r="P374" i="2"/>
  <c r="BO373" i="2"/>
  <c r="BN373" i="2"/>
  <c r="BM373" i="2"/>
  <c r="Z373" i="2"/>
  <c r="Y373" i="2"/>
  <c r="BP373" i="2" s="1"/>
  <c r="P373" i="2"/>
  <c r="X370" i="2"/>
  <c r="X369" i="2"/>
  <c r="BO368" i="2"/>
  <c r="BM368" i="2"/>
  <c r="Y368" i="2"/>
  <c r="P368" i="2"/>
  <c r="X366" i="2"/>
  <c r="X365" i="2"/>
  <c r="BO364" i="2"/>
  <c r="BM364" i="2"/>
  <c r="Z364" i="2"/>
  <c r="Y364" i="2"/>
  <c r="P364" i="2"/>
  <c r="BO363" i="2"/>
  <c r="BM363" i="2"/>
  <c r="Y363" i="2"/>
  <c r="P363" i="2"/>
  <c r="X361" i="2"/>
  <c r="X360" i="2"/>
  <c r="BO359" i="2"/>
  <c r="BM359" i="2"/>
  <c r="Y359" i="2"/>
  <c r="P359" i="2"/>
  <c r="BP358" i="2"/>
  <c r="BO358" i="2"/>
  <c r="BM358" i="2"/>
  <c r="Y358" i="2"/>
  <c r="Z358" i="2" s="1"/>
  <c r="P358" i="2"/>
  <c r="X356" i="2"/>
  <c r="X355" i="2"/>
  <c r="BO354" i="2"/>
  <c r="BN354" i="2"/>
  <c r="BM354" i="2"/>
  <c r="Z354" i="2"/>
  <c r="Y354" i="2"/>
  <c r="BP354" i="2" s="1"/>
  <c r="P354" i="2"/>
  <c r="BO353" i="2"/>
  <c r="BM353" i="2"/>
  <c r="Y353" i="2"/>
  <c r="P353" i="2"/>
  <c r="BO352" i="2"/>
  <c r="BM352" i="2"/>
  <c r="Y352" i="2"/>
  <c r="P352" i="2"/>
  <c r="BP351" i="2"/>
  <c r="BO351" i="2"/>
  <c r="BN351" i="2"/>
  <c r="BM351" i="2"/>
  <c r="Z351" i="2"/>
  <c r="Y351" i="2"/>
  <c r="P351" i="2"/>
  <c r="BO350" i="2"/>
  <c r="BN350" i="2"/>
  <c r="BM350" i="2"/>
  <c r="Z350" i="2"/>
  <c r="Y350" i="2"/>
  <c r="BP350" i="2" s="1"/>
  <c r="P350" i="2"/>
  <c r="BO349" i="2"/>
  <c r="BN349" i="2"/>
  <c r="BM349" i="2"/>
  <c r="Z349" i="2"/>
  <c r="Y349" i="2"/>
  <c r="P349" i="2"/>
  <c r="BO348" i="2"/>
  <c r="BM348" i="2"/>
  <c r="Y348" i="2"/>
  <c r="P348" i="2"/>
  <c r="X344" i="2"/>
  <c r="X343" i="2"/>
  <c r="BO342" i="2"/>
  <c r="BM342" i="2"/>
  <c r="Y342" i="2"/>
  <c r="BP342" i="2" s="1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Z335" i="2"/>
  <c r="Y335" i="2"/>
  <c r="BN335" i="2" s="1"/>
  <c r="P335" i="2"/>
  <c r="BO334" i="2"/>
  <c r="BM334" i="2"/>
  <c r="Y334" i="2"/>
  <c r="P334" i="2"/>
  <c r="BO333" i="2"/>
  <c r="BM333" i="2"/>
  <c r="Y333" i="2"/>
  <c r="P333" i="2"/>
  <c r="X331" i="2"/>
  <c r="X330" i="2"/>
  <c r="BO329" i="2"/>
  <c r="BM329" i="2"/>
  <c r="Z329" i="2"/>
  <c r="Y329" i="2"/>
  <c r="P329" i="2"/>
  <c r="BO328" i="2"/>
  <c r="BM328" i="2"/>
  <c r="Y328" i="2"/>
  <c r="P328" i="2"/>
  <c r="BP327" i="2"/>
  <c r="BO327" i="2"/>
  <c r="BN327" i="2"/>
  <c r="BM327" i="2"/>
  <c r="Z327" i="2"/>
  <c r="Y327" i="2"/>
  <c r="P327" i="2"/>
  <c r="BO326" i="2"/>
  <c r="BM326" i="2"/>
  <c r="Y326" i="2"/>
  <c r="P326" i="2"/>
  <c r="X324" i="2"/>
  <c r="X323" i="2"/>
  <c r="BO322" i="2"/>
  <c r="BM322" i="2"/>
  <c r="Y322" i="2"/>
  <c r="BP322" i="2" s="1"/>
  <c r="P322" i="2"/>
  <c r="BO321" i="2"/>
  <c r="BM321" i="2"/>
  <c r="Y321" i="2"/>
  <c r="Y323" i="2" s="1"/>
  <c r="P321" i="2"/>
  <c r="BO320" i="2"/>
  <c r="BM320" i="2"/>
  <c r="Y320" i="2"/>
  <c r="BP320" i="2" s="1"/>
  <c r="P320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P314" i="2"/>
  <c r="BP313" i="2"/>
  <c r="BO313" i="2"/>
  <c r="BM313" i="2"/>
  <c r="Y313" i="2"/>
  <c r="Z313" i="2" s="1"/>
  <c r="P313" i="2"/>
  <c r="X311" i="2"/>
  <c r="X310" i="2"/>
  <c r="BO309" i="2"/>
  <c r="BN309" i="2"/>
  <c r="BM309" i="2"/>
  <c r="Z309" i="2"/>
  <c r="Y309" i="2"/>
  <c r="BP309" i="2" s="1"/>
  <c r="P309" i="2"/>
  <c r="BO308" i="2"/>
  <c r="BM308" i="2"/>
  <c r="Y308" i="2"/>
  <c r="P308" i="2"/>
  <c r="BO307" i="2"/>
  <c r="BM307" i="2"/>
  <c r="Y307" i="2"/>
  <c r="P307" i="2"/>
  <c r="BP306" i="2"/>
  <c r="BO306" i="2"/>
  <c r="BN306" i="2"/>
  <c r="BM306" i="2"/>
  <c r="Z306" i="2"/>
  <c r="Y306" i="2"/>
  <c r="P306" i="2"/>
  <c r="BO305" i="2"/>
  <c r="BN305" i="2"/>
  <c r="BM305" i="2"/>
  <c r="Z305" i="2"/>
  <c r="Y305" i="2"/>
  <c r="BP305" i="2" s="1"/>
  <c r="P305" i="2"/>
  <c r="BO304" i="2"/>
  <c r="BM304" i="2"/>
  <c r="Y304" i="2"/>
  <c r="P304" i="2"/>
  <c r="X302" i="2"/>
  <c r="X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P297" i="2"/>
  <c r="BP296" i="2"/>
  <c r="BO296" i="2"/>
  <c r="BN296" i="2"/>
  <c r="BM296" i="2"/>
  <c r="Z296" i="2"/>
  <c r="Y296" i="2"/>
  <c r="P296" i="2"/>
  <c r="X293" i="2"/>
  <c r="X292" i="2"/>
  <c r="BO291" i="2"/>
  <c r="BM291" i="2"/>
  <c r="Y291" i="2"/>
  <c r="P291" i="2"/>
  <c r="BO290" i="2"/>
  <c r="BM290" i="2"/>
  <c r="Y290" i="2"/>
  <c r="P290" i="2"/>
  <c r="X288" i="2"/>
  <c r="X287" i="2"/>
  <c r="BO286" i="2"/>
  <c r="BM286" i="2"/>
  <c r="Z286" i="2"/>
  <c r="Y286" i="2"/>
  <c r="P286" i="2"/>
  <c r="BO285" i="2"/>
  <c r="BM285" i="2"/>
  <c r="Y285" i="2"/>
  <c r="P285" i="2"/>
  <c r="X282" i="2"/>
  <c r="X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BP278" i="2" s="1"/>
  <c r="P278" i="2"/>
  <c r="Y275" i="2"/>
  <c r="X275" i="2"/>
  <c r="Y274" i="2"/>
  <c r="X274" i="2"/>
  <c r="BP273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P270" i="2"/>
  <c r="X267" i="2"/>
  <c r="X266" i="2"/>
  <c r="BO265" i="2"/>
  <c r="BM265" i="2"/>
  <c r="Y265" i="2"/>
  <c r="P265" i="2"/>
  <c r="BO264" i="2"/>
  <c r="BM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Y262" i="2"/>
  <c r="P262" i="2"/>
  <c r="BO261" i="2"/>
  <c r="BM261" i="2"/>
  <c r="Y261" i="2"/>
  <c r="P261" i="2"/>
  <c r="X258" i="2"/>
  <c r="X257" i="2"/>
  <c r="BO256" i="2"/>
  <c r="BM256" i="2"/>
  <c r="Z256" i="2"/>
  <c r="Y256" i="2"/>
  <c r="BN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BP252" i="2" s="1"/>
  <c r="P252" i="2"/>
  <c r="X250" i="2"/>
  <c r="X249" i="2"/>
  <c r="BO248" i="2"/>
  <c r="BM248" i="2"/>
  <c r="Y248" i="2"/>
  <c r="P248" i="2"/>
  <c r="Y246" i="2"/>
  <c r="X246" i="2"/>
  <c r="Y245" i="2"/>
  <c r="X245" i="2"/>
  <c r="BP244" i="2"/>
  <c r="BO244" i="2"/>
  <c r="BM244" i="2"/>
  <c r="Y244" i="2"/>
  <c r="Z244" i="2" s="1"/>
  <c r="Z245" i="2" s="1"/>
  <c r="P244" i="2"/>
  <c r="X242" i="2"/>
  <c r="X241" i="2"/>
  <c r="BO240" i="2"/>
  <c r="BM240" i="2"/>
  <c r="Y240" i="2"/>
  <c r="P240" i="2"/>
  <c r="BP239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P234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X229" i="2"/>
  <c r="X228" i="2"/>
  <c r="BO227" i="2"/>
  <c r="BM227" i="2"/>
  <c r="Y227" i="2"/>
  <c r="Y228" i="2" s="1"/>
  <c r="P227" i="2"/>
  <c r="BP226" i="2"/>
  <c r="BO226" i="2"/>
  <c r="BN226" i="2"/>
  <c r="BM226" i="2"/>
  <c r="Z226" i="2"/>
  <c r="Y226" i="2"/>
  <c r="P226" i="2"/>
  <c r="X224" i="2"/>
  <c r="X223" i="2"/>
  <c r="BO222" i="2"/>
  <c r="BM222" i="2"/>
  <c r="Y222" i="2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P218" i="2"/>
  <c r="BO218" i="2"/>
  <c r="BM218" i="2"/>
  <c r="Y218" i="2"/>
  <c r="P218" i="2"/>
  <c r="BO217" i="2"/>
  <c r="BM217" i="2"/>
  <c r="Y217" i="2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BO205" i="2"/>
  <c r="BM205" i="2"/>
  <c r="Y205" i="2"/>
  <c r="P205" i="2"/>
  <c r="BO204" i="2"/>
  <c r="BM204" i="2"/>
  <c r="Y204" i="2"/>
  <c r="BP204" i="2" s="1"/>
  <c r="P204" i="2"/>
  <c r="BP203" i="2"/>
  <c r="BO203" i="2"/>
  <c r="BM203" i="2"/>
  <c r="Y203" i="2"/>
  <c r="P203" i="2"/>
  <c r="X201" i="2"/>
  <c r="X200" i="2"/>
  <c r="BO199" i="2"/>
  <c r="BM199" i="2"/>
  <c r="Y199" i="2"/>
  <c r="BP199" i="2" s="1"/>
  <c r="P199" i="2"/>
  <c r="BO198" i="2"/>
  <c r="BM198" i="2"/>
  <c r="Y198" i="2"/>
  <c r="P198" i="2"/>
  <c r="X196" i="2"/>
  <c r="X195" i="2"/>
  <c r="BO194" i="2"/>
  <c r="BM194" i="2"/>
  <c r="Y194" i="2"/>
  <c r="BP194" i="2" s="1"/>
  <c r="P194" i="2"/>
  <c r="BO193" i="2"/>
  <c r="BM193" i="2"/>
  <c r="Z193" i="2"/>
  <c r="Y193" i="2"/>
  <c r="BN193" i="2" s="1"/>
  <c r="P193" i="2"/>
  <c r="X190" i="2"/>
  <c r="Y189" i="2"/>
  <c r="X189" i="2"/>
  <c r="BP188" i="2"/>
  <c r="BO188" i="2"/>
  <c r="BN188" i="2"/>
  <c r="BM188" i="2"/>
  <c r="Z188" i="2"/>
  <c r="Z189" i="2" s="1"/>
  <c r="Y188" i="2"/>
  <c r="Y190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O176" i="2"/>
  <c r="BN176" i="2"/>
  <c r="BM176" i="2"/>
  <c r="Z176" i="2"/>
  <c r="Y176" i="2"/>
  <c r="BP176" i="2" s="1"/>
  <c r="P176" i="2"/>
  <c r="BO175" i="2"/>
  <c r="BM175" i="2"/>
  <c r="Y175" i="2"/>
  <c r="P175" i="2"/>
  <c r="BO174" i="2"/>
  <c r="BM174" i="2"/>
  <c r="Y174" i="2"/>
  <c r="Z174" i="2" s="1"/>
  <c r="P174" i="2"/>
  <c r="BP173" i="2"/>
  <c r="BO173" i="2"/>
  <c r="BN173" i="2"/>
  <c r="BM173" i="2"/>
  <c r="Z173" i="2"/>
  <c r="Y173" i="2"/>
  <c r="P173" i="2"/>
  <c r="BO172" i="2"/>
  <c r="BN172" i="2"/>
  <c r="BM172" i="2"/>
  <c r="Z172" i="2"/>
  <c r="Y172" i="2"/>
  <c r="BP172" i="2" s="1"/>
  <c r="P172" i="2"/>
  <c r="BO171" i="2"/>
  <c r="BN171" i="2"/>
  <c r="BM171" i="2"/>
  <c r="Z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Z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P165" i="2"/>
  <c r="X163" i="2"/>
  <c r="X162" i="2"/>
  <c r="BO161" i="2"/>
  <c r="BM161" i="2"/>
  <c r="Y161" i="2"/>
  <c r="P161" i="2"/>
  <c r="Y157" i="2"/>
  <c r="X157" i="2"/>
  <c r="X156" i="2"/>
  <c r="BO155" i="2"/>
  <c r="BM155" i="2"/>
  <c r="Y155" i="2"/>
  <c r="Y156" i="2" s="1"/>
  <c r="P155" i="2"/>
  <c r="X153" i="2"/>
  <c r="X152" i="2"/>
  <c r="BO151" i="2"/>
  <c r="BM151" i="2"/>
  <c r="Y151" i="2"/>
  <c r="P151" i="2"/>
  <c r="BP150" i="2"/>
  <c r="BO150" i="2"/>
  <c r="BN150" i="2"/>
  <c r="BM150" i="2"/>
  <c r="Z150" i="2"/>
  <c r="Y150" i="2"/>
  <c r="P150" i="2"/>
  <c r="BO149" i="2"/>
  <c r="BM149" i="2"/>
  <c r="Y149" i="2"/>
  <c r="P149" i="2"/>
  <c r="BP148" i="2"/>
  <c r="BO148" i="2"/>
  <c r="BM148" i="2"/>
  <c r="Y148" i="2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39" i="2"/>
  <c r="X138" i="2"/>
  <c r="BO137" i="2"/>
  <c r="BM137" i="2"/>
  <c r="Y137" i="2"/>
  <c r="P137" i="2"/>
  <c r="BO136" i="2"/>
  <c r="BM136" i="2"/>
  <c r="Y136" i="2"/>
  <c r="Y139" i="2" s="1"/>
  <c r="P136" i="2"/>
  <c r="Y134" i="2"/>
  <c r="X134" i="2"/>
  <c r="X133" i="2"/>
  <c r="BO132" i="2"/>
  <c r="BM132" i="2"/>
  <c r="Y132" i="2"/>
  <c r="P132" i="2"/>
  <c r="BO131" i="2"/>
  <c r="BN131" i="2"/>
  <c r="BM131" i="2"/>
  <c r="Z131" i="2"/>
  <c r="Y131" i="2"/>
  <c r="Y133" i="2" s="1"/>
  <c r="P131" i="2"/>
  <c r="X129" i="2"/>
  <c r="X128" i="2"/>
  <c r="BO127" i="2"/>
  <c r="BM127" i="2"/>
  <c r="Y127" i="2"/>
  <c r="P127" i="2"/>
  <c r="BO126" i="2"/>
  <c r="BM126" i="2"/>
  <c r="Y126" i="2"/>
  <c r="BN126" i="2" s="1"/>
  <c r="P126" i="2"/>
  <c r="X123" i="2"/>
  <c r="X122" i="2"/>
  <c r="BO121" i="2"/>
  <c r="BM121" i="2"/>
  <c r="Y121" i="2"/>
  <c r="P121" i="2"/>
  <c r="X119" i="2"/>
  <c r="X118" i="2"/>
  <c r="BO117" i="2"/>
  <c r="BM117" i="2"/>
  <c r="Y117" i="2"/>
  <c r="Y119" i="2" s="1"/>
  <c r="P117" i="2"/>
  <c r="BO116" i="2"/>
  <c r="BM116" i="2"/>
  <c r="Z116" i="2"/>
  <c r="Y116" i="2"/>
  <c r="BP116" i="2" s="1"/>
  <c r="P116" i="2"/>
  <c r="BO115" i="2"/>
  <c r="BM115" i="2"/>
  <c r="Y115" i="2"/>
  <c r="P115" i="2"/>
  <c r="BO114" i="2"/>
  <c r="BM114" i="2"/>
  <c r="Y114" i="2"/>
  <c r="P114" i="2"/>
  <c r="X112" i="2"/>
  <c r="X111" i="2"/>
  <c r="BP110" i="2"/>
  <c r="BO110" i="2"/>
  <c r="BN110" i="2"/>
  <c r="BM110" i="2"/>
  <c r="Z110" i="2"/>
  <c r="Y110" i="2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Y111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Z101" i="2"/>
  <c r="Y101" i="2"/>
  <c r="P101" i="2"/>
  <c r="BO100" i="2"/>
  <c r="BM100" i="2"/>
  <c r="Y100" i="2"/>
  <c r="P100" i="2"/>
  <c r="BO99" i="2"/>
  <c r="BM99" i="2"/>
  <c r="Y99" i="2"/>
  <c r="P99" i="2"/>
  <c r="X96" i="2"/>
  <c r="X95" i="2"/>
  <c r="BO94" i="2"/>
  <c r="BM94" i="2"/>
  <c r="Y94" i="2"/>
  <c r="P94" i="2"/>
  <c r="BP93" i="2"/>
  <c r="BO93" i="2"/>
  <c r="BN93" i="2"/>
  <c r="BM93" i="2"/>
  <c r="Z93" i="2"/>
  <c r="Y93" i="2"/>
  <c r="P93" i="2"/>
  <c r="BO92" i="2"/>
  <c r="BM92" i="2"/>
  <c r="Y92" i="2"/>
  <c r="P92" i="2"/>
  <c r="BO91" i="2"/>
  <c r="BM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P78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Z67" i="2" s="1"/>
  <c r="P67" i="2"/>
  <c r="BP66" i="2"/>
  <c r="BO66" i="2"/>
  <c r="BN66" i="2"/>
  <c r="BM66" i="2"/>
  <c r="Z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P60" i="2"/>
  <c r="BO60" i="2"/>
  <c r="BN60" i="2"/>
  <c r="BM60" i="2"/>
  <c r="Z60" i="2"/>
  <c r="Y60" i="2"/>
  <c r="P60" i="2"/>
  <c r="X58" i="2"/>
  <c r="X57" i="2"/>
  <c r="BP56" i="2"/>
  <c r="BO56" i="2"/>
  <c r="BM56" i="2"/>
  <c r="Y56" i="2"/>
  <c r="Z56" i="2" s="1"/>
  <c r="P56" i="2"/>
  <c r="BO55" i="2"/>
  <c r="BM55" i="2"/>
  <c r="Y55" i="2"/>
  <c r="P55" i="2"/>
  <c r="BO54" i="2"/>
  <c r="BM54" i="2"/>
  <c r="Y54" i="2"/>
  <c r="BP54" i="2" s="1"/>
  <c r="P54" i="2"/>
  <c r="BO53" i="2"/>
  <c r="BM53" i="2"/>
  <c r="Y53" i="2"/>
  <c r="BP53" i="2" s="1"/>
  <c r="P53" i="2"/>
  <c r="BP52" i="2"/>
  <c r="BO52" i="2"/>
  <c r="BM52" i="2"/>
  <c r="Y52" i="2"/>
  <c r="P52" i="2"/>
  <c r="BO51" i="2"/>
  <c r="BM51" i="2"/>
  <c r="Y51" i="2"/>
  <c r="BP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P42" i="2"/>
  <c r="BO41" i="2"/>
  <c r="BM41" i="2"/>
  <c r="Y41" i="2"/>
  <c r="BN41" i="2" s="1"/>
  <c r="P41" i="2"/>
  <c r="BO40" i="2"/>
  <c r="BM40" i="2"/>
  <c r="Y40" i="2"/>
  <c r="P40" i="2"/>
  <c r="X36" i="2"/>
  <c r="X35" i="2"/>
  <c r="BO34" i="2"/>
  <c r="BM34" i="2"/>
  <c r="Y34" i="2"/>
  <c r="BP34" i="2" s="1"/>
  <c r="P34" i="2"/>
  <c r="X32" i="2"/>
  <c r="X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488" i="2" s="1"/>
  <c r="X24" i="2"/>
  <c r="BO23" i="2"/>
  <c r="BM23" i="2"/>
  <c r="Y23" i="2"/>
  <c r="BP23" i="2" s="1"/>
  <c r="P23" i="2"/>
  <c r="BO22" i="2"/>
  <c r="X490" i="2" s="1"/>
  <c r="BM22" i="2"/>
  <c r="X489" i="2" s="1"/>
  <c r="Y22" i="2"/>
  <c r="Y25" i="2" s="1"/>
  <c r="P22" i="2"/>
  <c r="H10" i="2"/>
  <c r="A9" i="2"/>
  <c r="D7" i="2"/>
  <c r="Q6" i="2"/>
  <c r="P2" i="2"/>
  <c r="BN46" i="2" l="1"/>
  <c r="BN53" i="2"/>
  <c r="Y57" i="2"/>
  <c r="Z68" i="2"/>
  <c r="BN91" i="2"/>
  <c r="Y95" i="2"/>
  <c r="BP91" i="2"/>
  <c r="BP92" i="2"/>
  <c r="BN92" i="2"/>
  <c r="Z92" i="2"/>
  <c r="BN102" i="2"/>
  <c r="Z102" i="2"/>
  <c r="Y118" i="2"/>
  <c r="BP127" i="2"/>
  <c r="BN127" i="2"/>
  <c r="Z127" i="2"/>
  <c r="BN149" i="2"/>
  <c r="BP149" i="2"/>
  <c r="BN161" i="2"/>
  <c r="Z161" i="2"/>
  <c r="Z162" i="2" s="1"/>
  <c r="BP165" i="2"/>
  <c r="BN165" i="2"/>
  <c r="Z165" i="2"/>
  <c r="BN167" i="2"/>
  <c r="Z170" i="2"/>
  <c r="BP170" i="2"/>
  <c r="BN182" i="2"/>
  <c r="Z182" i="2"/>
  <c r="BP183" i="2"/>
  <c r="BN183" i="2"/>
  <c r="Z183" i="2"/>
  <c r="BP205" i="2"/>
  <c r="BN205" i="2"/>
  <c r="Z205" i="2"/>
  <c r="BP206" i="2"/>
  <c r="BN206" i="2"/>
  <c r="Z206" i="2"/>
  <c r="BP215" i="2"/>
  <c r="BN215" i="2"/>
  <c r="Z215" i="2"/>
  <c r="BP216" i="2"/>
  <c r="BN216" i="2"/>
  <c r="Z216" i="2"/>
  <c r="BP236" i="2"/>
  <c r="BN236" i="2"/>
  <c r="Z236" i="2"/>
  <c r="BP237" i="2"/>
  <c r="BN237" i="2"/>
  <c r="Z237" i="2"/>
  <c r="Y249" i="2"/>
  <c r="BP248" i="2"/>
  <c r="BN248" i="2"/>
  <c r="Z248" i="2"/>
  <c r="Z249" i="2" s="1"/>
  <c r="BP265" i="2"/>
  <c r="BN265" i="2"/>
  <c r="Z265" i="2"/>
  <c r="Z22" i="2"/>
  <c r="BN22" i="2"/>
  <c r="Z23" i="2"/>
  <c r="BN23" i="2"/>
  <c r="BN27" i="2"/>
  <c r="BP27" i="2"/>
  <c r="BN28" i="2"/>
  <c r="Z51" i="2"/>
  <c r="BN51" i="2"/>
  <c r="Z61" i="2"/>
  <c r="BN61" i="2"/>
  <c r="Z71" i="2"/>
  <c r="BN71" i="2"/>
  <c r="Z84" i="2"/>
  <c r="BN84" i="2"/>
  <c r="Y88" i="2"/>
  <c r="BN86" i="2"/>
  <c r="Z91" i="2"/>
  <c r="Z95" i="2" s="1"/>
  <c r="BP94" i="2"/>
  <c r="BN94" i="2"/>
  <c r="Z94" i="2"/>
  <c r="Y96" i="2"/>
  <c r="BP100" i="2"/>
  <c r="BN100" i="2"/>
  <c r="Z100" i="2"/>
  <c r="BP102" i="2"/>
  <c r="BN108" i="2"/>
  <c r="BP114" i="2"/>
  <c r="BN114" i="2"/>
  <c r="Z114" i="2"/>
  <c r="BP115" i="2"/>
  <c r="BN115" i="2"/>
  <c r="Z115" i="2"/>
  <c r="BP137" i="2"/>
  <c r="BN137" i="2"/>
  <c r="Z137" i="2"/>
  <c r="Y153" i="2"/>
  <c r="BN148" i="2"/>
  <c r="Z148" i="2"/>
  <c r="BP151" i="2"/>
  <c r="BN151" i="2"/>
  <c r="Z151" i="2"/>
  <c r="BP221" i="2"/>
  <c r="BN221" i="2"/>
  <c r="Z221" i="2"/>
  <c r="BP240" i="2"/>
  <c r="Z240" i="2"/>
  <c r="Y250" i="2"/>
  <c r="BP254" i="2"/>
  <c r="BN254" i="2"/>
  <c r="Z254" i="2"/>
  <c r="Y258" i="2"/>
  <c r="BN262" i="2"/>
  <c r="BP262" i="2"/>
  <c r="Z279" i="2"/>
  <c r="BP279" i="2"/>
  <c r="BP285" i="2"/>
  <c r="BN285" i="2"/>
  <c r="Z285" i="2"/>
  <c r="Z287" i="2" s="1"/>
  <c r="BN298" i="2"/>
  <c r="BP298" i="2"/>
  <c r="BP315" i="2"/>
  <c r="BN315" i="2"/>
  <c r="Z315" i="2"/>
  <c r="BP316" i="2"/>
  <c r="BN316" i="2"/>
  <c r="Z316" i="2"/>
  <c r="BP326" i="2"/>
  <c r="BN326" i="2"/>
  <c r="Z326" i="2"/>
  <c r="Z330" i="2" s="1"/>
  <c r="Y337" i="2"/>
  <c r="Y336" i="2"/>
  <c r="BP333" i="2"/>
  <c r="BN333" i="2"/>
  <c r="Z333" i="2"/>
  <c r="Z348" i="2"/>
  <c r="Z355" i="2" s="1"/>
  <c r="BP348" i="2"/>
  <c r="BP363" i="2"/>
  <c r="BN363" i="2"/>
  <c r="Z363" i="2"/>
  <c r="BP397" i="2"/>
  <c r="BN397" i="2"/>
  <c r="Z397" i="2"/>
  <c r="BN413" i="2"/>
  <c r="Y417" i="2"/>
  <c r="BP444" i="2"/>
  <c r="BN444" i="2"/>
  <c r="Z444" i="2"/>
  <c r="BP461" i="2"/>
  <c r="BN461" i="2"/>
  <c r="Z461" i="2"/>
  <c r="BN143" i="2"/>
  <c r="BP193" i="2"/>
  <c r="BN194" i="2"/>
  <c r="Y211" i="2"/>
  <c r="BN209" i="2"/>
  <c r="Y229" i="2"/>
  <c r="BP256" i="2"/>
  <c r="BP270" i="2"/>
  <c r="BN270" i="2"/>
  <c r="Z270" i="2"/>
  <c r="BP271" i="2"/>
  <c r="BN271" i="2"/>
  <c r="Z271" i="2"/>
  <c r="Y293" i="2"/>
  <c r="BP290" i="2"/>
  <c r="BN290" i="2"/>
  <c r="Z290" i="2"/>
  <c r="BN308" i="2"/>
  <c r="BP308" i="2"/>
  <c r="BP328" i="2"/>
  <c r="BN328" i="2"/>
  <c r="Z328" i="2"/>
  <c r="BN353" i="2"/>
  <c r="BP353" i="2"/>
  <c r="Y370" i="2"/>
  <c r="Y369" i="2"/>
  <c r="BP368" i="2"/>
  <c r="BN368" i="2"/>
  <c r="Z368" i="2"/>
  <c r="Z369" i="2" s="1"/>
  <c r="Z375" i="2"/>
  <c r="BN378" i="2"/>
  <c r="BN395" i="2"/>
  <c r="Z395" i="2"/>
  <c r="Y406" i="2"/>
  <c r="BP403" i="2"/>
  <c r="BN403" i="2"/>
  <c r="Z403" i="2"/>
  <c r="BP429" i="2"/>
  <c r="BN429" i="2"/>
  <c r="Z429" i="2"/>
  <c r="BP434" i="2"/>
  <c r="BN434" i="2"/>
  <c r="Z434" i="2"/>
  <c r="BP437" i="2"/>
  <c r="BN437" i="2"/>
  <c r="Z437" i="2"/>
  <c r="BP449" i="2"/>
  <c r="BN449" i="2"/>
  <c r="Z449" i="2"/>
  <c r="BN475" i="2"/>
  <c r="Y477" i="2"/>
  <c r="Z475" i="2"/>
  <c r="Z476" i="2" s="1"/>
  <c r="BN320" i="2"/>
  <c r="BP335" i="2"/>
  <c r="Y380" i="2"/>
  <c r="V498" i="2"/>
  <c r="Y418" i="2"/>
  <c r="BN414" i="2"/>
  <c r="BP414" i="2"/>
  <c r="Y423" i="2"/>
  <c r="BP431" i="2"/>
  <c r="BN436" i="2"/>
  <c r="Y446" i="2"/>
  <c r="Y454" i="2"/>
  <c r="BP451" i="2"/>
  <c r="Y455" i="2"/>
  <c r="W498" i="2"/>
  <c r="X491" i="2"/>
  <c r="BP222" i="2"/>
  <c r="BN222" i="2"/>
  <c r="BP101" i="2"/>
  <c r="BN101" i="2"/>
  <c r="Y145" i="2"/>
  <c r="BP174" i="2"/>
  <c r="BN174" i="2"/>
  <c r="Y355" i="2"/>
  <c r="BP349" i="2"/>
  <c r="Z360" i="2"/>
  <c r="Y387" i="2"/>
  <c r="BP352" i="2"/>
  <c r="BN352" i="2"/>
  <c r="Z352" i="2"/>
  <c r="BP394" i="2"/>
  <c r="BN394" i="2"/>
  <c r="Y468" i="2"/>
  <c r="BP467" i="2"/>
  <c r="BN467" i="2"/>
  <c r="Z467" i="2"/>
  <c r="BP329" i="2"/>
  <c r="BN329" i="2"/>
  <c r="Y366" i="2"/>
  <c r="Y365" i="2"/>
  <c r="BP364" i="2"/>
  <c r="BN364" i="2"/>
  <c r="Y401" i="2"/>
  <c r="U498" i="2"/>
  <c r="Y400" i="2"/>
  <c r="BP391" i="2"/>
  <c r="Z394" i="2"/>
  <c r="Z87" i="2"/>
  <c r="Z222" i="2"/>
  <c r="BP261" i="2"/>
  <c r="BN261" i="2"/>
  <c r="Y267" i="2"/>
  <c r="Z261" i="2"/>
  <c r="L498" i="2"/>
  <c r="BN87" i="2"/>
  <c r="BN168" i="2"/>
  <c r="Z219" i="2"/>
  <c r="BP297" i="2"/>
  <c r="BN297" i="2"/>
  <c r="Z297" i="2"/>
  <c r="Z301" i="2" s="1"/>
  <c r="Q498" i="2"/>
  <c r="Z384" i="2"/>
  <c r="Z386" i="2" s="1"/>
  <c r="Y122" i="2"/>
  <c r="BP121" i="2"/>
  <c r="BN121" i="2"/>
  <c r="Z121" i="2"/>
  <c r="Z122" i="2" s="1"/>
  <c r="Y123" i="2"/>
  <c r="Z142" i="2"/>
  <c r="BN175" i="2"/>
  <c r="Z175" i="2"/>
  <c r="Z235" i="2"/>
  <c r="BP238" i="2"/>
  <c r="BN238" i="2"/>
  <c r="Z238" i="2"/>
  <c r="BP255" i="2"/>
  <c r="BN255" i="2"/>
  <c r="Z321" i="2"/>
  <c r="Y361" i="2"/>
  <c r="BP359" i="2"/>
  <c r="BN391" i="2"/>
  <c r="Z432" i="2"/>
  <c r="Y498" i="2"/>
  <c r="Y464" i="2"/>
  <c r="Y463" i="2"/>
  <c r="BP459" i="2"/>
  <c r="BP462" i="2"/>
  <c r="BN462" i="2"/>
  <c r="BP136" i="2"/>
  <c r="Y138" i="2"/>
  <c r="BN198" i="2"/>
  <c r="Z198" i="2"/>
  <c r="Y201" i="2"/>
  <c r="Y200" i="2"/>
  <c r="BN219" i="2"/>
  <c r="Y242" i="2"/>
  <c r="Y241" i="2"/>
  <c r="K498" i="2"/>
  <c r="Z255" i="2"/>
  <c r="Y302" i="2"/>
  <c r="Z342" i="2"/>
  <c r="Z359" i="2"/>
  <c r="BN384" i="2"/>
  <c r="Z459" i="2"/>
  <c r="Z462" i="2"/>
  <c r="BP147" i="2"/>
  <c r="BN147" i="2"/>
  <c r="BN73" i="2"/>
  <c r="Z73" i="2"/>
  <c r="BP99" i="2"/>
  <c r="F498" i="2"/>
  <c r="BN99" i="2"/>
  <c r="Y105" i="2"/>
  <c r="Z99" i="2"/>
  <c r="Y104" i="2"/>
  <c r="Z136" i="2"/>
  <c r="Z204" i="2"/>
  <c r="BP207" i="2"/>
  <c r="BN207" i="2"/>
  <c r="Z207" i="2"/>
  <c r="Z232" i="2"/>
  <c r="BN235" i="2"/>
  <c r="Z252" i="2"/>
  <c r="BN321" i="2"/>
  <c r="Z379" i="2"/>
  <c r="BN432" i="2"/>
  <c r="BP435" i="2"/>
  <c r="BN435" i="2"/>
  <c r="Z452" i="2"/>
  <c r="Y473" i="2"/>
  <c r="Y472" i="2"/>
  <c r="BP142" i="2"/>
  <c r="H498" i="2"/>
  <c r="BN42" i="2"/>
  <c r="Z42" i="2"/>
  <c r="BP42" i="2"/>
  <c r="Z54" i="2"/>
  <c r="Z85" i="2"/>
  <c r="Y129" i="2"/>
  <c r="BP166" i="2"/>
  <c r="Y180" i="2"/>
  <c r="BP169" i="2"/>
  <c r="BN169" i="2"/>
  <c r="Z169" i="2"/>
  <c r="BP175" i="2"/>
  <c r="BP291" i="2"/>
  <c r="BN291" i="2"/>
  <c r="Y311" i="2"/>
  <c r="Y310" i="2"/>
  <c r="BP304" i="2"/>
  <c r="BN342" i="2"/>
  <c r="BN359" i="2"/>
  <c r="Z435" i="2"/>
  <c r="BN459" i="2"/>
  <c r="Z471" i="2"/>
  <c r="Z472" i="2" s="1"/>
  <c r="BP67" i="2"/>
  <c r="BN67" i="2"/>
  <c r="BP41" i="2"/>
  <c r="Z62" i="2"/>
  <c r="E498" i="2"/>
  <c r="Y89" i="2"/>
  <c r="Y58" i="2"/>
  <c r="Z108" i="2"/>
  <c r="BN136" i="2"/>
  <c r="Z166" i="2"/>
  <c r="BP184" i="2"/>
  <c r="BN184" i="2"/>
  <c r="BP198" i="2"/>
  <c r="BN204" i="2"/>
  <c r="Y212" i="2"/>
  <c r="BN232" i="2"/>
  <c r="BN252" i="2"/>
  <c r="Z291" i="2"/>
  <c r="Z304" i="2"/>
  <c r="BP307" i="2"/>
  <c r="BN307" i="2"/>
  <c r="Z307" i="2"/>
  <c r="BP321" i="2"/>
  <c r="BN379" i="2"/>
  <c r="BN452" i="2"/>
  <c r="BP479" i="2"/>
  <c r="BN479" i="2"/>
  <c r="Z479" i="2"/>
  <c r="Z41" i="2"/>
  <c r="BN62" i="2"/>
  <c r="X492" i="2"/>
  <c r="Z29" i="2"/>
  <c r="BN54" i="2"/>
  <c r="BP73" i="2"/>
  <c r="Z79" i="2"/>
  <c r="Z80" i="2" s="1"/>
  <c r="BN85" i="2"/>
  <c r="BN116" i="2"/>
  <c r="Y162" i="2"/>
  <c r="BP161" i="2"/>
  <c r="I498" i="2"/>
  <c r="Y179" i="2"/>
  <c r="Z184" i="2"/>
  <c r="Z185" i="2" s="1"/>
  <c r="BP272" i="2"/>
  <c r="BN272" i="2"/>
  <c r="Z272" i="2"/>
  <c r="M498" i="2"/>
  <c r="BN471" i="2"/>
  <c r="BN208" i="2"/>
  <c r="Z208" i="2"/>
  <c r="Y224" i="2"/>
  <c r="Y223" i="2"/>
  <c r="BP214" i="2"/>
  <c r="BP232" i="2"/>
  <c r="Y266" i="2"/>
  <c r="BN304" i="2"/>
  <c r="BP379" i="2"/>
  <c r="BP404" i="2"/>
  <c r="BN404" i="2"/>
  <c r="Y439" i="2"/>
  <c r="X498" i="2"/>
  <c r="BP427" i="2"/>
  <c r="Y440" i="2"/>
  <c r="BP430" i="2"/>
  <c r="BN430" i="2"/>
  <c r="Y36" i="2"/>
  <c r="Y35" i="2"/>
  <c r="BN72" i="2"/>
  <c r="Y76" i="2"/>
  <c r="Z103" i="2"/>
  <c r="Z126" i="2"/>
  <c r="Z199" i="2"/>
  <c r="Z214" i="2"/>
  <c r="BP217" i="2"/>
  <c r="BN217" i="2"/>
  <c r="Z217" i="2"/>
  <c r="Y288" i="2"/>
  <c r="Y287" i="2"/>
  <c r="BP286" i="2"/>
  <c r="BN286" i="2"/>
  <c r="P498" i="2"/>
  <c r="Z404" i="2"/>
  <c r="Z405" i="2" s="1"/>
  <c r="Z427" i="2"/>
  <c r="Z430" i="2"/>
  <c r="Y469" i="2"/>
  <c r="BP471" i="2"/>
  <c r="BN34" i="2"/>
  <c r="BN79" i="2"/>
  <c r="BN117" i="2"/>
  <c r="Z117" i="2"/>
  <c r="Z118" i="2" s="1"/>
  <c r="Y318" i="2"/>
  <c r="BP314" i="2"/>
  <c r="Z396" i="2"/>
  <c r="Z400" i="2" s="1"/>
  <c r="Z442" i="2"/>
  <c r="BP450" i="2"/>
  <c r="BN450" i="2"/>
  <c r="Z468" i="2"/>
  <c r="Y75" i="2"/>
  <c r="Z72" i="2"/>
  <c r="Z75" i="2" s="1"/>
  <c r="BN107" i="2"/>
  <c r="Z107" i="2"/>
  <c r="Y112" i="2"/>
  <c r="Z147" i="2"/>
  <c r="Z152" i="2" s="1"/>
  <c r="J9" i="2"/>
  <c r="H9" i="2"/>
  <c r="A10" i="2"/>
  <c r="F9" i="2"/>
  <c r="D498" i="2"/>
  <c r="F10" i="2"/>
  <c r="BP29" i="2"/>
  <c r="Y43" i="2"/>
  <c r="BN40" i="2"/>
  <c r="Z40" i="2"/>
  <c r="C498" i="2"/>
  <c r="Z52" i="2"/>
  <c r="BP55" i="2"/>
  <c r="BN55" i="2"/>
  <c r="Z55" i="2"/>
  <c r="BN103" i="2"/>
  <c r="Z149" i="2"/>
  <c r="Y186" i="2"/>
  <c r="Y185" i="2"/>
  <c r="BN199" i="2"/>
  <c r="BP208" i="2"/>
  <c r="BN214" i="2"/>
  <c r="Z299" i="2"/>
  <c r="Z314" i="2"/>
  <c r="Z317" i="2" s="1"/>
  <c r="Y317" i="2"/>
  <c r="Y344" i="2"/>
  <c r="BP340" i="2"/>
  <c r="Y343" i="2"/>
  <c r="BN340" i="2"/>
  <c r="R498" i="2"/>
  <c r="Z340" i="2"/>
  <c r="Z365" i="2"/>
  <c r="BN427" i="2"/>
  <c r="Z450" i="2"/>
  <c r="G498" i="2"/>
  <c r="Y128" i="2"/>
  <c r="BP85" i="2"/>
  <c r="Y44" i="2"/>
  <c r="Y47" i="2"/>
  <c r="BP46" i="2"/>
  <c r="Y69" i="2"/>
  <c r="BN74" i="2"/>
  <c r="BP131" i="2"/>
  <c r="Y144" i="2"/>
  <c r="Y196" i="2"/>
  <c r="Y195" i="2"/>
  <c r="J498" i="2"/>
  <c r="BN263" i="2"/>
  <c r="Y282" i="2"/>
  <c r="BP280" i="2"/>
  <c r="O498" i="2"/>
  <c r="Y301" i="2"/>
  <c r="Y386" i="2"/>
  <c r="BN396" i="2"/>
  <c r="BP399" i="2"/>
  <c r="BN399" i="2"/>
  <c r="BN442" i="2"/>
  <c r="Y445" i="2"/>
  <c r="Y64" i="2"/>
  <c r="Y63" i="2"/>
  <c r="Z74" i="2"/>
  <c r="BP109" i="2"/>
  <c r="BN109" i="2"/>
  <c r="Z109" i="2"/>
  <c r="BN52" i="2"/>
  <c r="Y81" i="2"/>
  <c r="BP117" i="2"/>
  <c r="BP126" i="2"/>
  <c r="Y152" i="2"/>
  <c r="Z194" i="2"/>
  <c r="Z195" i="2" s="1"/>
  <c r="BN218" i="2"/>
  <c r="Z218" i="2"/>
  <c r="Y257" i="2"/>
  <c r="Z280" i="2"/>
  <c r="BN299" i="2"/>
  <c r="BN314" i="2"/>
  <c r="BP334" i="2"/>
  <c r="BN334" i="2"/>
  <c r="Z399" i="2"/>
  <c r="Z34" i="2"/>
  <c r="Z35" i="2" s="1"/>
  <c r="BP107" i="2"/>
  <c r="Z133" i="2"/>
  <c r="Y31" i="2"/>
  <c r="Y32" i="2"/>
  <c r="BP30" i="2"/>
  <c r="BN30" i="2"/>
  <c r="Z30" i="2"/>
  <c r="Z46" i="2"/>
  <c r="Z47" i="2" s="1"/>
  <c r="B498" i="2"/>
  <c r="BP22" i="2"/>
  <c r="Y24" i="2"/>
  <c r="BP40" i="2"/>
  <c r="BP132" i="2"/>
  <c r="BN132" i="2"/>
  <c r="Z132" i="2"/>
  <c r="Y163" i="2"/>
  <c r="Z209" i="2"/>
  <c r="BP227" i="2"/>
  <c r="BN227" i="2"/>
  <c r="Z227" i="2"/>
  <c r="Z228" i="2" s="1"/>
  <c r="BN240" i="2"/>
  <c r="Y331" i="2"/>
  <c r="Y330" i="2"/>
  <c r="Z334" i="2"/>
  <c r="Z336" i="2" s="1"/>
  <c r="Z414" i="2"/>
  <c r="BP442" i="2"/>
  <c r="BN56" i="2"/>
  <c r="BN78" i="2"/>
  <c r="BN170" i="2"/>
  <c r="BN203" i="2"/>
  <c r="BN234" i="2"/>
  <c r="BN244" i="2"/>
  <c r="BN279" i="2"/>
  <c r="BN313" i="2"/>
  <c r="Y324" i="2"/>
  <c r="BN348" i="2"/>
  <c r="BN358" i="2"/>
  <c r="BN416" i="2"/>
  <c r="Y487" i="2"/>
  <c r="Z233" i="2"/>
  <c r="Z278" i="2"/>
  <c r="Z322" i="2"/>
  <c r="Z415" i="2"/>
  <c r="Z438" i="2"/>
  <c r="Z485" i="2"/>
  <c r="Z486" i="2" s="1"/>
  <c r="S498" i="2"/>
  <c r="Y80" i="2"/>
  <c r="Z155" i="2"/>
  <c r="Z156" i="2" s="1"/>
  <c r="Z177" i="2"/>
  <c r="Z210" i="2"/>
  <c r="Z220" i="2"/>
  <c r="BN233" i="2"/>
  <c r="Z253" i="2"/>
  <c r="Z264" i="2"/>
  <c r="BN278" i="2"/>
  <c r="Y281" i="2"/>
  <c r="Z300" i="2"/>
  <c r="BN322" i="2"/>
  <c r="Y360" i="2"/>
  <c r="Y381" i="2"/>
  <c r="Z392" i="2"/>
  <c r="BN415" i="2"/>
  <c r="Z428" i="2"/>
  <c r="BN438" i="2"/>
  <c r="Z448" i="2"/>
  <c r="Z460" i="2"/>
  <c r="BN485" i="2"/>
  <c r="T498" i="2"/>
  <c r="Z28" i="2"/>
  <c r="Z53" i="2"/>
  <c r="Y68" i="2"/>
  <c r="Z86" i="2"/>
  <c r="Z143" i="2"/>
  <c r="BN155" i="2"/>
  <c r="Z167" i="2"/>
  <c r="BN177" i="2"/>
  <c r="BN210" i="2"/>
  <c r="BN220" i="2"/>
  <c r="BN253" i="2"/>
  <c r="BN264" i="2"/>
  <c r="Y292" i="2"/>
  <c r="BN300" i="2"/>
  <c r="Z320" i="2"/>
  <c r="Y356" i="2"/>
  <c r="Z378" i="2"/>
  <c r="BN392" i="2"/>
  <c r="Y405" i="2"/>
  <c r="Z413" i="2"/>
  <c r="Z417" i="2" s="1"/>
  <c r="Z436" i="2"/>
  <c r="BN448" i="2"/>
  <c r="BP485" i="2"/>
  <c r="BP155" i="2"/>
  <c r="Z273" i="2"/>
  <c r="Z341" i="2"/>
  <c r="Z353" i="2"/>
  <c r="Z480" i="2"/>
  <c r="Y486" i="2"/>
  <c r="BP182" i="2"/>
  <c r="Z203" i="2"/>
  <c r="BN383" i="2"/>
  <c r="Z239" i="2"/>
  <c r="Z262" i="2"/>
  <c r="Z298" i="2"/>
  <c r="Z308" i="2"/>
  <c r="Y489" i="2" l="1"/>
  <c r="Y488" i="2"/>
  <c r="Z380" i="2"/>
  <c r="Z31" i="2"/>
  <c r="Z445" i="2"/>
  <c r="Z439" i="2"/>
  <c r="Z128" i="2"/>
  <c r="Z481" i="2"/>
  <c r="Z292" i="2"/>
  <c r="Z63" i="2"/>
  <c r="Z138" i="2"/>
  <c r="Z104" i="2"/>
  <c r="Z200" i="2"/>
  <c r="Z24" i="2"/>
  <c r="Z179" i="2"/>
  <c r="Z274" i="2"/>
  <c r="Z223" i="2"/>
  <c r="Z266" i="2"/>
  <c r="Z43" i="2"/>
  <c r="Y492" i="2"/>
  <c r="Z257" i="2"/>
  <c r="Z57" i="2"/>
  <c r="Z144" i="2"/>
  <c r="Z323" i="2"/>
  <c r="Z310" i="2"/>
  <c r="Z241" i="2"/>
  <c r="Z463" i="2"/>
  <c r="Z88" i="2"/>
  <c r="Z343" i="2"/>
  <c r="Z211" i="2"/>
  <c r="Z454" i="2"/>
  <c r="Y490" i="2"/>
  <c r="Y491" i="2" s="1"/>
  <c r="Z281" i="2"/>
  <c r="Z111" i="2"/>
  <c r="Z493" i="2" l="1"/>
</calcChain>
</file>

<file path=xl/sharedStrings.xml><?xml version="1.0" encoding="utf-8"?>
<sst xmlns="http://schemas.openxmlformats.org/spreadsheetml/2006/main" count="3602" uniqueCount="768">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</sst>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46048</v>
      </c>
      <c r="R5" s="561"/>
      <c r="T5" s="562" t="s">
        <v>3</v>
      </c>
      <c r="U5" s="563"/>
      <c r="V5" s="564" t="s">
        <v>754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Понедельник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2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3"/>
      <c r="C9" s="583"/>
      <c r="D9" s="584" t="s">
        <v>45</v>
      </c>
      <c r="E9" s="585"/>
      <c r="F9" s="5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3"/>
      <c r="H9" s="586" t="str">
        <f>IF(AND($A$9="Тип доверенности/получателя при получении в адресе перегруза:",$D$9="Разовая доверенность"),"Введите ФИО","")</f>
        <v/>
      </c>
      <c r="I9" s="586"/>
      <c r="J9" s="5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6"/>
      <c r="L9" s="586"/>
      <c r="M9" s="586"/>
      <c r="N9" s="70"/>
      <c r="P9" s="31" t="s">
        <v>15</v>
      </c>
      <c r="Q9" s="587"/>
      <c r="R9" s="587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3"/>
      <c r="C10" s="583"/>
      <c r="D10" s="584"/>
      <c r="E10" s="585"/>
      <c r="F10" s="5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3"/>
      <c r="H10" s="588" t="str">
        <f>IFERROR(VLOOKUP($D$10,Proxy,2,FALSE),"")</f>
        <v/>
      </c>
      <c r="I10" s="588"/>
      <c r="J10" s="588"/>
      <c r="K10" s="588"/>
      <c r="L10" s="588"/>
      <c r="M10" s="588"/>
      <c r="N10" s="71"/>
      <c r="P10" s="31" t="s">
        <v>32</v>
      </c>
      <c r="Q10" s="589"/>
      <c r="R10" s="589"/>
      <c r="U10" s="29" t="s">
        <v>12</v>
      </c>
      <c r="V10" s="590" t="s">
        <v>70</v>
      </c>
      <c r="W10" s="59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2"/>
      <c r="R11" s="592"/>
      <c r="U11" s="29" t="s">
        <v>28</v>
      </c>
      <c r="V11" s="593" t="s">
        <v>54</v>
      </c>
      <c r="W11" s="59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4" t="s">
        <v>71</v>
      </c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76"/>
      <c r="P12" s="27" t="s">
        <v>30</v>
      </c>
      <c r="Q12" s="581"/>
      <c r="R12" s="581"/>
      <c r="S12" s="28"/>
      <c r="T12"/>
      <c r="U12" s="29" t="s">
        <v>45</v>
      </c>
      <c r="V12" s="595"/>
      <c r="W12" s="595"/>
      <c r="X12"/>
      <c r="AB12" s="59"/>
      <c r="AC12" s="59"/>
      <c r="AD12" s="59"/>
      <c r="AE12" s="59"/>
    </row>
    <row r="13" spans="1:32" s="17" customFormat="1" ht="23.25" customHeight="1" x14ac:dyDescent="0.2">
      <c r="A13" s="594" t="s">
        <v>72</v>
      </c>
      <c r="B13" s="594"/>
      <c r="C13" s="594"/>
      <c r="D13" s="594"/>
      <c r="E13" s="594"/>
      <c r="F13" s="594"/>
      <c r="G13" s="594"/>
      <c r="H13" s="594"/>
      <c r="I13" s="594"/>
      <c r="J13" s="594"/>
      <c r="K13" s="594"/>
      <c r="L13" s="594"/>
      <c r="M13" s="594"/>
      <c r="N13" s="76"/>
      <c r="O13" s="31"/>
      <c r="P13" s="31" t="s">
        <v>31</v>
      </c>
      <c r="Q13" s="593"/>
      <c r="R13" s="59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4" t="s">
        <v>73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6" t="s">
        <v>74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77"/>
      <c r="O15"/>
      <c r="P15" s="597" t="s">
        <v>60</v>
      </c>
      <c r="Q15" s="597"/>
      <c r="R15" s="597"/>
      <c r="S15" s="597"/>
      <c r="T15" s="59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8"/>
      <c r="Q16" s="598"/>
      <c r="R16" s="598"/>
      <c r="S16" s="598"/>
      <c r="T16" s="59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1" t="s">
        <v>58</v>
      </c>
      <c r="B17" s="601" t="s">
        <v>48</v>
      </c>
      <c r="C17" s="603" t="s">
        <v>47</v>
      </c>
      <c r="D17" s="605" t="s">
        <v>49</v>
      </c>
      <c r="E17" s="606"/>
      <c r="F17" s="601" t="s">
        <v>21</v>
      </c>
      <c r="G17" s="601" t="s">
        <v>24</v>
      </c>
      <c r="H17" s="601" t="s">
        <v>22</v>
      </c>
      <c r="I17" s="601" t="s">
        <v>23</v>
      </c>
      <c r="J17" s="601" t="s">
        <v>16</v>
      </c>
      <c r="K17" s="601" t="s">
        <v>65</v>
      </c>
      <c r="L17" s="601" t="s">
        <v>63</v>
      </c>
      <c r="M17" s="601" t="s">
        <v>2</v>
      </c>
      <c r="N17" s="601" t="s">
        <v>62</v>
      </c>
      <c r="O17" s="601" t="s">
        <v>25</v>
      </c>
      <c r="P17" s="605" t="s">
        <v>17</v>
      </c>
      <c r="Q17" s="609"/>
      <c r="R17" s="609"/>
      <c r="S17" s="609"/>
      <c r="T17" s="606"/>
      <c r="U17" s="599" t="s">
        <v>55</v>
      </c>
      <c r="V17" s="600"/>
      <c r="W17" s="601" t="s">
        <v>6</v>
      </c>
      <c r="X17" s="601" t="s">
        <v>41</v>
      </c>
      <c r="Y17" s="611" t="s">
        <v>53</v>
      </c>
      <c r="Z17" s="613" t="s">
        <v>18</v>
      </c>
      <c r="AA17" s="615" t="s">
        <v>59</v>
      </c>
      <c r="AB17" s="615" t="s">
        <v>19</v>
      </c>
      <c r="AC17" s="615" t="s">
        <v>64</v>
      </c>
      <c r="AD17" s="617" t="s">
        <v>56</v>
      </c>
      <c r="AE17" s="618"/>
      <c r="AF17" s="619"/>
      <c r="AG17" s="82"/>
      <c r="BD17" s="81" t="s">
        <v>61</v>
      </c>
    </row>
    <row r="18" spans="1:68" ht="14.25" customHeight="1" x14ac:dyDescent="0.2">
      <c r="A18" s="602"/>
      <c r="B18" s="602"/>
      <c r="C18" s="604"/>
      <c r="D18" s="607"/>
      <c r="E18" s="608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7"/>
      <c r="Q18" s="610"/>
      <c r="R18" s="610"/>
      <c r="S18" s="610"/>
      <c r="T18" s="608"/>
      <c r="U18" s="83" t="s">
        <v>44</v>
      </c>
      <c r="V18" s="83" t="s">
        <v>43</v>
      </c>
      <c r="W18" s="602"/>
      <c r="X18" s="602"/>
      <c r="Y18" s="612"/>
      <c r="Z18" s="614"/>
      <c r="AA18" s="616"/>
      <c r="AB18" s="616"/>
      <c r="AC18" s="616"/>
      <c r="AD18" s="620"/>
      <c r="AE18" s="621"/>
      <c r="AF18" s="622"/>
      <c r="AG18" s="82"/>
      <c r="BD18" s="81"/>
    </row>
    <row r="19" spans="1:68" ht="27.75" customHeight="1" x14ac:dyDescent="0.2">
      <c r="A19" s="623" t="s">
        <v>77</v>
      </c>
      <c r="B19" s="623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54"/>
      <c r="AB19" s="54"/>
      <c r="AC19" s="54"/>
    </row>
    <row r="20" spans="1:68" ht="16.5" customHeight="1" x14ac:dyDescent="0.25">
      <c r="A20" s="624" t="s">
        <v>77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5"/>
      <c r="AB20" s="65"/>
      <c r="AC20" s="79"/>
    </row>
    <row r="21" spans="1:68" ht="14.25" customHeight="1" x14ac:dyDescent="0.25">
      <c r="A21" s="625" t="s">
        <v>78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6">
        <v>4680115887510</v>
      </c>
      <c r="E22" s="626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8"/>
      <c r="R22" s="628"/>
      <c r="S22" s="628"/>
      <c r="T22" s="629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6">
        <v>4680115886643</v>
      </c>
      <c r="E23" s="626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8"/>
      <c r="R23" s="628"/>
      <c r="S23" s="628"/>
      <c r="T23" s="629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4"/>
      <c r="B24" s="634"/>
      <c r="C24" s="634"/>
      <c r="D24" s="634"/>
      <c r="E24" s="634"/>
      <c r="F24" s="634"/>
      <c r="G24" s="634"/>
      <c r="H24" s="634"/>
      <c r="I24" s="634"/>
      <c r="J24" s="634"/>
      <c r="K24" s="634"/>
      <c r="L24" s="634"/>
      <c r="M24" s="634"/>
      <c r="N24" s="634"/>
      <c r="O24" s="635"/>
      <c r="P24" s="631" t="s">
        <v>40</v>
      </c>
      <c r="Q24" s="632"/>
      <c r="R24" s="632"/>
      <c r="S24" s="632"/>
      <c r="T24" s="632"/>
      <c r="U24" s="632"/>
      <c r="V24" s="633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4"/>
      <c r="B25" s="634"/>
      <c r="C25" s="634"/>
      <c r="D25" s="634"/>
      <c r="E25" s="634"/>
      <c r="F25" s="634"/>
      <c r="G25" s="634"/>
      <c r="H25" s="634"/>
      <c r="I25" s="634"/>
      <c r="J25" s="634"/>
      <c r="K25" s="634"/>
      <c r="L25" s="634"/>
      <c r="M25" s="634"/>
      <c r="N25" s="634"/>
      <c r="O25" s="635"/>
      <c r="P25" s="631" t="s">
        <v>40</v>
      </c>
      <c r="Q25" s="632"/>
      <c r="R25" s="632"/>
      <c r="S25" s="632"/>
      <c r="T25" s="632"/>
      <c r="U25" s="632"/>
      <c r="V25" s="633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5" t="s">
        <v>88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6">
        <v>4680115885912</v>
      </c>
      <c r="E27" s="62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6">
        <v>4607091388237</v>
      </c>
      <c r="E28" s="62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6">
        <v>4680115887350</v>
      </c>
      <c r="E29" s="62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6">
        <v>4680115885905</v>
      </c>
      <c r="E30" s="62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4"/>
      <c r="B31" s="634"/>
      <c r="C31" s="634"/>
      <c r="D31" s="634"/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5"/>
      <c r="P31" s="631" t="s">
        <v>40</v>
      </c>
      <c r="Q31" s="632"/>
      <c r="R31" s="632"/>
      <c r="S31" s="632"/>
      <c r="T31" s="632"/>
      <c r="U31" s="632"/>
      <c r="V31" s="633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4"/>
      <c r="B32" s="634"/>
      <c r="C32" s="634"/>
      <c r="D32" s="634"/>
      <c r="E32" s="634"/>
      <c r="F32" s="634"/>
      <c r="G32" s="634"/>
      <c r="H32" s="634"/>
      <c r="I32" s="634"/>
      <c r="J32" s="634"/>
      <c r="K32" s="634"/>
      <c r="L32" s="634"/>
      <c r="M32" s="634"/>
      <c r="N32" s="634"/>
      <c r="O32" s="635"/>
      <c r="P32" s="631" t="s">
        <v>40</v>
      </c>
      <c r="Q32" s="632"/>
      <c r="R32" s="632"/>
      <c r="S32" s="632"/>
      <c r="T32" s="632"/>
      <c r="U32" s="632"/>
      <c r="V32" s="633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5" t="s">
        <v>102</v>
      </c>
      <c r="B33" s="625"/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6">
        <v>4607091388503</v>
      </c>
      <c r="E34" s="626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8"/>
      <c r="R34" s="628"/>
      <c r="S34" s="628"/>
      <c r="T34" s="629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4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5"/>
      <c r="P35" s="631" t="s">
        <v>40</v>
      </c>
      <c r="Q35" s="632"/>
      <c r="R35" s="632"/>
      <c r="S35" s="632"/>
      <c r="T35" s="632"/>
      <c r="U35" s="632"/>
      <c r="V35" s="633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4"/>
      <c r="B36" s="634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5"/>
      <c r="P36" s="631" t="s">
        <v>40</v>
      </c>
      <c r="Q36" s="632"/>
      <c r="R36" s="632"/>
      <c r="S36" s="632"/>
      <c r="T36" s="632"/>
      <c r="U36" s="632"/>
      <c r="V36" s="633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3" t="s">
        <v>108</v>
      </c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3"/>
      <c r="W37" s="623"/>
      <c r="X37" s="623"/>
      <c r="Y37" s="623"/>
      <c r="Z37" s="623"/>
      <c r="AA37" s="54"/>
      <c r="AB37" s="54"/>
      <c r="AC37" s="54"/>
    </row>
    <row r="38" spans="1:68" ht="16.5" customHeight="1" x14ac:dyDescent="0.25">
      <c r="A38" s="624" t="s">
        <v>109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65"/>
      <c r="AB38" s="65"/>
      <c r="AC38" s="79"/>
    </row>
    <row r="39" spans="1:68" ht="14.25" customHeight="1" x14ac:dyDescent="0.25">
      <c r="A39" s="625" t="s">
        <v>110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6">
        <v>4607091385670</v>
      </c>
      <c r="E40" s="626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8"/>
      <c r="R40" s="628"/>
      <c r="S40" s="628"/>
      <c r="T40" s="629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6">
        <v>4607091385687</v>
      </c>
      <c r="E41" s="626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8"/>
      <c r="R41" s="628"/>
      <c r="S41" s="628"/>
      <c r="T41" s="629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6">
        <v>4680115882539</v>
      </c>
      <c r="E42" s="626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121</v>
      </c>
      <c r="M42" s="38" t="s">
        <v>92</v>
      </c>
      <c r="N42" s="38"/>
      <c r="O42" s="37">
        <v>50</v>
      </c>
      <c r="P42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8"/>
      <c r="R42" s="628"/>
      <c r="S42" s="628"/>
      <c r="T42" s="629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4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4"/>
      <c r="O43" s="635"/>
      <c r="P43" s="631" t="s">
        <v>40</v>
      </c>
      <c r="Q43" s="632"/>
      <c r="R43" s="632"/>
      <c r="S43" s="632"/>
      <c r="T43" s="632"/>
      <c r="U43" s="632"/>
      <c r="V43" s="633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4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5"/>
      <c r="P44" s="631" t="s">
        <v>40</v>
      </c>
      <c r="Q44" s="632"/>
      <c r="R44" s="632"/>
      <c r="S44" s="632"/>
      <c r="T44" s="632"/>
      <c r="U44" s="632"/>
      <c r="V44" s="633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5" t="s">
        <v>88</v>
      </c>
      <c r="B45" s="625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6">
        <v>4680115884915</v>
      </c>
      <c r="E46" s="626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8"/>
      <c r="R46" s="628"/>
      <c r="S46" s="628"/>
      <c r="T46" s="629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4"/>
      <c r="B47" s="634"/>
      <c r="C47" s="634"/>
      <c r="D47" s="634"/>
      <c r="E47" s="634"/>
      <c r="F47" s="634"/>
      <c r="G47" s="634"/>
      <c r="H47" s="634"/>
      <c r="I47" s="634"/>
      <c r="J47" s="634"/>
      <c r="K47" s="634"/>
      <c r="L47" s="634"/>
      <c r="M47" s="634"/>
      <c r="N47" s="634"/>
      <c r="O47" s="635"/>
      <c r="P47" s="631" t="s">
        <v>40</v>
      </c>
      <c r="Q47" s="632"/>
      <c r="R47" s="632"/>
      <c r="S47" s="632"/>
      <c r="T47" s="632"/>
      <c r="U47" s="632"/>
      <c r="V47" s="633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4"/>
      <c r="B48" s="634"/>
      <c r="C48" s="634"/>
      <c r="D48" s="634"/>
      <c r="E48" s="634"/>
      <c r="F48" s="634"/>
      <c r="G48" s="634"/>
      <c r="H48" s="634"/>
      <c r="I48" s="634"/>
      <c r="J48" s="634"/>
      <c r="K48" s="634"/>
      <c r="L48" s="634"/>
      <c r="M48" s="634"/>
      <c r="N48" s="634"/>
      <c r="O48" s="635"/>
      <c r="P48" s="631" t="s">
        <v>40</v>
      </c>
      <c r="Q48" s="632"/>
      <c r="R48" s="632"/>
      <c r="S48" s="632"/>
      <c r="T48" s="632"/>
      <c r="U48" s="632"/>
      <c r="V48" s="633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4" t="s">
        <v>127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5"/>
      <c r="AB49" s="65"/>
      <c r="AC49" s="79"/>
    </row>
    <row r="50" spans="1:68" ht="14.25" customHeight="1" x14ac:dyDescent="0.25">
      <c r="A50" s="625" t="s">
        <v>110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6">
        <v>4680115885882</v>
      </c>
      <c r="E51" s="626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8"/>
      <c r="R51" s="628"/>
      <c r="S51" s="628"/>
      <c r="T51" s="629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6">
        <v>4680115881426</v>
      </c>
      <c r="E52" s="626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8"/>
      <c r="R52" s="628"/>
      <c r="S52" s="628"/>
      <c r="T52" s="629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6">
        <v>4680115880283</v>
      </c>
      <c r="E53" s="626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8"/>
      <c r="R53" s="628"/>
      <c r="S53" s="628"/>
      <c r="T53" s="629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26">
        <v>4680115881525</v>
      </c>
      <c r="E54" s="626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8"/>
      <c r="R54" s="628"/>
      <c r="S54" s="628"/>
      <c r="T54" s="629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6">
        <v>4680115885899</v>
      </c>
      <c r="E55" s="626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8"/>
      <c r="R55" s="628"/>
      <c r="S55" s="628"/>
      <c r="T55" s="629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26">
        <v>4680115881419</v>
      </c>
      <c r="E56" s="626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8"/>
      <c r="R56" s="628"/>
      <c r="S56" s="628"/>
      <c r="T56" s="629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4"/>
      <c r="B57" s="634"/>
      <c r="C57" s="634"/>
      <c r="D57" s="634"/>
      <c r="E57" s="634"/>
      <c r="F57" s="634"/>
      <c r="G57" s="634"/>
      <c r="H57" s="634"/>
      <c r="I57" s="634"/>
      <c r="J57" s="634"/>
      <c r="K57" s="634"/>
      <c r="L57" s="634"/>
      <c r="M57" s="634"/>
      <c r="N57" s="634"/>
      <c r="O57" s="635"/>
      <c r="P57" s="631" t="s">
        <v>40</v>
      </c>
      <c r="Q57" s="632"/>
      <c r="R57" s="632"/>
      <c r="S57" s="632"/>
      <c r="T57" s="632"/>
      <c r="U57" s="632"/>
      <c r="V57" s="633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4"/>
      <c r="B58" s="634"/>
      <c r="C58" s="634"/>
      <c r="D58" s="634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5"/>
      <c r="P58" s="631" t="s">
        <v>40</v>
      </c>
      <c r="Q58" s="632"/>
      <c r="R58" s="632"/>
      <c r="S58" s="632"/>
      <c r="T58" s="632"/>
      <c r="U58" s="632"/>
      <c r="V58" s="633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5" t="s">
        <v>146</v>
      </c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6">
        <v>4680115881440</v>
      </c>
      <c r="E60" s="626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8"/>
      <c r="R60" s="628"/>
      <c r="S60" s="628"/>
      <c r="T60" s="629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6">
        <v>4680115885950</v>
      </c>
      <c r="E61" s="626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8"/>
      <c r="R61" s="628"/>
      <c r="S61" s="628"/>
      <c r="T61" s="629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6">
        <v>4680115881433</v>
      </c>
      <c r="E62" s="626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8"/>
      <c r="R62" s="628"/>
      <c r="S62" s="628"/>
      <c r="T62" s="629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4"/>
      <c r="B63" s="634"/>
      <c r="C63" s="634"/>
      <c r="D63" s="634"/>
      <c r="E63" s="634"/>
      <c r="F63" s="634"/>
      <c r="G63" s="634"/>
      <c r="H63" s="634"/>
      <c r="I63" s="634"/>
      <c r="J63" s="634"/>
      <c r="K63" s="634"/>
      <c r="L63" s="634"/>
      <c r="M63" s="634"/>
      <c r="N63" s="634"/>
      <c r="O63" s="635"/>
      <c r="P63" s="631" t="s">
        <v>40</v>
      </c>
      <c r="Q63" s="632"/>
      <c r="R63" s="632"/>
      <c r="S63" s="632"/>
      <c r="T63" s="632"/>
      <c r="U63" s="632"/>
      <c r="V63" s="633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4"/>
      <c r="B64" s="634"/>
      <c r="C64" s="634"/>
      <c r="D64" s="634"/>
      <c r="E64" s="634"/>
      <c r="F64" s="634"/>
      <c r="G64" s="634"/>
      <c r="H64" s="634"/>
      <c r="I64" s="634"/>
      <c r="J64" s="634"/>
      <c r="K64" s="634"/>
      <c r="L64" s="634"/>
      <c r="M64" s="634"/>
      <c r="N64" s="634"/>
      <c r="O64" s="635"/>
      <c r="P64" s="631" t="s">
        <v>40</v>
      </c>
      <c r="Q64" s="632"/>
      <c r="R64" s="632"/>
      <c r="S64" s="632"/>
      <c r="T64" s="632"/>
      <c r="U64" s="632"/>
      <c r="V64" s="633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5" t="s">
        <v>78</v>
      </c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5"/>
      <c r="X65" s="625"/>
      <c r="Y65" s="625"/>
      <c r="Z65" s="625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6">
        <v>4680115885073</v>
      </c>
      <c r="E66" s="626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8"/>
      <c r="R66" s="628"/>
      <c r="S66" s="628"/>
      <c r="T66" s="629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626">
        <v>4680115885097</v>
      </c>
      <c r="E67" s="626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28"/>
      <c r="R67" s="628"/>
      <c r="S67" s="628"/>
      <c r="T67" s="629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4"/>
      <c r="B68" s="634"/>
      <c r="C68" s="634"/>
      <c r="D68" s="634"/>
      <c r="E68" s="634"/>
      <c r="F68" s="634"/>
      <c r="G68" s="634"/>
      <c r="H68" s="634"/>
      <c r="I68" s="634"/>
      <c r="J68" s="634"/>
      <c r="K68" s="634"/>
      <c r="L68" s="634"/>
      <c r="M68" s="634"/>
      <c r="N68" s="634"/>
      <c r="O68" s="635"/>
      <c r="P68" s="631" t="s">
        <v>40</v>
      </c>
      <c r="Q68" s="632"/>
      <c r="R68" s="632"/>
      <c r="S68" s="632"/>
      <c r="T68" s="632"/>
      <c r="U68" s="632"/>
      <c r="V68" s="633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4"/>
      <c r="B69" s="634"/>
      <c r="C69" s="634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35"/>
      <c r="P69" s="631" t="s">
        <v>40</v>
      </c>
      <c r="Q69" s="632"/>
      <c r="R69" s="632"/>
      <c r="S69" s="632"/>
      <c r="T69" s="632"/>
      <c r="U69" s="632"/>
      <c r="V69" s="633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5" t="s">
        <v>88</v>
      </c>
      <c r="B70" s="625"/>
      <c r="C70" s="625"/>
      <c r="D70" s="625"/>
      <c r="E70" s="625"/>
      <c r="F70" s="625"/>
      <c r="G70" s="625"/>
      <c r="H70" s="625"/>
      <c r="I70" s="625"/>
      <c r="J70" s="625"/>
      <c r="K70" s="625"/>
      <c r="L70" s="625"/>
      <c r="M70" s="625"/>
      <c r="N70" s="625"/>
      <c r="O70" s="625"/>
      <c r="P70" s="625"/>
      <c r="Q70" s="625"/>
      <c r="R70" s="625"/>
      <c r="S70" s="625"/>
      <c r="T70" s="625"/>
      <c r="U70" s="625"/>
      <c r="V70" s="625"/>
      <c r="W70" s="625"/>
      <c r="X70" s="625"/>
      <c r="Y70" s="625"/>
      <c r="Z70" s="625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626">
        <v>4680115885769</v>
      </c>
      <c r="E71" s="626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116</v>
      </c>
      <c r="M71" s="38" t="s">
        <v>92</v>
      </c>
      <c r="N71" s="38"/>
      <c r="O71" s="37">
        <v>45</v>
      </c>
      <c r="P71" s="6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28"/>
      <c r="R71" s="628"/>
      <c r="S71" s="628"/>
      <c r="T71" s="629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117</v>
      </c>
      <c r="AK71" s="84">
        <v>67.2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626">
        <v>4680115884311</v>
      </c>
      <c r="E72" s="626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8"/>
      <c r="R72" s="628"/>
      <c r="S72" s="628"/>
      <c r="T72" s="629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626">
        <v>4680115885929</v>
      </c>
      <c r="E73" s="626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28"/>
      <c r="R73" s="628"/>
      <c r="S73" s="628"/>
      <c r="T73" s="629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626">
        <v>4680115884403</v>
      </c>
      <c r="E74" s="626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28"/>
      <c r="R74" s="628"/>
      <c r="S74" s="628"/>
      <c r="T74" s="629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4"/>
      <c r="B75" s="634"/>
      <c r="C75" s="634"/>
      <c r="D75" s="634"/>
      <c r="E75" s="634"/>
      <c r="F75" s="634"/>
      <c r="G75" s="634"/>
      <c r="H75" s="634"/>
      <c r="I75" s="634"/>
      <c r="J75" s="634"/>
      <c r="K75" s="634"/>
      <c r="L75" s="634"/>
      <c r="M75" s="634"/>
      <c r="N75" s="634"/>
      <c r="O75" s="635"/>
      <c r="P75" s="631" t="s">
        <v>40</v>
      </c>
      <c r="Q75" s="632"/>
      <c r="R75" s="632"/>
      <c r="S75" s="632"/>
      <c r="T75" s="632"/>
      <c r="U75" s="632"/>
      <c r="V75" s="633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4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634"/>
      <c r="O76" s="635"/>
      <c r="P76" s="631" t="s">
        <v>40</v>
      </c>
      <c r="Q76" s="632"/>
      <c r="R76" s="632"/>
      <c r="S76" s="632"/>
      <c r="T76" s="632"/>
      <c r="U76" s="632"/>
      <c r="V76" s="633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5" t="s">
        <v>171</v>
      </c>
      <c r="B77" s="625"/>
      <c r="C77" s="625"/>
      <c r="D77" s="625"/>
      <c r="E77" s="625"/>
      <c r="F77" s="625"/>
      <c r="G77" s="625"/>
      <c r="H77" s="625"/>
      <c r="I77" s="625"/>
      <c r="J77" s="625"/>
      <c r="K77" s="625"/>
      <c r="L77" s="625"/>
      <c r="M77" s="625"/>
      <c r="N77" s="625"/>
      <c r="O77" s="625"/>
      <c r="P77" s="625"/>
      <c r="Q77" s="625"/>
      <c r="R77" s="625"/>
      <c r="S77" s="625"/>
      <c r="T77" s="625"/>
      <c r="U77" s="625"/>
      <c r="V77" s="625"/>
      <c r="W77" s="625"/>
      <c r="X77" s="625"/>
      <c r="Y77" s="625"/>
      <c r="Z77" s="625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626">
        <v>4680115881532</v>
      </c>
      <c r="E78" s="62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6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28"/>
      <c r="R78" s="628"/>
      <c r="S78" s="628"/>
      <c r="T78" s="629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626">
        <v>4680115881464</v>
      </c>
      <c r="E79" s="62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28"/>
      <c r="R79" s="628"/>
      <c r="S79" s="628"/>
      <c r="T79" s="629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634"/>
      <c r="O80" s="635"/>
      <c r="P80" s="631" t="s">
        <v>40</v>
      </c>
      <c r="Q80" s="632"/>
      <c r="R80" s="632"/>
      <c r="S80" s="632"/>
      <c r="T80" s="632"/>
      <c r="U80" s="632"/>
      <c r="V80" s="633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4"/>
      <c r="B81" s="634"/>
      <c r="C81" s="634"/>
      <c r="D81" s="634"/>
      <c r="E81" s="634"/>
      <c r="F81" s="634"/>
      <c r="G81" s="634"/>
      <c r="H81" s="634"/>
      <c r="I81" s="634"/>
      <c r="J81" s="634"/>
      <c r="K81" s="634"/>
      <c r="L81" s="634"/>
      <c r="M81" s="634"/>
      <c r="N81" s="634"/>
      <c r="O81" s="635"/>
      <c r="P81" s="631" t="s">
        <v>40</v>
      </c>
      <c r="Q81" s="632"/>
      <c r="R81" s="632"/>
      <c r="S81" s="632"/>
      <c r="T81" s="632"/>
      <c r="U81" s="632"/>
      <c r="V81" s="633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4" t="s">
        <v>178</v>
      </c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  <c r="M82" s="624"/>
      <c r="N82" s="624"/>
      <c r="O82" s="624"/>
      <c r="P82" s="624"/>
      <c r="Q82" s="624"/>
      <c r="R82" s="624"/>
      <c r="S82" s="624"/>
      <c r="T82" s="624"/>
      <c r="U82" s="624"/>
      <c r="V82" s="624"/>
      <c r="W82" s="624"/>
      <c r="X82" s="624"/>
      <c r="Y82" s="624"/>
      <c r="Z82" s="624"/>
      <c r="AA82" s="65"/>
      <c r="AB82" s="65"/>
      <c r="AC82" s="79"/>
    </row>
    <row r="83" spans="1:68" ht="14.25" customHeight="1" x14ac:dyDescent="0.25">
      <c r="A83" s="625" t="s">
        <v>110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626">
        <v>4680115881327</v>
      </c>
      <c r="E84" s="626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8"/>
      <c r="R84" s="628"/>
      <c r="S84" s="628"/>
      <c r="T84" s="629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626">
        <v>4680115887732</v>
      </c>
      <c r="E85" s="626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6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28"/>
      <c r="R85" s="628"/>
      <c r="S85" s="628"/>
      <c r="T85" s="629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6">
        <v>4680115881518</v>
      </c>
      <c r="E86" s="626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8"/>
      <c r="R86" s="628"/>
      <c r="S86" s="628"/>
      <c r="T86" s="629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6">
        <v>4680115881303</v>
      </c>
      <c r="E87" s="626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98</v>
      </c>
      <c r="N87" s="38"/>
      <c r="O87" s="37">
        <v>50</v>
      </c>
      <c r="P87" s="6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8"/>
      <c r="R87" s="628"/>
      <c r="S87" s="628"/>
      <c r="T87" s="629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4"/>
      <c r="B88" s="634"/>
      <c r="C88" s="634"/>
      <c r="D88" s="634"/>
      <c r="E88" s="634"/>
      <c r="F88" s="634"/>
      <c r="G88" s="634"/>
      <c r="H88" s="634"/>
      <c r="I88" s="634"/>
      <c r="J88" s="634"/>
      <c r="K88" s="634"/>
      <c r="L88" s="634"/>
      <c r="M88" s="634"/>
      <c r="N88" s="634"/>
      <c r="O88" s="635"/>
      <c r="P88" s="631" t="s">
        <v>40</v>
      </c>
      <c r="Q88" s="632"/>
      <c r="R88" s="632"/>
      <c r="S88" s="632"/>
      <c r="T88" s="632"/>
      <c r="U88" s="632"/>
      <c r="V88" s="633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4"/>
      <c r="B89" s="634"/>
      <c r="C89" s="634"/>
      <c r="D89" s="634"/>
      <c r="E89" s="634"/>
      <c r="F89" s="634"/>
      <c r="G89" s="634"/>
      <c r="H89" s="634"/>
      <c r="I89" s="634"/>
      <c r="J89" s="634"/>
      <c r="K89" s="634"/>
      <c r="L89" s="634"/>
      <c r="M89" s="634"/>
      <c r="N89" s="634"/>
      <c r="O89" s="635"/>
      <c r="P89" s="631" t="s">
        <v>40</v>
      </c>
      <c r="Q89" s="632"/>
      <c r="R89" s="632"/>
      <c r="S89" s="632"/>
      <c r="T89" s="632"/>
      <c r="U89" s="632"/>
      <c r="V89" s="633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5" t="s">
        <v>88</v>
      </c>
      <c r="B90" s="625"/>
      <c r="C90" s="625"/>
      <c r="D90" s="625"/>
      <c r="E90" s="625"/>
      <c r="F90" s="625"/>
      <c r="G90" s="625"/>
      <c r="H90" s="625"/>
      <c r="I90" s="625"/>
      <c r="J90" s="625"/>
      <c r="K90" s="625"/>
      <c r="L90" s="625"/>
      <c r="M90" s="625"/>
      <c r="N90" s="625"/>
      <c r="O90" s="625"/>
      <c r="P90" s="625"/>
      <c r="Q90" s="625"/>
      <c r="R90" s="625"/>
      <c r="S90" s="625"/>
      <c r="T90" s="625"/>
      <c r="U90" s="625"/>
      <c r="V90" s="625"/>
      <c r="W90" s="625"/>
      <c r="X90" s="625"/>
      <c r="Y90" s="625"/>
      <c r="Z90" s="625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26">
        <v>4607091386967</v>
      </c>
      <c r="E91" s="626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8"/>
      <c r="R91" s="628"/>
      <c r="S91" s="628"/>
      <c r="T91" s="629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6">
        <v>4680115884953</v>
      </c>
      <c r="E92" s="626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8"/>
      <c r="R92" s="628"/>
      <c r="S92" s="628"/>
      <c r="T92" s="629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6">
        <v>4607091385731</v>
      </c>
      <c r="E93" s="626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197</v>
      </c>
      <c r="M93" s="38" t="s">
        <v>98</v>
      </c>
      <c r="N93" s="38"/>
      <c r="O93" s="37">
        <v>45</v>
      </c>
      <c r="P93" s="6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8"/>
      <c r="R93" s="628"/>
      <c r="S93" s="628"/>
      <c r="T93" s="629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6">
        <v>4680115880894</v>
      </c>
      <c r="E94" s="626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197</v>
      </c>
      <c r="M94" s="38" t="s">
        <v>92</v>
      </c>
      <c r="N94" s="38"/>
      <c r="O94" s="37">
        <v>45</v>
      </c>
      <c r="P94" s="6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8"/>
      <c r="R94" s="628"/>
      <c r="S94" s="628"/>
      <c r="T94" s="629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5"/>
      <c r="P95" s="631" t="s">
        <v>40</v>
      </c>
      <c r="Q95" s="632"/>
      <c r="R95" s="632"/>
      <c r="S95" s="632"/>
      <c r="T95" s="632"/>
      <c r="U95" s="632"/>
      <c r="V95" s="633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5"/>
      <c r="P96" s="631" t="s">
        <v>40</v>
      </c>
      <c r="Q96" s="632"/>
      <c r="R96" s="632"/>
      <c r="S96" s="632"/>
      <c r="T96" s="632"/>
      <c r="U96" s="632"/>
      <c r="V96" s="633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4" t="s">
        <v>201</v>
      </c>
      <c r="B97" s="624"/>
      <c r="C97" s="624"/>
      <c r="D97" s="624"/>
      <c r="E97" s="624"/>
      <c r="F97" s="624"/>
      <c r="G97" s="624"/>
      <c r="H97" s="624"/>
      <c r="I97" s="624"/>
      <c r="J97" s="624"/>
      <c r="K97" s="624"/>
      <c r="L97" s="624"/>
      <c r="M97" s="624"/>
      <c r="N97" s="624"/>
      <c r="O97" s="624"/>
      <c r="P97" s="624"/>
      <c r="Q97" s="624"/>
      <c r="R97" s="624"/>
      <c r="S97" s="624"/>
      <c r="T97" s="624"/>
      <c r="U97" s="624"/>
      <c r="V97" s="624"/>
      <c r="W97" s="624"/>
      <c r="X97" s="624"/>
      <c r="Y97" s="624"/>
      <c r="Z97" s="624"/>
      <c r="AA97" s="65"/>
      <c r="AB97" s="65"/>
      <c r="AC97" s="79"/>
    </row>
    <row r="98" spans="1:68" ht="14.25" customHeight="1" x14ac:dyDescent="0.25">
      <c r="A98" s="625" t="s">
        <v>110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6">
        <v>4680115882133</v>
      </c>
      <c r="E99" s="626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8"/>
      <c r="R99" s="628"/>
      <c r="S99" s="628"/>
      <c r="T99" s="629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626">
        <v>4680115887718</v>
      </c>
      <c r="E100" s="626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28"/>
      <c r="R100" s="628"/>
      <c r="S100" s="628"/>
      <c r="T100" s="629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26">
        <v>4680115880269</v>
      </c>
      <c r="E101" s="626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6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8"/>
      <c r="R101" s="628"/>
      <c r="S101" s="628"/>
      <c r="T101" s="629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26">
        <v>4680115880429</v>
      </c>
      <c r="E102" s="626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6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8"/>
      <c r="R102" s="628"/>
      <c r="S102" s="628"/>
      <c r="T102" s="629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26">
        <v>4680115881457</v>
      </c>
      <c r="E103" s="626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8"/>
      <c r="R103" s="628"/>
      <c r="S103" s="628"/>
      <c r="T103" s="629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5"/>
      <c r="P104" s="631" t="s">
        <v>40</v>
      </c>
      <c r="Q104" s="632"/>
      <c r="R104" s="632"/>
      <c r="S104" s="632"/>
      <c r="T104" s="632"/>
      <c r="U104" s="632"/>
      <c r="V104" s="633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5"/>
      <c r="P105" s="631" t="s">
        <v>40</v>
      </c>
      <c r="Q105" s="632"/>
      <c r="R105" s="632"/>
      <c r="S105" s="632"/>
      <c r="T105" s="632"/>
      <c r="U105" s="632"/>
      <c r="V105" s="633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5" t="s">
        <v>146</v>
      </c>
      <c r="B106" s="625"/>
      <c r="C106" s="625"/>
      <c r="D106" s="625"/>
      <c r="E106" s="625"/>
      <c r="F106" s="625"/>
      <c r="G106" s="625"/>
      <c r="H106" s="625"/>
      <c r="I106" s="625"/>
      <c r="J106" s="625"/>
      <c r="K106" s="625"/>
      <c r="L106" s="625"/>
      <c r="M106" s="625"/>
      <c r="N106" s="625"/>
      <c r="O106" s="625"/>
      <c r="P106" s="625"/>
      <c r="Q106" s="625"/>
      <c r="R106" s="625"/>
      <c r="S106" s="625"/>
      <c r="T106" s="625"/>
      <c r="U106" s="625"/>
      <c r="V106" s="625"/>
      <c r="W106" s="625"/>
      <c r="X106" s="625"/>
      <c r="Y106" s="625"/>
      <c r="Z106" s="625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26">
        <v>4680115881488</v>
      </c>
      <c r="E107" s="626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8"/>
      <c r="R107" s="628"/>
      <c r="S107" s="628"/>
      <c r="T107" s="629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626">
        <v>4680115887664</v>
      </c>
      <c r="E108" s="626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6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28"/>
      <c r="R108" s="628"/>
      <c r="S108" s="628"/>
      <c r="T108" s="629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626">
        <v>4680115882775</v>
      </c>
      <c r="E109" s="626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7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28"/>
      <c r="R109" s="628"/>
      <c r="S109" s="628"/>
      <c r="T109" s="629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626">
        <v>4680115880658</v>
      </c>
      <c r="E110" s="626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197</v>
      </c>
      <c r="M110" s="38" t="s">
        <v>114</v>
      </c>
      <c r="N110" s="38"/>
      <c r="O110" s="37">
        <v>55</v>
      </c>
      <c r="P110" s="67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28"/>
      <c r="R110" s="628"/>
      <c r="S110" s="628"/>
      <c r="T110" s="629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117</v>
      </c>
      <c r="AK110" s="84">
        <v>33.6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5"/>
      <c r="P111" s="631" t="s">
        <v>40</v>
      </c>
      <c r="Q111" s="632"/>
      <c r="R111" s="632"/>
      <c r="S111" s="632"/>
      <c r="T111" s="632"/>
      <c r="U111" s="632"/>
      <c r="V111" s="633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5"/>
      <c r="P112" s="631" t="s">
        <v>40</v>
      </c>
      <c r="Q112" s="632"/>
      <c r="R112" s="632"/>
      <c r="S112" s="632"/>
      <c r="T112" s="632"/>
      <c r="U112" s="632"/>
      <c r="V112" s="633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5" t="s">
        <v>88</v>
      </c>
      <c r="B113" s="625"/>
      <c r="C113" s="625"/>
      <c r="D113" s="625"/>
      <c r="E113" s="625"/>
      <c r="F113" s="625"/>
      <c r="G113" s="625"/>
      <c r="H113" s="625"/>
      <c r="I113" s="625"/>
      <c r="J113" s="625"/>
      <c r="K113" s="625"/>
      <c r="L113" s="625"/>
      <c r="M113" s="625"/>
      <c r="N113" s="625"/>
      <c r="O113" s="625"/>
      <c r="P113" s="625"/>
      <c r="Q113" s="625"/>
      <c r="R113" s="625"/>
      <c r="S113" s="625"/>
      <c r="T113" s="625"/>
      <c r="U113" s="625"/>
      <c r="V113" s="625"/>
      <c r="W113" s="625"/>
      <c r="X113" s="625"/>
      <c r="Y113" s="625"/>
      <c r="Z113" s="625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26">
        <v>4607091385168</v>
      </c>
      <c r="E114" s="626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7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28"/>
      <c r="R114" s="628"/>
      <c r="S114" s="628"/>
      <c r="T114" s="629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26">
        <v>4607091383256</v>
      </c>
      <c r="E115" s="626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28"/>
      <c r="R115" s="628"/>
      <c r="S115" s="628"/>
      <c r="T115" s="629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26">
        <v>4607091385748</v>
      </c>
      <c r="E116" s="626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197</v>
      </c>
      <c r="M116" s="38" t="s">
        <v>98</v>
      </c>
      <c r="N116" s="38"/>
      <c r="O116" s="37">
        <v>45</v>
      </c>
      <c r="P116" s="68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28"/>
      <c r="R116" s="628"/>
      <c r="S116" s="628"/>
      <c r="T116" s="629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26">
        <v>4680115884533</v>
      </c>
      <c r="E117" s="626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28"/>
      <c r="R117" s="628"/>
      <c r="S117" s="628"/>
      <c r="T117" s="629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4"/>
      <c r="B118" s="634"/>
      <c r="C118" s="634"/>
      <c r="D118" s="634"/>
      <c r="E118" s="634"/>
      <c r="F118" s="634"/>
      <c r="G118" s="634"/>
      <c r="H118" s="634"/>
      <c r="I118" s="634"/>
      <c r="J118" s="634"/>
      <c r="K118" s="634"/>
      <c r="L118" s="634"/>
      <c r="M118" s="634"/>
      <c r="N118" s="634"/>
      <c r="O118" s="635"/>
      <c r="P118" s="631" t="s">
        <v>40</v>
      </c>
      <c r="Q118" s="632"/>
      <c r="R118" s="632"/>
      <c r="S118" s="632"/>
      <c r="T118" s="632"/>
      <c r="U118" s="632"/>
      <c r="V118" s="633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4"/>
      <c r="B119" s="634"/>
      <c r="C119" s="634"/>
      <c r="D119" s="634"/>
      <c r="E119" s="634"/>
      <c r="F119" s="634"/>
      <c r="G119" s="634"/>
      <c r="H119" s="634"/>
      <c r="I119" s="634"/>
      <c r="J119" s="634"/>
      <c r="K119" s="634"/>
      <c r="L119" s="634"/>
      <c r="M119" s="634"/>
      <c r="N119" s="634"/>
      <c r="O119" s="635"/>
      <c r="P119" s="631" t="s">
        <v>40</v>
      </c>
      <c r="Q119" s="632"/>
      <c r="R119" s="632"/>
      <c r="S119" s="632"/>
      <c r="T119" s="632"/>
      <c r="U119" s="632"/>
      <c r="V119" s="633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5" t="s">
        <v>171</v>
      </c>
      <c r="B120" s="625"/>
      <c r="C120" s="625"/>
      <c r="D120" s="625"/>
      <c r="E120" s="625"/>
      <c r="F120" s="625"/>
      <c r="G120" s="625"/>
      <c r="H120" s="625"/>
      <c r="I120" s="625"/>
      <c r="J120" s="625"/>
      <c r="K120" s="625"/>
      <c r="L120" s="625"/>
      <c r="M120" s="625"/>
      <c r="N120" s="625"/>
      <c r="O120" s="625"/>
      <c r="P120" s="625"/>
      <c r="Q120" s="625"/>
      <c r="R120" s="625"/>
      <c r="S120" s="625"/>
      <c r="T120" s="625"/>
      <c r="U120" s="625"/>
      <c r="V120" s="625"/>
      <c r="W120" s="625"/>
      <c r="X120" s="625"/>
      <c r="Y120" s="625"/>
      <c r="Z120" s="625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26">
        <v>4680115880238</v>
      </c>
      <c r="E121" s="626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28"/>
      <c r="R121" s="628"/>
      <c r="S121" s="628"/>
      <c r="T121" s="629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4"/>
      <c r="B122" s="634"/>
      <c r="C122" s="634"/>
      <c r="D122" s="634"/>
      <c r="E122" s="634"/>
      <c r="F122" s="634"/>
      <c r="G122" s="634"/>
      <c r="H122" s="634"/>
      <c r="I122" s="634"/>
      <c r="J122" s="634"/>
      <c r="K122" s="634"/>
      <c r="L122" s="634"/>
      <c r="M122" s="634"/>
      <c r="N122" s="634"/>
      <c r="O122" s="635"/>
      <c r="P122" s="631" t="s">
        <v>40</v>
      </c>
      <c r="Q122" s="632"/>
      <c r="R122" s="632"/>
      <c r="S122" s="632"/>
      <c r="T122" s="632"/>
      <c r="U122" s="632"/>
      <c r="V122" s="633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4"/>
      <c r="B123" s="634"/>
      <c r="C123" s="634"/>
      <c r="D123" s="634"/>
      <c r="E123" s="634"/>
      <c r="F123" s="634"/>
      <c r="G123" s="634"/>
      <c r="H123" s="634"/>
      <c r="I123" s="634"/>
      <c r="J123" s="634"/>
      <c r="K123" s="634"/>
      <c r="L123" s="634"/>
      <c r="M123" s="634"/>
      <c r="N123" s="634"/>
      <c r="O123" s="635"/>
      <c r="P123" s="631" t="s">
        <v>40</v>
      </c>
      <c r="Q123" s="632"/>
      <c r="R123" s="632"/>
      <c r="S123" s="632"/>
      <c r="T123" s="632"/>
      <c r="U123" s="632"/>
      <c r="V123" s="633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4" t="s">
        <v>238</v>
      </c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5"/>
      <c r="AB124" s="65"/>
      <c r="AC124" s="79"/>
    </row>
    <row r="125" spans="1:68" ht="14.25" customHeight="1" x14ac:dyDescent="0.25">
      <c r="A125" s="625" t="s">
        <v>110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26">
        <v>4680115882577</v>
      </c>
      <c r="E126" s="626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197</v>
      </c>
      <c r="M126" s="38" t="s">
        <v>107</v>
      </c>
      <c r="N126" s="38"/>
      <c r="O126" s="37">
        <v>90</v>
      </c>
      <c r="P126" s="6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8"/>
      <c r="R126" s="628"/>
      <c r="S126" s="628"/>
      <c r="T126" s="629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26">
        <v>4680115882577</v>
      </c>
      <c r="E127" s="626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197</v>
      </c>
      <c r="M127" s="38" t="s">
        <v>107</v>
      </c>
      <c r="N127" s="38"/>
      <c r="O127" s="37">
        <v>90</v>
      </c>
      <c r="P127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8"/>
      <c r="R127" s="628"/>
      <c r="S127" s="628"/>
      <c r="T127" s="629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4"/>
      <c r="B128" s="634"/>
      <c r="C128" s="634"/>
      <c r="D128" s="634"/>
      <c r="E128" s="634"/>
      <c r="F128" s="634"/>
      <c r="G128" s="634"/>
      <c r="H128" s="634"/>
      <c r="I128" s="634"/>
      <c r="J128" s="634"/>
      <c r="K128" s="634"/>
      <c r="L128" s="634"/>
      <c r="M128" s="634"/>
      <c r="N128" s="634"/>
      <c r="O128" s="635"/>
      <c r="P128" s="631" t="s">
        <v>40</v>
      </c>
      <c r="Q128" s="632"/>
      <c r="R128" s="632"/>
      <c r="S128" s="632"/>
      <c r="T128" s="632"/>
      <c r="U128" s="632"/>
      <c r="V128" s="633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4"/>
      <c r="B129" s="634"/>
      <c r="C129" s="634"/>
      <c r="D129" s="634"/>
      <c r="E129" s="634"/>
      <c r="F129" s="634"/>
      <c r="G129" s="634"/>
      <c r="H129" s="634"/>
      <c r="I129" s="634"/>
      <c r="J129" s="634"/>
      <c r="K129" s="634"/>
      <c r="L129" s="634"/>
      <c r="M129" s="634"/>
      <c r="N129" s="634"/>
      <c r="O129" s="635"/>
      <c r="P129" s="631" t="s">
        <v>40</v>
      </c>
      <c r="Q129" s="632"/>
      <c r="R129" s="632"/>
      <c r="S129" s="632"/>
      <c r="T129" s="632"/>
      <c r="U129" s="632"/>
      <c r="V129" s="633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5" t="s">
        <v>78</v>
      </c>
      <c r="B130" s="625"/>
      <c r="C130" s="625"/>
      <c r="D130" s="625"/>
      <c r="E130" s="625"/>
      <c r="F130" s="625"/>
      <c r="G130" s="625"/>
      <c r="H130" s="625"/>
      <c r="I130" s="625"/>
      <c r="J130" s="625"/>
      <c r="K130" s="625"/>
      <c r="L130" s="625"/>
      <c r="M130" s="625"/>
      <c r="N130" s="625"/>
      <c r="O130" s="625"/>
      <c r="P130" s="625"/>
      <c r="Q130" s="625"/>
      <c r="R130" s="625"/>
      <c r="S130" s="625"/>
      <c r="T130" s="625"/>
      <c r="U130" s="625"/>
      <c r="V130" s="625"/>
      <c r="W130" s="625"/>
      <c r="X130" s="625"/>
      <c r="Y130" s="625"/>
      <c r="Z130" s="625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26">
        <v>4680115883444</v>
      </c>
      <c r="E131" s="626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197</v>
      </c>
      <c r="M131" s="38" t="s">
        <v>107</v>
      </c>
      <c r="N131" s="38"/>
      <c r="O131" s="37">
        <v>90</v>
      </c>
      <c r="P131" s="6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8"/>
      <c r="R131" s="628"/>
      <c r="S131" s="628"/>
      <c r="T131" s="629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117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26">
        <v>4680115883444</v>
      </c>
      <c r="E132" s="626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8"/>
      <c r="R132" s="628"/>
      <c r="S132" s="628"/>
      <c r="T132" s="629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4"/>
      <c r="B133" s="634"/>
      <c r="C133" s="634"/>
      <c r="D133" s="634"/>
      <c r="E133" s="634"/>
      <c r="F133" s="634"/>
      <c r="G133" s="634"/>
      <c r="H133" s="634"/>
      <c r="I133" s="634"/>
      <c r="J133" s="634"/>
      <c r="K133" s="634"/>
      <c r="L133" s="634"/>
      <c r="M133" s="634"/>
      <c r="N133" s="634"/>
      <c r="O133" s="635"/>
      <c r="P133" s="631" t="s">
        <v>40</v>
      </c>
      <c r="Q133" s="632"/>
      <c r="R133" s="632"/>
      <c r="S133" s="632"/>
      <c r="T133" s="632"/>
      <c r="U133" s="632"/>
      <c r="V133" s="63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4"/>
      <c r="B134" s="634"/>
      <c r="C134" s="634"/>
      <c r="D134" s="634"/>
      <c r="E134" s="634"/>
      <c r="F134" s="634"/>
      <c r="G134" s="634"/>
      <c r="H134" s="634"/>
      <c r="I134" s="634"/>
      <c r="J134" s="634"/>
      <c r="K134" s="634"/>
      <c r="L134" s="634"/>
      <c r="M134" s="634"/>
      <c r="N134" s="634"/>
      <c r="O134" s="635"/>
      <c r="P134" s="631" t="s">
        <v>40</v>
      </c>
      <c r="Q134" s="632"/>
      <c r="R134" s="632"/>
      <c r="S134" s="632"/>
      <c r="T134" s="632"/>
      <c r="U134" s="632"/>
      <c r="V134" s="63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5" t="s">
        <v>88</v>
      </c>
      <c r="B135" s="625"/>
      <c r="C135" s="625"/>
      <c r="D135" s="625"/>
      <c r="E135" s="625"/>
      <c r="F135" s="625"/>
      <c r="G135" s="625"/>
      <c r="H135" s="625"/>
      <c r="I135" s="625"/>
      <c r="J135" s="625"/>
      <c r="K135" s="625"/>
      <c r="L135" s="625"/>
      <c r="M135" s="625"/>
      <c r="N135" s="625"/>
      <c r="O135" s="625"/>
      <c r="P135" s="625"/>
      <c r="Q135" s="625"/>
      <c r="R135" s="625"/>
      <c r="S135" s="625"/>
      <c r="T135" s="625"/>
      <c r="U135" s="625"/>
      <c r="V135" s="625"/>
      <c r="W135" s="625"/>
      <c r="X135" s="625"/>
      <c r="Y135" s="625"/>
      <c r="Z135" s="625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26">
        <v>4680115882584</v>
      </c>
      <c r="E136" s="626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28"/>
      <c r="R136" s="628"/>
      <c r="S136" s="628"/>
      <c r="T136" s="629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26">
        <v>4680115882584</v>
      </c>
      <c r="E137" s="626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8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28"/>
      <c r="R137" s="628"/>
      <c r="S137" s="628"/>
      <c r="T137" s="629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4"/>
      <c r="B138" s="634"/>
      <c r="C138" s="634"/>
      <c r="D138" s="634"/>
      <c r="E138" s="634"/>
      <c r="F138" s="634"/>
      <c r="G138" s="634"/>
      <c r="H138" s="634"/>
      <c r="I138" s="634"/>
      <c r="J138" s="634"/>
      <c r="K138" s="634"/>
      <c r="L138" s="634"/>
      <c r="M138" s="634"/>
      <c r="N138" s="634"/>
      <c r="O138" s="635"/>
      <c r="P138" s="631" t="s">
        <v>40</v>
      </c>
      <c r="Q138" s="632"/>
      <c r="R138" s="632"/>
      <c r="S138" s="632"/>
      <c r="T138" s="632"/>
      <c r="U138" s="632"/>
      <c r="V138" s="63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4"/>
      <c r="B139" s="634"/>
      <c r="C139" s="634"/>
      <c r="D139" s="634"/>
      <c r="E139" s="634"/>
      <c r="F139" s="634"/>
      <c r="G139" s="634"/>
      <c r="H139" s="634"/>
      <c r="I139" s="634"/>
      <c r="J139" s="634"/>
      <c r="K139" s="634"/>
      <c r="L139" s="634"/>
      <c r="M139" s="634"/>
      <c r="N139" s="634"/>
      <c r="O139" s="635"/>
      <c r="P139" s="631" t="s">
        <v>40</v>
      </c>
      <c r="Q139" s="632"/>
      <c r="R139" s="632"/>
      <c r="S139" s="632"/>
      <c r="T139" s="632"/>
      <c r="U139" s="632"/>
      <c r="V139" s="63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4" t="s">
        <v>108</v>
      </c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624"/>
      <c r="T140" s="624"/>
      <c r="U140" s="624"/>
      <c r="V140" s="624"/>
      <c r="W140" s="624"/>
      <c r="X140" s="624"/>
      <c r="Y140" s="624"/>
      <c r="Z140" s="624"/>
      <c r="AA140" s="65"/>
      <c r="AB140" s="65"/>
      <c r="AC140" s="79"/>
    </row>
    <row r="141" spans="1:68" ht="14.2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26">
        <v>4680115887374</v>
      </c>
      <c r="E142" s="626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28"/>
      <c r="R142" s="628"/>
      <c r="S142" s="628"/>
      <c r="T142" s="629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26">
        <v>4607091384604</v>
      </c>
      <c r="E143" s="626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28"/>
      <c r="R143" s="628"/>
      <c r="S143" s="628"/>
      <c r="T143" s="629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4"/>
      <c r="B144" s="634"/>
      <c r="C144" s="634"/>
      <c r="D144" s="634"/>
      <c r="E144" s="634"/>
      <c r="F144" s="634"/>
      <c r="G144" s="634"/>
      <c r="H144" s="634"/>
      <c r="I144" s="634"/>
      <c r="J144" s="634"/>
      <c r="K144" s="634"/>
      <c r="L144" s="634"/>
      <c r="M144" s="634"/>
      <c r="N144" s="634"/>
      <c r="O144" s="635"/>
      <c r="P144" s="631" t="s">
        <v>40</v>
      </c>
      <c r="Q144" s="632"/>
      <c r="R144" s="632"/>
      <c r="S144" s="632"/>
      <c r="T144" s="632"/>
      <c r="U144" s="632"/>
      <c r="V144" s="633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4"/>
      <c r="B145" s="634"/>
      <c r="C145" s="634"/>
      <c r="D145" s="634"/>
      <c r="E145" s="634"/>
      <c r="F145" s="634"/>
      <c r="G145" s="634"/>
      <c r="H145" s="634"/>
      <c r="I145" s="634"/>
      <c r="J145" s="634"/>
      <c r="K145" s="634"/>
      <c r="L145" s="634"/>
      <c r="M145" s="634"/>
      <c r="N145" s="634"/>
      <c r="O145" s="635"/>
      <c r="P145" s="631" t="s">
        <v>40</v>
      </c>
      <c r="Q145" s="632"/>
      <c r="R145" s="632"/>
      <c r="S145" s="632"/>
      <c r="T145" s="632"/>
      <c r="U145" s="632"/>
      <c r="V145" s="633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5" t="s">
        <v>78</v>
      </c>
      <c r="B146" s="625"/>
      <c r="C146" s="625"/>
      <c r="D146" s="625"/>
      <c r="E146" s="625"/>
      <c r="F146" s="625"/>
      <c r="G146" s="625"/>
      <c r="H146" s="625"/>
      <c r="I146" s="625"/>
      <c r="J146" s="625"/>
      <c r="K146" s="625"/>
      <c r="L146" s="625"/>
      <c r="M146" s="625"/>
      <c r="N146" s="625"/>
      <c r="O146" s="625"/>
      <c r="P146" s="625"/>
      <c r="Q146" s="625"/>
      <c r="R146" s="625"/>
      <c r="S146" s="625"/>
      <c r="T146" s="625"/>
      <c r="U146" s="625"/>
      <c r="V146" s="625"/>
      <c r="W146" s="625"/>
      <c r="X146" s="625"/>
      <c r="Y146" s="625"/>
      <c r="Z146" s="625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4301031450</v>
      </c>
      <c r="D147" s="626">
        <v>4680115887428</v>
      </c>
      <c r="E147" s="626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120</v>
      </c>
      <c r="L147" s="37" t="s">
        <v>45</v>
      </c>
      <c r="M147" s="38" t="s">
        <v>82</v>
      </c>
      <c r="N147" s="38"/>
      <c r="O147" s="37">
        <v>40</v>
      </c>
      <c r="P147" s="69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628"/>
      <c r="R147" s="628"/>
      <c r="S147" s="628"/>
      <c r="T147" s="629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4301030961</v>
      </c>
      <c r="D148" s="626">
        <v>4607091387636</v>
      </c>
      <c r="E148" s="626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83</v>
      </c>
      <c r="L148" s="37" t="s">
        <v>45</v>
      </c>
      <c r="M148" s="38" t="s">
        <v>82</v>
      </c>
      <c r="N148" s="38"/>
      <c r="O148" s="37">
        <v>40</v>
      </c>
      <c r="P148" s="6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28"/>
      <c r="R148" s="628"/>
      <c r="S148" s="628"/>
      <c r="T148" s="629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4301031453</v>
      </c>
      <c r="D149" s="626">
        <v>4680115887336</v>
      </c>
      <c r="E149" s="626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120</v>
      </c>
      <c r="L149" s="37" t="s">
        <v>45</v>
      </c>
      <c r="M149" s="38" t="s">
        <v>82</v>
      </c>
      <c r="N149" s="38"/>
      <c r="O149" s="37">
        <v>40</v>
      </c>
      <c r="P149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28"/>
      <c r="R149" s="628"/>
      <c r="S149" s="628"/>
      <c r="T149" s="629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4301030963</v>
      </c>
      <c r="D150" s="626">
        <v>4607091382426</v>
      </c>
      <c r="E150" s="626"/>
      <c r="F150" s="62">
        <v>0.9</v>
      </c>
      <c r="G150" s="37">
        <v>10</v>
      </c>
      <c r="H150" s="62">
        <v>9</v>
      </c>
      <c r="I150" s="62">
        <v>9.56</v>
      </c>
      <c r="J150" s="37">
        <v>64</v>
      </c>
      <c r="K150" s="37" t="s">
        <v>115</v>
      </c>
      <c r="L150" s="37" t="s">
        <v>45</v>
      </c>
      <c r="M150" s="38" t="s">
        <v>82</v>
      </c>
      <c r="N150" s="38"/>
      <c r="O150" s="37">
        <v>40</v>
      </c>
      <c r="P150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628"/>
      <c r="R150" s="628"/>
      <c r="S150" s="628"/>
      <c r="T150" s="629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IFERROR(IF(Y150=0,"",ROUNDUP(Y150/H150,0)*0.01898),"")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4301031456</v>
      </c>
      <c r="D151" s="626">
        <v>4680115887398</v>
      </c>
      <c r="E151" s="626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120</v>
      </c>
      <c r="L151" s="37" t="s">
        <v>45</v>
      </c>
      <c r="M151" s="38" t="s">
        <v>82</v>
      </c>
      <c r="N151" s="38"/>
      <c r="O151" s="37">
        <v>40</v>
      </c>
      <c r="P151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628"/>
      <c r="R151" s="628"/>
      <c r="S151" s="628"/>
      <c r="T151" s="629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4"/>
      <c r="B152" s="634"/>
      <c r="C152" s="634"/>
      <c r="D152" s="634"/>
      <c r="E152" s="634"/>
      <c r="F152" s="634"/>
      <c r="G152" s="634"/>
      <c r="H152" s="634"/>
      <c r="I152" s="634"/>
      <c r="J152" s="634"/>
      <c r="K152" s="634"/>
      <c r="L152" s="634"/>
      <c r="M152" s="634"/>
      <c r="N152" s="634"/>
      <c r="O152" s="635"/>
      <c r="P152" s="631" t="s">
        <v>40</v>
      </c>
      <c r="Q152" s="632"/>
      <c r="R152" s="632"/>
      <c r="S152" s="632"/>
      <c r="T152" s="632"/>
      <c r="U152" s="632"/>
      <c r="V152" s="633"/>
      <c r="W152" s="42" t="s">
        <v>39</v>
      </c>
      <c r="X152" s="43">
        <f>IFERROR(X147/H147,"0")+IFERROR(X148/H148,"0")+IFERROR(X149/H149,"0")+IFERROR(X150/H150,"0")+IFERROR(X151/H151,"0")</f>
        <v>0</v>
      </c>
      <c r="Y152" s="43">
        <f>IFERROR(Y147/H147,"0")+IFERROR(Y148/H148,"0")+IFERROR(Y149/H149,"0")+IFERROR(Y150/H150,"0")+IFERROR(Y151/H151,"0")</f>
        <v>0</v>
      </c>
      <c r="Z152" s="43">
        <f>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4"/>
      <c r="B153" s="634"/>
      <c r="C153" s="634"/>
      <c r="D153" s="634"/>
      <c r="E153" s="634"/>
      <c r="F153" s="634"/>
      <c r="G153" s="634"/>
      <c r="H153" s="634"/>
      <c r="I153" s="634"/>
      <c r="J153" s="634"/>
      <c r="K153" s="634"/>
      <c r="L153" s="634"/>
      <c r="M153" s="634"/>
      <c r="N153" s="634"/>
      <c r="O153" s="635"/>
      <c r="P153" s="631" t="s">
        <v>40</v>
      </c>
      <c r="Q153" s="632"/>
      <c r="R153" s="632"/>
      <c r="S153" s="632"/>
      <c r="T153" s="632"/>
      <c r="U153" s="632"/>
      <c r="V153" s="633"/>
      <c r="W153" s="42" t="s">
        <v>0</v>
      </c>
      <c r="X153" s="43">
        <f>IFERROR(SUM(X147:X151),"0")</f>
        <v>0</v>
      </c>
      <c r="Y153" s="43">
        <f>IFERROR(SUM(Y147:Y151),"0")</f>
        <v>0</v>
      </c>
      <c r="Z153" s="42"/>
      <c r="AA153" s="67"/>
      <c r="AB153" s="67"/>
      <c r="AC153" s="67"/>
    </row>
    <row r="154" spans="1:68" ht="14.25" customHeight="1" x14ac:dyDescent="0.25">
      <c r="A154" s="625" t="s">
        <v>88</v>
      </c>
      <c r="B154" s="625"/>
      <c r="C154" s="625"/>
      <c r="D154" s="625"/>
      <c r="E154" s="625"/>
      <c r="F154" s="625"/>
      <c r="G154" s="625"/>
      <c r="H154" s="625"/>
      <c r="I154" s="625"/>
      <c r="J154" s="625"/>
      <c r="K154" s="625"/>
      <c r="L154" s="625"/>
      <c r="M154" s="625"/>
      <c r="N154" s="625"/>
      <c r="O154" s="625"/>
      <c r="P154" s="625"/>
      <c r="Q154" s="625"/>
      <c r="R154" s="625"/>
      <c r="S154" s="625"/>
      <c r="T154" s="625"/>
      <c r="U154" s="625"/>
      <c r="V154" s="625"/>
      <c r="W154" s="625"/>
      <c r="X154" s="625"/>
      <c r="Y154" s="625"/>
      <c r="Z154" s="625"/>
      <c r="AA154" s="66"/>
      <c r="AB154" s="66"/>
      <c r="AC154" s="80"/>
    </row>
    <row r="155" spans="1:68" ht="27" customHeight="1" x14ac:dyDescent="0.25">
      <c r="A155" s="63" t="s">
        <v>271</v>
      </c>
      <c r="B155" s="63" t="s">
        <v>272</v>
      </c>
      <c r="C155" s="36">
        <v>4301052064</v>
      </c>
      <c r="D155" s="626">
        <v>4680115887459</v>
      </c>
      <c r="E155" s="626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8"/>
      <c r="R155" s="628"/>
      <c r="S155" s="628"/>
      <c r="T155" s="629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273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4"/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5"/>
      <c r="P156" s="631" t="s">
        <v>40</v>
      </c>
      <c r="Q156" s="632"/>
      <c r="R156" s="632"/>
      <c r="S156" s="632"/>
      <c r="T156" s="632"/>
      <c r="U156" s="632"/>
      <c r="V156" s="633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4"/>
      <c r="B157" s="634"/>
      <c r="C157" s="634"/>
      <c r="D157" s="634"/>
      <c r="E157" s="634"/>
      <c r="F157" s="634"/>
      <c r="G157" s="634"/>
      <c r="H157" s="634"/>
      <c r="I157" s="634"/>
      <c r="J157" s="634"/>
      <c r="K157" s="634"/>
      <c r="L157" s="634"/>
      <c r="M157" s="634"/>
      <c r="N157" s="634"/>
      <c r="O157" s="635"/>
      <c r="P157" s="631" t="s">
        <v>40</v>
      </c>
      <c r="Q157" s="632"/>
      <c r="R157" s="632"/>
      <c r="S157" s="632"/>
      <c r="T157" s="632"/>
      <c r="U157" s="632"/>
      <c r="V157" s="633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3" t="s">
        <v>274</v>
      </c>
      <c r="B158" s="623"/>
      <c r="C158" s="623"/>
      <c r="D158" s="623"/>
      <c r="E158" s="623"/>
      <c r="F158" s="623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54"/>
      <c r="AB158" s="54"/>
      <c r="AC158" s="54"/>
    </row>
    <row r="159" spans="1:68" ht="16.5" customHeight="1" x14ac:dyDescent="0.25">
      <c r="A159" s="624" t="s">
        <v>275</v>
      </c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4"/>
      <c r="P159" s="624"/>
      <c r="Q159" s="624"/>
      <c r="R159" s="624"/>
      <c r="S159" s="624"/>
      <c r="T159" s="624"/>
      <c r="U159" s="624"/>
      <c r="V159" s="624"/>
      <c r="W159" s="624"/>
      <c r="X159" s="624"/>
      <c r="Y159" s="624"/>
      <c r="Z159" s="624"/>
      <c r="AA159" s="65"/>
      <c r="AB159" s="65"/>
      <c r="AC159" s="79"/>
    </row>
    <row r="160" spans="1:68" ht="14.25" customHeight="1" x14ac:dyDescent="0.25">
      <c r="A160" s="625" t="s">
        <v>146</v>
      </c>
      <c r="B160" s="625"/>
      <c r="C160" s="625"/>
      <c r="D160" s="625"/>
      <c r="E160" s="625"/>
      <c r="F160" s="625"/>
      <c r="G160" s="625"/>
      <c r="H160" s="625"/>
      <c r="I160" s="625"/>
      <c r="J160" s="625"/>
      <c r="K160" s="625"/>
      <c r="L160" s="625"/>
      <c r="M160" s="625"/>
      <c r="N160" s="625"/>
      <c r="O160" s="625"/>
      <c r="P160" s="625"/>
      <c r="Q160" s="625"/>
      <c r="R160" s="625"/>
      <c r="S160" s="625"/>
      <c r="T160" s="625"/>
      <c r="U160" s="625"/>
      <c r="V160" s="625"/>
      <c r="W160" s="625"/>
      <c r="X160" s="625"/>
      <c r="Y160" s="625"/>
      <c r="Z160" s="625"/>
      <c r="AA160" s="66"/>
      <c r="AB160" s="66"/>
      <c r="AC160" s="80"/>
    </row>
    <row r="161" spans="1:68" ht="27" customHeight="1" x14ac:dyDescent="0.25">
      <c r="A161" s="63" t="s">
        <v>276</v>
      </c>
      <c r="B161" s="63" t="s">
        <v>277</v>
      </c>
      <c r="C161" s="36">
        <v>4301020323</v>
      </c>
      <c r="D161" s="626">
        <v>4680115886223</v>
      </c>
      <c r="E161" s="626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8"/>
      <c r="R161" s="628"/>
      <c r="S161" s="628"/>
      <c r="T161" s="629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278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4"/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5"/>
      <c r="P162" s="631" t="s">
        <v>40</v>
      </c>
      <c r="Q162" s="632"/>
      <c r="R162" s="632"/>
      <c r="S162" s="632"/>
      <c r="T162" s="632"/>
      <c r="U162" s="632"/>
      <c r="V162" s="633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4"/>
      <c r="B163" s="634"/>
      <c r="C163" s="634"/>
      <c r="D163" s="634"/>
      <c r="E163" s="634"/>
      <c r="F163" s="634"/>
      <c r="G163" s="634"/>
      <c r="H163" s="634"/>
      <c r="I163" s="634"/>
      <c r="J163" s="634"/>
      <c r="K163" s="634"/>
      <c r="L163" s="634"/>
      <c r="M163" s="634"/>
      <c r="N163" s="634"/>
      <c r="O163" s="635"/>
      <c r="P163" s="631" t="s">
        <v>40</v>
      </c>
      <c r="Q163" s="632"/>
      <c r="R163" s="632"/>
      <c r="S163" s="632"/>
      <c r="T163" s="632"/>
      <c r="U163" s="632"/>
      <c r="V163" s="633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5" t="s">
        <v>78</v>
      </c>
      <c r="B164" s="625"/>
      <c r="C164" s="625"/>
      <c r="D164" s="625"/>
      <c r="E164" s="625"/>
      <c r="F164" s="625"/>
      <c r="G164" s="625"/>
      <c r="H164" s="625"/>
      <c r="I164" s="625"/>
      <c r="J164" s="625"/>
      <c r="K164" s="625"/>
      <c r="L164" s="625"/>
      <c r="M164" s="625"/>
      <c r="N164" s="625"/>
      <c r="O164" s="625"/>
      <c r="P164" s="625"/>
      <c r="Q164" s="625"/>
      <c r="R164" s="625"/>
      <c r="S164" s="625"/>
      <c r="T164" s="625"/>
      <c r="U164" s="625"/>
      <c r="V164" s="625"/>
      <c r="W164" s="625"/>
      <c r="X164" s="625"/>
      <c r="Y164" s="625"/>
      <c r="Z164" s="625"/>
      <c r="AA164" s="66"/>
      <c r="AB164" s="66"/>
      <c r="AC164" s="80"/>
    </row>
    <row r="165" spans="1:68" ht="27" customHeight="1" x14ac:dyDescent="0.25">
      <c r="A165" s="63" t="s">
        <v>279</v>
      </c>
      <c r="B165" s="63" t="s">
        <v>280</v>
      </c>
      <c r="C165" s="36">
        <v>4301031191</v>
      </c>
      <c r="D165" s="626">
        <v>4680115880993</v>
      </c>
      <c r="E165" s="626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121</v>
      </c>
      <c r="M165" s="38" t="s">
        <v>82</v>
      </c>
      <c r="N165" s="38"/>
      <c r="O165" s="37">
        <v>40</v>
      </c>
      <c r="P165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628"/>
      <c r="R165" s="628"/>
      <c r="S165" s="628"/>
      <c r="T165" s="629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8" si="5">IFERROR(IF(X165="",0,CEILING((X165/$H165),1)*$H165),"")</f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117</v>
      </c>
      <c r="AK165" s="84">
        <v>50.4</v>
      </c>
      <c r="BB165" s="217" t="s">
        <v>66</v>
      </c>
      <c r="BM165" s="78">
        <f t="shared" ref="BM165:BM178" si="6">IFERROR(X165*I165/H165,"0")</f>
        <v>0</v>
      </c>
      <c r="BN165" s="78">
        <f t="shared" ref="BN165:BN178" si="7">IFERROR(Y165*I165/H165,"0")</f>
        <v>0</v>
      </c>
      <c r="BO165" s="78">
        <f t="shared" ref="BO165:BO178" si="8">IFERROR(1/J165*(X165/H165),"0")</f>
        <v>0</v>
      </c>
      <c r="BP165" s="78">
        <f t="shared" ref="BP165:BP178" si="9">IFERROR(1/J165*(Y165/H165),"0")</f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4301031204</v>
      </c>
      <c r="D166" s="626">
        <v>4680115881761</v>
      </c>
      <c r="E166" s="626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45</v>
      </c>
      <c r="M166" s="38" t="s">
        <v>82</v>
      </c>
      <c r="N166" s="38"/>
      <c r="O166" s="37">
        <v>40</v>
      </c>
      <c r="P166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628"/>
      <c r="R166" s="628"/>
      <c r="S166" s="628"/>
      <c r="T166" s="629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4301031201</v>
      </c>
      <c r="D167" s="626">
        <v>4680115881563</v>
      </c>
      <c r="E167" s="626"/>
      <c r="F167" s="62">
        <v>0.7</v>
      </c>
      <c r="G167" s="37">
        <v>6</v>
      </c>
      <c r="H167" s="62">
        <v>4.2</v>
      </c>
      <c r="I167" s="62">
        <v>4.3899999999999997</v>
      </c>
      <c r="J167" s="37">
        <v>132</v>
      </c>
      <c r="K167" s="37" t="s">
        <v>120</v>
      </c>
      <c r="L167" s="37" t="s">
        <v>121</v>
      </c>
      <c r="M167" s="38" t="s">
        <v>82</v>
      </c>
      <c r="N167" s="38"/>
      <c r="O167" s="37">
        <v>40</v>
      </c>
      <c r="P167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628"/>
      <c r="R167" s="628"/>
      <c r="S167" s="628"/>
      <c r="T167" s="629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117</v>
      </c>
      <c r="AK167" s="84">
        <v>50.4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4301031447</v>
      </c>
      <c r="D168" s="626">
        <v>4680115887565</v>
      </c>
      <c r="E168" s="626"/>
      <c r="F168" s="62">
        <v>0.08</v>
      </c>
      <c r="G168" s="37">
        <v>10</v>
      </c>
      <c r="H168" s="62">
        <v>0.8</v>
      </c>
      <c r="I168" s="62">
        <v>0.93</v>
      </c>
      <c r="J168" s="37">
        <v>216</v>
      </c>
      <c r="K168" s="37" t="s">
        <v>87</v>
      </c>
      <c r="L168" s="37" t="s">
        <v>45</v>
      </c>
      <c r="M168" s="38" t="s">
        <v>82</v>
      </c>
      <c r="N168" s="38"/>
      <c r="O168" s="37">
        <v>45</v>
      </c>
      <c r="P168" s="7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628"/>
      <c r="R168" s="628"/>
      <c r="S168" s="628"/>
      <c r="T168" s="629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IFERROR(IF(Y168=0,"",ROUNDUP(Y168/H168,0)*0.00556),"")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4301031199</v>
      </c>
      <c r="D169" s="626">
        <v>4680115880986</v>
      </c>
      <c r="E169" s="626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293</v>
      </c>
      <c r="M169" s="38" t="s">
        <v>82</v>
      </c>
      <c r="N169" s="38"/>
      <c r="O169" s="37">
        <v>40</v>
      </c>
      <c r="P169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8"/>
      <c r="R169" s="628"/>
      <c r="S169" s="628"/>
      <c r="T169" s="629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281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4301031443</v>
      </c>
      <c r="D170" s="626">
        <v>4680115887213</v>
      </c>
      <c r="E170" s="626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8"/>
      <c r="R170" s="628"/>
      <c r="S170" s="628"/>
      <c r="T170" s="629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296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4301031205</v>
      </c>
      <c r="D171" s="626">
        <v>4680115881785</v>
      </c>
      <c r="E171" s="626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8"/>
      <c r="R171" s="628"/>
      <c r="S171" s="628"/>
      <c r="T171" s="629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284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299</v>
      </c>
      <c r="B172" s="63" t="s">
        <v>300</v>
      </c>
      <c r="C172" s="36">
        <v>4301031463</v>
      </c>
      <c r="D172" s="626">
        <v>4680115887824</v>
      </c>
      <c r="E172" s="626"/>
      <c r="F172" s="62">
        <v>0.15</v>
      </c>
      <c r="G172" s="37">
        <v>16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302</v>
      </c>
      <c r="N172" s="38"/>
      <c r="O172" s="37">
        <v>60</v>
      </c>
      <c r="P172" s="70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628"/>
      <c r="R172" s="628"/>
      <c r="S172" s="628"/>
      <c r="T172" s="629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301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4301031464</v>
      </c>
      <c r="D173" s="626">
        <v>4680115887701</v>
      </c>
      <c r="E173" s="626"/>
      <c r="F173" s="62">
        <v>0.3</v>
      </c>
      <c r="G173" s="37">
        <v>8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302</v>
      </c>
      <c r="N173" s="38"/>
      <c r="O173" s="37">
        <v>60</v>
      </c>
      <c r="P173" s="707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628"/>
      <c r="R173" s="628"/>
      <c r="S173" s="628"/>
      <c r="T173" s="629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4301031399</v>
      </c>
      <c r="D174" s="626">
        <v>4680115886537</v>
      </c>
      <c r="E174" s="626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293</v>
      </c>
      <c r="M174" s="38" t="s">
        <v>82</v>
      </c>
      <c r="N174" s="38"/>
      <c r="O174" s="37">
        <v>40</v>
      </c>
      <c r="P174" s="70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8"/>
      <c r="R174" s="628"/>
      <c r="S174" s="628"/>
      <c r="T174" s="629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117</v>
      </c>
      <c r="AK174" s="84">
        <v>32.4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4301031279</v>
      </c>
      <c r="D175" s="626">
        <v>4680115887596</v>
      </c>
      <c r="E175" s="626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185</v>
      </c>
      <c r="L175" s="37" t="s">
        <v>45</v>
      </c>
      <c r="M175" s="38" t="s">
        <v>82</v>
      </c>
      <c r="N175" s="38"/>
      <c r="O175" s="37">
        <v>45</v>
      </c>
      <c r="P175" s="7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8"/>
      <c r="R175" s="628"/>
      <c r="S175" s="628"/>
      <c r="T175" s="629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37.5" customHeight="1" x14ac:dyDescent="0.25">
      <c r="A176" s="63" t="s">
        <v>311</v>
      </c>
      <c r="B176" s="63" t="s">
        <v>312</v>
      </c>
      <c r="C176" s="36">
        <v>4301031202</v>
      </c>
      <c r="D176" s="626">
        <v>4680115881679</v>
      </c>
      <c r="E176" s="626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293</v>
      </c>
      <c r="M176" s="38" t="s">
        <v>82</v>
      </c>
      <c r="N176" s="38"/>
      <c r="O176" s="37">
        <v>40</v>
      </c>
      <c r="P176" s="7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8"/>
      <c r="R176" s="628"/>
      <c r="S176" s="628"/>
      <c r="T176" s="629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287</v>
      </c>
      <c r="AG176" s="78"/>
      <c r="AJ176" s="84" t="s">
        <v>117</v>
      </c>
      <c r="AK176" s="84">
        <v>37.799999999999997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4301031158</v>
      </c>
      <c r="D177" s="626">
        <v>4680115880191</v>
      </c>
      <c r="E177" s="626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8"/>
      <c r="R177" s="628"/>
      <c r="S177" s="628"/>
      <c r="T177" s="629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287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4301031245</v>
      </c>
      <c r="D178" s="626">
        <v>4680115883963</v>
      </c>
      <c r="E178" s="626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8"/>
      <c r="R178" s="628"/>
      <c r="S178" s="628"/>
      <c r="T178" s="629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 t="shared" si="6"/>
        <v>0</v>
      </c>
      <c r="BN178" s="78">
        <f t="shared" si="7"/>
        <v>0</v>
      </c>
      <c r="BO178" s="78">
        <f t="shared" si="8"/>
        <v>0</v>
      </c>
      <c r="BP178" s="78">
        <f t="shared" si="9"/>
        <v>0</v>
      </c>
    </row>
    <row r="179" spans="1:68" x14ac:dyDescent="0.2">
      <c r="A179" s="634"/>
      <c r="B179" s="634"/>
      <c r="C179" s="634"/>
      <c r="D179" s="634"/>
      <c r="E179" s="634"/>
      <c r="F179" s="634"/>
      <c r="G179" s="634"/>
      <c r="H179" s="634"/>
      <c r="I179" s="634"/>
      <c r="J179" s="634"/>
      <c r="K179" s="634"/>
      <c r="L179" s="634"/>
      <c r="M179" s="634"/>
      <c r="N179" s="634"/>
      <c r="O179" s="635"/>
      <c r="P179" s="631" t="s">
        <v>40</v>
      </c>
      <c r="Q179" s="632"/>
      <c r="R179" s="632"/>
      <c r="S179" s="632"/>
      <c r="T179" s="632"/>
      <c r="U179" s="632"/>
      <c r="V179" s="633"/>
      <c r="W179" s="42" t="s">
        <v>39</v>
      </c>
      <c r="X179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4"/>
      <c r="B180" s="634"/>
      <c r="C180" s="634"/>
      <c r="D180" s="634"/>
      <c r="E180" s="634"/>
      <c r="F180" s="634"/>
      <c r="G180" s="634"/>
      <c r="H180" s="634"/>
      <c r="I180" s="634"/>
      <c r="J180" s="634"/>
      <c r="K180" s="634"/>
      <c r="L180" s="634"/>
      <c r="M180" s="634"/>
      <c r="N180" s="634"/>
      <c r="O180" s="635"/>
      <c r="P180" s="631" t="s">
        <v>40</v>
      </c>
      <c r="Q180" s="632"/>
      <c r="R180" s="632"/>
      <c r="S180" s="632"/>
      <c r="T180" s="632"/>
      <c r="U180" s="632"/>
      <c r="V180" s="633"/>
      <c r="W180" s="42" t="s">
        <v>0</v>
      </c>
      <c r="X180" s="43">
        <f>IFERROR(SUM(X165:X178),"0")</f>
        <v>0</v>
      </c>
      <c r="Y180" s="43">
        <f>IFERROR(SUM(Y165:Y178),"0")</f>
        <v>0</v>
      </c>
      <c r="Z180" s="42"/>
      <c r="AA180" s="67"/>
      <c r="AB180" s="67"/>
      <c r="AC180" s="67"/>
    </row>
    <row r="181" spans="1:68" ht="14.25" customHeight="1" x14ac:dyDescent="0.25">
      <c r="A181" s="625" t="s">
        <v>102</v>
      </c>
      <c r="B181" s="625"/>
      <c r="C181" s="625"/>
      <c r="D181" s="625"/>
      <c r="E181" s="625"/>
      <c r="F181" s="625"/>
      <c r="G181" s="625"/>
      <c r="H181" s="625"/>
      <c r="I181" s="625"/>
      <c r="J181" s="625"/>
      <c r="K181" s="625"/>
      <c r="L181" s="625"/>
      <c r="M181" s="625"/>
      <c r="N181" s="625"/>
      <c r="O181" s="625"/>
      <c r="P181" s="625"/>
      <c r="Q181" s="625"/>
      <c r="R181" s="625"/>
      <c r="S181" s="625"/>
      <c r="T181" s="625"/>
      <c r="U181" s="625"/>
      <c r="V181" s="625"/>
      <c r="W181" s="625"/>
      <c r="X181" s="625"/>
      <c r="Y181" s="625"/>
      <c r="Z181" s="625"/>
      <c r="AA181" s="66"/>
      <c r="AB181" s="66"/>
      <c r="AC181" s="80"/>
    </row>
    <row r="182" spans="1:68" ht="27" customHeight="1" x14ac:dyDescent="0.25">
      <c r="A182" s="63" t="s">
        <v>318</v>
      </c>
      <c r="B182" s="63" t="s">
        <v>319</v>
      </c>
      <c r="C182" s="36">
        <v>4301032053</v>
      </c>
      <c r="D182" s="626">
        <v>4680115886780</v>
      </c>
      <c r="E182" s="626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321</v>
      </c>
      <c r="L182" s="37" t="s">
        <v>45</v>
      </c>
      <c r="M182" s="38" t="s">
        <v>302</v>
      </c>
      <c r="N182" s="38"/>
      <c r="O182" s="37">
        <v>60</v>
      </c>
      <c r="P182" s="71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8"/>
      <c r="R182" s="628"/>
      <c r="S182" s="628"/>
      <c r="T182" s="629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320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4301032051</v>
      </c>
      <c r="D183" s="626">
        <v>4680115886742</v>
      </c>
      <c r="E183" s="626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321</v>
      </c>
      <c r="L183" s="37" t="s">
        <v>45</v>
      </c>
      <c r="M183" s="38" t="s">
        <v>302</v>
      </c>
      <c r="N183" s="38"/>
      <c r="O183" s="37">
        <v>90</v>
      </c>
      <c r="P183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8"/>
      <c r="R183" s="628"/>
      <c r="S183" s="628"/>
      <c r="T183" s="629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4301032052</v>
      </c>
      <c r="D184" s="626">
        <v>4680115886766</v>
      </c>
      <c r="E184" s="626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321</v>
      </c>
      <c r="L184" s="37" t="s">
        <v>45</v>
      </c>
      <c r="M184" s="38" t="s">
        <v>302</v>
      </c>
      <c r="N184" s="38"/>
      <c r="O184" s="37">
        <v>90</v>
      </c>
      <c r="P184" s="71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8"/>
      <c r="R184" s="628"/>
      <c r="S184" s="628"/>
      <c r="T184" s="629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324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4"/>
      <c r="B185" s="634"/>
      <c r="C185" s="634"/>
      <c r="D185" s="634"/>
      <c r="E185" s="634"/>
      <c r="F185" s="634"/>
      <c r="G185" s="634"/>
      <c r="H185" s="634"/>
      <c r="I185" s="634"/>
      <c r="J185" s="634"/>
      <c r="K185" s="634"/>
      <c r="L185" s="634"/>
      <c r="M185" s="634"/>
      <c r="N185" s="634"/>
      <c r="O185" s="635"/>
      <c r="P185" s="631" t="s">
        <v>40</v>
      </c>
      <c r="Q185" s="632"/>
      <c r="R185" s="632"/>
      <c r="S185" s="632"/>
      <c r="T185" s="632"/>
      <c r="U185" s="632"/>
      <c r="V185" s="633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4"/>
      <c r="B186" s="634"/>
      <c r="C186" s="634"/>
      <c r="D186" s="634"/>
      <c r="E186" s="634"/>
      <c r="F186" s="634"/>
      <c r="G186" s="634"/>
      <c r="H186" s="634"/>
      <c r="I186" s="634"/>
      <c r="J186" s="634"/>
      <c r="K186" s="634"/>
      <c r="L186" s="634"/>
      <c r="M186" s="634"/>
      <c r="N186" s="634"/>
      <c r="O186" s="635"/>
      <c r="P186" s="631" t="s">
        <v>40</v>
      </c>
      <c r="Q186" s="632"/>
      <c r="R186" s="632"/>
      <c r="S186" s="632"/>
      <c r="T186" s="632"/>
      <c r="U186" s="632"/>
      <c r="V186" s="633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5" t="s">
        <v>327</v>
      </c>
      <c r="B187" s="625"/>
      <c r="C187" s="625"/>
      <c r="D187" s="625"/>
      <c r="E187" s="625"/>
      <c r="F187" s="625"/>
      <c r="G187" s="625"/>
      <c r="H187" s="625"/>
      <c r="I187" s="625"/>
      <c r="J187" s="625"/>
      <c r="K187" s="625"/>
      <c r="L187" s="625"/>
      <c r="M187" s="625"/>
      <c r="N187" s="625"/>
      <c r="O187" s="625"/>
      <c r="P187" s="625"/>
      <c r="Q187" s="625"/>
      <c r="R187" s="625"/>
      <c r="S187" s="625"/>
      <c r="T187" s="625"/>
      <c r="U187" s="625"/>
      <c r="V187" s="625"/>
      <c r="W187" s="625"/>
      <c r="X187" s="625"/>
      <c r="Y187" s="625"/>
      <c r="Z187" s="625"/>
      <c r="AA187" s="66"/>
      <c r="AB187" s="66"/>
      <c r="AC187" s="80"/>
    </row>
    <row r="188" spans="1:68" ht="27" customHeight="1" x14ac:dyDescent="0.25">
      <c r="A188" s="63" t="s">
        <v>328</v>
      </c>
      <c r="B188" s="63" t="s">
        <v>329</v>
      </c>
      <c r="C188" s="36">
        <v>4301170013</v>
      </c>
      <c r="D188" s="626">
        <v>4680115886797</v>
      </c>
      <c r="E188" s="626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321</v>
      </c>
      <c r="L188" s="37" t="s">
        <v>45</v>
      </c>
      <c r="M188" s="38" t="s">
        <v>302</v>
      </c>
      <c r="N188" s="38"/>
      <c r="O188" s="37">
        <v>90</v>
      </c>
      <c r="P188" s="7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8"/>
      <c r="R188" s="628"/>
      <c r="S188" s="628"/>
      <c r="T188" s="629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324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4"/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5"/>
      <c r="P189" s="631" t="s">
        <v>40</v>
      </c>
      <c r="Q189" s="632"/>
      <c r="R189" s="632"/>
      <c r="S189" s="632"/>
      <c r="T189" s="632"/>
      <c r="U189" s="632"/>
      <c r="V189" s="633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4"/>
      <c r="B190" s="634"/>
      <c r="C190" s="634"/>
      <c r="D190" s="634"/>
      <c r="E190" s="634"/>
      <c r="F190" s="634"/>
      <c r="G190" s="634"/>
      <c r="H190" s="634"/>
      <c r="I190" s="634"/>
      <c r="J190" s="634"/>
      <c r="K190" s="634"/>
      <c r="L190" s="634"/>
      <c r="M190" s="634"/>
      <c r="N190" s="634"/>
      <c r="O190" s="635"/>
      <c r="P190" s="631" t="s">
        <v>40</v>
      </c>
      <c r="Q190" s="632"/>
      <c r="R190" s="632"/>
      <c r="S190" s="632"/>
      <c r="T190" s="632"/>
      <c r="U190" s="632"/>
      <c r="V190" s="633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4" t="s">
        <v>330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5"/>
      <c r="AB191" s="65"/>
      <c r="AC191" s="79"/>
    </row>
    <row r="192" spans="1:68" ht="14.25" customHeight="1" x14ac:dyDescent="0.25">
      <c r="A192" s="625" t="s">
        <v>110</v>
      </c>
      <c r="B192" s="625"/>
      <c r="C192" s="625"/>
      <c r="D192" s="625"/>
      <c r="E192" s="625"/>
      <c r="F192" s="625"/>
      <c r="G192" s="625"/>
      <c r="H192" s="625"/>
      <c r="I192" s="625"/>
      <c r="J192" s="625"/>
      <c r="K192" s="625"/>
      <c r="L192" s="625"/>
      <c r="M192" s="625"/>
      <c r="N192" s="625"/>
      <c r="O192" s="625"/>
      <c r="P192" s="625"/>
      <c r="Q192" s="625"/>
      <c r="R192" s="625"/>
      <c r="S192" s="625"/>
      <c r="T192" s="625"/>
      <c r="U192" s="625"/>
      <c r="V192" s="625"/>
      <c r="W192" s="625"/>
      <c r="X192" s="625"/>
      <c r="Y192" s="625"/>
      <c r="Z192" s="625"/>
      <c r="AA192" s="66"/>
      <c r="AB192" s="66"/>
      <c r="AC192" s="80"/>
    </row>
    <row r="193" spans="1:68" ht="27" customHeight="1" x14ac:dyDescent="0.25">
      <c r="A193" s="63" t="s">
        <v>331</v>
      </c>
      <c r="B193" s="63" t="s">
        <v>332</v>
      </c>
      <c r="C193" s="36">
        <v>4301011450</v>
      </c>
      <c r="D193" s="626">
        <v>4680115881402</v>
      </c>
      <c r="E193" s="626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115</v>
      </c>
      <c r="L193" s="37" t="s">
        <v>45</v>
      </c>
      <c r="M193" s="38" t="s">
        <v>114</v>
      </c>
      <c r="N193" s="38"/>
      <c r="O193" s="37">
        <v>55</v>
      </c>
      <c r="P193" s="7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8"/>
      <c r="R193" s="628"/>
      <c r="S193" s="628"/>
      <c r="T193" s="629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333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334</v>
      </c>
      <c r="B194" s="63" t="s">
        <v>335</v>
      </c>
      <c r="C194" s="36">
        <v>4301011768</v>
      </c>
      <c r="D194" s="626">
        <v>4680115881396</v>
      </c>
      <c r="E194" s="626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114</v>
      </c>
      <c r="N194" s="38"/>
      <c r="O194" s="37">
        <v>55</v>
      </c>
      <c r="P194" s="7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8"/>
      <c r="R194" s="628"/>
      <c r="S194" s="628"/>
      <c r="T194" s="629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333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4"/>
      <c r="B195" s="634"/>
      <c r="C195" s="634"/>
      <c r="D195" s="634"/>
      <c r="E195" s="634"/>
      <c r="F195" s="634"/>
      <c r="G195" s="634"/>
      <c r="H195" s="634"/>
      <c r="I195" s="634"/>
      <c r="J195" s="634"/>
      <c r="K195" s="634"/>
      <c r="L195" s="634"/>
      <c r="M195" s="634"/>
      <c r="N195" s="634"/>
      <c r="O195" s="635"/>
      <c r="P195" s="631" t="s">
        <v>40</v>
      </c>
      <c r="Q195" s="632"/>
      <c r="R195" s="632"/>
      <c r="S195" s="632"/>
      <c r="T195" s="632"/>
      <c r="U195" s="632"/>
      <c r="V195" s="633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4"/>
      <c r="B196" s="634"/>
      <c r="C196" s="634"/>
      <c r="D196" s="634"/>
      <c r="E196" s="634"/>
      <c r="F196" s="634"/>
      <c r="G196" s="634"/>
      <c r="H196" s="634"/>
      <c r="I196" s="634"/>
      <c r="J196" s="634"/>
      <c r="K196" s="634"/>
      <c r="L196" s="634"/>
      <c r="M196" s="634"/>
      <c r="N196" s="634"/>
      <c r="O196" s="635"/>
      <c r="P196" s="631" t="s">
        <v>40</v>
      </c>
      <c r="Q196" s="632"/>
      <c r="R196" s="632"/>
      <c r="S196" s="632"/>
      <c r="T196" s="632"/>
      <c r="U196" s="632"/>
      <c r="V196" s="633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5" t="s">
        <v>146</v>
      </c>
      <c r="B197" s="625"/>
      <c r="C197" s="625"/>
      <c r="D197" s="625"/>
      <c r="E197" s="625"/>
      <c r="F197" s="625"/>
      <c r="G197" s="625"/>
      <c r="H197" s="625"/>
      <c r="I197" s="625"/>
      <c r="J197" s="625"/>
      <c r="K197" s="625"/>
      <c r="L197" s="625"/>
      <c r="M197" s="625"/>
      <c r="N197" s="625"/>
      <c r="O197" s="625"/>
      <c r="P197" s="625"/>
      <c r="Q197" s="625"/>
      <c r="R197" s="625"/>
      <c r="S197" s="625"/>
      <c r="T197" s="625"/>
      <c r="U197" s="625"/>
      <c r="V197" s="625"/>
      <c r="W197" s="625"/>
      <c r="X197" s="625"/>
      <c r="Y197" s="625"/>
      <c r="Z197" s="625"/>
      <c r="AA197" s="66"/>
      <c r="AB197" s="66"/>
      <c r="AC197" s="80"/>
    </row>
    <row r="198" spans="1:68" ht="16.5" customHeight="1" x14ac:dyDescent="0.25">
      <c r="A198" s="63" t="s">
        <v>336</v>
      </c>
      <c r="B198" s="63" t="s">
        <v>337</v>
      </c>
      <c r="C198" s="36">
        <v>4301020261</v>
      </c>
      <c r="D198" s="626">
        <v>4680115882935</v>
      </c>
      <c r="E198" s="626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115</v>
      </c>
      <c r="L198" s="37" t="s">
        <v>45</v>
      </c>
      <c r="M198" s="38" t="s">
        <v>114</v>
      </c>
      <c r="N198" s="38"/>
      <c r="O198" s="37">
        <v>50</v>
      </c>
      <c r="P198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8"/>
      <c r="R198" s="628"/>
      <c r="S198" s="628"/>
      <c r="T198" s="629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338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339</v>
      </c>
      <c r="B199" s="63" t="s">
        <v>340</v>
      </c>
      <c r="C199" s="36">
        <v>4301020220</v>
      </c>
      <c r="D199" s="626">
        <v>4680115880764</v>
      </c>
      <c r="E199" s="626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197</v>
      </c>
      <c r="M199" s="38" t="s">
        <v>114</v>
      </c>
      <c r="N199" s="38"/>
      <c r="O199" s="37">
        <v>50</v>
      </c>
      <c r="P199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8"/>
      <c r="R199" s="628"/>
      <c r="S199" s="628"/>
      <c r="T199" s="629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338</v>
      </c>
      <c r="AG199" s="78"/>
      <c r="AJ199" s="84" t="s">
        <v>117</v>
      </c>
      <c r="AK199" s="84">
        <v>29.4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4"/>
      <c r="B200" s="634"/>
      <c r="C200" s="634"/>
      <c r="D200" s="634"/>
      <c r="E200" s="634"/>
      <c r="F200" s="634"/>
      <c r="G200" s="634"/>
      <c r="H200" s="634"/>
      <c r="I200" s="634"/>
      <c r="J200" s="634"/>
      <c r="K200" s="634"/>
      <c r="L200" s="634"/>
      <c r="M200" s="634"/>
      <c r="N200" s="634"/>
      <c r="O200" s="635"/>
      <c r="P200" s="631" t="s">
        <v>40</v>
      </c>
      <c r="Q200" s="632"/>
      <c r="R200" s="632"/>
      <c r="S200" s="632"/>
      <c r="T200" s="632"/>
      <c r="U200" s="632"/>
      <c r="V200" s="633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4"/>
      <c r="B201" s="634"/>
      <c r="C201" s="634"/>
      <c r="D201" s="634"/>
      <c r="E201" s="634"/>
      <c r="F201" s="634"/>
      <c r="G201" s="634"/>
      <c r="H201" s="634"/>
      <c r="I201" s="634"/>
      <c r="J201" s="634"/>
      <c r="K201" s="634"/>
      <c r="L201" s="634"/>
      <c r="M201" s="634"/>
      <c r="N201" s="634"/>
      <c r="O201" s="635"/>
      <c r="P201" s="631" t="s">
        <v>40</v>
      </c>
      <c r="Q201" s="632"/>
      <c r="R201" s="632"/>
      <c r="S201" s="632"/>
      <c r="T201" s="632"/>
      <c r="U201" s="632"/>
      <c r="V201" s="633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5" t="s">
        <v>78</v>
      </c>
      <c r="B202" s="625"/>
      <c r="C202" s="625"/>
      <c r="D202" s="625"/>
      <c r="E202" s="625"/>
      <c r="F202" s="625"/>
      <c r="G202" s="625"/>
      <c r="H202" s="625"/>
      <c r="I202" s="625"/>
      <c r="J202" s="625"/>
      <c r="K202" s="625"/>
      <c r="L202" s="625"/>
      <c r="M202" s="625"/>
      <c r="N202" s="625"/>
      <c r="O202" s="625"/>
      <c r="P202" s="625"/>
      <c r="Q202" s="625"/>
      <c r="R202" s="625"/>
      <c r="S202" s="625"/>
      <c r="T202" s="625"/>
      <c r="U202" s="625"/>
      <c r="V202" s="625"/>
      <c r="W202" s="625"/>
      <c r="X202" s="625"/>
      <c r="Y202" s="625"/>
      <c r="Z202" s="625"/>
      <c r="AA202" s="66"/>
      <c r="AB202" s="66"/>
      <c r="AC202" s="80"/>
    </row>
    <row r="203" spans="1:68" ht="27" customHeight="1" x14ac:dyDescent="0.25">
      <c r="A203" s="63" t="s">
        <v>341</v>
      </c>
      <c r="B203" s="63" t="s">
        <v>342</v>
      </c>
      <c r="C203" s="36">
        <v>4301031224</v>
      </c>
      <c r="D203" s="626">
        <v>4680115882683</v>
      </c>
      <c r="E203" s="626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121</v>
      </c>
      <c r="M203" s="38" t="s">
        <v>82</v>
      </c>
      <c r="N203" s="38"/>
      <c r="O203" s="37">
        <v>40</v>
      </c>
      <c r="P203" s="7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8"/>
      <c r="R203" s="628"/>
      <c r="S203" s="628"/>
      <c r="T203" s="629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ref="BM203:BM210" si="11">IFERROR(X203*I203/H203,"0")</f>
        <v>0</v>
      </c>
      <c r="BN203" s="78">
        <f t="shared" ref="BN203:BN210" si="12">IFERROR(Y203*I203/H203,"0")</f>
        <v>0</v>
      </c>
      <c r="BO203" s="78">
        <f t="shared" ref="BO203:BO210" si="13">IFERROR(1/J203*(X203/H203),"0")</f>
        <v>0</v>
      </c>
      <c r="BP203" s="78">
        <f t="shared" ref="BP203:BP210" si="14">IFERROR(1/J203*(Y203/H203),"0")</f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4301031230</v>
      </c>
      <c r="D204" s="626">
        <v>4680115882690</v>
      </c>
      <c r="E204" s="626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8"/>
      <c r="R204" s="628"/>
      <c r="S204" s="628"/>
      <c r="T204" s="629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4301031220</v>
      </c>
      <c r="D205" s="626">
        <v>4680115882669</v>
      </c>
      <c r="E205" s="626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8"/>
      <c r="R205" s="628"/>
      <c r="S205" s="628"/>
      <c r="T205" s="629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4301031221</v>
      </c>
      <c r="D206" s="626">
        <v>4680115882676</v>
      </c>
      <c r="E206" s="626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8"/>
      <c r="R206" s="628"/>
      <c r="S206" s="628"/>
      <c r="T206" s="629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4301031223</v>
      </c>
      <c r="D207" s="626">
        <v>4680115884014</v>
      </c>
      <c r="E207" s="626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293</v>
      </c>
      <c r="M207" s="38" t="s">
        <v>82</v>
      </c>
      <c r="N207" s="38"/>
      <c r="O207" s="37">
        <v>40</v>
      </c>
      <c r="P207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8"/>
      <c r="R207" s="628"/>
      <c r="S207" s="628"/>
      <c r="T207" s="629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117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4301031222</v>
      </c>
      <c r="D208" s="626">
        <v>4680115884007</v>
      </c>
      <c r="E208" s="626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293</v>
      </c>
      <c r="M208" s="38" t="s">
        <v>82</v>
      </c>
      <c r="N208" s="38"/>
      <c r="O208" s="37">
        <v>40</v>
      </c>
      <c r="P208" s="72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8"/>
      <c r="R208" s="628"/>
      <c r="S208" s="628"/>
      <c r="T208" s="629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4301031229</v>
      </c>
      <c r="D209" s="626">
        <v>4680115884038</v>
      </c>
      <c r="E209" s="626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8"/>
      <c r="R209" s="628"/>
      <c r="S209" s="628"/>
      <c r="T209" s="629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4301031225</v>
      </c>
      <c r="D210" s="626">
        <v>4680115884021</v>
      </c>
      <c r="E210" s="626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293</v>
      </c>
      <c r="M210" s="38" t="s">
        <v>82</v>
      </c>
      <c r="N210" s="38"/>
      <c r="O210" s="37">
        <v>40</v>
      </c>
      <c r="P210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8"/>
      <c r="R210" s="628"/>
      <c r="S210" s="628"/>
      <c r="T210" s="629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0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117</v>
      </c>
      <c r="AK210" s="84">
        <v>32.4</v>
      </c>
      <c r="BB210" s="275" t="s">
        <v>66</v>
      </c>
      <c r="BM210" s="78">
        <f t="shared" si="11"/>
        <v>0</v>
      </c>
      <c r="BN210" s="78">
        <f t="shared" si="12"/>
        <v>0</v>
      </c>
      <c r="BO210" s="78">
        <f t="shared" si="13"/>
        <v>0</v>
      </c>
      <c r="BP210" s="78">
        <f t="shared" si="14"/>
        <v>0</v>
      </c>
    </row>
    <row r="211" spans="1:68" x14ac:dyDescent="0.2">
      <c r="A211" s="634"/>
      <c r="B211" s="634"/>
      <c r="C211" s="634"/>
      <c r="D211" s="634"/>
      <c r="E211" s="634"/>
      <c r="F211" s="634"/>
      <c r="G211" s="634"/>
      <c r="H211" s="634"/>
      <c r="I211" s="634"/>
      <c r="J211" s="634"/>
      <c r="K211" s="634"/>
      <c r="L211" s="634"/>
      <c r="M211" s="634"/>
      <c r="N211" s="634"/>
      <c r="O211" s="635"/>
      <c r="P211" s="631" t="s">
        <v>40</v>
      </c>
      <c r="Q211" s="632"/>
      <c r="R211" s="632"/>
      <c r="S211" s="632"/>
      <c r="T211" s="632"/>
      <c r="U211" s="632"/>
      <c r="V211" s="633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4"/>
      <c r="B212" s="634"/>
      <c r="C212" s="634"/>
      <c r="D212" s="634"/>
      <c r="E212" s="634"/>
      <c r="F212" s="634"/>
      <c r="G212" s="634"/>
      <c r="H212" s="634"/>
      <c r="I212" s="634"/>
      <c r="J212" s="634"/>
      <c r="K212" s="634"/>
      <c r="L212" s="634"/>
      <c r="M212" s="634"/>
      <c r="N212" s="634"/>
      <c r="O212" s="635"/>
      <c r="P212" s="631" t="s">
        <v>40</v>
      </c>
      <c r="Q212" s="632"/>
      <c r="R212" s="632"/>
      <c r="S212" s="632"/>
      <c r="T212" s="632"/>
      <c r="U212" s="632"/>
      <c r="V212" s="633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5" t="s">
        <v>88</v>
      </c>
      <c r="B213" s="625"/>
      <c r="C213" s="625"/>
      <c r="D213" s="625"/>
      <c r="E213" s="625"/>
      <c r="F213" s="625"/>
      <c r="G213" s="625"/>
      <c r="H213" s="625"/>
      <c r="I213" s="625"/>
      <c r="J213" s="625"/>
      <c r="K213" s="625"/>
      <c r="L213" s="625"/>
      <c r="M213" s="625"/>
      <c r="N213" s="625"/>
      <c r="O213" s="625"/>
      <c r="P213" s="625"/>
      <c r="Q213" s="625"/>
      <c r="R213" s="625"/>
      <c r="S213" s="625"/>
      <c r="T213" s="625"/>
      <c r="U213" s="625"/>
      <c r="V213" s="625"/>
      <c r="W213" s="625"/>
      <c r="X213" s="625"/>
      <c r="Y213" s="625"/>
      <c r="Z213" s="625"/>
      <c r="AA213" s="66"/>
      <c r="AB213" s="66"/>
      <c r="AC213" s="80"/>
    </row>
    <row r="214" spans="1:68" ht="27" customHeight="1" x14ac:dyDescent="0.25">
      <c r="A214" s="63" t="s">
        <v>361</v>
      </c>
      <c r="B214" s="63" t="s">
        <v>362</v>
      </c>
      <c r="C214" s="36">
        <v>4301051408</v>
      </c>
      <c r="D214" s="626">
        <v>4680115881594</v>
      </c>
      <c r="E214" s="626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115</v>
      </c>
      <c r="L214" s="37" t="s">
        <v>116</v>
      </c>
      <c r="M214" s="38" t="s">
        <v>92</v>
      </c>
      <c r="N214" s="38"/>
      <c r="O214" s="37">
        <v>40</v>
      </c>
      <c r="P214" s="7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8"/>
      <c r="R214" s="628"/>
      <c r="S214" s="628"/>
      <c r="T214" s="629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15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117</v>
      </c>
      <c r="AK214" s="84">
        <v>64.8</v>
      </c>
      <c r="BB214" s="277" t="s">
        <v>66</v>
      </c>
      <c r="BM214" s="78">
        <f t="shared" ref="BM214:BM222" si="16">IFERROR(X214*I214/H214,"0")</f>
        <v>0</v>
      </c>
      <c r="BN214" s="78">
        <f t="shared" ref="BN214:BN222" si="17">IFERROR(Y214*I214/H214,"0")</f>
        <v>0</v>
      </c>
      <c r="BO214" s="78">
        <f t="shared" ref="BO214:BO222" si="18">IFERROR(1/J214*(X214/H214),"0")</f>
        <v>0</v>
      </c>
      <c r="BP214" s="78">
        <f t="shared" ref="BP214:BP222" si="19">IFERROR(1/J214*(Y214/H214),"0")</f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4301051411</v>
      </c>
      <c r="D215" s="626">
        <v>4680115881617</v>
      </c>
      <c r="E215" s="626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40</v>
      </c>
      <c r="P215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8"/>
      <c r="R215" s="628"/>
      <c r="S215" s="628"/>
      <c r="T215" s="629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64.8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4301051656</v>
      </c>
      <c r="D216" s="626">
        <v>4680115880573</v>
      </c>
      <c r="E216" s="626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8"/>
      <c r="R216" s="628"/>
      <c r="S216" s="628"/>
      <c r="T216" s="629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69.599999999999994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37.5" customHeight="1" x14ac:dyDescent="0.25">
      <c r="A217" s="63" t="s">
        <v>370</v>
      </c>
      <c r="B217" s="63" t="s">
        <v>371</v>
      </c>
      <c r="C217" s="36">
        <v>4301051407</v>
      </c>
      <c r="D217" s="626">
        <v>4680115882195</v>
      </c>
      <c r="E217" s="626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197</v>
      </c>
      <c r="M217" s="38" t="s">
        <v>92</v>
      </c>
      <c r="N217" s="38"/>
      <c r="O217" s="37">
        <v>40</v>
      </c>
      <c r="P217" s="7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8"/>
      <c r="R217" s="628"/>
      <c r="S217" s="628"/>
      <c r="T217" s="629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ref="Z217:Z222" si="20">IFERROR(IF(Y217=0,"",ROUNDUP(Y217/H217,0)*0.00651),"")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373</v>
      </c>
      <c r="B218" s="63" t="s">
        <v>374</v>
      </c>
      <c r="C218" s="36">
        <v>4301051752</v>
      </c>
      <c r="D218" s="626">
        <v>4680115882607</v>
      </c>
      <c r="E218" s="626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8"/>
      <c r="R218" s="628"/>
      <c r="S218" s="628"/>
      <c r="T218" s="629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369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4301051666</v>
      </c>
      <c r="D219" s="626">
        <v>4680115880092</v>
      </c>
      <c r="E219" s="626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197</v>
      </c>
      <c r="M219" s="38" t="s">
        <v>92</v>
      </c>
      <c r="N219" s="38"/>
      <c r="O219" s="37">
        <v>45</v>
      </c>
      <c r="P219" s="7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8"/>
      <c r="R219" s="628"/>
      <c r="S219" s="628"/>
      <c r="T219" s="629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369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4301051668</v>
      </c>
      <c r="D220" s="626">
        <v>4680115880221</v>
      </c>
      <c r="E220" s="626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197</v>
      </c>
      <c r="M220" s="38" t="s">
        <v>92</v>
      </c>
      <c r="N220" s="38"/>
      <c r="O220" s="37">
        <v>45</v>
      </c>
      <c r="P220" s="7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8"/>
      <c r="R220" s="628"/>
      <c r="S220" s="628"/>
      <c r="T220" s="629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369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4301051945</v>
      </c>
      <c r="D221" s="626">
        <v>4680115880504</v>
      </c>
      <c r="E221" s="626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197</v>
      </c>
      <c r="M221" s="38" t="s">
        <v>98</v>
      </c>
      <c r="N221" s="38"/>
      <c r="O221" s="37">
        <v>40</v>
      </c>
      <c r="P221" s="7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8"/>
      <c r="R221" s="628"/>
      <c r="S221" s="628"/>
      <c r="T221" s="629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381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4301051410</v>
      </c>
      <c r="D222" s="626">
        <v>4680115882164</v>
      </c>
      <c r="E222" s="626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197</v>
      </c>
      <c r="M222" s="38" t="s">
        <v>92</v>
      </c>
      <c r="N222" s="38"/>
      <c r="O222" s="37">
        <v>40</v>
      </c>
      <c r="P222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8"/>
      <c r="R222" s="628"/>
      <c r="S222" s="628"/>
      <c r="T222" s="629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15"/>
        <v>0</v>
      </c>
      <c r="Z222" s="41" t="str">
        <f t="shared" si="20"/>
        <v/>
      </c>
      <c r="AA222" s="68" t="s">
        <v>45</v>
      </c>
      <c r="AB222" s="69" t="s">
        <v>45</v>
      </c>
      <c r="AC222" s="292" t="s">
        <v>366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16"/>
        <v>0</v>
      </c>
      <c r="BN222" s="78">
        <f t="shared" si="17"/>
        <v>0</v>
      </c>
      <c r="BO222" s="78">
        <f t="shared" si="18"/>
        <v>0</v>
      </c>
      <c r="BP222" s="78">
        <f t="shared" si="19"/>
        <v>0</v>
      </c>
    </row>
    <row r="223" spans="1:68" x14ac:dyDescent="0.2">
      <c r="A223" s="634"/>
      <c r="B223" s="634"/>
      <c r="C223" s="634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5"/>
      <c r="P223" s="631" t="s">
        <v>40</v>
      </c>
      <c r="Q223" s="632"/>
      <c r="R223" s="632"/>
      <c r="S223" s="632"/>
      <c r="T223" s="632"/>
      <c r="U223" s="632"/>
      <c r="V223" s="633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4"/>
      <c r="B224" s="634"/>
      <c r="C224" s="634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5"/>
      <c r="P224" s="631" t="s">
        <v>40</v>
      </c>
      <c r="Q224" s="632"/>
      <c r="R224" s="632"/>
      <c r="S224" s="632"/>
      <c r="T224" s="632"/>
      <c r="U224" s="632"/>
      <c r="V224" s="633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5" t="s">
        <v>171</v>
      </c>
      <c r="B225" s="625"/>
      <c r="C225" s="625"/>
      <c r="D225" s="625"/>
      <c r="E225" s="625"/>
      <c r="F225" s="625"/>
      <c r="G225" s="625"/>
      <c r="H225" s="625"/>
      <c r="I225" s="625"/>
      <c r="J225" s="625"/>
      <c r="K225" s="625"/>
      <c r="L225" s="625"/>
      <c r="M225" s="625"/>
      <c r="N225" s="625"/>
      <c r="O225" s="625"/>
      <c r="P225" s="625"/>
      <c r="Q225" s="625"/>
      <c r="R225" s="625"/>
      <c r="S225" s="625"/>
      <c r="T225" s="625"/>
      <c r="U225" s="625"/>
      <c r="V225" s="625"/>
      <c r="W225" s="625"/>
      <c r="X225" s="625"/>
      <c r="Y225" s="625"/>
      <c r="Z225" s="625"/>
      <c r="AA225" s="66"/>
      <c r="AB225" s="66"/>
      <c r="AC225" s="80"/>
    </row>
    <row r="226" spans="1:68" ht="27" customHeight="1" x14ac:dyDescent="0.25">
      <c r="A226" s="63" t="s">
        <v>384</v>
      </c>
      <c r="B226" s="63" t="s">
        <v>385</v>
      </c>
      <c r="C226" s="36">
        <v>4301060463</v>
      </c>
      <c r="D226" s="626">
        <v>4680115880818</v>
      </c>
      <c r="E226" s="626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197</v>
      </c>
      <c r="M226" s="38" t="s">
        <v>98</v>
      </c>
      <c r="N226" s="38"/>
      <c r="O226" s="37">
        <v>40</v>
      </c>
      <c r="P226" s="73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8"/>
      <c r="R226" s="628"/>
      <c r="S226" s="628"/>
      <c r="T226" s="629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117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387</v>
      </c>
      <c r="B227" s="63" t="s">
        <v>388</v>
      </c>
      <c r="C227" s="36">
        <v>4301060389</v>
      </c>
      <c r="D227" s="626">
        <v>4680115880801</v>
      </c>
      <c r="E227" s="626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197</v>
      </c>
      <c r="M227" s="38" t="s">
        <v>92</v>
      </c>
      <c r="N227" s="38"/>
      <c r="O227" s="37">
        <v>40</v>
      </c>
      <c r="P227" s="73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8"/>
      <c r="R227" s="628"/>
      <c r="S227" s="628"/>
      <c r="T227" s="629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117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4"/>
      <c r="B228" s="634"/>
      <c r="C228" s="634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5"/>
      <c r="P228" s="631" t="s">
        <v>40</v>
      </c>
      <c r="Q228" s="632"/>
      <c r="R228" s="632"/>
      <c r="S228" s="632"/>
      <c r="T228" s="632"/>
      <c r="U228" s="632"/>
      <c r="V228" s="633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4"/>
      <c r="B229" s="634"/>
      <c r="C229" s="634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5"/>
      <c r="P229" s="631" t="s">
        <v>40</v>
      </c>
      <c r="Q229" s="632"/>
      <c r="R229" s="632"/>
      <c r="S229" s="632"/>
      <c r="T229" s="632"/>
      <c r="U229" s="632"/>
      <c r="V229" s="633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4" t="s">
        <v>390</v>
      </c>
      <c r="B230" s="624"/>
      <c r="C230" s="624"/>
      <c r="D230" s="624"/>
      <c r="E230" s="624"/>
      <c r="F230" s="624"/>
      <c r="G230" s="624"/>
      <c r="H230" s="624"/>
      <c r="I230" s="624"/>
      <c r="J230" s="624"/>
      <c r="K230" s="624"/>
      <c r="L230" s="624"/>
      <c r="M230" s="624"/>
      <c r="N230" s="624"/>
      <c r="O230" s="624"/>
      <c r="P230" s="624"/>
      <c r="Q230" s="624"/>
      <c r="R230" s="624"/>
      <c r="S230" s="624"/>
      <c r="T230" s="624"/>
      <c r="U230" s="624"/>
      <c r="V230" s="624"/>
      <c r="W230" s="624"/>
      <c r="X230" s="624"/>
      <c r="Y230" s="624"/>
      <c r="Z230" s="624"/>
      <c r="AA230" s="65"/>
      <c r="AB230" s="65"/>
      <c r="AC230" s="79"/>
    </row>
    <row r="231" spans="1:68" ht="14.25" customHeight="1" x14ac:dyDescent="0.25">
      <c r="A231" s="625" t="s">
        <v>110</v>
      </c>
      <c r="B231" s="625"/>
      <c r="C231" s="625"/>
      <c r="D231" s="625"/>
      <c r="E231" s="625"/>
      <c r="F231" s="625"/>
      <c r="G231" s="625"/>
      <c r="H231" s="625"/>
      <c r="I231" s="625"/>
      <c r="J231" s="625"/>
      <c r="K231" s="625"/>
      <c r="L231" s="625"/>
      <c r="M231" s="625"/>
      <c r="N231" s="625"/>
      <c r="O231" s="625"/>
      <c r="P231" s="625"/>
      <c r="Q231" s="625"/>
      <c r="R231" s="625"/>
      <c r="S231" s="625"/>
      <c r="T231" s="625"/>
      <c r="U231" s="625"/>
      <c r="V231" s="625"/>
      <c r="W231" s="625"/>
      <c r="X231" s="625"/>
      <c r="Y231" s="625"/>
      <c r="Z231" s="625"/>
      <c r="AA231" s="66"/>
      <c r="AB231" s="66"/>
      <c r="AC231" s="80"/>
    </row>
    <row r="232" spans="1:68" ht="27" customHeight="1" x14ac:dyDescent="0.25">
      <c r="A232" s="63" t="s">
        <v>391</v>
      </c>
      <c r="B232" s="63" t="s">
        <v>392</v>
      </c>
      <c r="C232" s="36">
        <v>4301011826</v>
      </c>
      <c r="D232" s="626">
        <v>4680115884137</v>
      </c>
      <c r="E232" s="626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116</v>
      </c>
      <c r="M232" s="38" t="s">
        <v>114</v>
      </c>
      <c r="N232" s="38"/>
      <c r="O232" s="37">
        <v>55</v>
      </c>
      <c r="P232" s="7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8"/>
      <c r="R232" s="628"/>
      <c r="S232" s="628"/>
      <c r="T232" s="629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1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117</v>
      </c>
      <c r="AK232" s="84">
        <v>92.8</v>
      </c>
      <c r="BB232" s="299" t="s">
        <v>66</v>
      </c>
      <c r="BM232" s="78">
        <f t="shared" ref="BM232:BM240" si="22">IFERROR(X232*I232/H232,"0")</f>
        <v>0</v>
      </c>
      <c r="BN232" s="78">
        <f t="shared" ref="BN232:BN240" si="23">IFERROR(Y232*I232/H232,"0")</f>
        <v>0</v>
      </c>
      <c r="BO232" s="78">
        <f t="shared" ref="BO232:BO240" si="24">IFERROR(1/J232*(X232/H232),"0")</f>
        <v>0</v>
      </c>
      <c r="BP232" s="78">
        <f t="shared" ref="BP232:BP240" si="25">IFERROR(1/J232*(Y232/H232),"0")</f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4301011724</v>
      </c>
      <c r="D233" s="626">
        <v>4680115884236</v>
      </c>
      <c r="E233" s="626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8"/>
      <c r="R233" s="628"/>
      <c r="S233" s="628"/>
      <c r="T233" s="629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4301011721</v>
      </c>
      <c r="D234" s="626">
        <v>4680115884175</v>
      </c>
      <c r="E234" s="626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8"/>
      <c r="R234" s="628"/>
      <c r="S234" s="628"/>
      <c r="T234" s="629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4301011824</v>
      </c>
      <c r="D235" s="626">
        <v>4680115884144</v>
      </c>
      <c r="E235" s="626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4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8"/>
      <c r="R235" s="628"/>
      <c r="S235" s="628"/>
      <c r="T235" s="629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393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402</v>
      </c>
      <c r="C236" s="36">
        <v>4301012196</v>
      </c>
      <c r="D236" s="626">
        <v>4680115884144</v>
      </c>
      <c r="E236" s="626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8"/>
      <c r="R236" s="628"/>
      <c r="S236" s="628"/>
      <c r="T236" s="629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393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4301012149</v>
      </c>
      <c r="D237" s="626">
        <v>4680115886551</v>
      </c>
      <c r="E237" s="626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8"/>
      <c r="R237" s="628"/>
      <c r="S237" s="628"/>
      <c r="T237" s="629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4301012228</v>
      </c>
      <c r="D238" s="626">
        <v>4680115887282</v>
      </c>
      <c r="E238" s="62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114</v>
      </c>
      <c r="N238" s="38"/>
      <c r="O238" s="37">
        <v>55</v>
      </c>
      <c r="P238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8"/>
      <c r="R238" s="628"/>
      <c r="S238" s="628"/>
      <c r="T238" s="629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4301011722</v>
      </c>
      <c r="D239" s="626">
        <v>4680115884205</v>
      </c>
      <c r="E239" s="626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114</v>
      </c>
      <c r="N239" s="38"/>
      <c r="O239" s="37">
        <v>55</v>
      </c>
      <c r="P23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8"/>
      <c r="R239" s="628"/>
      <c r="S239" s="628"/>
      <c r="T239" s="629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399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ht="27" customHeight="1" x14ac:dyDescent="0.25">
      <c r="A240" s="63" t="s">
        <v>409</v>
      </c>
      <c r="B240" s="63" t="s">
        <v>411</v>
      </c>
      <c r="C240" s="36">
        <v>4301012195</v>
      </c>
      <c r="D240" s="626">
        <v>4680115884205</v>
      </c>
      <c r="E240" s="626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74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8"/>
      <c r="R240" s="628"/>
      <c r="S240" s="628"/>
      <c r="T240" s="629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1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399</v>
      </c>
      <c r="AG240" s="78"/>
      <c r="AJ240" s="84" t="s">
        <v>45</v>
      </c>
      <c r="AK240" s="84">
        <v>0</v>
      </c>
      <c r="BB240" s="315" t="s">
        <v>66</v>
      </c>
      <c r="BM240" s="78">
        <f t="shared" si="22"/>
        <v>0</v>
      </c>
      <c r="BN240" s="78">
        <f t="shared" si="23"/>
        <v>0</v>
      </c>
      <c r="BO240" s="78">
        <f t="shared" si="24"/>
        <v>0</v>
      </c>
      <c r="BP240" s="78">
        <f t="shared" si="25"/>
        <v>0</v>
      </c>
    </row>
    <row r="241" spans="1:68" x14ac:dyDescent="0.2">
      <c r="A241" s="634"/>
      <c r="B241" s="634"/>
      <c r="C241" s="634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5"/>
      <c r="P241" s="631" t="s">
        <v>40</v>
      </c>
      <c r="Q241" s="632"/>
      <c r="R241" s="632"/>
      <c r="S241" s="632"/>
      <c r="T241" s="632"/>
      <c r="U241" s="632"/>
      <c r="V241" s="633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4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5"/>
      <c r="P242" s="631" t="s">
        <v>40</v>
      </c>
      <c r="Q242" s="632"/>
      <c r="R242" s="632"/>
      <c r="S242" s="632"/>
      <c r="T242" s="632"/>
      <c r="U242" s="632"/>
      <c r="V242" s="633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5" t="s">
        <v>146</v>
      </c>
      <c r="B243" s="625"/>
      <c r="C243" s="625"/>
      <c r="D243" s="625"/>
      <c r="E243" s="625"/>
      <c r="F243" s="625"/>
      <c r="G243" s="625"/>
      <c r="H243" s="625"/>
      <c r="I243" s="625"/>
      <c r="J243" s="625"/>
      <c r="K243" s="625"/>
      <c r="L243" s="625"/>
      <c r="M243" s="625"/>
      <c r="N243" s="625"/>
      <c r="O243" s="625"/>
      <c r="P243" s="625"/>
      <c r="Q243" s="625"/>
      <c r="R243" s="625"/>
      <c r="S243" s="625"/>
      <c r="T243" s="625"/>
      <c r="U243" s="625"/>
      <c r="V243" s="625"/>
      <c r="W243" s="625"/>
      <c r="X243" s="625"/>
      <c r="Y243" s="625"/>
      <c r="Z243" s="625"/>
      <c r="AA243" s="66"/>
      <c r="AB243" s="66"/>
      <c r="AC243" s="80"/>
    </row>
    <row r="244" spans="1:68" ht="27" customHeight="1" x14ac:dyDescent="0.25">
      <c r="A244" s="63" t="s">
        <v>412</v>
      </c>
      <c r="B244" s="63" t="s">
        <v>413</v>
      </c>
      <c r="C244" s="36">
        <v>4301020377</v>
      </c>
      <c r="D244" s="626">
        <v>4680115885981</v>
      </c>
      <c r="E244" s="626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8"/>
      <c r="R244" s="628"/>
      <c r="S244" s="628"/>
      <c r="T244" s="629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414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4"/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5"/>
      <c r="P245" s="631" t="s">
        <v>40</v>
      </c>
      <c r="Q245" s="632"/>
      <c r="R245" s="632"/>
      <c r="S245" s="632"/>
      <c r="T245" s="632"/>
      <c r="U245" s="632"/>
      <c r="V245" s="63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4"/>
      <c r="B246" s="634"/>
      <c r="C246" s="634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5"/>
      <c r="P246" s="631" t="s">
        <v>40</v>
      </c>
      <c r="Q246" s="632"/>
      <c r="R246" s="632"/>
      <c r="S246" s="632"/>
      <c r="T246" s="632"/>
      <c r="U246" s="632"/>
      <c r="V246" s="63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5" t="s">
        <v>415</v>
      </c>
      <c r="B247" s="625"/>
      <c r="C247" s="625"/>
      <c r="D247" s="625"/>
      <c r="E247" s="625"/>
      <c r="F247" s="625"/>
      <c r="G247" s="625"/>
      <c r="H247" s="625"/>
      <c r="I247" s="625"/>
      <c r="J247" s="625"/>
      <c r="K247" s="625"/>
      <c r="L247" s="625"/>
      <c r="M247" s="625"/>
      <c r="N247" s="625"/>
      <c r="O247" s="625"/>
      <c r="P247" s="625"/>
      <c r="Q247" s="625"/>
      <c r="R247" s="625"/>
      <c r="S247" s="625"/>
      <c r="T247" s="625"/>
      <c r="U247" s="625"/>
      <c r="V247" s="625"/>
      <c r="W247" s="625"/>
      <c r="X247" s="625"/>
      <c r="Y247" s="625"/>
      <c r="Z247" s="625"/>
      <c r="AA247" s="66"/>
      <c r="AB247" s="66"/>
      <c r="AC247" s="80"/>
    </row>
    <row r="248" spans="1:68" ht="27" customHeight="1" x14ac:dyDescent="0.25">
      <c r="A248" s="63" t="s">
        <v>416</v>
      </c>
      <c r="B248" s="63" t="s">
        <v>417</v>
      </c>
      <c r="C248" s="36">
        <v>4301040362</v>
      </c>
      <c r="D248" s="626">
        <v>4680115886803</v>
      </c>
      <c r="E248" s="626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321</v>
      </c>
      <c r="L248" s="37" t="s">
        <v>45</v>
      </c>
      <c r="M248" s="38" t="s">
        <v>302</v>
      </c>
      <c r="N248" s="38"/>
      <c r="O248" s="37">
        <v>45</v>
      </c>
      <c r="P248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8"/>
      <c r="R248" s="628"/>
      <c r="S248" s="628"/>
      <c r="T248" s="629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418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4"/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5"/>
      <c r="P249" s="631" t="s">
        <v>40</v>
      </c>
      <c r="Q249" s="632"/>
      <c r="R249" s="632"/>
      <c r="S249" s="632"/>
      <c r="T249" s="632"/>
      <c r="U249" s="632"/>
      <c r="V249" s="633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4"/>
      <c r="B250" s="634"/>
      <c r="C250" s="634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5"/>
      <c r="P250" s="631" t="s">
        <v>40</v>
      </c>
      <c r="Q250" s="632"/>
      <c r="R250" s="632"/>
      <c r="S250" s="632"/>
      <c r="T250" s="632"/>
      <c r="U250" s="632"/>
      <c r="V250" s="633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5" t="s">
        <v>419</v>
      </c>
      <c r="B251" s="625"/>
      <c r="C251" s="625"/>
      <c r="D251" s="625"/>
      <c r="E251" s="625"/>
      <c r="F251" s="625"/>
      <c r="G251" s="625"/>
      <c r="H251" s="625"/>
      <c r="I251" s="625"/>
      <c r="J251" s="625"/>
      <c r="K251" s="625"/>
      <c r="L251" s="625"/>
      <c r="M251" s="625"/>
      <c r="N251" s="625"/>
      <c r="O251" s="625"/>
      <c r="P251" s="625"/>
      <c r="Q251" s="625"/>
      <c r="R251" s="625"/>
      <c r="S251" s="625"/>
      <c r="T251" s="625"/>
      <c r="U251" s="625"/>
      <c r="V251" s="625"/>
      <c r="W251" s="625"/>
      <c r="X251" s="625"/>
      <c r="Y251" s="625"/>
      <c r="Z251" s="625"/>
      <c r="AA251" s="66"/>
      <c r="AB251" s="66"/>
      <c r="AC251" s="80"/>
    </row>
    <row r="252" spans="1:68" ht="27" customHeight="1" x14ac:dyDescent="0.25">
      <c r="A252" s="63" t="s">
        <v>420</v>
      </c>
      <c r="B252" s="63" t="s">
        <v>421</v>
      </c>
      <c r="C252" s="36">
        <v>4301041004</v>
      </c>
      <c r="D252" s="626">
        <v>4680115886704</v>
      </c>
      <c r="E252" s="626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321</v>
      </c>
      <c r="L252" s="37" t="s">
        <v>45</v>
      </c>
      <c r="M252" s="38" t="s">
        <v>302</v>
      </c>
      <c r="N252" s="38"/>
      <c r="O252" s="37">
        <v>90</v>
      </c>
      <c r="P252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8"/>
      <c r="R252" s="628"/>
      <c r="S252" s="628"/>
      <c r="T252" s="629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423</v>
      </c>
      <c r="B253" s="63" t="s">
        <v>424</v>
      </c>
      <c r="C253" s="36">
        <v>4301041008</v>
      </c>
      <c r="D253" s="626">
        <v>4680115886681</v>
      </c>
      <c r="E253" s="626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321</v>
      </c>
      <c r="L253" s="37" t="s">
        <v>45</v>
      </c>
      <c r="M253" s="38" t="s">
        <v>302</v>
      </c>
      <c r="N253" s="38"/>
      <c r="O253" s="37">
        <v>90</v>
      </c>
      <c r="P253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8"/>
      <c r="R253" s="628"/>
      <c r="S253" s="628"/>
      <c r="T253" s="629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4301041007</v>
      </c>
      <c r="D254" s="626">
        <v>4680115886735</v>
      </c>
      <c r="E254" s="626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321</v>
      </c>
      <c r="L254" s="37" t="s">
        <v>45</v>
      </c>
      <c r="M254" s="38" t="s">
        <v>302</v>
      </c>
      <c r="N254" s="38"/>
      <c r="O254" s="37">
        <v>90</v>
      </c>
      <c r="P254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8"/>
      <c r="R254" s="628"/>
      <c r="S254" s="628"/>
      <c r="T254" s="629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4301041006</v>
      </c>
      <c r="D255" s="626">
        <v>4680115886728</v>
      </c>
      <c r="E255" s="626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321</v>
      </c>
      <c r="L255" s="37" t="s">
        <v>45</v>
      </c>
      <c r="M255" s="38" t="s">
        <v>302</v>
      </c>
      <c r="N255" s="38"/>
      <c r="O255" s="37">
        <v>90</v>
      </c>
      <c r="P255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8"/>
      <c r="R255" s="628"/>
      <c r="S255" s="628"/>
      <c r="T255" s="629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4301041005</v>
      </c>
      <c r="D256" s="626">
        <v>4680115886711</v>
      </c>
      <c r="E256" s="626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321</v>
      </c>
      <c r="L256" s="37" t="s">
        <v>45</v>
      </c>
      <c r="M256" s="38" t="s">
        <v>302</v>
      </c>
      <c r="N256" s="38"/>
      <c r="O256" s="37">
        <v>90</v>
      </c>
      <c r="P256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8"/>
      <c r="R256" s="628"/>
      <c r="S256" s="628"/>
      <c r="T256" s="629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422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4"/>
      <c r="B257" s="634"/>
      <c r="C257" s="634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5"/>
      <c r="P257" s="631" t="s">
        <v>40</v>
      </c>
      <c r="Q257" s="632"/>
      <c r="R257" s="632"/>
      <c r="S257" s="632"/>
      <c r="T257" s="632"/>
      <c r="U257" s="632"/>
      <c r="V257" s="633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4"/>
      <c r="B258" s="634"/>
      <c r="C258" s="634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5"/>
      <c r="P258" s="631" t="s">
        <v>40</v>
      </c>
      <c r="Q258" s="632"/>
      <c r="R258" s="632"/>
      <c r="S258" s="632"/>
      <c r="T258" s="632"/>
      <c r="U258" s="632"/>
      <c r="V258" s="633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4" t="s">
        <v>431</v>
      </c>
      <c r="B259" s="624"/>
      <c r="C259" s="624"/>
      <c r="D259" s="624"/>
      <c r="E259" s="624"/>
      <c r="F259" s="624"/>
      <c r="G259" s="624"/>
      <c r="H259" s="624"/>
      <c r="I259" s="624"/>
      <c r="J259" s="624"/>
      <c r="K259" s="624"/>
      <c r="L259" s="624"/>
      <c r="M259" s="624"/>
      <c r="N259" s="624"/>
      <c r="O259" s="624"/>
      <c r="P259" s="624"/>
      <c r="Q259" s="624"/>
      <c r="R259" s="624"/>
      <c r="S259" s="624"/>
      <c r="T259" s="624"/>
      <c r="U259" s="624"/>
      <c r="V259" s="624"/>
      <c r="W259" s="624"/>
      <c r="X259" s="624"/>
      <c r="Y259" s="624"/>
      <c r="Z259" s="624"/>
      <c r="AA259" s="65"/>
      <c r="AB259" s="65"/>
      <c r="AC259" s="79"/>
    </row>
    <row r="260" spans="1:68" ht="14.25" customHeight="1" x14ac:dyDescent="0.25">
      <c r="A260" s="625" t="s">
        <v>110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6"/>
      <c r="AB260" s="66"/>
      <c r="AC260" s="80"/>
    </row>
    <row r="261" spans="1:68" ht="27" customHeight="1" x14ac:dyDescent="0.25">
      <c r="A261" s="63" t="s">
        <v>432</v>
      </c>
      <c r="B261" s="63" t="s">
        <v>433</v>
      </c>
      <c r="C261" s="36">
        <v>4301011855</v>
      </c>
      <c r="D261" s="626">
        <v>4680115885837</v>
      </c>
      <c r="E261" s="62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116</v>
      </c>
      <c r="M261" s="38" t="s">
        <v>114</v>
      </c>
      <c r="N261" s="38"/>
      <c r="O261" s="37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8"/>
      <c r="R261" s="628"/>
      <c r="S261" s="628"/>
      <c r="T261" s="629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117</v>
      </c>
      <c r="AK261" s="84">
        <v>86.4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435</v>
      </c>
      <c r="B262" s="63" t="s">
        <v>436</v>
      </c>
      <c r="C262" s="36">
        <v>4301011853</v>
      </c>
      <c r="D262" s="626">
        <v>4680115885851</v>
      </c>
      <c r="E262" s="62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8"/>
      <c r="R262" s="628"/>
      <c r="S262" s="628"/>
      <c r="T262" s="629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4301011850</v>
      </c>
      <c r="D263" s="626">
        <v>4680115885806</v>
      </c>
      <c r="E263" s="626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8"/>
      <c r="R263" s="628"/>
      <c r="S263" s="628"/>
      <c r="T263" s="629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4301011852</v>
      </c>
      <c r="D264" s="626">
        <v>4680115885844</v>
      </c>
      <c r="E264" s="626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8"/>
      <c r="R264" s="628"/>
      <c r="S264" s="628"/>
      <c r="T264" s="629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444</v>
      </c>
      <c r="B265" s="63" t="s">
        <v>445</v>
      </c>
      <c r="C265" s="36">
        <v>4301011851</v>
      </c>
      <c r="D265" s="626">
        <v>4680115885820</v>
      </c>
      <c r="E265" s="626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8"/>
      <c r="R265" s="628"/>
      <c r="S265" s="628"/>
      <c r="T265" s="629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4"/>
      <c r="B266" s="634"/>
      <c r="C266" s="634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5"/>
      <c r="P266" s="631" t="s">
        <v>40</v>
      </c>
      <c r="Q266" s="632"/>
      <c r="R266" s="632"/>
      <c r="S266" s="632"/>
      <c r="T266" s="632"/>
      <c r="U266" s="632"/>
      <c r="V266" s="633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4"/>
      <c r="B267" s="634"/>
      <c r="C267" s="634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5"/>
      <c r="P267" s="631" t="s">
        <v>40</v>
      </c>
      <c r="Q267" s="632"/>
      <c r="R267" s="632"/>
      <c r="S267" s="632"/>
      <c r="T267" s="632"/>
      <c r="U267" s="632"/>
      <c r="V267" s="633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4" t="s">
        <v>447</v>
      </c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4"/>
      <c r="P268" s="624"/>
      <c r="Q268" s="624"/>
      <c r="R268" s="624"/>
      <c r="S268" s="624"/>
      <c r="T268" s="624"/>
      <c r="U268" s="624"/>
      <c r="V268" s="624"/>
      <c r="W268" s="624"/>
      <c r="X268" s="624"/>
      <c r="Y268" s="624"/>
      <c r="Z268" s="624"/>
      <c r="AA268" s="65"/>
      <c r="AB268" s="65"/>
      <c r="AC268" s="79"/>
    </row>
    <row r="269" spans="1:68" ht="14.25" customHeight="1" x14ac:dyDescent="0.25">
      <c r="A269" s="625" t="s">
        <v>110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6"/>
      <c r="AB269" s="66"/>
      <c r="AC269" s="80"/>
    </row>
    <row r="270" spans="1:68" ht="27" customHeight="1" x14ac:dyDescent="0.25">
      <c r="A270" s="63" t="s">
        <v>448</v>
      </c>
      <c r="B270" s="63" t="s">
        <v>449</v>
      </c>
      <c r="C270" s="36">
        <v>4301011223</v>
      </c>
      <c r="D270" s="626">
        <v>4607091383423</v>
      </c>
      <c r="E270" s="626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35</v>
      </c>
      <c r="P270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8"/>
      <c r="R270" s="628"/>
      <c r="S270" s="628"/>
      <c r="T270" s="629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113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450</v>
      </c>
      <c r="B271" s="63" t="s">
        <v>451</v>
      </c>
      <c r="C271" s="36">
        <v>4301012199</v>
      </c>
      <c r="D271" s="626">
        <v>4680115886957</v>
      </c>
      <c r="E271" s="626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30</v>
      </c>
      <c r="P271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8"/>
      <c r="R271" s="628"/>
      <c r="S271" s="628"/>
      <c r="T271" s="629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452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453</v>
      </c>
      <c r="B272" s="63" t="s">
        <v>454</v>
      </c>
      <c r="C272" s="36">
        <v>4301012098</v>
      </c>
      <c r="D272" s="626">
        <v>4680115885660</v>
      </c>
      <c r="E272" s="626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35</v>
      </c>
      <c r="P272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8"/>
      <c r="R272" s="628"/>
      <c r="S272" s="628"/>
      <c r="T272" s="629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399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455</v>
      </c>
      <c r="B273" s="63" t="s">
        <v>456</v>
      </c>
      <c r="C273" s="36">
        <v>4301012176</v>
      </c>
      <c r="D273" s="626">
        <v>4680115886773</v>
      </c>
      <c r="E273" s="626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115</v>
      </c>
      <c r="L273" s="37" t="s">
        <v>45</v>
      </c>
      <c r="M273" s="38" t="s">
        <v>114</v>
      </c>
      <c r="N273" s="38"/>
      <c r="O273" s="37">
        <v>31</v>
      </c>
      <c r="P273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8"/>
      <c r="R273" s="628"/>
      <c r="S273" s="628"/>
      <c r="T273" s="629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457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4"/>
      <c r="B274" s="634"/>
      <c r="C274" s="634"/>
      <c r="D274" s="634"/>
      <c r="E274" s="634"/>
      <c r="F274" s="634"/>
      <c r="G274" s="634"/>
      <c r="H274" s="634"/>
      <c r="I274" s="634"/>
      <c r="J274" s="634"/>
      <c r="K274" s="634"/>
      <c r="L274" s="634"/>
      <c r="M274" s="634"/>
      <c r="N274" s="634"/>
      <c r="O274" s="635"/>
      <c r="P274" s="631" t="s">
        <v>40</v>
      </c>
      <c r="Q274" s="632"/>
      <c r="R274" s="632"/>
      <c r="S274" s="632"/>
      <c r="T274" s="632"/>
      <c r="U274" s="632"/>
      <c r="V274" s="633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4"/>
      <c r="B275" s="634"/>
      <c r="C275" s="634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5"/>
      <c r="P275" s="631" t="s">
        <v>40</v>
      </c>
      <c r="Q275" s="632"/>
      <c r="R275" s="632"/>
      <c r="S275" s="632"/>
      <c r="T275" s="632"/>
      <c r="U275" s="632"/>
      <c r="V275" s="633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4" t="s">
        <v>458</v>
      </c>
      <c r="B276" s="624"/>
      <c r="C276" s="624"/>
      <c r="D276" s="624"/>
      <c r="E276" s="624"/>
      <c r="F276" s="624"/>
      <c r="G276" s="624"/>
      <c r="H276" s="624"/>
      <c r="I276" s="624"/>
      <c r="J276" s="624"/>
      <c r="K276" s="624"/>
      <c r="L276" s="624"/>
      <c r="M276" s="624"/>
      <c r="N276" s="624"/>
      <c r="O276" s="624"/>
      <c r="P276" s="624"/>
      <c r="Q276" s="624"/>
      <c r="R276" s="624"/>
      <c r="S276" s="624"/>
      <c r="T276" s="624"/>
      <c r="U276" s="624"/>
      <c r="V276" s="624"/>
      <c r="W276" s="624"/>
      <c r="X276" s="624"/>
      <c r="Y276" s="624"/>
      <c r="Z276" s="624"/>
      <c r="AA276" s="65"/>
      <c r="AB276" s="65"/>
      <c r="AC276" s="79"/>
    </row>
    <row r="277" spans="1:68" ht="14.25" customHeight="1" x14ac:dyDescent="0.25">
      <c r="A277" s="625" t="s">
        <v>88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6"/>
      <c r="AB277" s="66"/>
      <c r="AC277" s="80"/>
    </row>
    <row r="278" spans="1:68" ht="27" customHeight="1" x14ac:dyDescent="0.25">
      <c r="A278" s="63" t="s">
        <v>459</v>
      </c>
      <c r="B278" s="63" t="s">
        <v>460</v>
      </c>
      <c r="C278" s="36">
        <v>4301051893</v>
      </c>
      <c r="D278" s="626">
        <v>4680115886186</v>
      </c>
      <c r="E278" s="626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8"/>
      <c r="R278" s="628"/>
      <c r="S278" s="628"/>
      <c r="T278" s="629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4301051795</v>
      </c>
      <c r="D279" s="626">
        <v>4680115881228</v>
      </c>
      <c r="E279" s="626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197</v>
      </c>
      <c r="M279" s="38" t="s">
        <v>98</v>
      </c>
      <c r="N279" s="38"/>
      <c r="O279" s="37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8"/>
      <c r="R279" s="628"/>
      <c r="S279" s="628"/>
      <c r="T279" s="629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4301051388</v>
      </c>
      <c r="D280" s="626">
        <v>4680115881211</v>
      </c>
      <c r="E280" s="626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197</v>
      </c>
      <c r="M280" s="38" t="s">
        <v>92</v>
      </c>
      <c r="N280" s="38"/>
      <c r="O280" s="37">
        <v>45</v>
      </c>
      <c r="P280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8"/>
      <c r="R280" s="628"/>
      <c r="S280" s="628"/>
      <c r="T280" s="629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461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4"/>
      <c r="B281" s="634"/>
      <c r="C281" s="634"/>
      <c r="D281" s="634"/>
      <c r="E281" s="634"/>
      <c r="F281" s="634"/>
      <c r="G281" s="634"/>
      <c r="H281" s="634"/>
      <c r="I281" s="634"/>
      <c r="J281" s="634"/>
      <c r="K281" s="634"/>
      <c r="L281" s="634"/>
      <c r="M281" s="634"/>
      <c r="N281" s="634"/>
      <c r="O281" s="635"/>
      <c r="P281" s="631" t="s">
        <v>40</v>
      </c>
      <c r="Q281" s="632"/>
      <c r="R281" s="632"/>
      <c r="S281" s="632"/>
      <c r="T281" s="632"/>
      <c r="U281" s="632"/>
      <c r="V281" s="633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4"/>
      <c r="B282" s="634"/>
      <c r="C282" s="634"/>
      <c r="D282" s="634"/>
      <c r="E282" s="634"/>
      <c r="F282" s="634"/>
      <c r="G282" s="634"/>
      <c r="H282" s="634"/>
      <c r="I282" s="634"/>
      <c r="J282" s="634"/>
      <c r="K282" s="634"/>
      <c r="L282" s="634"/>
      <c r="M282" s="634"/>
      <c r="N282" s="634"/>
      <c r="O282" s="635"/>
      <c r="P282" s="631" t="s">
        <v>40</v>
      </c>
      <c r="Q282" s="632"/>
      <c r="R282" s="632"/>
      <c r="S282" s="632"/>
      <c r="T282" s="632"/>
      <c r="U282" s="632"/>
      <c r="V282" s="633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4" t="s">
        <v>467</v>
      </c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4"/>
      <c r="P283" s="624"/>
      <c r="Q283" s="624"/>
      <c r="R283" s="624"/>
      <c r="S283" s="624"/>
      <c r="T283" s="624"/>
      <c r="U283" s="624"/>
      <c r="V283" s="624"/>
      <c r="W283" s="624"/>
      <c r="X283" s="624"/>
      <c r="Y283" s="624"/>
      <c r="Z283" s="624"/>
      <c r="AA283" s="65"/>
      <c r="AB283" s="65"/>
      <c r="AC283" s="79"/>
    </row>
    <row r="284" spans="1:68" ht="14.25" customHeight="1" x14ac:dyDescent="0.25">
      <c r="A284" s="625" t="s">
        <v>78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6"/>
      <c r="AB284" s="66"/>
      <c r="AC284" s="80"/>
    </row>
    <row r="285" spans="1:68" ht="27" customHeight="1" x14ac:dyDescent="0.25">
      <c r="A285" s="63" t="s">
        <v>468</v>
      </c>
      <c r="B285" s="63" t="s">
        <v>469</v>
      </c>
      <c r="C285" s="36">
        <v>4301031307</v>
      </c>
      <c r="D285" s="626">
        <v>4680115880344</v>
      </c>
      <c r="E285" s="626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8"/>
      <c r="R285" s="628"/>
      <c r="S285" s="628"/>
      <c r="T285" s="629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471</v>
      </c>
      <c r="B286" s="63" t="s">
        <v>472</v>
      </c>
      <c r="C286" s="36">
        <v>4301031429</v>
      </c>
      <c r="D286" s="626">
        <v>4680115886919</v>
      </c>
      <c r="E286" s="626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8"/>
      <c r="R286" s="628"/>
      <c r="S286" s="628"/>
      <c r="T286" s="629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4"/>
      <c r="B287" s="634"/>
      <c r="C287" s="634"/>
      <c r="D287" s="634"/>
      <c r="E287" s="634"/>
      <c r="F287" s="634"/>
      <c r="G287" s="634"/>
      <c r="H287" s="634"/>
      <c r="I287" s="634"/>
      <c r="J287" s="634"/>
      <c r="K287" s="634"/>
      <c r="L287" s="634"/>
      <c r="M287" s="634"/>
      <c r="N287" s="634"/>
      <c r="O287" s="635"/>
      <c r="P287" s="631" t="s">
        <v>40</v>
      </c>
      <c r="Q287" s="632"/>
      <c r="R287" s="632"/>
      <c r="S287" s="632"/>
      <c r="T287" s="632"/>
      <c r="U287" s="632"/>
      <c r="V287" s="63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4"/>
      <c r="B288" s="634"/>
      <c r="C288" s="634"/>
      <c r="D288" s="634"/>
      <c r="E288" s="634"/>
      <c r="F288" s="634"/>
      <c r="G288" s="634"/>
      <c r="H288" s="634"/>
      <c r="I288" s="634"/>
      <c r="J288" s="634"/>
      <c r="K288" s="634"/>
      <c r="L288" s="634"/>
      <c r="M288" s="634"/>
      <c r="N288" s="634"/>
      <c r="O288" s="635"/>
      <c r="P288" s="631" t="s">
        <v>40</v>
      </c>
      <c r="Q288" s="632"/>
      <c r="R288" s="632"/>
      <c r="S288" s="632"/>
      <c r="T288" s="632"/>
      <c r="U288" s="632"/>
      <c r="V288" s="63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5" t="s">
        <v>88</v>
      </c>
      <c r="B289" s="625"/>
      <c r="C289" s="625"/>
      <c r="D289" s="625"/>
      <c r="E289" s="625"/>
      <c r="F289" s="625"/>
      <c r="G289" s="625"/>
      <c r="H289" s="625"/>
      <c r="I289" s="625"/>
      <c r="J289" s="625"/>
      <c r="K289" s="625"/>
      <c r="L289" s="625"/>
      <c r="M289" s="625"/>
      <c r="N289" s="625"/>
      <c r="O289" s="625"/>
      <c r="P289" s="625"/>
      <c r="Q289" s="625"/>
      <c r="R289" s="625"/>
      <c r="S289" s="625"/>
      <c r="T289" s="625"/>
      <c r="U289" s="625"/>
      <c r="V289" s="625"/>
      <c r="W289" s="625"/>
      <c r="X289" s="625"/>
      <c r="Y289" s="625"/>
      <c r="Z289" s="625"/>
      <c r="AA289" s="66"/>
      <c r="AB289" s="66"/>
      <c r="AC289" s="80"/>
    </row>
    <row r="290" spans="1:68" ht="37.5" customHeight="1" x14ac:dyDescent="0.25">
      <c r="A290" s="63" t="s">
        <v>474</v>
      </c>
      <c r="B290" s="63" t="s">
        <v>475</v>
      </c>
      <c r="C290" s="36">
        <v>4301051782</v>
      </c>
      <c r="D290" s="626">
        <v>4680115884618</v>
      </c>
      <c r="E290" s="626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8"/>
      <c r="R290" s="628"/>
      <c r="S290" s="628"/>
      <c r="T290" s="629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477</v>
      </c>
      <c r="B291" s="63" t="s">
        <v>478</v>
      </c>
      <c r="C291" s="36">
        <v>4301052057</v>
      </c>
      <c r="D291" s="626">
        <v>4680115887114</v>
      </c>
      <c r="E291" s="626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8"/>
      <c r="R291" s="628"/>
      <c r="S291" s="628"/>
      <c r="T291" s="629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4"/>
      <c r="B292" s="634"/>
      <c r="C292" s="634"/>
      <c r="D292" s="634"/>
      <c r="E292" s="634"/>
      <c r="F292" s="634"/>
      <c r="G292" s="634"/>
      <c r="H292" s="634"/>
      <c r="I292" s="634"/>
      <c r="J292" s="634"/>
      <c r="K292" s="634"/>
      <c r="L292" s="634"/>
      <c r="M292" s="634"/>
      <c r="N292" s="634"/>
      <c r="O292" s="635"/>
      <c r="P292" s="631" t="s">
        <v>40</v>
      </c>
      <c r="Q292" s="632"/>
      <c r="R292" s="632"/>
      <c r="S292" s="632"/>
      <c r="T292" s="632"/>
      <c r="U292" s="632"/>
      <c r="V292" s="633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4"/>
      <c r="B293" s="634"/>
      <c r="C293" s="634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5"/>
      <c r="P293" s="631" t="s">
        <v>40</v>
      </c>
      <c r="Q293" s="632"/>
      <c r="R293" s="632"/>
      <c r="S293" s="632"/>
      <c r="T293" s="632"/>
      <c r="U293" s="632"/>
      <c r="V293" s="633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4" t="s">
        <v>480</v>
      </c>
      <c r="B294" s="624"/>
      <c r="C294" s="624"/>
      <c r="D294" s="624"/>
      <c r="E294" s="624"/>
      <c r="F294" s="624"/>
      <c r="G294" s="624"/>
      <c r="H294" s="624"/>
      <c r="I294" s="624"/>
      <c r="J294" s="624"/>
      <c r="K294" s="624"/>
      <c r="L294" s="624"/>
      <c r="M294" s="624"/>
      <c r="N294" s="624"/>
      <c r="O294" s="624"/>
      <c r="P294" s="624"/>
      <c r="Q294" s="624"/>
      <c r="R294" s="624"/>
      <c r="S294" s="624"/>
      <c r="T294" s="624"/>
      <c r="U294" s="624"/>
      <c r="V294" s="624"/>
      <c r="W294" s="624"/>
      <c r="X294" s="624"/>
      <c r="Y294" s="624"/>
      <c r="Z294" s="624"/>
      <c r="AA294" s="65"/>
      <c r="AB294" s="65"/>
      <c r="AC294" s="79"/>
    </row>
    <row r="295" spans="1:68" ht="14.25" customHeight="1" x14ac:dyDescent="0.25">
      <c r="A295" s="625" t="s">
        <v>110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6"/>
      <c r="AB295" s="66"/>
      <c r="AC295" s="80"/>
    </row>
    <row r="296" spans="1:68" ht="27" customHeight="1" x14ac:dyDescent="0.25">
      <c r="A296" s="63" t="s">
        <v>481</v>
      </c>
      <c r="B296" s="63" t="s">
        <v>482</v>
      </c>
      <c r="C296" s="36">
        <v>4301012024</v>
      </c>
      <c r="D296" s="626">
        <v>4680115885615</v>
      </c>
      <c r="E296" s="626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92</v>
      </c>
      <c r="N296" s="38"/>
      <c r="O296" s="37">
        <v>55</v>
      </c>
      <c r="P296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8"/>
      <c r="R296" s="628"/>
      <c r="S296" s="628"/>
      <c r="T296" s="629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484</v>
      </c>
      <c r="B297" s="63" t="s">
        <v>485</v>
      </c>
      <c r="C297" s="36">
        <v>4301011858</v>
      </c>
      <c r="D297" s="626">
        <v>4680115885646</v>
      </c>
      <c r="E297" s="626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114</v>
      </c>
      <c r="N297" s="38"/>
      <c r="O297" s="37">
        <v>55</v>
      </c>
      <c r="P297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8"/>
      <c r="R297" s="628"/>
      <c r="S297" s="628"/>
      <c r="T297" s="629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4301012016</v>
      </c>
      <c r="D298" s="626">
        <v>4680115885554</v>
      </c>
      <c r="E298" s="626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92</v>
      </c>
      <c r="N298" s="38"/>
      <c r="O298" s="37">
        <v>55</v>
      </c>
      <c r="P298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8"/>
      <c r="R298" s="628"/>
      <c r="S298" s="628"/>
      <c r="T298" s="629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4301011857</v>
      </c>
      <c r="D299" s="626">
        <v>4680115885622</v>
      </c>
      <c r="E299" s="626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8"/>
      <c r="R299" s="628"/>
      <c r="S299" s="628"/>
      <c r="T299" s="629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483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4301011859</v>
      </c>
      <c r="D300" s="626">
        <v>4680115885608</v>
      </c>
      <c r="E300" s="626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8"/>
      <c r="R300" s="628"/>
      <c r="S300" s="628"/>
      <c r="T300" s="629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4"/>
      <c r="B301" s="634"/>
      <c r="C301" s="634"/>
      <c r="D301" s="634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5"/>
      <c r="P301" s="631" t="s">
        <v>40</v>
      </c>
      <c r="Q301" s="632"/>
      <c r="R301" s="632"/>
      <c r="S301" s="632"/>
      <c r="T301" s="632"/>
      <c r="U301" s="632"/>
      <c r="V301" s="633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4"/>
      <c r="B302" s="634"/>
      <c r="C302" s="634"/>
      <c r="D302" s="634"/>
      <c r="E302" s="634"/>
      <c r="F302" s="634"/>
      <c r="G302" s="634"/>
      <c r="H302" s="634"/>
      <c r="I302" s="634"/>
      <c r="J302" s="634"/>
      <c r="K302" s="634"/>
      <c r="L302" s="634"/>
      <c r="M302" s="634"/>
      <c r="N302" s="634"/>
      <c r="O302" s="635"/>
      <c r="P302" s="631" t="s">
        <v>40</v>
      </c>
      <c r="Q302" s="632"/>
      <c r="R302" s="632"/>
      <c r="S302" s="632"/>
      <c r="T302" s="632"/>
      <c r="U302" s="632"/>
      <c r="V302" s="633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5" t="s">
        <v>78</v>
      </c>
      <c r="B303" s="625"/>
      <c r="C303" s="625"/>
      <c r="D303" s="625"/>
      <c r="E303" s="625"/>
      <c r="F303" s="625"/>
      <c r="G303" s="625"/>
      <c r="H303" s="625"/>
      <c r="I303" s="625"/>
      <c r="J303" s="625"/>
      <c r="K303" s="625"/>
      <c r="L303" s="625"/>
      <c r="M303" s="625"/>
      <c r="N303" s="625"/>
      <c r="O303" s="625"/>
      <c r="P303" s="625"/>
      <c r="Q303" s="625"/>
      <c r="R303" s="625"/>
      <c r="S303" s="625"/>
      <c r="T303" s="625"/>
      <c r="U303" s="625"/>
      <c r="V303" s="625"/>
      <c r="W303" s="625"/>
      <c r="X303" s="625"/>
      <c r="Y303" s="625"/>
      <c r="Z303" s="625"/>
      <c r="AA303" s="66"/>
      <c r="AB303" s="66"/>
      <c r="AC303" s="80"/>
    </row>
    <row r="304" spans="1:68" ht="27" customHeight="1" x14ac:dyDescent="0.25">
      <c r="A304" s="63" t="s">
        <v>495</v>
      </c>
      <c r="B304" s="63" t="s">
        <v>496</v>
      </c>
      <c r="C304" s="36">
        <v>4301030878</v>
      </c>
      <c r="D304" s="626">
        <v>4607091387193</v>
      </c>
      <c r="E304" s="626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35</v>
      </c>
      <c r="P304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8"/>
      <c r="R304" s="628"/>
      <c r="S304" s="628"/>
      <c r="T304" s="629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26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27">IFERROR(X304*I304/H304,"0")</f>
        <v>0</v>
      </c>
      <c r="BN304" s="78">
        <f t="shared" ref="BN304:BN309" si="28">IFERROR(Y304*I304/H304,"0")</f>
        <v>0</v>
      </c>
      <c r="BO304" s="78">
        <f t="shared" ref="BO304:BO309" si="29">IFERROR(1/J304*(X304/H304),"0")</f>
        <v>0</v>
      </c>
      <c r="BP304" s="78">
        <f t="shared" ref="BP304:BP309" si="30">IFERROR(1/J304*(Y304/H304),"0")</f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4301031153</v>
      </c>
      <c r="D305" s="626">
        <v>4607091387230</v>
      </c>
      <c r="E305" s="626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121</v>
      </c>
      <c r="M305" s="38" t="s">
        <v>82</v>
      </c>
      <c r="N305" s="38"/>
      <c r="O305" s="37">
        <v>40</v>
      </c>
      <c r="P305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8"/>
      <c r="R305" s="628"/>
      <c r="S305" s="628"/>
      <c r="T305" s="629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117</v>
      </c>
      <c r="AK305" s="84">
        <v>50.4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4301031154</v>
      </c>
      <c r="D306" s="626">
        <v>4607091387292</v>
      </c>
      <c r="E306" s="626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45</v>
      </c>
      <c r="P30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8"/>
      <c r="R306" s="628"/>
      <c r="S306" s="628"/>
      <c r="T306" s="629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4301031152</v>
      </c>
      <c r="D307" s="626">
        <v>4607091387285</v>
      </c>
      <c r="E307" s="626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8"/>
      <c r="R307" s="628"/>
      <c r="S307" s="628"/>
      <c r="T307" s="629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500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4301031305</v>
      </c>
      <c r="D308" s="626">
        <v>4607091389845</v>
      </c>
      <c r="E308" s="626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293</v>
      </c>
      <c r="M308" s="38" t="s">
        <v>82</v>
      </c>
      <c r="N308" s="38"/>
      <c r="O308" s="37">
        <v>40</v>
      </c>
      <c r="P308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8"/>
      <c r="R308" s="628"/>
      <c r="S308" s="628"/>
      <c r="T308" s="629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117</v>
      </c>
      <c r="AK308" s="84">
        <v>37.799999999999997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4301031066</v>
      </c>
      <c r="D309" s="626">
        <v>4607091383836</v>
      </c>
      <c r="E309" s="626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8"/>
      <c r="R309" s="628"/>
      <c r="S309" s="628"/>
      <c r="T309" s="629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26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27"/>
        <v>0</v>
      </c>
      <c r="BN309" s="78">
        <f t="shared" si="28"/>
        <v>0</v>
      </c>
      <c r="BO309" s="78">
        <f t="shared" si="29"/>
        <v>0</v>
      </c>
      <c r="BP309" s="78">
        <f t="shared" si="30"/>
        <v>0</v>
      </c>
    </row>
    <row r="310" spans="1:68" x14ac:dyDescent="0.2">
      <c r="A310" s="634"/>
      <c r="B310" s="634"/>
      <c r="C310" s="634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5"/>
      <c r="P310" s="631" t="s">
        <v>40</v>
      </c>
      <c r="Q310" s="632"/>
      <c r="R310" s="632"/>
      <c r="S310" s="632"/>
      <c r="T310" s="632"/>
      <c r="U310" s="632"/>
      <c r="V310" s="633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4"/>
      <c r="B311" s="634"/>
      <c r="C311" s="634"/>
      <c r="D311" s="634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5"/>
      <c r="P311" s="631" t="s">
        <v>40</v>
      </c>
      <c r="Q311" s="632"/>
      <c r="R311" s="632"/>
      <c r="S311" s="632"/>
      <c r="T311" s="632"/>
      <c r="U311" s="632"/>
      <c r="V311" s="633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5" t="s">
        <v>88</v>
      </c>
      <c r="B312" s="625"/>
      <c r="C312" s="625"/>
      <c r="D312" s="625"/>
      <c r="E312" s="625"/>
      <c r="F312" s="625"/>
      <c r="G312" s="625"/>
      <c r="H312" s="625"/>
      <c r="I312" s="625"/>
      <c r="J312" s="625"/>
      <c r="K312" s="625"/>
      <c r="L312" s="625"/>
      <c r="M312" s="625"/>
      <c r="N312" s="625"/>
      <c r="O312" s="625"/>
      <c r="P312" s="625"/>
      <c r="Q312" s="625"/>
      <c r="R312" s="625"/>
      <c r="S312" s="625"/>
      <c r="T312" s="625"/>
      <c r="U312" s="625"/>
      <c r="V312" s="625"/>
      <c r="W312" s="625"/>
      <c r="X312" s="625"/>
      <c r="Y312" s="625"/>
      <c r="Z312" s="625"/>
      <c r="AA312" s="66"/>
      <c r="AB312" s="66"/>
      <c r="AC312" s="80"/>
    </row>
    <row r="313" spans="1:68" ht="27" customHeight="1" x14ac:dyDescent="0.25">
      <c r="A313" s="63" t="s">
        <v>512</v>
      </c>
      <c r="B313" s="63" t="s">
        <v>513</v>
      </c>
      <c r="C313" s="36">
        <v>4301051100</v>
      </c>
      <c r="D313" s="626">
        <v>4607091387766</v>
      </c>
      <c r="E313" s="626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115</v>
      </c>
      <c r="L313" s="37" t="s">
        <v>116</v>
      </c>
      <c r="M313" s="38" t="s">
        <v>92</v>
      </c>
      <c r="N313" s="38"/>
      <c r="O313" s="37">
        <v>40</v>
      </c>
      <c r="P313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8"/>
      <c r="R313" s="628"/>
      <c r="S313" s="628"/>
      <c r="T313" s="629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117</v>
      </c>
      <c r="AK313" s="84">
        <v>62.4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4301051818</v>
      </c>
      <c r="D314" s="626">
        <v>4607091387957</v>
      </c>
      <c r="E314" s="626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8"/>
      <c r="R314" s="628"/>
      <c r="S314" s="628"/>
      <c r="T314" s="629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4301051819</v>
      </c>
      <c r="D315" s="626">
        <v>4607091387964</v>
      </c>
      <c r="E315" s="626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8"/>
      <c r="R315" s="628"/>
      <c r="S315" s="628"/>
      <c r="T315" s="629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4301051734</v>
      </c>
      <c r="D316" s="626">
        <v>4680115884588</v>
      </c>
      <c r="E316" s="626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8"/>
      <c r="R316" s="628"/>
      <c r="S316" s="628"/>
      <c r="T316" s="629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4"/>
      <c r="B317" s="634"/>
      <c r="C317" s="634"/>
      <c r="D317" s="634"/>
      <c r="E317" s="634"/>
      <c r="F317" s="634"/>
      <c r="G317" s="634"/>
      <c r="H317" s="634"/>
      <c r="I317" s="634"/>
      <c r="J317" s="634"/>
      <c r="K317" s="634"/>
      <c r="L317" s="634"/>
      <c r="M317" s="634"/>
      <c r="N317" s="634"/>
      <c r="O317" s="635"/>
      <c r="P317" s="631" t="s">
        <v>40</v>
      </c>
      <c r="Q317" s="632"/>
      <c r="R317" s="632"/>
      <c r="S317" s="632"/>
      <c r="T317" s="632"/>
      <c r="U317" s="632"/>
      <c r="V317" s="633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4"/>
      <c r="B318" s="634"/>
      <c r="C318" s="634"/>
      <c r="D318" s="634"/>
      <c r="E318" s="634"/>
      <c r="F318" s="634"/>
      <c r="G318" s="634"/>
      <c r="H318" s="634"/>
      <c r="I318" s="634"/>
      <c r="J318" s="634"/>
      <c r="K318" s="634"/>
      <c r="L318" s="634"/>
      <c r="M318" s="634"/>
      <c r="N318" s="634"/>
      <c r="O318" s="635"/>
      <c r="P318" s="631" t="s">
        <v>40</v>
      </c>
      <c r="Q318" s="632"/>
      <c r="R318" s="632"/>
      <c r="S318" s="632"/>
      <c r="T318" s="632"/>
      <c r="U318" s="632"/>
      <c r="V318" s="633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5" t="s">
        <v>171</v>
      </c>
      <c r="B319" s="625"/>
      <c r="C319" s="625"/>
      <c r="D319" s="625"/>
      <c r="E319" s="625"/>
      <c r="F319" s="625"/>
      <c r="G319" s="625"/>
      <c r="H319" s="625"/>
      <c r="I319" s="625"/>
      <c r="J319" s="625"/>
      <c r="K319" s="625"/>
      <c r="L319" s="625"/>
      <c r="M319" s="625"/>
      <c r="N319" s="625"/>
      <c r="O319" s="625"/>
      <c r="P319" s="625"/>
      <c r="Q319" s="625"/>
      <c r="R319" s="625"/>
      <c r="S319" s="625"/>
      <c r="T319" s="625"/>
      <c r="U319" s="625"/>
      <c r="V319" s="625"/>
      <c r="W319" s="625"/>
      <c r="X319" s="625"/>
      <c r="Y319" s="625"/>
      <c r="Z319" s="625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4301060387</v>
      </c>
      <c r="D320" s="626">
        <v>4607091380880</v>
      </c>
      <c r="E320" s="626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115</v>
      </c>
      <c r="L320" s="37" t="s">
        <v>116</v>
      </c>
      <c r="M320" s="38" t="s">
        <v>92</v>
      </c>
      <c r="N320" s="38"/>
      <c r="O320" s="37">
        <v>30</v>
      </c>
      <c r="P320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8"/>
      <c r="R320" s="628"/>
      <c r="S320" s="628"/>
      <c r="T320" s="629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117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4301060406</v>
      </c>
      <c r="D321" s="626">
        <v>4607091384482</v>
      </c>
      <c r="E321" s="626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8"/>
      <c r="R321" s="628"/>
      <c r="S321" s="628"/>
      <c r="T321" s="629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530</v>
      </c>
      <c r="B322" s="63" t="s">
        <v>531</v>
      </c>
      <c r="C322" s="36">
        <v>4301060484</v>
      </c>
      <c r="D322" s="626">
        <v>4607091380897</v>
      </c>
      <c r="E322" s="626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115</v>
      </c>
      <c r="L322" s="37" t="s">
        <v>116</v>
      </c>
      <c r="M322" s="38" t="s">
        <v>98</v>
      </c>
      <c r="N322" s="38"/>
      <c r="O322" s="37">
        <v>30</v>
      </c>
      <c r="P322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8"/>
      <c r="R322" s="628"/>
      <c r="S322" s="628"/>
      <c r="T322" s="629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4"/>
      <c r="B323" s="634"/>
      <c r="C323" s="634"/>
      <c r="D323" s="634"/>
      <c r="E323" s="634"/>
      <c r="F323" s="634"/>
      <c r="G323" s="634"/>
      <c r="H323" s="634"/>
      <c r="I323" s="634"/>
      <c r="J323" s="634"/>
      <c r="K323" s="634"/>
      <c r="L323" s="634"/>
      <c r="M323" s="634"/>
      <c r="N323" s="634"/>
      <c r="O323" s="635"/>
      <c r="P323" s="631" t="s">
        <v>40</v>
      </c>
      <c r="Q323" s="632"/>
      <c r="R323" s="632"/>
      <c r="S323" s="632"/>
      <c r="T323" s="632"/>
      <c r="U323" s="632"/>
      <c r="V323" s="633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4"/>
      <c r="B324" s="634"/>
      <c r="C324" s="634"/>
      <c r="D324" s="634"/>
      <c r="E324" s="634"/>
      <c r="F324" s="634"/>
      <c r="G324" s="634"/>
      <c r="H324" s="634"/>
      <c r="I324" s="634"/>
      <c r="J324" s="634"/>
      <c r="K324" s="634"/>
      <c r="L324" s="634"/>
      <c r="M324" s="634"/>
      <c r="N324" s="634"/>
      <c r="O324" s="635"/>
      <c r="P324" s="631" t="s">
        <v>40</v>
      </c>
      <c r="Q324" s="632"/>
      <c r="R324" s="632"/>
      <c r="S324" s="632"/>
      <c r="T324" s="632"/>
      <c r="U324" s="632"/>
      <c r="V324" s="633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5" t="s">
        <v>102</v>
      </c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625"/>
      <c r="Y325" s="625"/>
      <c r="Z325" s="625"/>
      <c r="AA325" s="66"/>
      <c r="AB325" s="66"/>
      <c r="AC325" s="80"/>
    </row>
    <row r="326" spans="1:68" ht="27" customHeight="1" x14ac:dyDescent="0.25">
      <c r="A326" s="63" t="s">
        <v>533</v>
      </c>
      <c r="B326" s="63" t="s">
        <v>534</v>
      </c>
      <c r="C326" s="36">
        <v>4301030235</v>
      </c>
      <c r="D326" s="626">
        <v>4607091388381</v>
      </c>
      <c r="E326" s="626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8"/>
      <c r="R326" s="628"/>
      <c r="S326" s="628"/>
      <c r="T326" s="629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535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536</v>
      </c>
      <c r="B327" s="63" t="s">
        <v>537</v>
      </c>
      <c r="C327" s="36">
        <v>4301030232</v>
      </c>
      <c r="D327" s="626">
        <v>4607091388374</v>
      </c>
      <c r="E327" s="626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8"/>
      <c r="R327" s="628"/>
      <c r="S327" s="628"/>
      <c r="T327" s="629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4301032015</v>
      </c>
      <c r="D328" s="626">
        <v>4607091383102</v>
      </c>
      <c r="E328" s="626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197</v>
      </c>
      <c r="M328" s="38" t="s">
        <v>107</v>
      </c>
      <c r="N328" s="38"/>
      <c r="O328" s="37">
        <v>180</v>
      </c>
      <c r="P328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8"/>
      <c r="R328" s="628"/>
      <c r="S328" s="628"/>
      <c r="T328" s="629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535</v>
      </c>
      <c r="AG328" s="78"/>
      <c r="AJ328" s="84" t="s">
        <v>117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4301030233</v>
      </c>
      <c r="D329" s="626">
        <v>4607091388404</v>
      </c>
      <c r="E329" s="626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197</v>
      </c>
      <c r="M329" s="38" t="s">
        <v>107</v>
      </c>
      <c r="N329" s="38"/>
      <c r="O329" s="37">
        <v>180</v>
      </c>
      <c r="P329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8"/>
      <c r="R329" s="628"/>
      <c r="S329" s="628"/>
      <c r="T329" s="629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535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4"/>
      <c r="B330" s="634"/>
      <c r="C330" s="634"/>
      <c r="D330" s="634"/>
      <c r="E330" s="634"/>
      <c r="F330" s="634"/>
      <c r="G330" s="634"/>
      <c r="H330" s="634"/>
      <c r="I330" s="634"/>
      <c r="J330" s="634"/>
      <c r="K330" s="634"/>
      <c r="L330" s="634"/>
      <c r="M330" s="634"/>
      <c r="N330" s="634"/>
      <c r="O330" s="635"/>
      <c r="P330" s="631" t="s">
        <v>40</v>
      </c>
      <c r="Q330" s="632"/>
      <c r="R330" s="632"/>
      <c r="S330" s="632"/>
      <c r="T330" s="632"/>
      <c r="U330" s="632"/>
      <c r="V330" s="633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4"/>
      <c r="B331" s="634"/>
      <c r="C331" s="634"/>
      <c r="D331" s="634"/>
      <c r="E331" s="634"/>
      <c r="F331" s="634"/>
      <c r="G331" s="634"/>
      <c r="H331" s="634"/>
      <c r="I331" s="634"/>
      <c r="J331" s="634"/>
      <c r="K331" s="634"/>
      <c r="L331" s="634"/>
      <c r="M331" s="634"/>
      <c r="N331" s="634"/>
      <c r="O331" s="635"/>
      <c r="P331" s="631" t="s">
        <v>40</v>
      </c>
      <c r="Q331" s="632"/>
      <c r="R331" s="632"/>
      <c r="S331" s="632"/>
      <c r="T331" s="632"/>
      <c r="U331" s="632"/>
      <c r="V331" s="633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5" t="s">
        <v>542</v>
      </c>
      <c r="B332" s="625"/>
      <c r="C332" s="625"/>
      <c r="D332" s="625"/>
      <c r="E332" s="625"/>
      <c r="F332" s="625"/>
      <c r="G332" s="625"/>
      <c r="H332" s="625"/>
      <c r="I332" s="625"/>
      <c r="J332" s="625"/>
      <c r="K332" s="625"/>
      <c r="L332" s="625"/>
      <c r="M332" s="625"/>
      <c r="N332" s="625"/>
      <c r="O332" s="625"/>
      <c r="P332" s="625"/>
      <c r="Q332" s="625"/>
      <c r="R332" s="625"/>
      <c r="S332" s="625"/>
      <c r="T332" s="625"/>
      <c r="U332" s="625"/>
      <c r="V332" s="625"/>
      <c r="W332" s="625"/>
      <c r="X332" s="625"/>
      <c r="Y332" s="625"/>
      <c r="Z332" s="625"/>
      <c r="AA332" s="66"/>
      <c r="AB332" s="66"/>
      <c r="AC332" s="80"/>
    </row>
    <row r="333" spans="1:68" ht="16.5" customHeight="1" x14ac:dyDescent="0.25">
      <c r="A333" s="63" t="s">
        <v>543</v>
      </c>
      <c r="B333" s="63" t="s">
        <v>544</v>
      </c>
      <c r="C333" s="36">
        <v>4301180007</v>
      </c>
      <c r="D333" s="626">
        <v>4680115881808</v>
      </c>
      <c r="E333" s="626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197</v>
      </c>
      <c r="M333" s="38" t="s">
        <v>546</v>
      </c>
      <c r="N333" s="38"/>
      <c r="O333" s="37">
        <v>730</v>
      </c>
      <c r="P333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8"/>
      <c r="R333" s="628"/>
      <c r="S333" s="628"/>
      <c r="T333" s="629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545</v>
      </c>
      <c r="AG333" s="78"/>
      <c r="AJ333" s="84" t="s">
        <v>117</v>
      </c>
      <c r="AK333" s="84">
        <v>28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547</v>
      </c>
      <c r="B334" s="63" t="s">
        <v>548</v>
      </c>
      <c r="C334" s="36">
        <v>4301180006</v>
      </c>
      <c r="D334" s="626">
        <v>4680115881822</v>
      </c>
      <c r="E334" s="626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197</v>
      </c>
      <c r="M334" s="38" t="s">
        <v>546</v>
      </c>
      <c r="N334" s="38"/>
      <c r="O334" s="37">
        <v>730</v>
      </c>
      <c r="P334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8"/>
      <c r="R334" s="628"/>
      <c r="S334" s="628"/>
      <c r="T334" s="629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545</v>
      </c>
      <c r="AG334" s="78"/>
      <c r="AJ334" s="84" t="s">
        <v>117</v>
      </c>
      <c r="AK334" s="84">
        <v>28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549</v>
      </c>
      <c r="B335" s="63" t="s">
        <v>550</v>
      </c>
      <c r="C335" s="36">
        <v>4301180001</v>
      </c>
      <c r="D335" s="626">
        <v>4680115880016</v>
      </c>
      <c r="E335" s="626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197</v>
      </c>
      <c r="M335" s="38" t="s">
        <v>546</v>
      </c>
      <c r="N335" s="38"/>
      <c r="O335" s="37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8"/>
      <c r="R335" s="628"/>
      <c r="S335" s="628"/>
      <c r="T335" s="629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545</v>
      </c>
      <c r="AG335" s="78"/>
      <c r="AJ335" s="84" t="s">
        <v>117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4"/>
      <c r="B336" s="634"/>
      <c r="C336" s="634"/>
      <c r="D336" s="634"/>
      <c r="E336" s="634"/>
      <c r="F336" s="634"/>
      <c r="G336" s="634"/>
      <c r="H336" s="634"/>
      <c r="I336" s="634"/>
      <c r="J336" s="634"/>
      <c r="K336" s="634"/>
      <c r="L336" s="634"/>
      <c r="M336" s="634"/>
      <c r="N336" s="634"/>
      <c r="O336" s="635"/>
      <c r="P336" s="631" t="s">
        <v>40</v>
      </c>
      <c r="Q336" s="632"/>
      <c r="R336" s="632"/>
      <c r="S336" s="632"/>
      <c r="T336" s="632"/>
      <c r="U336" s="632"/>
      <c r="V336" s="633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4"/>
      <c r="B337" s="634"/>
      <c r="C337" s="634"/>
      <c r="D337" s="634"/>
      <c r="E337" s="634"/>
      <c r="F337" s="634"/>
      <c r="G337" s="634"/>
      <c r="H337" s="634"/>
      <c r="I337" s="634"/>
      <c r="J337" s="634"/>
      <c r="K337" s="634"/>
      <c r="L337" s="634"/>
      <c r="M337" s="634"/>
      <c r="N337" s="634"/>
      <c r="O337" s="635"/>
      <c r="P337" s="631" t="s">
        <v>40</v>
      </c>
      <c r="Q337" s="632"/>
      <c r="R337" s="632"/>
      <c r="S337" s="632"/>
      <c r="T337" s="632"/>
      <c r="U337" s="632"/>
      <c r="V337" s="633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4" t="s">
        <v>551</v>
      </c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4"/>
      <c r="P338" s="624"/>
      <c r="Q338" s="624"/>
      <c r="R338" s="624"/>
      <c r="S338" s="624"/>
      <c r="T338" s="624"/>
      <c r="U338" s="624"/>
      <c r="V338" s="624"/>
      <c r="W338" s="624"/>
      <c r="X338" s="624"/>
      <c r="Y338" s="624"/>
      <c r="Z338" s="624"/>
      <c r="AA338" s="65"/>
      <c r="AB338" s="65"/>
      <c r="AC338" s="79"/>
    </row>
    <row r="339" spans="1:68" ht="14.25" customHeight="1" x14ac:dyDescent="0.25">
      <c r="A339" s="625" t="s">
        <v>88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6"/>
      <c r="AB339" s="66"/>
      <c r="AC339" s="80"/>
    </row>
    <row r="340" spans="1:68" ht="27" customHeight="1" x14ac:dyDescent="0.25">
      <c r="A340" s="63" t="s">
        <v>552</v>
      </c>
      <c r="B340" s="63" t="s">
        <v>553</v>
      </c>
      <c r="C340" s="36">
        <v>4301051489</v>
      </c>
      <c r="D340" s="626">
        <v>4607091387919</v>
      </c>
      <c r="E340" s="626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115</v>
      </c>
      <c r="L340" s="37" t="s">
        <v>116</v>
      </c>
      <c r="M340" s="38" t="s">
        <v>98</v>
      </c>
      <c r="N340" s="38"/>
      <c r="O340" s="37">
        <v>45</v>
      </c>
      <c r="P340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8"/>
      <c r="R340" s="628"/>
      <c r="S340" s="628"/>
      <c r="T340" s="629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117</v>
      </c>
      <c r="AK340" s="84">
        <v>64.8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4301051461</v>
      </c>
      <c r="D341" s="626">
        <v>4680115883604</v>
      </c>
      <c r="E341" s="626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197</v>
      </c>
      <c r="M341" s="38" t="s">
        <v>92</v>
      </c>
      <c r="N341" s="38"/>
      <c r="O341" s="37">
        <v>45</v>
      </c>
      <c r="P341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8"/>
      <c r="R341" s="628"/>
      <c r="S341" s="628"/>
      <c r="T341" s="629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4301051864</v>
      </c>
      <c r="D342" s="626">
        <v>4680115883567</v>
      </c>
      <c r="E342" s="626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197</v>
      </c>
      <c r="M342" s="38" t="s">
        <v>98</v>
      </c>
      <c r="N342" s="38"/>
      <c r="O342" s="37">
        <v>40</v>
      </c>
      <c r="P342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8"/>
      <c r="R342" s="628"/>
      <c r="S342" s="628"/>
      <c r="T342" s="629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4"/>
      <c r="B343" s="634"/>
      <c r="C343" s="634"/>
      <c r="D343" s="634"/>
      <c r="E343" s="634"/>
      <c r="F343" s="634"/>
      <c r="G343" s="634"/>
      <c r="H343" s="634"/>
      <c r="I343" s="634"/>
      <c r="J343" s="634"/>
      <c r="K343" s="634"/>
      <c r="L343" s="634"/>
      <c r="M343" s="634"/>
      <c r="N343" s="634"/>
      <c r="O343" s="635"/>
      <c r="P343" s="631" t="s">
        <v>40</v>
      </c>
      <c r="Q343" s="632"/>
      <c r="R343" s="632"/>
      <c r="S343" s="632"/>
      <c r="T343" s="632"/>
      <c r="U343" s="632"/>
      <c r="V343" s="633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4"/>
      <c r="B344" s="634"/>
      <c r="C344" s="634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5"/>
      <c r="P344" s="631" t="s">
        <v>40</v>
      </c>
      <c r="Q344" s="632"/>
      <c r="R344" s="632"/>
      <c r="S344" s="632"/>
      <c r="T344" s="632"/>
      <c r="U344" s="632"/>
      <c r="V344" s="633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3" t="s">
        <v>561</v>
      </c>
      <c r="B345" s="623"/>
      <c r="C345" s="623"/>
      <c r="D345" s="623"/>
      <c r="E345" s="623"/>
      <c r="F345" s="623"/>
      <c r="G345" s="623"/>
      <c r="H345" s="623"/>
      <c r="I345" s="623"/>
      <c r="J345" s="623"/>
      <c r="K345" s="623"/>
      <c r="L345" s="623"/>
      <c r="M345" s="623"/>
      <c r="N345" s="623"/>
      <c r="O345" s="623"/>
      <c r="P345" s="623"/>
      <c r="Q345" s="623"/>
      <c r="R345" s="623"/>
      <c r="S345" s="623"/>
      <c r="T345" s="623"/>
      <c r="U345" s="623"/>
      <c r="V345" s="623"/>
      <c r="W345" s="623"/>
      <c r="X345" s="623"/>
      <c r="Y345" s="623"/>
      <c r="Z345" s="623"/>
      <c r="AA345" s="54"/>
      <c r="AB345" s="54"/>
      <c r="AC345" s="54"/>
    </row>
    <row r="346" spans="1:68" ht="16.5" customHeight="1" x14ac:dyDescent="0.25">
      <c r="A346" s="624" t="s">
        <v>562</v>
      </c>
      <c r="B346" s="624"/>
      <c r="C346" s="624"/>
      <c r="D346" s="624"/>
      <c r="E346" s="624"/>
      <c r="F346" s="624"/>
      <c r="G346" s="624"/>
      <c r="H346" s="624"/>
      <c r="I346" s="624"/>
      <c r="J346" s="624"/>
      <c r="K346" s="624"/>
      <c r="L346" s="624"/>
      <c r="M346" s="624"/>
      <c r="N346" s="624"/>
      <c r="O346" s="624"/>
      <c r="P346" s="624"/>
      <c r="Q346" s="624"/>
      <c r="R346" s="624"/>
      <c r="S346" s="624"/>
      <c r="T346" s="624"/>
      <c r="U346" s="624"/>
      <c r="V346" s="624"/>
      <c r="W346" s="624"/>
      <c r="X346" s="624"/>
      <c r="Y346" s="624"/>
      <c r="Z346" s="624"/>
      <c r="AA346" s="65"/>
      <c r="AB346" s="65"/>
      <c r="AC346" s="79"/>
    </row>
    <row r="347" spans="1:68" ht="14.25" customHeight="1" x14ac:dyDescent="0.25">
      <c r="A347" s="625" t="s">
        <v>110</v>
      </c>
      <c r="B347" s="625"/>
      <c r="C347" s="625"/>
      <c r="D347" s="625"/>
      <c r="E347" s="625"/>
      <c r="F347" s="625"/>
      <c r="G347" s="625"/>
      <c r="H347" s="625"/>
      <c r="I347" s="625"/>
      <c r="J347" s="625"/>
      <c r="K347" s="625"/>
      <c r="L347" s="625"/>
      <c r="M347" s="625"/>
      <c r="N347" s="625"/>
      <c r="O347" s="625"/>
      <c r="P347" s="625"/>
      <c r="Q347" s="625"/>
      <c r="R347" s="625"/>
      <c r="S347" s="625"/>
      <c r="T347" s="625"/>
      <c r="U347" s="625"/>
      <c r="V347" s="625"/>
      <c r="W347" s="625"/>
      <c r="X347" s="625"/>
      <c r="Y347" s="625"/>
      <c r="Z347" s="625"/>
      <c r="AA347" s="66"/>
      <c r="AB347" s="66"/>
      <c r="AC347" s="80"/>
    </row>
    <row r="348" spans="1:68" ht="37.5" customHeight="1" x14ac:dyDescent="0.25">
      <c r="A348" s="63" t="s">
        <v>563</v>
      </c>
      <c r="B348" s="63" t="s">
        <v>564</v>
      </c>
      <c r="C348" s="36">
        <v>4301011869</v>
      </c>
      <c r="D348" s="626">
        <v>4680115884847</v>
      </c>
      <c r="E348" s="626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116</v>
      </c>
      <c r="M348" s="38" t="s">
        <v>82</v>
      </c>
      <c r="N348" s="38"/>
      <c r="O348" s="37">
        <v>60</v>
      </c>
      <c r="P348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8"/>
      <c r="R348" s="628"/>
      <c r="S348" s="628"/>
      <c r="T348" s="629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1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117</v>
      </c>
      <c r="AK348" s="84">
        <v>120</v>
      </c>
      <c r="BB348" s="419" t="s">
        <v>66</v>
      </c>
      <c r="BM348" s="78">
        <f t="shared" ref="BM348:BM354" si="32">IFERROR(X348*I348/H348,"0")</f>
        <v>0</v>
      </c>
      <c r="BN348" s="78">
        <f t="shared" ref="BN348:BN354" si="33">IFERROR(Y348*I348/H348,"0")</f>
        <v>0</v>
      </c>
      <c r="BO348" s="78">
        <f t="shared" ref="BO348:BO354" si="34">IFERROR(1/J348*(X348/H348),"0")</f>
        <v>0</v>
      </c>
      <c r="BP348" s="78">
        <f t="shared" ref="BP348:BP354" si="35">IFERROR(1/J348*(Y348/H348),"0")</f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4301011870</v>
      </c>
      <c r="D349" s="626">
        <v>4680115884854</v>
      </c>
      <c r="E349" s="626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8"/>
      <c r="R349" s="628"/>
      <c r="S349" s="628"/>
      <c r="T349" s="629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4301012215</v>
      </c>
      <c r="D350" s="626">
        <v>4680115887046</v>
      </c>
      <c r="E350" s="626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98</v>
      </c>
      <c r="N350" s="38"/>
      <c r="O350" s="37">
        <v>60</v>
      </c>
      <c r="P350" s="80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8"/>
      <c r="R350" s="628"/>
      <c r="S350" s="628"/>
      <c r="T350" s="629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37.5" customHeight="1" x14ac:dyDescent="0.25">
      <c r="A351" s="63" t="s">
        <v>572</v>
      </c>
      <c r="B351" s="63" t="s">
        <v>573</v>
      </c>
      <c r="C351" s="36">
        <v>4301011867</v>
      </c>
      <c r="D351" s="626">
        <v>4680115884830</v>
      </c>
      <c r="E351" s="626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116</v>
      </c>
      <c r="M351" s="38" t="s">
        <v>82</v>
      </c>
      <c r="N351" s="38"/>
      <c r="O351" s="37">
        <v>60</v>
      </c>
      <c r="P351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28"/>
      <c r="R351" s="628"/>
      <c r="S351" s="628"/>
      <c r="T351" s="629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117</v>
      </c>
      <c r="AK351" s="84">
        <v>120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4301011433</v>
      </c>
      <c r="D352" s="626">
        <v>4680115882638</v>
      </c>
      <c r="E352" s="626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120</v>
      </c>
      <c r="L352" s="37" t="s">
        <v>45</v>
      </c>
      <c r="M352" s="38" t="s">
        <v>114</v>
      </c>
      <c r="N352" s="38"/>
      <c r="O352" s="37">
        <v>90</v>
      </c>
      <c r="P352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8"/>
      <c r="R352" s="628"/>
      <c r="S352" s="628"/>
      <c r="T352" s="629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4301011952</v>
      </c>
      <c r="D353" s="626">
        <v>4680115884922</v>
      </c>
      <c r="E353" s="626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8"/>
      <c r="R353" s="628"/>
      <c r="S353" s="628"/>
      <c r="T353" s="629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ht="37.5" customHeight="1" x14ac:dyDescent="0.25">
      <c r="A354" s="63" t="s">
        <v>580</v>
      </c>
      <c r="B354" s="63" t="s">
        <v>581</v>
      </c>
      <c r="C354" s="36">
        <v>4301011868</v>
      </c>
      <c r="D354" s="626">
        <v>4680115884861</v>
      </c>
      <c r="E354" s="626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8"/>
      <c r="R354" s="628"/>
      <c r="S354" s="628"/>
      <c r="T354" s="629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574</v>
      </c>
      <c r="AG354" s="78"/>
      <c r="AJ354" s="84" t="s">
        <v>45</v>
      </c>
      <c r="AK354" s="84">
        <v>0</v>
      </c>
      <c r="BB354" s="431" t="s">
        <v>66</v>
      </c>
      <c r="BM354" s="78">
        <f t="shared" si="32"/>
        <v>0</v>
      </c>
      <c r="BN354" s="78">
        <f t="shared" si="33"/>
        <v>0</v>
      </c>
      <c r="BO354" s="78">
        <f t="shared" si="34"/>
        <v>0</v>
      </c>
      <c r="BP354" s="78">
        <f t="shared" si="35"/>
        <v>0</v>
      </c>
    </row>
    <row r="355" spans="1:68" x14ac:dyDescent="0.2">
      <c r="A355" s="634"/>
      <c r="B355" s="634"/>
      <c r="C355" s="634"/>
      <c r="D355" s="634"/>
      <c r="E355" s="634"/>
      <c r="F355" s="634"/>
      <c r="G355" s="634"/>
      <c r="H355" s="634"/>
      <c r="I355" s="634"/>
      <c r="J355" s="634"/>
      <c r="K355" s="634"/>
      <c r="L355" s="634"/>
      <c r="M355" s="634"/>
      <c r="N355" s="634"/>
      <c r="O355" s="635"/>
      <c r="P355" s="631" t="s">
        <v>40</v>
      </c>
      <c r="Q355" s="632"/>
      <c r="R355" s="632"/>
      <c r="S355" s="632"/>
      <c r="T355" s="632"/>
      <c r="U355" s="632"/>
      <c r="V355" s="633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4"/>
      <c r="B356" s="634"/>
      <c r="C356" s="634"/>
      <c r="D356" s="634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5"/>
      <c r="P356" s="631" t="s">
        <v>40</v>
      </c>
      <c r="Q356" s="632"/>
      <c r="R356" s="632"/>
      <c r="S356" s="632"/>
      <c r="T356" s="632"/>
      <c r="U356" s="632"/>
      <c r="V356" s="633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5" t="s">
        <v>146</v>
      </c>
      <c r="B357" s="625"/>
      <c r="C357" s="625"/>
      <c r="D357" s="625"/>
      <c r="E357" s="625"/>
      <c r="F357" s="625"/>
      <c r="G357" s="625"/>
      <c r="H357" s="625"/>
      <c r="I357" s="625"/>
      <c r="J357" s="625"/>
      <c r="K357" s="625"/>
      <c r="L357" s="625"/>
      <c r="M357" s="625"/>
      <c r="N357" s="625"/>
      <c r="O357" s="625"/>
      <c r="P357" s="625"/>
      <c r="Q357" s="625"/>
      <c r="R357" s="625"/>
      <c r="S357" s="625"/>
      <c r="T357" s="625"/>
      <c r="U357" s="625"/>
      <c r="V357" s="625"/>
      <c r="W357" s="625"/>
      <c r="X357" s="625"/>
      <c r="Y357" s="625"/>
      <c r="Z357" s="625"/>
      <c r="AA357" s="66"/>
      <c r="AB357" s="66"/>
      <c r="AC357" s="80"/>
    </row>
    <row r="358" spans="1:68" ht="27" customHeight="1" x14ac:dyDescent="0.25">
      <c r="A358" s="63" t="s">
        <v>582</v>
      </c>
      <c r="B358" s="63" t="s">
        <v>583</v>
      </c>
      <c r="C358" s="36">
        <v>4301020178</v>
      </c>
      <c r="D358" s="626">
        <v>4607091383980</v>
      </c>
      <c r="E358" s="626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115</v>
      </c>
      <c r="L358" s="37" t="s">
        <v>116</v>
      </c>
      <c r="M358" s="38" t="s">
        <v>114</v>
      </c>
      <c r="N358" s="38"/>
      <c r="O358" s="37">
        <v>50</v>
      </c>
      <c r="P358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8"/>
      <c r="R358" s="628"/>
      <c r="S358" s="628"/>
      <c r="T358" s="629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584</v>
      </c>
      <c r="AG358" s="78"/>
      <c r="AJ358" s="84" t="s">
        <v>117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585</v>
      </c>
      <c r="B359" s="63" t="s">
        <v>586</v>
      </c>
      <c r="C359" s="36">
        <v>4301020179</v>
      </c>
      <c r="D359" s="626">
        <v>4607091384178</v>
      </c>
      <c r="E359" s="626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120</v>
      </c>
      <c r="L359" s="37" t="s">
        <v>45</v>
      </c>
      <c r="M359" s="38" t="s">
        <v>114</v>
      </c>
      <c r="N359" s="38"/>
      <c r="O359" s="37">
        <v>50</v>
      </c>
      <c r="P359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8"/>
      <c r="R359" s="628"/>
      <c r="S359" s="628"/>
      <c r="T359" s="629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4"/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5"/>
      <c r="P360" s="631" t="s">
        <v>40</v>
      </c>
      <c r="Q360" s="632"/>
      <c r="R360" s="632"/>
      <c r="S360" s="632"/>
      <c r="T360" s="632"/>
      <c r="U360" s="632"/>
      <c r="V360" s="633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4"/>
      <c r="B361" s="634"/>
      <c r="C361" s="634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5"/>
      <c r="P361" s="631" t="s">
        <v>40</v>
      </c>
      <c r="Q361" s="632"/>
      <c r="R361" s="632"/>
      <c r="S361" s="632"/>
      <c r="T361" s="632"/>
      <c r="U361" s="632"/>
      <c r="V361" s="633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5" t="s">
        <v>88</v>
      </c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625"/>
      <c r="Y362" s="625"/>
      <c r="Z362" s="625"/>
      <c r="AA362" s="66"/>
      <c r="AB362" s="66"/>
      <c r="AC362" s="80"/>
    </row>
    <row r="363" spans="1:68" ht="27" customHeight="1" x14ac:dyDescent="0.25">
      <c r="A363" s="63" t="s">
        <v>588</v>
      </c>
      <c r="B363" s="63" t="s">
        <v>589</v>
      </c>
      <c r="C363" s="36">
        <v>4301051903</v>
      </c>
      <c r="D363" s="626">
        <v>4607091383928</v>
      </c>
      <c r="E363" s="626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8"/>
      <c r="R363" s="628"/>
      <c r="S363" s="628"/>
      <c r="T363" s="629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590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591</v>
      </c>
      <c r="B364" s="63" t="s">
        <v>592</v>
      </c>
      <c r="C364" s="36">
        <v>4301051897</v>
      </c>
      <c r="D364" s="626">
        <v>4607091384260</v>
      </c>
      <c r="E364" s="626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115</v>
      </c>
      <c r="L364" s="37" t="s">
        <v>116</v>
      </c>
      <c r="M364" s="38" t="s">
        <v>92</v>
      </c>
      <c r="N364" s="38"/>
      <c r="O364" s="37">
        <v>40</v>
      </c>
      <c r="P364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8"/>
      <c r="R364" s="628"/>
      <c r="S364" s="628"/>
      <c r="T364" s="629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117</v>
      </c>
      <c r="AK364" s="84">
        <v>72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4"/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5"/>
      <c r="P365" s="631" t="s">
        <v>40</v>
      </c>
      <c r="Q365" s="632"/>
      <c r="R365" s="632"/>
      <c r="S365" s="632"/>
      <c r="T365" s="632"/>
      <c r="U365" s="632"/>
      <c r="V365" s="633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4"/>
      <c r="B366" s="634"/>
      <c r="C366" s="634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5"/>
      <c r="P366" s="631" t="s">
        <v>40</v>
      </c>
      <c r="Q366" s="632"/>
      <c r="R366" s="632"/>
      <c r="S366" s="632"/>
      <c r="T366" s="632"/>
      <c r="U366" s="632"/>
      <c r="V366" s="633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5" t="s">
        <v>171</v>
      </c>
      <c r="B367" s="625"/>
      <c r="C367" s="625"/>
      <c r="D367" s="625"/>
      <c r="E367" s="625"/>
      <c r="F367" s="625"/>
      <c r="G367" s="625"/>
      <c r="H367" s="625"/>
      <c r="I367" s="625"/>
      <c r="J367" s="625"/>
      <c r="K367" s="625"/>
      <c r="L367" s="625"/>
      <c r="M367" s="625"/>
      <c r="N367" s="625"/>
      <c r="O367" s="625"/>
      <c r="P367" s="625"/>
      <c r="Q367" s="625"/>
      <c r="R367" s="625"/>
      <c r="S367" s="625"/>
      <c r="T367" s="625"/>
      <c r="U367" s="625"/>
      <c r="V367" s="625"/>
      <c r="W367" s="625"/>
      <c r="X367" s="625"/>
      <c r="Y367" s="625"/>
      <c r="Z367" s="625"/>
      <c r="AA367" s="66"/>
      <c r="AB367" s="66"/>
      <c r="AC367" s="80"/>
    </row>
    <row r="368" spans="1:68" ht="16.5" customHeight="1" x14ac:dyDescent="0.25">
      <c r="A368" s="63" t="s">
        <v>594</v>
      </c>
      <c r="B368" s="63" t="s">
        <v>595</v>
      </c>
      <c r="C368" s="36">
        <v>4301060524</v>
      </c>
      <c r="D368" s="626">
        <v>4607091384673</v>
      </c>
      <c r="E368" s="626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115</v>
      </c>
      <c r="L368" s="37" t="s">
        <v>45</v>
      </c>
      <c r="M368" s="38" t="s">
        <v>92</v>
      </c>
      <c r="N368" s="38"/>
      <c r="O368" s="37">
        <v>40</v>
      </c>
      <c r="P368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8"/>
      <c r="R368" s="628"/>
      <c r="S368" s="628"/>
      <c r="T368" s="629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596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4"/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34"/>
      <c r="N369" s="634"/>
      <c r="O369" s="635"/>
      <c r="P369" s="631" t="s">
        <v>40</v>
      </c>
      <c r="Q369" s="632"/>
      <c r="R369" s="632"/>
      <c r="S369" s="632"/>
      <c r="T369" s="632"/>
      <c r="U369" s="632"/>
      <c r="V369" s="633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4"/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5"/>
      <c r="P370" s="631" t="s">
        <v>40</v>
      </c>
      <c r="Q370" s="632"/>
      <c r="R370" s="632"/>
      <c r="S370" s="632"/>
      <c r="T370" s="632"/>
      <c r="U370" s="632"/>
      <c r="V370" s="633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4" t="s">
        <v>597</v>
      </c>
      <c r="B371" s="624"/>
      <c r="C371" s="624"/>
      <c r="D371" s="624"/>
      <c r="E371" s="624"/>
      <c r="F371" s="624"/>
      <c r="G371" s="624"/>
      <c r="H371" s="624"/>
      <c r="I371" s="624"/>
      <c r="J371" s="624"/>
      <c r="K371" s="624"/>
      <c r="L371" s="624"/>
      <c r="M371" s="624"/>
      <c r="N371" s="624"/>
      <c r="O371" s="624"/>
      <c r="P371" s="624"/>
      <c r="Q371" s="624"/>
      <c r="R371" s="624"/>
      <c r="S371" s="624"/>
      <c r="T371" s="624"/>
      <c r="U371" s="624"/>
      <c r="V371" s="624"/>
      <c r="W371" s="624"/>
      <c r="X371" s="624"/>
      <c r="Y371" s="624"/>
      <c r="Z371" s="624"/>
      <c r="AA371" s="65"/>
      <c r="AB371" s="65"/>
      <c r="AC371" s="79"/>
    </row>
    <row r="372" spans="1:68" ht="14.25" customHeight="1" x14ac:dyDescent="0.25">
      <c r="A372" s="625" t="s">
        <v>110</v>
      </c>
      <c r="B372" s="625"/>
      <c r="C372" s="625"/>
      <c r="D372" s="625"/>
      <c r="E372" s="625"/>
      <c r="F372" s="625"/>
      <c r="G372" s="625"/>
      <c r="H372" s="625"/>
      <c r="I372" s="625"/>
      <c r="J372" s="625"/>
      <c r="K372" s="625"/>
      <c r="L372" s="625"/>
      <c r="M372" s="625"/>
      <c r="N372" s="625"/>
      <c r="O372" s="625"/>
      <c r="P372" s="625"/>
      <c r="Q372" s="625"/>
      <c r="R372" s="625"/>
      <c r="S372" s="625"/>
      <c r="T372" s="625"/>
      <c r="U372" s="625"/>
      <c r="V372" s="625"/>
      <c r="W372" s="625"/>
      <c r="X372" s="625"/>
      <c r="Y372" s="625"/>
      <c r="Z372" s="625"/>
      <c r="AA372" s="66"/>
      <c r="AB372" s="66"/>
      <c r="AC372" s="80"/>
    </row>
    <row r="373" spans="1:68" ht="37.5" customHeight="1" x14ac:dyDescent="0.25">
      <c r="A373" s="63" t="s">
        <v>598</v>
      </c>
      <c r="B373" s="63" t="s">
        <v>599</v>
      </c>
      <c r="C373" s="36">
        <v>4301011875</v>
      </c>
      <c r="D373" s="626">
        <v>4680115884885</v>
      </c>
      <c r="E373" s="626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115</v>
      </c>
      <c r="L373" s="37" t="s">
        <v>116</v>
      </c>
      <c r="M373" s="38" t="s">
        <v>82</v>
      </c>
      <c r="N373" s="38"/>
      <c r="O373" s="37">
        <v>60</v>
      </c>
      <c r="P373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8"/>
      <c r="R373" s="628"/>
      <c r="S373" s="628"/>
      <c r="T373" s="629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600</v>
      </c>
      <c r="AG373" s="78"/>
      <c r="AJ373" s="84" t="s">
        <v>117</v>
      </c>
      <c r="AK373" s="84">
        <v>96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601</v>
      </c>
      <c r="B374" s="63" t="s">
        <v>602</v>
      </c>
      <c r="C374" s="36">
        <v>4301011871</v>
      </c>
      <c r="D374" s="626">
        <v>4680115884908</v>
      </c>
      <c r="E374" s="626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60</v>
      </c>
      <c r="P374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8"/>
      <c r="R374" s="628"/>
      <c r="S374" s="628"/>
      <c r="T374" s="629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600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4"/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5"/>
      <c r="P375" s="631" t="s">
        <v>40</v>
      </c>
      <c r="Q375" s="632"/>
      <c r="R375" s="632"/>
      <c r="S375" s="632"/>
      <c r="T375" s="632"/>
      <c r="U375" s="632"/>
      <c r="V375" s="633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4"/>
      <c r="B376" s="634"/>
      <c r="C376" s="634"/>
      <c r="D376" s="634"/>
      <c r="E376" s="634"/>
      <c r="F376" s="634"/>
      <c r="G376" s="634"/>
      <c r="H376" s="634"/>
      <c r="I376" s="634"/>
      <c r="J376" s="634"/>
      <c r="K376" s="634"/>
      <c r="L376" s="634"/>
      <c r="M376" s="634"/>
      <c r="N376" s="634"/>
      <c r="O376" s="635"/>
      <c r="P376" s="631" t="s">
        <v>40</v>
      </c>
      <c r="Q376" s="632"/>
      <c r="R376" s="632"/>
      <c r="S376" s="632"/>
      <c r="T376" s="632"/>
      <c r="U376" s="632"/>
      <c r="V376" s="633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5" t="s">
        <v>78</v>
      </c>
      <c r="B377" s="625"/>
      <c r="C377" s="625"/>
      <c r="D377" s="625"/>
      <c r="E377" s="625"/>
      <c r="F377" s="625"/>
      <c r="G377" s="625"/>
      <c r="H377" s="625"/>
      <c r="I377" s="625"/>
      <c r="J377" s="625"/>
      <c r="K377" s="625"/>
      <c r="L377" s="625"/>
      <c r="M377" s="625"/>
      <c r="N377" s="625"/>
      <c r="O377" s="625"/>
      <c r="P377" s="625"/>
      <c r="Q377" s="625"/>
      <c r="R377" s="625"/>
      <c r="S377" s="625"/>
      <c r="T377" s="625"/>
      <c r="U377" s="625"/>
      <c r="V377" s="625"/>
      <c r="W377" s="625"/>
      <c r="X377" s="625"/>
      <c r="Y377" s="625"/>
      <c r="Z377" s="625"/>
      <c r="AA377" s="66"/>
      <c r="AB377" s="66"/>
      <c r="AC377" s="80"/>
    </row>
    <row r="378" spans="1:68" ht="27" customHeight="1" x14ac:dyDescent="0.25">
      <c r="A378" s="63" t="s">
        <v>603</v>
      </c>
      <c r="B378" s="63" t="s">
        <v>604</v>
      </c>
      <c r="C378" s="36">
        <v>4301031457</v>
      </c>
      <c r="D378" s="626">
        <v>4607091384802</v>
      </c>
      <c r="E378" s="626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120</v>
      </c>
      <c r="L378" s="37" t="s">
        <v>45</v>
      </c>
      <c r="M378" s="38" t="s">
        <v>82</v>
      </c>
      <c r="N378" s="38"/>
      <c r="O378" s="37">
        <v>50</v>
      </c>
      <c r="P378" s="8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628"/>
      <c r="R378" s="628"/>
      <c r="S378" s="628"/>
      <c r="T378" s="629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605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603</v>
      </c>
      <c r="B379" s="63" t="s">
        <v>606</v>
      </c>
      <c r="C379" s="36">
        <v>4301031303</v>
      </c>
      <c r="D379" s="626">
        <v>4607091384802</v>
      </c>
      <c r="E379" s="62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120</v>
      </c>
      <c r="L379" s="37" t="s">
        <v>121</v>
      </c>
      <c r="M379" s="38" t="s">
        <v>82</v>
      </c>
      <c r="N379" s="38"/>
      <c r="O379" s="37">
        <v>35</v>
      </c>
      <c r="P379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628"/>
      <c r="R379" s="628"/>
      <c r="S379" s="628"/>
      <c r="T379" s="629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607</v>
      </c>
      <c r="AG379" s="78"/>
      <c r="AJ379" s="84" t="s">
        <v>117</v>
      </c>
      <c r="AK379" s="84">
        <v>52.56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4"/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5"/>
      <c r="P380" s="631" t="s">
        <v>40</v>
      </c>
      <c r="Q380" s="632"/>
      <c r="R380" s="632"/>
      <c r="S380" s="632"/>
      <c r="T380" s="632"/>
      <c r="U380" s="632"/>
      <c r="V380" s="633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4"/>
      <c r="B381" s="634"/>
      <c r="C381" s="634"/>
      <c r="D381" s="634"/>
      <c r="E381" s="634"/>
      <c r="F381" s="634"/>
      <c r="G381" s="634"/>
      <c r="H381" s="634"/>
      <c r="I381" s="634"/>
      <c r="J381" s="634"/>
      <c r="K381" s="634"/>
      <c r="L381" s="634"/>
      <c r="M381" s="634"/>
      <c r="N381" s="634"/>
      <c r="O381" s="635"/>
      <c r="P381" s="631" t="s">
        <v>40</v>
      </c>
      <c r="Q381" s="632"/>
      <c r="R381" s="632"/>
      <c r="S381" s="632"/>
      <c r="T381" s="632"/>
      <c r="U381" s="632"/>
      <c r="V381" s="633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5" t="s">
        <v>88</v>
      </c>
      <c r="B382" s="625"/>
      <c r="C382" s="625"/>
      <c r="D382" s="625"/>
      <c r="E382" s="625"/>
      <c r="F382" s="625"/>
      <c r="G382" s="625"/>
      <c r="H382" s="625"/>
      <c r="I382" s="625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625"/>
      <c r="Y382" s="625"/>
      <c r="Z382" s="625"/>
      <c r="AA382" s="66"/>
      <c r="AB382" s="66"/>
      <c r="AC382" s="80"/>
    </row>
    <row r="383" spans="1:68" ht="27" customHeight="1" x14ac:dyDescent="0.25">
      <c r="A383" s="63" t="s">
        <v>608</v>
      </c>
      <c r="B383" s="63" t="s">
        <v>609</v>
      </c>
      <c r="C383" s="36">
        <v>4301051899</v>
      </c>
      <c r="D383" s="626">
        <v>4607091384246</v>
      </c>
      <c r="E383" s="626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115</v>
      </c>
      <c r="L383" s="37" t="s">
        <v>116</v>
      </c>
      <c r="M383" s="38" t="s">
        <v>92</v>
      </c>
      <c r="N383" s="38"/>
      <c r="O383" s="37">
        <v>40</v>
      </c>
      <c r="P383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8"/>
      <c r="R383" s="628"/>
      <c r="S383" s="628"/>
      <c r="T383" s="629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117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611</v>
      </c>
      <c r="B384" s="63" t="s">
        <v>612</v>
      </c>
      <c r="C384" s="36">
        <v>4301051660</v>
      </c>
      <c r="D384" s="626">
        <v>4607091384253</v>
      </c>
      <c r="E384" s="626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197</v>
      </c>
      <c r="M384" s="38" t="s">
        <v>92</v>
      </c>
      <c r="N384" s="38"/>
      <c r="O384" s="37">
        <v>40</v>
      </c>
      <c r="P384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8"/>
      <c r="R384" s="628"/>
      <c r="S384" s="628"/>
      <c r="T384" s="629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610</v>
      </c>
      <c r="AG384" s="78"/>
      <c r="AJ384" s="84" t="s">
        <v>117</v>
      </c>
      <c r="AK384" s="84">
        <v>33.6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611</v>
      </c>
      <c r="B385" s="63" t="s">
        <v>613</v>
      </c>
      <c r="C385" s="36">
        <v>4301052069</v>
      </c>
      <c r="D385" s="626">
        <v>4607091384253</v>
      </c>
      <c r="E385" s="626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8"/>
      <c r="R385" s="628"/>
      <c r="S385" s="628"/>
      <c r="T385" s="629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614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4"/>
      <c r="B386" s="634"/>
      <c r="C386" s="634"/>
      <c r="D386" s="634"/>
      <c r="E386" s="634"/>
      <c r="F386" s="634"/>
      <c r="G386" s="634"/>
      <c r="H386" s="634"/>
      <c r="I386" s="634"/>
      <c r="J386" s="634"/>
      <c r="K386" s="634"/>
      <c r="L386" s="634"/>
      <c r="M386" s="634"/>
      <c r="N386" s="634"/>
      <c r="O386" s="635"/>
      <c r="P386" s="631" t="s">
        <v>40</v>
      </c>
      <c r="Q386" s="632"/>
      <c r="R386" s="632"/>
      <c r="S386" s="632"/>
      <c r="T386" s="632"/>
      <c r="U386" s="632"/>
      <c r="V386" s="633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4"/>
      <c r="B387" s="634"/>
      <c r="C387" s="634"/>
      <c r="D387" s="634"/>
      <c r="E387" s="634"/>
      <c r="F387" s="634"/>
      <c r="G387" s="634"/>
      <c r="H387" s="634"/>
      <c r="I387" s="634"/>
      <c r="J387" s="634"/>
      <c r="K387" s="634"/>
      <c r="L387" s="634"/>
      <c r="M387" s="634"/>
      <c r="N387" s="634"/>
      <c r="O387" s="635"/>
      <c r="P387" s="631" t="s">
        <v>40</v>
      </c>
      <c r="Q387" s="632"/>
      <c r="R387" s="632"/>
      <c r="S387" s="632"/>
      <c r="T387" s="632"/>
      <c r="U387" s="632"/>
      <c r="V387" s="633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3" t="s">
        <v>615</v>
      </c>
      <c r="B388" s="623"/>
      <c r="C388" s="623"/>
      <c r="D388" s="623"/>
      <c r="E388" s="623"/>
      <c r="F388" s="623"/>
      <c r="G388" s="623"/>
      <c r="H388" s="623"/>
      <c r="I388" s="623"/>
      <c r="J388" s="623"/>
      <c r="K388" s="623"/>
      <c r="L388" s="623"/>
      <c r="M388" s="623"/>
      <c r="N388" s="623"/>
      <c r="O388" s="623"/>
      <c r="P388" s="623"/>
      <c r="Q388" s="623"/>
      <c r="R388" s="623"/>
      <c r="S388" s="623"/>
      <c r="T388" s="623"/>
      <c r="U388" s="623"/>
      <c r="V388" s="623"/>
      <c r="W388" s="623"/>
      <c r="X388" s="623"/>
      <c r="Y388" s="623"/>
      <c r="Z388" s="623"/>
      <c r="AA388" s="54"/>
      <c r="AB388" s="54"/>
      <c r="AC388" s="54"/>
    </row>
    <row r="389" spans="1:68" ht="16.5" customHeight="1" x14ac:dyDescent="0.25">
      <c r="A389" s="624" t="s">
        <v>616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65"/>
      <c r="AB389" s="65"/>
      <c r="AC389" s="79"/>
    </row>
    <row r="390" spans="1:68" ht="14.25" customHeight="1" x14ac:dyDescent="0.25">
      <c r="A390" s="625" t="s">
        <v>78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6"/>
      <c r="AB390" s="66"/>
      <c r="AC390" s="80"/>
    </row>
    <row r="391" spans="1:68" ht="27" customHeight="1" x14ac:dyDescent="0.25">
      <c r="A391" s="63" t="s">
        <v>617</v>
      </c>
      <c r="B391" s="63" t="s">
        <v>618</v>
      </c>
      <c r="C391" s="36">
        <v>4301031405</v>
      </c>
      <c r="D391" s="626">
        <v>4680115886100</v>
      </c>
      <c r="E391" s="626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121</v>
      </c>
      <c r="M391" s="38" t="s">
        <v>82</v>
      </c>
      <c r="N391" s="38"/>
      <c r="O391" s="37">
        <v>50</v>
      </c>
      <c r="P391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8"/>
      <c r="R391" s="628"/>
      <c r="S391" s="628"/>
      <c r="T391" s="629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36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117</v>
      </c>
      <c r="AK391" s="84">
        <v>64.8</v>
      </c>
      <c r="BB391" s="457" t="s">
        <v>66</v>
      </c>
      <c r="BM391" s="78">
        <f t="shared" ref="BM391:BM399" si="37">IFERROR(X391*I391/H391,"0")</f>
        <v>0</v>
      </c>
      <c r="BN391" s="78">
        <f t="shared" ref="BN391:BN399" si="38">IFERROR(Y391*I391/H391,"0")</f>
        <v>0</v>
      </c>
      <c r="BO391" s="78">
        <f t="shared" ref="BO391:BO399" si="39">IFERROR(1/J391*(X391/H391),"0")</f>
        <v>0</v>
      </c>
      <c r="BP391" s="78">
        <f t="shared" ref="BP391:BP399" si="40">IFERROR(1/J391*(Y391/H391),"0")</f>
        <v>0</v>
      </c>
    </row>
    <row r="392" spans="1:68" ht="27" customHeight="1" x14ac:dyDescent="0.25">
      <c r="A392" s="63" t="s">
        <v>620</v>
      </c>
      <c r="B392" s="63" t="s">
        <v>621</v>
      </c>
      <c r="C392" s="36">
        <v>4301031406</v>
      </c>
      <c r="D392" s="626">
        <v>4680115886117</v>
      </c>
      <c r="E392" s="626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8"/>
      <c r="R392" s="628"/>
      <c r="S392" s="628"/>
      <c r="T392" s="629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4301031402</v>
      </c>
      <c r="D393" s="626">
        <v>4680115886124</v>
      </c>
      <c r="E393" s="626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121</v>
      </c>
      <c r="M393" s="38" t="s">
        <v>82</v>
      </c>
      <c r="N393" s="38"/>
      <c r="O393" s="37">
        <v>50</v>
      </c>
      <c r="P393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8"/>
      <c r="R393" s="628"/>
      <c r="S393" s="628"/>
      <c r="T393" s="629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117</v>
      </c>
      <c r="AK393" s="84">
        <v>64.8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4301031366</v>
      </c>
      <c r="D394" s="626">
        <v>4680115883147</v>
      </c>
      <c r="E394" s="626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8"/>
      <c r="R394" s="628"/>
      <c r="S394" s="628"/>
      <c r="T394" s="629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ref="Z394:Z399" si="41">IFERROR(IF(Y394=0,"",ROUNDUP(Y394/H394,0)*0.00502),"")</f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628</v>
      </c>
      <c r="B395" s="63" t="s">
        <v>629</v>
      </c>
      <c r="C395" s="36">
        <v>4301031362</v>
      </c>
      <c r="D395" s="626">
        <v>4607091384338</v>
      </c>
      <c r="E395" s="626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8"/>
      <c r="R395" s="628"/>
      <c r="S395" s="628"/>
      <c r="T395" s="629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619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37.5" customHeight="1" x14ac:dyDescent="0.25">
      <c r="A396" s="63" t="s">
        <v>630</v>
      </c>
      <c r="B396" s="63" t="s">
        <v>631</v>
      </c>
      <c r="C396" s="36">
        <v>4301031361</v>
      </c>
      <c r="D396" s="626">
        <v>4607091389524</v>
      </c>
      <c r="E396" s="626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8"/>
      <c r="R396" s="628"/>
      <c r="S396" s="628"/>
      <c r="T396" s="629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632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27" customHeight="1" x14ac:dyDescent="0.25">
      <c r="A397" s="63" t="s">
        <v>633</v>
      </c>
      <c r="B397" s="63" t="s">
        <v>634</v>
      </c>
      <c r="C397" s="36">
        <v>4301031364</v>
      </c>
      <c r="D397" s="626">
        <v>4680115883161</v>
      </c>
      <c r="E397" s="626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8"/>
      <c r="R397" s="628"/>
      <c r="S397" s="628"/>
      <c r="T397" s="629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4301031358</v>
      </c>
      <c r="D398" s="626">
        <v>4607091389531</v>
      </c>
      <c r="E398" s="626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293</v>
      </c>
      <c r="M398" s="38" t="s">
        <v>82</v>
      </c>
      <c r="N398" s="38"/>
      <c r="O398" s="37">
        <v>50</v>
      </c>
      <c r="P398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8"/>
      <c r="R398" s="628"/>
      <c r="S398" s="628"/>
      <c r="T398" s="629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36"/>
        <v>0</v>
      </c>
      <c r="Z398" s="41" t="str">
        <f t="shared" si="41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117</v>
      </c>
      <c r="AK398" s="84">
        <v>37.799999999999997</v>
      </c>
      <c r="BB398" s="471" t="s">
        <v>66</v>
      </c>
      <c r="BM398" s="78">
        <f t="shared" si="37"/>
        <v>0</v>
      </c>
      <c r="BN398" s="78">
        <f t="shared" si="38"/>
        <v>0</v>
      </c>
      <c r="BO398" s="78">
        <f t="shared" si="39"/>
        <v>0</v>
      </c>
      <c r="BP398" s="78">
        <f t="shared" si="40"/>
        <v>0</v>
      </c>
    </row>
    <row r="399" spans="1:68" ht="37.5" customHeight="1" x14ac:dyDescent="0.25">
      <c r="A399" s="63" t="s">
        <v>639</v>
      </c>
      <c r="B399" s="63" t="s">
        <v>640</v>
      </c>
      <c r="C399" s="36">
        <v>4301031360</v>
      </c>
      <c r="D399" s="626">
        <v>4607091384345</v>
      </c>
      <c r="E399" s="626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8"/>
      <c r="R399" s="628"/>
      <c r="S399" s="628"/>
      <c r="T399" s="629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36"/>
        <v>0</v>
      </c>
      <c r="Z399" s="41" t="str">
        <f t="shared" si="41"/>
        <v/>
      </c>
      <c r="AA399" s="68" t="s">
        <v>45</v>
      </c>
      <c r="AB399" s="69" t="s">
        <v>45</v>
      </c>
      <c r="AC399" s="472" t="s">
        <v>635</v>
      </c>
      <c r="AG399" s="78"/>
      <c r="AJ399" s="84" t="s">
        <v>45</v>
      </c>
      <c r="AK399" s="84">
        <v>0</v>
      </c>
      <c r="BB399" s="473" t="s">
        <v>66</v>
      </c>
      <c r="BM399" s="78">
        <f t="shared" si="37"/>
        <v>0</v>
      </c>
      <c r="BN399" s="78">
        <f t="shared" si="38"/>
        <v>0</v>
      </c>
      <c r="BO399" s="78">
        <f t="shared" si="39"/>
        <v>0</v>
      </c>
      <c r="BP399" s="78">
        <f t="shared" si="40"/>
        <v>0</v>
      </c>
    </row>
    <row r="400" spans="1:68" x14ac:dyDescent="0.2">
      <c r="A400" s="634"/>
      <c r="B400" s="634"/>
      <c r="C400" s="634"/>
      <c r="D400" s="634"/>
      <c r="E400" s="634"/>
      <c r="F400" s="634"/>
      <c r="G400" s="634"/>
      <c r="H400" s="634"/>
      <c r="I400" s="634"/>
      <c r="J400" s="634"/>
      <c r="K400" s="634"/>
      <c r="L400" s="634"/>
      <c r="M400" s="634"/>
      <c r="N400" s="634"/>
      <c r="O400" s="635"/>
      <c r="P400" s="631" t="s">
        <v>40</v>
      </c>
      <c r="Q400" s="632"/>
      <c r="R400" s="632"/>
      <c r="S400" s="632"/>
      <c r="T400" s="632"/>
      <c r="U400" s="632"/>
      <c r="V400" s="633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4"/>
      <c r="B401" s="634"/>
      <c r="C401" s="634"/>
      <c r="D401" s="634"/>
      <c r="E401" s="634"/>
      <c r="F401" s="634"/>
      <c r="G401" s="634"/>
      <c r="H401" s="634"/>
      <c r="I401" s="634"/>
      <c r="J401" s="634"/>
      <c r="K401" s="634"/>
      <c r="L401" s="634"/>
      <c r="M401" s="634"/>
      <c r="N401" s="634"/>
      <c r="O401" s="635"/>
      <c r="P401" s="631" t="s">
        <v>40</v>
      </c>
      <c r="Q401" s="632"/>
      <c r="R401" s="632"/>
      <c r="S401" s="632"/>
      <c r="T401" s="632"/>
      <c r="U401" s="632"/>
      <c r="V401" s="633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5" t="s">
        <v>88</v>
      </c>
      <c r="B402" s="625"/>
      <c r="C402" s="625"/>
      <c r="D402" s="625"/>
      <c r="E402" s="625"/>
      <c r="F402" s="625"/>
      <c r="G402" s="625"/>
      <c r="H402" s="625"/>
      <c r="I402" s="625"/>
      <c r="J402" s="625"/>
      <c r="K402" s="625"/>
      <c r="L402" s="625"/>
      <c r="M402" s="625"/>
      <c r="N402" s="625"/>
      <c r="O402" s="625"/>
      <c r="P402" s="625"/>
      <c r="Q402" s="625"/>
      <c r="R402" s="625"/>
      <c r="S402" s="625"/>
      <c r="T402" s="625"/>
      <c r="U402" s="625"/>
      <c r="V402" s="625"/>
      <c r="W402" s="625"/>
      <c r="X402" s="625"/>
      <c r="Y402" s="625"/>
      <c r="Z402" s="625"/>
      <c r="AA402" s="66"/>
      <c r="AB402" s="66"/>
      <c r="AC402" s="80"/>
    </row>
    <row r="403" spans="1:68" ht="27" customHeight="1" x14ac:dyDescent="0.25">
      <c r="A403" s="63" t="s">
        <v>641</v>
      </c>
      <c r="B403" s="63" t="s">
        <v>642</v>
      </c>
      <c r="C403" s="36">
        <v>4301051284</v>
      </c>
      <c r="D403" s="626">
        <v>4607091384352</v>
      </c>
      <c r="E403" s="626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120</v>
      </c>
      <c r="L403" s="37" t="s">
        <v>45</v>
      </c>
      <c r="M403" s="38" t="s">
        <v>92</v>
      </c>
      <c r="N403" s="38"/>
      <c r="O403" s="37">
        <v>45</v>
      </c>
      <c r="P403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8"/>
      <c r="R403" s="628"/>
      <c r="S403" s="628"/>
      <c r="T403" s="629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643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644</v>
      </c>
      <c r="B404" s="63" t="s">
        <v>645</v>
      </c>
      <c r="C404" s="36">
        <v>4301051431</v>
      </c>
      <c r="D404" s="626">
        <v>4607091389654</v>
      </c>
      <c r="E404" s="626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8"/>
      <c r="R404" s="628"/>
      <c r="S404" s="628"/>
      <c r="T404" s="629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4"/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5"/>
      <c r="P405" s="631" t="s">
        <v>40</v>
      </c>
      <c r="Q405" s="632"/>
      <c r="R405" s="632"/>
      <c r="S405" s="632"/>
      <c r="T405" s="632"/>
      <c r="U405" s="632"/>
      <c r="V405" s="633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4"/>
      <c r="B406" s="634"/>
      <c r="C406" s="634"/>
      <c r="D406" s="634"/>
      <c r="E406" s="634"/>
      <c r="F406" s="634"/>
      <c r="G406" s="634"/>
      <c r="H406" s="634"/>
      <c r="I406" s="634"/>
      <c r="J406" s="634"/>
      <c r="K406" s="634"/>
      <c r="L406" s="634"/>
      <c r="M406" s="634"/>
      <c r="N406" s="634"/>
      <c r="O406" s="635"/>
      <c r="P406" s="631" t="s">
        <v>40</v>
      </c>
      <c r="Q406" s="632"/>
      <c r="R406" s="632"/>
      <c r="S406" s="632"/>
      <c r="T406" s="632"/>
      <c r="U406" s="632"/>
      <c r="V406" s="633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4" t="s">
        <v>647</v>
      </c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4"/>
      <c r="P407" s="624"/>
      <c r="Q407" s="624"/>
      <c r="R407" s="624"/>
      <c r="S407" s="624"/>
      <c r="T407" s="624"/>
      <c r="U407" s="624"/>
      <c r="V407" s="624"/>
      <c r="W407" s="624"/>
      <c r="X407" s="624"/>
      <c r="Y407" s="624"/>
      <c r="Z407" s="624"/>
      <c r="AA407" s="65"/>
      <c r="AB407" s="65"/>
      <c r="AC407" s="79"/>
    </row>
    <row r="408" spans="1:68" ht="14.25" customHeight="1" x14ac:dyDescent="0.25">
      <c r="A408" s="625" t="s">
        <v>146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6"/>
      <c r="AB408" s="66"/>
      <c r="AC408" s="80"/>
    </row>
    <row r="409" spans="1:68" ht="27" customHeight="1" x14ac:dyDescent="0.25">
      <c r="A409" s="63" t="s">
        <v>648</v>
      </c>
      <c r="B409" s="63" t="s">
        <v>649</v>
      </c>
      <c r="C409" s="36">
        <v>4301020319</v>
      </c>
      <c r="D409" s="626">
        <v>4680115885240</v>
      </c>
      <c r="E409" s="626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8"/>
      <c r="R409" s="628"/>
      <c r="S409" s="628"/>
      <c r="T409" s="629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650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4"/>
      <c r="B410" s="634"/>
      <c r="C410" s="634"/>
      <c r="D410" s="634"/>
      <c r="E410" s="634"/>
      <c r="F410" s="634"/>
      <c r="G410" s="634"/>
      <c r="H410" s="634"/>
      <c r="I410" s="634"/>
      <c r="J410" s="634"/>
      <c r="K410" s="634"/>
      <c r="L410" s="634"/>
      <c r="M410" s="634"/>
      <c r="N410" s="634"/>
      <c r="O410" s="635"/>
      <c r="P410" s="631" t="s">
        <v>40</v>
      </c>
      <c r="Q410" s="632"/>
      <c r="R410" s="632"/>
      <c r="S410" s="632"/>
      <c r="T410" s="632"/>
      <c r="U410" s="632"/>
      <c r="V410" s="633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4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5"/>
      <c r="P411" s="631" t="s">
        <v>40</v>
      </c>
      <c r="Q411" s="632"/>
      <c r="R411" s="632"/>
      <c r="S411" s="632"/>
      <c r="T411" s="632"/>
      <c r="U411" s="632"/>
      <c r="V411" s="633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5" t="s">
        <v>78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625"/>
      <c r="M412" s="625"/>
      <c r="N412" s="625"/>
      <c r="O412" s="625"/>
      <c r="P412" s="625"/>
      <c r="Q412" s="625"/>
      <c r="R412" s="625"/>
      <c r="S412" s="625"/>
      <c r="T412" s="625"/>
      <c r="U412" s="625"/>
      <c r="V412" s="625"/>
      <c r="W412" s="625"/>
      <c r="X412" s="625"/>
      <c r="Y412" s="625"/>
      <c r="Z412" s="625"/>
      <c r="AA412" s="66"/>
      <c r="AB412" s="66"/>
      <c r="AC412" s="80"/>
    </row>
    <row r="413" spans="1:68" ht="27" customHeight="1" x14ac:dyDescent="0.25">
      <c r="A413" s="63" t="s">
        <v>651</v>
      </c>
      <c r="B413" s="63" t="s">
        <v>652</v>
      </c>
      <c r="C413" s="36">
        <v>4301031403</v>
      </c>
      <c r="D413" s="626">
        <v>4680115886094</v>
      </c>
      <c r="E413" s="626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120</v>
      </c>
      <c r="L413" s="37" t="s">
        <v>121</v>
      </c>
      <c r="M413" s="38" t="s">
        <v>114</v>
      </c>
      <c r="N413" s="38"/>
      <c r="O413" s="37">
        <v>50</v>
      </c>
      <c r="P413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8"/>
      <c r="R413" s="628"/>
      <c r="S413" s="628"/>
      <c r="T413" s="629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653</v>
      </c>
      <c r="AG413" s="78"/>
      <c r="AJ413" s="84" t="s">
        <v>117</v>
      </c>
      <c r="AK413" s="84">
        <v>64.8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654</v>
      </c>
      <c r="B414" s="63" t="s">
        <v>655</v>
      </c>
      <c r="C414" s="36">
        <v>4301031363</v>
      </c>
      <c r="D414" s="626">
        <v>4607091389425</v>
      </c>
      <c r="E414" s="626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8"/>
      <c r="R414" s="628"/>
      <c r="S414" s="628"/>
      <c r="T414" s="629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6">
        <v>4680115880771</v>
      </c>
      <c r="E415" s="626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8"/>
      <c r="R415" s="628"/>
      <c r="S415" s="628"/>
      <c r="T415" s="629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6">
        <v>4607091389500</v>
      </c>
      <c r="E416" s="626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8"/>
      <c r="R416" s="628"/>
      <c r="S416" s="628"/>
      <c r="T416" s="629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4"/>
      <c r="B417" s="634"/>
      <c r="C417" s="634"/>
      <c r="D417" s="634"/>
      <c r="E417" s="634"/>
      <c r="F417" s="634"/>
      <c r="G417" s="634"/>
      <c r="H417" s="634"/>
      <c r="I417" s="634"/>
      <c r="J417" s="634"/>
      <c r="K417" s="634"/>
      <c r="L417" s="634"/>
      <c r="M417" s="634"/>
      <c r="N417" s="634"/>
      <c r="O417" s="635"/>
      <c r="P417" s="631" t="s">
        <v>40</v>
      </c>
      <c r="Q417" s="632"/>
      <c r="R417" s="632"/>
      <c r="S417" s="632"/>
      <c r="T417" s="632"/>
      <c r="U417" s="632"/>
      <c r="V417" s="633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4"/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5"/>
      <c r="P418" s="631" t="s">
        <v>40</v>
      </c>
      <c r="Q418" s="632"/>
      <c r="R418" s="632"/>
      <c r="S418" s="632"/>
      <c r="T418" s="632"/>
      <c r="U418" s="632"/>
      <c r="V418" s="633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4" t="s">
        <v>662</v>
      </c>
      <c r="B419" s="624"/>
      <c r="C419" s="624"/>
      <c r="D419" s="624"/>
      <c r="E419" s="624"/>
      <c r="F419" s="624"/>
      <c r="G419" s="624"/>
      <c r="H419" s="624"/>
      <c r="I419" s="624"/>
      <c r="J419" s="624"/>
      <c r="K419" s="624"/>
      <c r="L419" s="624"/>
      <c r="M419" s="624"/>
      <c r="N419" s="624"/>
      <c r="O419" s="624"/>
      <c r="P419" s="624"/>
      <c r="Q419" s="624"/>
      <c r="R419" s="624"/>
      <c r="S419" s="624"/>
      <c r="T419" s="624"/>
      <c r="U419" s="624"/>
      <c r="V419" s="624"/>
      <c r="W419" s="624"/>
      <c r="X419" s="624"/>
      <c r="Y419" s="624"/>
      <c r="Z419" s="624"/>
      <c r="AA419" s="65"/>
      <c r="AB419" s="65"/>
      <c r="AC419" s="79"/>
    </row>
    <row r="420" spans="1:68" ht="14.25" customHeight="1" x14ac:dyDescent="0.25">
      <c r="A420" s="625" t="s">
        <v>78</v>
      </c>
      <c r="B420" s="625"/>
      <c r="C420" s="625"/>
      <c r="D420" s="625"/>
      <c r="E420" s="625"/>
      <c r="F420" s="625"/>
      <c r="G420" s="625"/>
      <c r="H420" s="625"/>
      <c r="I420" s="625"/>
      <c r="J420" s="625"/>
      <c r="K420" s="625"/>
      <c r="L420" s="625"/>
      <c r="M420" s="625"/>
      <c r="N420" s="625"/>
      <c r="O420" s="625"/>
      <c r="P420" s="625"/>
      <c r="Q420" s="625"/>
      <c r="R420" s="625"/>
      <c r="S420" s="625"/>
      <c r="T420" s="625"/>
      <c r="U420" s="625"/>
      <c r="V420" s="625"/>
      <c r="W420" s="625"/>
      <c r="X420" s="625"/>
      <c r="Y420" s="625"/>
      <c r="Z420" s="625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6">
        <v>4680115885110</v>
      </c>
      <c r="E421" s="626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8"/>
      <c r="R421" s="628"/>
      <c r="S421" s="628"/>
      <c r="T421" s="629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4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5"/>
      <c r="P422" s="631" t="s">
        <v>40</v>
      </c>
      <c r="Q422" s="632"/>
      <c r="R422" s="632"/>
      <c r="S422" s="632"/>
      <c r="T422" s="632"/>
      <c r="U422" s="632"/>
      <c r="V422" s="633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4"/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5"/>
      <c r="P423" s="631" t="s">
        <v>40</v>
      </c>
      <c r="Q423" s="632"/>
      <c r="R423" s="632"/>
      <c r="S423" s="632"/>
      <c r="T423" s="632"/>
      <c r="U423" s="632"/>
      <c r="V423" s="633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3" t="s">
        <v>666</v>
      </c>
      <c r="B424" s="623"/>
      <c r="C424" s="623"/>
      <c r="D424" s="623"/>
      <c r="E424" s="623"/>
      <c r="F424" s="623"/>
      <c r="G424" s="623"/>
      <c r="H424" s="623"/>
      <c r="I424" s="623"/>
      <c r="J424" s="623"/>
      <c r="K424" s="623"/>
      <c r="L424" s="623"/>
      <c r="M424" s="623"/>
      <c r="N424" s="623"/>
      <c r="O424" s="623"/>
      <c r="P424" s="623"/>
      <c r="Q424" s="623"/>
      <c r="R424" s="623"/>
      <c r="S424" s="623"/>
      <c r="T424" s="623"/>
      <c r="U424" s="623"/>
      <c r="V424" s="623"/>
      <c r="W424" s="623"/>
      <c r="X424" s="623"/>
      <c r="Y424" s="623"/>
      <c r="Z424" s="623"/>
      <c r="AA424" s="54"/>
      <c r="AB424" s="54"/>
      <c r="AC424" s="54"/>
    </row>
    <row r="425" spans="1:68" ht="16.5" customHeight="1" x14ac:dyDescent="0.25">
      <c r="A425" s="624" t="s">
        <v>666</v>
      </c>
      <c r="B425" s="624"/>
      <c r="C425" s="624"/>
      <c r="D425" s="624"/>
      <c r="E425" s="624"/>
      <c r="F425" s="624"/>
      <c r="G425" s="624"/>
      <c r="H425" s="624"/>
      <c r="I425" s="624"/>
      <c r="J425" s="624"/>
      <c r="K425" s="624"/>
      <c r="L425" s="624"/>
      <c r="M425" s="624"/>
      <c r="N425" s="624"/>
      <c r="O425" s="624"/>
      <c r="P425" s="624"/>
      <c r="Q425" s="624"/>
      <c r="R425" s="624"/>
      <c r="S425" s="624"/>
      <c r="T425" s="624"/>
      <c r="U425" s="624"/>
      <c r="V425" s="624"/>
      <c r="W425" s="624"/>
      <c r="X425" s="624"/>
      <c r="Y425" s="624"/>
      <c r="Z425" s="624"/>
      <c r="AA425" s="65"/>
      <c r="AB425" s="65"/>
      <c r="AC425" s="79"/>
    </row>
    <row r="426" spans="1:68" ht="14.25" customHeight="1" x14ac:dyDescent="0.25">
      <c r="A426" s="625" t="s">
        <v>110</v>
      </c>
      <c r="B426" s="625"/>
      <c r="C426" s="625"/>
      <c r="D426" s="625"/>
      <c r="E426" s="625"/>
      <c r="F426" s="625"/>
      <c r="G426" s="625"/>
      <c r="H426" s="625"/>
      <c r="I426" s="625"/>
      <c r="J426" s="625"/>
      <c r="K426" s="625"/>
      <c r="L426" s="625"/>
      <c r="M426" s="625"/>
      <c r="N426" s="625"/>
      <c r="O426" s="625"/>
      <c r="P426" s="625"/>
      <c r="Q426" s="625"/>
      <c r="R426" s="625"/>
      <c r="S426" s="625"/>
      <c r="T426" s="625"/>
      <c r="U426" s="625"/>
      <c r="V426" s="625"/>
      <c r="W426" s="625"/>
      <c r="X426" s="625"/>
      <c r="Y426" s="625"/>
      <c r="Z426" s="625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6">
        <v>4607091389067</v>
      </c>
      <c r="E427" s="626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116</v>
      </c>
      <c r="M427" s="38" t="s">
        <v>114</v>
      </c>
      <c r="N427" s="38"/>
      <c r="O427" s="37">
        <v>60</v>
      </c>
      <c r="P427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8"/>
      <c r="R427" s="628"/>
      <c r="S427" s="628"/>
      <c r="T427" s="629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2">IFERROR(IF(X427="",0,CEILING((X427/$H427),1)*$H427),"")</f>
        <v>0</v>
      </c>
      <c r="Z427" s="41" t="str">
        <f t="shared" ref="Z427:Z433" si="43">IFERROR(IF(Y427=0,"",ROUNDUP(Y427/H427,0)*0.01196),"")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117</v>
      </c>
      <c r="AK427" s="84">
        <v>42.24</v>
      </c>
      <c r="BB427" s="491" t="s">
        <v>66</v>
      </c>
      <c r="BM427" s="78">
        <f t="shared" ref="BM427:BM438" si="44">IFERROR(X427*I427/H427,"0")</f>
        <v>0</v>
      </c>
      <c r="BN427" s="78">
        <f t="shared" ref="BN427:BN438" si="45">IFERROR(Y427*I427/H427,"0")</f>
        <v>0</v>
      </c>
      <c r="BO427" s="78">
        <f t="shared" ref="BO427:BO438" si="46">IFERROR(1/J427*(X427/H427),"0")</f>
        <v>0</v>
      </c>
      <c r="BP427" s="78">
        <f t="shared" ref="BP427:BP438" si="47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4301012210</v>
      </c>
      <c r="D428" s="626">
        <v>4607091383522</v>
      </c>
      <c r="E428" s="626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8"/>
      <c r="R428" s="628"/>
      <c r="S428" s="628"/>
      <c r="T428" s="629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4301012145</v>
      </c>
      <c r="D429" s="626">
        <v>4607091383522</v>
      </c>
      <c r="E429" s="626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8"/>
      <c r="R429" s="628"/>
      <c r="S429" s="628"/>
      <c r="T429" s="629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6">
        <v>4680115885271</v>
      </c>
      <c r="E430" s="626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116</v>
      </c>
      <c r="M430" s="38" t="s">
        <v>114</v>
      </c>
      <c r="N430" s="38"/>
      <c r="O430" s="37">
        <v>60</v>
      </c>
      <c r="P430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8"/>
      <c r="R430" s="628"/>
      <c r="S430" s="628"/>
      <c r="T430" s="629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117</v>
      </c>
      <c r="AK430" s="84">
        <v>42.24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6">
        <v>4680115885226</v>
      </c>
      <c r="E431" s="626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92</v>
      </c>
      <c r="N431" s="38"/>
      <c r="O431" s="37">
        <v>60</v>
      </c>
      <c r="P431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8"/>
      <c r="R431" s="628"/>
      <c r="S431" s="628"/>
      <c r="T431" s="629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6">
        <v>4680115884502</v>
      </c>
      <c r="E432" s="626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114</v>
      </c>
      <c r="N432" s="38"/>
      <c r="O432" s="37">
        <v>60</v>
      </c>
      <c r="P432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8"/>
      <c r="R432" s="628"/>
      <c r="S432" s="628"/>
      <c r="T432" s="629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 t="shared" si="43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6">
        <v>4607091389104</v>
      </c>
      <c r="E433" s="626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116</v>
      </c>
      <c r="M433" s="38" t="s">
        <v>114</v>
      </c>
      <c r="N433" s="38"/>
      <c r="O433" s="37">
        <v>60</v>
      </c>
      <c r="P433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8"/>
      <c r="R433" s="628"/>
      <c r="S433" s="628"/>
      <c r="T433" s="629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 t="shared" si="43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117</v>
      </c>
      <c r="AK433" s="84">
        <v>42.24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6">
        <v>4680115886391</v>
      </c>
      <c r="E434" s="626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8"/>
      <c r="R434" s="628"/>
      <c r="S434" s="628"/>
      <c r="T434" s="629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113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6">
        <v>4680115880603</v>
      </c>
      <c r="E435" s="626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120</v>
      </c>
      <c r="L435" s="37" t="s">
        <v>45</v>
      </c>
      <c r="M435" s="38" t="s">
        <v>114</v>
      </c>
      <c r="N435" s="38"/>
      <c r="O435" s="37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8"/>
      <c r="R435" s="628"/>
      <c r="S435" s="628"/>
      <c r="T435" s="629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6">
        <v>4680115882782</v>
      </c>
      <c r="E436" s="626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8"/>
      <c r="R436" s="628"/>
      <c r="S436" s="628"/>
      <c r="T436" s="629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6">
        <v>4680115885479</v>
      </c>
      <c r="E437" s="626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114</v>
      </c>
      <c r="N437" s="38"/>
      <c r="O437" s="37">
        <v>60</v>
      </c>
      <c r="P437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8"/>
      <c r="R437" s="628"/>
      <c r="S437" s="628"/>
      <c r="T437" s="629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693</v>
      </c>
      <c r="AG437" s="78"/>
      <c r="AJ437" s="84" t="s">
        <v>45</v>
      </c>
      <c r="AK437" s="84">
        <v>0</v>
      </c>
      <c r="BB437" s="511" t="s">
        <v>66</v>
      </c>
      <c r="BM437" s="78">
        <f t="shared" si="44"/>
        <v>0</v>
      </c>
      <c r="BN437" s="78">
        <f t="shared" si="45"/>
        <v>0</v>
      </c>
      <c r="BO437" s="78">
        <f t="shared" si="46"/>
        <v>0</v>
      </c>
      <c r="BP437" s="78">
        <f t="shared" si="47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4301012034</v>
      </c>
      <c r="D438" s="626">
        <v>4607091389982</v>
      </c>
      <c r="E438" s="626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120</v>
      </c>
      <c r="L438" s="37" t="s">
        <v>121</v>
      </c>
      <c r="M438" s="38" t="s">
        <v>114</v>
      </c>
      <c r="N438" s="38"/>
      <c r="O438" s="37">
        <v>60</v>
      </c>
      <c r="P438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8"/>
      <c r="R438" s="628"/>
      <c r="S438" s="628"/>
      <c r="T438" s="629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117</v>
      </c>
      <c r="AK438" s="84">
        <v>57.6</v>
      </c>
      <c r="BB438" s="513" t="s">
        <v>66</v>
      </c>
      <c r="BM438" s="78">
        <f t="shared" si="44"/>
        <v>0</v>
      </c>
      <c r="BN438" s="78">
        <f t="shared" si="45"/>
        <v>0</v>
      </c>
      <c r="BO438" s="78">
        <f t="shared" si="46"/>
        <v>0</v>
      </c>
      <c r="BP438" s="78">
        <f t="shared" si="47"/>
        <v>0</v>
      </c>
    </row>
    <row r="439" spans="1:68" x14ac:dyDescent="0.2">
      <c r="A439" s="634"/>
      <c r="B439" s="634"/>
      <c r="C439" s="634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4"/>
      <c r="O439" s="635"/>
      <c r="P439" s="631" t="s">
        <v>40</v>
      </c>
      <c r="Q439" s="632"/>
      <c r="R439" s="632"/>
      <c r="S439" s="632"/>
      <c r="T439" s="632"/>
      <c r="U439" s="632"/>
      <c r="V439" s="633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4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34"/>
      <c r="N440" s="634"/>
      <c r="O440" s="635"/>
      <c r="P440" s="631" t="s">
        <v>40</v>
      </c>
      <c r="Q440" s="632"/>
      <c r="R440" s="632"/>
      <c r="S440" s="632"/>
      <c r="T440" s="632"/>
      <c r="U440" s="632"/>
      <c r="V440" s="633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5" t="s">
        <v>146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6"/>
      <c r="AB441" s="66"/>
      <c r="AC441" s="80"/>
    </row>
    <row r="442" spans="1:68" ht="16.5" customHeight="1" x14ac:dyDescent="0.25">
      <c r="A442" s="63" t="s">
        <v>696</v>
      </c>
      <c r="B442" s="63" t="s">
        <v>697</v>
      </c>
      <c r="C442" s="36">
        <v>4301020334</v>
      </c>
      <c r="D442" s="626">
        <v>4607091388930</v>
      </c>
      <c r="E442" s="626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92</v>
      </c>
      <c r="N442" s="38"/>
      <c r="O442" s="37">
        <v>70</v>
      </c>
      <c r="P442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8"/>
      <c r="R442" s="628"/>
      <c r="S442" s="628"/>
      <c r="T442" s="629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698</v>
      </c>
      <c r="AG442" s="78"/>
      <c r="AJ442" s="84" t="s">
        <v>117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699</v>
      </c>
      <c r="B443" s="63" t="s">
        <v>700</v>
      </c>
      <c r="C443" s="36">
        <v>4301020384</v>
      </c>
      <c r="D443" s="626">
        <v>4680115886407</v>
      </c>
      <c r="E443" s="626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8"/>
      <c r="R443" s="628"/>
      <c r="S443" s="628"/>
      <c r="T443" s="629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698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701</v>
      </c>
      <c r="B444" s="63" t="s">
        <v>702</v>
      </c>
      <c r="C444" s="36">
        <v>4301020385</v>
      </c>
      <c r="D444" s="626">
        <v>4680115880054</v>
      </c>
      <c r="E444" s="626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121</v>
      </c>
      <c r="M444" s="38" t="s">
        <v>114</v>
      </c>
      <c r="N444" s="38"/>
      <c r="O444" s="37">
        <v>70</v>
      </c>
      <c r="P444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8"/>
      <c r="R444" s="628"/>
      <c r="S444" s="628"/>
      <c r="T444" s="629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698</v>
      </c>
      <c r="AG444" s="78"/>
      <c r="AJ444" s="84" t="s">
        <v>117</v>
      </c>
      <c r="AK444" s="84">
        <v>57.6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4"/>
      <c r="B445" s="634"/>
      <c r="C445" s="634"/>
      <c r="D445" s="634"/>
      <c r="E445" s="634"/>
      <c r="F445" s="634"/>
      <c r="G445" s="634"/>
      <c r="H445" s="634"/>
      <c r="I445" s="634"/>
      <c r="J445" s="634"/>
      <c r="K445" s="634"/>
      <c r="L445" s="634"/>
      <c r="M445" s="634"/>
      <c r="N445" s="634"/>
      <c r="O445" s="635"/>
      <c r="P445" s="631" t="s">
        <v>40</v>
      </c>
      <c r="Q445" s="632"/>
      <c r="R445" s="632"/>
      <c r="S445" s="632"/>
      <c r="T445" s="632"/>
      <c r="U445" s="632"/>
      <c r="V445" s="633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4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34"/>
      <c r="N446" s="634"/>
      <c r="O446" s="635"/>
      <c r="P446" s="631" t="s">
        <v>40</v>
      </c>
      <c r="Q446" s="632"/>
      <c r="R446" s="632"/>
      <c r="S446" s="632"/>
      <c r="T446" s="632"/>
      <c r="U446" s="632"/>
      <c r="V446" s="633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5" t="s">
        <v>78</v>
      </c>
      <c r="B447" s="625"/>
      <c r="C447" s="625"/>
      <c r="D447" s="625"/>
      <c r="E447" s="625"/>
      <c r="F447" s="625"/>
      <c r="G447" s="625"/>
      <c r="H447" s="625"/>
      <c r="I447" s="625"/>
      <c r="J447" s="625"/>
      <c r="K447" s="625"/>
      <c r="L447" s="625"/>
      <c r="M447" s="625"/>
      <c r="N447" s="625"/>
      <c r="O447" s="625"/>
      <c r="P447" s="625"/>
      <c r="Q447" s="625"/>
      <c r="R447" s="625"/>
      <c r="S447" s="625"/>
      <c r="T447" s="625"/>
      <c r="U447" s="625"/>
      <c r="V447" s="625"/>
      <c r="W447" s="625"/>
      <c r="X447" s="625"/>
      <c r="Y447" s="625"/>
      <c r="Z447" s="625"/>
      <c r="AA447" s="66"/>
      <c r="AB447" s="66"/>
      <c r="AC447" s="80"/>
    </row>
    <row r="448" spans="1:68" ht="27" customHeight="1" x14ac:dyDescent="0.25">
      <c r="A448" s="63" t="s">
        <v>703</v>
      </c>
      <c r="B448" s="63" t="s">
        <v>704</v>
      </c>
      <c r="C448" s="36">
        <v>4301031349</v>
      </c>
      <c r="D448" s="626">
        <v>4680115883116</v>
      </c>
      <c r="E448" s="626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114</v>
      </c>
      <c r="N448" s="38"/>
      <c r="O448" s="37">
        <v>70</v>
      </c>
      <c r="P448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8"/>
      <c r="R448" s="628"/>
      <c r="S448" s="628"/>
      <c r="T448" s="629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48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705</v>
      </c>
      <c r="AG448" s="78"/>
      <c r="AJ448" s="84" t="s">
        <v>117</v>
      </c>
      <c r="AK448" s="84">
        <v>42.24</v>
      </c>
      <c r="BB448" s="521" t="s">
        <v>66</v>
      </c>
      <c r="BM448" s="78">
        <f t="shared" ref="BM448:BM453" si="49">IFERROR(X448*I448/H448,"0")</f>
        <v>0</v>
      </c>
      <c r="BN448" s="78">
        <f t="shared" ref="BN448:BN453" si="50">IFERROR(Y448*I448/H448,"0")</f>
        <v>0</v>
      </c>
      <c r="BO448" s="78">
        <f t="shared" ref="BO448:BO453" si="51">IFERROR(1/J448*(X448/H448),"0")</f>
        <v>0</v>
      </c>
      <c r="BP448" s="78">
        <f t="shared" ref="BP448:BP453" si="52">IFERROR(1/J448*(Y448/H448),"0")</f>
        <v>0</v>
      </c>
    </row>
    <row r="449" spans="1:68" ht="27" customHeight="1" x14ac:dyDescent="0.25">
      <c r="A449" s="63" t="s">
        <v>706</v>
      </c>
      <c r="B449" s="63" t="s">
        <v>707</v>
      </c>
      <c r="C449" s="36">
        <v>4301031350</v>
      </c>
      <c r="D449" s="626">
        <v>4680115883093</v>
      </c>
      <c r="E449" s="626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82</v>
      </c>
      <c r="N449" s="38"/>
      <c r="O449" s="37">
        <v>70</v>
      </c>
      <c r="P449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8"/>
      <c r="R449" s="628"/>
      <c r="S449" s="628"/>
      <c r="T449" s="629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4301031353</v>
      </c>
      <c r="D450" s="626">
        <v>4680115883109</v>
      </c>
      <c r="E450" s="626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8"/>
      <c r="R450" s="628"/>
      <c r="S450" s="628"/>
      <c r="T450" s="629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4301031419</v>
      </c>
      <c r="D451" s="626">
        <v>4680115882072</v>
      </c>
      <c r="E451" s="626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120</v>
      </c>
      <c r="L451" s="37" t="s">
        <v>45</v>
      </c>
      <c r="M451" s="38" t="s">
        <v>114</v>
      </c>
      <c r="N451" s="38"/>
      <c r="O451" s="37">
        <v>70</v>
      </c>
      <c r="P451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8"/>
      <c r="R451" s="628"/>
      <c r="S451" s="628"/>
      <c r="T451" s="629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705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4301031418</v>
      </c>
      <c r="D452" s="626">
        <v>4680115882102</v>
      </c>
      <c r="E452" s="626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120</v>
      </c>
      <c r="L452" s="37" t="s">
        <v>45</v>
      </c>
      <c r="M452" s="38" t="s">
        <v>82</v>
      </c>
      <c r="N452" s="38"/>
      <c r="O452" s="37">
        <v>70</v>
      </c>
      <c r="P452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8"/>
      <c r="R452" s="628"/>
      <c r="S452" s="628"/>
      <c r="T452" s="629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4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49"/>
        <v>0</v>
      </c>
      <c r="BN452" s="78">
        <f t="shared" si="50"/>
        <v>0</v>
      </c>
      <c r="BO452" s="78">
        <f t="shared" si="51"/>
        <v>0</v>
      </c>
      <c r="BP452" s="78">
        <f t="shared" si="52"/>
        <v>0</v>
      </c>
    </row>
    <row r="453" spans="1:68" ht="27" customHeight="1" x14ac:dyDescent="0.25">
      <c r="A453" s="63" t="s">
        <v>716</v>
      </c>
      <c r="B453" s="63" t="s">
        <v>717</v>
      </c>
      <c r="C453" s="36">
        <v>4301031417</v>
      </c>
      <c r="D453" s="626">
        <v>4680115882096</v>
      </c>
      <c r="E453" s="626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8"/>
      <c r="R453" s="628"/>
      <c r="S453" s="628"/>
      <c r="T453" s="629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4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49"/>
        <v>0</v>
      </c>
      <c r="BN453" s="78">
        <f t="shared" si="50"/>
        <v>0</v>
      </c>
      <c r="BO453" s="78">
        <f t="shared" si="51"/>
        <v>0</v>
      </c>
      <c r="BP453" s="78">
        <f t="shared" si="52"/>
        <v>0</v>
      </c>
    </row>
    <row r="454" spans="1:68" x14ac:dyDescent="0.2">
      <c r="A454" s="634"/>
      <c r="B454" s="634"/>
      <c r="C454" s="634"/>
      <c r="D454" s="634"/>
      <c r="E454" s="634"/>
      <c r="F454" s="634"/>
      <c r="G454" s="634"/>
      <c r="H454" s="634"/>
      <c r="I454" s="634"/>
      <c r="J454" s="634"/>
      <c r="K454" s="634"/>
      <c r="L454" s="634"/>
      <c r="M454" s="634"/>
      <c r="N454" s="634"/>
      <c r="O454" s="635"/>
      <c r="P454" s="631" t="s">
        <v>40</v>
      </c>
      <c r="Q454" s="632"/>
      <c r="R454" s="632"/>
      <c r="S454" s="632"/>
      <c r="T454" s="632"/>
      <c r="U454" s="632"/>
      <c r="V454" s="633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4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5"/>
      <c r="P455" s="631" t="s">
        <v>40</v>
      </c>
      <c r="Q455" s="632"/>
      <c r="R455" s="632"/>
      <c r="S455" s="632"/>
      <c r="T455" s="632"/>
      <c r="U455" s="632"/>
      <c r="V455" s="633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27.75" customHeight="1" x14ac:dyDescent="0.2">
      <c r="A456" s="623" t="s">
        <v>718</v>
      </c>
      <c r="B456" s="623"/>
      <c r="C456" s="623"/>
      <c r="D456" s="623"/>
      <c r="E456" s="623"/>
      <c r="F456" s="623"/>
      <c r="G456" s="623"/>
      <c r="H456" s="623"/>
      <c r="I456" s="623"/>
      <c r="J456" s="623"/>
      <c r="K456" s="623"/>
      <c r="L456" s="623"/>
      <c r="M456" s="623"/>
      <c r="N456" s="623"/>
      <c r="O456" s="623"/>
      <c r="P456" s="623"/>
      <c r="Q456" s="623"/>
      <c r="R456" s="623"/>
      <c r="S456" s="623"/>
      <c r="T456" s="623"/>
      <c r="U456" s="623"/>
      <c r="V456" s="623"/>
      <c r="W456" s="623"/>
      <c r="X456" s="623"/>
      <c r="Y456" s="623"/>
      <c r="Z456" s="623"/>
      <c r="AA456" s="54"/>
      <c r="AB456" s="54"/>
      <c r="AC456" s="54"/>
    </row>
    <row r="457" spans="1:68" ht="16.5" customHeight="1" x14ac:dyDescent="0.25">
      <c r="A457" s="624" t="s">
        <v>718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5"/>
      <c r="AB457" s="65"/>
      <c r="AC457" s="79"/>
    </row>
    <row r="458" spans="1:68" ht="14.25" customHeight="1" x14ac:dyDescent="0.25">
      <c r="A458" s="625" t="s">
        <v>110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6"/>
      <c r="AB458" s="66"/>
      <c r="AC458" s="80"/>
    </row>
    <row r="459" spans="1:68" ht="27" customHeight="1" x14ac:dyDescent="0.25">
      <c r="A459" s="63" t="s">
        <v>719</v>
      </c>
      <c r="B459" s="63" t="s">
        <v>720</v>
      </c>
      <c r="C459" s="36">
        <v>4301011763</v>
      </c>
      <c r="D459" s="626">
        <v>4640242181011</v>
      </c>
      <c r="E459" s="626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115</v>
      </c>
      <c r="L459" s="37" t="s">
        <v>45</v>
      </c>
      <c r="M459" s="38" t="s">
        <v>92</v>
      </c>
      <c r="N459" s="38"/>
      <c r="O459" s="37">
        <v>55</v>
      </c>
      <c r="P459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8"/>
      <c r="R459" s="628"/>
      <c r="S459" s="628"/>
      <c r="T459" s="629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721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722</v>
      </c>
      <c r="B460" s="63" t="s">
        <v>723</v>
      </c>
      <c r="C460" s="36">
        <v>4301011585</v>
      </c>
      <c r="D460" s="626">
        <v>4640242180441</v>
      </c>
      <c r="E460" s="626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8"/>
      <c r="R460" s="628"/>
      <c r="S460" s="628"/>
      <c r="T460" s="629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724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725</v>
      </c>
      <c r="B461" s="63" t="s">
        <v>726</v>
      </c>
      <c r="C461" s="36">
        <v>4301011584</v>
      </c>
      <c r="D461" s="626">
        <v>4640242180564</v>
      </c>
      <c r="E461" s="626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115</v>
      </c>
      <c r="L461" s="37" t="s">
        <v>116</v>
      </c>
      <c r="M461" s="38" t="s">
        <v>114</v>
      </c>
      <c r="N461" s="38"/>
      <c r="O461" s="37">
        <v>50</v>
      </c>
      <c r="P461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8"/>
      <c r="R461" s="628"/>
      <c r="S461" s="628"/>
      <c r="T461" s="629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727</v>
      </c>
      <c r="AG461" s="78"/>
      <c r="AJ461" s="84" t="s">
        <v>117</v>
      </c>
      <c r="AK461" s="84">
        <v>96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728</v>
      </c>
      <c r="B462" s="63" t="s">
        <v>729</v>
      </c>
      <c r="C462" s="36">
        <v>4301011764</v>
      </c>
      <c r="D462" s="626">
        <v>4640242181189</v>
      </c>
      <c r="E462" s="626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120</v>
      </c>
      <c r="L462" s="37" t="s">
        <v>45</v>
      </c>
      <c r="M462" s="38" t="s">
        <v>92</v>
      </c>
      <c r="N462" s="38"/>
      <c r="O462" s="37">
        <v>55</v>
      </c>
      <c r="P462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8"/>
      <c r="R462" s="628"/>
      <c r="S462" s="628"/>
      <c r="T462" s="629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8" t="s">
        <v>721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4"/>
      <c r="B463" s="634"/>
      <c r="C463" s="634"/>
      <c r="D463" s="634"/>
      <c r="E463" s="634"/>
      <c r="F463" s="634"/>
      <c r="G463" s="634"/>
      <c r="H463" s="634"/>
      <c r="I463" s="634"/>
      <c r="J463" s="634"/>
      <c r="K463" s="634"/>
      <c r="L463" s="634"/>
      <c r="M463" s="634"/>
      <c r="N463" s="634"/>
      <c r="O463" s="635"/>
      <c r="P463" s="631" t="s">
        <v>40</v>
      </c>
      <c r="Q463" s="632"/>
      <c r="R463" s="632"/>
      <c r="S463" s="632"/>
      <c r="T463" s="632"/>
      <c r="U463" s="632"/>
      <c r="V463" s="633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4"/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5"/>
      <c r="P464" s="631" t="s">
        <v>40</v>
      </c>
      <c r="Q464" s="632"/>
      <c r="R464" s="632"/>
      <c r="S464" s="632"/>
      <c r="T464" s="632"/>
      <c r="U464" s="632"/>
      <c r="V464" s="633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5" t="s">
        <v>146</v>
      </c>
      <c r="B465" s="625"/>
      <c r="C465" s="625"/>
      <c r="D465" s="625"/>
      <c r="E465" s="625"/>
      <c r="F465" s="625"/>
      <c r="G465" s="625"/>
      <c r="H465" s="625"/>
      <c r="I465" s="625"/>
      <c r="J465" s="625"/>
      <c r="K465" s="625"/>
      <c r="L465" s="625"/>
      <c r="M465" s="625"/>
      <c r="N465" s="625"/>
      <c r="O465" s="625"/>
      <c r="P465" s="625"/>
      <c r="Q465" s="625"/>
      <c r="R465" s="625"/>
      <c r="S465" s="625"/>
      <c r="T465" s="625"/>
      <c r="U465" s="625"/>
      <c r="V465" s="625"/>
      <c r="W465" s="625"/>
      <c r="X465" s="625"/>
      <c r="Y465" s="625"/>
      <c r="Z465" s="625"/>
      <c r="AA465" s="66"/>
      <c r="AB465" s="66"/>
      <c r="AC465" s="80"/>
    </row>
    <row r="466" spans="1:68" ht="27" customHeight="1" x14ac:dyDescent="0.25">
      <c r="A466" s="63" t="s">
        <v>730</v>
      </c>
      <c r="B466" s="63" t="s">
        <v>731</v>
      </c>
      <c r="C466" s="36">
        <v>4301020400</v>
      </c>
      <c r="D466" s="626">
        <v>4640242180519</v>
      </c>
      <c r="E466" s="626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8"/>
      <c r="R466" s="628"/>
      <c r="S466" s="628"/>
      <c r="T466" s="629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732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733</v>
      </c>
      <c r="B467" s="63" t="s">
        <v>734</v>
      </c>
      <c r="C467" s="36">
        <v>4301020260</v>
      </c>
      <c r="D467" s="626">
        <v>4640242180526</v>
      </c>
      <c r="E467" s="626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115</v>
      </c>
      <c r="L467" s="37" t="s">
        <v>45</v>
      </c>
      <c r="M467" s="38" t="s">
        <v>114</v>
      </c>
      <c r="N467" s="38"/>
      <c r="O467" s="37">
        <v>50</v>
      </c>
      <c r="P467" s="86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8"/>
      <c r="R467" s="628"/>
      <c r="S467" s="628"/>
      <c r="T467" s="629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735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4"/>
      <c r="B468" s="634"/>
      <c r="C468" s="634"/>
      <c r="D468" s="634"/>
      <c r="E468" s="634"/>
      <c r="F468" s="634"/>
      <c r="G468" s="634"/>
      <c r="H468" s="634"/>
      <c r="I468" s="634"/>
      <c r="J468" s="634"/>
      <c r="K468" s="634"/>
      <c r="L468" s="634"/>
      <c r="M468" s="634"/>
      <c r="N468" s="634"/>
      <c r="O468" s="635"/>
      <c r="P468" s="631" t="s">
        <v>40</v>
      </c>
      <c r="Q468" s="632"/>
      <c r="R468" s="632"/>
      <c r="S468" s="632"/>
      <c r="T468" s="632"/>
      <c r="U468" s="632"/>
      <c r="V468" s="633"/>
      <c r="W468" s="42" t="s">
        <v>39</v>
      </c>
      <c r="X468" s="43">
        <f>IFERROR(X466/H466,"0")+IFERROR(X467/H467,"0")</f>
        <v>0</v>
      </c>
      <c r="Y468" s="43">
        <f>IFERROR(Y466/H466,"0")+IFERROR(Y467/H467,"0")</f>
        <v>0</v>
      </c>
      <c r="Z468" s="43">
        <f>IFERROR(IF(Z466="",0,Z466),"0")+IFERROR(IF(Z467="",0,Z467),"0")</f>
        <v>0</v>
      </c>
      <c r="AA468" s="67"/>
      <c r="AB468" s="67"/>
      <c r="AC468" s="67"/>
    </row>
    <row r="469" spans="1:68" x14ac:dyDescent="0.2">
      <c r="A469" s="634"/>
      <c r="B469" s="634"/>
      <c r="C469" s="634"/>
      <c r="D469" s="634"/>
      <c r="E469" s="634"/>
      <c r="F469" s="634"/>
      <c r="G469" s="634"/>
      <c r="H469" s="634"/>
      <c r="I469" s="634"/>
      <c r="J469" s="634"/>
      <c r="K469" s="634"/>
      <c r="L469" s="634"/>
      <c r="M469" s="634"/>
      <c r="N469" s="634"/>
      <c r="O469" s="635"/>
      <c r="P469" s="631" t="s">
        <v>40</v>
      </c>
      <c r="Q469" s="632"/>
      <c r="R469" s="632"/>
      <c r="S469" s="632"/>
      <c r="T469" s="632"/>
      <c r="U469" s="632"/>
      <c r="V469" s="633"/>
      <c r="W469" s="42" t="s">
        <v>0</v>
      </c>
      <c r="X469" s="43">
        <f>IFERROR(SUM(X466:X467),"0")</f>
        <v>0</v>
      </c>
      <c r="Y469" s="43">
        <f>IFERROR(SUM(Y466:Y467),"0")</f>
        <v>0</v>
      </c>
      <c r="Z469" s="42"/>
      <c r="AA469" s="67"/>
      <c r="AB469" s="67"/>
      <c r="AC469" s="67"/>
    </row>
    <row r="470" spans="1:68" ht="14.25" customHeight="1" x14ac:dyDescent="0.25">
      <c r="A470" s="625" t="s">
        <v>78</v>
      </c>
      <c r="B470" s="625"/>
      <c r="C470" s="625"/>
      <c r="D470" s="625"/>
      <c r="E470" s="625"/>
      <c r="F470" s="625"/>
      <c r="G470" s="625"/>
      <c r="H470" s="625"/>
      <c r="I470" s="625"/>
      <c r="J470" s="625"/>
      <c r="K470" s="625"/>
      <c r="L470" s="625"/>
      <c r="M470" s="625"/>
      <c r="N470" s="625"/>
      <c r="O470" s="625"/>
      <c r="P470" s="625"/>
      <c r="Q470" s="625"/>
      <c r="R470" s="625"/>
      <c r="S470" s="625"/>
      <c r="T470" s="625"/>
      <c r="U470" s="625"/>
      <c r="V470" s="625"/>
      <c r="W470" s="625"/>
      <c r="X470" s="625"/>
      <c r="Y470" s="625"/>
      <c r="Z470" s="625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4301031467</v>
      </c>
      <c r="D471" s="626">
        <v>4640242180595</v>
      </c>
      <c r="E471" s="626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8"/>
      <c r="R471" s="628"/>
      <c r="S471" s="628"/>
      <c r="T471" s="629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4"/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5"/>
      <c r="P472" s="631" t="s">
        <v>40</v>
      </c>
      <c r="Q472" s="632"/>
      <c r="R472" s="632"/>
      <c r="S472" s="632"/>
      <c r="T472" s="632"/>
      <c r="U472" s="632"/>
      <c r="V472" s="633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4"/>
      <c r="B473" s="634"/>
      <c r="C473" s="634"/>
      <c r="D473" s="634"/>
      <c r="E473" s="634"/>
      <c r="F473" s="634"/>
      <c r="G473" s="634"/>
      <c r="H473" s="634"/>
      <c r="I473" s="634"/>
      <c r="J473" s="634"/>
      <c r="K473" s="634"/>
      <c r="L473" s="634"/>
      <c r="M473" s="634"/>
      <c r="N473" s="634"/>
      <c r="O473" s="635"/>
      <c r="P473" s="631" t="s">
        <v>40</v>
      </c>
      <c r="Q473" s="632"/>
      <c r="R473" s="632"/>
      <c r="S473" s="632"/>
      <c r="T473" s="632"/>
      <c r="U473" s="632"/>
      <c r="V473" s="633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5" t="s">
        <v>88</v>
      </c>
      <c r="B474" s="625"/>
      <c r="C474" s="625"/>
      <c r="D474" s="625"/>
      <c r="E474" s="625"/>
      <c r="F474" s="625"/>
      <c r="G474" s="625"/>
      <c r="H474" s="625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5"/>
      <c r="V474" s="625"/>
      <c r="W474" s="625"/>
      <c r="X474" s="625"/>
      <c r="Y474" s="625"/>
      <c r="Z474" s="625"/>
      <c r="AA474" s="66"/>
      <c r="AB474" s="66"/>
      <c r="AC474" s="80"/>
    </row>
    <row r="475" spans="1:68" ht="27" customHeight="1" x14ac:dyDescent="0.25">
      <c r="A475" s="63" t="s">
        <v>739</v>
      </c>
      <c r="B475" s="63" t="s">
        <v>740</v>
      </c>
      <c r="C475" s="36">
        <v>4301052046</v>
      </c>
      <c r="D475" s="626">
        <v>4640242180533</v>
      </c>
      <c r="E475" s="626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98</v>
      </c>
      <c r="N475" s="38"/>
      <c r="O475" s="37">
        <v>45</v>
      </c>
      <c r="P475" s="8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8"/>
      <c r="R475" s="628"/>
      <c r="S475" s="628"/>
      <c r="T475" s="629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741</v>
      </c>
      <c r="AG475" s="78"/>
      <c r="AJ475" s="84" t="s">
        <v>117</v>
      </c>
      <c r="AK475" s="84">
        <v>72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4"/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5"/>
      <c r="P476" s="631" t="s">
        <v>40</v>
      </c>
      <c r="Q476" s="632"/>
      <c r="R476" s="632"/>
      <c r="S476" s="632"/>
      <c r="T476" s="632"/>
      <c r="U476" s="632"/>
      <c r="V476" s="63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4"/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5"/>
      <c r="P477" s="631" t="s">
        <v>40</v>
      </c>
      <c r="Q477" s="632"/>
      <c r="R477" s="632"/>
      <c r="S477" s="632"/>
      <c r="T477" s="632"/>
      <c r="U477" s="632"/>
      <c r="V477" s="63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5" t="s">
        <v>171</v>
      </c>
      <c r="B478" s="625"/>
      <c r="C478" s="625"/>
      <c r="D478" s="625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625"/>
      <c r="P478" s="625"/>
      <c r="Q478" s="625"/>
      <c r="R478" s="625"/>
      <c r="S478" s="625"/>
      <c r="T478" s="625"/>
      <c r="U478" s="625"/>
      <c r="V478" s="625"/>
      <c r="W478" s="625"/>
      <c r="X478" s="625"/>
      <c r="Y478" s="625"/>
      <c r="Z478" s="625"/>
      <c r="AA478" s="66"/>
      <c r="AB478" s="66"/>
      <c r="AC478" s="80"/>
    </row>
    <row r="479" spans="1:68" ht="27" customHeight="1" x14ac:dyDescent="0.25">
      <c r="A479" s="63" t="s">
        <v>742</v>
      </c>
      <c r="B479" s="63" t="s">
        <v>743</v>
      </c>
      <c r="C479" s="36">
        <v>4301060491</v>
      </c>
      <c r="D479" s="626">
        <v>4640242180120</v>
      </c>
      <c r="E479" s="626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92</v>
      </c>
      <c r="N479" s="38"/>
      <c r="O479" s="37">
        <v>40</v>
      </c>
      <c r="P479" s="8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8"/>
      <c r="R479" s="628"/>
      <c r="S479" s="628"/>
      <c r="T479" s="629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744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745</v>
      </c>
      <c r="B480" s="63" t="s">
        <v>746</v>
      </c>
      <c r="C480" s="36">
        <v>4301060493</v>
      </c>
      <c r="D480" s="626">
        <v>4640242180137</v>
      </c>
      <c r="E480" s="626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92</v>
      </c>
      <c r="N480" s="38"/>
      <c r="O480" s="37">
        <v>40</v>
      </c>
      <c r="P480" s="86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8"/>
      <c r="R480" s="628"/>
      <c r="S480" s="628"/>
      <c r="T480" s="629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4"/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5"/>
      <c r="P481" s="631" t="s">
        <v>40</v>
      </c>
      <c r="Q481" s="632"/>
      <c r="R481" s="632"/>
      <c r="S481" s="632"/>
      <c r="T481" s="632"/>
      <c r="U481" s="632"/>
      <c r="V481" s="633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4"/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5"/>
      <c r="P482" s="631" t="s">
        <v>40</v>
      </c>
      <c r="Q482" s="632"/>
      <c r="R482" s="632"/>
      <c r="S482" s="632"/>
      <c r="T482" s="632"/>
      <c r="U482" s="632"/>
      <c r="V482" s="633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4" t="s">
        <v>748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5"/>
      <c r="AB483" s="65"/>
      <c r="AC483" s="79"/>
    </row>
    <row r="484" spans="1:68" ht="14.25" customHeight="1" x14ac:dyDescent="0.25">
      <c r="A484" s="625" t="s">
        <v>146</v>
      </c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5"/>
      <c r="V484" s="625"/>
      <c r="W484" s="625"/>
      <c r="X484" s="625"/>
      <c r="Y484" s="625"/>
      <c r="Z484" s="625"/>
      <c r="AA484" s="66"/>
      <c r="AB484" s="66"/>
      <c r="AC484" s="80"/>
    </row>
    <row r="485" spans="1:68" ht="27" customHeight="1" x14ac:dyDescent="0.25">
      <c r="A485" s="63" t="s">
        <v>749</v>
      </c>
      <c r="B485" s="63" t="s">
        <v>750</v>
      </c>
      <c r="C485" s="36">
        <v>4301020314</v>
      </c>
      <c r="D485" s="626">
        <v>4640242180090</v>
      </c>
      <c r="E485" s="626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8"/>
      <c r="R485" s="628"/>
      <c r="S485" s="628"/>
      <c r="T485" s="629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751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4"/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5"/>
      <c r="P486" s="631" t="s">
        <v>40</v>
      </c>
      <c r="Q486" s="632"/>
      <c r="R486" s="632"/>
      <c r="S486" s="632"/>
      <c r="T486" s="632"/>
      <c r="U486" s="632"/>
      <c r="V486" s="633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4"/>
      <c r="B487" s="634"/>
      <c r="C487" s="634"/>
      <c r="D487" s="634"/>
      <c r="E487" s="634"/>
      <c r="F487" s="634"/>
      <c r="G487" s="634"/>
      <c r="H487" s="634"/>
      <c r="I487" s="634"/>
      <c r="J487" s="634"/>
      <c r="K487" s="634"/>
      <c r="L487" s="634"/>
      <c r="M487" s="634"/>
      <c r="N487" s="634"/>
      <c r="O487" s="635"/>
      <c r="P487" s="631" t="s">
        <v>40</v>
      </c>
      <c r="Q487" s="632"/>
      <c r="R487" s="632"/>
      <c r="S487" s="632"/>
      <c r="T487" s="632"/>
      <c r="U487" s="632"/>
      <c r="V487" s="633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4"/>
      <c r="B488" s="634"/>
      <c r="C488" s="634"/>
      <c r="D488" s="634"/>
      <c r="E488" s="634"/>
      <c r="F488" s="634"/>
      <c r="G488" s="634"/>
      <c r="H488" s="634"/>
      <c r="I488" s="634"/>
      <c r="J488" s="634"/>
      <c r="K488" s="634"/>
      <c r="L488" s="634"/>
      <c r="M488" s="634"/>
      <c r="N488" s="634"/>
      <c r="O488" s="871"/>
      <c r="P488" s="868" t="s">
        <v>33</v>
      </c>
      <c r="Q488" s="869"/>
      <c r="R488" s="869"/>
      <c r="S488" s="869"/>
      <c r="T488" s="869"/>
      <c r="U488" s="869"/>
      <c r="V488" s="870"/>
      <c r="W488" s="42" t="s">
        <v>0</v>
      </c>
      <c r="X488" s="43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0</v>
      </c>
      <c r="Y488" s="43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0</v>
      </c>
      <c r="Z488" s="42"/>
      <c r="AA488" s="67"/>
      <c r="AB488" s="67"/>
      <c r="AC488" s="67"/>
    </row>
    <row r="489" spans="1:68" x14ac:dyDescent="0.2">
      <c r="A489" s="634"/>
      <c r="B489" s="634"/>
      <c r="C489" s="634"/>
      <c r="D489" s="634"/>
      <c r="E489" s="634"/>
      <c r="F489" s="634"/>
      <c r="G489" s="634"/>
      <c r="H489" s="634"/>
      <c r="I489" s="634"/>
      <c r="J489" s="634"/>
      <c r="K489" s="634"/>
      <c r="L489" s="634"/>
      <c r="M489" s="634"/>
      <c r="N489" s="634"/>
      <c r="O489" s="871"/>
      <c r="P489" s="868" t="s">
        <v>34</v>
      </c>
      <c r="Q489" s="869"/>
      <c r="R489" s="869"/>
      <c r="S489" s="869"/>
      <c r="T489" s="869"/>
      <c r="U489" s="869"/>
      <c r="V489" s="87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34"/>
      <c r="B490" s="634"/>
      <c r="C490" s="634"/>
      <c r="D490" s="634"/>
      <c r="E490" s="634"/>
      <c r="F490" s="634"/>
      <c r="G490" s="634"/>
      <c r="H490" s="634"/>
      <c r="I490" s="634"/>
      <c r="J490" s="634"/>
      <c r="K490" s="634"/>
      <c r="L490" s="634"/>
      <c r="M490" s="634"/>
      <c r="N490" s="634"/>
      <c r="O490" s="871"/>
      <c r="P490" s="868" t="s">
        <v>35</v>
      </c>
      <c r="Q490" s="869"/>
      <c r="R490" s="869"/>
      <c r="S490" s="869"/>
      <c r="T490" s="869"/>
      <c r="U490" s="869"/>
      <c r="V490" s="87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34"/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871"/>
      <c r="P491" s="868" t="s">
        <v>36</v>
      </c>
      <c r="Q491" s="869"/>
      <c r="R491" s="869"/>
      <c r="S491" s="869"/>
      <c r="T491" s="869"/>
      <c r="U491" s="869"/>
      <c r="V491" s="87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34"/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871"/>
      <c r="P492" s="868" t="s">
        <v>37</v>
      </c>
      <c r="Q492" s="869"/>
      <c r="R492" s="869"/>
      <c r="S492" s="869"/>
      <c r="T492" s="869"/>
      <c r="U492" s="869"/>
      <c r="V492" s="870"/>
      <c r="W492" s="42" t="s">
        <v>20</v>
      </c>
      <c r="X492" s="43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0</v>
      </c>
      <c r="Y492" s="43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0</v>
      </c>
      <c r="Z492" s="42"/>
      <c r="AA492" s="67"/>
      <c r="AB492" s="67"/>
      <c r="AC492" s="67"/>
    </row>
    <row r="493" spans="1:68" ht="14.25" x14ac:dyDescent="0.2">
      <c r="A493" s="634"/>
      <c r="B493" s="634"/>
      <c r="C493" s="634"/>
      <c r="D493" s="634"/>
      <c r="E493" s="634"/>
      <c r="F493" s="634"/>
      <c r="G493" s="634"/>
      <c r="H493" s="634"/>
      <c r="I493" s="634"/>
      <c r="J493" s="634"/>
      <c r="K493" s="634"/>
      <c r="L493" s="634"/>
      <c r="M493" s="634"/>
      <c r="N493" s="634"/>
      <c r="O493" s="871"/>
      <c r="P493" s="868" t="s">
        <v>38</v>
      </c>
      <c r="Q493" s="869"/>
      <c r="R493" s="869"/>
      <c r="S493" s="869"/>
      <c r="T493" s="869"/>
      <c r="U493" s="869"/>
      <c r="V493" s="870"/>
      <c r="W493" s="45" t="s">
        <v>51</v>
      </c>
      <c r="X493" s="42"/>
      <c r="Y493" s="42"/>
      <c r="Z493" s="42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74" t="s">
        <v>108</v>
      </c>
      <c r="D495" s="874" t="s">
        <v>108</v>
      </c>
      <c r="E495" s="874" t="s">
        <v>108</v>
      </c>
      <c r="F495" s="874" t="s">
        <v>108</v>
      </c>
      <c r="G495" s="874" t="s">
        <v>108</v>
      </c>
      <c r="H495" s="874" t="s">
        <v>108</v>
      </c>
      <c r="I495" s="874" t="s">
        <v>274</v>
      </c>
      <c r="J495" s="874" t="s">
        <v>274</v>
      </c>
      <c r="K495" s="874" t="s">
        <v>274</v>
      </c>
      <c r="L495" s="874" t="s">
        <v>274</v>
      </c>
      <c r="M495" s="874" t="s">
        <v>274</v>
      </c>
      <c r="N495" s="875"/>
      <c r="O495" s="874" t="s">
        <v>274</v>
      </c>
      <c r="P495" s="874" t="s">
        <v>274</v>
      </c>
      <c r="Q495" s="874" t="s">
        <v>274</v>
      </c>
      <c r="R495" s="874" t="s">
        <v>274</v>
      </c>
      <c r="S495" s="874" t="s">
        <v>561</v>
      </c>
      <c r="T495" s="874" t="s">
        <v>561</v>
      </c>
      <c r="U495" s="874" t="s">
        <v>615</v>
      </c>
      <c r="V495" s="874" t="s">
        <v>615</v>
      </c>
      <c r="W495" s="874" t="s">
        <v>615</v>
      </c>
      <c r="X495" s="85" t="s">
        <v>666</v>
      </c>
      <c r="Y495" s="874" t="s">
        <v>718</v>
      </c>
      <c r="Z495" s="874" t="s">
        <v>718</v>
      </c>
      <c r="AB495" s="60"/>
      <c r="AC495" s="60"/>
      <c r="AF495" s="1"/>
    </row>
    <row r="496" spans="1:68" ht="14.25" customHeight="1" thickTop="1" x14ac:dyDescent="0.2">
      <c r="A496" s="872" t="s">
        <v>10</v>
      </c>
      <c r="B496" s="874" t="s">
        <v>77</v>
      </c>
      <c r="C496" s="874" t="s">
        <v>109</v>
      </c>
      <c r="D496" s="874" t="s">
        <v>127</v>
      </c>
      <c r="E496" s="874" t="s">
        <v>178</v>
      </c>
      <c r="F496" s="874" t="s">
        <v>201</v>
      </c>
      <c r="G496" s="874" t="s">
        <v>238</v>
      </c>
      <c r="H496" s="874" t="s">
        <v>108</v>
      </c>
      <c r="I496" s="874" t="s">
        <v>275</v>
      </c>
      <c r="J496" s="874" t="s">
        <v>330</v>
      </c>
      <c r="K496" s="874" t="s">
        <v>390</v>
      </c>
      <c r="L496" s="874" t="s">
        <v>431</v>
      </c>
      <c r="M496" s="874" t="s">
        <v>447</v>
      </c>
      <c r="N496" s="1"/>
      <c r="O496" s="874" t="s">
        <v>458</v>
      </c>
      <c r="P496" s="874" t="s">
        <v>467</v>
      </c>
      <c r="Q496" s="874" t="s">
        <v>480</v>
      </c>
      <c r="R496" s="874" t="s">
        <v>551</v>
      </c>
      <c r="S496" s="874" t="s">
        <v>562</v>
      </c>
      <c r="T496" s="874" t="s">
        <v>597</v>
      </c>
      <c r="U496" s="874" t="s">
        <v>616</v>
      </c>
      <c r="V496" s="874" t="s">
        <v>647</v>
      </c>
      <c r="W496" s="874" t="s">
        <v>662</v>
      </c>
      <c r="X496" s="874" t="s">
        <v>666</v>
      </c>
      <c r="Y496" s="874" t="s">
        <v>718</v>
      </c>
      <c r="Z496" s="874" t="s">
        <v>748</v>
      </c>
      <c r="AB496" s="60"/>
      <c r="AC496" s="60"/>
      <c r="AF496" s="1"/>
    </row>
    <row r="497" spans="1:32" ht="13.5" thickBot="1" x14ac:dyDescent="0.25">
      <c r="A497" s="873"/>
      <c r="B497" s="874"/>
      <c r="C497" s="874"/>
      <c r="D497" s="874"/>
      <c r="E497" s="874"/>
      <c r="F497" s="874"/>
      <c r="G497" s="874"/>
      <c r="H497" s="874"/>
      <c r="I497" s="874"/>
      <c r="J497" s="874"/>
      <c r="K497" s="874"/>
      <c r="L497" s="874"/>
      <c r="M497" s="874"/>
      <c r="N497" s="1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52">
        <f>IFERROR(Y84*1,"0")+IFERROR(Y85*1,"0")+IFERROR(Y86*1,"0")+IFERROR(Y87*1,"0")+IFERROR(Y91*1,"0")+IFERROR(Y92*1,"0")+IFERROR(Y93*1,"0")+IFERROR(Y94*1,"0")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8" s="52">
        <f>IFERROR(Y126*1,"0")+IFERROR(Y127*1,"0")+IFERROR(Y131*1,"0")+IFERROR(Y132*1,"0")+IFERROR(Y136*1,"0")+IFERROR(Y137*1,"0")</f>
        <v>0</v>
      </c>
      <c r="H498" s="52">
        <f>IFERROR(Y142*1,"0")+IFERROR(Y143*1,"0")+IFERROR(Y147*1,"0")+IFERROR(Y148*1,"0")+IFERROR(Y149*1,"0")+IFERROR(Y150*1,"0")+IFERROR(Y151*1,"0")+IFERROR(Y155*1,"0")</f>
        <v>0</v>
      </c>
      <c r="I498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52">
        <f>IFERROR(Y261*1,"0")+IFERROR(Y262*1,"0")+IFERROR(Y263*1,"0")+IFERROR(Y264*1,"0")+IFERROR(Y265*1,"0")</f>
        <v>0</v>
      </c>
      <c r="M498" s="52">
        <f>IFERROR(Y270*1,"0")+IFERROR(Y271*1,"0")+IFERROR(Y272*1,"0")+IFERROR(Y273*1,"0")</f>
        <v>0</v>
      </c>
      <c r="N498" s="1"/>
      <c r="O498" s="52">
        <f>IFERROR(Y278*1,"0")+IFERROR(Y279*1,"0")+IFERROR(Y280*1,"0")</f>
        <v>0</v>
      </c>
      <c r="P498" s="52">
        <f>IFERROR(Y285*1,"0")+IFERROR(Y286*1,"0")+IFERROR(Y290*1,"0")+IFERROR(Y291*1,"0")</f>
        <v>0</v>
      </c>
      <c r="Q498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52">
        <f>IFERROR(Y340*1,"0")+IFERROR(Y341*1,"0")+IFERROR(Y342*1,"0")</f>
        <v>0</v>
      </c>
      <c r="S498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8" s="52">
        <f>IFERROR(Y373*1,"0")+IFERROR(Y374*1,"0")+IFERROR(Y378*1,"0")+IFERROR(Y379*1,"0")+IFERROR(Y383*1,"0")+IFERROR(Y384*1,"0")+IFERROR(Y385*1,"0")</f>
        <v>0</v>
      </c>
      <c r="U498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52">
        <f>IFERROR(Y409*1,"0")+IFERROR(Y413*1,"0")+IFERROR(Y414*1,"0")+IFERROR(Y415*1,"0")+IFERROR(Y416*1,"0")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52">
        <f>IFERROR(Y459*1,"0")+IFERROR(Y460*1,"0")+IFERROR(Y461*1,"0")+IFERROR(Y462*1,"0")+IFERROR(Y466*1,"0")+IFERROR(Y467*1,"0")+IFERROR(Y471*1,"0")+IFERROR(Y475*1,"0")+IFERROR(Y479*1,"0")+IFERROR(Y480*1,"0")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P468:V468"/>
    <mergeCell ref="A468:O469"/>
    <mergeCell ref="P469:V469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61 X448:X450 X444 X442 X438 X433 X430:X431 X427 X413 X398 X393 X391 X383:X384 X379 X373 X364 X358 X351 X348:X349 X340:X342 X333:X335 X328:X329 X320:X322 X313 X308 X305 X279:X280 X261 X232 X226:X227 X219:X222 X214:X217 X210 X203:X208 X199 X176 X174 X169 X167 X165 X131 X126:X127 X116 X114 X110 X107 X101:X102 X99 X93:X94 X91 X87 X84 X78 X71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