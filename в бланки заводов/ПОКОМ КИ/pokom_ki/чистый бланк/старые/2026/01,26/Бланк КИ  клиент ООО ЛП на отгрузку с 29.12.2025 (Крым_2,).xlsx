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E26CE2-9A0F-48F9-9074-AA2110E293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2" l="1"/>
  <c r="X494" i="2"/>
  <c r="BO493" i="2"/>
  <c r="BM493" i="2"/>
  <c r="Y493" i="2"/>
  <c r="Z506" i="2" s="1"/>
  <c r="P493" i="2"/>
  <c r="X490" i="2"/>
  <c r="X489" i="2"/>
  <c r="BO488" i="2"/>
  <c r="BM488" i="2"/>
  <c r="Y488" i="2"/>
  <c r="BN488" i="2" s="1"/>
  <c r="P488" i="2"/>
  <c r="BO487" i="2"/>
  <c r="BM487" i="2"/>
  <c r="Z487" i="2"/>
  <c r="Y487" i="2"/>
  <c r="BN487" i="2" s="1"/>
  <c r="P487" i="2"/>
  <c r="X485" i="2"/>
  <c r="X484" i="2"/>
  <c r="BO483" i="2"/>
  <c r="BM483" i="2"/>
  <c r="Y483" i="2"/>
  <c r="P483" i="2"/>
  <c r="X481" i="2"/>
  <c r="X480" i="2"/>
  <c r="BO479" i="2"/>
  <c r="BM479" i="2"/>
  <c r="Z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N473" i="2"/>
  <c r="BM473" i="2"/>
  <c r="Z473" i="2"/>
  <c r="Y473" i="2"/>
  <c r="BP473" i="2" s="1"/>
  <c r="P473" i="2"/>
  <c r="X471" i="2"/>
  <c r="X470" i="2"/>
  <c r="BO469" i="2"/>
  <c r="BN469" i="2"/>
  <c r="BM469" i="2"/>
  <c r="Z469" i="2"/>
  <c r="Y469" i="2"/>
  <c r="BP469" i="2" s="1"/>
  <c r="P469" i="2"/>
  <c r="BO468" i="2"/>
  <c r="BM468" i="2"/>
  <c r="Y468" i="2"/>
  <c r="P468" i="2"/>
  <c r="BP467" i="2"/>
  <c r="BO467" i="2"/>
  <c r="BM467" i="2"/>
  <c r="Y467" i="2"/>
  <c r="BN467" i="2" s="1"/>
  <c r="P467" i="2"/>
  <c r="BO466" i="2"/>
  <c r="BM466" i="2"/>
  <c r="Y466" i="2"/>
  <c r="BN466" i="2" s="1"/>
  <c r="P466" i="2"/>
  <c r="X462" i="2"/>
  <c r="X461" i="2"/>
  <c r="BO460" i="2"/>
  <c r="BM460" i="2"/>
  <c r="Y460" i="2"/>
  <c r="P460" i="2"/>
  <c r="X458" i="2"/>
  <c r="X457" i="2"/>
  <c r="BO456" i="2"/>
  <c r="BM456" i="2"/>
  <c r="Y456" i="2"/>
  <c r="BP456" i="2" s="1"/>
  <c r="P456" i="2"/>
  <c r="BO455" i="2"/>
  <c r="BM455" i="2"/>
  <c r="Z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Y457" i="2" s="1"/>
  <c r="P451" i="2"/>
  <c r="X449" i="2"/>
  <c r="X448" i="2"/>
  <c r="BP447" i="2"/>
  <c r="BO447" i="2"/>
  <c r="BN447" i="2"/>
  <c r="BM447" i="2"/>
  <c r="Z447" i="2"/>
  <c r="Y447" i="2"/>
  <c r="P447" i="2"/>
  <c r="BO446" i="2"/>
  <c r="BM446" i="2"/>
  <c r="Y446" i="2"/>
  <c r="BP446" i="2" s="1"/>
  <c r="P446" i="2"/>
  <c r="BO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P439" i="2"/>
  <c r="BP438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Z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Z431" i="2" s="1"/>
  <c r="P431" i="2"/>
  <c r="BO430" i="2"/>
  <c r="BM430" i="2"/>
  <c r="Y430" i="2"/>
  <c r="P430" i="2"/>
  <c r="X426" i="2"/>
  <c r="X425" i="2"/>
  <c r="BO424" i="2"/>
  <c r="BM424" i="2"/>
  <c r="Y424" i="2"/>
  <c r="Y425" i="2" s="1"/>
  <c r="P424" i="2"/>
  <c r="X421" i="2"/>
  <c r="X420" i="2"/>
  <c r="BO419" i="2"/>
  <c r="BM419" i="2"/>
  <c r="Y419" i="2"/>
  <c r="BN419" i="2" s="1"/>
  <c r="P419" i="2"/>
  <c r="BP418" i="2"/>
  <c r="BO418" i="2"/>
  <c r="BM418" i="2"/>
  <c r="Y418" i="2"/>
  <c r="P418" i="2"/>
  <c r="BO417" i="2"/>
  <c r="BM417" i="2"/>
  <c r="Y417" i="2"/>
  <c r="BP417" i="2" s="1"/>
  <c r="P417" i="2"/>
  <c r="BP416" i="2"/>
  <c r="BO416" i="2"/>
  <c r="BN416" i="2"/>
  <c r="BM416" i="2"/>
  <c r="Z416" i="2"/>
  <c r="Y416" i="2"/>
  <c r="P416" i="2"/>
  <c r="X414" i="2"/>
  <c r="X413" i="2"/>
  <c r="BP412" i="2"/>
  <c r="BO412" i="2"/>
  <c r="BN412" i="2"/>
  <c r="BM412" i="2"/>
  <c r="Z412" i="2"/>
  <c r="Z413" i="2" s="1"/>
  <c r="Y412" i="2"/>
  <c r="P412" i="2"/>
  <c r="X409" i="2"/>
  <c r="Y408" i="2"/>
  <c r="X408" i="2"/>
  <c r="BO407" i="2"/>
  <c r="BM407" i="2"/>
  <c r="Y407" i="2"/>
  <c r="BP407" i="2" s="1"/>
  <c r="P407" i="2"/>
  <c r="BO406" i="2"/>
  <c r="BM406" i="2"/>
  <c r="Y406" i="2"/>
  <c r="Z406" i="2" s="1"/>
  <c r="P406" i="2"/>
  <c r="X404" i="2"/>
  <c r="X403" i="2"/>
  <c r="BP402" i="2"/>
  <c r="BO402" i="2"/>
  <c r="BM402" i="2"/>
  <c r="Y402" i="2"/>
  <c r="BN402" i="2" s="1"/>
  <c r="P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Z395" i="2" s="1"/>
  <c r="P395" i="2"/>
  <c r="BO394" i="2"/>
  <c r="BM394" i="2"/>
  <c r="Y394" i="2"/>
  <c r="P394" i="2"/>
  <c r="X390" i="2"/>
  <c r="X389" i="2"/>
  <c r="BO388" i="2"/>
  <c r="BM388" i="2"/>
  <c r="Y388" i="2"/>
  <c r="BP388" i="2" s="1"/>
  <c r="P388" i="2"/>
  <c r="BO387" i="2"/>
  <c r="BN387" i="2"/>
  <c r="BM387" i="2"/>
  <c r="Z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P381" i="2"/>
  <c r="X379" i="2"/>
  <c r="X378" i="2"/>
  <c r="BO377" i="2"/>
  <c r="BM377" i="2"/>
  <c r="Y377" i="2"/>
  <c r="P377" i="2"/>
  <c r="BP376" i="2"/>
  <c r="BO376" i="2"/>
  <c r="BM376" i="2"/>
  <c r="Y376" i="2"/>
  <c r="P376" i="2"/>
  <c r="Y373" i="2"/>
  <c r="X373" i="2"/>
  <c r="X372" i="2"/>
  <c r="BO371" i="2"/>
  <c r="BM371" i="2"/>
  <c r="Y371" i="2"/>
  <c r="Z371" i="2" s="1"/>
  <c r="Z372" i="2" s="1"/>
  <c r="P371" i="2"/>
  <c r="X369" i="2"/>
  <c r="X368" i="2"/>
  <c r="BP367" i="2"/>
  <c r="BO367" i="2"/>
  <c r="BM367" i="2"/>
  <c r="Y367" i="2"/>
  <c r="BN367" i="2" s="1"/>
  <c r="P367" i="2"/>
  <c r="BO366" i="2"/>
  <c r="BM366" i="2"/>
  <c r="Y366" i="2"/>
  <c r="P366" i="2"/>
  <c r="X364" i="2"/>
  <c r="X363" i="2"/>
  <c r="BO362" i="2"/>
  <c r="BM362" i="2"/>
  <c r="Y362" i="2"/>
  <c r="P362" i="2"/>
  <c r="BO361" i="2"/>
  <c r="BM361" i="2"/>
  <c r="Y361" i="2"/>
  <c r="BN361" i="2" s="1"/>
  <c r="P361" i="2"/>
  <c r="X359" i="2"/>
  <c r="X358" i="2"/>
  <c r="BO357" i="2"/>
  <c r="BM357" i="2"/>
  <c r="Y357" i="2"/>
  <c r="BP357" i="2" s="1"/>
  <c r="P357" i="2"/>
  <c r="BP356" i="2"/>
  <c r="BO356" i="2"/>
  <c r="BN356" i="2"/>
  <c r="BM356" i="2"/>
  <c r="Z356" i="2"/>
  <c r="Y356" i="2"/>
  <c r="P356" i="2"/>
  <c r="BO355" i="2"/>
  <c r="BM355" i="2"/>
  <c r="Y355" i="2"/>
  <c r="P355" i="2"/>
  <c r="BP354" i="2"/>
  <c r="BO354" i="2"/>
  <c r="BN354" i="2"/>
  <c r="BM354" i="2"/>
  <c r="Z354" i="2"/>
  <c r="Y354" i="2"/>
  <c r="P354" i="2"/>
  <c r="BO353" i="2"/>
  <c r="BM353" i="2"/>
  <c r="Y353" i="2"/>
  <c r="P353" i="2"/>
  <c r="BP352" i="2"/>
  <c r="BO352" i="2"/>
  <c r="BM352" i="2"/>
  <c r="Y352" i="2"/>
  <c r="P352" i="2"/>
  <c r="BO351" i="2"/>
  <c r="BM351" i="2"/>
  <c r="Y351" i="2"/>
  <c r="BN351" i="2" s="1"/>
  <c r="P351" i="2"/>
  <c r="X347" i="2"/>
  <c r="X346" i="2"/>
  <c r="BO345" i="2"/>
  <c r="BM345" i="2"/>
  <c r="Y345" i="2"/>
  <c r="P345" i="2"/>
  <c r="BO344" i="2"/>
  <c r="BM344" i="2"/>
  <c r="Y344" i="2"/>
  <c r="P344" i="2"/>
  <c r="BP343" i="2"/>
  <c r="BO343" i="2"/>
  <c r="BN343" i="2"/>
  <c r="BM343" i="2"/>
  <c r="Z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Y334" i="2"/>
  <c r="X334" i="2"/>
  <c r="X333" i="2"/>
  <c r="BO332" i="2"/>
  <c r="BM332" i="2"/>
  <c r="Y332" i="2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N329" i="2"/>
  <c r="BM329" i="2"/>
  <c r="Z329" i="2"/>
  <c r="Y329" i="2"/>
  <c r="BP329" i="2" s="1"/>
  <c r="P329" i="2"/>
  <c r="X327" i="2"/>
  <c r="X326" i="2"/>
  <c r="BO325" i="2"/>
  <c r="BM325" i="2"/>
  <c r="Y325" i="2"/>
  <c r="P325" i="2"/>
  <c r="BO324" i="2"/>
  <c r="BM324" i="2"/>
  <c r="Y324" i="2"/>
  <c r="BP324" i="2" s="1"/>
  <c r="P324" i="2"/>
  <c r="BP323" i="2"/>
  <c r="BO323" i="2"/>
  <c r="BN323" i="2"/>
  <c r="BM323" i="2"/>
  <c r="Z323" i="2"/>
  <c r="Y323" i="2"/>
  <c r="P323" i="2"/>
  <c r="X321" i="2"/>
  <c r="X320" i="2"/>
  <c r="BO319" i="2"/>
  <c r="BM319" i="2"/>
  <c r="Y319" i="2"/>
  <c r="P319" i="2"/>
  <c r="BP318" i="2"/>
  <c r="BO318" i="2"/>
  <c r="BN318" i="2"/>
  <c r="BM318" i="2"/>
  <c r="Z318" i="2"/>
  <c r="Y318" i="2"/>
  <c r="P318" i="2"/>
  <c r="BO317" i="2"/>
  <c r="BM317" i="2"/>
  <c r="Z317" i="2"/>
  <c r="Y317" i="2"/>
  <c r="BN317" i="2" s="1"/>
  <c r="P317" i="2"/>
  <c r="BO316" i="2"/>
  <c r="BM316" i="2"/>
  <c r="Y316" i="2"/>
  <c r="BN316" i="2" s="1"/>
  <c r="P316" i="2"/>
  <c r="X314" i="2"/>
  <c r="X313" i="2"/>
  <c r="BO312" i="2"/>
  <c r="BM312" i="2"/>
  <c r="Y312" i="2"/>
  <c r="P312" i="2"/>
  <c r="BP311" i="2"/>
  <c r="BO311" i="2"/>
  <c r="BN311" i="2"/>
  <c r="BM311" i="2"/>
  <c r="Z311" i="2"/>
  <c r="Y311" i="2"/>
  <c r="P311" i="2"/>
  <c r="BO310" i="2"/>
  <c r="BM310" i="2"/>
  <c r="Y310" i="2"/>
  <c r="P310" i="2"/>
  <c r="BP309" i="2"/>
  <c r="BO309" i="2"/>
  <c r="BN309" i="2"/>
  <c r="BM309" i="2"/>
  <c r="Z309" i="2"/>
  <c r="Y309" i="2"/>
  <c r="P309" i="2"/>
  <c r="BO308" i="2"/>
  <c r="BM308" i="2"/>
  <c r="Y308" i="2"/>
  <c r="P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X295" i="2"/>
  <c r="X294" i="2"/>
  <c r="BO293" i="2"/>
  <c r="BM293" i="2"/>
  <c r="Y293" i="2"/>
  <c r="Z293" i="2" s="1"/>
  <c r="P293" i="2"/>
  <c r="BO292" i="2"/>
  <c r="BM292" i="2"/>
  <c r="Y292" i="2"/>
  <c r="Z292" i="2" s="1"/>
  <c r="Z294" i="2" s="1"/>
  <c r="P292" i="2"/>
  <c r="X290" i="2"/>
  <c r="X289" i="2"/>
  <c r="BP288" i="2"/>
  <c r="BO288" i="2"/>
  <c r="BN288" i="2"/>
  <c r="BM288" i="2"/>
  <c r="Z288" i="2"/>
  <c r="Y288" i="2"/>
  <c r="P288" i="2"/>
  <c r="BO287" i="2"/>
  <c r="BM287" i="2"/>
  <c r="Y287" i="2"/>
  <c r="BP287" i="2" s="1"/>
  <c r="P287" i="2"/>
  <c r="X284" i="2"/>
  <c r="X283" i="2"/>
  <c r="BO282" i="2"/>
  <c r="BM282" i="2"/>
  <c r="Y282" i="2"/>
  <c r="BN282" i="2" s="1"/>
  <c r="P282" i="2"/>
  <c r="BO281" i="2"/>
  <c r="BM281" i="2"/>
  <c r="Z281" i="2"/>
  <c r="Y281" i="2"/>
  <c r="BN281" i="2" s="1"/>
  <c r="P281" i="2"/>
  <c r="BO280" i="2"/>
  <c r="BM280" i="2"/>
  <c r="Y280" i="2"/>
  <c r="O506" i="2" s="1"/>
  <c r="P280" i="2"/>
  <c r="X277" i="2"/>
  <c r="X276" i="2"/>
  <c r="BO275" i="2"/>
  <c r="BM275" i="2"/>
  <c r="Y275" i="2"/>
  <c r="P275" i="2"/>
  <c r="BP274" i="2"/>
  <c r="BO274" i="2"/>
  <c r="BN274" i="2"/>
  <c r="BM274" i="2"/>
  <c r="Z274" i="2"/>
  <c r="Y274" i="2"/>
  <c r="P274" i="2"/>
  <c r="BO273" i="2"/>
  <c r="BM273" i="2"/>
  <c r="Y273" i="2"/>
  <c r="P273" i="2"/>
  <c r="BO272" i="2"/>
  <c r="BM272" i="2"/>
  <c r="Y272" i="2"/>
  <c r="P272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Y263" i="2"/>
  <c r="L506" i="2" s="1"/>
  <c r="P263" i="2"/>
  <c r="X260" i="2"/>
  <c r="X259" i="2"/>
  <c r="BO258" i="2"/>
  <c r="BM258" i="2"/>
  <c r="Y258" i="2"/>
  <c r="BP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X244" i="2"/>
  <c r="X243" i="2"/>
  <c r="BP242" i="2"/>
  <c r="BO242" i="2"/>
  <c r="BN242" i="2"/>
  <c r="BM242" i="2"/>
  <c r="Z242" i="2"/>
  <c r="Y242" i="2"/>
  <c r="P242" i="2"/>
  <c r="BO241" i="2"/>
  <c r="BM241" i="2"/>
  <c r="Y241" i="2"/>
  <c r="BP241" i="2" s="1"/>
  <c r="P241" i="2"/>
  <c r="BP240" i="2"/>
  <c r="BO240" i="2"/>
  <c r="BN240" i="2"/>
  <c r="BM240" i="2"/>
  <c r="Z240" i="2"/>
  <c r="Y240" i="2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X231" i="2"/>
  <c r="X230" i="2"/>
  <c r="BO229" i="2"/>
  <c r="BN229" i="2"/>
  <c r="BM229" i="2"/>
  <c r="Z229" i="2"/>
  <c r="Y229" i="2"/>
  <c r="P229" i="2"/>
  <c r="BO228" i="2"/>
  <c r="BM228" i="2"/>
  <c r="Y228" i="2"/>
  <c r="Y230" i="2" s="1"/>
  <c r="P228" i="2"/>
  <c r="X226" i="2"/>
  <c r="X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P218" i="2"/>
  <c r="BO218" i="2"/>
  <c r="BN218" i="2"/>
  <c r="BM218" i="2"/>
  <c r="Z218" i="2"/>
  <c r="Y218" i="2"/>
  <c r="P218" i="2"/>
  <c r="BO217" i="2"/>
  <c r="BM217" i="2"/>
  <c r="Z217" i="2"/>
  <c r="Y217" i="2"/>
  <c r="BN217" i="2" s="1"/>
  <c r="P217" i="2"/>
  <c r="BO216" i="2"/>
  <c r="BM216" i="2"/>
  <c r="Y216" i="2"/>
  <c r="BN216" i="2" s="1"/>
  <c r="P216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N210" i="2"/>
  <c r="BM210" i="2"/>
  <c r="Z210" i="2"/>
  <c r="Y210" i="2"/>
  <c r="P210" i="2"/>
  <c r="BO209" i="2"/>
  <c r="BN209" i="2"/>
  <c r="BM209" i="2"/>
  <c r="Z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X203" i="2"/>
  <c r="X202" i="2"/>
  <c r="BO201" i="2"/>
  <c r="BM201" i="2"/>
  <c r="Y201" i="2"/>
  <c r="Y203" i="2" s="1"/>
  <c r="P201" i="2"/>
  <c r="BP200" i="2"/>
  <c r="BO200" i="2"/>
  <c r="BN200" i="2"/>
  <c r="BM200" i="2"/>
  <c r="Z200" i="2"/>
  <c r="Y200" i="2"/>
  <c r="Y202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Y188" i="2" s="1"/>
  <c r="P186" i="2"/>
  <c r="BP185" i="2"/>
  <c r="BO185" i="2"/>
  <c r="BN185" i="2"/>
  <c r="BM185" i="2"/>
  <c r="Z185" i="2"/>
  <c r="Y185" i="2"/>
  <c r="P185" i="2"/>
  <c r="BO184" i="2"/>
  <c r="BM184" i="2"/>
  <c r="Z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P177" i="2"/>
  <c r="BO177" i="2"/>
  <c r="BN177" i="2"/>
  <c r="BM177" i="2"/>
  <c r="Z177" i="2"/>
  <c r="Y177" i="2"/>
  <c r="P177" i="2"/>
  <c r="BO176" i="2"/>
  <c r="BN176" i="2"/>
  <c r="BM176" i="2"/>
  <c r="Z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P170" i="2"/>
  <c r="BO170" i="2"/>
  <c r="BN170" i="2"/>
  <c r="BM170" i="2"/>
  <c r="Z170" i="2"/>
  <c r="Y170" i="2"/>
  <c r="P170" i="2"/>
  <c r="BO169" i="2"/>
  <c r="BM169" i="2"/>
  <c r="Y169" i="2"/>
  <c r="BN169" i="2" s="1"/>
  <c r="P169" i="2"/>
  <c r="BP168" i="2"/>
  <c r="BO168" i="2"/>
  <c r="BN168" i="2"/>
  <c r="BM168" i="2"/>
  <c r="Z168" i="2"/>
  <c r="Y168" i="2"/>
  <c r="BO167" i="2"/>
  <c r="BM167" i="2"/>
  <c r="Y167" i="2"/>
  <c r="Z167" i="2" s="1"/>
  <c r="X165" i="2"/>
  <c r="X164" i="2"/>
  <c r="BO163" i="2"/>
  <c r="BM163" i="2"/>
  <c r="Y163" i="2"/>
  <c r="Z163" i="2" s="1"/>
  <c r="Z164" i="2" s="1"/>
  <c r="P163" i="2"/>
  <c r="Y159" i="2"/>
  <c r="X159" i="2"/>
  <c r="Y158" i="2"/>
  <c r="X158" i="2"/>
  <c r="BP157" i="2"/>
  <c r="BO157" i="2"/>
  <c r="BM157" i="2"/>
  <c r="Y157" i="2"/>
  <c r="BN157" i="2" s="1"/>
  <c r="P157" i="2"/>
  <c r="X155" i="2"/>
  <c r="X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Y154" i="2" s="1"/>
  <c r="P149" i="2"/>
  <c r="BP148" i="2"/>
  <c r="BO148" i="2"/>
  <c r="BN148" i="2"/>
  <c r="BM148" i="2"/>
  <c r="Z148" i="2"/>
  <c r="Y148" i="2"/>
  <c r="P148" i="2"/>
  <c r="X146" i="2"/>
  <c r="X145" i="2"/>
  <c r="BO144" i="2"/>
  <c r="BM144" i="2"/>
  <c r="Y144" i="2"/>
  <c r="BP144" i="2" s="1"/>
  <c r="P144" i="2"/>
  <c r="BP143" i="2"/>
  <c r="BO143" i="2"/>
  <c r="BN143" i="2"/>
  <c r="BM143" i="2"/>
  <c r="Z143" i="2"/>
  <c r="Y143" i="2"/>
  <c r="P143" i="2"/>
  <c r="X140" i="2"/>
  <c r="X139" i="2"/>
  <c r="BO138" i="2"/>
  <c r="BM138" i="2"/>
  <c r="Y138" i="2"/>
  <c r="Z138" i="2" s="1"/>
  <c r="P138" i="2"/>
  <c r="BO137" i="2"/>
  <c r="BM137" i="2"/>
  <c r="Y137" i="2"/>
  <c r="Z137" i="2" s="1"/>
  <c r="Z139" i="2" s="1"/>
  <c r="P137" i="2"/>
  <c r="X135" i="2"/>
  <c r="X134" i="2"/>
  <c r="BP133" i="2"/>
  <c r="BO133" i="2"/>
  <c r="BN133" i="2"/>
  <c r="BM133" i="2"/>
  <c r="Z133" i="2"/>
  <c r="Y133" i="2"/>
  <c r="P133" i="2"/>
  <c r="BO132" i="2"/>
  <c r="BM132" i="2"/>
  <c r="Y132" i="2"/>
  <c r="BP132" i="2" s="1"/>
  <c r="P132" i="2"/>
  <c r="X130" i="2"/>
  <c r="X129" i="2"/>
  <c r="BO128" i="2"/>
  <c r="BM128" i="2"/>
  <c r="Y128" i="2"/>
  <c r="BN128" i="2" s="1"/>
  <c r="P128" i="2"/>
  <c r="BO127" i="2"/>
  <c r="BM127" i="2"/>
  <c r="Y127" i="2"/>
  <c r="P127" i="2"/>
  <c r="X124" i="2"/>
  <c r="Y123" i="2"/>
  <c r="X123" i="2"/>
  <c r="BP122" i="2"/>
  <c r="BO122" i="2"/>
  <c r="BN122" i="2"/>
  <c r="BM122" i="2"/>
  <c r="Z122" i="2"/>
  <c r="Z123" i="2" s="1"/>
  <c r="Y122" i="2"/>
  <c r="Y124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Z115" i="2" s="1"/>
  <c r="P115" i="2"/>
  <c r="X113" i="2"/>
  <c r="X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P103" i="2"/>
  <c r="BP102" i="2"/>
  <c r="BO102" i="2"/>
  <c r="BN102" i="2"/>
  <c r="BM102" i="2"/>
  <c r="Z102" i="2"/>
  <c r="Y102" i="2"/>
  <c r="P102" i="2"/>
  <c r="BO101" i="2"/>
  <c r="BM101" i="2"/>
  <c r="Y101" i="2"/>
  <c r="Z101" i="2" s="1"/>
  <c r="P101" i="2"/>
  <c r="BO100" i="2"/>
  <c r="BM100" i="2"/>
  <c r="Y100" i="2"/>
  <c r="F506" i="2" s="1"/>
  <c r="P100" i="2"/>
  <c r="X97" i="2"/>
  <c r="X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Y97" i="2" s="1"/>
  <c r="P92" i="2"/>
  <c r="X90" i="2"/>
  <c r="X89" i="2"/>
  <c r="BO88" i="2"/>
  <c r="BM88" i="2"/>
  <c r="Y88" i="2"/>
  <c r="BP88" i="2" s="1"/>
  <c r="P88" i="2"/>
  <c r="BO87" i="2"/>
  <c r="BM87" i="2"/>
  <c r="Y87" i="2"/>
  <c r="Y89" i="2" s="1"/>
  <c r="P87" i="2"/>
  <c r="BP86" i="2"/>
  <c r="BO86" i="2"/>
  <c r="BN86" i="2"/>
  <c r="BM86" i="2"/>
  <c r="Z86" i="2"/>
  <c r="Y86" i="2"/>
  <c r="P86" i="2"/>
  <c r="BO85" i="2"/>
  <c r="BM85" i="2"/>
  <c r="Z85" i="2"/>
  <c r="Y85" i="2"/>
  <c r="P85" i="2"/>
  <c r="X82" i="2"/>
  <c r="X81" i="2"/>
  <c r="BO80" i="2"/>
  <c r="BM80" i="2"/>
  <c r="Y80" i="2"/>
  <c r="Z80" i="2" s="1"/>
  <c r="P80" i="2"/>
  <c r="BP79" i="2"/>
  <c r="BO79" i="2"/>
  <c r="BM79" i="2"/>
  <c r="Y79" i="2"/>
  <c r="BN79" i="2" s="1"/>
  <c r="P79" i="2"/>
  <c r="X77" i="2"/>
  <c r="X76" i="2"/>
  <c r="BO75" i="2"/>
  <c r="BM75" i="2"/>
  <c r="Y75" i="2"/>
  <c r="BP75" i="2" s="1"/>
  <c r="P75" i="2"/>
  <c r="BO74" i="2"/>
  <c r="BN74" i="2"/>
  <c r="BM74" i="2"/>
  <c r="Z74" i="2"/>
  <c r="Y74" i="2"/>
  <c r="BP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Z62" i="2"/>
  <c r="Y62" i="2"/>
  <c r="BN62" i="2" s="1"/>
  <c r="P62" i="2"/>
  <c r="BO61" i="2"/>
  <c r="BM61" i="2"/>
  <c r="Y61" i="2"/>
  <c r="Y64" i="2" s="1"/>
  <c r="P61" i="2"/>
  <c r="X59" i="2"/>
  <c r="X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Z52" i="2"/>
  <c r="Y52" i="2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C506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496" i="2" s="1"/>
  <c r="X24" i="2"/>
  <c r="X500" i="2" s="1"/>
  <c r="BO23" i="2"/>
  <c r="BM23" i="2"/>
  <c r="Y23" i="2"/>
  <c r="Z23" i="2" s="1"/>
  <c r="P23" i="2"/>
  <c r="BO22" i="2"/>
  <c r="X498" i="2" s="1"/>
  <c r="BM22" i="2"/>
  <c r="Y22" i="2"/>
  <c r="B506" i="2" s="1"/>
  <c r="P22" i="2"/>
  <c r="H10" i="2"/>
  <c r="A9" i="2"/>
  <c r="F10" i="2" s="1"/>
  <c r="D7" i="2"/>
  <c r="Q6" i="2"/>
  <c r="P2" i="2"/>
  <c r="BP27" i="2" l="1"/>
  <c r="Y45" i="2"/>
  <c r="BN47" i="2"/>
  <c r="BP47" i="2"/>
  <c r="Y48" i="2"/>
  <c r="BN67" i="2"/>
  <c r="BP67" i="2"/>
  <c r="BN72" i="2"/>
  <c r="BN80" i="2"/>
  <c r="BP80" i="2"/>
  <c r="Y81" i="2"/>
  <c r="Y90" i="2"/>
  <c r="BP95" i="2"/>
  <c r="Y106" i="2"/>
  <c r="Y119" i="2"/>
  <c r="BN137" i="2"/>
  <c r="BP137" i="2"/>
  <c r="BP150" i="2"/>
  <c r="BP152" i="2"/>
  <c r="BN167" i="2"/>
  <c r="BP167" i="2"/>
  <c r="BP172" i="2"/>
  <c r="BP174" i="2"/>
  <c r="BN195" i="2"/>
  <c r="BP205" i="2"/>
  <c r="BP207" i="2"/>
  <c r="BN223" i="2"/>
  <c r="BP223" i="2"/>
  <c r="BP236" i="2"/>
  <c r="BP238" i="2"/>
  <c r="BP246" i="2"/>
  <c r="Y247" i="2"/>
  <c r="Y248" i="2"/>
  <c r="Y251" i="2"/>
  <c r="Y252" i="2"/>
  <c r="BN272" i="2"/>
  <c r="Y277" i="2"/>
  <c r="Z272" i="2"/>
  <c r="BP275" i="2"/>
  <c r="BN275" i="2"/>
  <c r="Z275" i="2"/>
  <c r="BN292" i="2"/>
  <c r="BP292" i="2"/>
  <c r="Q506" i="2"/>
  <c r="BP298" i="2"/>
  <c r="BN298" i="2"/>
  <c r="Z298" i="2"/>
  <c r="Y304" i="2"/>
  <c r="BN303" i="2"/>
  <c r="BP303" i="2"/>
  <c r="BN307" i="2"/>
  <c r="Y314" i="2"/>
  <c r="Z307" i="2"/>
  <c r="BP310" i="2"/>
  <c r="BN310" i="2"/>
  <c r="Z310" i="2"/>
  <c r="BN325" i="2"/>
  <c r="Z325" i="2"/>
  <c r="BN337" i="2"/>
  <c r="BP344" i="2"/>
  <c r="BN344" i="2"/>
  <c r="Z344" i="2"/>
  <c r="BP353" i="2"/>
  <c r="BN353" i="2"/>
  <c r="Z353" i="2"/>
  <c r="BN362" i="2"/>
  <c r="Z362" i="2"/>
  <c r="BP377" i="2"/>
  <c r="BN377" i="2"/>
  <c r="Z377" i="2"/>
  <c r="Y443" i="2"/>
  <c r="Y442" i="2"/>
  <c r="BN431" i="2"/>
  <c r="BP431" i="2"/>
  <c r="BN433" i="2"/>
  <c r="BP437" i="2"/>
  <c r="BN437" i="2"/>
  <c r="Z437" i="2"/>
  <c r="Y449" i="2"/>
  <c r="Z445" i="2"/>
  <c r="BP468" i="2"/>
  <c r="Z468" i="2"/>
  <c r="X497" i="2"/>
  <c r="X499" i="2" s="1"/>
  <c r="BP22" i="2"/>
  <c r="BN23" i="2"/>
  <c r="BP23" i="2"/>
  <c r="Y24" i="2"/>
  <c r="Z27" i="2"/>
  <c r="Z28" i="2"/>
  <c r="BN28" i="2"/>
  <c r="Y33" i="2"/>
  <c r="Z31" i="2"/>
  <c r="BN31" i="2"/>
  <c r="Y32" i="2"/>
  <c r="Z41" i="2"/>
  <c r="BN41" i="2"/>
  <c r="Z43" i="2"/>
  <c r="BN43" i="2"/>
  <c r="D506" i="2"/>
  <c r="BP52" i="2"/>
  <c r="Z54" i="2"/>
  <c r="BN54" i="2"/>
  <c r="Z55" i="2"/>
  <c r="BN55" i="2"/>
  <c r="BP57" i="2"/>
  <c r="Y58" i="2"/>
  <c r="Y59" i="2"/>
  <c r="BP62" i="2"/>
  <c r="Z68" i="2"/>
  <c r="Z69" i="2" s="1"/>
  <c r="BN68" i="2"/>
  <c r="Y69" i="2"/>
  <c r="E506" i="2"/>
  <c r="BP85" i="2"/>
  <c r="Z87" i="2"/>
  <c r="BN87" i="2"/>
  <c r="Z88" i="2"/>
  <c r="Z89" i="2" s="1"/>
  <c r="BN88" i="2"/>
  <c r="Z95" i="2"/>
  <c r="Z100" i="2"/>
  <c r="BN100" i="2"/>
  <c r="BP100" i="2"/>
  <c r="BN101" i="2"/>
  <c r="BP101" i="2"/>
  <c r="Z108" i="2"/>
  <c r="BN108" i="2"/>
  <c r="Z110" i="2"/>
  <c r="BN110" i="2"/>
  <c r="BN111" i="2"/>
  <c r="BP111" i="2"/>
  <c r="BN116" i="2"/>
  <c r="Z118" i="2"/>
  <c r="BN118" i="2"/>
  <c r="G506" i="2"/>
  <c r="Y140" i="2"/>
  <c r="Y145" i="2"/>
  <c r="Z144" i="2"/>
  <c r="Z145" i="2" s="1"/>
  <c r="BN144" i="2"/>
  <c r="Y146" i="2"/>
  <c r="Z150" i="2"/>
  <c r="Z152" i="2"/>
  <c r="Z153" i="2"/>
  <c r="BN153" i="2"/>
  <c r="Y165" i="2"/>
  <c r="BP169" i="2"/>
  <c r="Z172" i="2"/>
  <c r="Z174" i="2"/>
  <c r="Z175" i="2"/>
  <c r="BN175" i="2"/>
  <c r="Z178" i="2"/>
  <c r="BN178" i="2"/>
  <c r="BN180" i="2"/>
  <c r="BP180" i="2"/>
  <c r="Y187" i="2"/>
  <c r="BP184" i="2"/>
  <c r="Z186" i="2"/>
  <c r="Z187" i="2" s="1"/>
  <c r="BN186" i="2"/>
  <c r="Z190" i="2"/>
  <c r="Z191" i="2" s="1"/>
  <c r="BN190" i="2"/>
  <c r="BP190" i="2"/>
  <c r="Y191" i="2"/>
  <c r="Z201" i="2"/>
  <c r="Z202" i="2" s="1"/>
  <c r="BN201" i="2"/>
  <c r="BP201" i="2"/>
  <c r="Z205" i="2"/>
  <c r="Z207" i="2"/>
  <c r="Z208" i="2"/>
  <c r="BN208" i="2"/>
  <c r="Z211" i="2"/>
  <c r="BN211" i="2"/>
  <c r="BP217" i="2"/>
  <c r="Z219" i="2"/>
  <c r="BN219" i="2"/>
  <c r="Z220" i="2"/>
  <c r="BN220" i="2"/>
  <c r="Z228" i="2"/>
  <c r="Z230" i="2" s="1"/>
  <c r="BN228" i="2"/>
  <c r="BP228" i="2"/>
  <c r="Y231" i="2"/>
  <c r="Y244" i="2"/>
  <c r="Z236" i="2"/>
  <c r="Z238" i="2"/>
  <c r="Z239" i="2"/>
  <c r="BN239" i="2"/>
  <c r="Z241" i="2"/>
  <c r="BN241" i="2"/>
  <c r="Z246" i="2"/>
  <c r="Z247" i="2" s="1"/>
  <c r="Z250" i="2"/>
  <c r="Z251" i="2" s="1"/>
  <c r="BN250" i="2"/>
  <c r="Z254" i="2"/>
  <c r="BN254" i="2"/>
  <c r="Y260" i="2"/>
  <c r="BN256" i="2"/>
  <c r="BP256" i="2"/>
  <c r="BN258" i="2"/>
  <c r="Z263" i="2"/>
  <c r="BN263" i="2"/>
  <c r="BP263" i="2"/>
  <c r="Z265" i="2"/>
  <c r="BN265" i="2"/>
  <c r="BN267" i="2"/>
  <c r="BP267" i="2"/>
  <c r="Y268" i="2"/>
  <c r="BP272" i="2"/>
  <c r="BP273" i="2"/>
  <c r="BN273" i="2"/>
  <c r="Z273" i="2"/>
  <c r="BP300" i="2"/>
  <c r="BN300" i="2"/>
  <c r="Z300" i="2"/>
  <c r="BP307" i="2"/>
  <c r="BP308" i="2"/>
  <c r="BN308" i="2"/>
  <c r="Z308" i="2"/>
  <c r="Y313" i="2"/>
  <c r="BP319" i="2"/>
  <c r="BN319" i="2"/>
  <c r="Z319" i="2"/>
  <c r="BP325" i="2"/>
  <c r="Y326" i="2"/>
  <c r="BN332" i="2"/>
  <c r="BP332" i="2"/>
  <c r="Y347" i="2"/>
  <c r="BN352" i="2"/>
  <c r="Z352" i="2"/>
  <c r="BP355" i="2"/>
  <c r="BN355" i="2"/>
  <c r="Z355" i="2"/>
  <c r="BP362" i="2"/>
  <c r="Y368" i="2"/>
  <c r="Y369" i="2"/>
  <c r="BP366" i="2"/>
  <c r="BN366" i="2"/>
  <c r="Z366" i="2"/>
  <c r="BN376" i="2"/>
  <c r="Z376" i="2"/>
  <c r="Z378" i="2" s="1"/>
  <c r="Y379" i="2"/>
  <c r="Y384" i="2"/>
  <c r="BP381" i="2"/>
  <c r="BN381" i="2"/>
  <c r="Z381" i="2"/>
  <c r="BP399" i="2"/>
  <c r="BN399" i="2"/>
  <c r="Z399" i="2"/>
  <c r="BP401" i="2"/>
  <c r="BN401" i="2"/>
  <c r="Z401" i="2"/>
  <c r="BN418" i="2"/>
  <c r="Z418" i="2"/>
  <c r="BP439" i="2"/>
  <c r="BN439" i="2"/>
  <c r="Z439" i="2"/>
  <c r="BN451" i="2"/>
  <c r="BP451" i="2"/>
  <c r="BN453" i="2"/>
  <c r="Y461" i="2"/>
  <c r="Y462" i="2"/>
  <c r="Y485" i="2"/>
  <c r="BN483" i="2"/>
  <c r="Z483" i="2"/>
  <c r="Z484" i="2" s="1"/>
  <c r="Y484" i="2"/>
  <c r="Y276" i="2"/>
  <c r="BP281" i="2"/>
  <c r="BP317" i="2"/>
  <c r="Y327" i="2"/>
  <c r="R506" i="2"/>
  <c r="Y346" i="2"/>
  <c r="U506" i="2"/>
  <c r="BN395" i="2"/>
  <c r="BP395" i="2"/>
  <c r="BN397" i="2"/>
  <c r="Y404" i="2"/>
  <c r="BN407" i="2"/>
  <c r="V506" i="2"/>
  <c r="Y414" i="2"/>
  <c r="Y421" i="2"/>
  <c r="BP441" i="2"/>
  <c r="BP487" i="2"/>
  <c r="Y36" i="2"/>
  <c r="Y105" i="2"/>
  <c r="Y113" i="2"/>
  <c r="Y390" i="2"/>
  <c r="Y426" i="2"/>
  <c r="Y458" i="2"/>
  <c r="BP483" i="2"/>
  <c r="Y495" i="2"/>
  <c r="H506" i="2"/>
  <c r="A10" i="2"/>
  <c r="Y181" i="2"/>
  <c r="Y77" i="2"/>
  <c r="Y25" i="2"/>
  <c r="Y49" i="2"/>
  <c r="BP61" i="2"/>
  <c r="Y82" i="2"/>
  <c r="Z92" i="2"/>
  <c r="BP94" i="2"/>
  <c r="Z103" i="2"/>
  <c r="BN115" i="2"/>
  <c r="BP128" i="2"/>
  <c r="BN138" i="2"/>
  <c r="Z149" i="2"/>
  <c r="BP151" i="2"/>
  <c r="BN163" i="2"/>
  <c r="Z171" i="2"/>
  <c r="BP173" i="2"/>
  <c r="Y182" i="2"/>
  <c r="Y197" i="2"/>
  <c r="BP206" i="2"/>
  <c r="BP216" i="2"/>
  <c r="BN224" i="2"/>
  <c r="Z235" i="2"/>
  <c r="BP237" i="2"/>
  <c r="BN257" i="2"/>
  <c r="Y269" i="2"/>
  <c r="Z280" i="2"/>
  <c r="BP282" i="2"/>
  <c r="BN293" i="2"/>
  <c r="Y305" i="2"/>
  <c r="BP316" i="2"/>
  <c r="Z324" i="2"/>
  <c r="Z326" i="2" s="1"/>
  <c r="BN336" i="2"/>
  <c r="Y339" i="2"/>
  <c r="BP351" i="2"/>
  <c r="BP361" i="2"/>
  <c r="BN371" i="2"/>
  <c r="Z382" i="2"/>
  <c r="Z383" i="2" s="1"/>
  <c r="BN396" i="2"/>
  <c r="BN406" i="2"/>
  <c r="Z417" i="2"/>
  <c r="BP419" i="2"/>
  <c r="BN432" i="2"/>
  <c r="Z440" i="2"/>
  <c r="BN452" i="2"/>
  <c r="BP466" i="2"/>
  <c r="Z474" i="2"/>
  <c r="Z475" i="2" s="1"/>
  <c r="BP488" i="2"/>
  <c r="I506" i="2"/>
  <c r="Y155" i="2"/>
  <c r="Y243" i="2"/>
  <c r="J506" i="2"/>
  <c r="Z22" i="2"/>
  <c r="Z24" i="2" s="1"/>
  <c r="Z57" i="2"/>
  <c r="Z58" i="2" s="1"/>
  <c r="Y70" i="2"/>
  <c r="Z79" i="2"/>
  <c r="Z81" i="2" s="1"/>
  <c r="BN92" i="2"/>
  <c r="BN103" i="2"/>
  <c r="BP115" i="2"/>
  <c r="Y129" i="2"/>
  <c r="BP138" i="2"/>
  <c r="BN149" i="2"/>
  <c r="BP163" i="2"/>
  <c r="BN171" i="2"/>
  <c r="Z179" i="2"/>
  <c r="Z212" i="2"/>
  <c r="Z222" i="2"/>
  <c r="BP224" i="2"/>
  <c r="BN235" i="2"/>
  <c r="Z255" i="2"/>
  <c r="BP257" i="2"/>
  <c r="Z266" i="2"/>
  <c r="Z268" i="2" s="1"/>
  <c r="BN280" i="2"/>
  <c r="Y283" i="2"/>
  <c r="BP293" i="2"/>
  <c r="Z302" i="2"/>
  <c r="Z304" i="2" s="1"/>
  <c r="Z312" i="2"/>
  <c r="Z313" i="2" s="1"/>
  <c r="BN324" i="2"/>
  <c r="BP336" i="2"/>
  <c r="Z345" i="2"/>
  <c r="Z346" i="2" s="1"/>
  <c r="Z357" i="2"/>
  <c r="BP371" i="2"/>
  <c r="BN382" i="2"/>
  <c r="Z394" i="2"/>
  <c r="BP396" i="2"/>
  <c r="BP406" i="2"/>
  <c r="BN417" i="2"/>
  <c r="Y420" i="2"/>
  <c r="Z430" i="2"/>
  <c r="BP432" i="2"/>
  <c r="BN440" i="2"/>
  <c r="BP452" i="2"/>
  <c r="Z460" i="2"/>
  <c r="Z461" i="2" s="1"/>
  <c r="BN474" i="2"/>
  <c r="Y489" i="2"/>
  <c r="K506" i="2"/>
  <c r="BP87" i="2"/>
  <c r="BP186" i="2"/>
  <c r="BP229" i="2"/>
  <c r="Y289" i="2"/>
  <c r="Y340" i="2"/>
  <c r="BN435" i="2"/>
  <c r="BN445" i="2"/>
  <c r="Y448" i="2"/>
  <c r="BN455" i="2"/>
  <c r="Z467" i="2"/>
  <c r="BN479" i="2"/>
  <c r="Z93" i="2"/>
  <c r="H9" i="2"/>
  <c r="Y65" i="2"/>
  <c r="Y198" i="2"/>
  <c r="BP103" i="2"/>
  <c r="BP149" i="2"/>
  <c r="Z157" i="2"/>
  <c r="Z158" i="2" s="1"/>
  <c r="Z169" i="2"/>
  <c r="BN179" i="2"/>
  <c r="BN212" i="2"/>
  <c r="BN222" i="2"/>
  <c r="Y225" i="2"/>
  <c r="BN255" i="2"/>
  <c r="BN266" i="2"/>
  <c r="BP280" i="2"/>
  <c r="Y294" i="2"/>
  <c r="BN302" i="2"/>
  <c r="BN312" i="2"/>
  <c r="Z332" i="2"/>
  <c r="BN345" i="2"/>
  <c r="BN357" i="2"/>
  <c r="Z367" i="2"/>
  <c r="Z368" i="2" s="1"/>
  <c r="Y372" i="2"/>
  <c r="BN394" i="2"/>
  <c r="Z402" i="2"/>
  <c r="BN430" i="2"/>
  <c r="Z438" i="2"/>
  <c r="BN460" i="2"/>
  <c r="M506" i="2"/>
  <c r="BP29" i="2"/>
  <c r="Y44" i="2"/>
  <c r="Y134" i="2"/>
  <c r="BN22" i="2"/>
  <c r="BP92" i="2"/>
  <c r="Y139" i="2"/>
  <c r="Y164" i="2"/>
  <c r="BP41" i="2"/>
  <c r="BN52" i="2"/>
  <c r="Z72" i="2"/>
  <c r="BN85" i="2"/>
  <c r="Z116" i="2"/>
  <c r="Y130" i="2"/>
  <c r="BN184" i="2"/>
  <c r="Z195" i="2"/>
  <c r="Z258" i="2"/>
  <c r="Y284" i="2"/>
  <c r="Y320" i="2"/>
  <c r="Z337" i="2"/>
  <c r="Y378" i="2"/>
  <c r="Z397" i="2"/>
  <c r="Z407" i="2"/>
  <c r="Z408" i="2" s="1"/>
  <c r="Y413" i="2"/>
  <c r="Z433" i="2"/>
  <c r="BP445" i="2"/>
  <c r="Z453" i="2"/>
  <c r="Y470" i="2"/>
  <c r="Y490" i="2"/>
  <c r="Y135" i="2"/>
  <c r="BP255" i="2"/>
  <c r="Y290" i="2"/>
  <c r="BP302" i="2"/>
  <c r="BP312" i="2"/>
  <c r="BP345" i="2"/>
  <c r="Y383" i="2"/>
  <c r="BP394" i="2"/>
  <c r="BP430" i="2"/>
  <c r="BP460" i="2"/>
  <c r="Y475" i="2"/>
  <c r="P506" i="2"/>
  <c r="Y226" i="2"/>
  <c r="Y295" i="2"/>
  <c r="Y480" i="2"/>
  <c r="Z104" i="2"/>
  <c r="Z105" i="2" s="1"/>
  <c r="Z127" i="2"/>
  <c r="Y321" i="2"/>
  <c r="Z330" i="2"/>
  <c r="Y358" i="2"/>
  <c r="Z388" i="2"/>
  <c r="Z400" i="2"/>
  <c r="Z424" i="2"/>
  <c r="Z425" i="2" s="1"/>
  <c r="Z436" i="2"/>
  <c r="Z446" i="2"/>
  <c r="Z448" i="2" s="1"/>
  <c r="Z456" i="2"/>
  <c r="Y471" i="2"/>
  <c r="Z493" i="2"/>
  <c r="Z494" i="2" s="1"/>
  <c r="Z35" i="2"/>
  <c r="Z36" i="2" s="1"/>
  <c r="Z42" i="2"/>
  <c r="Z44" i="2" s="1"/>
  <c r="Z75" i="2"/>
  <c r="Z109" i="2"/>
  <c r="Z112" i="2" s="1"/>
  <c r="Z132" i="2"/>
  <c r="Z134" i="2" s="1"/>
  <c r="Y213" i="2"/>
  <c r="Z287" i="2"/>
  <c r="Z289" i="2" s="1"/>
  <c r="BN35" i="2"/>
  <c r="BN93" i="2"/>
  <c r="Y96" i="2"/>
  <c r="BN104" i="2"/>
  <c r="BN127" i="2"/>
  <c r="Y363" i="2"/>
  <c r="Z451" i="2"/>
  <c r="Y476" i="2"/>
  <c r="S506" i="2"/>
  <c r="BN42" i="2"/>
  <c r="BN75" i="2"/>
  <c r="BN109" i="2"/>
  <c r="Y112" i="2"/>
  <c r="Y120" i="2"/>
  <c r="BN132" i="2"/>
  <c r="BN287" i="2"/>
  <c r="BN330" i="2"/>
  <c r="Y333" i="2"/>
  <c r="BN388" i="2"/>
  <c r="BN400" i="2"/>
  <c r="Y403" i="2"/>
  <c r="BN424" i="2"/>
  <c r="BN436" i="2"/>
  <c r="BN446" i="2"/>
  <c r="BN456" i="2"/>
  <c r="Y481" i="2"/>
  <c r="BN493" i="2"/>
  <c r="T506" i="2"/>
  <c r="BP35" i="2"/>
  <c r="Y214" i="2"/>
  <c r="Y359" i="2"/>
  <c r="BP127" i="2"/>
  <c r="Y259" i="2"/>
  <c r="F9" i="2"/>
  <c r="Z73" i="2"/>
  <c r="Z117" i="2"/>
  <c r="Z119" i="2" s="1"/>
  <c r="Z196" i="2"/>
  <c r="Z338" i="2"/>
  <c r="Y364" i="2"/>
  <c r="Z386" i="2"/>
  <c r="Z389" i="2" s="1"/>
  <c r="Z398" i="2"/>
  <c r="BP424" i="2"/>
  <c r="Z434" i="2"/>
  <c r="Z454" i="2"/>
  <c r="BN468" i="2"/>
  <c r="Z478" i="2"/>
  <c r="Z480" i="2" s="1"/>
  <c r="BP493" i="2"/>
  <c r="W506" i="2"/>
  <c r="J9" i="2"/>
  <c r="Z61" i="2"/>
  <c r="Z64" i="2" s="1"/>
  <c r="BN73" i="2"/>
  <c r="Y76" i="2"/>
  <c r="Z94" i="2"/>
  <c r="BN117" i="2"/>
  <c r="Z128" i="2"/>
  <c r="Z151" i="2"/>
  <c r="Z154" i="2" s="1"/>
  <c r="Z173" i="2"/>
  <c r="BN196" i="2"/>
  <c r="Z206" i="2"/>
  <c r="Z213" i="2" s="1"/>
  <c r="Z216" i="2"/>
  <c r="Z237" i="2"/>
  <c r="Z243" i="2" s="1"/>
  <c r="Z282" i="2"/>
  <c r="Z316" i="2"/>
  <c r="Z320" i="2" s="1"/>
  <c r="BN338" i="2"/>
  <c r="Z351" i="2"/>
  <c r="Z358" i="2" s="1"/>
  <c r="Z361" i="2"/>
  <c r="Z363" i="2" s="1"/>
  <c r="BN386" i="2"/>
  <c r="Y389" i="2"/>
  <c r="BN398" i="2"/>
  <c r="Y409" i="2"/>
  <c r="Z419" i="2"/>
  <c r="BN434" i="2"/>
  <c r="BN454" i="2"/>
  <c r="Z466" i="2"/>
  <c r="Z470" i="2" s="1"/>
  <c r="BN478" i="2"/>
  <c r="Z488" i="2"/>
  <c r="Z489" i="2" s="1"/>
  <c r="Y494" i="2"/>
  <c r="X506" i="2"/>
  <c r="Y506" i="2"/>
  <c r="BN61" i="2"/>
  <c r="Z333" i="2" l="1"/>
  <c r="Z129" i="2"/>
  <c r="Z339" i="2"/>
  <c r="Y498" i="2"/>
  <c r="Z442" i="2"/>
  <c r="Z420" i="2"/>
  <c r="Y500" i="2"/>
  <c r="Z32" i="2"/>
  <c r="Z276" i="2"/>
  <c r="Z259" i="2"/>
  <c r="Z181" i="2"/>
  <c r="Y496" i="2"/>
  <c r="Z76" i="2"/>
  <c r="Y497" i="2"/>
  <c r="Y499" i="2" s="1"/>
  <c r="Z403" i="2"/>
  <c r="Z283" i="2"/>
  <c r="Z225" i="2"/>
  <c r="Z197" i="2"/>
  <c r="Z96" i="2"/>
  <c r="Z457" i="2"/>
  <c r="Z501" i="2" l="1"/>
</calcChain>
</file>

<file path=xl/sharedStrings.xml><?xml version="1.0" encoding="utf-8"?>
<sst xmlns="http://schemas.openxmlformats.org/spreadsheetml/2006/main" count="3674" uniqueCount="785">
  <si>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</si>
  <si>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</si>
  <si>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</si>
  <si>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</si>
  <si>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</si>
  <si>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</si>
  <si>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</si>
  <si>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</si>
  <si>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</si>
  <si>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</si>
  <si>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</si>
  <si>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</si>
  <si>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</si>
  <si>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</si>
  <si>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</si>
  <si>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</si>
  <si>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</si>
  <si>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</si>
  <si>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</si>
  <si>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</si>
  <si>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</si>
  <si>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</si>
  <si>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</si>
  <si>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</si>
  <si>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</si>
  <si>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</si>
  <si>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</si>
  <si>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</si>
  <si>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</si>
  <si>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</si>
  <si>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</si>
  <si>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</si>
  <si>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</si>
  <si>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</si>
  <si>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</si>
  <si>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</si>
  <si>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</si>
  <si>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</si>
  <si>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</si>
  <si>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</si>
  <si>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</si>
  <si>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</si>
  <si>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</si>
  <si>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</si>
  <si>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</si>
  <si>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</si>
  <si>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</si>
  <si>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</si>
  <si>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</si>
  <si>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</si>
  <si>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</si>
  <si>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</si>
  <si>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</si>
  <si>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</si>
  <si>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</si>
  <si>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</si>
  <si>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</si>
  <si>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</si>
  <si>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</si>
  <si>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</si>
  <si>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</si>
  <si>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</si>
  <si>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</si>
  <si>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</si>
  <si>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</si>
  <si>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</si>
  <si>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</si>
  <si>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</si>
  <si>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</si>
  <si>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</si>
  <si>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</si>
  <si>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</si>
  <si>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</si>
  <si>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</si>
  <si>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</si>
  <si>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</si>
  <si>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</si>
  <si>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</si>
  <si>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</si>
  <si>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</si>
  <si>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</si>
  <si>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</si>
  <si>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</si>
  <si>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</si>
  <si>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</si>
  <si>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</si>
  <si>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</si>
  <si>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</si>
  <si>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</si>
  <si>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</si>
  <si>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</si>
  <si>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</si>
  <si>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</si>
  <si>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Короб, мин. 14</t>
  </si>
  <si>
    <t>Короб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</si>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</sst>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9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4" t="s">
        <v>26</v>
      </c>
      <c r="E1" s="564"/>
      <c r="F1" s="564"/>
      <c r="G1" s="14" t="s">
        <v>66</v>
      </c>
      <c r="H1" s="564" t="s">
        <v>46</v>
      </c>
      <c r="I1" s="564"/>
      <c r="J1" s="564"/>
      <c r="K1" s="564"/>
      <c r="L1" s="564"/>
      <c r="M1" s="564"/>
      <c r="N1" s="564"/>
      <c r="O1" s="564"/>
      <c r="P1" s="564"/>
      <c r="Q1" s="564"/>
      <c r="R1" s="565" t="s">
        <v>67</v>
      </c>
      <c r="S1" s="566"/>
      <c r="T1" s="5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7"/>
      <c r="R2" s="567"/>
      <c r="S2" s="567"/>
      <c r="T2" s="567"/>
      <c r="U2" s="567"/>
      <c r="V2" s="567"/>
      <c r="W2" s="5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7"/>
      <c r="Q3" s="567"/>
      <c r="R3" s="567"/>
      <c r="S3" s="567"/>
      <c r="T3" s="567"/>
      <c r="U3" s="567"/>
      <c r="V3" s="567"/>
      <c r="W3" s="5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8" t="s">
        <v>8</v>
      </c>
      <c r="B5" s="568"/>
      <c r="C5" s="568"/>
      <c r="D5" s="569"/>
      <c r="E5" s="569"/>
      <c r="F5" s="570" t="s">
        <v>14</v>
      </c>
      <c r="G5" s="570"/>
      <c r="H5" s="569"/>
      <c r="I5" s="569"/>
      <c r="J5" s="569"/>
      <c r="K5" s="569"/>
      <c r="L5" s="569"/>
      <c r="M5" s="569"/>
      <c r="N5" s="72"/>
      <c r="P5" s="27" t="s">
        <v>4</v>
      </c>
      <c r="Q5" s="571">
        <v>46026</v>
      </c>
      <c r="R5" s="571"/>
      <c r="T5" s="572" t="s">
        <v>3</v>
      </c>
      <c r="U5" s="573"/>
      <c r="V5" s="574" t="s">
        <v>771</v>
      </c>
      <c r="W5" s="575"/>
      <c r="AB5" s="59"/>
      <c r="AC5" s="59"/>
      <c r="AD5" s="59"/>
      <c r="AE5" s="59"/>
    </row>
    <row r="6" spans="1:32" s="17" customFormat="1" ht="24" customHeight="1" x14ac:dyDescent="0.2">
      <c r="A6" s="568" t="s">
        <v>1</v>
      </c>
      <c r="B6" s="568"/>
      <c r="C6" s="568"/>
      <c r="D6" s="576" t="s">
        <v>75</v>
      </c>
      <c r="E6" s="576"/>
      <c r="F6" s="576"/>
      <c r="G6" s="576"/>
      <c r="H6" s="576"/>
      <c r="I6" s="576"/>
      <c r="J6" s="576"/>
      <c r="K6" s="576"/>
      <c r="L6" s="576"/>
      <c r="M6" s="576"/>
      <c r="N6" s="73"/>
      <c r="P6" s="27" t="s">
        <v>27</v>
      </c>
      <c r="Q6" s="577" t="str">
        <f>IF(Q5=0," ",CHOOSE(WEEKDAY(Q5,2),"Понедельник","Вторник","Среда","Четверг","Пятница","Суббота","Воскресенье"))</f>
        <v>Воскресенье</v>
      </c>
      <c r="R6" s="577"/>
      <c r="T6" s="578" t="s">
        <v>5</v>
      </c>
      <c r="U6" s="579"/>
      <c r="V6" s="580" t="s">
        <v>69</v>
      </c>
      <c r="W6" s="5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6" t="str">
        <f>IFERROR(VLOOKUP(DeliveryAddress,Table,3,0),1)</f>
        <v>1</v>
      </c>
      <c r="E7" s="587"/>
      <c r="F7" s="587"/>
      <c r="G7" s="587"/>
      <c r="H7" s="587"/>
      <c r="I7" s="587"/>
      <c r="J7" s="587"/>
      <c r="K7" s="587"/>
      <c r="L7" s="587"/>
      <c r="M7" s="588"/>
      <c r="N7" s="74"/>
      <c r="P7" s="29"/>
      <c r="Q7" s="48"/>
      <c r="R7" s="48"/>
      <c r="T7" s="578"/>
      <c r="U7" s="579"/>
      <c r="V7" s="582"/>
      <c r="W7" s="583"/>
      <c r="AB7" s="59"/>
      <c r="AC7" s="59"/>
      <c r="AD7" s="59"/>
      <c r="AE7" s="59"/>
    </row>
    <row r="8" spans="1:32" s="17" customFormat="1" ht="25.5" customHeight="1" x14ac:dyDescent="0.2">
      <c r="A8" s="589" t="s">
        <v>57</v>
      </c>
      <c r="B8" s="589"/>
      <c r="C8" s="589"/>
      <c r="D8" s="590" t="s">
        <v>76</v>
      </c>
      <c r="E8" s="590"/>
      <c r="F8" s="590"/>
      <c r="G8" s="590"/>
      <c r="H8" s="590"/>
      <c r="I8" s="590"/>
      <c r="J8" s="590"/>
      <c r="K8" s="590"/>
      <c r="L8" s="590"/>
      <c r="M8" s="590"/>
      <c r="N8" s="75"/>
      <c r="P8" s="27" t="s">
        <v>11</v>
      </c>
      <c r="Q8" s="591">
        <v>0.375</v>
      </c>
      <c r="R8" s="591"/>
      <c r="T8" s="578"/>
      <c r="U8" s="579"/>
      <c r="V8" s="582"/>
      <c r="W8" s="583"/>
      <c r="AB8" s="59"/>
      <c r="AC8" s="59"/>
      <c r="AD8" s="59"/>
      <c r="AE8" s="59"/>
    </row>
    <row r="9" spans="1:32" s="17" customFormat="1" ht="39.950000000000003" customHeight="1" x14ac:dyDescent="0.2">
      <c r="A9" s="5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2"/>
      <c r="C9" s="592"/>
      <c r="D9" s="593" t="s">
        <v>45</v>
      </c>
      <c r="E9" s="594"/>
      <c r="F9" s="5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2"/>
      <c r="H9" s="595" t="str">
        <f>IF(AND($A$9="Тип доверенности/получателя при получении в адресе перегруза:",$D$9="Разовая доверенность"),"Введите ФИО","")</f>
        <v/>
      </c>
      <c r="I9" s="595"/>
      <c r="J9" s="5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5"/>
      <c r="L9" s="595"/>
      <c r="M9" s="595"/>
      <c r="N9" s="70"/>
      <c r="P9" s="31" t="s">
        <v>15</v>
      </c>
      <c r="Q9" s="596"/>
      <c r="R9" s="596"/>
      <c r="T9" s="578"/>
      <c r="U9" s="579"/>
      <c r="V9" s="584"/>
      <c r="W9" s="5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2"/>
      <c r="C10" s="592"/>
      <c r="D10" s="593"/>
      <c r="E10" s="594"/>
      <c r="F10" s="5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2"/>
      <c r="H10" s="597" t="str">
        <f>IFERROR(VLOOKUP($D$10,Proxy,2,FALSE),"")</f>
        <v/>
      </c>
      <c r="I10" s="597"/>
      <c r="J10" s="597"/>
      <c r="K10" s="597"/>
      <c r="L10" s="597"/>
      <c r="M10" s="597"/>
      <c r="N10" s="71"/>
      <c r="P10" s="31" t="s">
        <v>32</v>
      </c>
      <c r="Q10" s="598"/>
      <c r="R10" s="598"/>
      <c r="U10" s="29" t="s">
        <v>12</v>
      </c>
      <c r="V10" s="599" t="s">
        <v>70</v>
      </c>
      <c r="W10" s="60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1"/>
      <c r="R11" s="601"/>
      <c r="U11" s="29" t="s">
        <v>28</v>
      </c>
      <c r="V11" s="602" t="s">
        <v>54</v>
      </c>
      <c r="W11" s="60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3" t="s">
        <v>71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3"/>
      <c r="N12" s="76"/>
      <c r="P12" s="27" t="s">
        <v>30</v>
      </c>
      <c r="Q12" s="591"/>
      <c r="R12" s="591"/>
      <c r="S12" s="28"/>
      <c r="T12"/>
      <c r="U12" s="29" t="s">
        <v>45</v>
      </c>
      <c r="V12" s="604"/>
      <c r="W12" s="604"/>
      <c r="X12"/>
      <c r="AB12" s="59"/>
      <c r="AC12" s="59"/>
      <c r="AD12" s="59"/>
      <c r="AE12" s="59"/>
    </row>
    <row r="13" spans="1:32" s="17" customFormat="1" ht="23.25" customHeight="1" x14ac:dyDescent="0.2">
      <c r="A13" s="603" t="s">
        <v>72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3"/>
      <c r="N13" s="76"/>
      <c r="O13" s="31"/>
      <c r="P13" s="31" t="s">
        <v>31</v>
      </c>
      <c r="Q13" s="602"/>
      <c r="R13" s="60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3" t="s">
        <v>73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5" t="s">
        <v>74</v>
      </c>
      <c r="B15" s="605"/>
      <c r="C15" s="605"/>
      <c r="D15" s="605"/>
      <c r="E15" s="605"/>
      <c r="F15" s="605"/>
      <c r="G15" s="605"/>
      <c r="H15" s="605"/>
      <c r="I15" s="605"/>
      <c r="J15" s="605"/>
      <c r="K15" s="605"/>
      <c r="L15" s="605"/>
      <c r="M15" s="605"/>
      <c r="N15" s="77"/>
      <c r="O15"/>
      <c r="P15" s="606" t="s">
        <v>60</v>
      </c>
      <c r="Q15" s="606"/>
      <c r="R15" s="606"/>
      <c r="S15" s="606"/>
      <c r="T15" s="60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7"/>
      <c r="Q16" s="607"/>
      <c r="R16" s="607"/>
      <c r="S16" s="607"/>
      <c r="T16" s="6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0" t="s">
        <v>58</v>
      </c>
      <c r="B17" s="610" t="s">
        <v>48</v>
      </c>
      <c r="C17" s="612" t="s">
        <v>47</v>
      </c>
      <c r="D17" s="614" t="s">
        <v>49</v>
      </c>
      <c r="E17" s="615"/>
      <c r="F17" s="610" t="s">
        <v>21</v>
      </c>
      <c r="G17" s="610" t="s">
        <v>24</v>
      </c>
      <c r="H17" s="610" t="s">
        <v>22</v>
      </c>
      <c r="I17" s="610" t="s">
        <v>23</v>
      </c>
      <c r="J17" s="610" t="s">
        <v>16</v>
      </c>
      <c r="K17" s="610" t="s">
        <v>65</v>
      </c>
      <c r="L17" s="610" t="s">
        <v>63</v>
      </c>
      <c r="M17" s="610" t="s">
        <v>2</v>
      </c>
      <c r="N17" s="610" t="s">
        <v>62</v>
      </c>
      <c r="O17" s="610" t="s">
        <v>25</v>
      </c>
      <c r="P17" s="614" t="s">
        <v>17</v>
      </c>
      <c r="Q17" s="618"/>
      <c r="R17" s="618"/>
      <c r="S17" s="618"/>
      <c r="T17" s="615"/>
      <c r="U17" s="608" t="s">
        <v>55</v>
      </c>
      <c r="V17" s="609"/>
      <c r="W17" s="610" t="s">
        <v>6</v>
      </c>
      <c r="X17" s="610" t="s">
        <v>41</v>
      </c>
      <c r="Y17" s="620" t="s">
        <v>53</v>
      </c>
      <c r="Z17" s="622" t="s">
        <v>18</v>
      </c>
      <c r="AA17" s="624" t="s">
        <v>59</v>
      </c>
      <c r="AB17" s="624" t="s">
        <v>19</v>
      </c>
      <c r="AC17" s="624" t="s">
        <v>64</v>
      </c>
      <c r="AD17" s="626" t="s">
        <v>56</v>
      </c>
      <c r="AE17" s="627"/>
      <c r="AF17" s="628"/>
      <c r="AG17" s="82"/>
      <c r="BD17" s="81" t="s">
        <v>61</v>
      </c>
    </row>
    <row r="18" spans="1:68" ht="14.25" customHeight="1" x14ac:dyDescent="0.2">
      <c r="A18" s="611"/>
      <c r="B18" s="611"/>
      <c r="C18" s="613"/>
      <c r="D18" s="616"/>
      <c r="E18" s="617"/>
      <c r="F18" s="611"/>
      <c r="G18" s="611"/>
      <c r="H18" s="611"/>
      <c r="I18" s="611"/>
      <c r="J18" s="611"/>
      <c r="K18" s="611"/>
      <c r="L18" s="611"/>
      <c r="M18" s="611"/>
      <c r="N18" s="611"/>
      <c r="O18" s="611"/>
      <c r="P18" s="616"/>
      <c r="Q18" s="619"/>
      <c r="R18" s="619"/>
      <c r="S18" s="619"/>
      <c r="T18" s="617"/>
      <c r="U18" s="83" t="s">
        <v>44</v>
      </c>
      <c r="V18" s="83" t="s">
        <v>43</v>
      </c>
      <c r="W18" s="611"/>
      <c r="X18" s="611"/>
      <c r="Y18" s="621"/>
      <c r="Z18" s="623"/>
      <c r="AA18" s="625"/>
      <c r="AB18" s="625"/>
      <c r="AC18" s="625"/>
      <c r="AD18" s="629"/>
      <c r="AE18" s="630"/>
      <c r="AF18" s="631"/>
      <c r="AG18" s="82"/>
      <c r="BD18" s="81"/>
    </row>
    <row r="19" spans="1:68" ht="27.75" customHeight="1" x14ac:dyDescent="0.2">
      <c r="A19" s="632" t="s">
        <v>77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54"/>
      <c r="AB19" s="54"/>
      <c r="AC19" s="54"/>
    </row>
    <row r="20" spans="1:68" ht="16.5" customHeight="1" x14ac:dyDescent="0.25">
      <c r="A20" s="633" t="s">
        <v>77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5"/>
      <c r="AB20" s="65"/>
      <c r="AC20" s="79"/>
    </row>
    <row r="21" spans="1:68" ht="14.25" customHeight="1" x14ac:dyDescent="0.25">
      <c r="A21" s="634" t="s">
        <v>78</v>
      </c>
      <c r="B21" s="634"/>
      <c r="C21" s="634"/>
      <c r="D21" s="634"/>
      <c r="E21" s="634"/>
      <c r="F21" s="634"/>
      <c r="G21" s="634"/>
      <c r="H21" s="634"/>
      <c r="I21" s="634"/>
      <c r="J21" s="634"/>
      <c r="K21" s="634"/>
      <c r="L21" s="634"/>
      <c r="M21" s="634"/>
      <c r="N21" s="634"/>
      <c r="O21" s="634"/>
      <c r="P21" s="634"/>
      <c r="Q21" s="634"/>
      <c r="R21" s="634"/>
      <c r="S21" s="634"/>
      <c r="T21" s="634"/>
      <c r="U21" s="634"/>
      <c r="V21" s="634"/>
      <c r="W21" s="634"/>
      <c r="X21" s="634"/>
      <c r="Y21" s="634"/>
      <c r="Z21" s="63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5">
        <v>4680115887510</v>
      </c>
      <c r="E22" s="63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7"/>
      <c r="R22" s="637"/>
      <c r="S22" s="637"/>
      <c r="T22" s="63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5">
        <v>4680115886643</v>
      </c>
      <c r="E23" s="63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7"/>
      <c r="R23" s="637"/>
      <c r="S23" s="637"/>
      <c r="T23" s="63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4" t="s">
        <v>88</v>
      </c>
      <c r="B26" s="634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34"/>
      <c r="T26" s="634"/>
      <c r="U26" s="634"/>
      <c r="V26" s="634"/>
      <c r="W26" s="634"/>
      <c r="X26" s="634"/>
      <c r="Y26" s="634"/>
      <c r="Z26" s="63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5">
        <v>4680115885912</v>
      </c>
      <c r="E27" s="63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93</v>
      </c>
      <c r="M27" s="38" t="s">
        <v>92</v>
      </c>
      <c r="N27" s="38"/>
      <c r="O27" s="37">
        <v>40</v>
      </c>
      <c r="P27" s="6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7"/>
      <c r="R27" s="637"/>
      <c r="S27" s="637"/>
      <c r="T27" s="63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94</v>
      </c>
      <c r="AK27" s="84">
        <v>25.2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4301051776</v>
      </c>
      <c r="D28" s="635">
        <v>4607091388237</v>
      </c>
      <c r="E28" s="63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7"/>
      <c r="R28" s="637"/>
      <c r="S28" s="637"/>
      <c r="T28" s="63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35">
        <v>4680115887350</v>
      </c>
      <c r="E29" s="63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100</v>
      </c>
      <c r="N29" s="38"/>
      <c r="O29" s="37">
        <v>40</v>
      </c>
      <c r="P29" s="6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7"/>
      <c r="R29" s="637"/>
      <c r="S29" s="637"/>
      <c r="T29" s="63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35">
        <v>4680115885905</v>
      </c>
      <c r="E30" s="63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100</v>
      </c>
      <c r="N30" s="38"/>
      <c r="O30" s="37">
        <v>40</v>
      </c>
      <c r="P30" s="6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7"/>
      <c r="R30" s="637"/>
      <c r="S30" s="637"/>
      <c r="T30" s="63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35">
        <v>4607091388244</v>
      </c>
      <c r="E31" s="63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100</v>
      </c>
      <c r="N31" s="38"/>
      <c r="O31" s="37">
        <v>40</v>
      </c>
      <c r="P31" s="64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7"/>
      <c r="R31" s="637"/>
      <c r="S31" s="637"/>
      <c r="T31" s="63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4" t="s">
        <v>106</v>
      </c>
      <c r="B34" s="634"/>
      <c r="C34" s="634"/>
      <c r="D34" s="634"/>
      <c r="E34" s="634"/>
      <c r="F34" s="634"/>
      <c r="G34" s="634"/>
      <c r="H34" s="634"/>
      <c r="I34" s="634"/>
      <c r="J34" s="634"/>
      <c r="K34" s="634"/>
      <c r="L34" s="634"/>
      <c r="M34" s="634"/>
      <c r="N34" s="634"/>
      <c r="O34" s="634"/>
      <c r="P34" s="634"/>
      <c r="Q34" s="634"/>
      <c r="R34" s="634"/>
      <c r="S34" s="634"/>
      <c r="T34" s="634"/>
      <c r="U34" s="634"/>
      <c r="V34" s="634"/>
      <c r="W34" s="634"/>
      <c r="X34" s="634"/>
      <c r="Y34" s="634"/>
      <c r="Z34" s="634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35">
        <v>4607091388503</v>
      </c>
      <c r="E35" s="63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111</v>
      </c>
      <c r="N35" s="38"/>
      <c r="O35" s="37">
        <v>120</v>
      </c>
      <c r="P35" s="65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7"/>
      <c r="R35" s="637"/>
      <c r="S35" s="637"/>
      <c r="T35" s="63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2" t="s">
        <v>112</v>
      </c>
      <c r="B38" s="632"/>
      <c r="C38" s="632"/>
      <c r="D38" s="632"/>
      <c r="E38" s="632"/>
      <c r="F38" s="632"/>
      <c r="G38" s="632"/>
      <c r="H38" s="632"/>
      <c r="I38" s="632"/>
      <c r="J38" s="632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2"/>
      <c r="Y38" s="632"/>
      <c r="Z38" s="632"/>
      <c r="AA38" s="54"/>
      <c r="AB38" s="54"/>
      <c r="AC38" s="54"/>
    </row>
    <row r="39" spans="1:68" ht="16.5" customHeight="1" x14ac:dyDescent="0.25">
      <c r="A39" s="633" t="s">
        <v>113</v>
      </c>
      <c r="B39" s="633"/>
      <c r="C39" s="633"/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5"/>
      <c r="AB39" s="65"/>
      <c r="AC39" s="79"/>
    </row>
    <row r="40" spans="1:68" ht="14.25" customHeight="1" x14ac:dyDescent="0.25">
      <c r="A40" s="634" t="s">
        <v>114</v>
      </c>
      <c r="B40" s="634"/>
      <c r="C40" s="634"/>
      <c r="D40" s="634"/>
      <c r="E40" s="634"/>
      <c r="F40" s="634"/>
      <c r="G40" s="634"/>
      <c r="H40" s="634"/>
      <c r="I40" s="634"/>
      <c r="J40" s="634"/>
      <c r="K40" s="634"/>
      <c r="L40" s="634"/>
      <c r="M40" s="634"/>
      <c r="N40" s="634"/>
      <c r="O40" s="634"/>
      <c r="P40" s="634"/>
      <c r="Q40" s="634"/>
      <c r="R40" s="634"/>
      <c r="S40" s="634"/>
      <c r="T40" s="634"/>
      <c r="U40" s="634"/>
      <c r="V40" s="634"/>
      <c r="W40" s="634"/>
      <c r="X40" s="634"/>
      <c r="Y40" s="634"/>
      <c r="Z40" s="634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35">
        <v>4607091385670</v>
      </c>
      <c r="E41" s="63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7"/>
      <c r="R41" s="637"/>
      <c r="S41" s="637"/>
      <c r="T41" s="63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94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35">
        <v>4680115882539</v>
      </c>
      <c r="E42" s="63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123</v>
      </c>
      <c r="L42" s="37" t="s">
        <v>45</v>
      </c>
      <c r="M42" s="38" t="s">
        <v>92</v>
      </c>
      <c r="N42" s="38"/>
      <c r="O42" s="37">
        <v>50</v>
      </c>
      <c r="P42" s="6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7"/>
      <c r="R42" s="637"/>
      <c r="S42" s="637"/>
      <c r="T42" s="63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35">
        <v>4607091385687</v>
      </c>
      <c r="E43" s="635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123</v>
      </c>
      <c r="L43" s="37" t="s">
        <v>126</v>
      </c>
      <c r="M43" s="38" t="s">
        <v>92</v>
      </c>
      <c r="N43" s="38"/>
      <c r="O43" s="37">
        <v>50</v>
      </c>
      <c r="P43" s="6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7"/>
      <c r="R43" s="637"/>
      <c r="S43" s="637"/>
      <c r="T43" s="63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94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0" t="s">
        <v>40</v>
      </c>
      <c r="Q44" s="641"/>
      <c r="R44" s="641"/>
      <c r="S44" s="641"/>
      <c r="T44" s="641"/>
      <c r="U44" s="641"/>
      <c r="V44" s="64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3"/>
      <c r="B45" s="643"/>
      <c r="C45" s="643"/>
      <c r="D45" s="643"/>
      <c r="E45" s="643"/>
      <c r="F45" s="643"/>
      <c r="G45" s="643"/>
      <c r="H45" s="643"/>
      <c r="I45" s="643"/>
      <c r="J45" s="643"/>
      <c r="K45" s="643"/>
      <c r="L45" s="643"/>
      <c r="M45" s="643"/>
      <c r="N45" s="643"/>
      <c r="O45" s="644"/>
      <c r="P45" s="640" t="s">
        <v>40</v>
      </c>
      <c r="Q45" s="641"/>
      <c r="R45" s="641"/>
      <c r="S45" s="641"/>
      <c r="T45" s="641"/>
      <c r="U45" s="641"/>
      <c r="V45" s="64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4" t="s">
        <v>88</v>
      </c>
      <c r="B46" s="634"/>
      <c r="C46" s="634"/>
      <c r="D46" s="634"/>
      <c r="E46" s="634"/>
      <c r="F46" s="634"/>
      <c r="G46" s="634"/>
      <c r="H46" s="634"/>
      <c r="I46" s="634"/>
      <c r="J46" s="634"/>
      <c r="K46" s="634"/>
      <c r="L46" s="634"/>
      <c r="M46" s="634"/>
      <c r="N46" s="634"/>
      <c r="O46" s="634"/>
      <c r="P46" s="634"/>
      <c r="Q46" s="634"/>
      <c r="R46" s="634"/>
      <c r="S46" s="634"/>
      <c r="T46" s="634"/>
      <c r="U46" s="634"/>
      <c r="V46" s="634"/>
      <c r="W46" s="634"/>
      <c r="X46" s="634"/>
      <c r="Y46" s="634"/>
      <c r="Z46" s="634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35">
        <v>4680115884915</v>
      </c>
      <c r="E47" s="63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7"/>
      <c r="R47" s="637"/>
      <c r="S47" s="637"/>
      <c r="T47" s="63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3"/>
      <c r="B48" s="643"/>
      <c r="C48" s="643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4"/>
      <c r="P48" s="640" t="s">
        <v>40</v>
      </c>
      <c r="Q48" s="641"/>
      <c r="R48" s="641"/>
      <c r="S48" s="641"/>
      <c r="T48" s="641"/>
      <c r="U48" s="641"/>
      <c r="V48" s="64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3"/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4"/>
      <c r="P49" s="640" t="s">
        <v>40</v>
      </c>
      <c r="Q49" s="641"/>
      <c r="R49" s="641"/>
      <c r="S49" s="641"/>
      <c r="T49" s="641"/>
      <c r="U49" s="641"/>
      <c r="V49" s="64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3" t="s">
        <v>130</v>
      </c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5"/>
      <c r="AB50" s="65"/>
      <c r="AC50" s="79"/>
    </row>
    <row r="51" spans="1:68" ht="14.25" customHeight="1" x14ac:dyDescent="0.25">
      <c r="A51" s="634" t="s">
        <v>114</v>
      </c>
      <c r="B51" s="634"/>
      <c r="C51" s="634"/>
      <c r="D51" s="634"/>
      <c r="E51" s="634"/>
      <c r="F51" s="634"/>
      <c r="G51" s="634"/>
      <c r="H51" s="634"/>
      <c r="I51" s="634"/>
      <c r="J51" s="634"/>
      <c r="K51" s="634"/>
      <c r="L51" s="634"/>
      <c r="M51" s="634"/>
      <c r="N51" s="634"/>
      <c r="O51" s="634"/>
      <c r="P51" s="634"/>
      <c r="Q51" s="634"/>
      <c r="R51" s="634"/>
      <c r="S51" s="634"/>
      <c r="T51" s="634"/>
      <c r="U51" s="634"/>
      <c r="V51" s="634"/>
      <c r="W51" s="634"/>
      <c r="X51" s="634"/>
      <c r="Y51" s="634"/>
      <c r="Z51" s="634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35">
        <v>4680115885882</v>
      </c>
      <c r="E52" s="63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45</v>
      </c>
      <c r="M52" s="38" t="s">
        <v>92</v>
      </c>
      <c r="N52" s="38"/>
      <c r="O52" s="37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7"/>
      <c r="R52" s="637"/>
      <c r="S52" s="637"/>
      <c r="T52" s="63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35">
        <v>4680115881426</v>
      </c>
      <c r="E53" s="63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45</v>
      </c>
      <c r="M53" s="38" t="s">
        <v>118</v>
      </c>
      <c r="N53" s="38"/>
      <c r="O53" s="37">
        <v>50</v>
      </c>
      <c r="P53" s="65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7"/>
      <c r="R53" s="637"/>
      <c r="S53" s="637"/>
      <c r="T53" s="63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35">
        <v>4680115880283</v>
      </c>
      <c r="E54" s="63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118</v>
      </c>
      <c r="N54" s="38"/>
      <c r="O54" s="37">
        <v>45</v>
      </c>
      <c r="P54" s="65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7"/>
      <c r="R54" s="637"/>
      <c r="S54" s="637"/>
      <c r="T54" s="63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35">
        <v>4680115881525</v>
      </c>
      <c r="E55" s="63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45</v>
      </c>
      <c r="M55" s="38" t="s">
        <v>118</v>
      </c>
      <c r="N55" s="38"/>
      <c r="O55" s="37">
        <v>50</v>
      </c>
      <c r="P55" s="65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7"/>
      <c r="R55" s="637"/>
      <c r="S55" s="637"/>
      <c r="T55" s="63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35">
        <v>4680115885899</v>
      </c>
      <c r="E56" s="63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100</v>
      </c>
      <c r="N56" s="38"/>
      <c r="O56" s="37">
        <v>50</v>
      </c>
      <c r="P56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7"/>
      <c r="R56" s="637"/>
      <c r="S56" s="637"/>
      <c r="T56" s="63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35">
        <v>4680115881419</v>
      </c>
      <c r="E57" s="63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126</v>
      </c>
      <c r="M57" s="38" t="s">
        <v>118</v>
      </c>
      <c r="N57" s="38"/>
      <c r="O57" s="37">
        <v>50</v>
      </c>
      <c r="P57" s="66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7"/>
      <c r="R57" s="637"/>
      <c r="S57" s="637"/>
      <c r="T57" s="63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94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3"/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4"/>
      <c r="P58" s="640" t="s">
        <v>40</v>
      </c>
      <c r="Q58" s="641"/>
      <c r="R58" s="641"/>
      <c r="S58" s="641"/>
      <c r="T58" s="641"/>
      <c r="U58" s="641"/>
      <c r="V58" s="64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3"/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4"/>
      <c r="P59" s="640" t="s">
        <v>40</v>
      </c>
      <c r="Q59" s="641"/>
      <c r="R59" s="641"/>
      <c r="S59" s="641"/>
      <c r="T59" s="641"/>
      <c r="U59" s="641"/>
      <c r="V59" s="64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4" t="s">
        <v>149</v>
      </c>
      <c r="B60" s="634"/>
      <c r="C60" s="634"/>
      <c r="D60" s="634"/>
      <c r="E60" s="634"/>
      <c r="F60" s="634"/>
      <c r="G60" s="634"/>
      <c r="H60" s="634"/>
      <c r="I60" s="634"/>
      <c r="J60" s="634"/>
      <c r="K60" s="634"/>
      <c r="L60" s="634"/>
      <c r="M60" s="634"/>
      <c r="N60" s="634"/>
      <c r="O60" s="634"/>
      <c r="P60" s="634"/>
      <c r="Q60" s="634"/>
      <c r="R60" s="634"/>
      <c r="S60" s="634"/>
      <c r="T60" s="634"/>
      <c r="U60" s="634"/>
      <c r="V60" s="634"/>
      <c r="W60" s="634"/>
      <c r="X60" s="634"/>
      <c r="Y60" s="634"/>
      <c r="Z60" s="634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35">
        <v>4680115881440</v>
      </c>
      <c r="E61" s="63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45</v>
      </c>
      <c r="M61" s="38" t="s">
        <v>118</v>
      </c>
      <c r="N61" s="38"/>
      <c r="O61" s="37">
        <v>50</v>
      </c>
      <c r="P61" s="6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7"/>
      <c r="R61" s="637"/>
      <c r="S61" s="637"/>
      <c r="T61" s="63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35">
        <v>4680115885950</v>
      </c>
      <c r="E62" s="63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7"/>
      <c r="R62" s="637"/>
      <c r="S62" s="637"/>
      <c r="T62" s="63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35">
        <v>4680115881433</v>
      </c>
      <c r="E63" s="63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93</v>
      </c>
      <c r="M63" s="38" t="s">
        <v>118</v>
      </c>
      <c r="N63" s="38"/>
      <c r="O63" s="37">
        <v>50</v>
      </c>
      <c r="P63" s="6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7"/>
      <c r="R63" s="637"/>
      <c r="S63" s="637"/>
      <c r="T63" s="63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94</v>
      </c>
      <c r="AK63" s="84">
        <v>37.799999999999997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3"/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4"/>
      <c r="P64" s="640" t="s">
        <v>40</v>
      </c>
      <c r="Q64" s="641"/>
      <c r="R64" s="641"/>
      <c r="S64" s="641"/>
      <c r="T64" s="641"/>
      <c r="U64" s="641"/>
      <c r="V64" s="64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3"/>
      <c r="B65" s="643"/>
      <c r="C65" s="643"/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3"/>
      <c r="O65" s="644"/>
      <c r="P65" s="640" t="s">
        <v>40</v>
      </c>
      <c r="Q65" s="641"/>
      <c r="R65" s="641"/>
      <c r="S65" s="641"/>
      <c r="T65" s="641"/>
      <c r="U65" s="641"/>
      <c r="V65" s="64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4" t="s">
        <v>78</v>
      </c>
      <c r="B66" s="634"/>
      <c r="C66" s="634"/>
      <c r="D66" s="634"/>
      <c r="E66" s="634"/>
      <c r="F66" s="634"/>
      <c r="G66" s="634"/>
      <c r="H66" s="634"/>
      <c r="I66" s="634"/>
      <c r="J66" s="634"/>
      <c r="K66" s="634"/>
      <c r="L66" s="634"/>
      <c r="M66" s="634"/>
      <c r="N66" s="634"/>
      <c r="O66" s="634"/>
      <c r="P66" s="634"/>
      <c r="Q66" s="634"/>
      <c r="R66" s="634"/>
      <c r="S66" s="634"/>
      <c r="T66" s="634"/>
      <c r="U66" s="634"/>
      <c r="V66" s="634"/>
      <c r="W66" s="634"/>
      <c r="X66" s="634"/>
      <c r="Y66" s="634"/>
      <c r="Z66" s="634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35">
        <v>4680115885073</v>
      </c>
      <c r="E67" s="63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7"/>
      <c r="R67" s="637"/>
      <c r="S67" s="637"/>
      <c r="T67" s="63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35">
        <v>4680115885097</v>
      </c>
      <c r="E68" s="63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7"/>
      <c r="R68" s="637"/>
      <c r="S68" s="637"/>
      <c r="T68" s="63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3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0" t="s">
        <v>40</v>
      </c>
      <c r="Q69" s="641"/>
      <c r="R69" s="641"/>
      <c r="S69" s="641"/>
      <c r="T69" s="641"/>
      <c r="U69" s="641"/>
      <c r="V69" s="642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0" t="s">
        <v>40</v>
      </c>
      <c r="Q70" s="641"/>
      <c r="R70" s="641"/>
      <c r="S70" s="641"/>
      <c r="T70" s="641"/>
      <c r="U70" s="641"/>
      <c r="V70" s="642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4" t="s">
        <v>88</v>
      </c>
      <c r="B71" s="634"/>
      <c r="C71" s="634"/>
      <c r="D71" s="634"/>
      <c r="E71" s="634"/>
      <c r="F71" s="634"/>
      <c r="G71" s="634"/>
      <c r="H71" s="634"/>
      <c r="I71" s="634"/>
      <c r="J71" s="634"/>
      <c r="K71" s="634"/>
      <c r="L71" s="634"/>
      <c r="M71" s="634"/>
      <c r="N71" s="634"/>
      <c r="O71" s="634"/>
      <c r="P71" s="634"/>
      <c r="Q71" s="634"/>
      <c r="R71" s="634"/>
      <c r="S71" s="634"/>
      <c r="T71" s="634"/>
      <c r="U71" s="634"/>
      <c r="V71" s="634"/>
      <c r="W71" s="634"/>
      <c r="X71" s="634"/>
      <c r="Y71" s="634"/>
      <c r="Z71" s="634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35">
        <v>4680115885769</v>
      </c>
      <c r="E72" s="635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119</v>
      </c>
      <c r="L72" s="37" t="s">
        <v>45</v>
      </c>
      <c r="M72" s="38" t="s">
        <v>92</v>
      </c>
      <c r="N72" s="38"/>
      <c r="O72" s="37">
        <v>45</v>
      </c>
      <c r="P72" s="66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7"/>
      <c r="R72" s="637"/>
      <c r="S72" s="637"/>
      <c r="T72" s="63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35">
        <v>4680115884311</v>
      </c>
      <c r="E73" s="63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7"/>
      <c r="R73" s="637"/>
      <c r="S73" s="637"/>
      <c r="T73" s="63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35">
        <v>4680115885929</v>
      </c>
      <c r="E74" s="635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7"/>
      <c r="R74" s="637"/>
      <c r="S74" s="637"/>
      <c r="T74" s="63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35">
        <v>4680115884403</v>
      </c>
      <c r="E75" s="635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7"/>
      <c r="R75" s="637"/>
      <c r="S75" s="637"/>
      <c r="T75" s="63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3"/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4"/>
      <c r="P76" s="640" t="s">
        <v>40</v>
      </c>
      <c r="Q76" s="641"/>
      <c r="R76" s="641"/>
      <c r="S76" s="641"/>
      <c r="T76" s="641"/>
      <c r="U76" s="641"/>
      <c r="V76" s="642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3"/>
      <c r="B77" s="643"/>
      <c r="C77" s="643"/>
      <c r="D77" s="643"/>
      <c r="E77" s="643"/>
      <c r="F77" s="643"/>
      <c r="G77" s="643"/>
      <c r="H77" s="643"/>
      <c r="I77" s="643"/>
      <c r="J77" s="643"/>
      <c r="K77" s="643"/>
      <c r="L77" s="643"/>
      <c r="M77" s="643"/>
      <c r="N77" s="643"/>
      <c r="O77" s="644"/>
      <c r="P77" s="640" t="s">
        <v>40</v>
      </c>
      <c r="Q77" s="641"/>
      <c r="R77" s="641"/>
      <c r="S77" s="641"/>
      <c r="T77" s="641"/>
      <c r="U77" s="641"/>
      <c r="V77" s="642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4" t="s">
        <v>174</v>
      </c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4"/>
      <c r="P78" s="634"/>
      <c r="Q78" s="634"/>
      <c r="R78" s="634"/>
      <c r="S78" s="634"/>
      <c r="T78" s="634"/>
      <c r="U78" s="634"/>
      <c r="V78" s="634"/>
      <c r="W78" s="634"/>
      <c r="X78" s="634"/>
      <c r="Y78" s="634"/>
      <c r="Z78" s="634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35">
        <v>4680115881532</v>
      </c>
      <c r="E79" s="635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119</v>
      </c>
      <c r="L79" s="37" t="s">
        <v>45</v>
      </c>
      <c r="M79" s="38" t="s">
        <v>100</v>
      </c>
      <c r="N79" s="38"/>
      <c r="O79" s="37">
        <v>30</v>
      </c>
      <c r="P79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7"/>
      <c r="R79" s="637"/>
      <c r="S79" s="637"/>
      <c r="T79" s="638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35">
        <v>4680115881464</v>
      </c>
      <c r="E80" s="63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123</v>
      </c>
      <c r="L80" s="37" t="s">
        <v>45</v>
      </c>
      <c r="M80" s="38" t="s">
        <v>92</v>
      </c>
      <c r="N80" s="38"/>
      <c r="O80" s="37">
        <v>30</v>
      </c>
      <c r="P80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7"/>
      <c r="R80" s="637"/>
      <c r="S80" s="637"/>
      <c r="T80" s="63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3"/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4"/>
      <c r="P81" s="640" t="s">
        <v>40</v>
      </c>
      <c r="Q81" s="641"/>
      <c r="R81" s="641"/>
      <c r="S81" s="641"/>
      <c r="T81" s="641"/>
      <c r="U81" s="641"/>
      <c r="V81" s="642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3"/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4"/>
      <c r="P82" s="640" t="s">
        <v>40</v>
      </c>
      <c r="Q82" s="641"/>
      <c r="R82" s="641"/>
      <c r="S82" s="641"/>
      <c r="T82" s="641"/>
      <c r="U82" s="641"/>
      <c r="V82" s="642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3" t="s">
        <v>181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5"/>
      <c r="AB83" s="65"/>
      <c r="AC83" s="79"/>
    </row>
    <row r="84" spans="1:68" ht="14.25" customHeight="1" x14ac:dyDescent="0.25">
      <c r="A84" s="634" t="s">
        <v>114</v>
      </c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4"/>
      <c r="S84" s="634"/>
      <c r="T84" s="634"/>
      <c r="U84" s="634"/>
      <c r="V84" s="634"/>
      <c r="W84" s="634"/>
      <c r="X84" s="634"/>
      <c r="Y84" s="634"/>
      <c r="Z84" s="634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35">
        <v>4680115881327</v>
      </c>
      <c r="E85" s="63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119</v>
      </c>
      <c r="L85" s="37" t="s">
        <v>120</v>
      </c>
      <c r="M85" s="38" t="s">
        <v>100</v>
      </c>
      <c r="N85" s="38"/>
      <c r="O85" s="37">
        <v>50</v>
      </c>
      <c r="P85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7"/>
      <c r="R85" s="637"/>
      <c r="S85" s="637"/>
      <c r="T85" s="638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94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4301011261</v>
      </c>
      <c r="D86" s="635">
        <v>4680115887732</v>
      </c>
      <c r="E86" s="63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188</v>
      </c>
      <c r="L86" s="37" t="s">
        <v>45</v>
      </c>
      <c r="M86" s="38" t="s">
        <v>82</v>
      </c>
      <c r="N86" s="38"/>
      <c r="O86" s="37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7"/>
      <c r="R86" s="637"/>
      <c r="S86" s="637"/>
      <c r="T86" s="63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635">
        <v>4680115881518</v>
      </c>
      <c r="E87" s="635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123</v>
      </c>
      <c r="L87" s="37" t="s">
        <v>45</v>
      </c>
      <c r="M87" s="38" t="s">
        <v>92</v>
      </c>
      <c r="N87" s="38"/>
      <c r="O87" s="37">
        <v>50</v>
      </c>
      <c r="P87" s="6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7"/>
      <c r="R87" s="637"/>
      <c r="S87" s="637"/>
      <c r="T87" s="63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635">
        <v>4680115881303</v>
      </c>
      <c r="E88" s="635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123</v>
      </c>
      <c r="L88" s="37" t="s">
        <v>126</v>
      </c>
      <c r="M88" s="38" t="s">
        <v>100</v>
      </c>
      <c r="N88" s="38"/>
      <c r="O88" s="37">
        <v>50</v>
      </c>
      <c r="P88" s="67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7"/>
      <c r="R88" s="637"/>
      <c r="S88" s="637"/>
      <c r="T88" s="63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184</v>
      </c>
      <c r="AG88" s="78"/>
      <c r="AJ88" s="84" t="s">
        <v>94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3"/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4"/>
      <c r="P89" s="640" t="s">
        <v>40</v>
      </c>
      <c r="Q89" s="641"/>
      <c r="R89" s="641"/>
      <c r="S89" s="641"/>
      <c r="T89" s="641"/>
      <c r="U89" s="641"/>
      <c r="V89" s="642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3"/>
      <c r="B90" s="643"/>
      <c r="C90" s="643"/>
      <c r="D90" s="643"/>
      <c r="E90" s="643"/>
      <c r="F90" s="643"/>
      <c r="G90" s="643"/>
      <c r="H90" s="643"/>
      <c r="I90" s="643"/>
      <c r="J90" s="643"/>
      <c r="K90" s="643"/>
      <c r="L90" s="643"/>
      <c r="M90" s="643"/>
      <c r="N90" s="643"/>
      <c r="O90" s="644"/>
      <c r="P90" s="640" t="s">
        <v>40</v>
      </c>
      <c r="Q90" s="641"/>
      <c r="R90" s="641"/>
      <c r="S90" s="641"/>
      <c r="T90" s="641"/>
      <c r="U90" s="641"/>
      <c r="V90" s="642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4" t="s">
        <v>88</v>
      </c>
      <c r="B91" s="634"/>
      <c r="C91" s="634"/>
      <c r="D91" s="634"/>
      <c r="E91" s="634"/>
      <c r="F91" s="634"/>
      <c r="G91" s="634"/>
      <c r="H91" s="634"/>
      <c r="I91" s="634"/>
      <c r="J91" s="634"/>
      <c r="K91" s="634"/>
      <c r="L91" s="634"/>
      <c r="M91" s="634"/>
      <c r="N91" s="634"/>
      <c r="O91" s="634"/>
      <c r="P91" s="634"/>
      <c r="Q91" s="634"/>
      <c r="R91" s="634"/>
      <c r="S91" s="634"/>
      <c r="T91" s="634"/>
      <c r="U91" s="634"/>
      <c r="V91" s="634"/>
      <c r="W91" s="634"/>
      <c r="X91" s="634"/>
      <c r="Y91" s="634"/>
      <c r="Z91" s="634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635">
        <v>4607091386967</v>
      </c>
      <c r="E92" s="635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45</v>
      </c>
      <c r="M92" s="38" t="s">
        <v>100</v>
      </c>
      <c r="N92" s="38"/>
      <c r="O92" s="37">
        <v>45</v>
      </c>
      <c r="P92" s="6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7"/>
      <c r="R92" s="637"/>
      <c r="S92" s="637"/>
      <c r="T92" s="63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635">
        <v>4680115884953</v>
      </c>
      <c r="E93" s="63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7"/>
      <c r="R93" s="637"/>
      <c r="S93" s="637"/>
      <c r="T93" s="63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195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635">
        <v>4607091385731</v>
      </c>
      <c r="E94" s="63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100</v>
      </c>
      <c r="N94" s="38"/>
      <c r="O94" s="37">
        <v>45</v>
      </c>
      <c r="P94" s="6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7"/>
      <c r="R94" s="637"/>
      <c r="S94" s="637"/>
      <c r="T94" s="63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635">
        <v>4680115880894</v>
      </c>
      <c r="E95" s="63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7"/>
      <c r="R95" s="637"/>
      <c r="S95" s="637"/>
      <c r="T95" s="63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3"/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4"/>
      <c r="P96" s="640" t="s">
        <v>40</v>
      </c>
      <c r="Q96" s="641"/>
      <c r="R96" s="641"/>
      <c r="S96" s="641"/>
      <c r="T96" s="641"/>
      <c r="U96" s="641"/>
      <c r="V96" s="642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3"/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4"/>
      <c r="P97" s="640" t="s">
        <v>40</v>
      </c>
      <c r="Q97" s="641"/>
      <c r="R97" s="641"/>
      <c r="S97" s="641"/>
      <c r="T97" s="641"/>
      <c r="U97" s="641"/>
      <c r="V97" s="642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3" t="s">
        <v>203</v>
      </c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  <c r="X98" s="633"/>
      <c r="Y98" s="633"/>
      <c r="Z98" s="633"/>
      <c r="AA98" s="65"/>
      <c r="AB98" s="65"/>
      <c r="AC98" s="79"/>
    </row>
    <row r="99" spans="1:68" ht="14.25" customHeight="1" x14ac:dyDescent="0.25">
      <c r="A99" s="634" t="s">
        <v>114</v>
      </c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4"/>
      <c r="S99" s="634"/>
      <c r="T99" s="634"/>
      <c r="U99" s="634"/>
      <c r="V99" s="634"/>
      <c r="W99" s="634"/>
      <c r="X99" s="634"/>
      <c r="Y99" s="634"/>
      <c r="Z99" s="634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635">
        <v>4680115882133</v>
      </c>
      <c r="E100" s="635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7"/>
      <c r="R100" s="637"/>
      <c r="S100" s="637"/>
      <c r="T100" s="63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94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207</v>
      </c>
      <c r="B101" s="63" t="s">
        <v>208</v>
      </c>
      <c r="C101" s="36">
        <v>4301012051</v>
      </c>
      <c r="D101" s="635">
        <v>4680115887718</v>
      </c>
      <c r="E101" s="635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188</v>
      </c>
      <c r="L101" s="37" t="s">
        <v>45</v>
      </c>
      <c r="M101" s="38" t="s">
        <v>82</v>
      </c>
      <c r="N101" s="38"/>
      <c r="O101" s="37">
        <v>30</v>
      </c>
      <c r="P101" s="6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7"/>
      <c r="R101" s="637"/>
      <c r="S101" s="637"/>
      <c r="T101" s="63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209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35">
        <v>4680115880269</v>
      </c>
      <c r="E102" s="635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123</v>
      </c>
      <c r="L102" s="37" t="s">
        <v>45</v>
      </c>
      <c r="M102" s="38" t="s">
        <v>92</v>
      </c>
      <c r="N102" s="38"/>
      <c r="O102" s="37">
        <v>50</v>
      </c>
      <c r="P102" s="6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7"/>
      <c r="R102" s="637"/>
      <c r="S102" s="637"/>
      <c r="T102" s="63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35">
        <v>4680115880429</v>
      </c>
      <c r="E103" s="635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123</v>
      </c>
      <c r="L103" s="37" t="s">
        <v>126</v>
      </c>
      <c r="M103" s="38" t="s">
        <v>92</v>
      </c>
      <c r="N103" s="38"/>
      <c r="O103" s="37">
        <v>50</v>
      </c>
      <c r="P103" s="6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7"/>
      <c r="R103" s="637"/>
      <c r="S103" s="637"/>
      <c r="T103" s="63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94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35">
        <v>4680115881457</v>
      </c>
      <c r="E104" s="635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45</v>
      </c>
      <c r="M104" s="38" t="s">
        <v>92</v>
      </c>
      <c r="N104" s="38"/>
      <c r="O104" s="37">
        <v>50</v>
      </c>
      <c r="P104" s="6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7"/>
      <c r="R104" s="637"/>
      <c r="S104" s="637"/>
      <c r="T104" s="63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3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0" t="s">
        <v>40</v>
      </c>
      <c r="Q105" s="641"/>
      <c r="R105" s="641"/>
      <c r="S105" s="641"/>
      <c r="T105" s="641"/>
      <c r="U105" s="641"/>
      <c r="V105" s="642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0" t="s">
        <v>40</v>
      </c>
      <c r="Q106" s="641"/>
      <c r="R106" s="641"/>
      <c r="S106" s="641"/>
      <c r="T106" s="641"/>
      <c r="U106" s="641"/>
      <c r="V106" s="642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4" t="s">
        <v>149</v>
      </c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34"/>
      <c r="T107" s="634"/>
      <c r="U107" s="634"/>
      <c r="V107" s="634"/>
      <c r="W107" s="634"/>
      <c r="X107" s="634"/>
      <c r="Y107" s="634"/>
      <c r="Z107" s="634"/>
      <c r="AA107" s="66"/>
      <c r="AB107" s="66"/>
      <c r="AC107" s="80"/>
    </row>
    <row r="108" spans="1:68" ht="16.5" customHeight="1" x14ac:dyDescent="0.25">
      <c r="A108" s="63" t="s">
        <v>216</v>
      </c>
      <c r="B108" s="63" t="s">
        <v>217</v>
      </c>
      <c r="C108" s="36">
        <v>4301020345</v>
      </c>
      <c r="D108" s="635">
        <v>4680115881488</v>
      </c>
      <c r="E108" s="635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119</v>
      </c>
      <c r="L108" s="37" t="s">
        <v>45</v>
      </c>
      <c r="M108" s="38" t="s">
        <v>118</v>
      </c>
      <c r="N108" s="38"/>
      <c r="O108" s="37">
        <v>55</v>
      </c>
      <c r="P108" s="68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7"/>
      <c r="R108" s="637"/>
      <c r="S108" s="637"/>
      <c r="T108" s="63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35">
        <v>4680115887664</v>
      </c>
      <c r="E109" s="635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45</v>
      </c>
      <c r="M109" s="38" t="s">
        <v>82</v>
      </c>
      <c r="N109" s="38"/>
      <c r="O109" s="37">
        <v>30</v>
      </c>
      <c r="P109" s="6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7"/>
      <c r="R109" s="637"/>
      <c r="S109" s="637"/>
      <c r="T109" s="63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4301020346</v>
      </c>
      <c r="D110" s="635">
        <v>4680115882775</v>
      </c>
      <c r="E110" s="635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118</v>
      </c>
      <c r="N110" s="38"/>
      <c r="O110" s="37">
        <v>55</v>
      </c>
      <c r="P110" s="68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7"/>
      <c r="R110" s="637"/>
      <c r="S110" s="637"/>
      <c r="T110" s="63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4301020344</v>
      </c>
      <c r="D111" s="635">
        <v>4680115880658</v>
      </c>
      <c r="E111" s="635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118</v>
      </c>
      <c r="N111" s="38"/>
      <c r="O111" s="37">
        <v>55</v>
      </c>
      <c r="P111" s="68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7"/>
      <c r="R111" s="637"/>
      <c r="S111" s="637"/>
      <c r="T111" s="63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218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3"/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4"/>
      <c r="P112" s="640" t="s">
        <v>40</v>
      </c>
      <c r="Q112" s="641"/>
      <c r="R112" s="641"/>
      <c r="S112" s="641"/>
      <c r="T112" s="641"/>
      <c r="U112" s="641"/>
      <c r="V112" s="642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3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0" t="s">
        <v>40</v>
      </c>
      <c r="Q113" s="641"/>
      <c r="R113" s="641"/>
      <c r="S113" s="641"/>
      <c r="T113" s="641"/>
      <c r="U113" s="641"/>
      <c r="V113" s="642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4" t="s">
        <v>88</v>
      </c>
      <c r="B114" s="634"/>
      <c r="C114" s="634"/>
      <c r="D114" s="634"/>
      <c r="E114" s="634"/>
      <c r="F114" s="634"/>
      <c r="G114" s="634"/>
      <c r="H114" s="634"/>
      <c r="I114" s="634"/>
      <c r="J114" s="634"/>
      <c r="K114" s="634"/>
      <c r="L114" s="634"/>
      <c r="M114" s="634"/>
      <c r="N114" s="634"/>
      <c r="O114" s="634"/>
      <c r="P114" s="634"/>
      <c r="Q114" s="634"/>
      <c r="R114" s="634"/>
      <c r="S114" s="634"/>
      <c r="T114" s="634"/>
      <c r="U114" s="634"/>
      <c r="V114" s="634"/>
      <c r="W114" s="634"/>
      <c r="X114" s="634"/>
      <c r="Y114" s="634"/>
      <c r="Z114" s="634"/>
      <c r="AA114" s="66"/>
      <c r="AB114" s="66"/>
      <c r="AC114" s="80"/>
    </row>
    <row r="115" spans="1:68" ht="27" customHeight="1" x14ac:dyDescent="0.25">
      <c r="A115" s="63" t="s">
        <v>227</v>
      </c>
      <c r="B115" s="63" t="s">
        <v>228</v>
      </c>
      <c r="C115" s="36">
        <v>4301051724</v>
      </c>
      <c r="D115" s="635">
        <v>4607091385168</v>
      </c>
      <c r="E115" s="635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119</v>
      </c>
      <c r="L115" s="37" t="s">
        <v>45</v>
      </c>
      <c r="M115" s="38" t="s">
        <v>100</v>
      </c>
      <c r="N115" s="38"/>
      <c r="O115" s="37">
        <v>45</v>
      </c>
      <c r="P115" s="6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7"/>
      <c r="R115" s="637"/>
      <c r="S115" s="637"/>
      <c r="T115" s="63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229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4301051730</v>
      </c>
      <c r="D116" s="635">
        <v>4607091383256</v>
      </c>
      <c r="E116" s="635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100</v>
      </c>
      <c r="N116" s="38"/>
      <c r="O116" s="37">
        <v>45</v>
      </c>
      <c r="P116" s="6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7"/>
      <c r="R116" s="637"/>
      <c r="S116" s="637"/>
      <c r="T116" s="63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4301051721</v>
      </c>
      <c r="D117" s="635">
        <v>4607091385748</v>
      </c>
      <c r="E117" s="635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45</v>
      </c>
      <c r="M117" s="38" t="s">
        <v>100</v>
      </c>
      <c r="N117" s="38"/>
      <c r="O117" s="37">
        <v>45</v>
      </c>
      <c r="P117" s="6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7"/>
      <c r="R117" s="637"/>
      <c r="S117" s="637"/>
      <c r="T117" s="63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229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35">
        <v>4680115884533</v>
      </c>
      <c r="E118" s="635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93</v>
      </c>
      <c r="M118" s="38" t="s">
        <v>92</v>
      </c>
      <c r="N118" s="38"/>
      <c r="O118" s="37">
        <v>45</v>
      </c>
      <c r="P118" s="69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7"/>
      <c r="R118" s="637"/>
      <c r="S118" s="637"/>
      <c r="T118" s="63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94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3"/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4"/>
      <c r="P119" s="640" t="s">
        <v>40</v>
      </c>
      <c r="Q119" s="641"/>
      <c r="R119" s="641"/>
      <c r="S119" s="641"/>
      <c r="T119" s="641"/>
      <c r="U119" s="641"/>
      <c r="V119" s="642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3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0" t="s">
        <v>40</v>
      </c>
      <c r="Q120" s="641"/>
      <c r="R120" s="641"/>
      <c r="S120" s="641"/>
      <c r="T120" s="641"/>
      <c r="U120" s="641"/>
      <c r="V120" s="642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4" t="s">
        <v>174</v>
      </c>
      <c r="B121" s="634"/>
      <c r="C121" s="634"/>
      <c r="D121" s="634"/>
      <c r="E121" s="634"/>
      <c r="F121" s="634"/>
      <c r="G121" s="634"/>
      <c r="H121" s="634"/>
      <c r="I121" s="634"/>
      <c r="J121" s="634"/>
      <c r="K121" s="634"/>
      <c r="L121" s="634"/>
      <c r="M121" s="634"/>
      <c r="N121" s="634"/>
      <c r="O121" s="634"/>
      <c r="P121" s="634"/>
      <c r="Q121" s="634"/>
      <c r="R121" s="634"/>
      <c r="S121" s="634"/>
      <c r="T121" s="634"/>
      <c r="U121" s="634"/>
      <c r="V121" s="634"/>
      <c r="W121" s="634"/>
      <c r="X121" s="634"/>
      <c r="Y121" s="634"/>
      <c r="Z121" s="634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35">
        <v>4680115880238</v>
      </c>
      <c r="E122" s="635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93</v>
      </c>
      <c r="M122" s="38" t="s">
        <v>92</v>
      </c>
      <c r="N122" s="38"/>
      <c r="O122" s="37">
        <v>40</v>
      </c>
      <c r="P122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7"/>
      <c r="R122" s="637"/>
      <c r="S122" s="637"/>
      <c r="T122" s="638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94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3"/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  <c r="L123" s="643"/>
      <c r="M123" s="643"/>
      <c r="N123" s="643"/>
      <c r="O123" s="644"/>
      <c r="P123" s="640" t="s">
        <v>40</v>
      </c>
      <c r="Q123" s="641"/>
      <c r="R123" s="641"/>
      <c r="S123" s="641"/>
      <c r="T123" s="641"/>
      <c r="U123" s="641"/>
      <c r="V123" s="642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3" t="s">
        <v>240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5"/>
      <c r="AB125" s="65"/>
      <c r="AC125" s="79"/>
    </row>
    <row r="126" spans="1:68" ht="14.25" customHeight="1" x14ac:dyDescent="0.25">
      <c r="A126" s="634" t="s">
        <v>114</v>
      </c>
      <c r="B126" s="634"/>
      <c r="C126" s="634"/>
      <c r="D126" s="634"/>
      <c r="E126" s="634"/>
      <c r="F126" s="634"/>
      <c r="G126" s="634"/>
      <c r="H126" s="634"/>
      <c r="I126" s="634"/>
      <c r="J126" s="634"/>
      <c r="K126" s="634"/>
      <c r="L126" s="634"/>
      <c r="M126" s="634"/>
      <c r="N126" s="634"/>
      <c r="O126" s="634"/>
      <c r="P126" s="634"/>
      <c r="Q126" s="634"/>
      <c r="R126" s="634"/>
      <c r="S126" s="634"/>
      <c r="T126" s="634"/>
      <c r="U126" s="634"/>
      <c r="V126" s="634"/>
      <c r="W126" s="634"/>
      <c r="X126" s="634"/>
      <c r="Y126" s="634"/>
      <c r="Z126" s="634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35">
        <v>4680115882577</v>
      </c>
      <c r="E127" s="635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111</v>
      </c>
      <c r="N127" s="38"/>
      <c r="O127" s="37">
        <v>90</v>
      </c>
      <c r="P127" s="6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7"/>
      <c r="R127" s="637"/>
      <c r="S127" s="637"/>
      <c r="T127" s="638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35">
        <v>4680115882577</v>
      </c>
      <c r="E128" s="63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111</v>
      </c>
      <c r="N128" s="38"/>
      <c r="O128" s="37">
        <v>90</v>
      </c>
      <c r="P128" s="6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7"/>
      <c r="R128" s="637"/>
      <c r="S128" s="637"/>
      <c r="T128" s="63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3"/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4"/>
      <c r="P130" s="640" t="s">
        <v>40</v>
      </c>
      <c r="Q130" s="641"/>
      <c r="R130" s="641"/>
      <c r="S130" s="641"/>
      <c r="T130" s="641"/>
      <c r="U130" s="641"/>
      <c r="V130" s="642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4" t="s">
        <v>78</v>
      </c>
      <c r="B131" s="634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4"/>
      <c r="S131" s="634"/>
      <c r="T131" s="634"/>
      <c r="U131" s="634"/>
      <c r="V131" s="634"/>
      <c r="W131" s="634"/>
      <c r="X131" s="634"/>
      <c r="Y131" s="634"/>
      <c r="Z131" s="634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35">
        <v>4680115883444</v>
      </c>
      <c r="E132" s="635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111</v>
      </c>
      <c r="N132" s="38"/>
      <c r="O132" s="37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7"/>
      <c r="R132" s="637"/>
      <c r="S132" s="637"/>
      <c r="T132" s="638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35">
        <v>4680115883444</v>
      </c>
      <c r="E133" s="63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111</v>
      </c>
      <c r="N133" s="38"/>
      <c r="O133" s="37">
        <v>90</v>
      </c>
      <c r="P133" s="6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7"/>
      <c r="R133" s="637"/>
      <c r="S133" s="637"/>
      <c r="T133" s="63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3"/>
      <c r="B134" s="643"/>
      <c r="C134" s="643"/>
      <c r="D134" s="643"/>
      <c r="E134" s="643"/>
      <c r="F134" s="643"/>
      <c r="G134" s="643"/>
      <c r="H134" s="643"/>
      <c r="I134" s="643"/>
      <c r="J134" s="643"/>
      <c r="K134" s="643"/>
      <c r="L134" s="643"/>
      <c r="M134" s="643"/>
      <c r="N134" s="643"/>
      <c r="O134" s="644"/>
      <c r="P134" s="640" t="s">
        <v>40</v>
      </c>
      <c r="Q134" s="641"/>
      <c r="R134" s="641"/>
      <c r="S134" s="641"/>
      <c r="T134" s="641"/>
      <c r="U134" s="641"/>
      <c r="V134" s="64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3"/>
      <c r="B135" s="643"/>
      <c r="C135" s="643"/>
      <c r="D135" s="643"/>
      <c r="E135" s="643"/>
      <c r="F135" s="643"/>
      <c r="G135" s="643"/>
      <c r="H135" s="643"/>
      <c r="I135" s="643"/>
      <c r="J135" s="643"/>
      <c r="K135" s="643"/>
      <c r="L135" s="643"/>
      <c r="M135" s="643"/>
      <c r="N135" s="643"/>
      <c r="O135" s="644"/>
      <c r="P135" s="640" t="s">
        <v>40</v>
      </c>
      <c r="Q135" s="641"/>
      <c r="R135" s="641"/>
      <c r="S135" s="641"/>
      <c r="T135" s="641"/>
      <c r="U135" s="641"/>
      <c r="V135" s="64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4" t="s">
        <v>88</v>
      </c>
      <c r="B136" s="634"/>
      <c r="C136" s="634"/>
      <c r="D136" s="634"/>
      <c r="E136" s="634"/>
      <c r="F136" s="634"/>
      <c r="G136" s="634"/>
      <c r="H136" s="634"/>
      <c r="I136" s="634"/>
      <c r="J136" s="634"/>
      <c r="K136" s="634"/>
      <c r="L136" s="634"/>
      <c r="M136" s="634"/>
      <c r="N136" s="634"/>
      <c r="O136" s="634"/>
      <c r="P136" s="634"/>
      <c r="Q136" s="634"/>
      <c r="R136" s="634"/>
      <c r="S136" s="634"/>
      <c r="T136" s="634"/>
      <c r="U136" s="634"/>
      <c r="V136" s="634"/>
      <c r="W136" s="634"/>
      <c r="X136" s="634"/>
      <c r="Y136" s="634"/>
      <c r="Z136" s="634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35">
        <v>4680115882584</v>
      </c>
      <c r="E137" s="635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111</v>
      </c>
      <c r="N137" s="38"/>
      <c r="O137" s="37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7"/>
      <c r="R137" s="637"/>
      <c r="S137" s="637"/>
      <c r="T137" s="638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35">
        <v>4680115882584</v>
      </c>
      <c r="E138" s="63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111</v>
      </c>
      <c r="N138" s="38"/>
      <c r="O138" s="37">
        <v>60</v>
      </c>
      <c r="P138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7"/>
      <c r="R138" s="637"/>
      <c r="S138" s="637"/>
      <c r="T138" s="63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0" t="s">
        <v>40</v>
      </c>
      <c r="Q139" s="641"/>
      <c r="R139" s="641"/>
      <c r="S139" s="641"/>
      <c r="T139" s="641"/>
      <c r="U139" s="641"/>
      <c r="V139" s="642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3"/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4"/>
      <c r="P140" s="640" t="s">
        <v>40</v>
      </c>
      <c r="Q140" s="641"/>
      <c r="R140" s="641"/>
      <c r="S140" s="641"/>
      <c r="T140" s="641"/>
      <c r="U140" s="641"/>
      <c r="V140" s="642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3" t="s">
        <v>112</v>
      </c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3"/>
      <c r="R141" s="633"/>
      <c r="S141" s="633"/>
      <c r="T141" s="633"/>
      <c r="U141" s="633"/>
      <c r="V141" s="633"/>
      <c r="W141" s="633"/>
      <c r="X141" s="633"/>
      <c r="Y141" s="633"/>
      <c r="Z141" s="633"/>
      <c r="AA141" s="65"/>
      <c r="AB141" s="65"/>
      <c r="AC141" s="79"/>
    </row>
    <row r="142" spans="1:68" ht="14.25" customHeight="1" x14ac:dyDescent="0.25">
      <c r="A142" s="634" t="s">
        <v>114</v>
      </c>
      <c r="B142" s="634"/>
      <c r="C142" s="634"/>
      <c r="D142" s="634"/>
      <c r="E142" s="634"/>
      <c r="F142" s="634"/>
      <c r="G142" s="634"/>
      <c r="H142" s="634"/>
      <c r="I142" s="634"/>
      <c r="J142" s="634"/>
      <c r="K142" s="634"/>
      <c r="L142" s="634"/>
      <c r="M142" s="634"/>
      <c r="N142" s="634"/>
      <c r="O142" s="634"/>
      <c r="P142" s="634"/>
      <c r="Q142" s="634"/>
      <c r="R142" s="634"/>
      <c r="S142" s="634"/>
      <c r="T142" s="634"/>
      <c r="U142" s="634"/>
      <c r="V142" s="634"/>
      <c r="W142" s="634"/>
      <c r="X142" s="634"/>
      <c r="Y142" s="634"/>
      <c r="Z142" s="634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35">
        <v>4680115887374</v>
      </c>
      <c r="E143" s="635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119</v>
      </c>
      <c r="L143" s="37" t="s">
        <v>45</v>
      </c>
      <c r="M143" s="38" t="s">
        <v>118</v>
      </c>
      <c r="N143" s="38"/>
      <c r="O143" s="37">
        <v>55</v>
      </c>
      <c r="P143" s="70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7"/>
      <c r="R143" s="637"/>
      <c r="S143" s="637"/>
      <c r="T143" s="63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35">
        <v>4607091384604</v>
      </c>
      <c r="E144" s="635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123</v>
      </c>
      <c r="L144" s="37" t="s">
        <v>45</v>
      </c>
      <c r="M144" s="38" t="s">
        <v>118</v>
      </c>
      <c r="N144" s="38"/>
      <c r="O144" s="37">
        <v>50</v>
      </c>
      <c r="P144" s="7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7"/>
      <c r="R144" s="637"/>
      <c r="S144" s="637"/>
      <c r="T144" s="63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0" t="s">
        <v>40</v>
      </c>
      <c r="Q145" s="641"/>
      <c r="R145" s="641"/>
      <c r="S145" s="641"/>
      <c r="T145" s="641"/>
      <c r="U145" s="641"/>
      <c r="V145" s="64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3"/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4"/>
      <c r="P146" s="640" t="s">
        <v>40</v>
      </c>
      <c r="Q146" s="641"/>
      <c r="R146" s="641"/>
      <c r="S146" s="641"/>
      <c r="T146" s="641"/>
      <c r="U146" s="641"/>
      <c r="V146" s="64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4" t="s">
        <v>78</v>
      </c>
      <c r="B147" s="634"/>
      <c r="C147" s="634"/>
      <c r="D147" s="634"/>
      <c r="E147" s="634"/>
      <c r="F147" s="634"/>
      <c r="G147" s="634"/>
      <c r="H147" s="634"/>
      <c r="I147" s="634"/>
      <c r="J147" s="634"/>
      <c r="K147" s="634"/>
      <c r="L147" s="634"/>
      <c r="M147" s="634"/>
      <c r="N147" s="634"/>
      <c r="O147" s="634"/>
      <c r="P147" s="634"/>
      <c r="Q147" s="634"/>
      <c r="R147" s="634"/>
      <c r="S147" s="634"/>
      <c r="T147" s="634"/>
      <c r="U147" s="634"/>
      <c r="V147" s="634"/>
      <c r="W147" s="634"/>
      <c r="X147" s="634"/>
      <c r="Y147" s="634"/>
      <c r="Z147" s="634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4301031450</v>
      </c>
      <c r="D148" s="635">
        <v>4680115887428</v>
      </c>
      <c r="E148" s="635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123</v>
      </c>
      <c r="L148" s="37" t="s">
        <v>45</v>
      </c>
      <c r="M148" s="38" t="s">
        <v>82</v>
      </c>
      <c r="N148" s="38"/>
      <c r="O148" s="37">
        <v>40</v>
      </c>
      <c r="P148" s="7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7"/>
      <c r="R148" s="637"/>
      <c r="S148" s="637"/>
      <c r="T148" s="638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4301030895</v>
      </c>
      <c r="D149" s="635">
        <v>4607091387667</v>
      </c>
      <c r="E149" s="635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119</v>
      </c>
      <c r="L149" s="37" t="s">
        <v>45</v>
      </c>
      <c r="M149" s="38" t="s">
        <v>118</v>
      </c>
      <c r="N149" s="38"/>
      <c r="O149" s="37">
        <v>40</v>
      </c>
      <c r="P149" s="70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37"/>
      <c r="R149" s="637"/>
      <c r="S149" s="637"/>
      <c r="T149" s="638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635">
        <v>4607091387636</v>
      </c>
      <c r="E150" s="63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7"/>
      <c r="R150" s="637"/>
      <c r="S150" s="637"/>
      <c r="T150" s="638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635">
        <v>4680115887336</v>
      </c>
      <c r="E151" s="635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123</v>
      </c>
      <c r="L151" s="37" t="s">
        <v>45</v>
      </c>
      <c r="M151" s="38" t="s">
        <v>82</v>
      </c>
      <c r="N151" s="38"/>
      <c r="O151" s="37">
        <v>40</v>
      </c>
      <c r="P151" s="70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7"/>
      <c r="R151" s="637"/>
      <c r="S151" s="637"/>
      <c r="T151" s="638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635">
        <v>4607091382426</v>
      </c>
      <c r="E152" s="635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119</v>
      </c>
      <c r="L152" s="37" t="s">
        <v>45</v>
      </c>
      <c r="M152" s="38" t="s">
        <v>82</v>
      </c>
      <c r="N152" s="38"/>
      <c r="O152" s="37">
        <v>40</v>
      </c>
      <c r="P152" s="7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7"/>
      <c r="R152" s="637"/>
      <c r="S152" s="637"/>
      <c r="T152" s="638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635">
        <v>4680115887398</v>
      </c>
      <c r="E153" s="635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123</v>
      </c>
      <c r="L153" s="37" t="s">
        <v>45</v>
      </c>
      <c r="M153" s="38" t="s">
        <v>82</v>
      </c>
      <c r="N153" s="38"/>
      <c r="O153" s="37">
        <v>40</v>
      </c>
      <c r="P153" s="70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7"/>
      <c r="R153" s="637"/>
      <c r="S153" s="637"/>
      <c r="T153" s="638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3"/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  <c r="L154" s="643"/>
      <c r="M154" s="643"/>
      <c r="N154" s="643"/>
      <c r="O154" s="644"/>
      <c r="P154" s="640" t="s">
        <v>40</v>
      </c>
      <c r="Q154" s="641"/>
      <c r="R154" s="641"/>
      <c r="S154" s="641"/>
      <c r="T154" s="641"/>
      <c r="U154" s="641"/>
      <c r="V154" s="642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3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0" t="s">
        <v>40</v>
      </c>
      <c r="Q155" s="641"/>
      <c r="R155" s="641"/>
      <c r="S155" s="641"/>
      <c r="T155" s="641"/>
      <c r="U155" s="641"/>
      <c r="V155" s="642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4" t="s">
        <v>88</v>
      </c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4"/>
      <c r="P156" s="634"/>
      <c r="Q156" s="634"/>
      <c r="R156" s="634"/>
      <c r="S156" s="634"/>
      <c r="T156" s="634"/>
      <c r="U156" s="634"/>
      <c r="V156" s="634"/>
      <c r="W156" s="634"/>
      <c r="X156" s="634"/>
      <c r="Y156" s="634"/>
      <c r="Z156" s="634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35">
        <v>4680115887459</v>
      </c>
      <c r="E157" s="63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7"/>
      <c r="R157" s="637"/>
      <c r="S157" s="637"/>
      <c r="T157" s="63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2" t="s">
        <v>279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54"/>
      <c r="AB160" s="54"/>
      <c r="AC160" s="54"/>
    </row>
    <row r="161" spans="1:68" ht="16.5" customHeight="1" x14ac:dyDescent="0.25">
      <c r="A161" s="633" t="s">
        <v>280</v>
      </c>
      <c r="B161" s="633"/>
      <c r="C161" s="633"/>
      <c r="D161" s="633"/>
      <c r="E161" s="633"/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3"/>
      <c r="R161" s="633"/>
      <c r="S161" s="633"/>
      <c r="T161" s="633"/>
      <c r="U161" s="633"/>
      <c r="V161" s="633"/>
      <c r="W161" s="633"/>
      <c r="X161" s="633"/>
      <c r="Y161" s="633"/>
      <c r="Z161" s="633"/>
      <c r="AA161" s="65"/>
      <c r="AB161" s="65"/>
      <c r="AC161" s="79"/>
    </row>
    <row r="162" spans="1:68" ht="14.25" customHeight="1" x14ac:dyDescent="0.25">
      <c r="A162" s="634" t="s">
        <v>149</v>
      </c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4"/>
      <c r="P162" s="634"/>
      <c r="Q162" s="634"/>
      <c r="R162" s="634"/>
      <c r="S162" s="634"/>
      <c r="T162" s="634"/>
      <c r="U162" s="634"/>
      <c r="V162" s="634"/>
      <c r="W162" s="634"/>
      <c r="X162" s="634"/>
      <c r="Y162" s="634"/>
      <c r="Z162" s="634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35">
        <v>4680115886223</v>
      </c>
      <c r="E163" s="63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7"/>
      <c r="R163" s="637"/>
      <c r="S163" s="637"/>
      <c r="T163" s="63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3"/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4"/>
      <c r="P164" s="640" t="s">
        <v>40</v>
      </c>
      <c r="Q164" s="641"/>
      <c r="R164" s="641"/>
      <c r="S164" s="641"/>
      <c r="T164" s="641"/>
      <c r="U164" s="641"/>
      <c r="V164" s="64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3"/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4"/>
      <c r="P165" s="640" t="s">
        <v>40</v>
      </c>
      <c r="Q165" s="641"/>
      <c r="R165" s="641"/>
      <c r="S165" s="641"/>
      <c r="T165" s="641"/>
      <c r="U165" s="641"/>
      <c r="V165" s="64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4" t="s">
        <v>78</v>
      </c>
      <c r="B166" s="634"/>
      <c r="C166" s="634"/>
      <c r="D166" s="634"/>
      <c r="E166" s="634"/>
      <c r="F166" s="634"/>
      <c r="G166" s="634"/>
      <c r="H166" s="634"/>
      <c r="I166" s="634"/>
      <c r="J166" s="634"/>
      <c r="K166" s="634"/>
      <c r="L166" s="634"/>
      <c r="M166" s="634"/>
      <c r="N166" s="634"/>
      <c r="O166" s="634"/>
      <c r="P166" s="634"/>
      <c r="Q166" s="634"/>
      <c r="R166" s="634"/>
      <c r="S166" s="634"/>
      <c r="T166" s="634"/>
      <c r="U166" s="634"/>
      <c r="V166" s="634"/>
      <c r="W166" s="634"/>
      <c r="X166" s="634"/>
      <c r="Y166" s="634"/>
      <c r="Z166" s="634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635">
        <v>4680115887824</v>
      </c>
      <c r="E167" s="635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10" t="s">
        <v>286</v>
      </c>
      <c r="Q167" s="637"/>
      <c r="R167" s="637"/>
      <c r="S167" s="637"/>
      <c r="T167" s="63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635">
        <v>4680115887701</v>
      </c>
      <c r="E168" s="635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11" t="s">
        <v>292</v>
      </c>
      <c r="Q168" s="637"/>
      <c r="R168" s="637"/>
      <c r="S168" s="637"/>
      <c r="T168" s="63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635">
        <v>4680115880993</v>
      </c>
      <c r="E169" s="635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123</v>
      </c>
      <c r="L169" s="37" t="s">
        <v>126</v>
      </c>
      <c r="M169" s="38" t="s">
        <v>82</v>
      </c>
      <c r="N169" s="38"/>
      <c r="O169" s="37">
        <v>40</v>
      </c>
      <c r="P169" s="7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7"/>
      <c r="R169" s="637"/>
      <c r="S169" s="637"/>
      <c r="T169" s="63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94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635">
        <v>4680115881761</v>
      </c>
      <c r="E170" s="635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123</v>
      </c>
      <c r="L170" s="37" t="s">
        <v>45</v>
      </c>
      <c r="M170" s="38" t="s">
        <v>82</v>
      </c>
      <c r="N170" s="38"/>
      <c r="O170" s="37">
        <v>40</v>
      </c>
      <c r="P170" s="71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7"/>
      <c r="R170" s="637"/>
      <c r="S170" s="637"/>
      <c r="T170" s="63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635">
        <v>4680115881563</v>
      </c>
      <c r="E171" s="635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123</v>
      </c>
      <c r="L171" s="37" t="s">
        <v>126</v>
      </c>
      <c r="M171" s="38" t="s">
        <v>82</v>
      </c>
      <c r="N171" s="38"/>
      <c r="O171" s="37">
        <v>40</v>
      </c>
      <c r="P171" s="7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7"/>
      <c r="R171" s="637"/>
      <c r="S171" s="637"/>
      <c r="T171" s="63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94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635">
        <v>4680115887565</v>
      </c>
      <c r="E172" s="635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7"/>
      <c r="R172" s="637"/>
      <c r="S172" s="637"/>
      <c r="T172" s="63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635">
        <v>4680115880986</v>
      </c>
      <c r="E173" s="63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7"/>
      <c r="R173" s="637"/>
      <c r="S173" s="637"/>
      <c r="T173" s="63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4301031443</v>
      </c>
      <c r="D174" s="635">
        <v>4680115887213</v>
      </c>
      <c r="E174" s="635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7"/>
      <c r="R174" s="637"/>
      <c r="S174" s="637"/>
      <c r="T174" s="63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309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4301031205</v>
      </c>
      <c r="D175" s="635">
        <v>4680115881785</v>
      </c>
      <c r="E175" s="635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312</v>
      </c>
      <c r="M175" s="38" t="s">
        <v>82</v>
      </c>
      <c r="N175" s="38"/>
      <c r="O175" s="37">
        <v>40</v>
      </c>
      <c r="P175" s="7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7"/>
      <c r="R175" s="637"/>
      <c r="S175" s="637"/>
      <c r="T175" s="63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94</v>
      </c>
      <c r="AK175" s="84">
        <v>37.799999999999997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635">
        <v>4680115886537</v>
      </c>
      <c r="E176" s="635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7"/>
      <c r="R176" s="637"/>
      <c r="S176" s="637"/>
      <c r="T176" s="63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635">
        <v>4680115887596</v>
      </c>
      <c r="E177" s="635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188</v>
      </c>
      <c r="L177" s="37" t="s">
        <v>45</v>
      </c>
      <c r="M177" s="38" t="s">
        <v>82</v>
      </c>
      <c r="N177" s="38"/>
      <c r="O177" s="37">
        <v>45</v>
      </c>
      <c r="P177" s="7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7"/>
      <c r="R177" s="637"/>
      <c r="S177" s="637"/>
      <c r="T177" s="63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635">
        <v>4680115881679</v>
      </c>
      <c r="E178" s="635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312</v>
      </c>
      <c r="M178" s="38" t="s">
        <v>82</v>
      </c>
      <c r="N178" s="38"/>
      <c r="O178" s="37">
        <v>40</v>
      </c>
      <c r="P178" s="7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7"/>
      <c r="R178" s="637"/>
      <c r="S178" s="637"/>
      <c r="T178" s="63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94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635">
        <v>4680115880191</v>
      </c>
      <c r="E179" s="635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7"/>
      <c r="R179" s="637"/>
      <c r="S179" s="637"/>
      <c r="T179" s="63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635">
        <v>4680115883963</v>
      </c>
      <c r="E180" s="63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7"/>
      <c r="R180" s="637"/>
      <c r="S180" s="637"/>
      <c r="T180" s="63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3"/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  <c r="L181" s="643"/>
      <c r="M181" s="643"/>
      <c r="N181" s="643"/>
      <c r="O181" s="644"/>
      <c r="P181" s="640" t="s">
        <v>40</v>
      </c>
      <c r="Q181" s="641"/>
      <c r="R181" s="641"/>
      <c r="S181" s="641"/>
      <c r="T181" s="641"/>
      <c r="U181" s="641"/>
      <c r="V181" s="642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3"/>
      <c r="B182" s="643"/>
      <c r="C182" s="643"/>
      <c r="D182" s="643"/>
      <c r="E182" s="643"/>
      <c r="F182" s="643"/>
      <c r="G182" s="643"/>
      <c r="H182" s="643"/>
      <c r="I182" s="643"/>
      <c r="J182" s="643"/>
      <c r="K182" s="643"/>
      <c r="L182" s="643"/>
      <c r="M182" s="643"/>
      <c r="N182" s="643"/>
      <c r="O182" s="644"/>
      <c r="P182" s="640" t="s">
        <v>40</v>
      </c>
      <c r="Q182" s="641"/>
      <c r="R182" s="641"/>
      <c r="S182" s="641"/>
      <c r="T182" s="641"/>
      <c r="U182" s="641"/>
      <c r="V182" s="642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4" t="s">
        <v>106</v>
      </c>
      <c r="B183" s="634"/>
      <c r="C183" s="634"/>
      <c r="D183" s="634"/>
      <c r="E183" s="634"/>
      <c r="F183" s="634"/>
      <c r="G183" s="634"/>
      <c r="H183" s="634"/>
      <c r="I183" s="634"/>
      <c r="J183" s="634"/>
      <c r="K183" s="634"/>
      <c r="L183" s="634"/>
      <c r="M183" s="634"/>
      <c r="N183" s="634"/>
      <c r="O183" s="634"/>
      <c r="P183" s="634"/>
      <c r="Q183" s="634"/>
      <c r="R183" s="634"/>
      <c r="S183" s="634"/>
      <c r="T183" s="634"/>
      <c r="U183" s="634"/>
      <c r="V183" s="634"/>
      <c r="W183" s="634"/>
      <c r="X183" s="634"/>
      <c r="Y183" s="634"/>
      <c r="Z183" s="634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635">
        <v>4680115886780</v>
      </c>
      <c r="E184" s="635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7"/>
      <c r="R184" s="637"/>
      <c r="S184" s="637"/>
      <c r="T184" s="638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635">
        <v>4680115886742</v>
      </c>
      <c r="E185" s="63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7"/>
      <c r="R185" s="637"/>
      <c r="S185" s="637"/>
      <c r="T185" s="63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635">
        <v>4680115886766</v>
      </c>
      <c r="E186" s="63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7"/>
      <c r="R186" s="637"/>
      <c r="S186" s="637"/>
      <c r="T186" s="63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3"/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4"/>
      <c r="P187" s="640" t="s">
        <v>40</v>
      </c>
      <c r="Q187" s="641"/>
      <c r="R187" s="641"/>
      <c r="S187" s="641"/>
      <c r="T187" s="641"/>
      <c r="U187" s="641"/>
      <c r="V187" s="642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4" t="s">
        <v>335</v>
      </c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4"/>
      <c r="P189" s="634"/>
      <c r="Q189" s="634"/>
      <c r="R189" s="634"/>
      <c r="S189" s="634"/>
      <c r="T189" s="634"/>
      <c r="U189" s="634"/>
      <c r="V189" s="634"/>
      <c r="W189" s="634"/>
      <c r="X189" s="634"/>
      <c r="Y189" s="634"/>
      <c r="Z189" s="634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635">
        <v>4680115886797</v>
      </c>
      <c r="E190" s="635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7"/>
      <c r="R190" s="637"/>
      <c r="S190" s="637"/>
      <c r="T190" s="638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3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0" t="s">
        <v>40</v>
      </c>
      <c r="Q191" s="641"/>
      <c r="R191" s="641"/>
      <c r="S191" s="641"/>
      <c r="T191" s="641"/>
      <c r="U191" s="641"/>
      <c r="V191" s="642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0" t="s">
        <v>40</v>
      </c>
      <c r="Q192" s="641"/>
      <c r="R192" s="641"/>
      <c r="S192" s="641"/>
      <c r="T192" s="641"/>
      <c r="U192" s="641"/>
      <c r="V192" s="642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3" t="s">
        <v>338</v>
      </c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3"/>
      <c r="P193" s="633"/>
      <c r="Q193" s="633"/>
      <c r="R193" s="633"/>
      <c r="S193" s="633"/>
      <c r="T193" s="633"/>
      <c r="U193" s="633"/>
      <c r="V193" s="633"/>
      <c r="W193" s="633"/>
      <c r="X193" s="633"/>
      <c r="Y193" s="633"/>
      <c r="Z193" s="633"/>
      <c r="AA193" s="65"/>
      <c r="AB193" s="65"/>
      <c r="AC193" s="79"/>
    </row>
    <row r="194" spans="1:68" ht="14.25" customHeight="1" x14ac:dyDescent="0.25">
      <c r="A194" s="634" t="s">
        <v>114</v>
      </c>
      <c r="B194" s="634"/>
      <c r="C194" s="634"/>
      <c r="D194" s="634"/>
      <c r="E194" s="634"/>
      <c r="F194" s="634"/>
      <c r="G194" s="634"/>
      <c r="H194" s="634"/>
      <c r="I194" s="634"/>
      <c r="J194" s="634"/>
      <c r="K194" s="634"/>
      <c r="L194" s="634"/>
      <c r="M194" s="634"/>
      <c r="N194" s="634"/>
      <c r="O194" s="634"/>
      <c r="P194" s="634"/>
      <c r="Q194" s="634"/>
      <c r="R194" s="634"/>
      <c r="S194" s="634"/>
      <c r="T194" s="634"/>
      <c r="U194" s="634"/>
      <c r="V194" s="634"/>
      <c r="W194" s="634"/>
      <c r="X194" s="634"/>
      <c r="Y194" s="634"/>
      <c r="Z194" s="634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635">
        <v>4680115881402</v>
      </c>
      <c r="E195" s="635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119</v>
      </c>
      <c r="L195" s="37" t="s">
        <v>45</v>
      </c>
      <c r="M195" s="38" t="s">
        <v>118</v>
      </c>
      <c r="N195" s="38"/>
      <c r="O195" s="37">
        <v>55</v>
      </c>
      <c r="P195" s="7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7"/>
      <c r="R195" s="637"/>
      <c r="S195" s="637"/>
      <c r="T195" s="638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635">
        <v>4680115881396</v>
      </c>
      <c r="E196" s="635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118</v>
      </c>
      <c r="N196" s="38"/>
      <c r="O196" s="37">
        <v>55</v>
      </c>
      <c r="P196" s="7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7"/>
      <c r="R196" s="637"/>
      <c r="S196" s="637"/>
      <c r="T196" s="63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3"/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4"/>
      <c r="P197" s="640" t="s">
        <v>40</v>
      </c>
      <c r="Q197" s="641"/>
      <c r="R197" s="641"/>
      <c r="S197" s="641"/>
      <c r="T197" s="641"/>
      <c r="U197" s="641"/>
      <c r="V197" s="64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3"/>
      <c r="B198" s="643"/>
      <c r="C198" s="643"/>
      <c r="D198" s="643"/>
      <c r="E198" s="643"/>
      <c r="F198" s="643"/>
      <c r="G198" s="643"/>
      <c r="H198" s="643"/>
      <c r="I198" s="643"/>
      <c r="J198" s="643"/>
      <c r="K198" s="643"/>
      <c r="L198" s="643"/>
      <c r="M198" s="643"/>
      <c r="N198" s="643"/>
      <c r="O198" s="644"/>
      <c r="P198" s="640" t="s">
        <v>40</v>
      </c>
      <c r="Q198" s="641"/>
      <c r="R198" s="641"/>
      <c r="S198" s="641"/>
      <c r="T198" s="641"/>
      <c r="U198" s="641"/>
      <c r="V198" s="64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4" t="s">
        <v>149</v>
      </c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34"/>
      <c r="N199" s="634"/>
      <c r="O199" s="634"/>
      <c r="P199" s="634"/>
      <c r="Q199" s="634"/>
      <c r="R199" s="634"/>
      <c r="S199" s="634"/>
      <c r="T199" s="634"/>
      <c r="U199" s="634"/>
      <c r="V199" s="634"/>
      <c r="W199" s="634"/>
      <c r="X199" s="634"/>
      <c r="Y199" s="634"/>
      <c r="Z199" s="634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635">
        <v>4680115882935</v>
      </c>
      <c r="E200" s="635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119</v>
      </c>
      <c r="L200" s="37" t="s">
        <v>45</v>
      </c>
      <c r="M200" s="38" t="s">
        <v>118</v>
      </c>
      <c r="N200" s="38"/>
      <c r="O200" s="37">
        <v>50</v>
      </c>
      <c r="P200" s="7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7"/>
      <c r="R200" s="637"/>
      <c r="S200" s="637"/>
      <c r="T200" s="638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635">
        <v>4680115880764</v>
      </c>
      <c r="E201" s="635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118</v>
      </c>
      <c r="N201" s="38"/>
      <c r="O201" s="37">
        <v>50</v>
      </c>
      <c r="P201" s="7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7"/>
      <c r="R201" s="637"/>
      <c r="S201" s="637"/>
      <c r="T201" s="63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3"/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4"/>
      <c r="P202" s="640" t="s">
        <v>40</v>
      </c>
      <c r="Q202" s="641"/>
      <c r="R202" s="641"/>
      <c r="S202" s="641"/>
      <c r="T202" s="641"/>
      <c r="U202" s="641"/>
      <c r="V202" s="642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4" t="s">
        <v>78</v>
      </c>
      <c r="B204" s="634"/>
      <c r="C204" s="634"/>
      <c r="D204" s="634"/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4"/>
      <c r="S204" s="634"/>
      <c r="T204" s="634"/>
      <c r="U204" s="634"/>
      <c r="V204" s="634"/>
      <c r="W204" s="634"/>
      <c r="X204" s="634"/>
      <c r="Y204" s="634"/>
      <c r="Z204" s="634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635">
        <v>4680115882683</v>
      </c>
      <c r="E205" s="635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123</v>
      </c>
      <c r="L205" s="37" t="s">
        <v>126</v>
      </c>
      <c r="M205" s="38" t="s">
        <v>82</v>
      </c>
      <c r="N205" s="38"/>
      <c r="O205" s="37">
        <v>40</v>
      </c>
      <c r="P205" s="73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7"/>
      <c r="R205" s="637"/>
      <c r="S205" s="637"/>
      <c r="T205" s="63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94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635">
        <v>4680115882690</v>
      </c>
      <c r="E206" s="63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123</v>
      </c>
      <c r="L206" s="37" t="s">
        <v>126</v>
      </c>
      <c r="M206" s="38" t="s">
        <v>82</v>
      </c>
      <c r="N206" s="38"/>
      <c r="O206" s="37">
        <v>40</v>
      </c>
      <c r="P206" s="7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7"/>
      <c r="R206" s="637"/>
      <c r="S206" s="637"/>
      <c r="T206" s="63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94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635">
        <v>4680115882669</v>
      </c>
      <c r="E207" s="63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123</v>
      </c>
      <c r="L207" s="37" t="s">
        <v>126</v>
      </c>
      <c r="M207" s="38" t="s">
        <v>82</v>
      </c>
      <c r="N207" s="38"/>
      <c r="O207" s="37">
        <v>40</v>
      </c>
      <c r="P207" s="7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7"/>
      <c r="R207" s="637"/>
      <c r="S207" s="637"/>
      <c r="T207" s="63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94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635">
        <v>4680115882676</v>
      </c>
      <c r="E208" s="63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123</v>
      </c>
      <c r="L208" s="37" t="s">
        <v>126</v>
      </c>
      <c r="M208" s="38" t="s">
        <v>82</v>
      </c>
      <c r="N208" s="38"/>
      <c r="O208" s="37">
        <v>40</v>
      </c>
      <c r="P20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7"/>
      <c r="R208" s="637"/>
      <c r="S208" s="637"/>
      <c r="T208" s="63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94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635">
        <v>4680115884014</v>
      </c>
      <c r="E209" s="635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7"/>
      <c r="R209" s="637"/>
      <c r="S209" s="637"/>
      <c r="T209" s="63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635">
        <v>4680115884007</v>
      </c>
      <c r="E210" s="635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312</v>
      </c>
      <c r="M210" s="38" t="s">
        <v>82</v>
      </c>
      <c r="N210" s="38"/>
      <c r="O210" s="37">
        <v>40</v>
      </c>
      <c r="P210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7"/>
      <c r="R210" s="637"/>
      <c r="S210" s="637"/>
      <c r="T210" s="63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94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635">
        <v>4680115884038</v>
      </c>
      <c r="E211" s="63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312</v>
      </c>
      <c r="M211" s="38" t="s">
        <v>82</v>
      </c>
      <c r="N211" s="38"/>
      <c r="O211" s="37">
        <v>40</v>
      </c>
      <c r="P211" s="7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7"/>
      <c r="R211" s="637"/>
      <c r="S211" s="637"/>
      <c r="T211" s="63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94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635">
        <v>4680115884021</v>
      </c>
      <c r="E212" s="63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312</v>
      </c>
      <c r="M212" s="38" t="s">
        <v>82</v>
      </c>
      <c r="N212" s="38"/>
      <c r="O212" s="37">
        <v>40</v>
      </c>
      <c r="P212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7"/>
      <c r="R212" s="637"/>
      <c r="S212" s="637"/>
      <c r="T212" s="63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94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3"/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4"/>
      <c r="P213" s="640" t="s">
        <v>40</v>
      </c>
      <c r="Q213" s="641"/>
      <c r="R213" s="641"/>
      <c r="S213" s="641"/>
      <c r="T213" s="641"/>
      <c r="U213" s="641"/>
      <c r="V213" s="642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3"/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4"/>
      <c r="P214" s="640" t="s">
        <v>40</v>
      </c>
      <c r="Q214" s="641"/>
      <c r="R214" s="641"/>
      <c r="S214" s="641"/>
      <c r="T214" s="641"/>
      <c r="U214" s="641"/>
      <c r="V214" s="642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4" t="s">
        <v>88</v>
      </c>
      <c r="B215" s="634"/>
      <c r="C215" s="634"/>
      <c r="D215" s="634"/>
      <c r="E215" s="634"/>
      <c r="F215" s="634"/>
      <c r="G215" s="634"/>
      <c r="H215" s="634"/>
      <c r="I215" s="634"/>
      <c r="J215" s="634"/>
      <c r="K215" s="634"/>
      <c r="L215" s="634"/>
      <c r="M215" s="634"/>
      <c r="N215" s="634"/>
      <c r="O215" s="634"/>
      <c r="P215" s="634"/>
      <c r="Q215" s="634"/>
      <c r="R215" s="634"/>
      <c r="S215" s="634"/>
      <c r="T215" s="634"/>
      <c r="U215" s="634"/>
      <c r="V215" s="634"/>
      <c r="W215" s="634"/>
      <c r="X215" s="634"/>
      <c r="Y215" s="634"/>
      <c r="Z215" s="634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635">
        <v>4680115881594</v>
      </c>
      <c r="E216" s="635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119</v>
      </c>
      <c r="L216" s="37" t="s">
        <v>45</v>
      </c>
      <c r="M216" s="38" t="s">
        <v>92</v>
      </c>
      <c r="N216" s="38"/>
      <c r="O216" s="37">
        <v>40</v>
      </c>
      <c r="P216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7"/>
      <c r="R216" s="637"/>
      <c r="S216" s="637"/>
      <c r="T216" s="63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635">
        <v>4680115881617</v>
      </c>
      <c r="E217" s="635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119</v>
      </c>
      <c r="L217" s="37" t="s">
        <v>45</v>
      </c>
      <c r="M217" s="38" t="s">
        <v>92</v>
      </c>
      <c r="N217" s="38"/>
      <c r="O217" s="37">
        <v>40</v>
      </c>
      <c r="P217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7"/>
      <c r="R217" s="637"/>
      <c r="S217" s="637"/>
      <c r="T217" s="63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635">
        <v>4680115880573</v>
      </c>
      <c r="E218" s="635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119</v>
      </c>
      <c r="L218" s="37" t="s">
        <v>120</v>
      </c>
      <c r="M218" s="38" t="s">
        <v>92</v>
      </c>
      <c r="N218" s="38"/>
      <c r="O218" s="37">
        <v>45</v>
      </c>
      <c r="P218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7"/>
      <c r="R218" s="637"/>
      <c r="S218" s="637"/>
      <c r="T218" s="63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94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635">
        <v>4680115882195</v>
      </c>
      <c r="E219" s="635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93</v>
      </c>
      <c r="M219" s="38" t="s">
        <v>92</v>
      </c>
      <c r="N219" s="38"/>
      <c r="O219" s="37">
        <v>40</v>
      </c>
      <c r="P219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7"/>
      <c r="R219" s="637"/>
      <c r="S219" s="637"/>
      <c r="T219" s="63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94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635">
        <v>4680115882607</v>
      </c>
      <c r="E220" s="635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100</v>
      </c>
      <c r="N220" s="38"/>
      <c r="O220" s="37">
        <v>45</v>
      </c>
      <c r="P220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7"/>
      <c r="R220" s="637"/>
      <c r="S220" s="637"/>
      <c r="T220" s="63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635">
        <v>4680115880092</v>
      </c>
      <c r="E221" s="635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93</v>
      </c>
      <c r="M221" s="38" t="s">
        <v>92</v>
      </c>
      <c r="N221" s="38"/>
      <c r="O221" s="37">
        <v>45</v>
      </c>
      <c r="P221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7"/>
      <c r="R221" s="637"/>
      <c r="S221" s="637"/>
      <c r="T221" s="63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94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635">
        <v>4680115880221</v>
      </c>
      <c r="E222" s="63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45</v>
      </c>
      <c r="P222" s="7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7"/>
      <c r="R222" s="637"/>
      <c r="S222" s="637"/>
      <c r="T222" s="63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635">
        <v>4680115880504</v>
      </c>
      <c r="E223" s="63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93</v>
      </c>
      <c r="M223" s="38" t="s">
        <v>100</v>
      </c>
      <c r="N223" s="38"/>
      <c r="O223" s="37">
        <v>40</v>
      </c>
      <c r="P223" s="7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7"/>
      <c r="R223" s="637"/>
      <c r="S223" s="637"/>
      <c r="T223" s="63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94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635">
        <v>4680115882164</v>
      </c>
      <c r="E224" s="635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93</v>
      </c>
      <c r="M224" s="38" t="s">
        <v>92</v>
      </c>
      <c r="N224" s="38"/>
      <c r="O224" s="37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7"/>
      <c r="R224" s="637"/>
      <c r="S224" s="637"/>
      <c r="T224" s="63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94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3"/>
      <c r="B225" s="643"/>
      <c r="C225" s="643"/>
      <c r="D225" s="643"/>
      <c r="E225" s="643"/>
      <c r="F225" s="643"/>
      <c r="G225" s="643"/>
      <c r="H225" s="643"/>
      <c r="I225" s="643"/>
      <c r="J225" s="643"/>
      <c r="K225" s="643"/>
      <c r="L225" s="643"/>
      <c r="M225" s="643"/>
      <c r="N225" s="643"/>
      <c r="O225" s="644"/>
      <c r="P225" s="640" t="s">
        <v>40</v>
      </c>
      <c r="Q225" s="641"/>
      <c r="R225" s="641"/>
      <c r="S225" s="641"/>
      <c r="T225" s="641"/>
      <c r="U225" s="641"/>
      <c r="V225" s="642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3"/>
      <c r="B226" s="643"/>
      <c r="C226" s="643"/>
      <c r="D226" s="643"/>
      <c r="E226" s="643"/>
      <c r="F226" s="643"/>
      <c r="G226" s="643"/>
      <c r="H226" s="643"/>
      <c r="I226" s="643"/>
      <c r="J226" s="643"/>
      <c r="K226" s="643"/>
      <c r="L226" s="643"/>
      <c r="M226" s="643"/>
      <c r="N226" s="643"/>
      <c r="O226" s="644"/>
      <c r="P226" s="640" t="s">
        <v>40</v>
      </c>
      <c r="Q226" s="641"/>
      <c r="R226" s="641"/>
      <c r="S226" s="641"/>
      <c r="T226" s="641"/>
      <c r="U226" s="641"/>
      <c r="V226" s="642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4" t="s">
        <v>174</v>
      </c>
      <c r="B227" s="634"/>
      <c r="C227" s="634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4"/>
      <c r="S227" s="634"/>
      <c r="T227" s="634"/>
      <c r="U227" s="634"/>
      <c r="V227" s="634"/>
      <c r="W227" s="634"/>
      <c r="X227" s="634"/>
      <c r="Y227" s="634"/>
      <c r="Z227" s="634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635">
        <v>4680115880818</v>
      </c>
      <c r="E228" s="635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93</v>
      </c>
      <c r="M228" s="38" t="s">
        <v>100</v>
      </c>
      <c r="N228" s="38"/>
      <c r="O228" s="37">
        <v>40</v>
      </c>
      <c r="P228" s="7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7"/>
      <c r="R228" s="637"/>
      <c r="S228" s="637"/>
      <c r="T228" s="638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94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635">
        <v>4680115880801</v>
      </c>
      <c r="E229" s="63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93</v>
      </c>
      <c r="M229" s="38" t="s">
        <v>92</v>
      </c>
      <c r="N229" s="38"/>
      <c r="O229" s="37">
        <v>40</v>
      </c>
      <c r="P229" s="7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7"/>
      <c r="R229" s="637"/>
      <c r="S229" s="637"/>
      <c r="T229" s="63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94</v>
      </c>
      <c r="AK229" s="84">
        <v>33.6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3"/>
      <c r="B230" s="643"/>
      <c r="C230" s="643"/>
      <c r="D230" s="643"/>
      <c r="E230" s="643"/>
      <c r="F230" s="643"/>
      <c r="G230" s="643"/>
      <c r="H230" s="643"/>
      <c r="I230" s="643"/>
      <c r="J230" s="643"/>
      <c r="K230" s="643"/>
      <c r="L230" s="643"/>
      <c r="M230" s="643"/>
      <c r="N230" s="643"/>
      <c r="O230" s="644"/>
      <c r="P230" s="640" t="s">
        <v>40</v>
      </c>
      <c r="Q230" s="641"/>
      <c r="R230" s="641"/>
      <c r="S230" s="641"/>
      <c r="T230" s="641"/>
      <c r="U230" s="641"/>
      <c r="V230" s="642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3"/>
      <c r="B231" s="643"/>
      <c r="C231" s="643"/>
      <c r="D231" s="643"/>
      <c r="E231" s="643"/>
      <c r="F231" s="643"/>
      <c r="G231" s="643"/>
      <c r="H231" s="643"/>
      <c r="I231" s="643"/>
      <c r="J231" s="643"/>
      <c r="K231" s="643"/>
      <c r="L231" s="643"/>
      <c r="M231" s="643"/>
      <c r="N231" s="643"/>
      <c r="O231" s="644"/>
      <c r="P231" s="640" t="s">
        <v>40</v>
      </c>
      <c r="Q231" s="641"/>
      <c r="R231" s="641"/>
      <c r="S231" s="641"/>
      <c r="T231" s="641"/>
      <c r="U231" s="641"/>
      <c r="V231" s="642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3" t="s">
        <v>398</v>
      </c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3"/>
      <c r="P232" s="633"/>
      <c r="Q232" s="633"/>
      <c r="R232" s="633"/>
      <c r="S232" s="633"/>
      <c r="T232" s="633"/>
      <c r="U232" s="633"/>
      <c r="V232" s="633"/>
      <c r="W232" s="633"/>
      <c r="X232" s="633"/>
      <c r="Y232" s="633"/>
      <c r="Z232" s="633"/>
      <c r="AA232" s="65"/>
      <c r="AB232" s="65"/>
      <c r="AC232" s="79"/>
    </row>
    <row r="233" spans="1:68" ht="14.25" customHeight="1" x14ac:dyDescent="0.25">
      <c r="A233" s="634" t="s">
        <v>114</v>
      </c>
      <c r="B233" s="634"/>
      <c r="C233" s="634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4"/>
      <c r="S233" s="634"/>
      <c r="T233" s="634"/>
      <c r="U233" s="634"/>
      <c r="V233" s="634"/>
      <c r="W233" s="634"/>
      <c r="X233" s="634"/>
      <c r="Y233" s="634"/>
      <c r="Z233" s="634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635">
        <v>4680115884137</v>
      </c>
      <c r="E234" s="635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119</v>
      </c>
      <c r="L234" s="37" t="s">
        <v>45</v>
      </c>
      <c r="M234" s="38" t="s">
        <v>118</v>
      </c>
      <c r="N234" s="38"/>
      <c r="O234" s="37">
        <v>55</v>
      </c>
      <c r="P234" s="7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7"/>
      <c r="R234" s="637"/>
      <c r="S234" s="637"/>
      <c r="T234" s="63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45</v>
      </c>
      <c r="AK234" s="84">
        <v>0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635">
        <v>4680115884236</v>
      </c>
      <c r="E235" s="63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7"/>
      <c r="R235" s="637"/>
      <c r="S235" s="637"/>
      <c r="T235" s="63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635">
        <v>4680115884175</v>
      </c>
      <c r="E236" s="63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7"/>
      <c r="R236" s="637"/>
      <c r="S236" s="637"/>
      <c r="T236" s="63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635">
        <v>4680115884144</v>
      </c>
      <c r="E237" s="63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45</v>
      </c>
      <c r="M237" s="38" t="s">
        <v>118</v>
      </c>
      <c r="N237" s="38"/>
      <c r="O237" s="37">
        <v>55</v>
      </c>
      <c r="P237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7"/>
      <c r="R237" s="637"/>
      <c r="S237" s="637"/>
      <c r="T237" s="63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635">
        <v>4680115884144</v>
      </c>
      <c r="E238" s="63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123</v>
      </c>
      <c r="L238" s="37" t="s">
        <v>45</v>
      </c>
      <c r="M238" s="38" t="s">
        <v>118</v>
      </c>
      <c r="N238" s="38"/>
      <c r="O238" s="37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7"/>
      <c r="R238" s="637"/>
      <c r="S238" s="637"/>
      <c r="T238" s="63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635">
        <v>4680115886551</v>
      </c>
      <c r="E239" s="63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123</v>
      </c>
      <c r="L239" s="37" t="s">
        <v>45</v>
      </c>
      <c r="M239" s="38" t="s">
        <v>118</v>
      </c>
      <c r="N239" s="38"/>
      <c r="O239" s="37">
        <v>55</v>
      </c>
      <c r="P239" s="7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7"/>
      <c r="R239" s="637"/>
      <c r="S239" s="637"/>
      <c r="T239" s="63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635">
        <v>4680115887282</v>
      </c>
      <c r="E240" s="63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118</v>
      </c>
      <c r="N240" s="38"/>
      <c r="O240" s="37">
        <v>55</v>
      </c>
      <c r="P240" s="75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7"/>
      <c r="R240" s="637"/>
      <c r="S240" s="637"/>
      <c r="T240" s="63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635">
        <v>4680115884205</v>
      </c>
      <c r="E241" s="63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123</v>
      </c>
      <c r="L241" s="37" t="s">
        <v>126</v>
      </c>
      <c r="M241" s="38" t="s">
        <v>118</v>
      </c>
      <c r="N241" s="38"/>
      <c r="O241" s="37">
        <v>55</v>
      </c>
      <c r="P241" s="75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7"/>
      <c r="R241" s="637"/>
      <c r="S241" s="637"/>
      <c r="T241" s="63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94</v>
      </c>
      <c r="AK241" s="84">
        <v>48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635">
        <v>4680115884205</v>
      </c>
      <c r="E242" s="635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123</v>
      </c>
      <c r="L242" s="37" t="s">
        <v>45</v>
      </c>
      <c r="M242" s="38" t="s">
        <v>118</v>
      </c>
      <c r="N242" s="38"/>
      <c r="O242" s="37">
        <v>55</v>
      </c>
      <c r="P242" s="75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7"/>
      <c r="R242" s="637"/>
      <c r="S242" s="637"/>
      <c r="T242" s="638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3"/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4"/>
      <c r="P243" s="640" t="s">
        <v>40</v>
      </c>
      <c r="Q243" s="641"/>
      <c r="R243" s="641"/>
      <c r="S243" s="641"/>
      <c r="T243" s="641"/>
      <c r="U243" s="641"/>
      <c r="V243" s="642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3"/>
      <c r="B244" s="643"/>
      <c r="C244" s="643"/>
      <c r="D244" s="643"/>
      <c r="E244" s="643"/>
      <c r="F244" s="643"/>
      <c r="G244" s="643"/>
      <c r="H244" s="643"/>
      <c r="I244" s="643"/>
      <c r="J244" s="643"/>
      <c r="K244" s="643"/>
      <c r="L244" s="643"/>
      <c r="M244" s="643"/>
      <c r="N244" s="643"/>
      <c r="O244" s="644"/>
      <c r="P244" s="640" t="s">
        <v>40</v>
      </c>
      <c r="Q244" s="641"/>
      <c r="R244" s="641"/>
      <c r="S244" s="641"/>
      <c r="T244" s="641"/>
      <c r="U244" s="641"/>
      <c r="V244" s="642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4" t="s">
        <v>149</v>
      </c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4"/>
      <c r="P245" s="634"/>
      <c r="Q245" s="634"/>
      <c r="R245" s="634"/>
      <c r="S245" s="634"/>
      <c r="T245" s="634"/>
      <c r="U245" s="634"/>
      <c r="V245" s="634"/>
      <c r="W245" s="634"/>
      <c r="X245" s="634"/>
      <c r="Y245" s="634"/>
      <c r="Z245" s="634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635">
        <v>4680115885981</v>
      </c>
      <c r="E246" s="635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7"/>
      <c r="R246" s="637"/>
      <c r="S246" s="637"/>
      <c r="T246" s="63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3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0" t="s">
        <v>40</v>
      </c>
      <c r="Q247" s="641"/>
      <c r="R247" s="641"/>
      <c r="S247" s="641"/>
      <c r="T247" s="641"/>
      <c r="U247" s="641"/>
      <c r="V247" s="64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0" t="s">
        <v>40</v>
      </c>
      <c r="Q248" s="641"/>
      <c r="R248" s="641"/>
      <c r="S248" s="641"/>
      <c r="T248" s="641"/>
      <c r="U248" s="641"/>
      <c r="V248" s="64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4" t="s">
        <v>423</v>
      </c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4"/>
      <c r="S249" s="634"/>
      <c r="T249" s="634"/>
      <c r="U249" s="634"/>
      <c r="V249" s="634"/>
      <c r="W249" s="634"/>
      <c r="X249" s="634"/>
      <c r="Y249" s="634"/>
      <c r="Z249" s="634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635">
        <v>4680115886803</v>
      </c>
      <c r="E250" s="635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7"/>
      <c r="R250" s="637"/>
      <c r="S250" s="637"/>
      <c r="T250" s="63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4" t="s">
        <v>427</v>
      </c>
      <c r="B253" s="634"/>
      <c r="C253" s="634"/>
      <c r="D253" s="634"/>
      <c r="E253" s="634"/>
      <c r="F253" s="634"/>
      <c r="G253" s="634"/>
      <c r="H253" s="634"/>
      <c r="I253" s="634"/>
      <c r="J253" s="634"/>
      <c r="K253" s="634"/>
      <c r="L253" s="634"/>
      <c r="M253" s="634"/>
      <c r="N253" s="634"/>
      <c r="O253" s="634"/>
      <c r="P253" s="634"/>
      <c r="Q253" s="634"/>
      <c r="R253" s="634"/>
      <c r="S253" s="634"/>
      <c r="T253" s="634"/>
      <c r="U253" s="634"/>
      <c r="V253" s="634"/>
      <c r="W253" s="634"/>
      <c r="X253" s="634"/>
      <c r="Y253" s="634"/>
      <c r="Z253" s="634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635">
        <v>4680115886704</v>
      </c>
      <c r="E254" s="63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76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7"/>
      <c r="R254" s="637"/>
      <c r="S254" s="637"/>
      <c r="T254" s="63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635">
        <v>4680115886681</v>
      </c>
      <c r="E255" s="635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7"/>
      <c r="R255" s="637"/>
      <c r="S255" s="637"/>
      <c r="T255" s="63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635">
        <v>4680115886735</v>
      </c>
      <c r="E256" s="635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76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7"/>
      <c r="R256" s="637"/>
      <c r="S256" s="637"/>
      <c r="T256" s="63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635">
        <v>4680115886728</v>
      </c>
      <c r="E257" s="63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76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7"/>
      <c r="R257" s="637"/>
      <c r="S257" s="637"/>
      <c r="T257" s="63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635">
        <v>4680115886711</v>
      </c>
      <c r="E258" s="635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7"/>
      <c r="R258" s="637"/>
      <c r="S258" s="637"/>
      <c r="T258" s="63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3"/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4"/>
      <c r="P259" s="640" t="s">
        <v>40</v>
      </c>
      <c r="Q259" s="641"/>
      <c r="R259" s="641"/>
      <c r="S259" s="641"/>
      <c r="T259" s="641"/>
      <c r="U259" s="641"/>
      <c r="V259" s="642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3"/>
      <c r="B260" s="643"/>
      <c r="C260" s="643"/>
      <c r="D260" s="643"/>
      <c r="E260" s="643"/>
      <c r="F260" s="643"/>
      <c r="G260" s="643"/>
      <c r="H260" s="643"/>
      <c r="I260" s="643"/>
      <c r="J260" s="643"/>
      <c r="K260" s="643"/>
      <c r="L260" s="643"/>
      <c r="M260" s="643"/>
      <c r="N260" s="643"/>
      <c r="O260" s="644"/>
      <c r="P260" s="640" t="s">
        <v>40</v>
      </c>
      <c r="Q260" s="641"/>
      <c r="R260" s="641"/>
      <c r="S260" s="641"/>
      <c r="T260" s="641"/>
      <c r="U260" s="641"/>
      <c r="V260" s="642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3" t="s">
        <v>439</v>
      </c>
      <c r="B261" s="633"/>
      <c r="C261" s="633"/>
      <c r="D261" s="633"/>
      <c r="E261" s="633"/>
      <c r="F261" s="633"/>
      <c r="G261" s="633"/>
      <c r="H261" s="633"/>
      <c r="I261" s="633"/>
      <c r="J261" s="633"/>
      <c r="K261" s="633"/>
      <c r="L261" s="633"/>
      <c r="M261" s="633"/>
      <c r="N261" s="633"/>
      <c r="O261" s="633"/>
      <c r="P261" s="633"/>
      <c r="Q261" s="633"/>
      <c r="R261" s="633"/>
      <c r="S261" s="633"/>
      <c r="T261" s="633"/>
      <c r="U261" s="633"/>
      <c r="V261" s="633"/>
      <c r="W261" s="633"/>
      <c r="X261" s="633"/>
      <c r="Y261" s="633"/>
      <c r="Z261" s="633"/>
      <c r="AA261" s="65"/>
      <c r="AB261" s="65"/>
      <c r="AC261" s="79"/>
    </row>
    <row r="262" spans="1:68" ht="14.25" customHeight="1" x14ac:dyDescent="0.25">
      <c r="A262" s="634" t="s">
        <v>114</v>
      </c>
      <c r="B262" s="634"/>
      <c r="C262" s="634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4"/>
      <c r="S262" s="634"/>
      <c r="T262" s="634"/>
      <c r="U262" s="634"/>
      <c r="V262" s="634"/>
      <c r="W262" s="634"/>
      <c r="X262" s="634"/>
      <c r="Y262" s="634"/>
      <c r="Z262" s="634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635">
        <v>4680115885837</v>
      </c>
      <c r="E263" s="63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7"/>
      <c r="R263" s="637"/>
      <c r="S263" s="637"/>
      <c r="T263" s="63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635">
        <v>4680115885851</v>
      </c>
      <c r="E264" s="63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7"/>
      <c r="R264" s="637"/>
      <c r="S264" s="637"/>
      <c r="T264" s="63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635">
        <v>4680115885806</v>
      </c>
      <c r="E265" s="635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45</v>
      </c>
      <c r="M265" s="38" t="s">
        <v>118</v>
      </c>
      <c r="N265" s="38"/>
      <c r="O265" s="37">
        <v>55</v>
      </c>
      <c r="P265" s="7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7"/>
      <c r="R265" s="637"/>
      <c r="S265" s="637"/>
      <c r="T265" s="63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635">
        <v>4680115885844</v>
      </c>
      <c r="E266" s="63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123</v>
      </c>
      <c r="L266" s="37" t="s">
        <v>45</v>
      </c>
      <c r="M266" s="38" t="s">
        <v>118</v>
      </c>
      <c r="N266" s="38"/>
      <c r="O266" s="37">
        <v>55</v>
      </c>
      <c r="P266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7"/>
      <c r="R266" s="637"/>
      <c r="S266" s="637"/>
      <c r="T266" s="63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635">
        <v>4680115885820</v>
      </c>
      <c r="E267" s="635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123</v>
      </c>
      <c r="L267" s="37" t="s">
        <v>45</v>
      </c>
      <c r="M267" s="38" t="s">
        <v>118</v>
      </c>
      <c r="N267" s="38"/>
      <c r="O267" s="37">
        <v>55</v>
      </c>
      <c r="P267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7"/>
      <c r="R267" s="637"/>
      <c r="S267" s="637"/>
      <c r="T267" s="63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3"/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4"/>
      <c r="P268" s="640" t="s">
        <v>40</v>
      </c>
      <c r="Q268" s="641"/>
      <c r="R268" s="641"/>
      <c r="S268" s="641"/>
      <c r="T268" s="641"/>
      <c r="U268" s="641"/>
      <c r="V268" s="642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3"/>
      <c r="B269" s="643"/>
      <c r="C269" s="643"/>
      <c r="D269" s="643"/>
      <c r="E269" s="643"/>
      <c r="F269" s="643"/>
      <c r="G269" s="643"/>
      <c r="H269" s="643"/>
      <c r="I269" s="643"/>
      <c r="J269" s="643"/>
      <c r="K269" s="643"/>
      <c r="L269" s="643"/>
      <c r="M269" s="643"/>
      <c r="N269" s="643"/>
      <c r="O269" s="644"/>
      <c r="P269" s="640" t="s">
        <v>40</v>
      </c>
      <c r="Q269" s="641"/>
      <c r="R269" s="641"/>
      <c r="S269" s="641"/>
      <c r="T269" s="641"/>
      <c r="U269" s="641"/>
      <c r="V269" s="642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3" t="s">
        <v>455</v>
      </c>
      <c r="B270" s="633"/>
      <c r="C270" s="633"/>
      <c r="D270" s="633"/>
      <c r="E270" s="633"/>
      <c r="F270" s="633"/>
      <c r="G270" s="633"/>
      <c r="H270" s="633"/>
      <c r="I270" s="633"/>
      <c r="J270" s="633"/>
      <c r="K270" s="633"/>
      <c r="L270" s="633"/>
      <c r="M270" s="633"/>
      <c r="N270" s="633"/>
      <c r="O270" s="633"/>
      <c r="P270" s="633"/>
      <c r="Q270" s="633"/>
      <c r="R270" s="633"/>
      <c r="S270" s="633"/>
      <c r="T270" s="633"/>
      <c r="U270" s="633"/>
      <c r="V270" s="633"/>
      <c r="W270" s="633"/>
      <c r="X270" s="633"/>
      <c r="Y270" s="633"/>
      <c r="Z270" s="633"/>
      <c r="AA270" s="65"/>
      <c r="AB270" s="65"/>
      <c r="AC270" s="79"/>
    </row>
    <row r="271" spans="1:68" ht="14.25" customHeight="1" x14ac:dyDescent="0.25">
      <c r="A271" s="634" t="s">
        <v>114</v>
      </c>
      <c r="B271" s="634"/>
      <c r="C271" s="634"/>
      <c r="D271" s="634"/>
      <c r="E271" s="634"/>
      <c r="F271" s="634"/>
      <c r="G271" s="634"/>
      <c r="H271" s="63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4"/>
      <c r="S271" s="634"/>
      <c r="T271" s="634"/>
      <c r="U271" s="634"/>
      <c r="V271" s="634"/>
      <c r="W271" s="634"/>
      <c r="X271" s="634"/>
      <c r="Y271" s="634"/>
      <c r="Z271" s="634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635">
        <v>4607091383423</v>
      </c>
      <c r="E272" s="635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119</v>
      </c>
      <c r="L272" s="37" t="s">
        <v>45</v>
      </c>
      <c r="M272" s="38" t="s">
        <v>92</v>
      </c>
      <c r="N272" s="38"/>
      <c r="O272" s="37">
        <v>35</v>
      </c>
      <c r="P272" s="77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7"/>
      <c r="R272" s="637"/>
      <c r="S272" s="637"/>
      <c r="T272" s="63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117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635">
        <v>4680115886957</v>
      </c>
      <c r="E273" s="63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92</v>
      </c>
      <c r="N273" s="38"/>
      <c r="O273" s="37">
        <v>30</v>
      </c>
      <c r="P273" s="77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7"/>
      <c r="R273" s="637"/>
      <c r="S273" s="637"/>
      <c r="T273" s="63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635">
        <v>4680115885660</v>
      </c>
      <c r="E274" s="63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119</v>
      </c>
      <c r="L274" s="37" t="s">
        <v>45</v>
      </c>
      <c r="M274" s="38" t="s">
        <v>92</v>
      </c>
      <c r="N274" s="38"/>
      <c r="O274" s="37">
        <v>35</v>
      </c>
      <c r="P274" s="77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7"/>
      <c r="R274" s="637"/>
      <c r="S274" s="637"/>
      <c r="T274" s="63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635">
        <v>4680115886773</v>
      </c>
      <c r="E275" s="635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119</v>
      </c>
      <c r="L275" s="37" t="s">
        <v>45</v>
      </c>
      <c r="M275" s="38" t="s">
        <v>118</v>
      </c>
      <c r="N275" s="38"/>
      <c r="O275" s="37">
        <v>31</v>
      </c>
      <c r="P275" s="77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7"/>
      <c r="R275" s="637"/>
      <c r="S275" s="637"/>
      <c r="T275" s="638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3"/>
      <c r="B276" s="643"/>
      <c r="C276" s="643"/>
      <c r="D276" s="643"/>
      <c r="E276" s="643"/>
      <c r="F276" s="643"/>
      <c r="G276" s="643"/>
      <c r="H276" s="643"/>
      <c r="I276" s="643"/>
      <c r="J276" s="643"/>
      <c r="K276" s="643"/>
      <c r="L276" s="643"/>
      <c r="M276" s="643"/>
      <c r="N276" s="643"/>
      <c r="O276" s="644"/>
      <c r="P276" s="640" t="s">
        <v>40</v>
      </c>
      <c r="Q276" s="641"/>
      <c r="R276" s="641"/>
      <c r="S276" s="641"/>
      <c r="T276" s="641"/>
      <c r="U276" s="641"/>
      <c r="V276" s="642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3" t="s">
        <v>466</v>
      </c>
      <c r="B278" s="633"/>
      <c r="C278" s="633"/>
      <c r="D278" s="633"/>
      <c r="E278" s="633"/>
      <c r="F278" s="633"/>
      <c r="G278" s="633"/>
      <c r="H278" s="633"/>
      <c r="I278" s="633"/>
      <c r="J278" s="633"/>
      <c r="K278" s="633"/>
      <c r="L278" s="633"/>
      <c r="M278" s="633"/>
      <c r="N278" s="633"/>
      <c r="O278" s="633"/>
      <c r="P278" s="633"/>
      <c r="Q278" s="633"/>
      <c r="R278" s="633"/>
      <c r="S278" s="633"/>
      <c r="T278" s="633"/>
      <c r="U278" s="633"/>
      <c r="V278" s="633"/>
      <c r="W278" s="633"/>
      <c r="X278" s="633"/>
      <c r="Y278" s="633"/>
      <c r="Z278" s="633"/>
      <c r="AA278" s="65"/>
      <c r="AB278" s="65"/>
      <c r="AC278" s="79"/>
    </row>
    <row r="279" spans="1:68" ht="14.25" customHeight="1" x14ac:dyDescent="0.25">
      <c r="A279" s="634" t="s">
        <v>88</v>
      </c>
      <c r="B279" s="634"/>
      <c r="C279" s="634"/>
      <c r="D279" s="634"/>
      <c r="E279" s="634"/>
      <c r="F279" s="634"/>
      <c r="G279" s="634"/>
      <c r="H279" s="634"/>
      <c r="I279" s="634"/>
      <c r="J279" s="634"/>
      <c r="K279" s="634"/>
      <c r="L279" s="634"/>
      <c r="M279" s="634"/>
      <c r="N279" s="634"/>
      <c r="O279" s="634"/>
      <c r="P279" s="634"/>
      <c r="Q279" s="634"/>
      <c r="R279" s="634"/>
      <c r="S279" s="634"/>
      <c r="T279" s="634"/>
      <c r="U279" s="634"/>
      <c r="V279" s="634"/>
      <c r="W279" s="634"/>
      <c r="X279" s="634"/>
      <c r="Y279" s="634"/>
      <c r="Z279" s="634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635">
        <v>4680115886186</v>
      </c>
      <c r="E280" s="635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7"/>
      <c r="R280" s="637"/>
      <c r="S280" s="637"/>
      <c r="T280" s="63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635">
        <v>4680115881228</v>
      </c>
      <c r="E281" s="63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93</v>
      </c>
      <c r="M281" s="38" t="s">
        <v>100</v>
      </c>
      <c r="N281" s="38"/>
      <c r="O281" s="37">
        <v>40</v>
      </c>
      <c r="P281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7"/>
      <c r="R281" s="637"/>
      <c r="S281" s="637"/>
      <c r="T281" s="63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94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635">
        <v>4680115881211</v>
      </c>
      <c r="E282" s="635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45</v>
      </c>
      <c r="M282" s="38" t="s">
        <v>92</v>
      </c>
      <c r="N282" s="38"/>
      <c r="O282" s="37">
        <v>45</v>
      </c>
      <c r="P282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7"/>
      <c r="R282" s="637"/>
      <c r="S282" s="637"/>
      <c r="T282" s="638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45</v>
      </c>
      <c r="AK282" s="84">
        <v>0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3"/>
      <c r="B283" s="643"/>
      <c r="C283" s="643"/>
      <c r="D283" s="643"/>
      <c r="E283" s="643"/>
      <c r="F283" s="643"/>
      <c r="G283" s="643"/>
      <c r="H283" s="643"/>
      <c r="I283" s="643"/>
      <c r="J283" s="643"/>
      <c r="K283" s="643"/>
      <c r="L283" s="643"/>
      <c r="M283" s="643"/>
      <c r="N283" s="643"/>
      <c r="O283" s="644"/>
      <c r="P283" s="640" t="s">
        <v>40</v>
      </c>
      <c r="Q283" s="641"/>
      <c r="R283" s="641"/>
      <c r="S283" s="641"/>
      <c r="T283" s="641"/>
      <c r="U283" s="641"/>
      <c r="V283" s="642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3"/>
      <c r="B284" s="643"/>
      <c r="C284" s="643"/>
      <c r="D284" s="643"/>
      <c r="E284" s="643"/>
      <c r="F284" s="643"/>
      <c r="G284" s="643"/>
      <c r="H284" s="643"/>
      <c r="I284" s="643"/>
      <c r="J284" s="643"/>
      <c r="K284" s="643"/>
      <c r="L284" s="643"/>
      <c r="M284" s="643"/>
      <c r="N284" s="643"/>
      <c r="O284" s="644"/>
      <c r="P284" s="640" t="s">
        <v>40</v>
      </c>
      <c r="Q284" s="641"/>
      <c r="R284" s="641"/>
      <c r="S284" s="641"/>
      <c r="T284" s="641"/>
      <c r="U284" s="641"/>
      <c r="V284" s="642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3" t="s">
        <v>475</v>
      </c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3"/>
      <c r="P285" s="633"/>
      <c r="Q285" s="633"/>
      <c r="R285" s="633"/>
      <c r="S285" s="633"/>
      <c r="T285" s="633"/>
      <c r="U285" s="633"/>
      <c r="V285" s="633"/>
      <c r="W285" s="633"/>
      <c r="X285" s="633"/>
      <c r="Y285" s="633"/>
      <c r="Z285" s="633"/>
      <c r="AA285" s="65"/>
      <c r="AB285" s="65"/>
      <c r="AC285" s="79"/>
    </row>
    <row r="286" spans="1:68" ht="14.25" customHeight="1" x14ac:dyDescent="0.25">
      <c r="A286" s="634" t="s">
        <v>78</v>
      </c>
      <c r="B286" s="634"/>
      <c r="C286" s="634"/>
      <c r="D286" s="634"/>
      <c r="E286" s="634"/>
      <c r="F286" s="634"/>
      <c r="G286" s="634"/>
      <c r="H286" s="634"/>
      <c r="I286" s="634"/>
      <c r="J286" s="634"/>
      <c r="K286" s="634"/>
      <c r="L286" s="634"/>
      <c r="M286" s="634"/>
      <c r="N286" s="634"/>
      <c r="O286" s="634"/>
      <c r="P286" s="634"/>
      <c r="Q286" s="634"/>
      <c r="R286" s="634"/>
      <c r="S286" s="634"/>
      <c r="T286" s="634"/>
      <c r="U286" s="634"/>
      <c r="V286" s="634"/>
      <c r="W286" s="634"/>
      <c r="X286" s="634"/>
      <c r="Y286" s="634"/>
      <c r="Z286" s="634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635">
        <v>4680115880344</v>
      </c>
      <c r="E287" s="635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7"/>
      <c r="R287" s="637"/>
      <c r="S287" s="637"/>
      <c r="T287" s="63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635">
        <v>4680115886919</v>
      </c>
      <c r="E288" s="635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7"/>
      <c r="R288" s="637"/>
      <c r="S288" s="637"/>
      <c r="T288" s="63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0" t="s">
        <v>40</v>
      </c>
      <c r="Q289" s="641"/>
      <c r="R289" s="641"/>
      <c r="S289" s="641"/>
      <c r="T289" s="641"/>
      <c r="U289" s="641"/>
      <c r="V289" s="642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3"/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4"/>
      <c r="P290" s="640" t="s">
        <v>40</v>
      </c>
      <c r="Q290" s="641"/>
      <c r="R290" s="641"/>
      <c r="S290" s="641"/>
      <c r="T290" s="641"/>
      <c r="U290" s="641"/>
      <c r="V290" s="642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4" t="s">
        <v>88</v>
      </c>
      <c r="B291" s="634"/>
      <c r="C291" s="634"/>
      <c r="D291" s="634"/>
      <c r="E291" s="634"/>
      <c r="F291" s="634"/>
      <c r="G291" s="634"/>
      <c r="H291" s="634"/>
      <c r="I291" s="634"/>
      <c r="J291" s="634"/>
      <c r="K291" s="634"/>
      <c r="L291" s="634"/>
      <c r="M291" s="634"/>
      <c r="N291" s="634"/>
      <c r="O291" s="634"/>
      <c r="P291" s="634"/>
      <c r="Q291" s="634"/>
      <c r="R291" s="634"/>
      <c r="S291" s="634"/>
      <c r="T291" s="634"/>
      <c r="U291" s="634"/>
      <c r="V291" s="634"/>
      <c r="W291" s="634"/>
      <c r="X291" s="634"/>
      <c r="Y291" s="634"/>
      <c r="Z291" s="634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635">
        <v>4680115884618</v>
      </c>
      <c r="E292" s="635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123</v>
      </c>
      <c r="L292" s="37" t="s">
        <v>45</v>
      </c>
      <c r="M292" s="38" t="s">
        <v>92</v>
      </c>
      <c r="N292" s="38"/>
      <c r="O292" s="37">
        <v>45</v>
      </c>
      <c r="P29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7"/>
      <c r="R292" s="637"/>
      <c r="S292" s="637"/>
      <c r="T292" s="63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635">
        <v>4680115887114</v>
      </c>
      <c r="E293" s="635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123</v>
      </c>
      <c r="L293" s="37" t="s">
        <v>45</v>
      </c>
      <c r="M293" s="38" t="s">
        <v>92</v>
      </c>
      <c r="N293" s="38"/>
      <c r="O293" s="37">
        <v>45</v>
      </c>
      <c r="P293" s="7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7"/>
      <c r="R293" s="637"/>
      <c r="S293" s="637"/>
      <c r="T293" s="63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0" t="s">
        <v>40</v>
      </c>
      <c r="Q294" s="641"/>
      <c r="R294" s="641"/>
      <c r="S294" s="641"/>
      <c r="T294" s="641"/>
      <c r="U294" s="641"/>
      <c r="V294" s="642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3"/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4"/>
      <c r="P295" s="640" t="s">
        <v>40</v>
      </c>
      <c r="Q295" s="641"/>
      <c r="R295" s="641"/>
      <c r="S295" s="641"/>
      <c r="T295" s="641"/>
      <c r="U295" s="641"/>
      <c r="V295" s="642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3" t="s">
        <v>488</v>
      </c>
      <c r="B296" s="633"/>
      <c r="C296" s="633"/>
      <c r="D296" s="633"/>
      <c r="E296" s="633"/>
      <c r="F296" s="633"/>
      <c r="G296" s="633"/>
      <c r="H296" s="633"/>
      <c r="I296" s="633"/>
      <c r="J296" s="633"/>
      <c r="K296" s="633"/>
      <c r="L296" s="633"/>
      <c r="M296" s="633"/>
      <c r="N296" s="633"/>
      <c r="O296" s="633"/>
      <c r="P296" s="633"/>
      <c r="Q296" s="633"/>
      <c r="R296" s="633"/>
      <c r="S296" s="633"/>
      <c r="T296" s="633"/>
      <c r="U296" s="633"/>
      <c r="V296" s="633"/>
      <c r="W296" s="633"/>
      <c r="X296" s="633"/>
      <c r="Y296" s="633"/>
      <c r="Z296" s="633"/>
      <c r="AA296" s="65"/>
      <c r="AB296" s="65"/>
      <c r="AC296" s="79"/>
    </row>
    <row r="297" spans="1:68" ht="14.25" customHeight="1" x14ac:dyDescent="0.25">
      <c r="A297" s="634" t="s">
        <v>114</v>
      </c>
      <c r="B297" s="634"/>
      <c r="C297" s="634"/>
      <c r="D297" s="634"/>
      <c r="E297" s="634"/>
      <c r="F297" s="634"/>
      <c r="G297" s="634"/>
      <c r="H297" s="634"/>
      <c r="I297" s="634"/>
      <c r="J297" s="634"/>
      <c r="K297" s="634"/>
      <c r="L297" s="634"/>
      <c r="M297" s="634"/>
      <c r="N297" s="634"/>
      <c r="O297" s="634"/>
      <c r="P297" s="634"/>
      <c r="Q297" s="634"/>
      <c r="R297" s="634"/>
      <c r="S297" s="634"/>
      <c r="T297" s="634"/>
      <c r="U297" s="634"/>
      <c r="V297" s="634"/>
      <c r="W297" s="634"/>
      <c r="X297" s="634"/>
      <c r="Y297" s="634"/>
      <c r="Z297" s="634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4301012126</v>
      </c>
      <c r="D298" s="635">
        <v>4607091386004</v>
      </c>
      <c r="E298" s="63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637"/>
      <c r="R298" s="637"/>
      <c r="S298" s="637"/>
      <c r="T298" s="63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31"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 t="shared" ref="BM298:BM303" si="32">IFERROR(X298*I298/H298,"0")</f>
        <v>0</v>
      </c>
      <c r="BN298" s="78">
        <f t="shared" ref="BN298:BN303" si="33">IFERROR(Y298*I298/H298,"0")</f>
        <v>0</v>
      </c>
      <c r="BO298" s="78">
        <f t="shared" ref="BO298:BO303" si="34">IFERROR(1/J298*(X298/H298),"0")</f>
        <v>0</v>
      </c>
      <c r="BP298" s="78">
        <f t="shared" ref="BP298:BP303" si="35">IFERROR(1/J298*(Y298/H298),"0")</f>
        <v>0</v>
      </c>
    </row>
    <row r="299" spans="1:68" ht="27" customHeight="1" x14ac:dyDescent="0.25">
      <c r="A299" s="63" t="s">
        <v>492</v>
      </c>
      <c r="B299" s="63" t="s">
        <v>493</v>
      </c>
      <c r="C299" s="36">
        <v>4301012024</v>
      </c>
      <c r="D299" s="635">
        <v>4680115885615</v>
      </c>
      <c r="E299" s="63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92</v>
      </c>
      <c r="N299" s="38"/>
      <c r="O299" s="37">
        <v>55</v>
      </c>
      <c r="P299" s="7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637"/>
      <c r="R299" s="637"/>
      <c r="S299" s="637"/>
      <c r="T299" s="63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37.5" customHeight="1" x14ac:dyDescent="0.25">
      <c r="A300" s="63" t="s">
        <v>495</v>
      </c>
      <c r="B300" s="63" t="s">
        <v>496</v>
      </c>
      <c r="C300" s="36">
        <v>4301011858</v>
      </c>
      <c r="D300" s="635">
        <v>4680115885646</v>
      </c>
      <c r="E300" s="635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119</v>
      </c>
      <c r="L300" s="37" t="s">
        <v>45</v>
      </c>
      <c r="M300" s="38" t="s">
        <v>118</v>
      </c>
      <c r="N300" s="38"/>
      <c r="O300" s="37">
        <v>55</v>
      </c>
      <c r="P300" s="78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637"/>
      <c r="R300" s="637"/>
      <c r="S300" s="637"/>
      <c r="T300" s="63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4301012016</v>
      </c>
      <c r="D301" s="635">
        <v>4680115885554</v>
      </c>
      <c r="E301" s="635"/>
      <c r="F301" s="62">
        <v>1.35</v>
      </c>
      <c r="G301" s="37">
        <v>8</v>
      </c>
      <c r="H301" s="62">
        <v>10.8</v>
      </c>
      <c r="I301" s="62">
        <v>11.21</v>
      </c>
      <c r="J301" s="37">
        <v>64</v>
      </c>
      <c r="K301" s="37" t="s">
        <v>119</v>
      </c>
      <c r="L301" s="37" t="s">
        <v>45</v>
      </c>
      <c r="M301" s="38" t="s">
        <v>92</v>
      </c>
      <c r="N301" s="38"/>
      <c r="O301" s="37">
        <v>55</v>
      </c>
      <c r="P30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637"/>
      <c r="R301" s="637"/>
      <c r="S301" s="637"/>
      <c r="T301" s="63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2" t="s">
        <v>500</v>
      </c>
      <c r="AG301" s="78"/>
      <c r="AJ301" s="84" t="s">
        <v>45</v>
      </c>
      <c r="AK301" s="84">
        <v>0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501</v>
      </c>
      <c r="B302" s="63" t="s">
        <v>502</v>
      </c>
      <c r="C302" s="36">
        <v>4301011857</v>
      </c>
      <c r="D302" s="635">
        <v>4680115885622</v>
      </c>
      <c r="E302" s="63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123</v>
      </c>
      <c r="L302" s="37" t="s">
        <v>45</v>
      </c>
      <c r="M302" s="38" t="s">
        <v>118</v>
      </c>
      <c r="N302" s="38"/>
      <c r="O302" s="37">
        <v>55</v>
      </c>
      <c r="P302" s="78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637"/>
      <c r="R302" s="637"/>
      <c r="S302" s="637"/>
      <c r="T302" s="63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494</v>
      </c>
      <c r="AG302" s="78"/>
      <c r="AJ302" s="84" t="s">
        <v>45</v>
      </c>
      <c r="AK302" s="84">
        <v>0</v>
      </c>
      <c r="BB302" s="375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503</v>
      </c>
      <c r="B303" s="63" t="s">
        <v>504</v>
      </c>
      <c r="C303" s="36">
        <v>4301011859</v>
      </c>
      <c r="D303" s="635">
        <v>4680115885608</v>
      </c>
      <c r="E303" s="63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123</v>
      </c>
      <c r="L303" s="37" t="s">
        <v>45</v>
      </c>
      <c r="M303" s="38" t="s">
        <v>118</v>
      </c>
      <c r="N303" s="38"/>
      <c r="O303" s="37">
        <v>55</v>
      </c>
      <c r="P303" s="78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637"/>
      <c r="R303" s="637"/>
      <c r="S303" s="637"/>
      <c r="T303" s="63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6" t="s">
        <v>505</v>
      </c>
      <c r="AG303" s="78"/>
      <c r="AJ303" s="84" t="s">
        <v>45</v>
      </c>
      <c r="AK303" s="84">
        <v>0</v>
      </c>
      <c r="BB303" s="377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x14ac:dyDescent="0.2">
      <c r="A304" s="643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0" t="s">
        <v>40</v>
      </c>
      <c r="Q304" s="641"/>
      <c r="R304" s="641"/>
      <c r="S304" s="641"/>
      <c r="T304" s="641"/>
      <c r="U304" s="641"/>
      <c r="V304" s="642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0" t="s">
        <v>40</v>
      </c>
      <c r="Q305" s="641"/>
      <c r="R305" s="641"/>
      <c r="S305" s="641"/>
      <c r="T305" s="641"/>
      <c r="U305" s="641"/>
      <c r="V305" s="642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34" t="s">
        <v>78</v>
      </c>
      <c r="B306" s="634"/>
      <c r="C306" s="634"/>
      <c r="D306" s="634"/>
      <c r="E306" s="634"/>
      <c r="F306" s="634"/>
      <c r="G306" s="634"/>
      <c r="H306" s="634"/>
      <c r="I306" s="634"/>
      <c r="J306" s="634"/>
      <c r="K306" s="634"/>
      <c r="L306" s="634"/>
      <c r="M306" s="634"/>
      <c r="N306" s="634"/>
      <c r="O306" s="634"/>
      <c r="P306" s="634"/>
      <c r="Q306" s="634"/>
      <c r="R306" s="634"/>
      <c r="S306" s="634"/>
      <c r="T306" s="634"/>
      <c r="U306" s="634"/>
      <c r="V306" s="634"/>
      <c r="W306" s="634"/>
      <c r="X306" s="634"/>
      <c r="Y306" s="634"/>
      <c r="Z306" s="634"/>
      <c r="AA306" s="66"/>
      <c r="AB306" s="66"/>
      <c r="AC306" s="80"/>
    </row>
    <row r="307" spans="1:68" ht="27" customHeight="1" x14ac:dyDescent="0.25">
      <c r="A307" s="63" t="s">
        <v>506</v>
      </c>
      <c r="B307" s="63" t="s">
        <v>507</v>
      </c>
      <c r="C307" s="36">
        <v>4301030878</v>
      </c>
      <c r="D307" s="635">
        <v>4607091387193</v>
      </c>
      <c r="E307" s="635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123</v>
      </c>
      <c r="L307" s="37" t="s">
        <v>45</v>
      </c>
      <c r="M307" s="38" t="s">
        <v>82</v>
      </c>
      <c r="N307" s="38"/>
      <c r="O307" s="37">
        <v>35</v>
      </c>
      <c r="P307" s="7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637"/>
      <c r="R307" s="637"/>
      <c r="S307" s="637"/>
      <c r="T307" s="63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ref="Y307:Y312" si="36">IFERROR(IF(X307="",0,CEILING((X307/$H307),1)*$H307),"")</f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45</v>
      </c>
      <c r="AK307" s="84">
        <v>0</v>
      </c>
      <c r="BB307" s="379" t="s">
        <v>66</v>
      </c>
      <c r="BM307" s="78">
        <f t="shared" ref="BM307:BM312" si="37">IFERROR(X307*I307/H307,"0")</f>
        <v>0</v>
      </c>
      <c r="BN307" s="78">
        <f t="shared" ref="BN307:BN312" si="38">IFERROR(Y307*I307/H307,"0")</f>
        <v>0</v>
      </c>
      <c r="BO307" s="78">
        <f t="shared" ref="BO307:BO312" si="39">IFERROR(1/J307*(X307/H307),"0")</f>
        <v>0</v>
      </c>
      <c r="BP307" s="78">
        <f t="shared" ref="BP307:BP312" si="40">IFERROR(1/J307*(Y307/H307),"0")</f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4301031153</v>
      </c>
      <c r="D308" s="635">
        <v>4607091387230</v>
      </c>
      <c r="E308" s="635"/>
      <c r="F308" s="62">
        <v>0.7</v>
      </c>
      <c r="G308" s="37">
        <v>6</v>
      </c>
      <c r="H308" s="62">
        <v>4.2</v>
      </c>
      <c r="I308" s="62">
        <v>4.45</v>
      </c>
      <c r="J308" s="37">
        <v>132</v>
      </c>
      <c r="K308" s="37" t="s">
        <v>123</v>
      </c>
      <c r="L308" s="37" t="s">
        <v>45</v>
      </c>
      <c r="M308" s="38" t="s">
        <v>82</v>
      </c>
      <c r="N308" s="38"/>
      <c r="O308" s="37">
        <v>40</v>
      </c>
      <c r="P308" s="7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637"/>
      <c r="R308" s="637"/>
      <c r="S308" s="637"/>
      <c r="T308" s="63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4301031154</v>
      </c>
      <c r="D309" s="635">
        <v>4607091387292</v>
      </c>
      <c r="E309" s="635"/>
      <c r="F309" s="62">
        <v>0.73</v>
      </c>
      <c r="G309" s="37">
        <v>6</v>
      </c>
      <c r="H309" s="62">
        <v>4.38</v>
      </c>
      <c r="I309" s="62">
        <v>4.63</v>
      </c>
      <c r="J309" s="37">
        <v>132</v>
      </c>
      <c r="K309" s="37" t="s">
        <v>123</v>
      </c>
      <c r="L309" s="37" t="s">
        <v>45</v>
      </c>
      <c r="M309" s="38" t="s">
        <v>82</v>
      </c>
      <c r="N309" s="38"/>
      <c r="O309" s="37">
        <v>45</v>
      </c>
      <c r="P309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637"/>
      <c r="R309" s="637"/>
      <c r="S309" s="637"/>
      <c r="T309" s="63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IFERROR(IF(Y309=0,"",ROUNDUP(Y309/H309,0)*0.00902),"")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45</v>
      </c>
      <c r="AK309" s="84">
        <v>0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515</v>
      </c>
      <c r="B310" s="63" t="s">
        <v>516</v>
      </c>
      <c r="C310" s="36">
        <v>4301031152</v>
      </c>
      <c r="D310" s="635">
        <v>4607091387285</v>
      </c>
      <c r="E310" s="635"/>
      <c r="F310" s="62">
        <v>0.35</v>
      </c>
      <c r="G310" s="37">
        <v>6</v>
      </c>
      <c r="H310" s="62">
        <v>2.1</v>
      </c>
      <c r="I310" s="62">
        <v>2.23</v>
      </c>
      <c r="J310" s="37">
        <v>234</v>
      </c>
      <c r="K310" s="37" t="s">
        <v>87</v>
      </c>
      <c r="L310" s="37" t="s">
        <v>45</v>
      </c>
      <c r="M310" s="38" t="s">
        <v>82</v>
      </c>
      <c r="N310" s="38"/>
      <c r="O310" s="37">
        <v>40</v>
      </c>
      <c r="P310" s="7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637"/>
      <c r="R310" s="637"/>
      <c r="S310" s="637"/>
      <c r="T310" s="63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511</v>
      </c>
      <c r="AG310" s="78"/>
      <c r="AJ310" s="84" t="s">
        <v>45</v>
      </c>
      <c r="AK310" s="84">
        <v>0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4301031305</v>
      </c>
      <c r="D311" s="635">
        <v>4607091389845</v>
      </c>
      <c r="E311" s="635"/>
      <c r="F311" s="62">
        <v>0.35</v>
      </c>
      <c r="G311" s="37">
        <v>6</v>
      </c>
      <c r="H311" s="62">
        <v>2.1</v>
      </c>
      <c r="I311" s="62">
        <v>2.2000000000000002</v>
      </c>
      <c r="J311" s="37">
        <v>234</v>
      </c>
      <c r="K311" s="37" t="s">
        <v>87</v>
      </c>
      <c r="L311" s="37" t="s">
        <v>312</v>
      </c>
      <c r="M311" s="38" t="s">
        <v>82</v>
      </c>
      <c r="N311" s="38"/>
      <c r="O311" s="37">
        <v>40</v>
      </c>
      <c r="P311" s="7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637"/>
      <c r="R311" s="637"/>
      <c r="S311" s="637"/>
      <c r="T311" s="63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6"/>
        <v>0</v>
      </c>
      <c r="Z311" s="41" t="str">
        <f>IFERROR(IF(Y311=0,"",ROUNDUP(Y311/H311,0)*0.00502),"")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94</v>
      </c>
      <c r="AK311" s="84">
        <v>37.799999999999997</v>
      </c>
      <c r="BB311" s="387" t="s">
        <v>66</v>
      </c>
      <c r="BM311" s="78">
        <f t="shared" si="37"/>
        <v>0</v>
      </c>
      <c r="BN311" s="78">
        <f t="shared" si="38"/>
        <v>0</v>
      </c>
      <c r="BO311" s="78">
        <f t="shared" si="39"/>
        <v>0</v>
      </c>
      <c r="BP311" s="78">
        <f t="shared" si="40"/>
        <v>0</v>
      </c>
    </row>
    <row r="312" spans="1:68" ht="27" customHeight="1" x14ac:dyDescent="0.25">
      <c r="A312" s="63" t="s">
        <v>520</v>
      </c>
      <c r="B312" s="63" t="s">
        <v>521</v>
      </c>
      <c r="C312" s="36">
        <v>4301031066</v>
      </c>
      <c r="D312" s="635">
        <v>4607091383836</v>
      </c>
      <c r="E312" s="635"/>
      <c r="F312" s="62">
        <v>0.3</v>
      </c>
      <c r="G312" s="37">
        <v>6</v>
      </c>
      <c r="H312" s="62">
        <v>1.8</v>
      </c>
      <c r="I312" s="62">
        <v>2.028</v>
      </c>
      <c r="J312" s="37">
        <v>182</v>
      </c>
      <c r="K312" s="37" t="s">
        <v>83</v>
      </c>
      <c r="L312" s="37" t="s">
        <v>93</v>
      </c>
      <c r="M312" s="38" t="s">
        <v>82</v>
      </c>
      <c r="N312" s="38"/>
      <c r="O312" s="37">
        <v>40</v>
      </c>
      <c r="P312" s="7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637"/>
      <c r="R312" s="637"/>
      <c r="S312" s="637"/>
      <c r="T312" s="638"/>
      <c r="U312" s="39" t="s">
        <v>45</v>
      </c>
      <c r="V312" s="39" t="s">
        <v>45</v>
      </c>
      <c r="W312" s="40" t="s">
        <v>0</v>
      </c>
      <c r="X312" s="58">
        <v>0</v>
      </c>
      <c r="Y312" s="55">
        <f t="shared" si="36"/>
        <v>0</v>
      </c>
      <c r="Z312" s="41" t="str">
        <f>IFERROR(IF(Y312=0,"",ROUNDUP(Y312/H312,0)*0.00651),"")</f>
        <v/>
      </c>
      <c r="AA312" s="68" t="s">
        <v>45</v>
      </c>
      <c r="AB312" s="69" t="s">
        <v>45</v>
      </c>
      <c r="AC312" s="388" t="s">
        <v>522</v>
      </c>
      <c r="AG312" s="78"/>
      <c r="AJ312" s="84" t="s">
        <v>94</v>
      </c>
      <c r="AK312" s="84">
        <v>25.2</v>
      </c>
      <c r="BB312" s="389" t="s">
        <v>66</v>
      </c>
      <c r="BM312" s="78">
        <f t="shared" si="37"/>
        <v>0</v>
      </c>
      <c r="BN312" s="78">
        <f t="shared" si="38"/>
        <v>0</v>
      </c>
      <c r="BO312" s="78">
        <f t="shared" si="39"/>
        <v>0</v>
      </c>
      <c r="BP312" s="78">
        <f t="shared" si="40"/>
        <v>0</v>
      </c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39</v>
      </c>
      <c r="X313" s="43">
        <f>IFERROR(X307/H307,"0")+IFERROR(X308/H308,"0")+IFERROR(X309/H309,"0")+IFERROR(X310/H310,"0")+IFERROR(X311/H311,"0")+IFERROR(X312/H312,"0")</f>
        <v>0</v>
      </c>
      <c r="Y313" s="43">
        <f>IFERROR(Y307/H307,"0")+IFERROR(Y308/H308,"0")+IFERROR(Y309/H309,"0")+IFERROR(Y310/H310,"0")+IFERROR(Y311/H311,"0")+IFERROR(Y312/H312,"0")</f>
        <v>0</v>
      </c>
      <c r="Z313" s="43">
        <f>IFERROR(IF(Z307="",0,Z307),"0")+IFERROR(IF(Z308="",0,Z308),"0")+IFERROR(IF(Z309="",0,Z309),"0")+IFERROR(IF(Z310="",0,Z310),"0")+IFERROR(IF(Z311="",0,Z311),"0")+IFERROR(IF(Z312="",0,Z312),"0")</f>
        <v>0</v>
      </c>
      <c r="AA313" s="67"/>
      <c r="AB313" s="67"/>
      <c r="AC313" s="67"/>
    </row>
    <row r="314" spans="1:68" x14ac:dyDescent="0.2">
      <c r="A314" s="643"/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4"/>
      <c r="P314" s="640" t="s">
        <v>40</v>
      </c>
      <c r="Q314" s="641"/>
      <c r="R314" s="641"/>
      <c r="S314" s="641"/>
      <c r="T314" s="641"/>
      <c r="U314" s="641"/>
      <c r="V314" s="642"/>
      <c r="W314" s="42" t="s">
        <v>0</v>
      </c>
      <c r="X314" s="43">
        <f>IFERROR(SUM(X307:X312),"0")</f>
        <v>0</v>
      </c>
      <c r="Y314" s="43">
        <f>IFERROR(SUM(Y307:Y312),"0")</f>
        <v>0</v>
      </c>
      <c r="Z314" s="42"/>
      <c r="AA314" s="67"/>
      <c r="AB314" s="67"/>
      <c r="AC314" s="67"/>
    </row>
    <row r="315" spans="1:68" ht="14.25" customHeight="1" x14ac:dyDescent="0.25">
      <c r="A315" s="634" t="s">
        <v>88</v>
      </c>
      <c r="B315" s="634"/>
      <c r="C315" s="634"/>
      <c r="D315" s="634"/>
      <c r="E315" s="634"/>
      <c r="F315" s="634"/>
      <c r="G315" s="634"/>
      <c r="H315" s="634"/>
      <c r="I315" s="634"/>
      <c r="J315" s="634"/>
      <c r="K315" s="634"/>
      <c r="L315" s="634"/>
      <c r="M315" s="634"/>
      <c r="N315" s="634"/>
      <c r="O315" s="634"/>
      <c r="P315" s="634"/>
      <c r="Q315" s="634"/>
      <c r="R315" s="634"/>
      <c r="S315" s="634"/>
      <c r="T315" s="634"/>
      <c r="U315" s="634"/>
      <c r="V315" s="634"/>
      <c r="W315" s="634"/>
      <c r="X315" s="634"/>
      <c r="Y315" s="634"/>
      <c r="Z315" s="634"/>
      <c r="AA315" s="66"/>
      <c r="AB315" s="66"/>
      <c r="AC315" s="80"/>
    </row>
    <row r="316" spans="1:68" ht="27" customHeight="1" x14ac:dyDescent="0.25">
      <c r="A316" s="63" t="s">
        <v>523</v>
      </c>
      <c r="B316" s="63" t="s">
        <v>524</v>
      </c>
      <c r="C316" s="36">
        <v>4301051100</v>
      </c>
      <c r="D316" s="635">
        <v>4607091387766</v>
      </c>
      <c r="E316" s="635"/>
      <c r="F316" s="62">
        <v>1.3</v>
      </c>
      <c r="G316" s="37">
        <v>6</v>
      </c>
      <c r="H316" s="62">
        <v>7.8</v>
      </c>
      <c r="I316" s="62">
        <v>8.2880000000000003</v>
      </c>
      <c r="J316" s="37">
        <v>64</v>
      </c>
      <c r="K316" s="37" t="s">
        <v>119</v>
      </c>
      <c r="L316" s="37" t="s">
        <v>45</v>
      </c>
      <c r="M316" s="38" t="s">
        <v>92</v>
      </c>
      <c r="N316" s="38"/>
      <c r="O316" s="37">
        <v>40</v>
      </c>
      <c r="P316" s="7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637"/>
      <c r="R316" s="637"/>
      <c r="S316" s="637"/>
      <c r="T316" s="63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4301051818</v>
      </c>
      <c r="D317" s="635">
        <v>4607091387957</v>
      </c>
      <c r="E317" s="635"/>
      <c r="F317" s="62">
        <v>1.3</v>
      </c>
      <c r="G317" s="37">
        <v>6</v>
      </c>
      <c r="H317" s="62">
        <v>7.8</v>
      </c>
      <c r="I317" s="62">
        <v>8.2940000000000005</v>
      </c>
      <c r="J317" s="37">
        <v>64</v>
      </c>
      <c r="K317" s="37" t="s">
        <v>119</v>
      </c>
      <c r="L317" s="37" t="s">
        <v>45</v>
      </c>
      <c r="M317" s="38" t="s">
        <v>92</v>
      </c>
      <c r="N317" s="38"/>
      <c r="O317" s="37">
        <v>40</v>
      </c>
      <c r="P317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637"/>
      <c r="R317" s="637"/>
      <c r="S317" s="637"/>
      <c r="T317" s="63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4301051819</v>
      </c>
      <c r="D318" s="635">
        <v>4607091387964</v>
      </c>
      <c r="E318" s="635"/>
      <c r="F318" s="62">
        <v>1.35</v>
      </c>
      <c r="G318" s="37">
        <v>6</v>
      </c>
      <c r="H318" s="62">
        <v>8.1</v>
      </c>
      <c r="I318" s="62">
        <v>8.5760000000000005</v>
      </c>
      <c r="J318" s="37">
        <v>64</v>
      </c>
      <c r="K318" s="37" t="s">
        <v>119</v>
      </c>
      <c r="L318" s="37" t="s">
        <v>45</v>
      </c>
      <c r="M318" s="38" t="s">
        <v>92</v>
      </c>
      <c r="N318" s="38"/>
      <c r="O318" s="37">
        <v>40</v>
      </c>
      <c r="P318" s="7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637"/>
      <c r="R318" s="637"/>
      <c r="S318" s="637"/>
      <c r="T318" s="63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532</v>
      </c>
      <c r="B319" s="63" t="s">
        <v>533</v>
      </c>
      <c r="C319" s="36">
        <v>4301051734</v>
      </c>
      <c r="D319" s="635">
        <v>4680115884588</v>
      </c>
      <c r="E319" s="635"/>
      <c r="F319" s="62">
        <v>0.5</v>
      </c>
      <c r="G319" s="37">
        <v>6</v>
      </c>
      <c r="H319" s="62">
        <v>3</v>
      </c>
      <c r="I319" s="62">
        <v>3.246</v>
      </c>
      <c r="J319" s="37">
        <v>182</v>
      </c>
      <c r="K319" s="37" t="s">
        <v>83</v>
      </c>
      <c r="L319" s="37" t="s">
        <v>45</v>
      </c>
      <c r="M319" s="38" t="s">
        <v>92</v>
      </c>
      <c r="N319" s="38"/>
      <c r="O319" s="37">
        <v>40</v>
      </c>
      <c r="P319" s="7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637"/>
      <c r="R319" s="637"/>
      <c r="S319" s="637"/>
      <c r="T319" s="63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IFERROR(IF(Y319=0,"",ROUNDUP(Y319/H319,0)*0.00651),"")</f>
        <v/>
      </c>
      <c r="AA319" s="68" t="s">
        <v>45</v>
      </c>
      <c r="AB319" s="69" t="s">
        <v>45</v>
      </c>
      <c r="AC319" s="396" t="s">
        <v>534</v>
      </c>
      <c r="AG319" s="78"/>
      <c r="AJ319" s="84" t="s">
        <v>45</v>
      </c>
      <c r="AK319" s="84">
        <v>0</v>
      </c>
      <c r="BB319" s="39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3"/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4"/>
      <c r="P320" s="640" t="s">
        <v>40</v>
      </c>
      <c r="Q320" s="641"/>
      <c r="R320" s="641"/>
      <c r="S320" s="641"/>
      <c r="T320" s="641"/>
      <c r="U320" s="641"/>
      <c r="V320" s="642"/>
      <c r="W320" s="42" t="s">
        <v>39</v>
      </c>
      <c r="X320" s="43">
        <f>IFERROR(X316/H316,"0")+IFERROR(X317/H317,"0")+IFERROR(X318/H318,"0")+IFERROR(X319/H319,"0")</f>
        <v>0</v>
      </c>
      <c r="Y320" s="43">
        <f>IFERROR(Y316/H316,"0")+IFERROR(Y317/H317,"0")+IFERROR(Y318/H318,"0")+IFERROR(Y319/H319,"0")</f>
        <v>0</v>
      </c>
      <c r="Z320" s="43">
        <f>IFERROR(IF(Z316="",0,Z316),"0")+IFERROR(IF(Z317="",0,Z317),"0")+IFERROR(IF(Z318="",0,Z318),"0")+IFERROR(IF(Z319="",0,Z319),"0")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3"/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4"/>
      <c r="P321" s="640" t="s">
        <v>40</v>
      </c>
      <c r="Q321" s="641"/>
      <c r="R321" s="641"/>
      <c r="S321" s="641"/>
      <c r="T321" s="641"/>
      <c r="U321" s="641"/>
      <c r="V321" s="642"/>
      <c r="W321" s="42" t="s">
        <v>0</v>
      </c>
      <c r="X321" s="43">
        <f>IFERROR(SUM(X316:X319),"0")</f>
        <v>0</v>
      </c>
      <c r="Y321" s="43">
        <f>IFERROR(SUM(Y316:Y319),"0")</f>
        <v>0</v>
      </c>
      <c r="Z321" s="42"/>
      <c r="AA321" s="67"/>
      <c r="AB321" s="67"/>
      <c r="AC321" s="67"/>
    </row>
    <row r="322" spans="1:68" ht="14.25" customHeight="1" x14ac:dyDescent="0.25">
      <c r="A322" s="634" t="s">
        <v>174</v>
      </c>
      <c r="B322" s="634"/>
      <c r="C322" s="634"/>
      <c r="D322" s="634"/>
      <c r="E322" s="634"/>
      <c r="F322" s="634"/>
      <c r="G322" s="634"/>
      <c r="H322" s="634"/>
      <c r="I322" s="634"/>
      <c r="J322" s="634"/>
      <c r="K322" s="634"/>
      <c r="L322" s="634"/>
      <c r="M322" s="634"/>
      <c r="N322" s="634"/>
      <c r="O322" s="634"/>
      <c r="P322" s="634"/>
      <c r="Q322" s="634"/>
      <c r="R322" s="634"/>
      <c r="S322" s="634"/>
      <c r="T322" s="634"/>
      <c r="U322" s="634"/>
      <c r="V322" s="634"/>
      <c r="W322" s="634"/>
      <c r="X322" s="634"/>
      <c r="Y322" s="634"/>
      <c r="Z322" s="634"/>
      <c r="AA322" s="66"/>
      <c r="AB322" s="66"/>
      <c r="AC322" s="80"/>
    </row>
    <row r="323" spans="1:68" ht="27" customHeight="1" x14ac:dyDescent="0.25">
      <c r="A323" s="63" t="s">
        <v>535</v>
      </c>
      <c r="B323" s="63" t="s">
        <v>536</v>
      </c>
      <c r="C323" s="36">
        <v>4301060387</v>
      </c>
      <c r="D323" s="635">
        <v>4607091380880</v>
      </c>
      <c r="E323" s="635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119</v>
      </c>
      <c r="L323" s="37" t="s">
        <v>120</v>
      </c>
      <c r="M323" s="38" t="s">
        <v>92</v>
      </c>
      <c r="N323" s="38"/>
      <c r="O323" s="37">
        <v>30</v>
      </c>
      <c r="P323" s="7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637"/>
      <c r="R323" s="637"/>
      <c r="S323" s="637"/>
      <c r="T323" s="63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94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538</v>
      </c>
      <c r="B324" s="63" t="s">
        <v>539</v>
      </c>
      <c r="C324" s="36">
        <v>4301060406</v>
      </c>
      <c r="D324" s="635">
        <v>4607091384482</v>
      </c>
      <c r="E324" s="635"/>
      <c r="F324" s="62">
        <v>1.3</v>
      </c>
      <c r="G324" s="37">
        <v>6</v>
      </c>
      <c r="H324" s="62">
        <v>7.8</v>
      </c>
      <c r="I324" s="62">
        <v>8.2940000000000005</v>
      </c>
      <c r="J324" s="37">
        <v>64</v>
      </c>
      <c r="K324" s="37" t="s">
        <v>119</v>
      </c>
      <c r="L324" s="37" t="s">
        <v>120</v>
      </c>
      <c r="M324" s="38" t="s">
        <v>92</v>
      </c>
      <c r="N324" s="38"/>
      <c r="O324" s="37">
        <v>30</v>
      </c>
      <c r="P324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637"/>
      <c r="R324" s="637"/>
      <c r="S324" s="637"/>
      <c r="T324" s="63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94</v>
      </c>
      <c r="AK324" s="84">
        <v>62.4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16.5" customHeight="1" x14ac:dyDescent="0.25">
      <c r="A325" s="63" t="s">
        <v>541</v>
      </c>
      <c r="B325" s="63" t="s">
        <v>542</v>
      </c>
      <c r="C325" s="36">
        <v>4301060484</v>
      </c>
      <c r="D325" s="635">
        <v>4607091380897</v>
      </c>
      <c r="E325" s="635"/>
      <c r="F325" s="62">
        <v>1.4</v>
      </c>
      <c r="G325" s="37">
        <v>6</v>
      </c>
      <c r="H325" s="62">
        <v>8.4</v>
      </c>
      <c r="I325" s="62">
        <v>8.8940000000000001</v>
      </c>
      <c r="J325" s="37">
        <v>64</v>
      </c>
      <c r="K325" s="37" t="s">
        <v>119</v>
      </c>
      <c r="L325" s="37" t="s">
        <v>45</v>
      </c>
      <c r="M325" s="38" t="s">
        <v>100</v>
      </c>
      <c r="N325" s="38"/>
      <c r="O325" s="37">
        <v>30</v>
      </c>
      <c r="P325" s="8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637"/>
      <c r="R325" s="637"/>
      <c r="S325" s="637"/>
      <c r="T325" s="63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45</v>
      </c>
      <c r="AB325" s="69" t="s">
        <v>45</v>
      </c>
      <c r="AC325" s="402" t="s">
        <v>543</v>
      </c>
      <c r="AG325" s="78"/>
      <c r="AJ325" s="84" t="s">
        <v>45</v>
      </c>
      <c r="AK325" s="84">
        <v>0</v>
      </c>
      <c r="BB325" s="40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643"/>
      <c r="B326" s="643"/>
      <c r="C326" s="643"/>
      <c r="D326" s="643"/>
      <c r="E326" s="643"/>
      <c r="F326" s="643"/>
      <c r="G326" s="643"/>
      <c r="H326" s="643"/>
      <c r="I326" s="643"/>
      <c r="J326" s="643"/>
      <c r="K326" s="643"/>
      <c r="L326" s="643"/>
      <c r="M326" s="643"/>
      <c r="N326" s="643"/>
      <c r="O326" s="644"/>
      <c r="P326" s="640" t="s">
        <v>40</v>
      </c>
      <c r="Q326" s="641"/>
      <c r="R326" s="641"/>
      <c r="S326" s="641"/>
      <c r="T326" s="641"/>
      <c r="U326" s="641"/>
      <c r="V326" s="642"/>
      <c r="W326" s="42" t="s">
        <v>39</v>
      </c>
      <c r="X326" s="43">
        <f>IFERROR(X323/H323,"0")+IFERROR(X324/H324,"0")+IFERROR(X325/H325,"0")</f>
        <v>0</v>
      </c>
      <c r="Y326" s="43">
        <f>IFERROR(Y323/H323,"0")+IFERROR(Y324/H324,"0")+IFERROR(Y325/H325,"0")</f>
        <v>0</v>
      </c>
      <c r="Z326" s="43">
        <f>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43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0" t="s">
        <v>40</v>
      </c>
      <c r="Q327" s="641"/>
      <c r="R327" s="641"/>
      <c r="S327" s="641"/>
      <c r="T327" s="641"/>
      <c r="U327" s="641"/>
      <c r="V327" s="642"/>
      <c r="W327" s="42" t="s">
        <v>0</v>
      </c>
      <c r="X327" s="43">
        <f>IFERROR(SUM(X323:X325),"0")</f>
        <v>0</v>
      </c>
      <c r="Y327" s="43">
        <f>IFERROR(SUM(Y323:Y325),"0")</f>
        <v>0</v>
      </c>
      <c r="Z327" s="42"/>
      <c r="AA327" s="67"/>
      <c r="AB327" s="67"/>
      <c r="AC327" s="67"/>
    </row>
    <row r="328" spans="1:68" ht="14.25" customHeight="1" x14ac:dyDescent="0.25">
      <c r="A328" s="634" t="s">
        <v>106</v>
      </c>
      <c r="B328" s="634"/>
      <c r="C328" s="634"/>
      <c r="D328" s="634"/>
      <c r="E328" s="634"/>
      <c r="F328" s="634"/>
      <c r="G328" s="634"/>
      <c r="H328" s="634"/>
      <c r="I328" s="634"/>
      <c r="J328" s="634"/>
      <c r="K328" s="634"/>
      <c r="L328" s="634"/>
      <c r="M328" s="634"/>
      <c r="N328" s="634"/>
      <c r="O328" s="634"/>
      <c r="P328" s="634"/>
      <c r="Q328" s="634"/>
      <c r="R328" s="634"/>
      <c r="S328" s="634"/>
      <c r="T328" s="634"/>
      <c r="U328" s="634"/>
      <c r="V328" s="634"/>
      <c r="W328" s="634"/>
      <c r="X328" s="634"/>
      <c r="Y328" s="634"/>
      <c r="Z328" s="634"/>
      <c r="AA328" s="66"/>
      <c r="AB328" s="66"/>
      <c r="AC328" s="80"/>
    </row>
    <row r="329" spans="1:68" ht="27" customHeight="1" x14ac:dyDescent="0.25">
      <c r="A329" s="63" t="s">
        <v>544</v>
      </c>
      <c r="B329" s="63" t="s">
        <v>545</v>
      </c>
      <c r="C329" s="36">
        <v>4301030235</v>
      </c>
      <c r="D329" s="635">
        <v>4607091388381</v>
      </c>
      <c r="E329" s="635"/>
      <c r="F329" s="62">
        <v>0.38</v>
      </c>
      <c r="G329" s="37">
        <v>8</v>
      </c>
      <c r="H329" s="62">
        <v>3.04</v>
      </c>
      <c r="I329" s="62">
        <v>3.31</v>
      </c>
      <c r="J329" s="37">
        <v>132</v>
      </c>
      <c r="K329" s="37" t="s">
        <v>123</v>
      </c>
      <c r="L329" s="37" t="s">
        <v>45</v>
      </c>
      <c r="M329" s="38" t="s">
        <v>111</v>
      </c>
      <c r="N329" s="38"/>
      <c r="O329" s="37">
        <v>180</v>
      </c>
      <c r="P329" s="8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637"/>
      <c r="R329" s="637"/>
      <c r="S329" s="637"/>
      <c r="T329" s="63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546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4301030232</v>
      </c>
      <c r="D330" s="635">
        <v>4607091388374</v>
      </c>
      <c r="E330" s="635"/>
      <c r="F330" s="62">
        <v>0.38</v>
      </c>
      <c r="G330" s="37">
        <v>8</v>
      </c>
      <c r="H330" s="62">
        <v>3.04</v>
      </c>
      <c r="I330" s="62">
        <v>3.27</v>
      </c>
      <c r="J330" s="37">
        <v>132</v>
      </c>
      <c r="K330" s="37" t="s">
        <v>123</v>
      </c>
      <c r="L330" s="37" t="s">
        <v>45</v>
      </c>
      <c r="M330" s="38" t="s">
        <v>111</v>
      </c>
      <c r="N330" s="38"/>
      <c r="O330" s="37">
        <v>180</v>
      </c>
      <c r="P330" s="8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637"/>
      <c r="R330" s="637"/>
      <c r="S330" s="637"/>
      <c r="T330" s="63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406" t="s">
        <v>546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4301032015</v>
      </c>
      <c r="D331" s="635">
        <v>4607091383102</v>
      </c>
      <c r="E331" s="635"/>
      <c r="F331" s="62">
        <v>0.17</v>
      </c>
      <c r="G331" s="37">
        <v>15</v>
      </c>
      <c r="H331" s="62">
        <v>2.5499999999999998</v>
      </c>
      <c r="I331" s="62">
        <v>2.9550000000000001</v>
      </c>
      <c r="J331" s="37">
        <v>182</v>
      </c>
      <c r="K331" s="37" t="s">
        <v>83</v>
      </c>
      <c r="L331" s="37" t="s">
        <v>93</v>
      </c>
      <c r="M331" s="38" t="s">
        <v>111</v>
      </c>
      <c r="N331" s="38"/>
      <c r="O331" s="37">
        <v>180</v>
      </c>
      <c r="P331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637"/>
      <c r="R331" s="637"/>
      <c r="S331" s="637"/>
      <c r="T331" s="63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551</v>
      </c>
      <c r="AG331" s="78"/>
      <c r="AJ331" s="84" t="s">
        <v>94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552</v>
      </c>
      <c r="B332" s="63" t="s">
        <v>553</v>
      </c>
      <c r="C332" s="36">
        <v>4301030233</v>
      </c>
      <c r="D332" s="635">
        <v>4607091388404</v>
      </c>
      <c r="E332" s="635"/>
      <c r="F332" s="62">
        <v>0.17</v>
      </c>
      <c r="G332" s="37">
        <v>15</v>
      </c>
      <c r="H332" s="62">
        <v>2.5499999999999998</v>
      </c>
      <c r="I332" s="62">
        <v>2.88</v>
      </c>
      <c r="J332" s="37">
        <v>182</v>
      </c>
      <c r="K332" s="37" t="s">
        <v>83</v>
      </c>
      <c r="L332" s="37" t="s">
        <v>45</v>
      </c>
      <c r="M332" s="38" t="s">
        <v>111</v>
      </c>
      <c r="N332" s="38"/>
      <c r="O332" s="37">
        <v>180</v>
      </c>
      <c r="P332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637"/>
      <c r="R332" s="637"/>
      <c r="S332" s="637"/>
      <c r="T332" s="63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45</v>
      </c>
      <c r="AB332" s="69" t="s">
        <v>45</v>
      </c>
      <c r="AC332" s="410" t="s">
        <v>546</v>
      </c>
      <c r="AG332" s="78"/>
      <c r="AJ332" s="84" t="s">
        <v>45</v>
      </c>
      <c r="AK332" s="84">
        <v>0</v>
      </c>
      <c r="BB332" s="411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43"/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4"/>
      <c r="P333" s="640" t="s">
        <v>40</v>
      </c>
      <c r="Q333" s="641"/>
      <c r="R333" s="641"/>
      <c r="S333" s="641"/>
      <c r="T333" s="641"/>
      <c r="U333" s="641"/>
      <c r="V333" s="642"/>
      <c r="W333" s="42" t="s">
        <v>39</v>
      </c>
      <c r="X333" s="43">
        <f>IFERROR(X329/H329,"0")+IFERROR(X330/H330,"0")+IFERROR(X331/H331,"0")+IFERROR(X332/H332,"0")</f>
        <v>0</v>
      </c>
      <c r="Y333" s="43">
        <f>IFERROR(Y329/H329,"0")+IFERROR(Y330/H330,"0")+IFERROR(Y331/H331,"0")+IFERROR(Y332/H332,"0")</f>
        <v>0</v>
      </c>
      <c r="Z333" s="43">
        <f>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43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0" t="s">
        <v>40</v>
      </c>
      <c r="Q334" s="641"/>
      <c r="R334" s="641"/>
      <c r="S334" s="641"/>
      <c r="T334" s="641"/>
      <c r="U334" s="641"/>
      <c r="V334" s="642"/>
      <c r="W334" s="42" t="s">
        <v>0</v>
      </c>
      <c r="X334" s="43">
        <f>IFERROR(SUM(X329:X332),"0")</f>
        <v>0</v>
      </c>
      <c r="Y334" s="43">
        <f>IFERROR(SUM(Y329:Y332),"0")</f>
        <v>0</v>
      </c>
      <c r="Z334" s="42"/>
      <c r="AA334" s="67"/>
      <c r="AB334" s="67"/>
      <c r="AC334" s="67"/>
    </row>
    <row r="335" spans="1:68" ht="14.25" customHeight="1" x14ac:dyDescent="0.25">
      <c r="A335" s="634" t="s">
        <v>554</v>
      </c>
      <c r="B335" s="634"/>
      <c r="C335" s="634"/>
      <c r="D335" s="634"/>
      <c r="E335" s="634"/>
      <c r="F335" s="634"/>
      <c r="G335" s="634"/>
      <c r="H335" s="634"/>
      <c r="I335" s="634"/>
      <c r="J335" s="634"/>
      <c r="K335" s="634"/>
      <c r="L335" s="634"/>
      <c r="M335" s="634"/>
      <c r="N335" s="634"/>
      <c r="O335" s="634"/>
      <c r="P335" s="634"/>
      <c r="Q335" s="634"/>
      <c r="R335" s="634"/>
      <c r="S335" s="634"/>
      <c r="T335" s="634"/>
      <c r="U335" s="634"/>
      <c r="V335" s="634"/>
      <c r="W335" s="634"/>
      <c r="X335" s="634"/>
      <c r="Y335" s="634"/>
      <c r="Z335" s="634"/>
      <c r="AA335" s="66"/>
      <c r="AB335" s="66"/>
      <c r="AC335" s="80"/>
    </row>
    <row r="336" spans="1:68" ht="16.5" customHeight="1" x14ac:dyDescent="0.25">
      <c r="A336" s="63" t="s">
        <v>555</v>
      </c>
      <c r="B336" s="63" t="s">
        <v>556</v>
      </c>
      <c r="C336" s="36">
        <v>4301180007</v>
      </c>
      <c r="D336" s="635">
        <v>4680115881808</v>
      </c>
      <c r="E336" s="63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558</v>
      </c>
      <c r="N336" s="38"/>
      <c r="O336" s="37">
        <v>730</v>
      </c>
      <c r="P336" s="8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637"/>
      <c r="R336" s="637"/>
      <c r="S336" s="637"/>
      <c r="T336" s="63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557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4301180006</v>
      </c>
      <c r="D337" s="635">
        <v>4680115881822</v>
      </c>
      <c r="E337" s="63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558</v>
      </c>
      <c r="N337" s="38"/>
      <c r="O337" s="37">
        <v>730</v>
      </c>
      <c r="P337" s="8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637"/>
      <c r="R337" s="637"/>
      <c r="S337" s="637"/>
      <c r="T337" s="63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557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561</v>
      </c>
      <c r="B338" s="63" t="s">
        <v>562</v>
      </c>
      <c r="C338" s="36">
        <v>4301180001</v>
      </c>
      <c r="D338" s="635">
        <v>4680115880016</v>
      </c>
      <c r="E338" s="635"/>
      <c r="F338" s="62">
        <v>0.1</v>
      </c>
      <c r="G338" s="37">
        <v>20</v>
      </c>
      <c r="H338" s="62">
        <v>2</v>
      </c>
      <c r="I338" s="62">
        <v>2.2400000000000002</v>
      </c>
      <c r="J338" s="37">
        <v>238</v>
      </c>
      <c r="K338" s="37" t="s">
        <v>83</v>
      </c>
      <c r="L338" s="37" t="s">
        <v>45</v>
      </c>
      <c r="M338" s="38" t="s">
        <v>558</v>
      </c>
      <c r="N338" s="38"/>
      <c r="O338" s="37">
        <v>730</v>
      </c>
      <c r="P338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637"/>
      <c r="R338" s="637"/>
      <c r="S338" s="637"/>
      <c r="T338" s="63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IFERROR(IF(Y338=0,"",ROUNDUP(Y338/H338,0)*0.00474),"")</f>
        <v/>
      </c>
      <c r="AA338" s="68" t="s">
        <v>45</v>
      </c>
      <c r="AB338" s="69" t="s">
        <v>45</v>
      </c>
      <c r="AC338" s="416" t="s">
        <v>557</v>
      </c>
      <c r="AG338" s="78"/>
      <c r="AJ338" s="84" t="s">
        <v>45</v>
      </c>
      <c r="AK338" s="84">
        <v>0</v>
      </c>
      <c r="BB338" s="417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643"/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4"/>
      <c r="P340" s="640" t="s">
        <v>40</v>
      </c>
      <c r="Q340" s="641"/>
      <c r="R340" s="641"/>
      <c r="S340" s="641"/>
      <c r="T340" s="641"/>
      <c r="U340" s="641"/>
      <c r="V340" s="642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customHeight="1" x14ac:dyDescent="0.25">
      <c r="A341" s="633" t="s">
        <v>563</v>
      </c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3"/>
      <c r="P341" s="633"/>
      <c r="Q341" s="633"/>
      <c r="R341" s="633"/>
      <c r="S341" s="633"/>
      <c r="T341" s="633"/>
      <c r="U341" s="633"/>
      <c r="V341" s="633"/>
      <c r="W341" s="633"/>
      <c r="X341" s="633"/>
      <c r="Y341" s="633"/>
      <c r="Z341" s="633"/>
      <c r="AA341" s="65"/>
      <c r="AB341" s="65"/>
      <c r="AC341" s="79"/>
    </row>
    <row r="342" spans="1:68" ht="14.25" customHeight="1" x14ac:dyDescent="0.25">
      <c r="A342" s="634" t="s">
        <v>88</v>
      </c>
      <c r="B342" s="634"/>
      <c r="C342" s="634"/>
      <c r="D342" s="634"/>
      <c r="E342" s="634"/>
      <c r="F342" s="634"/>
      <c r="G342" s="634"/>
      <c r="H342" s="634"/>
      <c r="I342" s="634"/>
      <c r="J342" s="634"/>
      <c r="K342" s="634"/>
      <c r="L342" s="634"/>
      <c r="M342" s="634"/>
      <c r="N342" s="634"/>
      <c r="O342" s="634"/>
      <c r="P342" s="634"/>
      <c r="Q342" s="634"/>
      <c r="R342" s="634"/>
      <c r="S342" s="634"/>
      <c r="T342" s="634"/>
      <c r="U342" s="634"/>
      <c r="V342" s="634"/>
      <c r="W342" s="634"/>
      <c r="X342" s="634"/>
      <c r="Y342" s="634"/>
      <c r="Z342" s="634"/>
      <c r="AA342" s="66"/>
      <c r="AB342" s="66"/>
      <c r="AC342" s="80"/>
    </row>
    <row r="343" spans="1:68" ht="27" customHeight="1" x14ac:dyDescent="0.25">
      <c r="A343" s="63" t="s">
        <v>564</v>
      </c>
      <c r="B343" s="63" t="s">
        <v>565</v>
      </c>
      <c r="C343" s="36">
        <v>4301051489</v>
      </c>
      <c r="D343" s="635">
        <v>4607091387919</v>
      </c>
      <c r="E343" s="635"/>
      <c r="F343" s="62">
        <v>1.35</v>
      </c>
      <c r="G343" s="37">
        <v>6</v>
      </c>
      <c r="H343" s="62">
        <v>8.1</v>
      </c>
      <c r="I343" s="62">
        <v>8.5939999999999994</v>
      </c>
      <c r="J343" s="37">
        <v>64</v>
      </c>
      <c r="K343" s="37" t="s">
        <v>119</v>
      </c>
      <c r="L343" s="37" t="s">
        <v>45</v>
      </c>
      <c r="M343" s="38" t="s">
        <v>100</v>
      </c>
      <c r="N343" s="38"/>
      <c r="O343" s="37">
        <v>45</v>
      </c>
      <c r="P343" s="8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637"/>
      <c r="R343" s="637"/>
      <c r="S343" s="637"/>
      <c r="T343" s="63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4301051461</v>
      </c>
      <c r="D344" s="635">
        <v>4680115883604</v>
      </c>
      <c r="E344" s="635"/>
      <c r="F344" s="62">
        <v>0.35</v>
      </c>
      <c r="G344" s="37">
        <v>6</v>
      </c>
      <c r="H344" s="62">
        <v>2.1</v>
      </c>
      <c r="I344" s="62">
        <v>2.3519999999999999</v>
      </c>
      <c r="J344" s="37">
        <v>182</v>
      </c>
      <c r="K344" s="37" t="s">
        <v>83</v>
      </c>
      <c r="L344" s="37" t="s">
        <v>93</v>
      </c>
      <c r="M344" s="38" t="s">
        <v>92</v>
      </c>
      <c r="N344" s="38"/>
      <c r="O344" s="37">
        <v>45</v>
      </c>
      <c r="P344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637"/>
      <c r="R344" s="637"/>
      <c r="S344" s="637"/>
      <c r="T344" s="63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94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570</v>
      </c>
      <c r="B345" s="63" t="s">
        <v>571</v>
      </c>
      <c r="C345" s="36">
        <v>4301051864</v>
      </c>
      <c r="D345" s="635">
        <v>4680115883567</v>
      </c>
      <c r="E345" s="635"/>
      <c r="F345" s="62">
        <v>0.35</v>
      </c>
      <c r="G345" s="37">
        <v>6</v>
      </c>
      <c r="H345" s="62">
        <v>2.1</v>
      </c>
      <c r="I345" s="62">
        <v>2.34</v>
      </c>
      <c r="J345" s="37">
        <v>182</v>
      </c>
      <c r="K345" s="37" t="s">
        <v>83</v>
      </c>
      <c r="L345" s="37" t="s">
        <v>93</v>
      </c>
      <c r="M345" s="38" t="s">
        <v>100</v>
      </c>
      <c r="N345" s="38"/>
      <c r="O345" s="37">
        <v>40</v>
      </c>
      <c r="P345" s="8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637"/>
      <c r="R345" s="637"/>
      <c r="S345" s="637"/>
      <c r="T345" s="638"/>
      <c r="U345" s="39" t="s">
        <v>45</v>
      </c>
      <c r="V345" s="39" t="s">
        <v>45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45</v>
      </c>
      <c r="AB345" s="69" t="s">
        <v>45</v>
      </c>
      <c r="AC345" s="422" t="s">
        <v>572</v>
      </c>
      <c r="AG345" s="78"/>
      <c r="AJ345" s="84" t="s">
        <v>94</v>
      </c>
      <c r="AK345" s="84">
        <v>29.4</v>
      </c>
      <c r="BB345" s="423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43"/>
      <c r="B346" s="643"/>
      <c r="C346" s="643"/>
      <c r="D346" s="643"/>
      <c r="E346" s="643"/>
      <c r="F346" s="643"/>
      <c r="G346" s="643"/>
      <c r="H346" s="643"/>
      <c r="I346" s="643"/>
      <c r="J346" s="643"/>
      <c r="K346" s="643"/>
      <c r="L346" s="643"/>
      <c r="M346" s="643"/>
      <c r="N346" s="643"/>
      <c r="O346" s="644"/>
      <c r="P346" s="640" t="s">
        <v>40</v>
      </c>
      <c r="Q346" s="641"/>
      <c r="R346" s="641"/>
      <c r="S346" s="641"/>
      <c r="T346" s="641"/>
      <c r="U346" s="641"/>
      <c r="V346" s="642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27.75" customHeight="1" x14ac:dyDescent="0.2">
      <c r="A348" s="632" t="s">
        <v>573</v>
      </c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2"/>
      <c r="P348" s="632"/>
      <c r="Q348" s="632"/>
      <c r="R348" s="632"/>
      <c r="S348" s="632"/>
      <c r="T348" s="632"/>
      <c r="U348" s="632"/>
      <c r="V348" s="632"/>
      <c r="W348" s="632"/>
      <c r="X348" s="632"/>
      <c r="Y348" s="632"/>
      <c r="Z348" s="632"/>
      <c r="AA348" s="54"/>
      <c r="AB348" s="54"/>
      <c r="AC348" s="54"/>
    </row>
    <row r="349" spans="1:68" ht="16.5" customHeight="1" x14ac:dyDescent="0.25">
      <c r="A349" s="633" t="s">
        <v>574</v>
      </c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3"/>
      <c r="P349" s="633"/>
      <c r="Q349" s="633"/>
      <c r="R349" s="633"/>
      <c r="S349" s="633"/>
      <c r="T349" s="633"/>
      <c r="U349" s="633"/>
      <c r="V349" s="633"/>
      <c r="W349" s="633"/>
      <c r="X349" s="633"/>
      <c r="Y349" s="633"/>
      <c r="Z349" s="633"/>
      <c r="AA349" s="65"/>
      <c r="AB349" s="65"/>
      <c r="AC349" s="79"/>
    </row>
    <row r="350" spans="1:68" ht="14.25" customHeight="1" x14ac:dyDescent="0.25">
      <c r="A350" s="634" t="s">
        <v>114</v>
      </c>
      <c r="B350" s="634"/>
      <c r="C350" s="634"/>
      <c r="D350" s="634"/>
      <c r="E350" s="634"/>
      <c r="F350" s="634"/>
      <c r="G350" s="634"/>
      <c r="H350" s="634"/>
      <c r="I350" s="634"/>
      <c r="J350" s="634"/>
      <c r="K350" s="634"/>
      <c r="L350" s="634"/>
      <c r="M350" s="634"/>
      <c r="N350" s="634"/>
      <c r="O350" s="634"/>
      <c r="P350" s="634"/>
      <c r="Q350" s="634"/>
      <c r="R350" s="634"/>
      <c r="S350" s="634"/>
      <c r="T350" s="634"/>
      <c r="U350" s="634"/>
      <c r="V350" s="634"/>
      <c r="W350" s="634"/>
      <c r="X350" s="634"/>
      <c r="Y350" s="634"/>
      <c r="Z350" s="634"/>
      <c r="AA350" s="66"/>
      <c r="AB350" s="66"/>
      <c r="AC350" s="80"/>
    </row>
    <row r="351" spans="1:68" ht="37.5" customHeight="1" x14ac:dyDescent="0.25">
      <c r="A351" s="63" t="s">
        <v>575</v>
      </c>
      <c r="B351" s="63" t="s">
        <v>576</v>
      </c>
      <c r="C351" s="36">
        <v>4301011869</v>
      </c>
      <c r="D351" s="635">
        <v>4680115884847</v>
      </c>
      <c r="E351" s="63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120</v>
      </c>
      <c r="M351" s="38" t="s">
        <v>82</v>
      </c>
      <c r="N351" s="38"/>
      <c r="O351" s="37">
        <v>60</v>
      </c>
      <c r="P351" s="8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637"/>
      <c r="R351" s="637"/>
      <c r="S351" s="637"/>
      <c r="T351" s="63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ref="Y351:Y357" si="41">IFERROR(IF(X351="",0,CEILING((X351/$H351),1)*$H351),"")</f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94</v>
      </c>
      <c r="AK351" s="84">
        <v>120</v>
      </c>
      <c r="BB351" s="425" t="s">
        <v>66</v>
      </c>
      <c r="BM351" s="78">
        <f t="shared" ref="BM351:BM357" si="42">IFERROR(X351*I351/H351,"0")</f>
        <v>0</v>
      </c>
      <c r="BN351" s="78">
        <f t="shared" ref="BN351:BN357" si="43">IFERROR(Y351*I351/H351,"0")</f>
        <v>0</v>
      </c>
      <c r="BO351" s="78">
        <f t="shared" ref="BO351:BO357" si="44">IFERROR(1/J351*(X351/H351),"0")</f>
        <v>0</v>
      </c>
      <c r="BP351" s="78">
        <f t="shared" ref="BP351:BP357" si="45">IFERROR(1/J351*(Y351/H351),"0")</f>
        <v>0</v>
      </c>
    </row>
    <row r="352" spans="1:68" ht="27" customHeight="1" x14ac:dyDescent="0.25">
      <c r="A352" s="63" t="s">
        <v>578</v>
      </c>
      <c r="B352" s="63" t="s">
        <v>579</v>
      </c>
      <c r="C352" s="36">
        <v>4301011870</v>
      </c>
      <c r="D352" s="635">
        <v>4680115884854</v>
      </c>
      <c r="E352" s="63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120</v>
      </c>
      <c r="M352" s="38" t="s">
        <v>82</v>
      </c>
      <c r="N352" s="38"/>
      <c r="O352" s="37">
        <v>60</v>
      </c>
      <c r="P352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637"/>
      <c r="R352" s="637"/>
      <c r="S352" s="637"/>
      <c r="T352" s="63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94</v>
      </c>
      <c r="AK352" s="84">
        <v>120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27" customHeight="1" x14ac:dyDescent="0.25">
      <c r="A353" s="63" t="s">
        <v>581</v>
      </c>
      <c r="B353" s="63" t="s">
        <v>582</v>
      </c>
      <c r="C353" s="36">
        <v>4301012215</v>
      </c>
      <c r="D353" s="635">
        <v>4680115887046</v>
      </c>
      <c r="E353" s="63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100</v>
      </c>
      <c r="N353" s="38"/>
      <c r="O353" s="37">
        <v>60</v>
      </c>
      <c r="P353" s="81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37"/>
      <c r="R353" s="637"/>
      <c r="S353" s="637"/>
      <c r="T353" s="63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37.5" customHeight="1" x14ac:dyDescent="0.25">
      <c r="A354" s="63" t="s">
        <v>584</v>
      </c>
      <c r="B354" s="63" t="s">
        <v>585</v>
      </c>
      <c r="C354" s="36">
        <v>4301011867</v>
      </c>
      <c r="D354" s="635">
        <v>4680115884830</v>
      </c>
      <c r="E354" s="635"/>
      <c r="F354" s="62">
        <v>2.5</v>
      </c>
      <c r="G354" s="37">
        <v>6</v>
      </c>
      <c r="H354" s="62">
        <v>15</v>
      </c>
      <c r="I354" s="62">
        <v>15.47</v>
      </c>
      <c r="J354" s="37">
        <v>48</v>
      </c>
      <c r="K354" s="37" t="s">
        <v>119</v>
      </c>
      <c r="L354" s="37" t="s">
        <v>120</v>
      </c>
      <c r="M354" s="38" t="s">
        <v>82</v>
      </c>
      <c r="N354" s="38"/>
      <c r="O354" s="37">
        <v>60</v>
      </c>
      <c r="P354" s="8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4" s="637"/>
      <c r="R354" s="637"/>
      <c r="S354" s="637"/>
      <c r="T354" s="63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IFERROR(IF(Y354=0,"",ROUNDUP(Y354/H354,0)*0.02175),"")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94</v>
      </c>
      <c r="AK354" s="84">
        <v>120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4301011433</v>
      </c>
      <c r="D355" s="635">
        <v>4680115882638</v>
      </c>
      <c r="E355" s="635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123</v>
      </c>
      <c r="L355" s="37" t="s">
        <v>45</v>
      </c>
      <c r="M355" s="38" t="s">
        <v>118</v>
      </c>
      <c r="N355" s="38"/>
      <c r="O355" s="37">
        <v>90</v>
      </c>
      <c r="P355" s="8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637"/>
      <c r="R355" s="637"/>
      <c r="S355" s="637"/>
      <c r="T355" s="63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589</v>
      </c>
      <c r="AG355" s="78"/>
      <c r="AJ355" s="84" t="s">
        <v>45</v>
      </c>
      <c r="AK355" s="84">
        <v>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ht="27" customHeight="1" x14ac:dyDescent="0.25">
      <c r="A356" s="63" t="s">
        <v>590</v>
      </c>
      <c r="B356" s="63" t="s">
        <v>591</v>
      </c>
      <c r="C356" s="36">
        <v>4301011952</v>
      </c>
      <c r="D356" s="635">
        <v>4680115884922</v>
      </c>
      <c r="E356" s="63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123</v>
      </c>
      <c r="L356" s="37" t="s">
        <v>45</v>
      </c>
      <c r="M356" s="38" t="s">
        <v>82</v>
      </c>
      <c r="N356" s="38"/>
      <c r="O356" s="37">
        <v>60</v>
      </c>
      <c r="P356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637"/>
      <c r="R356" s="637"/>
      <c r="S356" s="637"/>
      <c r="T356" s="63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41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580</v>
      </c>
      <c r="AG356" s="78"/>
      <c r="AJ356" s="84" t="s">
        <v>45</v>
      </c>
      <c r="AK356" s="84">
        <v>0</v>
      </c>
      <c r="BB356" s="435" t="s">
        <v>66</v>
      </c>
      <c r="BM356" s="78">
        <f t="shared" si="42"/>
        <v>0</v>
      </c>
      <c r="BN356" s="78">
        <f t="shared" si="43"/>
        <v>0</v>
      </c>
      <c r="BO356" s="78">
        <f t="shared" si="44"/>
        <v>0</v>
      </c>
      <c r="BP356" s="78">
        <f t="shared" si="45"/>
        <v>0</v>
      </c>
    </row>
    <row r="357" spans="1:68" ht="37.5" customHeight="1" x14ac:dyDescent="0.25">
      <c r="A357" s="63" t="s">
        <v>592</v>
      </c>
      <c r="B357" s="63" t="s">
        <v>593</v>
      </c>
      <c r="C357" s="36">
        <v>4301011868</v>
      </c>
      <c r="D357" s="635">
        <v>4680115884861</v>
      </c>
      <c r="E357" s="635"/>
      <c r="F357" s="62">
        <v>0.5</v>
      </c>
      <c r="G357" s="37">
        <v>10</v>
      </c>
      <c r="H357" s="62">
        <v>5</v>
      </c>
      <c r="I357" s="62">
        <v>5.19</v>
      </c>
      <c r="J357" s="37">
        <v>132</v>
      </c>
      <c r="K357" s="37" t="s">
        <v>123</v>
      </c>
      <c r="L357" s="37" t="s">
        <v>45</v>
      </c>
      <c r="M357" s="38" t="s">
        <v>82</v>
      </c>
      <c r="N357" s="38"/>
      <c r="O357" s="37">
        <v>60</v>
      </c>
      <c r="P357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637"/>
      <c r="R357" s="637"/>
      <c r="S357" s="637"/>
      <c r="T357" s="638"/>
      <c r="U357" s="39" t="s">
        <v>45</v>
      </c>
      <c r="V357" s="39" t="s">
        <v>45</v>
      </c>
      <c r="W357" s="40" t="s">
        <v>0</v>
      </c>
      <c r="X357" s="58">
        <v>0</v>
      </c>
      <c r="Y357" s="55">
        <f t="shared" si="41"/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6" t="s">
        <v>586</v>
      </c>
      <c r="AG357" s="78"/>
      <c r="AJ357" s="84" t="s">
        <v>45</v>
      </c>
      <c r="AK357" s="84">
        <v>0</v>
      </c>
      <c r="BB357" s="437" t="s">
        <v>66</v>
      </c>
      <c r="BM357" s="78">
        <f t="shared" si="42"/>
        <v>0</v>
      </c>
      <c r="BN357" s="78">
        <f t="shared" si="43"/>
        <v>0</v>
      </c>
      <c r="BO357" s="78">
        <f t="shared" si="44"/>
        <v>0</v>
      </c>
      <c r="BP357" s="78">
        <f t="shared" si="45"/>
        <v>0</v>
      </c>
    </row>
    <row r="358" spans="1:68" x14ac:dyDescent="0.2">
      <c r="A358" s="643"/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4"/>
      <c r="P358" s="640" t="s">
        <v>40</v>
      </c>
      <c r="Q358" s="641"/>
      <c r="R358" s="641"/>
      <c r="S358" s="641"/>
      <c r="T358" s="641"/>
      <c r="U358" s="641"/>
      <c r="V358" s="642"/>
      <c r="W358" s="42" t="s">
        <v>39</v>
      </c>
      <c r="X358" s="43">
        <f>IFERROR(X351/H351,"0")+IFERROR(X352/H352,"0")+IFERROR(X353/H353,"0")+IFERROR(X354/H354,"0")+IFERROR(X355/H355,"0")+IFERROR(X356/H356,"0")+IFERROR(X357/H357,"0")</f>
        <v>0</v>
      </c>
      <c r="Y358" s="43">
        <f>IFERROR(Y351/H351,"0")+IFERROR(Y352/H352,"0")+IFERROR(Y353/H353,"0")+IFERROR(Y354/H354,"0")+IFERROR(Y355/H355,"0")+IFERROR(Y356/H356,"0")+IFERROR(Y357/H357,"0")</f>
        <v>0</v>
      </c>
      <c r="Z358" s="43">
        <f>IFERROR(IF(Z351="",0,Z351),"0")+IFERROR(IF(Z352="",0,Z352),"0")+IFERROR(IF(Z353="",0,Z353),"0")+IFERROR(IF(Z354="",0,Z354),"0")+IFERROR(IF(Z355="",0,Z355),"0")+IFERROR(IF(Z356="",0,Z356),"0")+IFERROR(IF(Z357="",0,Z357),"0")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0</v>
      </c>
      <c r="X359" s="43">
        <f>IFERROR(SUM(X351:X357),"0")</f>
        <v>0</v>
      </c>
      <c r="Y359" s="43">
        <f>IFERROR(SUM(Y351:Y357),"0")</f>
        <v>0</v>
      </c>
      <c r="Z359" s="42"/>
      <c r="AA359" s="67"/>
      <c r="AB359" s="67"/>
      <c r="AC359" s="67"/>
    </row>
    <row r="360" spans="1:68" ht="14.25" customHeight="1" x14ac:dyDescent="0.25">
      <c r="A360" s="634" t="s">
        <v>149</v>
      </c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4"/>
      <c r="P360" s="634"/>
      <c r="Q360" s="634"/>
      <c r="R360" s="634"/>
      <c r="S360" s="634"/>
      <c r="T360" s="634"/>
      <c r="U360" s="634"/>
      <c r="V360" s="634"/>
      <c r="W360" s="634"/>
      <c r="X360" s="634"/>
      <c r="Y360" s="634"/>
      <c r="Z360" s="634"/>
      <c r="AA360" s="66"/>
      <c r="AB360" s="66"/>
      <c r="AC360" s="80"/>
    </row>
    <row r="361" spans="1:68" ht="27" customHeight="1" x14ac:dyDescent="0.25">
      <c r="A361" s="63" t="s">
        <v>594</v>
      </c>
      <c r="B361" s="63" t="s">
        <v>595</v>
      </c>
      <c r="C361" s="36">
        <v>4301020178</v>
      </c>
      <c r="D361" s="635">
        <v>4607091383980</v>
      </c>
      <c r="E361" s="635"/>
      <c r="F361" s="62">
        <v>2.5</v>
      </c>
      <c r="G361" s="37">
        <v>6</v>
      </c>
      <c r="H361" s="62">
        <v>15</v>
      </c>
      <c r="I361" s="62">
        <v>15.47</v>
      </c>
      <c r="J361" s="37">
        <v>48</v>
      </c>
      <c r="K361" s="37" t="s">
        <v>119</v>
      </c>
      <c r="L361" s="37" t="s">
        <v>120</v>
      </c>
      <c r="M361" s="38" t="s">
        <v>118</v>
      </c>
      <c r="N361" s="38"/>
      <c r="O361" s="37">
        <v>50</v>
      </c>
      <c r="P361" s="8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637"/>
      <c r="R361" s="637"/>
      <c r="S361" s="637"/>
      <c r="T361" s="63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IFERROR(IF(Y361=0,"",ROUNDUP(Y361/H361,0)*0.02175),"")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94</v>
      </c>
      <c r="AK361" s="84">
        <v>120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597</v>
      </c>
      <c r="B362" s="63" t="s">
        <v>598</v>
      </c>
      <c r="C362" s="36">
        <v>4301020179</v>
      </c>
      <c r="D362" s="635">
        <v>4607091384178</v>
      </c>
      <c r="E362" s="635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123</v>
      </c>
      <c r="L362" s="37" t="s">
        <v>45</v>
      </c>
      <c r="M362" s="38" t="s">
        <v>118</v>
      </c>
      <c r="N362" s="38"/>
      <c r="O362" s="37">
        <v>50</v>
      </c>
      <c r="P362" s="8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637"/>
      <c r="R362" s="637"/>
      <c r="S362" s="637"/>
      <c r="T362" s="63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45</v>
      </c>
      <c r="AB362" s="69" t="s">
        <v>45</v>
      </c>
      <c r="AC362" s="440" t="s">
        <v>599</v>
      </c>
      <c r="AG362" s="78"/>
      <c r="AJ362" s="84" t="s">
        <v>45</v>
      </c>
      <c r="AK362" s="84">
        <v>0</v>
      </c>
      <c r="BB362" s="441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43"/>
      <c r="B363" s="643"/>
      <c r="C363" s="643"/>
      <c r="D363" s="643"/>
      <c r="E363" s="643"/>
      <c r="F363" s="643"/>
      <c r="G363" s="643"/>
      <c r="H363" s="643"/>
      <c r="I363" s="643"/>
      <c r="J363" s="643"/>
      <c r="K363" s="643"/>
      <c r="L363" s="643"/>
      <c r="M363" s="643"/>
      <c r="N363" s="643"/>
      <c r="O363" s="644"/>
      <c r="P363" s="640" t="s">
        <v>40</v>
      </c>
      <c r="Q363" s="641"/>
      <c r="R363" s="641"/>
      <c r="S363" s="641"/>
      <c r="T363" s="641"/>
      <c r="U363" s="641"/>
      <c r="V363" s="64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43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0" t="s">
        <v>40</v>
      </c>
      <c r="Q364" s="641"/>
      <c r="R364" s="641"/>
      <c r="S364" s="641"/>
      <c r="T364" s="641"/>
      <c r="U364" s="641"/>
      <c r="V364" s="64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34" t="s">
        <v>88</v>
      </c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4"/>
      <c r="P365" s="634"/>
      <c r="Q365" s="634"/>
      <c r="R365" s="634"/>
      <c r="S365" s="634"/>
      <c r="T365" s="634"/>
      <c r="U365" s="634"/>
      <c r="V365" s="634"/>
      <c r="W365" s="634"/>
      <c r="X365" s="634"/>
      <c r="Y365" s="634"/>
      <c r="Z365" s="634"/>
      <c r="AA365" s="66"/>
      <c r="AB365" s="66"/>
      <c r="AC365" s="80"/>
    </row>
    <row r="366" spans="1:68" ht="27" customHeight="1" x14ac:dyDescent="0.25">
      <c r="A366" s="63" t="s">
        <v>600</v>
      </c>
      <c r="B366" s="63" t="s">
        <v>601</v>
      </c>
      <c r="C366" s="36">
        <v>4301051903</v>
      </c>
      <c r="D366" s="635">
        <v>4607091383928</v>
      </c>
      <c r="E366" s="635"/>
      <c r="F366" s="62">
        <v>1.5</v>
      </c>
      <c r="G366" s="37">
        <v>6</v>
      </c>
      <c r="H366" s="62">
        <v>9</v>
      </c>
      <c r="I366" s="62">
        <v>9.5</v>
      </c>
      <c r="J366" s="37">
        <v>64</v>
      </c>
      <c r="K366" s="37" t="s">
        <v>119</v>
      </c>
      <c r="L366" s="37" t="s">
        <v>45</v>
      </c>
      <c r="M366" s="38" t="s">
        <v>92</v>
      </c>
      <c r="N366" s="38"/>
      <c r="O366" s="37">
        <v>40</v>
      </c>
      <c r="P366" s="8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637"/>
      <c r="R366" s="637"/>
      <c r="S366" s="637"/>
      <c r="T366" s="63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603</v>
      </c>
      <c r="B367" s="63" t="s">
        <v>604</v>
      </c>
      <c r="C367" s="36">
        <v>4301051897</v>
      </c>
      <c r="D367" s="635">
        <v>4607091384260</v>
      </c>
      <c r="E367" s="635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119</v>
      </c>
      <c r="L367" s="37" t="s">
        <v>45</v>
      </c>
      <c r="M367" s="38" t="s">
        <v>92</v>
      </c>
      <c r="N367" s="38"/>
      <c r="O367" s="37">
        <v>40</v>
      </c>
      <c r="P367" s="8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637"/>
      <c r="R367" s="637"/>
      <c r="S367" s="637"/>
      <c r="T367" s="638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44" t="s">
        <v>605</v>
      </c>
      <c r="AG367" s="78"/>
      <c r="AJ367" s="84" t="s">
        <v>45</v>
      </c>
      <c r="AK367" s="84">
        <v>0</v>
      </c>
      <c r="BB367" s="445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IFERROR(X366/H366,"0")+IFERROR(X367/H367,"0")</f>
        <v>0</v>
      </c>
      <c r="Y368" s="43">
        <f>IFERROR(Y366/H366,"0")+IFERROR(Y367/H367,"0")</f>
        <v>0</v>
      </c>
      <c r="Z368" s="43">
        <f>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IFERROR(SUM(X366:X367),"0")</f>
        <v>0</v>
      </c>
      <c r="Y369" s="43">
        <f>IFERROR(SUM(Y366:Y367),"0")</f>
        <v>0</v>
      </c>
      <c r="Z369" s="42"/>
      <c r="AA369" s="67"/>
      <c r="AB369" s="67"/>
      <c r="AC369" s="67"/>
    </row>
    <row r="370" spans="1:68" ht="14.25" customHeight="1" x14ac:dyDescent="0.25">
      <c r="A370" s="634" t="s">
        <v>174</v>
      </c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4"/>
      <c r="P370" s="634"/>
      <c r="Q370" s="634"/>
      <c r="R370" s="634"/>
      <c r="S370" s="634"/>
      <c r="T370" s="634"/>
      <c r="U370" s="634"/>
      <c r="V370" s="634"/>
      <c r="W370" s="634"/>
      <c r="X370" s="634"/>
      <c r="Y370" s="634"/>
      <c r="Z370" s="634"/>
      <c r="AA370" s="66"/>
      <c r="AB370" s="66"/>
      <c r="AC370" s="80"/>
    </row>
    <row r="371" spans="1:68" ht="16.5" customHeight="1" x14ac:dyDescent="0.25">
      <c r="A371" s="63" t="s">
        <v>606</v>
      </c>
      <c r="B371" s="63" t="s">
        <v>607</v>
      </c>
      <c r="C371" s="36">
        <v>4301060524</v>
      </c>
      <c r="D371" s="635">
        <v>4607091384673</v>
      </c>
      <c r="E371" s="635"/>
      <c r="F371" s="62">
        <v>1.5</v>
      </c>
      <c r="G371" s="37">
        <v>6</v>
      </c>
      <c r="H371" s="62">
        <v>9</v>
      </c>
      <c r="I371" s="62">
        <v>9.4939999999999998</v>
      </c>
      <c r="J371" s="37">
        <v>64</v>
      </c>
      <c r="K371" s="37" t="s">
        <v>119</v>
      </c>
      <c r="L371" s="37" t="s">
        <v>45</v>
      </c>
      <c r="M371" s="38" t="s">
        <v>92</v>
      </c>
      <c r="N371" s="38"/>
      <c r="O371" s="37">
        <v>40</v>
      </c>
      <c r="P371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637"/>
      <c r="R371" s="637"/>
      <c r="S371" s="637"/>
      <c r="T371" s="63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46" t="s">
        <v>608</v>
      </c>
      <c r="AG371" s="78"/>
      <c r="AJ371" s="84" t="s">
        <v>45</v>
      </c>
      <c r="AK371" s="84">
        <v>0</v>
      </c>
      <c r="BB371" s="447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43"/>
      <c r="B372" s="643"/>
      <c r="C372" s="643"/>
      <c r="D372" s="643"/>
      <c r="E372" s="643"/>
      <c r="F372" s="643"/>
      <c r="G372" s="643"/>
      <c r="H372" s="643"/>
      <c r="I372" s="643"/>
      <c r="J372" s="643"/>
      <c r="K372" s="643"/>
      <c r="L372" s="643"/>
      <c r="M372" s="643"/>
      <c r="N372" s="643"/>
      <c r="O372" s="644"/>
      <c r="P372" s="640" t="s">
        <v>40</v>
      </c>
      <c r="Q372" s="641"/>
      <c r="R372" s="641"/>
      <c r="S372" s="641"/>
      <c r="T372" s="641"/>
      <c r="U372" s="641"/>
      <c r="V372" s="642"/>
      <c r="W372" s="42" t="s">
        <v>39</v>
      </c>
      <c r="X372" s="43">
        <f>IFERROR(X371/H371,"0")</f>
        <v>0</v>
      </c>
      <c r="Y372" s="43">
        <f>IFERROR(Y371/H371,"0")</f>
        <v>0</v>
      </c>
      <c r="Z372" s="43">
        <f>IFERROR(IF(Z371="",0,Z371),"0")</f>
        <v>0</v>
      </c>
      <c r="AA372" s="67"/>
      <c r="AB372" s="67"/>
      <c r="AC372" s="67"/>
    </row>
    <row r="373" spans="1:68" x14ac:dyDescent="0.2">
      <c r="A373" s="643"/>
      <c r="B373" s="643"/>
      <c r="C373" s="643"/>
      <c r="D373" s="643"/>
      <c r="E373" s="643"/>
      <c r="F373" s="643"/>
      <c r="G373" s="643"/>
      <c r="H373" s="643"/>
      <c r="I373" s="643"/>
      <c r="J373" s="643"/>
      <c r="K373" s="643"/>
      <c r="L373" s="643"/>
      <c r="M373" s="643"/>
      <c r="N373" s="643"/>
      <c r="O373" s="644"/>
      <c r="P373" s="640" t="s">
        <v>40</v>
      </c>
      <c r="Q373" s="641"/>
      <c r="R373" s="641"/>
      <c r="S373" s="641"/>
      <c r="T373" s="641"/>
      <c r="U373" s="641"/>
      <c r="V373" s="642"/>
      <c r="W373" s="42" t="s">
        <v>0</v>
      </c>
      <c r="X373" s="43">
        <f>IFERROR(SUM(X371:X371),"0")</f>
        <v>0</v>
      </c>
      <c r="Y373" s="43">
        <f>IFERROR(SUM(Y371:Y371),"0")</f>
        <v>0</v>
      </c>
      <c r="Z373" s="42"/>
      <c r="AA373" s="67"/>
      <c r="AB373" s="67"/>
      <c r="AC373" s="67"/>
    </row>
    <row r="374" spans="1:68" ht="16.5" customHeight="1" x14ac:dyDescent="0.25">
      <c r="A374" s="633" t="s">
        <v>609</v>
      </c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3"/>
      <c r="P374" s="633"/>
      <c r="Q374" s="633"/>
      <c r="R374" s="633"/>
      <c r="S374" s="633"/>
      <c r="T374" s="633"/>
      <c r="U374" s="633"/>
      <c r="V374" s="633"/>
      <c r="W374" s="633"/>
      <c r="X374" s="633"/>
      <c r="Y374" s="633"/>
      <c r="Z374" s="633"/>
      <c r="AA374" s="65"/>
      <c r="AB374" s="65"/>
      <c r="AC374" s="79"/>
    </row>
    <row r="375" spans="1:68" ht="14.25" customHeight="1" x14ac:dyDescent="0.25">
      <c r="A375" s="634" t="s">
        <v>114</v>
      </c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4"/>
      <c r="P375" s="634"/>
      <c r="Q375" s="634"/>
      <c r="R375" s="634"/>
      <c r="S375" s="634"/>
      <c r="T375" s="634"/>
      <c r="U375" s="634"/>
      <c r="V375" s="634"/>
      <c r="W375" s="634"/>
      <c r="X375" s="634"/>
      <c r="Y375" s="634"/>
      <c r="Z375" s="634"/>
      <c r="AA375" s="66"/>
      <c r="AB375" s="66"/>
      <c r="AC375" s="80"/>
    </row>
    <row r="376" spans="1:68" ht="37.5" customHeight="1" x14ac:dyDescent="0.25">
      <c r="A376" s="63" t="s">
        <v>610</v>
      </c>
      <c r="B376" s="63" t="s">
        <v>611</v>
      </c>
      <c r="C376" s="36">
        <v>4301011875</v>
      </c>
      <c r="D376" s="635">
        <v>4680115884885</v>
      </c>
      <c r="E376" s="635"/>
      <c r="F376" s="62">
        <v>0.8</v>
      </c>
      <c r="G376" s="37">
        <v>15</v>
      </c>
      <c r="H376" s="62">
        <v>12</v>
      </c>
      <c r="I376" s="62">
        <v>12.41</v>
      </c>
      <c r="J376" s="37">
        <v>64</v>
      </c>
      <c r="K376" s="37" t="s">
        <v>119</v>
      </c>
      <c r="L376" s="37" t="s">
        <v>45</v>
      </c>
      <c r="M376" s="38" t="s">
        <v>82</v>
      </c>
      <c r="N376" s="38"/>
      <c r="O376" s="37">
        <v>60</v>
      </c>
      <c r="P376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637"/>
      <c r="R376" s="637"/>
      <c r="S376" s="637"/>
      <c r="T376" s="63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45</v>
      </c>
      <c r="AB376" s="69" t="s">
        <v>45</v>
      </c>
      <c r="AC376" s="448" t="s">
        <v>612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37.5" customHeight="1" x14ac:dyDescent="0.25">
      <c r="A377" s="63" t="s">
        <v>613</v>
      </c>
      <c r="B377" s="63" t="s">
        <v>614</v>
      </c>
      <c r="C377" s="36">
        <v>4301011871</v>
      </c>
      <c r="D377" s="635">
        <v>4680115884908</v>
      </c>
      <c r="E377" s="63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123</v>
      </c>
      <c r="L377" s="37" t="s">
        <v>45</v>
      </c>
      <c r="M377" s="38" t="s">
        <v>82</v>
      </c>
      <c r="N377" s="38"/>
      <c r="O377" s="37">
        <v>60</v>
      </c>
      <c r="P377" s="8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637"/>
      <c r="R377" s="637"/>
      <c r="S377" s="637"/>
      <c r="T377" s="63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50" t="s">
        <v>612</v>
      </c>
      <c r="AG377" s="78"/>
      <c r="AJ377" s="84" t="s">
        <v>45</v>
      </c>
      <c r="AK377" s="84">
        <v>0</v>
      </c>
      <c r="BB377" s="451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34" t="s">
        <v>78</v>
      </c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4"/>
      <c r="P380" s="634"/>
      <c r="Q380" s="634"/>
      <c r="R380" s="634"/>
      <c r="S380" s="634"/>
      <c r="T380" s="634"/>
      <c r="U380" s="634"/>
      <c r="V380" s="634"/>
      <c r="W380" s="634"/>
      <c r="X380" s="634"/>
      <c r="Y380" s="634"/>
      <c r="Z380" s="634"/>
      <c r="AA380" s="66"/>
      <c r="AB380" s="66"/>
      <c r="AC380" s="80"/>
    </row>
    <row r="381" spans="1:68" ht="27" customHeight="1" x14ac:dyDescent="0.25">
      <c r="A381" s="63" t="s">
        <v>615</v>
      </c>
      <c r="B381" s="63" t="s">
        <v>616</v>
      </c>
      <c r="C381" s="36">
        <v>4301031457</v>
      </c>
      <c r="D381" s="635">
        <v>4607091384802</v>
      </c>
      <c r="E381" s="63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123</v>
      </c>
      <c r="L381" s="37" t="s">
        <v>45</v>
      </c>
      <c r="M381" s="38" t="s">
        <v>82</v>
      </c>
      <c r="N381" s="38"/>
      <c r="O381" s="37">
        <v>50</v>
      </c>
      <c r="P381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637"/>
      <c r="R381" s="637"/>
      <c r="S381" s="637"/>
      <c r="T381" s="63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617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615</v>
      </c>
      <c r="B382" s="63" t="s">
        <v>618</v>
      </c>
      <c r="C382" s="36">
        <v>4301031303</v>
      </c>
      <c r="D382" s="635">
        <v>4607091384802</v>
      </c>
      <c r="E382" s="635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123</v>
      </c>
      <c r="L382" s="37" t="s">
        <v>45</v>
      </c>
      <c r="M382" s="38" t="s">
        <v>82</v>
      </c>
      <c r="N382" s="38"/>
      <c r="O382" s="37">
        <v>35</v>
      </c>
      <c r="P382" s="82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2" s="637"/>
      <c r="R382" s="637"/>
      <c r="S382" s="637"/>
      <c r="T382" s="63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54" t="s">
        <v>619</v>
      </c>
      <c r="AG382" s="78"/>
      <c r="AJ382" s="84" t="s">
        <v>45</v>
      </c>
      <c r="AK382" s="84">
        <v>0</v>
      </c>
      <c r="BB382" s="45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3"/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4"/>
      <c r="P383" s="640" t="s">
        <v>40</v>
      </c>
      <c r="Q383" s="641"/>
      <c r="R383" s="641"/>
      <c r="S383" s="641"/>
      <c r="T383" s="641"/>
      <c r="U383" s="641"/>
      <c r="V383" s="642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43"/>
      <c r="B384" s="643"/>
      <c r="C384" s="643"/>
      <c r="D384" s="643"/>
      <c r="E384" s="643"/>
      <c r="F384" s="643"/>
      <c r="G384" s="643"/>
      <c r="H384" s="643"/>
      <c r="I384" s="643"/>
      <c r="J384" s="643"/>
      <c r="K384" s="643"/>
      <c r="L384" s="643"/>
      <c r="M384" s="643"/>
      <c r="N384" s="643"/>
      <c r="O384" s="644"/>
      <c r="P384" s="640" t="s">
        <v>40</v>
      </c>
      <c r="Q384" s="641"/>
      <c r="R384" s="641"/>
      <c r="S384" s="641"/>
      <c r="T384" s="641"/>
      <c r="U384" s="641"/>
      <c r="V384" s="642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634" t="s">
        <v>88</v>
      </c>
      <c r="B385" s="634"/>
      <c r="C385" s="634"/>
      <c r="D385" s="634"/>
      <c r="E385" s="634"/>
      <c r="F385" s="634"/>
      <c r="G385" s="634"/>
      <c r="H385" s="634"/>
      <c r="I385" s="634"/>
      <c r="J385" s="634"/>
      <c r="K385" s="634"/>
      <c r="L385" s="634"/>
      <c r="M385" s="634"/>
      <c r="N385" s="634"/>
      <c r="O385" s="634"/>
      <c r="P385" s="634"/>
      <c r="Q385" s="634"/>
      <c r="R385" s="634"/>
      <c r="S385" s="634"/>
      <c r="T385" s="634"/>
      <c r="U385" s="634"/>
      <c r="V385" s="634"/>
      <c r="W385" s="634"/>
      <c r="X385" s="634"/>
      <c r="Y385" s="634"/>
      <c r="Z385" s="634"/>
      <c r="AA385" s="66"/>
      <c r="AB385" s="66"/>
      <c r="AC385" s="80"/>
    </row>
    <row r="386" spans="1:68" ht="27" customHeight="1" x14ac:dyDescent="0.25">
      <c r="A386" s="63" t="s">
        <v>620</v>
      </c>
      <c r="B386" s="63" t="s">
        <v>621</v>
      </c>
      <c r="C386" s="36">
        <v>4301051899</v>
      </c>
      <c r="D386" s="635">
        <v>4607091384246</v>
      </c>
      <c r="E386" s="63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119</v>
      </c>
      <c r="L386" s="37" t="s">
        <v>45</v>
      </c>
      <c r="M386" s="38" t="s">
        <v>92</v>
      </c>
      <c r="N386" s="38"/>
      <c r="O386" s="37">
        <v>40</v>
      </c>
      <c r="P386" s="8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637"/>
      <c r="R386" s="637"/>
      <c r="S386" s="637"/>
      <c r="T386" s="63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45</v>
      </c>
      <c r="AB386" s="69" t="s">
        <v>45</v>
      </c>
      <c r="AC386" s="456" t="s">
        <v>622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623</v>
      </c>
      <c r="B387" s="63" t="s">
        <v>624</v>
      </c>
      <c r="C387" s="36">
        <v>4301051660</v>
      </c>
      <c r="D387" s="635">
        <v>4607091384253</v>
      </c>
      <c r="E387" s="635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637"/>
      <c r="R387" s="637"/>
      <c r="S387" s="637"/>
      <c r="T387" s="638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622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623</v>
      </c>
      <c r="B388" s="63" t="s">
        <v>625</v>
      </c>
      <c r="C388" s="36">
        <v>4301052069</v>
      </c>
      <c r="D388" s="635">
        <v>4607091384253</v>
      </c>
      <c r="E388" s="635"/>
      <c r="F388" s="62">
        <v>0.4</v>
      </c>
      <c r="G388" s="37">
        <v>6</v>
      </c>
      <c r="H388" s="62">
        <v>2.4</v>
      </c>
      <c r="I388" s="62">
        <v>2.6640000000000001</v>
      </c>
      <c r="J388" s="37">
        <v>182</v>
      </c>
      <c r="K388" s="37" t="s">
        <v>83</v>
      </c>
      <c r="L388" s="37" t="s">
        <v>45</v>
      </c>
      <c r="M388" s="38" t="s">
        <v>92</v>
      </c>
      <c r="N388" s="38"/>
      <c r="O388" s="37">
        <v>40</v>
      </c>
      <c r="P388" s="8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637"/>
      <c r="R388" s="637"/>
      <c r="S388" s="637"/>
      <c r="T388" s="638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45</v>
      </c>
      <c r="AB388" s="69" t="s">
        <v>45</v>
      </c>
      <c r="AC388" s="460" t="s">
        <v>626</v>
      </c>
      <c r="AG388" s="78"/>
      <c r="AJ388" s="84" t="s">
        <v>45</v>
      </c>
      <c r="AK388" s="84">
        <v>0</v>
      </c>
      <c r="BB388" s="46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3"/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4"/>
      <c r="P389" s="640" t="s">
        <v>40</v>
      </c>
      <c r="Q389" s="641"/>
      <c r="R389" s="641"/>
      <c r="S389" s="641"/>
      <c r="T389" s="641"/>
      <c r="U389" s="641"/>
      <c r="V389" s="642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3"/>
      <c r="B390" s="643"/>
      <c r="C390" s="643"/>
      <c r="D390" s="643"/>
      <c r="E390" s="643"/>
      <c r="F390" s="643"/>
      <c r="G390" s="643"/>
      <c r="H390" s="643"/>
      <c r="I390" s="643"/>
      <c r="J390" s="643"/>
      <c r="K390" s="643"/>
      <c r="L390" s="643"/>
      <c r="M390" s="643"/>
      <c r="N390" s="643"/>
      <c r="O390" s="644"/>
      <c r="P390" s="640" t="s">
        <v>40</v>
      </c>
      <c r="Q390" s="641"/>
      <c r="R390" s="641"/>
      <c r="S390" s="641"/>
      <c r="T390" s="641"/>
      <c r="U390" s="641"/>
      <c r="V390" s="642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27.75" customHeight="1" x14ac:dyDescent="0.2">
      <c r="A391" s="632" t="s">
        <v>627</v>
      </c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2"/>
      <c r="P391" s="632"/>
      <c r="Q391" s="632"/>
      <c r="R391" s="632"/>
      <c r="S391" s="632"/>
      <c r="T391" s="632"/>
      <c r="U391" s="632"/>
      <c r="V391" s="632"/>
      <c r="W391" s="632"/>
      <c r="X391" s="632"/>
      <c r="Y391" s="632"/>
      <c r="Z391" s="632"/>
      <c r="AA391" s="54"/>
      <c r="AB391" s="54"/>
      <c r="AC391" s="54"/>
    </row>
    <row r="392" spans="1:68" ht="16.5" customHeight="1" x14ac:dyDescent="0.25">
      <c r="A392" s="633" t="s">
        <v>628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5"/>
      <c r="AB392" s="65"/>
      <c r="AC392" s="79"/>
    </row>
    <row r="393" spans="1:68" ht="14.25" customHeight="1" x14ac:dyDescent="0.25">
      <c r="A393" s="634" t="s">
        <v>78</v>
      </c>
      <c r="B393" s="634"/>
      <c r="C393" s="634"/>
      <c r="D393" s="634"/>
      <c r="E393" s="634"/>
      <c r="F393" s="634"/>
      <c r="G393" s="634"/>
      <c r="H393" s="634"/>
      <c r="I393" s="634"/>
      <c r="J393" s="634"/>
      <c r="K393" s="634"/>
      <c r="L393" s="634"/>
      <c r="M393" s="634"/>
      <c r="N393" s="634"/>
      <c r="O393" s="634"/>
      <c r="P393" s="634"/>
      <c r="Q393" s="634"/>
      <c r="R393" s="634"/>
      <c r="S393" s="634"/>
      <c r="T393" s="634"/>
      <c r="U393" s="634"/>
      <c r="V393" s="634"/>
      <c r="W393" s="634"/>
      <c r="X393" s="634"/>
      <c r="Y393" s="634"/>
      <c r="Z393" s="634"/>
      <c r="AA393" s="66"/>
      <c r="AB393" s="66"/>
      <c r="AC393" s="80"/>
    </row>
    <row r="394" spans="1:68" ht="27" customHeight="1" x14ac:dyDescent="0.25">
      <c r="A394" s="63" t="s">
        <v>629</v>
      </c>
      <c r="B394" s="63" t="s">
        <v>630</v>
      </c>
      <c r="C394" s="36">
        <v>4301031405</v>
      </c>
      <c r="D394" s="635">
        <v>4680115886100</v>
      </c>
      <c r="E394" s="63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123</v>
      </c>
      <c r="L394" s="37" t="s">
        <v>45</v>
      </c>
      <c r="M394" s="38" t="s">
        <v>82</v>
      </c>
      <c r="N394" s="38"/>
      <c r="O394" s="37">
        <v>50</v>
      </c>
      <c r="P394" s="8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637"/>
      <c r="R394" s="637"/>
      <c r="S394" s="637"/>
      <c r="T394" s="63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ref="Y394:Y402" si="46">IFERROR(IF(X394="",0,CEILING((X394/$H394),1)*$H394),"")</f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ref="BM394:BM402" si="47">IFERROR(X394*I394/H394,"0")</f>
        <v>0</v>
      </c>
      <c r="BN394" s="78">
        <f t="shared" ref="BN394:BN402" si="48">IFERROR(Y394*I394/H394,"0")</f>
        <v>0</v>
      </c>
      <c r="BO394" s="78">
        <f t="shared" ref="BO394:BO402" si="49">IFERROR(1/J394*(X394/H394),"0")</f>
        <v>0</v>
      </c>
      <c r="BP394" s="78">
        <f t="shared" ref="BP394:BP402" si="50">IFERROR(1/J394*(Y394/H394),"0")</f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4301031406</v>
      </c>
      <c r="D395" s="635">
        <v>4680115886117</v>
      </c>
      <c r="E395" s="635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123</v>
      </c>
      <c r="L395" s="37" t="s">
        <v>45</v>
      </c>
      <c r="M395" s="38" t="s">
        <v>82</v>
      </c>
      <c r="N395" s="38"/>
      <c r="O395" s="37">
        <v>50</v>
      </c>
      <c r="P395" s="83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637"/>
      <c r="R395" s="637"/>
      <c r="S395" s="637"/>
      <c r="T395" s="63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45</v>
      </c>
      <c r="AK395" s="84">
        <v>0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4301031402</v>
      </c>
      <c r="D396" s="635">
        <v>4680115886124</v>
      </c>
      <c r="E396" s="635"/>
      <c r="F396" s="62">
        <v>0.9</v>
      </c>
      <c r="G396" s="37">
        <v>6</v>
      </c>
      <c r="H396" s="62">
        <v>5.4</v>
      </c>
      <c r="I396" s="62">
        <v>5.59</v>
      </c>
      <c r="J396" s="37">
        <v>132</v>
      </c>
      <c r="K396" s="37" t="s">
        <v>123</v>
      </c>
      <c r="L396" s="37" t="s">
        <v>45</v>
      </c>
      <c r="M396" s="38" t="s">
        <v>82</v>
      </c>
      <c r="N396" s="38"/>
      <c r="O396" s="37">
        <v>50</v>
      </c>
      <c r="P396" s="8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637"/>
      <c r="R396" s="637"/>
      <c r="S396" s="637"/>
      <c r="T396" s="63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6" t="s">
        <v>637</v>
      </c>
      <c r="AG396" s="78"/>
      <c r="AJ396" s="84" t="s">
        <v>45</v>
      </c>
      <c r="AK396" s="84">
        <v>0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27" customHeight="1" x14ac:dyDescent="0.25">
      <c r="A397" s="63" t="s">
        <v>638</v>
      </c>
      <c r="B397" s="63" t="s">
        <v>639</v>
      </c>
      <c r="C397" s="36">
        <v>4301031366</v>
      </c>
      <c r="D397" s="635">
        <v>4680115883147</v>
      </c>
      <c r="E397" s="635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637"/>
      <c r="R397" s="637"/>
      <c r="S397" s="637"/>
      <c r="T397" s="63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ref="Z397:Z402" si="51">IFERROR(IF(Y397=0,"",ROUNDUP(Y397/H397,0)*0.00502),"")</f>
        <v/>
      </c>
      <c r="AA397" s="68" t="s">
        <v>45</v>
      </c>
      <c r="AB397" s="69" t="s">
        <v>45</v>
      </c>
      <c r="AC397" s="468" t="s">
        <v>631</v>
      </c>
      <c r="AG397" s="78"/>
      <c r="AJ397" s="84" t="s">
        <v>45</v>
      </c>
      <c r="AK397" s="84">
        <v>0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4301031362</v>
      </c>
      <c r="D398" s="635">
        <v>4607091384338</v>
      </c>
      <c r="E398" s="635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312</v>
      </c>
      <c r="M398" s="38" t="s">
        <v>82</v>
      </c>
      <c r="N398" s="38"/>
      <c r="O398" s="37">
        <v>50</v>
      </c>
      <c r="P398" s="8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637"/>
      <c r="R398" s="637"/>
      <c r="S398" s="637"/>
      <c r="T398" s="63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631</v>
      </c>
      <c r="AG398" s="78"/>
      <c r="AJ398" s="84" t="s">
        <v>94</v>
      </c>
      <c r="AK398" s="84">
        <v>37.799999999999997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37.5" customHeight="1" x14ac:dyDescent="0.25">
      <c r="A399" s="63" t="s">
        <v>642</v>
      </c>
      <c r="B399" s="63" t="s">
        <v>643</v>
      </c>
      <c r="C399" s="36">
        <v>4301031361</v>
      </c>
      <c r="D399" s="635">
        <v>4607091389524</v>
      </c>
      <c r="E399" s="63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637"/>
      <c r="R399" s="637"/>
      <c r="S399" s="637"/>
      <c r="T399" s="63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4301031364</v>
      </c>
      <c r="D400" s="635">
        <v>4680115883161</v>
      </c>
      <c r="E400" s="635"/>
      <c r="F400" s="62">
        <v>0.28000000000000003</v>
      </c>
      <c r="G400" s="37">
        <v>6</v>
      </c>
      <c r="H400" s="62">
        <v>1.68</v>
      </c>
      <c r="I400" s="62">
        <v>1.81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637"/>
      <c r="R400" s="637"/>
      <c r="S400" s="637"/>
      <c r="T400" s="63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ht="27" customHeight="1" x14ac:dyDescent="0.25">
      <c r="A401" s="63" t="s">
        <v>648</v>
      </c>
      <c r="B401" s="63" t="s">
        <v>649</v>
      </c>
      <c r="C401" s="36">
        <v>4301031358</v>
      </c>
      <c r="D401" s="635">
        <v>4607091389531</v>
      </c>
      <c r="E401" s="635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637"/>
      <c r="R401" s="637"/>
      <c r="S401" s="637"/>
      <c r="T401" s="638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6"/>
        <v>0</v>
      </c>
      <c r="Z401" s="41" t="str">
        <f t="shared" si="51"/>
        <v/>
      </c>
      <c r="AA401" s="68" t="s">
        <v>45</v>
      </c>
      <c r="AB401" s="69" t="s">
        <v>45</v>
      </c>
      <c r="AC401" s="476" t="s">
        <v>650</v>
      </c>
      <c r="AG401" s="78"/>
      <c r="AJ401" s="84" t="s">
        <v>45</v>
      </c>
      <c r="AK401" s="84">
        <v>0</v>
      </c>
      <c r="BB401" s="477" t="s">
        <v>66</v>
      </c>
      <c r="BM401" s="78">
        <f t="shared" si="47"/>
        <v>0</v>
      </c>
      <c r="BN401" s="78">
        <f t="shared" si="48"/>
        <v>0</v>
      </c>
      <c r="BO401" s="78">
        <f t="shared" si="49"/>
        <v>0</v>
      </c>
      <c r="BP401" s="78">
        <f t="shared" si="50"/>
        <v>0</v>
      </c>
    </row>
    <row r="402" spans="1:68" ht="37.5" customHeight="1" x14ac:dyDescent="0.25">
      <c r="A402" s="63" t="s">
        <v>651</v>
      </c>
      <c r="B402" s="63" t="s">
        <v>652</v>
      </c>
      <c r="C402" s="36">
        <v>4301031360</v>
      </c>
      <c r="D402" s="635">
        <v>4607091384345</v>
      </c>
      <c r="E402" s="635"/>
      <c r="F402" s="62">
        <v>0.35</v>
      </c>
      <c r="G402" s="37">
        <v>6</v>
      </c>
      <c r="H402" s="62">
        <v>2.1</v>
      </c>
      <c r="I402" s="62">
        <v>2.23</v>
      </c>
      <c r="J402" s="37">
        <v>234</v>
      </c>
      <c r="K402" s="37" t="s">
        <v>87</v>
      </c>
      <c r="L402" s="37" t="s">
        <v>45</v>
      </c>
      <c r="M402" s="38" t="s">
        <v>82</v>
      </c>
      <c r="N402" s="38"/>
      <c r="O402" s="37">
        <v>50</v>
      </c>
      <c r="P402" s="8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637"/>
      <c r="R402" s="637"/>
      <c r="S402" s="637"/>
      <c r="T402" s="638"/>
      <c r="U402" s="39" t="s">
        <v>45</v>
      </c>
      <c r="V402" s="39" t="s">
        <v>45</v>
      </c>
      <c r="W402" s="40" t="s">
        <v>0</v>
      </c>
      <c r="X402" s="58">
        <v>0</v>
      </c>
      <c r="Y402" s="55">
        <f t="shared" si="46"/>
        <v>0</v>
      </c>
      <c r="Z402" s="41" t="str">
        <f t="shared" si="51"/>
        <v/>
      </c>
      <c r="AA402" s="68" t="s">
        <v>45</v>
      </c>
      <c r="AB402" s="69" t="s">
        <v>45</v>
      </c>
      <c r="AC402" s="478" t="s">
        <v>647</v>
      </c>
      <c r="AG402" s="78"/>
      <c r="AJ402" s="84" t="s">
        <v>45</v>
      </c>
      <c r="AK402" s="84">
        <v>0</v>
      </c>
      <c r="BB402" s="479" t="s">
        <v>66</v>
      </c>
      <c r="BM402" s="78">
        <f t="shared" si="47"/>
        <v>0</v>
      </c>
      <c r="BN402" s="78">
        <f t="shared" si="48"/>
        <v>0</v>
      </c>
      <c r="BO402" s="78">
        <f t="shared" si="49"/>
        <v>0</v>
      </c>
      <c r="BP402" s="78">
        <f t="shared" si="50"/>
        <v>0</v>
      </c>
    </row>
    <row r="403" spans="1:68" x14ac:dyDescent="0.2">
      <c r="A403" s="643"/>
      <c r="B403" s="643"/>
      <c r="C403" s="643"/>
      <c r="D403" s="643"/>
      <c r="E403" s="643"/>
      <c r="F403" s="643"/>
      <c r="G403" s="643"/>
      <c r="H403" s="643"/>
      <c r="I403" s="643"/>
      <c r="J403" s="643"/>
      <c r="K403" s="643"/>
      <c r="L403" s="643"/>
      <c r="M403" s="643"/>
      <c r="N403" s="643"/>
      <c r="O403" s="644"/>
      <c r="P403" s="640" t="s">
        <v>40</v>
      </c>
      <c r="Q403" s="641"/>
      <c r="R403" s="641"/>
      <c r="S403" s="641"/>
      <c r="T403" s="641"/>
      <c r="U403" s="641"/>
      <c r="V403" s="642"/>
      <c r="W403" s="42" t="s">
        <v>39</v>
      </c>
      <c r="X403" s="43">
        <f>IFERROR(X394/H394,"0")+IFERROR(X395/H395,"0")+IFERROR(X396/H396,"0")+IFERROR(X397/H397,"0")+IFERROR(X398/H398,"0")+IFERROR(X399/H399,"0")+IFERROR(X400/H400,"0")+IFERROR(X401/H401,"0")+IFERROR(X402/H402,"0")</f>
        <v>0</v>
      </c>
      <c r="Y403" s="43">
        <f>IFERROR(Y394/H394,"0")+IFERROR(Y395/H395,"0")+IFERROR(Y396/H396,"0")+IFERROR(Y397/H397,"0")+IFERROR(Y398/H398,"0")+IFERROR(Y399/H399,"0")+IFERROR(Y400/H400,"0")+IFERROR(Y401/H401,"0")+IFERROR(Y402/H402,"0")</f>
        <v>0</v>
      </c>
      <c r="Z403" s="43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0</v>
      </c>
      <c r="X404" s="43">
        <f>IFERROR(SUM(X394:X402),"0")</f>
        <v>0</v>
      </c>
      <c r="Y404" s="43">
        <f>IFERROR(SUM(Y394:Y402),"0")</f>
        <v>0</v>
      </c>
      <c r="Z404" s="42"/>
      <c r="AA404" s="67"/>
      <c r="AB404" s="67"/>
      <c r="AC404" s="67"/>
    </row>
    <row r="405" spans="1:68" ht="14.25" customHeight="1" x14ac:dyDescent="0.25">
      <c r="A405" s="634" t="s">
        <v>88</v>
      </c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4"/>
      <c r="P405" s="634"/>
      <c r="Q405" s="634"/>
      <c r="R405" s="634"/>
      <c r="S405" s="634"/>
      <c r="T405" s="634"/>
      <c r="U405" s="634"/>
      <c r="V405" s="634"/>
      <c r="W405" s="634"/>
      <c r="X405" s="634"/>
      <c r="Y405" s="634"/>
      <c r="Z405" s="634"/>
      <c r="AA405" s="66"/>
      <c r="AB405" s="66"/>
      <c r="AC405" s="80"/>
    </row>
    <row r="406" spans="1:68" ht="27" customHeight="1" x14ac:dyDescent="0.25">
      <c r="A406" s="63" t="s">
        <v>653</v>
      </c>
      <c r="B406" s="63" t="s">
        <v>654</v>
      </c>
      <c r="C406" s="36">
        <v>4301051284</v>
      </c>
      <c r="D406" s="635">
        <v>4607091384352</v>
      </c>
      <c r="E406" s="635"/>
      <c r="F406" s="62">
        <v>0.6</v>
      </c>
      <c r="G406" s="37">
        <v>4</v>
      </c>
      <c r="H406" s="62">
        <v>2.4</v>
      </c>
      <c r="I406" s="62">
        <v>2.6259999999999999</v>
      </c>
      <c r="J406" s="37">
        <v>132</v>
      </c>
      <c r="K406" s="37" t="s">
        <v>123</v>
      </c>
      <c r="L406" s="37" t="s">
        <v>45</v>
      </c>
      <c r="M406" s="38" t="s">
        <v>92</v>
      </c>
      <c r="N406" s="38"/>
      <c r="O406" s="37">
        <v>45</v>
      </c>
      <c r="P406" s="84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637"/>
      <c r="R406" s="637"/>
      <c r="S406" s="637"/>
      <c r="T406" s="638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656</v>
      </c>
      <c r="B407" s="63" t="s">
        <v>657</v>
      </c>
      <c r="C407" s="36">
        <v>4301051431</v>
      </c>
      <c r="D407" s="635">
        <v>4607091389654</v>
      </c>
      <c r="E407" s="635"/>
      <c r="F407" s="62">
        <v>0.33</v>
      </c>
      <c r="G407" s="37">
        <v>6</v>
      </c>
      <c r="H407" s="62">
        <v>1.98</v>
      </c>
      <c r="I407" s="62">
        <v>2.238</v>
      </c>
      <c r="J407" s="37">
        <v>182</v>
      </c>
      <c r="K407" s="37" t="s">
        <v>83</v>
      </c>
      <c r="L407" s="37" t="s">
        <v>45</v>
      </c>
      <c r="M407" s="38" t="s">
        <v>92</v>
      </c>
      <c r="N407" s="38"/>
      <c r="O407" s="37">
        <v>45</v>
      </c>
      <c r="P407" s="84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637"/>
      <c r="R407" s="637"/>
      <c r="S407" s="637"/>
      <c r="T407" s="63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82" t="s">
        <v>658</v>
      </c>
      <c r="AG407" s="78"/>
      <c r="AJ407" s="84" t="s">
        <v>45</v>
      </c>
      <c r="AK407" s="84">
        <v>0</v>
      </c>
      <c r="BB407" s="48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3"/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4"/>
      <c r="P408" s="640" t="s">
        <v>40</v>
      </c>
      <c r="Q408" s="641"/>
      <c r="R408" s="641"/>
      <c r="S408" s="641"/>
      <c r="T408" s="641"/>
      <c r="U408" s="641"/>
      <c r="V408" s="64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x14ac:dyDescent="0.2">
      <c r="A409" s="643"/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4"/>
      <c r="P409" s="640" t="s">
        <v>40</v>
      </c>
      <c r="Q409" s="641"/>
      <c r="R409" s="641"/>
      <c r="S409" s="641"/>
      <c r="T409" s="641"/>
      <c r="U409" s="641"/>
      <c r="V409" s="64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customHeight="1" x14ac:dyDescent="0.25">
      <c r="A410" s="633" t="s">
        <v>659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5"/>
      <c r="AB410" s="65"/>
      <c r="AC410" s="79"/>
    </row>
    <row r="411" spans="1:68" ht="14.25" customHeight="1" x14ac:dyDescent="0.25">
      <c r="A411" s="634" t="s">
        <v>149</v>
      </c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4"/>
      <c r="P411" s="634"/>
      <c r="Q411" s="634"/>
      <c r="R411" s="634"/>
      <c r="S411" s="634"/>
      <c r="T411" s="634"/>
      <c r="U411" s="634"/>
      <c r="V411" s="634"/>
      <c r="W411" s="634"/>
      <c r="X411" s="634"/>
      <c r="Y411" s="634"/>
      <c r="Z411" s="634"/>
      <c r="AA411" s="66"/>
      <c r="AB411" s="66"/>
      <c r="AC411" s="80"/>
    </row>
    <row r="412" spans="1:68" ht="27" customHeight="1" x14ac:dyDescent="0.25">
      <c r="A412" s="63" t="s">
        <v>660</v>
      </c>
      <c r="B412" s="63" t="s">
        <v>661</v>
      </c>
      <c r="C412" s="36">
        <v>4301020319</v>
      </c>
      <c r="D412" s="635">
        <v>4680115885240</v>
      </c>
      <c r="E412" s="635"/>
      <c r="F412" s="62">
        <v>0.35</v>
      </c>
      <c r="G412" s="37">
        <v>6</v>
      </c>
      <c r="H412" s="62">
        <v>2.1</v>
      </c>
      <c r="I412" s="62">
        <v>2.31</v>
      </c>
      <c r="J412" s="37">
        <v>182</v>
      </c>
      <c r="K412" s="37" t="s">
        <v>83</v>
      </c>
      <c r="L412" s="37" t="s">
        <v>45</v>
      </c>
      <c r="M412" s="38" t="s">
        <v>82</v>
      </c>
      <c r="N412" s="38"/>
      <c r="O412" s="37">
        <v>40</v>
      </c>
      <c r="P412" s="8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637"/>
      <c r="R412" s="637"/>
      <c r="S412" s="637"/>
      <c r="T412" s="63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IFERROR(IF(Y412=0,"",ROUNDUP(Y412/H412,0)*0.00651),"")</f>
        <v/>
      </c>
      <c r="AA412" s="68" t="s">
        <v>45</v>
      </c>
      <c r="AB412" s="69" t="s">
        <v>45</v>
      </c>
      <c r="AC412" s="484" t="s">
        <v>662</v>
      </c>
      <c r="AG412" s="78"/>
      <c r="AJ412" s="84" t="s">
        <v>45</v>
      </c>
      <c r="AK412" s="84">
        <v>0</v>
      </c>
      <c r="BB412" s="485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0" t="s">
        <v>40</v>
      </c>
      <c r="Q413" s="641"/>
      <c r="R413" s="641"/>
      <c r="S413" s="641"/>
      <c r="T413" s="641"/>
      <c r="U413" s="641"/>
      <c r="V413" s="642"/>
      <c r="W413" s="42" t="s">
        <v>39</v>
      </c>
      <c r="X413" s="43">
        <f>IFERROR(X412/H412,"0")</f>
        <v>0</v>
      </c>
      <c r="Y413" s="43">
        <f>IFERROR(Y412/H412,"0")</f>
        <v>0</v>
      </c>
      <c r="Z413" s="43">
        <f>IFERROR(IF(Z412="",0,Z412),"0")</f>
        <v>0</v>
      </c>
      <c r="AA413" s="67"/>
      <c r="AB413" s="67"/>
      <c r="AC413" s="67"/>
    </row>
    <row r="414" spans="1:68" x14ac:dyDescent="0.2">
      <c r="A414" s="643"/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4"/>
      <c r="P414" s="640" t="s">
        <v>40</v>
      </c>
      <c r="Q414" s="641"/>
      <c r="R414" s="641"/>
      <c r="S414" s="641"/>
      <c r="T414" s="641"/>
      <c r="U414" s="641"/>
      <c r="V414" s="642"/>
      <c r="W414" s="42" t="s">
        <v>0</v>
      </c>
      <c r="X414" s="43">
        <f>IFERROR(SUM(X412:X412),"0")</f>
        <v>0</v>
      </c>
      <c r="Y414" s="43">
        <f>IFERROR(SUM(Y412:Y412),"0")</f>
        <v>0</v>
      </c>
      <c r="Z414" s="42"/>
      <c r="AA414" s="67"/>
      <c r="AB414" s="67"/>
      <c r="AC414" s="67"/>
    </row>
    <row r="415" spans="1:68" ht="14.25" customHeight="1" x14ac:dyDescent="0.25">
      <c r="A415" s="634" t="s">
        <v>78</v>
      </c>
      <c r="B415" s="634"/>
      <c r="C415" s="634"/>
      <c r="D415" s="634"/>
      <c r="E415" s="634"/>
      <c r="F415" s="634"/>
      <c r="G415" s="634"/>
      <c r="H415" s="634"/>
      <c r="I415" s="634"/>
      <c r="J415" s="634"/>
      <c r="K415" s="634"/>
      <c r="L415" s="634"/>
      <c r="M415" s="634"/>
      <c r="N415" s="634"/>
      <c r="O415" s="634"/>
      <c r="P415" s="634"/>
      <c r="Q415" s="634"/>
      <c r="R415" s="634"/>
      <c r="S415" s="634"/>
      <c r="T415" s="634"/>
      <c r="U415" s="634"/>
      <c r="V415" s="634"/>
      <c r="W415" s="634"/>
      <c r="X415" s="634"/>
      <c r="Y415" s="634"/>
      <c r="Z415" s="634"/>
      <c r="AA415" s="66"/>
      <c r="AB415" s="66"/>
      <c r="AC415" s="80"/>
    </row>
    <row r="416" spans="1:68" ht="27" customHeight="1" x14ac:dyDescent="0.25">
      <c r="A416" s="63" t="s">
        <v>663</v>
      </c>
      <c r="B416" s="63" t="s">
        <v>664</v>
      </c>
      <c r="C416" s="36">
        <v>4301031403</v>
      </c>
      <c r="D416" s="635">
        <v>4680115886094</v>
      </c>
      <c r="E416" s="635"/>
      <c r="F416" s="62">
        <v>0.9</v>
      </c>
      <c r="G416" s="37">
        <v>6</v>
      </c>
      <c r="H416" s="62">
        <v>5.4</v>
      </c>
      <c r="I416" s="62">
        <v>5.59</v>
      </c>
      <c r="J416" s="37">
        <v>132</v>
      </c>
      <c r="K416" s="37" t="s">
        <v>123</v>
      </c>
      <c r="L416" s="37" t="s">
        <v>45</v>
      </c>
      <c r="M416" s="38" t="s">
        <v>118</v>
      </c>
      <c r="N416" s="38"/>
      <c r="O416" s="37">
        <v>50</v>
      </c>
      <c r="P416" s="8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637"/>
      <c r="R416" s="637"/>
      <c r="S416" s="637"/>
      <c r="T416" s="63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4301031363</v>
      </c>
      <c r="D417" s="635">
        <v>4607091389425</v>
      </c>
      <c r="E417" s="635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637"/>
      <c r="R417" s="637"/>
      <c r="S417" s="637"/>
      <c r="T417" s="638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4301031373</v>
      </c>
      <c r="D418" s="635">
        <v>4680115880771</v>
      </c>
      <c r="E418" s="635"/>
      <c r="F418" s="62">
        <v>0.28000000000000003</v>
      </c>
      <c r="G418" s="37">
        <v>6</v>
      </c>
      <c r="H418" s="62">
        <v>1.68</v>
      </c>
      <c r="I418" s="62">
        <v>1.81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637"/>
      <c r="R418" s="637"/>
      <c r="S418" s="637"/>
      <c r="T418" s="638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671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672</v>
      </c>
      <c r="B419" s="63" t="s">
        <v>673</v>
      </c>
      <c r="C419" s="36">
        <v>4301031359</v>
      </c>
      <c r="D419" s="635">
        <v>4607091389500</v>
      </c>
      <c r="E419" s="635"/>
      <c r="F419" s="62">
        <v>0.35</v>
      </c>
      <c r="G419" s="37">
        <v>6</v>
      </c>
      <c r="H419" s="62">
        <v>2.1</v>
      </c>
      <c r="I419" s="62">
        <v>2.23</v>
      </c>
      <c r="J419" s="37">
        <v>234</v>
      </c>
      <c r="K419" s="37" t="s">
        <v>87</v>
      </c>
      <c r="L419" s="37" t="s">
        <v>45</v>
      </c>
      <c r="M419" s="38" t="s">
        <v>82</v>
      </c>
      <c r="N419" s="38"/>
      <c r="O419" s="37">
        <v>50</v>
      </c>
      <c r="P419" s="84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637"/>
      <c r="R419" s="637"/>
      <c r="S419" s="637"/>
      <c r="T419" s="63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IFERROR(IF(Y419=0,"",ROUNDUP(Y419/H419,0)*0.00502),"")</f>
        <v/>
      </c>
      <c r="AA419" s="68" t="s">
        <v>45</v>
      </c>
      <c r="AB419" s="69" t="s">
        <v>45</v>
      </c>
      <c r="AC419" s="492" t="s">
        <v>671</v>
      </c>
      <c r="AG419" s="78"/>
      <c r="AJ419" s="84" t="s">
        <v>45</v>
      </c>
      <c r="AK419" s="84">
        <v>0</v>
      </c>
      <c r="BB419" s="493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0" t="s">
        <v>40</v>
      </c>
      <c r="Q420" s="641"/>
      <c r="R420" s="641"/>
      <c r="S420" s="641"/>
      <c r="T420" s="641"/>
      <c r="U420" s="641"/>
      <c r="V420" s="642"/>
      <c r="W420" s="42" t="s">
        <v>39</v>
      </c>
      <c r="X420" s="43">
        <f>IFERROR(X416/H416,"0")+IFERROR(X417/H417,"0")+IFERROR(X418/H418,"0")+IFERROR(X419/H419,"0")</f>
        <v>0</v>
      </c>
      <c r="Y420" s="43">
        <f>IFERROR(Y416/H416,"0")+IFERROR(Y417/H417,"0")+IFERROR(Y418/H418,"0")+IFERROR(Y419/H419,"0")</f>
        <v>0</v>
      </c>
      <c r="Z420" s="43">
        <f>IFERROR(IF(Z416="",0,Z416),"0")+IFERROR(IF(Z417="",0,Z417),"0")+IFERROR(IF(Z418="",0,Z418),"0")+IFERROR(IF(Z419="",0,Z419),"0")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643"/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4"/>
      <c r="P421" s="640" t="s">
        <v>40</v>
      </c>
      <c r="Q421" s="641"/>
      <c r="R421" s="641"/>
      <c r="S421" s="641"/>
      <c r="T421" s="641"/>
      <c r="U421" s="641"/>
      <c r="V421" s="642"/>
      <c r="W421" s="42" t="s">
        <v>0</v>
      </c>
      <c r="X421" s="43">
        <f>IFERROR(SUM(X416:X419),"0")</f>
        <v>0</v>
      </c>
      <c r="Y421" s="43">
        <f>IFERROR(SUM(Y416:Y419),"0")</f>
        <v>0</v>
      </c>
      <c r="Z421" s="42"/>
      <c r="AA421" s="67"/>
      <c r="AB421" s="67"/>
      <c r="AC421" s="67"/>
    </row>
    <row r="422" spans="1:68" ht="16.5" customHeight="1" x14ac:dyDescent="0.25">
      <c r="A422" s="633" t="s">
        <v>674</v>
      </c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3"/>
      <c r="P422" s="633"/>
      <c r="Q422" s="633"/>
      <c r="R422" s="633"/>
      <c r="S422" s="633"/>
      <c r="T422" s="633"/>
      <c r="U422" s="633"/>
      <c r="V422" s="633"/>
      <c r="W422" s="633"/>
      <c r="X422" s="633"/>
      <c r="Y422" s="633"/>
      <c r="Z422" s="633"/>
      <c r="AA422" s="65"/>
      <c r="AB422" s="65"/>
      <c r="AC422" s="79"/>
    </row>
    <row r="423" spans="1:68" ht="14.25" customHeight="1" x14ac:dyDescent="0.25">
      <c r="A423" s="634" t="s">
        <v>78</v>
      </c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4"/>
      <c r="P423" s="634"/>
      <c r="Q423" s="634"/>
      <c r="R423" s="634"/>
      <c r="S423" s="634"/>
      <c r="T423" s="634"/>
      <c r="U423" s="634"/>
      <c r="V423" s="634"/>
      <c r="W423" s="634"/>
      <c r="X423" s="634"/>
      <c r="Y423" s="634"/>
      <c r="Z423" s="634"/>
      <c r="AA423" s="66"/>
      <c r="AB423" s="66"/>
      <c r="AC423" s="80"/>
    </row>
    <row r="424" spans="1:68" ht="27" customHeight="1" x14ac:dyDescent="0.25">
      <c r="A424" s="63" t="s">
        <v>675</v>
      </c>
      <c r="B424" s="63" t="s">
        <v>676</v>
      </c>
      <c r="C424" s="36">
        <v>4301031347</v>
      </c>
      <c r="D424" s="635">
        <v>4680115885110</v>
      </c>
      <c r="E424" s="635"/>
      <c r="F424" s="62">
        <v>0.2</v>
      </c>
      <c r="G424" s="37">
        <v>6</v>
      </c>
      <c r="H424" s="62">
        <v>1.2</v>
      </c>
      <c r="I424" s="62">
        <v>2.1</v>
      </c>
      <c r="J424" s="37">
        <v>182</v>
      </c>
      <c r="K424" s="37" t="s">
        <v>83</v>
      </c>
      <c r="L424" s="37" t="s">
        <v>45</v>
      </c>
      <c r="M424" s="38" t="s">
        <v>82</v>
      </c>
      <c r="N424" s="38"/>
      <c r="O424" s="37">
        <v>50</v>
      </c>
      <c r="P424" s="84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637"/>
      <c r="R424" s="637"/>
      <c r="S424" s="637"/>
      <c r="T424" s="638"/>
      <c r="U424" s="39" t="s">
        <v>45</v>
      </c>
      <c r="V424" s="39" t="s">
        <v>45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45</v>
      </c>
      <c r="AB424" s="69" t="s">
        <v>45</v>
      </c>
      <c r="AC424" s="494" t="s">
        <v>677</v>
      </c>
      <c r="AG424" s="78"/>
      <c r="AJ424" s="84" t="s">
        <v>45</v>
      </c>
      <c r="AK424" s="84">
        <v>0</v>
      </c>
      <c r="BB424" s="495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643"/>
      <c r="B425" s="643"/>
      <c r="C425" s="643"/>
      <c r="D425" s="643"/>
      <c r="E425" s="643"/>
      <c r="F425" s="643"/>
      <c r="G425" s="643"/>
      <c r="H425" s="643"/>
      <c r="I425" s="643"/>
      <c r="J425" s="643"/>
      <c r="K425" s="643"/>
      <c r="L425" s="643"/>
      <c r="M425" s="643"/>
      <c r="N425" s="643"/>
      <c r="O425" s="644"/>
      <c r="P425" s="640" t="s">
        <v>40</v>
      </c>
      <c r="Q425" s="641"/>
      <c r="R425" s="641"/>
      <c r="S425" s="641"/>
      <c r="T425" s="641"/>
      <c r="U425" s="641"/>
      <c r="V425" s="642"/>
      <c r="W425" s="42" t="s">
        <v>39</v>
      </c>
      <c r="X425" s="43">
        <f>IFERROR(X424/H424,"0")</f>
        <v>0</v>
      </c>
      <c r="Y425" s="43">
        <f>IFERROR(Y424/H424,"0")</f>
        <v>0</v>
      </c>
      <c r="Z425" s="43">
        <f>IFERROR(IF(Z424="",0,Z424),"0")</f>
        <v>0</v>
      </c>
      <c r="AA425" s="67"/>
      <c r="AB425" s="67"/>
      <c r="AC425" s="67"/>
    </row>
    <row r="426" spans="1:68" x14ac:dyDescent="0.2">
      <c r="A426" s="643"/>
      <c r="B426" s="643"/>
      <c r="C426" s="643"/>
      <c r="D426" s="643"/>
      <c r="E426" s="643"/>
      <c r="F426" s="643"/>
      <c r="G426" s="643"/>
      <c r="H426" s="643"/>
      <c r="I426" s="643"/>
      <c r="J426" s="643"/>
      <c r="K426" s="643"/>
      <c r="L426" s="643"/>
      <c r="M426" s="643"/>
      <c r="N426" s="643"/>
      <c r="O426" s="644"/>
      <c r="P426" s="640" t="s">
        <v>40</v>
      </c>
      <c r="Q426" s="641"/>
      <c r="R426" s="641"/>
      <c r="S426" s="641"/>
      <c r="T426" s="641"/>
      <c r="U426" s="641"/>
      <c r="V426" s="642"/>
      <c r="W426" s="42" t="s">
        <v>0</v>
      </c>
      <c r="X426" s="43">
        <f>IFERROR(SUM(X424:X424),"0")</f>
        <v>0</v>
      </c>
      <c r="Y426" s="43">
        <f>IFERROR(SUM(Y424:Y424),"0")</f>
        <v>0</v>
      </c>
      <c r="Z426" s="42"/>
      <c r="AA426" s="67"/>
      <c r="AB426" s="67"/>
      <c r="AC426" s="67"/>
    </row>
    <row r="427" spans="1:68" ht="27.75" customHeight="1" x14ac:dyDescent="0.2">
      <c r="A427" s="632" t="s">
        <v>678</v>
      </c>
      <c r="B427" s="632"/>
      <c r="C427" s="632"/>
      <c r="D427" s="632"/>
      <c r="E427" s="632"/>
      <c r="F427" s="632"/>
      <c r="G427" s="632"/>
      <c r="H427" s="632"/>
      <c r="I427" s="632"/>
      <c r="J427" s="632"/>
      <c r="K427" s="632"/>
      <c r="L427" s="632"/>
      <c r="M427" s="632"/>
      <c r="N427" s="632"/>
      <c r="O427" s="632"/>
      <c r="P427" s="632"/>
      <c r="Q427" s="632"/>
      <c r="R427" s="632"/>
      <c r="S427" s="632"/>
      <c r="T427" s="632"/>
      <c r="U427" s="632"/>
      <c r="V427" s="632"/>
      <c r="W427" s="632"/>
      <c r="X427" s="632"/>
      <c r="Y427" s="632"/>
      <c r="Z427" s="632"/>
      <c r="AA427" s="54"/>
      <c r="AB427" s="54"/>
      <c r="AC427" s="54"/>
    </row>
    <row r="428" spans="1:68" ht="16.5" customHeight="1" x14ac:dyDescent="0.25">
      <c r="A428" s="633" t="s">
        <v>678</v>
      </c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3"/>
      <c r="P428" s="633"/>
      <c r="Q428" s="633"/>
      <c r="R428" s="633"/>
      <c r="S428" s="633"/>
      <c r="T428" s="633"/>
      <c r="U428" s="633"/>
      <c r="V428" s="633"/>
      <c r="W428" s="633"/>
      <c r="X428" s="633"/>
      <c r="Y428" s="633"/>
      <c r="Z428" s="633"/>
      <c r="AA428" s="65"/>
      <c r="AB428" s="65"/>
      <c r="AC428" s="79"/>
    </row>
    <row r="429" spans="1:68" ht="14.25" customHeight="1" x14ac:dyDescent="0.25">
      <c r="A429" s="634" t="s">
        <v>114</v>
      </c>
      <c r="B429" s="634"/>
      <c r="C429" s="634"/>
      <c r="D429" s="634"/>
      <c r="E429" s="634"/>
      <c r="F429" s="634"/>
      <c r="G429" s="634"/>
      <c r="H429" s="634"/>
      <c r="I429" s="634"/>
      <c r="J429" s="634"/>
      <c r="K429" s="634"/>
      <c r="L429" s="634"/>
      <c r="M429" s="634"/>
      <c r="N429" s="634"/>
      <c r="O429" s="634"/>
      <c r="P429" s="634"/>
      <c r="Q429" s="634"/>
      <c r="R429" s="634"/>
      <c r="S429" s="634"/>
      <c r="T429" s="634"/>
      <c r="U429" s="634"/>
      <c r="V429" s="634"/>
      <c r="W429" s="634"/>
      <c r="X429" s="634"/>
      <c r="Y429" s="634"/>
      <c r="Z429" s="634"/>
      <c r="AA429" s="66"/>
      <c r="AB429" s="66"/>
      <c r="AC429" s="80"/>
    </row>
    <row r="430" spans="1:68" ht="27" customHeight="1" x14ac:dyDescent="0.25">
      <c r="A430" s="63" t="s">
        <v>679</v>
      </c>
      <c r="B430" s="63" t="s">
        <v>680</v>
      </c>
      <c r="C430" s="36">
        <v>4301011795</v>
      </c>
      <c r="D430" s="635">
        <v>4607091389067</v>
      </c>
      <c r="E430" s="63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120</v>
      </c>
      <c r="M430" s="38" t="s">
        <v>118</v>
      </c>
      <c r="N430" s="38"/>
      <c r="O430" s="37">
        <v>60</v>
      </c>
      <c r="P430" s="8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637"/>
      <c r="R430" s="637"/>
      <c r="S430" s="637"/>
      <c r="T430" s="63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ref="Y430:Y441" si="52">IFERROR(IF(X430="",0,CEILING((X430/$H430),1)*$H430),"")</f>
        <v>0</v>
      </c>
      <c r="Z430" s="41" t="str">
        <f t="shared" ref="Z430:Z436" si="53">IFERROR(IF(Y430=0,"",ROUNDUP(Y430/H430,0)*0.01196),"")</f>
        <v/>
      </c>
      <c r="AA430" s="68" t="s">
        <v>45</v>
      </c>
      <c r="AB430" s="69" t="s">
        <v>45</v>
      </c>
      <c r="AC430" s="496" t="s">
        <v>117</v>
      </c>
      <c r="AG430" s="78"/>
      <c r="AJ430" s="84" t="s">
        <v>94</v>
      </c>
      <c r="AK430" s="84">
        <v>42.24</v>
      </c>
      <c r="BB430" s="497" t="s">
        <v>66</v>
      </c>
      <c r="BM430" s="78">
        <f t="shared" ref="BM430:BM441" si="54">IFERROR(X430*I430/H430,"0")</f>
        <v>0</v>
      </c>
      <c r="BN430" s="78">
        <f t="shared" ref="BN430:BN441" si="55">IFERROR(Y430*I430/H430,"0")</f>
        <v>0</v>
      </c>
      <c r="BO430" s="78">
        <f t="shared" ref="BO430:BO441" si="56">IFERROR(1/J430*(X430/H430),"0")</f>
        <v>0</v>
      </c>
      <c r="BP430" s="78">
        <f t="shared" ref="BP430:BP441" si="57">IFERROR(1/J430*(Y430/H430),"0")</f>
        <v>0</v>
      </c>
    </row>
    <row r="431" spans="1:68" ht="27" customHeight="1" x14ac:dyDescent="0.25">
      <c r="A431" s="63" t="s">
        <v>681</v>
      </c>
      <c r="B431" s="63" t="s">
        <v>682</v>
      </c>
      <c r="C431" s="36">
        <v>4301012145</v>
      </c>
      <c r="D431" s="635">
        <v>4607091383522</v>
      </c>
      <c r="E431" s="63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118</v>
      </c>
      <c r="N431" s="38"/>
      <c r="O431" s="37">
        <v>60</v>
      </c>
      <c r="P431" s="84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7"/>
      <c r="R431" s="637"/>
      <c r="S431" s="637"/>
      <c r="T431" s="63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683</v>
      </c>
      <c r="AG431" s="78"/>
      <c r="AJ431" s="84" t="s">
        <v>45</v>
      </c>
      <c r="AK431" s="84">
        <v>0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681</v>
      </c>
      <c r="B432" s="63" t="s">
        <v>684</v>
      </c>
      <c r="C432" s="36">
        <v>4301012210</v>
      </c>
      <c r="D432" s="635">
        <v>4607091383522</v>
      </c>
      <c r="E432" s="63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637"/>
      <c r="R432" s="637"/>
      <c r="S432" s="637"/>
      <c r="T432" s="63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683</v>
      </c>
      <c r="AG432" s="78"/>
      <c r="AJ432" s="84" t="s">
        <v>45</v>
      </c>
      <c r="AK432" s="84">
        <v>0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4301011961</v>
      </c>
      <c r="D433" s="635">
        <v>4680115885271</v>
      </c>
      <c r="E433" s="63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637"/>
      <c r="R433" s="637"/>
      <c r="S433" s="637"/>
      <c r="T433" s="63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45</v>
      </c>
      <c r="AK433" s="84">
        <v>0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27" customHeight="1" x14ac:dyDescent="0.25">
      <c r="A434" s="63" t="s">
        <v>688</v>
      </c>
      <c r="B434" s="63" t="s">
        <v>689</v>
      </c>
      <c r="C434" s="36">
        <v>4301011376</v>
      </c>
      <c r="D434" s="635">
        <v>4680115885226</v>
      </c>
      <c r="E434" s="635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119</v>
      </c>
      <c r="L434" s="37" t="s">
        <v>120</v>
      </c>
      <c r="M434" s="38" t="s">
        <v>92</v>
      </c>
      <c r="N434" s="38"/>
      <c r="O434" s="37">
        <v>60</v>
      </c>
      <c r="P434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637"/>
      <c r="R434" s="637"/>
      <c r="S434" s="637"/>
      <c r="T434" s="63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94</v>
      </c>
      <c r="AK434" s="84">
        <v>42.24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16.5" customHeight="1" x14ac:dyDescent="0.25">
      <c r="A435" s="63" t="s">
        <v>691</v>
      </c>
      <c r="B435" s="63" t="s">
        <v>692</v>
      </c>
      <c r="C435" s="36">
        <v>4301011774</v>
      </c>
      <c r="D435" s="635">
        <v>4680115884502</v>
      </c>
      <c r="E435" s="635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119</v>
      </c>
      <c r="L435" s="37" t="s">
        <v>45</v>
      </c>
      <c r="M435" s="38" t="s">
        <v>118</v>
      </c>
      <c r="N435" s="38"/>
      <c r="O435" s="37">
        <v>60</v>
      </c>
      <c r="P435" s="8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637"/>
      <c r="R435" s="637"/>
      <c r="S435" s="637"/>
      <c r="T435" s="63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 t="shared" si="53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45</v>
      </c>
      <c r="AK435" s="84">
        <v>0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4301011771</v>
      </c>
      <c r="D436" s="635">
        <v>4607091389104</v>
      </c>
      <c r="E436" s="635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120</v>
      </c>
      <c r="M436" s="38" t="s">
        <v>118</v>
      </c>
      <c r="N436" s="38"/>
      <c r="O436" s="37">
        <v>60</v>
      </c>
      <c r="P436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637"/>
      <c r="R436" s="637"/>
      <c r="S436" s="637"/>
      <c r="T436" s="63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 t="shared" si="53"/>
        <v/>
      </c>
      <c r="AA436" s="68" t="s">
        <v>45</v>
      </c>
      <c r="AB436" s="69" t="s">
        <v>45</v>
      </c>
      <c r="AC436" s="508" t="s">
        <v>696</v>
      </c>
      <c r="AG436" s="78"/>
      <c r="AJ436" s="84" t="s">
        <v>94</v>
      </c>
      <c r="AK436" s="84">
        <v>42.24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697</v>
      </c>
      <c r="B437" s="63" t="s">
        <v>698</v>
      </c>
      <c r="C437" s="36">
        <v>4301012125</v>
      </c>
      <c r="D437" s="635">
        <v>4680115886391</v>
      </c>
      <c r="E437" s="63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92</v>
      </c>
      <c r="N437" s="38"/>
      <c r="O437" s="37">
        <v>60</v>
      </c>
      <c r="P437" s="8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637"/>
      <c r="R437" s="637"/>
      <c r="S437" s="637"/>
      <c r="T437" s="63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117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699</v>
      </c>
      <c r="B438" s="63" t="s">
        <v>700</v>
      </c>
      <c r="C438" s="36">
        <v>4301012035</v>
      </c>
      <c r="D438" s="635">
        <v>4680115880603</v>
      </c>
      <c r="E438" s="63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123</v>
      </c>
      <c r="L438" s="37" t="s">
        <v>45</v>
      </c>
      <c r="M438" s="38" t="s">
        <v>118</v>
      </c>
      <c r="N438" s="38"/>
      <c r="O438" s="37">
        <v>60</v>
      </c>
      <c r="P438" s="8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637"/>
      <c r="R438" s="637"/>
      <c r="S438" s="637"/>
      <c r="T438" s="63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117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701</v>
      </c>
      <c r="B439" s="63" t="s">
        <v>702</v>
      </c>
      <c r="C439" s="36">
        <v>4301012036</v>
      </c>
      <c r="D439" s="635">
        <v>4680115882782</v>
      </c>
      <c r="E439" s="635"/>
      <c r="F439" s="62">
        <v>0.6</v>
      </c>
      <c r="G439" s="37">
        <v>8</v>
      </c>
      <c r="H439" s="62">
        <v>4.8</v>
      </c>
      <c r="I439" s="62">
        <v>6.96</v>
      </c>
      <c r="J439" s="37">
        <v>120</v>
      </c>
      <c r="K439" s="37" t="s">
        <v>123</v>
      </c>
      <c r="L439" s="37" t="s">
        <v>45</v>
      </c>
      <c r="M439" s="38" t="s">
        <v>118</v>
      </c>
      <c r="N439" s="38"/>
      <c r="O439" s="37">
        <v>60</v>
      </c>
      <c r="P439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637"/>
      <c r="R439" s="637"/>
      <c r="S439" s="637"/>
      <c r="T439" s="638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IFERROR(IF(Y439=0,"",ROUNDUP(Y439/H439,0)*0.00937),"")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4301012050</v>
      </c>
      <c r="D440" s="635">
        <v>4680115885479</v>
      </c>
      <c r="E440" s="635"/>
      <c r="F440" s="62">
        <v>0.4</v>
      </c>
      <c r="G440" s="37">
        <v>6</v>
      </c>
      <c r="H440" s="62">
        <v>2.4</v>
      </c>
      <c r="I440" s="62">
        <v>2.58</v>
      </c>
      <c r="J440" s="37">
        <v>182</v>
      </c>
      <c r="K440" s="37" t="s">
        <v>83</v>
      </c>
      <c r="L440" s="37" t="s">
        <v>45</v>
      </c>
      <c r="M440" s="38" t="s">
        <v>118</v>
      </c>
      <c r="N440" s="38"/>
      <c r="O440" s="37">
        <v>60</v>
      </c>
      <c r="P440" s="85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637"/>
      <c r="R440" s="637"/>
      <c r="S440" s="637"/>
      <c r="T440" s="638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52"/>
        <v>0</v>
      </c>
      <c r="Z440" s="41" t="str">
        <f>IFERROR(IF(Y440=0,"",ROUNDUP(Y440/H440,0)*0.00651),"")</f>
        <v/>
      </c>
      <c r="AA440" s="68" t="s">
        <v>45</v>
      </c>
      <c r="AB440" s="69" t="s">
        <v>45</v>
      </c>
      <c r="AC440" s="516" t="s">
        <v>705</v>
      </c>
      <c r="AG440" s="78"/>
      <c r="AJ440" s="84" t="s">
        <v>45</v>
      </c>
      <c r="AK440" s="84">
        <v>0</v>
      </c>
      <c r="BB440" s="517" t="s">
        <v>66</v>
      </c>
      <c r="BM440" s="78">
        <f t="shared" si="54"/>
        <v>0</v>
      </c>
      <c r="BN440" s="78">
        <f t="shared" si="55"/>
        <v>0</v>
      </c>
      <c r="BO440" s="78">
        <f t="shared" si="56"/>
        <v>0</v>
      </c>
      <c r="BP440" s="78">
        <f t="shared" si="57"/>
        <v>0</v>
      </c>
    </row>
    <row r="441" spans="1:68" ht="27" customHeight="1" x14ac:dyDescent="0.25">
      <c r="A441" s="63" t="s">
        <v>706</v>
      </c>
      <c r="B441" s="63" t="s">
        <v>707</v>
      </c>
      <c r="C441" s="36">
        <v>4301012034</v>
      </c>
      <c r="D441" s="635">
        <v>4607091389982</v>
      </c>
      <c r="E441" s="635"/>
      <c r="F441" s="62">
        <v>0.6</v>
      </c>
      <c r="G441" s="37">
        <v>8</v>
      </c>
      <c r="H441" s="62">
        <v>4.8</v>
      </c>
      <c r="I441" s="62">
        <v>6.91</v>
      </c>
      <c r="J441" s="37">
        <v>132</v>
      </c>
      <c r="K441" s="37" t="s">
        <v>123</v>
      </c>
      <c r="L441" s="37" t="s">
        <v>45</v>
      </c>
      <c r="M441" s="38" t="s">
        <v>118</v>
      </c>
      <c r="N441" s="38"/>
      <c r="O441" s="37">
        <v>60</v>
      </c>
      <c r="P441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637"/>
      <c r="R441" s="637"/>
      <c r="S441" s="637"/>
      <c r="T441" s="638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52"/>
        <v>0</v>
      </c>
      <c r="Z441" s="41" t="str">
        <f>IFERROR(IF(Y441=0,"",ROUNDUP(Y441/H441,0)*0.00902),"")</f>
        <v/>
      </c>
      <c r="AA441" s="68" t="s">
        <v>45</v>
      </c>
      <c r="AB441" s="69" t="s">
        <v>45</v>
      </c>
      <c r="AC441" s="518" t="s">
        <v>696</v>
      </c>
      <c r="AG441" s="78"/>
      <c r="AJ441" s="84" t="s">
        <v>45</v>
      </c>
      <c r="AK441" s="84">
        <v>0</v>
      </c>
      <c r="BB441" s="519" t="s">
        <v>66</v>
      </c>
      <c r="BM441" s="78">
        <f t="shared" si="54"/>
        <v>0</v>
      </c>
      <c r="BN441" s="78">
        <f t="shared" si="55"/>
        <v>0</v>
      </c>
      <c r="BO441" s="78">
        <f t="shared" si="56"/>
        <v>0</v>
      </c>
      <c r="BP441" s="78">
        <f t="shared" si="57"/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IFERROR(SUM(X430:X441),"0")</f>
        <v>0</v>
      </c>
      <c r="Y443" s="43">
        <f>IFERROR(SUM(Y430:Y441),"0")</f>
        <v>0</v>
      </c>
      <c r="Z443" s="42"/>
      <c r="AA443" s="67"/>
      <c r="AB443" s="67"/>
      <c r="AC443" s="67"/>
    </row>
    <row r="444" spans="1:68" ht="14.25" customHeight="1" x14ac:dyDescent="0.25">
      <c r="A444" s="634" t="s">
        <v>149</v>
      </c>
      <c r="B444" s="634"/>
      <c r="C444" s="634"/>
      <c r="D444" s="634"/>
      <c r="E444" s="634"/>
      <c r="F444" s="634"/>
      <c r="G444" s="634"/>
      <c r="H444" s="634"/>
      <c r="I444" s="634"/>
      <c r="J444" s="634"/>
      <c r="K444" s="634"/>
      <c r="L444" s="634"/>
      <c r="M444" s="634"/>
      <c r="N444" s="634"/>
      <c r="O444" s="634"/>
      <c r="P444" s="634"/>
      <c r="Q444" s="634"/>
      <c r="R444" s="634"/>
      <c r="S444" s="634"/>
      <c r="T444" s="634"/>
      <c r="U444" s="634"/>
      <c r="V444" s="634"/>
      <c r="W444" s="634"/>
      <c r="X444" s="634"/>
      <c r="Y444" s="634"/>
      <c r="Z444" s="634"/>
      <c r="AA444" s="66"/>
      <c r="AB444" s="66"/>
      <c r="AC444" s="80"/>
    </row>
    <row r="445" spans="1:68" ht="16.5" customHeight="1" x14ac:dyDescent="0.25">
      <c r="A445" s="63" t="s">
        <v>708</v>
      </c>
      <c r="B445" s="63" t="s">
        <v>709</v>
      </c>
      <c r="C445" s="36">
        <v>4301020334</v>
      </c>
      <c r="D445" s="635">
        <v>4607091388930</v>
      </c>
      <c r="E445" s="63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119</v>
      </c>
      <c r="L445" s="37" t="s">
        <v>45</v>
      </c>
      <c r="M445" s="38" t="s">
        <v>92</v>
      </c>
      <c r="N445" s="38"/>
      <c r="O445" s="37">
        <v>70</v>
      </c>
      <c r="P445" s="8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637"/>
      <c r="R445" s="637"/>
      <c r="S445" s="637"/>
      <c r="T445" s="638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45</v>
      </c>
      <c r="AB445" s="69" t="s">
        <v>45</v>
      </c>
      <c r="AC445" s="520" t="s">
        <v>710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711</v>
      </c>
      <c r="B446" s="63" t="s">
        <v>712</v>
      </c>
      <c r="C446" s="36">
        <v>4301020384</v>
      </c>
      <c r="D446" s="635">
        <v>4680115886407</v>
      </c>
      <c r="E446" s="635"/>
      <c r="F446" s="62">
        <v>0.4</v>
      </c>
      <c r="G446" s="37">
        <v>6</v>
      </c>
      <c r="H446" s="62">
        <v>2.4</v>
      </c>
      <c r="I446" s="62">
        <v>2.58</v>
      </c>
      <c r="J446" s="37">
        <v>182</v>
      </c>
      <c r="K446" s="37" t="s">
        <v>83</v>
      </c>
      <c r="L446" s="37" t="s">
        <v>45</v>
      </c>
      <c r="M446" s="38" t="s">
        <v>92</v>
      </c>
      <c r="N446" s="38"/>
      <c r="O446" s="37">
        <v>70</v>
      </c>
      <c r="P446" s="8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637"/>
      <c r="R446" s="637"/>
      <c r="S446" s="637"/>
      <c r="T446" s="638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IFERROR(IF(Y446=0,"",ROUNDUP(Y446/H446,0)*0.00651),"")</f>
        <v/>
      </c>
      <c r="AA446" s="68" t="s">
        <v>45</v>
      </c>
      <c r="AB446" s="69" t="s">
        <v>45</v>
      </c>
      <c r="AC446" s="522" t="s">
        <v>710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713</v>
      </c>
      <c r="B447" s="63" t="s">
        <v>714</v>
      </c>
      <c r="C447" s="36">
        <v>4301020385</v>
      </c>
      <c r="D447" s="635">
        <v>4680115880054</v>
      </c>
      <c r="E447" s="635"/>
      <c r="F447" s="62">
        <v>0.6</v>
      </c>
      <c r="G447" s="37">
        <v>8</v>
      </c>
      <c r="H447" s="62">
        <v>4.8</v>
      </c>
      <c r="I447" s="62">
        <v>6.91</v>
      </c>
      <c r="J447" s="37">
        <v>132</v>
      </c>
      <c r="K447" s="37" t="s">
        <v>123</v>
      </c>
      <c r="L447" s="37" t="s">
        <v>45</v>
      </c>
      <c r="M447" s="38" t="s">
        <v>118</v>
      </c>
      <c r="N447" s="38"/>
      <c r="O447" s="37">
        <v>70</v>
      </c>
      <c r="P447" s="8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637"/>
      <c r="R447" s="637"/>
      <c r="S447" s="637"/>
      <c r="T447" s="638"/>
      <c r="U447" s="39" t="s">
        <v>45</v>
      </c>
      <c r="V447" s="39" t="s">
        <v>45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24" t="s">
        <v>710</v>
      </c>
      <c r="AG447" s="78"/>
      <c r="AJ447" s="84" t="s">
        <v>45</v>
      </c>
      <c r="AK447" s="84">
        <v>0</v>
      </c>
      <c r="BB447" s="525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39</v>
      </c>
      <c r="X448" s="43">
        <f>IFERROR(X445/H445,"0")+IFERROR(X446/H446,"0")+IFERROR(X447/H447,"0")</f>
        <v>0</v>
      </c>
      <c r="Y448" s="43">
        <f>IFERROR(Y445/H445,"0")+IFERROR(Y446/H446,"0")+IFERROR(Y447/H447,"0")</f>
        <v>0</v>
      </c>
      <c r="Z448" s="43">
        <f>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43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0" t="s">
        <v>40</v>
      </c>
      <c r="Q449" s="641"/>
      <c r="R449" s="641"/>
      <c r="S449" s="641"/>
      <c r="T449" s="641"/>
      <c r="U449" s="641"/>
      <c r="V449" s="642"/>
      <c r="W449" s="42" t="s">
        <v>0</v>
      </c>
      <c r="X449" s="43">
        <f>IFERROR(SUM(X445:X447),"0")</f>
        <v>0</v>
      </c>
      <c r="Y449" s="43">
        <f>IFERROR(SUM(Y445:Y447),"0")</f>
        <v>0</v>
      </c>
      <c r="Z449" s="42"/>
      <c r="AA449" s="67"/>
      <c r="AB449" s="67"/>
      <c r="AC449" s="67"/>
    </row>
    <row r="450" spans="1:68" ht="14.25" customHeight="1" x14ac:dyDescent="0.25">
      <c r="A450" s="634" t="s">
        <v>78</v>
      </c>
      <c r="B450" s="634"/>
      <c r="C450" s="634"/>
      <c r="D450" s="634"/>
      <c r="E450" s="634"/>
      <c r="F450" s="634"/>
      <c r="G450" s="634"/>
      <c r="H450" s="634"/>
      <c r="I450" s="634"/>
      <c r="J450" s="634"/>
      <c r="K450" s="634"/>
      <c r="L450" s="634"/>
      <c r="M450" s="634"/>
      <c r="N450" s="634"/>
      <c r="O450" s="634"/>
      <c r="P450" s="634"/>
      <c r="Q450" s="634"/>
      <c r="R450" s="634"/>
      <c r="S450" s="634"/>
      <c r="T450" s="634"/>
      <c r="U450" s="634"/>
      <c r="V450" s="634"/>
      <c r="W450" s="634"/>
      <c r="X450" s="634"/>
      <c r="Y450" s="634"/>
      <c r="Z450" s="634"/>
      <c r="AA450" s="66"/>
      <c r="AB450" s="66"/>
      <c r="AC450" s="80"/>
    </row>
    <row r="451" spans="1:68" ht="27" customHeight="1" x14ac:dyDescent="0.25">
      <c r="A451" s="63" t="s">
        <v>715</v>
      </c>
      <c r="B451" s="63" t="s">
        <v>716</v>
      </c>
      <c r="C451" s="36">
        <v>4301031349</v>
      </c>
      <c r="D451" s="635">
        <v>4680115883116</v>
      </c>
      <c r="E451" s="635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119</v>
      </c>
      <c r="L451" s="37" t="s">
        <v>45</v>
      </c>
      <c r="M451" s="38" t="s">
        <v>118</v>
      </c>
      <c r="N451" s="38"/>
      <c r="O451" s="37">
        <v>70</v>
      </c>
      <c r="P451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637"/>
      <c r="R451" s="637"/>
      <c r="S451" s="637"/>
      <c r="T451" s="63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ref="Y451:Y456" si="58">IFERROR(IF(X451="",0,CEILING((X451/$H451),1)*$H451),"")</f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45</v>
      </c>
      <c r="AK451" s="84">
        <v>0</v>
      </c>
      <c r="BB451" s="527" t="s">
        <v>66</v>
      </c>
      <c r="BM451" s="78">
        <f t="shared" ref="BM451:BM456" si="59">IFERROR(X451*I451/H451,"0")</f>
        <v>0</v>
      </c>
      <c r="BN451" s="78">
        <f t="shared" ref="BN451:BN456" si="60">IFERROR(Y451*I451/H451,"0")</f>
        <v>0</v>
      </c>
      <c r="BO451" s="78">
        <f t="shared" ref="BO451:BO456" si="61">IFERROR(1/J451*(X451/H451),"0")</f>
        <v>0</v>
      </c>
      <c r="BP451" s="78">
        <f t="shared" ref="BP451:BP456" si="62">IFERROR(1/J451*(Y451/H451),"0")</f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4301031350</v>
      </c>
      <c r="D452" s="635">
        <v>4680115883093</v>
      </c>
      <c r="E452" s="635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119</v>
      </c>
      <c r="L452" s="37" t="s">
        <v>120</v>
      </c>
      <c r="M452" s="38" t="s">
        <v>82</v>
      </c>
      <c r="N452" s="38"/>
      <c r="O452" s="37">
        <v>70</v>
      </c>
      <c r="P45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637"/>
      <c r="R452" s="637"/>
      <c r="S452" s="637"/>
      <c r="T452" s="63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94</v>
      </c>
      <c r="AK452" s="84">
        <v>42.24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4301031353</v>
      </c>
      <c r="D453" s="635">
        <v>4680115883109</v>
      </c>
      <c r="E453" s="635"/>
      <c r="F453" s="62">
        <v>0.88</v>
      </c>
      <c r="G453" s="37">
        <v>6</v>
      </c>
      <c r="H453" s="62">
        <v>5.28</v>
      </c>
      <c r="I453" s="62">
        <v>5.63</v>
      </c>
      <c r="J453" s="37">
        <v>104</v>
      </c>
      <c r="K453" s="37" t="s">
        <v>119</v>
      </c>
      <c r="L453" s="37" t="s">
        <v>120</v>
      </c>
      <c r="M453" s="38" t="s">
        <v>82</v>
      </c>
      <c r="N453" s="38"/>
      <c r="O453" s="37">
        <v>70</v>
      </c>
      <c r="P453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637"/>
      <c r="R453" s="637"/>
      <c r="S453" s="637"/>
      <c r="T453" s="63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IFERROR(IF(Y453=0,"",ROUNDUP(Y453/H453,0)*0.01196),"")</f>
        <v/>
      </c>
      <c r="AA453" s="68" t="s">
        <v>45</v>
      </c>
      <c r="AB453" s="69" t="s">
        <v>45</v>
      </c>
      <c r="AC453" s="530" t="s">
        <v>723</v>
      </c>
      <c r="AG453" s="78"/>
      <c r="AJ453" s="84" t="s">
        <v>94</v>
      </c>
      <c r="AK453" s="84">
        <v>42.24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724</v>
      </c>
      <c r="B454" s="63" t="s">
        <v>725</v>
      </c>
      <c r="C454" s="36">
        <v>4301031419</v>
      </c>
      <c r="D454" s="635">
        <v>4680115882072</v>
      </c>
      <c r="E454" s="635"/>
      <c r="F454" s="62">
        <v>0.6</v>
      </c>
      <c r="G454" s="37">
        <v>8</v>
      </c>
      <c r="H454" s="62">
        <v>4.8</v>
      </c>
      <c r="I454" s="62">
        <v>6.91</v>
      </c>
      <c r="J454" s="37">
        <v>132</v>
      </c>
      <c r="K454" s="37" t="s">
        <v>123</v>
      </c>
      <c r="L454" s="37" t="s">
        <v>45</v>
      </c>
      <c r="M454" s="38" t="s">
        <v>118</v>
      </c>
      <c r="N454" s="38"/>
      <c r="O454" s="37">
        <v>70</v>
      </c>
      <c r="P454" s="8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637"/>
      <c r="R454" s="637"/>
      <c r="S454" s="637"/>
      <c r="T454" s="63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ht="27" customHeight="1" x14ac:dyDescent="0.25">
      <c r="A455" s="63" t="s">
        <v>726</v>
      </c>
      <c r="B455" s="63" t="s">
        <v>727</v>
      </c>
      <c r="C455" s="36">
        <v>4301031418</v>
      </c>
      <c r="D455" s="635">
        <v>4680115882102</v>
      </c>
      <c r="E455" s="635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123</v>
      </c>
      <c r="L455" s="37" t="s">
        <v>45</v>
      </c>
      <c r="M455" s="38" t="s">
        <v>82</v>
      </c>
      <c r="N455" s="38"/>
      <c r="O455" s="37">
        <v>70</v>
      </c>
      <c r="P455" s="8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637"/>
      <c r="R455" s="637"/>
      <c r="S455" s="637"/>
      <c r="T455" s="638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8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45</v>
      </c>
      <c r="AK455" s="84">
        <v>0</v>
      </c>
      <c r="BB455" s="535" t="s">
        <v>66</v>
      </c>
      <c r="BM455" s="78">
        <f t="shared" si="59"/>
        <v>0</v>
      </c>
      <c r="BN455" s="78">
        <f t="shared" si="60"/>
        <v>0</v>
      </c>
      <c r="BO455" s="78">
        <f t="shared" si="61"/>
        <v>0</v>
      </c>
      <c r="BP455" s="78">
        <f t="shared" si="62"/>
        <v>0</v>
      </c>
    </row>
    <row r="456" spans="1:68" ht="27" customHeight="1" x14ac:dyDescent="0.25">
      <c r="A456" s="63" t="s">
        <v>728</v>
      </c>
      <c r="B456" s="63" t="s">
        <v>729</v>
      </c>
      <c r="C456" s="36">
        <v>4301031417</v>
      </c>
      <c r="D456" s="635">
        <v>4680115882096</v>
      </c>
      <c r="E456" s="635"/>
      <c r="F456" s="62">
        <v>0.6</v>
      </c>
      <c r="G456" s="37">
        <v>8</v>
      </c>
      <c r="H456" s="62">
        <v>4.8</v>
      </c>
      <c r="I456" s="62">
        <v>6.67</v>
      </c>
      <c r="J456" s="37">
        <v>132</v>
      </c>
      <c r="K456" s="37" t="s">
        <v>123</v>
      </c>
      <c r="L456" s="37" t="s">
        <v>45</v>
      </c>
      <c r="M456" s="38" t="s">
        <v>82</v>
      </c>
      <c r="N456" s="38"/>
      <c r="O456" s="37">
        <v>70</v>
      </c>
      <c r="P456" s="8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637"/>
      <c r="R456" s="637"/>
      <c r="S456" s="637"/>
      <c r="T456" s="638"/>
      <c r="U456" s="39" t="s">
        <v>45</v>
      </c>
      <c r="V456" s="39" t="s">
        <v>45</v>
      </c>
      <c r="W456" s="40" t="s">
        <v>0</v>
      </c>
      <c r="X456" s="58">
        <v>0</v>
      </c>
      <c r="Y456" s="55">
        <f t="shared" si="58"/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36" t="s">
        <v>723</v>
      </c>
      <c r="AG456" s="78"/>
      <c r="AJ456" s="84" t="s">
        <v>45</v>
      </c>
      <c r="AK456" s="84">
        <v>0</v>
      </c>
      <c r="BB456" s="537" t="s">
        <v>66</v>
      </c>
      <c r="BM456" s="78">
        <f t="shared" si="59"/>
        <v>0</v>
      </c>
      <c r="BN456" s="78">
        <f t="shared" si="60"/>
        <v>0</v>
      </c>
      <c r="BO456" s="78">
        <f t="shared" si="61"/>
        <v>0</v>
      </c>
      <c r="BP456" s="78">
        <f t="shared" si="62"/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34" t="s">
        <v>88</v>
      </c>
      <c r="B459" s="634"/>
      <c r="C459" s="634"/>
      <c r="D459" s="634"/>
      <c r="E459" s="634"/>
      <c r="F459" s="634"/>
      <c r="G459" s="634"/>
      <c r="H459" s="634"/>
      <c r="I459" s="634"/>
      <c r="J459" s="634"/>
      <c r="K459" s="634"/>
      <c r="L459" s="634"/>
      <c r="M459" s="634"/>
      <c r="N459" s="634"/>
      <c r="O459" s="634"/>
      <c r="P459" s="634"/>
      <c r="Q459" s="634"/>
      <c r="R459" s="634"/>
      <c r="S459" s="634"/>
      <c r="T459" s="634"/>
      <c r="U459" s="634"/>
      <c r="V459" s="634"/>
      <c r="W459" s="634"/>
      <c r="X459" s="634"/>
      <c r="Y459" s="634"/>
      <c r="Z459" s="634"/>
      <c r="AA459" s="66"/>
      <c r="AB459" s="66"/>
      <c r="AC459" s="80"/>
    </row>
    <row r="460" spans="1:68" ht="27" customHeight="1" x14ac:dyDescent="0.25">
      <c r="A460" s="63" t="s">
        <v>730</v>
      </c>
      <c r="B460" s="63" t="s">
        <v>731</v>
      </c>
      <c r="C460" s="36">
        <v>4301051064</v>
      </c>
      <c r="D460" s="635">
        <v>4680115883536</v>
      </c>
      <c r="E460" s="635"/>
      <c r="F460" s="62">
        <v>0.3</v>
      </c>
      <c r="G460" s="37">
        <v>6</v>
      </c>
      <c r="H460" s="62">
        <v>1.8</v>
      </c>
      <c r="I460" s="62">
        <v>2.0459999999999998</v>
      </c>
      <c r="J460" s="37">
        <v>182</v>
      </c>
      <c r="K460" s="37" t="s">
        <v>83</v>
      </c>
      <c r="L460" s="37" t="s">
        <v>45</v>
      </c>
      <c r="M460" s="38" t="s">
        <v>92</v>
      </c>
      <c r="N460" s="38"/>
      <c r="O460" s="37">
        <v>45</v>
      </c>
      <c r="P460" s="8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637"/>
      <c r="R460" s="637"/>
      <c r="S460" s="637"/>
      <c r="T460" s="63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45</v>
      </c>
      <c r="AB460" s="69" t="s">
        <v>45</v>
      </c>
      <c r="AC460" s="538" t="s">
        <v>732</v>
      </c>
      <c r="AG460" s="78"/>
      <c r="AJ460" s="84" t="s">
        <v>45</v>
      </c>
      <c r="AK460" s="84">
        <v>0</v>
      </c>
      <c r="BB460" s="53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3"/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4"/>
      <c r="P461" s="640" t="s">
        <v>40</v>
      </c>
      <c r="Q461" s="641"/>
      <c r="R461" s="641"/>
      <c r="S461" s="641"/>
      <c r="T461" s="641"/>
      <c r="U461" s="641"/>
      <c r="V461" s="642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3"/>
      <c r="B462" s="643"/>
      <c r="C462" s="643"/>
      <c r="D462" s="643"/>
      <c r="E462" s="643"/>
      <c r="F462" s="643"/>
      <c r="G462" s="643"/>
      <c r="H462" s="643"/>
      <c r="I462" s="643"/>
      <c r="J462" s="643"/>
      <c r="K462" s="643"/>
      <c r="L462" s="643"/>
      <c r="M462" s="643"/>
      <c r="N462" s="643"/>
      <c r="O462" s="644"/>
      <c r="P462" s="640" t="s">
        <v>40</v>
      </c>
      <c r="Q462" s="641"/>
      <c r="R462" s="641"/>
      <c r="S462" s="641"/>
      <c r="T462" s="641"/>
      <c r="U462" s="641"/>
      <c r="V462" s="642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27.75" customHeight="1" x14ac:dyDescent="0.2">
      <c r="A463" s="632" t="s">
        <v>733</v>
      </c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2"/>
      <c r="P463" s="632"/>
      <c r="Q463" s="632"/>
      <c r="R463" s="632"/>
      <c r="S463" s="632"/>
      <c r="T463" s="632"/>
      <c r="U463" s="632"/>
      <c r="V463" s="632"/>
      <c r="W463" s="632"/>
      <c r="X463" s="632"/>
      <c r="Y463" s="632"/>
      <c r="Z463" s="632"/>
      <c r="AA463" s="54"/>
      <c r="AB463" s="54"/>
      <c r="AC463" s="54"/>
    </row>
    <row r="464" spans="1:68" ht="16.5" customHeight="1" x14ac:dyDescent="0.25">
      <c r="A464" s="633" t="s">
        <v>733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5"/>
      <c r="AB464" s="65"/>
      <c r="AC464" s="79"/>
    </row>
    <row r="465" spans="1:68" ht="14.25" customHeight="1" x14ac:dyDescent="0.25">
      <c r="A465" s="634" t="s">
        <v>114</v>
      </c>
      <c r="B465" s="634"/>
      <c r="C465" s="634"/>
      <c r="D465" s="634"/>
      <c r="E465" s="634"/>
      <c r="F465" s="634"/>
      <c r="G465" s="634"/>
      <c r="H465" s="634"/>
      <c r="I465" s="634"/>
      <c r="J465" s="634"/>
      <c r="K465" s="634"/>
      <c r="L465" s="634"/>
      <c r="M465" s="634"/>
      <c r="N465" s="634"/>
      <c r="O465" s="634"/>
      <c r="P465" s="634"/>
      <c r="Q465" s="634"/>
      <c r="R465" s="634"/>
      <c r="S465" s="634"/>
      <c r="T465" s="634"/>
      <c r="U465" s="634"/>
      <c r="V465" s="634"/>
      <c r="W465" s="634"/>
      <c r="X465" s="634"/>
      <c r="Y465" s="634"/>
      <c r="Z465" s="634"/>
      <c r="AA465" s="66"/>
      <c r="AB465" s="66"/>
      <c r="AC465" s="80"/>
    </row>
    <row r="466" spans="1:68" ht="27" customHeight="1" x14ac:dyDescent="0.25">
      <c r="A466" s="63" t="s">
        <v>734</v>
      </c>
      <c r="B466" s="63" t="s">
        <v>735</v>
      </c>
      <c r="C466" s="36">
        <v>4301011763</v>
      </c>
      <c r="D466" s="635">
        <v>4640242181011</v>
      </c>
      <c r="E466" s="635"/>
      <c r="F466" s="62">
        <v>1.35</v>
      </c>
      <c r="G466" s="37">
        <v>8</v>
      </c>
      <c r="H466" s="62">
        <v>10.8</v>
      </c>
      <c r="I466" s="62">
        <v>11.21</v>
      </c>
      <c r="J466" s="37">
        <v>64</v>
      </c>
      <c r="K466" s="37" t="s">
        <v>119</v>
      </c>
      <c r="L466" s="37" t="s">
        <v>45</v>
      </c>
      <c r="M466" s="38" t="s">
        <v>92</v>
      </c>
      <c r="N466" s="38"/>
      <c r="O466" s="37">
        <v>55</v>
      </c>
      <c r="P466" s="8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637"/>
      <c r="R466" s="637"/>
      <c r="S466" s="637"/>
      <c r="T466" s="63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4301011585</v>
      </c>
      <c r="D467" s="635">
        <v>4640242180441</v>
      </c>
      <c r="E467" s="63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637"/>
      <c r="R467" s="637"/>
      <c r="S467" s="637"/>
      <c r="T467" s="63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4301011584</v>
      </c>
      <c r="D468" s="635">
        <v>4640242180564</v>
      </c>
      <c r="E468" s="63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119</v>
      </c>
      <c r="L468" s="37" t="s">
        <v>45</v>
      </c>
      <c r="M468" s="38" t="s">
        <v>118</v>
      </c>
      <c r="N468" s="38"/>
      <c r="O468" s="37">
        <v>50</v>
      </c>
      <c r="P468" s="8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637"/>
      <c r="R468" s="637"/>
      <c r="S468" s="637"/>
      <c r="T468" s="63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44" t="s">
        <v>742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743</v>
      </c>
      <c r="B469" s="63" t="s">
        <v>744</v>
      </c>
      <c r="C469" s="36">
        <v>4301011764</v>
      </c>
      <c r="D469" s="635">
        <v>4640242181189</v>
      </c>
      <c r="E469" s="63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123</v>
      </c>
      <c r="L469" s="37" t="s">
        <v>45</v>
      </c>
      <c r="M469" s="38" t="s">
        <v>92</v>
      </c>
      <c r="N469" s="38"/>
      <c r="O469" s="37">
        <v>55</v>
      </c>
      <c r="P469" s="87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637"/>
      <c r="R469" s="637"/>
      <c r="S469" s="637"/>
      <c r="T469" s="63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6" t="s">
        <v>736</v>
      </c>
      <c r="AG469" s="78"/>
      <c r="AJ469" s="84" t="s">
        <v>45</v>
      </c>
      <c r="AK469" s="84">
        <v>0</v>
      </c>
      <c r="BB469" s="547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43"/>
      <c r="B470" s="643"/>
      <c r="C470" s="643"/>
      <c r="D470" s="643"/>
      <c r="E470" s="643"/>
      <c r="F470" s="643"/>
      <c r="G470" s="643"/>
      <c r="H470" s="643"/>
      <c r="I470" s="643"/>
      <c r="J470" s="643"/>
      <c r="K470" s="643"/>
      <c r="L470" s="643"/>
      <c r="M470" s="643"/>
      <c r="N470" s="643"/>
      <c r="O470" s="644"/>
      <c r="P470" s="640" t="s">
        <v>40</v>
      </c>
      <c r="Q470" s="641"/>
      <c r="R470" s="641"/>
      <c r="S470" s="641"/>
      <c r="T470" s="641"/>
      <c r="U470" s="641"/>
      <c r="V470" s="642"/>
      <c r="W470" s="42" t="s">
        <v>39</v>
      </c>
      <c r="X470" s="43">
        <f>IFERROR(X466/H466,"0")+IFERROR(X467/H467,"0")+IFERROR(X468/H468,"0")+IFERROR(X469/H469,"0")</f>
        <v>0</v>
      </c>
      <c r="Y470" s="43">
        <f>IFERROR(Y466/H466,"0")+IFERROR(Y467/H467,"0")+IFERROR(Y468/H468,"0")+IFERROR(Y469/H469,"0")</f>
        <v>0</v>
      </c>
      <c r="Z470" s="43">
        <f>IFERROR(IF(Z466="",0,Z466),"0")+IFERROR(IF(Z467="",0,Z467),"0")+IFERROR(IF(Z468="",0,Z468),"0")+IFERROR(IF(Z469="",0,Z469),"0")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43"/>
      <c r="B471" s="643"/>
      <c r="C471" s="643"/>
      <c r="D471" s="643"/>
      <c r="E471" s="643"/>
      <c r="F471" s="643"/>
      <c r="G471" s="643"/>
      <c r="H471" s="643"/>
      <c r="I471" s="643"/>
      <c r="J471" s="643"/>
      <c r="K471" s="643"/>
      <c r="L471" s="643"/>
      <c r="M471" s="643"/>
      <c r="N471" s="643"/>
      <c r="O471" s="644"/>
      <c r="P471" s="640" t="s">
        <v>40</v>
      </c>
      <c r="Q471" s="641"/>
      <c r="R471" s="641"/>
      <c r="S471" s="641"/>
      <c r="T471" s="641"/>
      <c r="U471" s="641"/>
      <c r="V471" s="642"/>
      <c r="W471" s="42" t="s">
        <v>0</v>
      </c>
      <c r="X471" s="43">
        <f>IFERROR(SUM(X466:X469),"0")</f>
        <v>0</v>
      </c>
      <c r="Y471" s="43">
        <f>IFERROR(SUM(Y466:Y469),"0")</f>
        <v>0</v>
      </c>
      <c r="Z471" s="42"/>
      <c r="AA471" s="67"/>
      <c r="AB471" s="67"/>
      <c r="AC471" s="67"/>
    </row>
    <row r="472" spans="1:68" ht="14.25" customHeight="1" x14ac:dyDescent="0.25">
      <c r="A472" s="634" t="s">
        <v>149</v>
      </c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4"/>
      <c r="P472" s="634"/>
      <c r="Q472" s="634"/>
      <c r="R472" s="634"/>
      <c r="S472" s="634"/>
      <c r="T472" s="634"/>
      <c r="U472" s="634"/>
      <c r="V472" s="634"/>
      <c r="W472" s="634"/>
      <c r="X472" s="634"/>
      <c r="Y472" s="634"/>
      <c r="Z472" s="634"/>
      <c r="AA472" s="66"/>
      <c r="AB472" s="66"/>
      <c r="AC472" s="80"/>
    </row>
    <row r="473" spans="1:68" ht="27" customHeight="1" x14ac:dyDescent="0.25">
      <c r="A473" s="63" t="s">
        <v>745</v>
      </c>
      <c r="B473" s="63" t="s">
        <v>746</v>
      </c>
      <c r="C473" s="36">
        <v>4301020400</v>
      </c>
      <c r="D473" s="635">
        <v>4640242180519</v>
      </c>
      <c r="E473" s="635"/>
      <c r="F473" s="62">
        <v>1.5</v>
      </c>
      <c r="G473" s="37">
        <v>8</v>
      </c>
      <c r="H473" s="62">
        <v>12</v>
      </c>
      <c r="I473" s="62">
        <v>12.41</v>
      </c>
      <c r="J473" s="37">
        <v>64</v>
      </c>
      <c r="K473" s="37" t="s">
        <v>119</v>
      </c>
      <c r="L473" s="37" t="s">
        <v>45</v>
      </c>
      <c r="M473" s="38" t="s">
        <v>118</v>
      </c>
      <c r="N473" s="38"/>
      <c r="O473" s="37">
        <v>50</v>
      </c>
      <c r="P473" s="8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637"/>
      <c r="R473" s="637"/>
      <c r="S473" s="637"/>
      <c r="T473" s="63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748</v>
      </c>
      <c r="B474" s="63" t="s">
        <v>749</v>
      </c>
      <c r="C474" s="36">
        <v>4301020260</v>
      </c>
      <c r="D474" s="635">
        <v>4640242180526</v>
      </c>
      <c r="E474" s="635"/>
      <c r="F474" s="62">
        <v>1.8</v>
      </c>
      <c r="G474" s="37">
        <v>6</v>
      </c>
      <c r="H474" s="62">
        <v>10.8</v>
      </c>
      <c r="I474" s="62">
        <v>11.21</v>
      </c>
      <c r="J474" s="37">
        <v>64</v>
      </c>
      <c r="K474" s="37" t="s">
        <v>119</v>
      </c>
      <c r="L474" s="37" t="s">
        <v>45</v>
      </c>
      <c r="M474" s="38" t="s">
        <v>118</v>
      </c>
      <c r="N474" s="38"/>
      <c r="O474" s="37">
        <v>50</v>
      </c>
      <c r="P474" s="87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637"/>
      <c r="R474" s="637"/>
      <c r="S474" s="637"/>
      <c r="T474" s="63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45</v>
      </c>
      <c r="AB474" s="69" t="s">
        <v>45</v>
      </c>
      <c r="AC474" s="550" t="s">
        <v>750</v>
      </c>
      <c r="AG474" s="78"/>
      <c r="AJ474" s="84" t="s">
        <v>45</v>
      </c>
      <c r="AK474" s="84">
        <v>0</v>
      </c>
      <c r="BB474" s="55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43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0" t="s">
        <v>40</v>
      </c>
      <c r="Q476" s="641"/>
      <c r="R476" s="641"/>
      <c r="S476" s="641"/>
      <c r="T476" s="641"/>
      <c r="U476" s="641"/>
      <c r="V476" s="64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34" t="s">
        <v>78</v>
      </c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4"/>
      <c r="P477" s="634"/>
      <c r="Q477" s="634"/>
      <c r="R477" s="634"/>
      <c r="S477" s="634"/>
      <c r="T477" s="634"/>
      <c r="U477" s="634"/>
      <c r="V477" s="634"/>
      <c r="W477" s="634"/>
      <c r="X477" s="634"/>
      <c r="Y477" s="634"/>
      <c r="Z477" s="634"/>
      <c r="AA477" s="66"/>
      <c r="AB477" s="66"/>
      <c r="AC477" s="80"/>
    </row>
    <row r="478" spans="1:68" ht="27" customHeight="1" x14ac:dyDescent="0.25">
      <c r="A478" s="63" t="s">
        <v>751</v>
      </c>
      <c r="B478" s="63" t="s">
        <v>752</v>
      </c>
      <c r="C478" s="36">
        <v>4301031244</v>
      </c>
      <c r="D478" s="635">
        <v>4640242180595</v>
      </c>
      <c r="E478" s="635"/>
      <c r="F478" s="62">
        <v>0.7</v>
      </c>
      <c r="G478" s="37">
        <v>6</v>
      </c>
      <c r="H478" s="62">
        <v>4.2</v>
      </c>
      <c r="I478" s="62">
        <v>4.45</v>
      </c>
      <c r="J478" s="37">
        <v>132</v>
      </c>
      <c r="K478" s="37" t="s">
        <v>123</v>
      </c>
      <c r="L478" s="37" t="s">
        <v>45</v>
      </c>
      <c r="M478" s="38" t="s">
        <v>82</v>
      </c>
      <c r="N478" s="38"/>
      <c r="O478" s="37">
        <v>40</v>
      </c>
      <c r="P478" s="87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637"/>
      <c r="R478" s="637"/>
      <c r="S478" s="637"/>
      <c r="T478" s="63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753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751</v>
      </c>
      <c r="B479" s="63" t="s">
        <v>754</v>
      </c>
      <c r="C479" s="36">
        <v>4301031467</v>
      </c>
      <c r="D479" s="635">
        <v>4640242180595</v>
      </c>
      <c r="E479" s="635"/>
      <c r="F479" s="62">
        <v>0.8</v>
      </c>
      <c r="G479" s="37">
        <v>6</v>
      </c>
      <c r="H479" s="62">
        <v>4.8</v>
      </c>
      <c r="I479" s="62">
        <v>5.05</v>
      </c>
      <c r="J479" s="37">
        <v>132</v>
      </c>
      <c r="K479" s="37" t="s">
        <v>123</v>
      </c>
      <c r="L479" s="37" t="s">
        <v>45</v>
      </c>
      <c r="M479" s="38" t="s">
        <v>82</v>
      </c>
      <c r="N479" s="38"/>
      <c r="O479" s="37">
        <v>40</v>
      </c>
      <c r="P479" s="87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637"/>
      <c r="R479" s="637"/>
      <c r="S479" s="637"/>
      <c r="T479" s="63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45</v>
      </c>
      <c r="AB479" s="69" t="s">
        <v>45</v>
      </c>
      <c r="AC479" s="554" t="s">
        <v>755</v>
      </c>
      <c r="AG479" s="78"/>
      <c r="AJ479" s="84" t="s">
        <v>45</v>
      </c>
      <c r="AK479" s="84">
        <v>0</v>
      </c>
      <c r="BB479" s="555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43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0" t="s">
        <v>40</v>
      </c>
      <c r="Q481" s="641"/>
      <c r="R481" s="641"/>
      <c r="S481" s="641"/>
      <c r="T481" s="641"/>
      <c r="U481" s="641"/>
      <c r="V481" s="642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4.25" customHeight="1" x14ac:dyDescent="0.25">
      <c r="A482" s="634" t="s">
        <v>88</v>
      </c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4"/>
      <c r="P482" s="634"/>
      <c r="Q482" s="634"/>
      <c r="R482" s="634"/>
      <c r="S482" s="634"/>
      <c r="T482" s="634"/>
      <c r="U482" s="634"/>
      <c r="V482" s="634"/>
      <c r="W482" s="634"/>
      <c r="X482" s="634"/>
      <c r="Y482" s="634"/>
      <c r="Z482" s="634"/>
      <c r="AA482" s="66"/>
      <c r="AB482" s="66"/>
      <c r="AC482" s="80"/>
    </row>
    <row r="483" spans="1:68" ht="27" customHeight="1" x14ac:dyDescent="0.25">
      <c r="A483" s="63" t="s">
        <v>756</v>
      </c>
      <c r="B483" s="63" t="s">
        <v>757</v>
      </c>
      <c r="C483" s="36">
        <v>4301052046</v>
      </c>
      <c r="D483" s="635">
        <v>4640242180533</v>
      </c>
      <c r="E483" s="635"/>
      <c r="F483" s="62">
        <v>1.5</v>
      </c>
      <c r="G483" s="37">
        <v>6</v>
      </c>
      <c r="H483" s="62">
        <v>9</v>
      </c>
      <c r="I483" s="62">
        <v>9.4939999999999998</v>
      </c>
      <c r="J483" s="37">
        <v>64</v>
      </c>
      <c r="K483" s="37" t="s">
        <v>119</v>
      </c>
      <c r="L483" s="37" t="s">
        <v>45</v>
      </c>
      <c r="M483" s="38" t="s">
        <v>100</v>
      </c>
      <c r="N483" s="38"/>
      <c r="O483" s="37">
        <v>45</v>
      </c>
      <c r="P483" s="8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637"/>
      <c r="R483" s="637"/>
      <c r="S483" s="637"/>
      <c r="T483" s="63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6" t="s">
        <v>758</v>
      </c>
      <c r="AG483" s="78"/>
      <c r="AJ483" s="84" t="s">
        <v>45</v>
      </c>
      <c r="AK483" s="84">
        <v>0</v>
      </c>
      <c r="BB483" s="55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34" t="s">
        <v>174</v>
      </c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4"/>
      <c r="P486" s="634"/>
      <c r="Q486" s="634"/>
      <c r="R486" s="634"/>
      <c r="S486" s="634"/>
      <c r="T486" s="634"/>
      <c r="U486" s="634"/>
      <c r="V486" s="634"/>
      <c r="W486" s="634"/>
      <c r="X486" s="634"/>
      <c r="Y486" s="634"/>
      <c r="Z486" s="634"/>
      <c r="AA486" s="66"/>
      <c r="AB486" s="66"/>
      <c r="AC486" s="80"/>
    </row>
    <row r="487" spans="1:68" ht="27" customHeight="1" x14ac:dyDescent="0.25">
      <c r="A487" s="63" t="s">
        <v>759</v>
      </c>
      <c r="B487" s="63" t="s">
        <v>760</v>
      </c>
      <c r="C487" s="36">
        <v>4301060491</v>
      </c>
      <c r="D487" s="635">
        <v>4640242180120</v>
      </c>
      <c r="E487" s="635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119</v>
      </c>
      <c r="L487" s="37" t="s">
        <v>45</v>
      </c>
      <c r="M487" s="38" t="s">
        <v>92</v>
      </c>
      <c r="N487" s="38"/>
      <c r="O487" s="37">
        <v>40</v>
      </c>
      <c r="P487" s="87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637"/>
      <c r="R487" s="637"/>
      <c r="S487" s="637"/>
      <c r="T487" s="638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762</v>
      </c>
      <c r="B488" s="63" t="s">
        <v>763</v>
      </c>
      <c r="C488" s="36">
        <v>4301060493</v>
      </c>
      <c r="D488" s="635">
        <v>4640242180137</v>
      </c>
      <c r="E488" s="635"/>
      <c r="F488" s="62">
        <v>1.5</v>
      </c>
      <c r="G488" s="37">
        <v>6</v>
      </c>
      <c r="H488" s="62">
        <v>9</v>
      </c>
      <c r="I488" s="62">
        <v>9.41</v>
      </c>
      <c r="J488" s="37">
        <v>64</v>
      </c>
      <c r="K488" s="37" t="s">
        <v>119</v>
      </c>
      <c r="L488" s="37" t="s">
        <v>45</v>
      </c>
      <c r="M488" s="38" t="s">
        <v>92</v>
      </c>
      <c r="N488" s="38"/>
      <c r="O488" s="37">
        <v>40</v>
      </c>
      <c r="P488" s="8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637"/>
      <c r="R488" s="637"/>
      <c r="S488" s="637"/>
      <c r="T488" s="63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60" t="s">
        <v>764</v>
      </c>
      <c r="AG488" s="78"/>
      <c r="AJ488" s="84" t="s">
        <v>45</v>
      </c>
      <c r="AK488" s="84">
        <v>0</v>
      </c>
      <c r="BB488" s="56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43"/>
      <c r="B489" s="643"/>
      <c r="C489" s="643"/>
      <c r="D489" s="643"/>
      <c r="E489" s="643"/>
      <c r="F489" s="643"/>
      <c r="G489" s="643"/>
      <c r="H489" s="643"/>
      <c r="I489" s="643"/>
      <c r="J489" s="643"/>
      <c r="K489" s="643"/>
      <c r="L489" s="643"/>
      <c r="M489" s="643"/>
      <c r="N489" s="643"/>
      <c r="O489" s="644"/>
      <c r="P489" s="640" t="s">
        <v>40</v>
      </c>
      <c r="Q489" s="641"/>
      <c r="R489" s="641"/>
      <c r="S489" s="641"/>
      <c r="T489" s="641"/>
      <c r="U489" s="641"/>
      <c r="V489" s="64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633" t="s">
        <v>765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5"/>
      <c r="AB491" s="65"/>
      <c r="AC491" s="79"/>
    </row>
    <row r="492" spans="1:68" ht="14.25" customHeight="1" x14ac:dyDescent="0.25">
      <c r="A492" s="634" t="s">
        <v>149</v>
      </c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634"/>
      <c r="P492" s="634"/>
      <c r="Q492" s="634"/>
      <c r="R492" s="634"/>
      <c r="S492" s="634"/>
      <c r="T492" s="634"/>
      <c r="U492" s="634"/>
      <c r="V492" s="634"/>
      <c r="W492" s="634"/>
      <c r="X492" s="634"/>
      <c r="Y492" s="634"/>
      <c r="Z492" s="634"/>
      <c r="AA492" s="66"/>
      <c r="AB492" s="66"/>
      <c r="AC492" s="80"/>
    </row>
    <row r="493" spans="1:68" ht="27" customHeight="1" x14ac:dyDescent="0.25">
      <c r="A493" s="63" t="s">
        <v>766</v>
      </c>
      <c r="B493" s="63" t="s">
        <v>767</v>
      </c>
      <c r="C493" s="36">
        <v>4301020314</v>
      </c>
      <c r="D493" s="635">
        <v>4640242180090</v>
      </c>
      <c r="E493" s="635"/>
      <c r="F493" s="62">
        <v>1.5</v>
      </c>
      <c r="G493" s="37">
        <v>8</v>
      </c>
      <c r="H493" s="62">
        <v>12</v>
      </c>
      <c r="I493" s="62">
        <v>12.41</v>
      </c>
      <c r="J493" s="37">
        <v>64</v>
      </c>
      <c r="K493" s="37" t="s">
        <v>119</v>
      </c>
      <c r="L493" s="37" t="s">
        <v>45</v>
      </c>
      <c r="M493" s="38" t="s">
        <v>118</v>
      </c>
      <c r="N493" s="38"/>
      <c r="O493" s="37">
        <v>50</v>
      </c>
      <c r="P493" s="88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637"/>
      <c r="R493" s="637"/>
      <c r="S493" s="637"/>
      <c r="T493" s="638"/>
      <c r="U493" s="39" t="s">
        <v>45</v>
      </c>
      <c r="V493" s="39" t="s">
        <v>45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45</v>
      </c>
      <c r="AB493" s="69" t="s">
        <v>45</v>
      </c>
      <c r="AC493" s="562" t="s">
        <v>768</v>
      </c>
      <c r="AG493" s="78"/>
      <c r="AJ493" s="84" t="s">
        <v>45</v>
      </c>
      <c r="AK493" s="84">
        <v>0</v>
      </c>
      <c r="BB493" s="563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3"/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4"/>
      <c r="P494" s="640" t="s">
        <v>40</v>
      </c>
      <c r="Q494" s="641"/>
      <c r="R494" s="641"/>
      <c r="S494" s="641"/>
      <c r="T494" s="641"/>
      <c r="U494" s="641"/>
      <c r="V494" s="64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43"/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4"/>
      <c r="P495" s="640" t="s">
        <v>40</v>
      </c>
      <c r="Q495" s="641"/>
      <c r="R495" s="641"/>
      <c r="S495" s="641"/>
      <c r="T495" s="641"/>
      <c r="U495" s="641"/>
      <c r="V495" s="64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5" customHeight="1" x14ac:dyDescent="0.2">
      <c r="A496" s="643"/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885"/>
      <c r="P496" s="882" t="s">
        <v>33</v>
      </c>
      <c r="Q496" s="883"/>
      <c r="R496" s="883"/>
      <c r="S496" s="883"/>
      <c r="T496" s="883"/>
      <c r="U496" s="883"/>
      <c r="V496" s="884"/>
      <c r="W496" s="42" t="s">
        <v>0</v>
      </c>
      <c r="X496" s="43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0</v>
      </c>
      <c r="Y496" s="43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0</v>
      </c>
      <c r="Z496" s="42"/>
      <c r="AA496" s="67"/>
      <c r="AB496" s="67"/>
      <c r="AC496" s="67"/>
    </row>
    <row r="497" spans="1:32" x14ac:dyDescent="0.2">
      <c r="A497" s="643"/>
      <c r="B497" s="643"/>
      <c r="C497" s="643"/>
      <c r="D497" s="643"/>
      <c r="E497" s="643"/>
      <c r="F497" s="643"/>
      <c r="G497" s="643"/>
      <c r="H497" s="643"/>
      <c r="I497" s="643"/>
      <c r="J497" s="643"/>
      <c r="K497" s="643"/>
      <c r="L497" s="643"/>
      <c r="M497" s="643"/>
      <c r="N497" s="643"/>
      <c r="O497" s="885"/>
      <c r="P497" s="882" t="s">
        <v>34</v>
      </c>
      <c r="Q497" s="883"/>
      <c r="R497" s="883"/>
      <c r="S497" s="883"/>
      <c r="T497" s="883"/>
      <c r="U497" s="883"/>
      <c r="V497" s="884"/>
      <c r="W497" s="42" t="s">
        <v>0</v>
      </c>
      <c r="X497" s="43">
        <f>IFERROR(SUM(BM22:BM493),"0")</f>
        <v>0</v>
      </c>
      <c r="Y497" s="43">
        <f>IFERROR(SUM(BN22:BN493),"0")</f>
        <v>0</v>
      </c>
      <c r="Z497" s="42"/>
      <c r="AA497" s="67"/>
      <c r="AB497" s="67"/>
      <c r="AC497" s="67"/>
    </row>
    <row r="498" spans="1:32" x14ac:dyDescent="0.2">
      <c r="A498" s="643"/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  <c r="L498" s="643"/>
      <c r="M498" s="643"/>
      <c r="N498" s="643"/>
      <c r="O498" s="885"/>
      <c r="P498" s="882" t="s">
        <v>35</v>
      </c>
      <c r="Q498" s="883"/>
      <c r="R498" s="883"/>
      <c r="S498" s="883"/>
      <c r="T498" s="883"/>
      <c r="U498" s="883"/>
      <c r="V498" s="884"/>
      <c r="W498" s="42" t="s">
        <v>20</v>
      </c>
      <c r="X498" s="44">
        <f>ROUNDUP(SUM(BO22:BO493),0)</f>
        <v>0</v>
      </c>
      <c r="Y498" s="44">
        <f>ROUNDUP(SUM(BP22:BP493),0)</f>
        <v>0</v>
      </c>
      <c r="Z498" s="42"/>
      <c r="AA498" s="67"/>
      <c r="AB498" s="67"/>
      <c r="AC498" s="67"/>
    </row>
    <row r="499" spans="1:32" x14ac:dyDescent="0.2">
      <c r="A499" s="643"/>
      <c r="B499" s="643"/>
      <c r="C499" s="643"/>
      <c r="D499" s="643"/>
      <c r="E499" s="643"/>
      <c r="F499" s="643"/>
      <c r="G499" s="643"/>
      <c r="H499" s="643"/>
      <c r="I499" s="643"/>
      <c r="J499" s="643"/>
      <c r="K499" s="643"/>
      <c r="L499" s="643"/>
      <c r="M499" s="643"/>
      <c r="N499" s="643"/>
      <c r="O499" s="885"/>
      <c r="P499" s="882" t="s">
        <v>36</v>
      </c>
      <c r="Q499" s="883"/>
      <c r="R499" s="883"/>
      <c r="S499" s="883"/>
      <c r="T499" s="883"/>
      <c r="U499" s="883"/>
      <c r="V499" s="884"/>
      <c r="W499" s="42" t="s">
        <v>0</v>
      </c>
      <c r="X499" s="43">
        <f>GrossWeightTotal+PalletQtyTotal*25</f>
        <v>0</v>
      </c>
      <c r="Y499" s="43">
        <f>GrossWeightTotalR+PalletQtyTotalR*25</f>
        <v>0</v>
      </c>
      <c r="Z499" s="42"/>
      <c r="AA499" s="67"/>
      <c r="AB499" s="67"/>
      <c r="AC499" s="67"/>
    </row>
    <row r="500" spans="1:32" x14ac:dyDescent="0.2">
      <c r="A500" s="64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643"/>
      <c r="O500" s="885"/>
      <c r="P500" s="882" t="s">
        <v>37</v>
      </c>
      <c r="Q500" s="883"/>
      <c r="R500" s="883"/>
      <c r="S500" s="883"/>
      <c r="T500" s="883"/>
      <c r="U500" s="883"/>
      <c r="V500" s="884"/>
      <c r="W500" s="42" t="s">
        <v>20</v>
      </c>
      <c r="X500" s="43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0</v>
      </c>
      <c r="Y500" s="43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0</v>
      </c>
      <c r="Z500" s="42"/>
      <c r="AA500" s="67"/>
      <c r="AB500" s="67"/>
      <c r="AC500" s="67"/>
    </row>
    <row r="501" spans="1:32" ht="14.25" x14ac:dyDescent="0.2">
      <c r="A501" s="643"/>
      <c r="B501" s="643"/>
      <c r="C501" s="643"/>
      <c r="D501" s="643"/>
      <c r="E501" s="643"/>
      <c r="F501" s="643"/>
      <c r="G501" s="643"/>
      <c r="H501" s="643"/>
      <c r="I501" s="643"/>
      <c r="J501" s="643"/>
      <c r="K501" s="643"/>
      <c r="L501" s="643"/>
      <c r="M501" s="643"/>
      <c r="N501" s="643"/>
      <c r="O501" s="885"/>
      <c r="P501" s="882" t="s">
        <v>38</v>
      </c>
      <c r="Q501" s="883"/>
      <c r="R501" s="883"/>
      <c r="S501" s="883"/>
      <c r="T501" s="883"/>
      <c r="U501" s="883"/>
      <c r="V501" s="884"/>
      <c r="W501" s="45" t="s">
        <v>51</v>
      </c>
      <c r="X501" s="42"/>
      <c r="Y501" s="42"/>
      <c r="Z501" s="42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0</v>
      </c>
      <c r="AA501" s="67"/>
      <c r="AB501" s="67"/>
      <c r="AC501" s="67"/>
    </row>
    <row r="502" spans="1:32" ht="13.5" thickBot="1" x14ac:dyDescent="0.25"/>
    <row r="503" spans="1:32" ht="27" thickTop="1" thickBot="1" x14ac:dyDescent="0.25">
      <c r="A503" s="46" t="s">
        <v>9</v>
      </c>
      <c r="B503" s="85" t="s">
        <v>77</v>
      </c>
      <c r="C503" s="888" t="s">
        <v>112</v>
      </c>
      <c r="D503" s="888" t="s">
        <v>112</v>
      </c>
      <c r="E503" s="888" t="s">
        <v>112</v>
      </c>
      <c r="F503" s="888" t="s">
        <v>112</v>
      </c>
      <c r="G503" s="888" t="s">
        <v>112</v>
      </c>
      <c r="H503" s="888" t="s">
        <v>112</v>
      </c>
      <c r="I503" s="888" t="s">
        <v>279</v>
      </c>
      <c r="J503" s="888" t="s">
        <v>279</v>
      </c>
      <c r="K503" s="888" t="s">
        <v>279</v>
      </c>
      <c r="L503" s="888" t="s">
        <v>279</v>
      </c>
      <c r="M503" s="888" t="s">
        <v>279</v>
      </c>
      <c r="N503" s="889"/>
      <c r="O503" s="888" t="s">
        <v>279</v>
      </c>
      <c r="P503" s="888" t="s">
        <v>279</v>
      </c>
      <c r="Q503" s="888" t="s">
        <v>279</v>
      </c>
      <c r="R503" s="888" t="s">
        <v>279</v>
      </c>
      <c r="S503" s="888" t="s">
        <v>573</v>
      </c>
      <c r="T503" s="888" t="s">
        <v>573</v>
      </c>
      <c r="U503" s="888" t="s">
        <v>627</v>
      </c>
      <c r="V503" s="888" t="s">
        <v>627</v>
      </c>
      <c r="W503" s="888" t="s">
        <v>627</v>
      </c>
      <c r="X503" s="85" t="s">
        <v>678</v>
      </c>
      <c r="Y503" s="888" t="s">
        <v>733</v>
      </c>
      <c r="Z503" s="888" t="s">
        <v>733</v>
      </c>
      <c r="AB503" s="60"/>
      <c r="AC503" s="60"/>
      <c r="AF503" s="1"/>
    </row>
    <row r="504" spans="1:32" ht="14.25" customHeight="1" thickTop="1" x14ac:dyDescent="0.2">
      <c r="A504" s="886" t="s">
        <v>10</v>
      </c>
      <c r="B504" s="888" t="s">
        <v>77</v>
      </c>
      <c r="C504" s="888" t="s">
        <v>113</v>
      </c>
      <c r="D504" s="888" t="s">
        <v>130</v>
      </c>
      <c r="E504" s="888" t="s">
        <v>181</v>
      </c>
      <c r="F504" s="888" t="s">
        <v>203</v>
      </c>
      <c r="G504" s="888" t="s">
        <v>240</v>
      </c>
      <c r="H504" s="888" t="s">
        <v>112</v>
      </c>
      <c r="I504" s="888" t="s">
        <v>280</v>
      </c>
      <c r="J504" s="888" t="s">
        <v>338</v>
      </c>
      <c r="K504" s="888" t="s">
        <v>398</v>
      </c>
      <c r="L504" s="888" t="s">
        <v>439</v>
      </c>
      <c r="M504" s="888" t="s">
        <v>455</v>
      </c>
      <c r="N504" s="1"/>
      <c r="O504" s="888" t="s">
        <v>466</v>
      </c>
      <c r="P504" s="888" t="s">
        <v>475</v>
      </c>
      <c r="Q504" s="888" t="s">
        <v>488</v>
      </c>
      <c r="R504" s="888" t="s">
        <v>563</v>
      </c>
      <c r="S504" s="888" t="s">
        <v>574</v>
      </c>
      <c r="T504" s="888" t="s">
        <v>609</v>
      </c>
      <c r="U504" s="888" t="s">
        <v>628</v>
      </c>
      <c r="V504" s="888" t="s">
        <v>659</v>
      </c>
      <c r="W504" s="888" t="s">
        <v>674</v>
      </c>
      <c r="X504" s="888" t="s">
        <v>678</v>
      </c>
      <c r="Y504" s="888" t="s">
        <v>733</v>
      </c>
      <c r="Z504" s="888" t="s">
        <v>765</v>
      </c>
      <c r="AB504" s="60"/>
      <c r="AC504" s="60"/>
      <c r="AF504" s="1"/>
    </row>
    <row r="505" spans="1:32" ht="13.5" thickBot="1" x14ac:dyDescent="0.25">
      <c r="A505" s="887"/>
      <c r="B505" s="888"/>
      <c r="C505" s="888"/>
      <c r="D505" s="888"/>
      <c r="E505" s="888"/>
      <c r="F505" s="888"/>
      <c r="G505" s="888"/>
      <c r="H505" s="888"/>
      <c r="I505" s="888"/>
      <c r="J505" s="888"/>
      <c r="K505" s="888"/>
      <c r="L505" s="888"/>
      <c r="M505" s="888"/>
      <c r="N505" s="1"/>
      <c r="O505" s="888"/>
      <c r="P505" s="888"/>
      <c r="Q505" s="888"/>
      <c r="R505" s="888"/>
      <c r="S505" s="888"/>
      <c r="T505" s="888"/>
      <c r="U505" s="888"/>
      <c r="V505" s="888"/>
      <c r="W505" s="888"/>
      <c r="X505" s="888"/>
      <c r="Y505" s="888"/>
      <c r="Z505" s="888"/>
      <c r="AB505" s="60"/>
      <c r="AC505" s="60"/>
      <c r="AF505" s="1"/>
    </row>
    <row r="506" spans="1:32" ht="18" thickTop="1" thickBot="1" x14ac:dyDescent="0.25">
      <c r="A506" s="46" t="s">
        <v>13</v>
      </c>
      <c r="B506" s="52">
        <f>IFERROR(Y22*1,"0")+IFERROR(Y23*1,"0")+IFERROR(Y27*1,"0")+IFERROR(Y28*1,"0")+IFERROR(Y29*1,"0")+IFERROR(Y30*1,"0")+IFERROR(Y31*1,"0")+IFERROR(Y35*1,"0")</f>
        <v>0</v>
      </c>
      <c r="C506" s="52">
        <f>IFERROR(Y41*1,"0")+IFERROR(Y42*1,"0")+IFERROR(Y43*1,"0")+IFERROR(Y47*1,"0")</f>
        <v>0</v>
      </c>
      <c r="D506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52">
        <f>IFERROR(Y85*1,"0")+IFERROR(Y86*1,"0")+IFERROR(Y87*1,"0")+IFERROR(Y88*1,"0")+IFERROR(Y92*1,"0")+IFERROR(Y93*1,"0")+IFERROR(Y94*1,"0")+IFERROR(Y95*1,"0")</f>
        <v>0</v>
      </c>
      <c r="F506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52">
        <f>IFERROR(Y127*1,"0")+IFERROR(Y128*1,"0")+IFERROR(Y132*1,"0")+IFERROR(Y133*1,"0")+IFERROR(Y137*1,"0")+IFERROR(Y138*1,"0")</f>
        <v>0</v>
      </c>
      <c r="H506" s="52">
        <f>IFERROR(Y143*1,"0")+IFERROR(Y144*1,"0")+IFERROR(Y148*1,"0")+IFERROR(Y149*1,"0")+IFERROR(Y150*1,"0")+IFERROR(Y151*1,"0")+IFERROR(Y152*1,"0")+IFERROR(Y153*1,"0")+IFERROR(Y157*1,"0")</f>
        <v>0</v>
      </c>
      <c r="I506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52">
        <f>IFERROR(Y263*1,"0")+IFERROR(Y264*1,"0")+IFERROR(Y265*1,"0")+IFERROR(Y266*1,"0")+IFERROR(Y267*1,"0")</f>
        <v>0</v>
      </c>
      <c r="M506" s="52">
        <f>IFERROR(Y272*1,"0")+IFERROR(Y273*1,"0")+IFERROR(Y274*1,"0")+IFERROR(Y275*1,"0")</f>
        <v>0</v>
      </c>
      <c r="N506" s="1"/>
      <c r="O506" s="52">
        <f>IFERROR(Y280*1,"0")+IFERROR(Y281*1,"0")+IFERROR(Y282*1,"0")</f>
        <v>0</v>
      </c>
      <c r="P506" s="52">
        <f>IFERROR(Y287*1,"0")+IFERROR(Y288*1,"0")+IFERROR(Y292*1,"0")+IFERROR(Y293*1,"0")</f>
        <v>0</v>
      </c>
      <c r="Q506" s="52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52">
        <f>IFERROR(Y343*1,"0")+IFERROR(Y344*1,"0")+IFERROR(Y345*1,"0")</f>
        <v>0</v>
      </c>
      <c r="S506" s="52">
        <f>IFERROR(Y351*1,"0")+IFERROR(Y352*1,"0")+IFERROR(Y353*1,"0")+IFERROR(Y354*1,"0")+IFERROR(Y355*1,"0")+IFERROR(Y356*1,"0")+IFERROR(Y357*1,"0")+IFERROR(Y361*1,"0")+IFERROR(Y362*1,"0")+IFERROR(Y366*1,"0")+IFERROR(Y367*1,"0")+IFERROR(Y371*1,"0")</f>
        <v>0</v>
      </c>
      <c r="T506" s="52">
        <f>IFERROR(Y376*1,"0")+IFERROR(Y377*1,"0")+IFERROR(Y381*1,"0")+IFERROR(Y382*1,"0")+IFERROR(Y386*1,"0")+IFERROR(Y387*1,"0")+IFERROR(Y388*1,"0")</f>
        <v>0</v>
      </c>
      <c r="U506" s="52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52">
        <f>IFERROR(Y412*1,"0")+IFERROR(Y416*1,"0")+IFERROR(Y417*1,"0")+IFERROR(Y418*1,"0")+IFERROR(Y419*1,"0")</f>
        <v>0</v>
      </c>
      <c r="W506" s="52">
        <f>IFERROR(Y424*1,"0")</f>
        <v>0</v>
      </c>
      <c r="X506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52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52">
        <f>IFERROR(Y493*1,"0")</f>
        <v>0</v>
      </c>
      <c r="AB506" s="60"/>
      <c r="AC506" s="60"/>
      <c r="AF506" s="1"/>
    </row>
  </sheetData>
  <sheetProtection algorithmName="SHA-512" hashValue="j5n/30WV0ClIPWIbI+mhgp/pbdrfBLLK6HDWXKsRiewiw6PY6K5zqxm8TrIVp/BApK9sGhZc9ksNINTvrf6uUA==" saltValue="napthsd+nKOyXWZeAf4mW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8">
    <mergeCell ref="U504:U505"/>
    <mergeCell ref="V504:V505"/>
    <mergeCell ref="W504:W505"/>
    <mergeCell ref="X504:X505"/>
    <mergeCell ref="Y504:Y505"/>
    <mergeCell ref="Z504:Z505"/>
    <mergeCell ref="C503:H503"/>
    <mergeCell ref="I503:R503"/>
    <mergeCell ref="S503:T503"/>
    <mergeCell ref="U503:W503"/>
    <mergeCell ref="Y503:Z503"/>
    <mergeCell ref="J504:J505"/>
    <mergeCell ref="K504:K505"/>
    <mergeCell ref="L504:L505"/>
    <mergeCell ref="M504:M505"/>
    <mergeCell ref="O504:O505"/>
    <mergeCell ref="P504:P505"/>
    <mergeCell ref="Q504:Q505"/>
    <mergeCell ref="R504:R505"/>
    <mergeCell ref="S504:S505"/>
    <mergeCell ref="T504:T505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A491:Z491"/>
    <mergeCell ref="A492:Z492"/>
    <mergeCell ref="D493:E493"/>
    <mergeCell ref="P493:T493"/>
    <mergeCell ref="P494:V494"/>
    <mergeCell ref="A494:O495"/>
    <mergeCell ref="P495:V495"/>
    <mergeCell ref="P496:V496"/>
    <mergeCell ref="A496:O501"/>
    <mergeCell ref="P497:V497"/>
    <mergeCell ref="P498:V498"/>
    <mergeCell ref="P499:V499"/>
    <mergeCell ref="P500:V500"/>
    <mergeCell ref="P501:V501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A472:Z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59:Z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D447:E447"/>
    <mergeCell ref="P447:T447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A392:Z392"/>
    <mergeCell ref="A393:Z393"/>
    <mergeCell ref="D394:E394"/>
    <mergeCell ref="P394:T394"/>
    <mergeCell ref="D395:E395"/>
    <mergeCell ref="P395:T395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A370:Z370"/>
    <mergeCell ref="D371:E371"/>
    <mergeCell ref="P371:T371"/>
    <mergeCell ref="P372:V372"/>
    <mergeCell ref="A372:O373"/>
    <mergeCell ref="P373:V373"/>
    <mergeCell ref="A374:Z374"/>
    <mergeCell ref="A375:Z375"/>
    <mergeCell ref="D376:E376"/>
    <mergeCell ref="P376:T376"/>
    <mergeCell ref="P363:V363"/>
    <mergeCell ref="A363:O364"/>
    <mergeCell ref="P364:V364"/>
    <mergeCell ref="A365:Z365"/>
    <mergeCell ref="D366:E366"/>
    <mergeCell ref="P366:T366"/>
    <mergeCell ref="D367:E367"/>
    <mergeCell ref="P367:T367"/>
    <mergeCell ref="P368:V368"/>
    <mergeCell ref="A368:O369"/>
    <mergeCell ref="P369:V369"/>
    <mergeCell ref="D357:E357"/>
    <mergeCell ref="P357:T357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45:E345"/>
    <mergeCell ref="P345:T345"/>
    <mergeCell ref="P346:V346"/>
    <mergeCell ref="A346:O347"/>
    <mergeCell ref="P347:V347"/>
    <mergeCell ref="A348:Z348"/>
    <mergeCell ref="A349:Z349"/>
    <mergeCell ref="A350:Z350"/>
    <mergeCell ref="D351:E351"/>
    <mergeCell ref="P351:T351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A322:Z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52:X453 X436 X434 X430 X398 X361 X354 X351:X352 X344:X345 X331 X323:X324 X311:X312 X281 X241 X228:X229 X223:X224 X221 X218:X219 X210:X212 X205:X208 X178 X175 X171 X169 X122 X118 X103 X100 X88 X85 X63 X57 X43 X4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9"/>
    </row>
    <row r="3" spans="2:8" x14ac:dyDescent="0.2">
      <c r="B3" s="53" t="s">
        <v>770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771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772</v>
      </c>
      <c r="D6" s="53" t="s">
        <v>773</v>
      </c>
      <c r="E6" s="53" t="s">
        <v>45</v>
      </c>
    </row>
    <row r="8" spans="2:8" x14ac:dyDescent="0.2">
      <c r="B8" s="53" t="s">
        <v>76</v>
      </c>
      <c r="C8" s="53" t="s">
        <v>772</v>
      </c>
      <c r="D8" s="53" t="s">
        <v>45</v>
      </c>
      <c r="E8" s="53" t="s">
        <v>45</v>
      </c>
    </row>
    <row r="10" spans="2:8" x14ac:dyDescent="0.2">
      <c r="B10" s="53" t="s">
        <v>774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780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781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782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784</v>
      </c>
      <c r="C20" s="53" t="s">
        <v>45</v>
      </c>
      <c r="D20" s="53" t="s">
        <v>45</v>
      </c>
      <c r="E20" s="53" t="s">
        <v>45</v>
      </c>
    </row>
  </sheetData>
  <sheetProtection algorithmName="SHA-512" hashValue="nj5uhjQRBcbA4uFRxcNoIt6UM54cNbijxjxHUPhGwzp28uK8Rkaswb2CVpkUSXxWH4CqhVAJFQCWUWZfo4ppdw==" saltValue="iaW8kO3JdaySqol/QC/9f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998</vt:i4>
      </vt:variant>
    </vt:vector>
  </HeadingPairs>
  <TitlesOfParts>
    <vt:vector size="100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