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A655DB-057D-43D1-A893-F0AE13761625}" xr6:coauthVersionLast="47" xr6:coauthVersionMax="47" xr10:uidLastSave="{00000000-0000-0000-0000-000000000000}"/>
  <bookViews>
    <workbookView xWindow="30" yWindow="15" windowWidth="2616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P543" i="2"/>
  <c r="X541" i="2"/>
  <c r="X540" i="2"/>
  <c r="BO539" i="2"/>
  <c r="BM539" i="2"/>
  <c r="Y539" i="2"/>
  <c r="Y540" i="2" s="1"/>
  <c r="P539" i="2"/>
  <c r="X537" i="2"/>
  <c r="X536" i="2"/>
  <c r="BP535" i="2"/>
  <c r="BO535" i="2"/>
  <c r="BM535" i="2"/>
  <c r="Y535" i="2"/>
  <c r="Z535" i="2" s="1"/>
  <c r="Z536" i="2" s="1"/>
  <c r="P535" i="2"/>
  <c r="X533" i="2"/>
  <c r="X532" i="2"/>
  <c r="BO531" i="2"/>
  <c r="BM531" i="2"/>
  <c r="Y531" i="2"/>
  <c r="Y533" i="2" s="1"/>
  <c r="P531" i="2"/>
  <c r="Y529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Z519" i="2"/>
  <c r="Y519" i="2"/>
  <c r="BP519" i="2" s="1"/>
  <c r="P519" i="2"/>
  <c r="BP518" i="2"/>
  <c r="BO518" i="2"/>
  <c r="BM518" i="2"/>
  <c r="Z518" i="2"/>
  <c r="Y518" i="2"/>
  <c r="BN518" i="2" s="1"/>
  <c r="P518" i="2"/>
  <c r="BO517" i="2"/>
  <c r="BN517" i="2"/>
  <c r="BM517" i="2"/>
  <c r="Y517" i="2"/>
  <c r="BP517" i="2" s="1"/>
  <c r="P517" i="2"/>
  <c r="BP516" i="2"/>
  <c r="BO516" i="2"/>
  <c r="BM516" i="2"/>
  <c r="Z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N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Z509" i="2"/>
  <c r="Y509" i="2"/>
  <c r="P509" i="2"/>
  <c r="X507" i="2"/>
  <c r="X506" i="2"/>
  <c r="BO505" i="2"/>
  <c r="BM505" i="2"/>
  <c r="Z505" i="2"/>
  <c r="Y505" i="2"/>
  <c r="BP505" i="2" s="1"/>
  <c r="P505" i="2"/>
  <c r="BO504" i="2"/>
  <c r="BN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N501" i="2"/>
  <c r="BM501" i="2"/>
  <c r="Y501" i="2"/>
  <c r="Z501" i="2" s="1"/>
  <c r="P501" i="2"/>
  <c r="BO500" i="2"/>
  <c r="BM500" i="2"/>
  <c r="Y500" i="2"/>
  <c r="BP500" i="2" s="1"/>
  <c r="P500" i="2"/>
  <c r="BO499" i="2"/>
  <c r="BM499" i="2"/>
  <c r="Z499" i="2"/>
  <c r="Y499" i="2"/>
  <c r="BP499" i="2" s="1"/>
  <c r="P499" i="2"/>
  <c r="BP498" i="2"/>
  <c r="BO498" i="2"/>
  <c r="BM498" i="2"/>
  <c r="Z498" i="2"/>
  <c r="Y498" i="2"/>
  <c r="BN498" i="2" s="1"/>
  <c r="P498" i="2"/>
  <c r="BO497" i="2"/>
  <c r="BN497" i="2"/>
  <c r="BM497" i="2"/>
  <c r="Y497" i="2"/>
  <c r="P497" i="2"/>
  <c r="X493" i="2"/>
  <c r="X492" i="2"/>
  <c r="BO491" i="2"/>
  <c r="BM491" i="2"/>
  <c r="Y491" i="2"/>
  <c r="BP491" i="2" s="1"/>
  <c r="P491" i="2"/>
  <c r="BO490" i="2"/>
  <c r="BM490" i="2"/>
  <c r="Y490" i="2"/>
  <c r="BP490" i="2" s="1"/>
  <c r="P490" i="2"/>
  <c r="BO489" i="2"/>
  <c r="BN489" i="2"/>
  <c r="BM489" i="2"/>
  <c r="Y489" i="2"/>
  <c r="Z489" i="2" s="1"/>
  <c r="P489" i="2"/>
  <c r="X487" i="2"/>
  <c r="X486" i="2"/>
  <c r="BO485" i="2"/>
  <c r="BM485" i="2"/>
  <c r="Z485" i="2"/>
  <c r="Z486" i="2" s="1"/>
  <c r="Y485" i="2"/>
  <c r="P485" i="2"/>
  <c r="X482" i="2"/>
  <c r="X481" i="2"/>
  <c r="BO480" i="2"/>
  <c r="BM480" i="2"/>
  <c r="Y480" i="2"/>
  <c r="BP480" i="2" s="1"/>
  <c r="P480" i="2"/>
  <c r="BO479" i="2"/>
  <c r="BM479" i="2"/>
  <c r="Y479" i="2"/>
  <c r="Y481" i="2" s="1"/>
  <c r="P479" i="2"/>
  <c r="X477" i="2"/>
  <c r="X476" i="2"/>
  <c r="BO475" i="2"/>
  <c r="BM475" i="2"/>
  <c r="Y475" i="2"/>
  <c r="BP475" i="2" s="1"/>
  <c r="P475" i="2"/>
  <c r="BO474" i="2"/>
  <c r="BM474" i="2"/>
  <c r="Y474" i="2"/>
  <c r="Z474" i="2" s="1"/>
  <c r="P474" i="2"/>
  <c r="BP473" i="2"/>
  <c r="BO473" i="2"/>
  <c r="BM473" i="2"/>
  <c r="Z473" i="2"/>
  <c r="Y473" i="2"/>
  <c r="BN473" i="2" s="1"/>
  <c r="P473" i="2"/>
  <c r="BO472" i="2"/>
  <c r="BN472" i="2"/>
  <c r="BM472" i="2"/>
  <c r="Y472" i="2"/>
  <c r="P472" i="2"/>
  <c r="BP471" i="2"/>
  <c r="BO471" i="2"/>
  <c r="BM471" i="2"/>
  <c r="Z471" i="2"/>
  <c r="Y471" i="2"/>
  <c r="BN471" i="2" s="1"/>
  <c r="P471" i="2"/>
  <c r="BO470" i="2"/>
  <c r="BM470" i="2"/>
  <c r="Y470" i="2"/>
  <c r="BP470" i="2" s="1"/>
  <c r="P470" i="2"/>
  <c r="X466" i="2"/>
  <c r="X465" i="2"/>
  <c r="BO464" i="2"/>
  <c r="BN464" i="2"/>
  <c r="BM464" i="2"/>
  <c r="Y464" i="2"/>
  <c r="Z464" i="2" s="1"/>
  <c r="P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Z458" i="2"/>
  <c r="Z459" i="2" s="1"/>
  <c r="Y458" i="2"/>
  <c r="Y459" i="2" s="1"/>
  <c r="P458" i="2"/>
  <c r="X456" i="2"/>
  <c r="X455" i="2"/>
  <c r="BO454" i="2"/>
  <c r="BM454" i="2"/>
  <c r="Y454" i="2"/>
  <c r="BN454" i="2" s="1"/>
  <c r="P454" i="2"/>
  <c r="BO453" i="2"/>
  <c r="BM453" i="2"/>
  <c r="Y453" i="2"/>
  <c r="P453" i="2"/>
  <c r="X450" i="2"/>
  <c r="X449" i="2"/>
  <c r="BO448" i="2"/>
  <c r="BN448" i="2"/>
  <c r="BM448" i="2"/>
  <c r="Y448" i="2"/>
  <c r="BP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P441" i="2"/>
  <c r="BO441" i="2"/>
  <c r="BM441" i="2"/>
  <c r="Y441" i="2"/>
  <c r="P441" i="2"/>
  <c r="X439" i="2"/>
  <c r="X438" i="2"/>
  <c r="BO437" i="2"/>
  <c r="BM437" i="2"/>
  <c r="Y437" i="2"/>
  <c r="P437" i="2"/>
  <c r="BO436" i="2"/>
  <c r="BN436" i="2"/>
  <c r="BM436" i="2"/>
  <c r="Y436" i="2"/>
  <c r="Z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BO430" i="2"/>
  <c r="BN430" i="2"/>
  <c r="BM430" i="2"/>
  <c r="Z430" i="2"/>
  <c r="Y430" i="2"/>
  <c r="BP430" i="2" s="1"/>
  <c r="P430" i="2"/>
  <c r="BO429" i="2"/>
  <c r="BM429" i="2"/>
  <c r="Y429" i="2"/>
  <c r="BP429" i="2" s="1"/>
  <c r="P429" i="2"/>
  <c r="BP428" i="2"/>
  <c r="BO428" i="2"/>
  <c r="BN428" i="2"/>
  <c r="BM428" i="2"/>
  <c r="Z428" i="2"/>
  <c r="Y428" i="2"/>
  <c r="P428" i="2"/>
  <c r="BO427" i="2"/>
  <c r="BM427" i="2"/>
  <c r="Y427" i="2"/>
  <c r="BP427" i="2" s="1"/>
  <c r="P427" i="2"/>
  <c r="BO426" i="2"/>
  <c r="BN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0" i="2"/>
  <c r="X419" i="2"/>
  <c r="BP418" i="2"/>
  <c r="BO418" i="2"/>
  <c r="BM418" i="2"/>
  <c r="Z418" i="2"/>
  <c r="Y418" i="2"/>
  <c r="BN418" i="2" s="1"/>
  <c r="P418" i="2"/>
  <c r="BO417" i="2"/>
  <c r="BM417" i="2"/>
  <c r="Y417" i="2"/>
  <c r="P417" i="2"/>
  <c r="BO416" i="2"/>
  <c r="BM416" i="2"/>
  <c r="Y416" i="2"/>
  <c r="P416" i="2"/>
  <c r="X413" i="2"/>
  <c r="X412" i="2"/>
  <c r="BO411" i="2"/>
  <c r="BN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BP405" i="2" s="1"/>
  <c r="P405" i="2"/>
  <c r="BO404" i="2"/>
  <c r="BM404" i="2"/>
  <c r="Y404" i="2"/>
  <c r="BP404" i="2" s="1"/>
  <c r="P404" i="2"/>
  <c r="BO403" i="2"/>
  <c r="BM403" i="2"/>
  <c r="Y403" i="2"/>
  <c r="Z403" i="2" s="1"/>
  <c r="P403" i="2"/>
  <c r="X401" i="2"/>
  <c r="X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N392" i="2"/>
  <c r="BM392" i="2"/>
  <c r="Y392" i="2"/>
  <c r="BP392" i="2" s="1"/>
  <c r="P392" i="2"/>
  <c r="BO391" i="2"/>
  <c r="BM391" i="2"/>
  <c r="Z391" i="2"/>
  <c r="Y391" i="2"/>
  <c r="BN391" i="2" s="1"/>
  <c r="P391" i="2"/>
  <c r="BO390" i="2"/>
  <c r="BN390" i="2"/>
  <c r="BM390" i="2"/>
  <c r="Y390" i="2"/>
  <c r="Z390" i="2" s="1"/>
  <c r="P390" i="2"/>
  <c r="X388" i="2"/>
  <c r="X387" i="2"/>
  <c r="BO386" i="2"/>
  <c r="BM386" i="2"/>
  <c r="Y386" i="2"/>
  <c r="BP386" i="2" s="1"/>
  <c r="P386" i="2"/>
  <c r="BO385" i="2"/>
  <c r="BM385" i="2"/>
  <c r="Y385" i="2"/>
  <c r="BN385" i="2" s="1"/>
  <c r="P385" i="2"/>
  <c r="BP384" i="2"/>
  <c r="BO384" i="2"/>
  <c r="BN384" i="2"/>
  <c r="BM384" i="2"/>
  <c r="Z384" i="2"/>
  <c r="Y384" i="2"/>
  <c r="P384" i="2"/>
  <c r="Y382" i="2"/>
  <c r="X382" i="2"/>
  <c r="X381" i="2"/>
  <c r="BP380" i="2"/>
  <c r="BO380" i="2"/>
  <c r="BM380" i="2"/>
  <c r="Z380" i="2"/>
  <c r="Y380" i="2"/>
  <c r="BN380" i="2" s="1"/>
  <c r="P380" i="2"/>
  <c r="BO379" i="2"/>
  <c r="BN379" i="2"/>
  <c r="BM379" i="2"/>
  <c r="Y379" i="2"/>
  <c r="BP379" i="2" s="1"/>
  <c r="P379" i="2"/>
  <c r="BP378" i="2"/>
  <c r="BO378" i="2"/>
  <c r="BM378" i="2"/>
  <c r="Z378" i="2"/>
  <c r="Y378" i="2"/>
  <c r="BN378" i="2" s="1"/>
  <c r="P378" i="2"/>
  <c r="BO377" i="2"/>
  <c r="BM377" i="2"/>
  <c r="Y377" i="2"/>
  <c r="BN377" i="2" s="1"/>
  <c r="P377" i="2"/>
  <c r="X375" i="2"/>
  <c r="X374" i="2"/>
  <c r="BO373" i="2"/>
  <c r="BN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Z371" i="2" s="1"/>
  <c r="P371" i="2"/>
  <c r="BP370" i="2"/>
  <c r="BO370" i="2"/>
  <c r="BM370" i="2"/>
  <c r="Z370" i="2"/>
  <c r="Y370" i="2"/>
  <c r="BN370" i="2" s="1"/>
  <c r="P370" i="2"/>
  <c r="BO369" i="2"/>
  <c r="BN369" i="2"/>
  <c r="BM369" i="2"/>
  <c r="Y369" i="2"/>
  <c r="BP369" i="2" s="1"/>
  <c r="P369" i="2"/>
  <c r="BP368" i="2"/>
  <c r="BO368" i="2"/>
  <c r="BN368" i="2"/>
  <c r="BM368" i="2"/>
  <c r="Z368" i="2"/>
  <c r="Y368" i="2"/>
  <c r="P368" i="2"/>
  <c r="BO367" i="2"/>
  <c r="BM367" i="2"/>
  <c r="Y367" i="2"/>
  <c r="BN367" i="2" s="1"/>
  <c r="P367" i="2"/>
  <c r="X365" i="2"/>
  <c r="X364" i="2"/>
  <c r="BO363" i="2"/>
  <c r="BN363" i="2"/>
  <c r="BM363" i="2"/>
  <c r="Y363" i="2"/>
  <c r="Z363" i="2" s="1"/>
  <c r="P363" i="2"/>
  <c r="BO362" i="2"/>
  <c r="BM362" i="2"/>
  <c r="Y362" i="2"/>
  <c r="BP362" i="2" s="1"/>
  <c r="P362" i="2"/>
  <c r="BO361" i="2"/>
  <c r="BM361" i="2"/>
  <c r="Y361" i="2"/>
  <c r="Z361" i="2" s="1"/>
  <c r="P361" i="2"/>
  <c r="BP360" i="2"/>
  <c r="BO360" i="2"/>
  <c r="BN360" i="2"/>
  <c r="BM360" i="2"/>
  <c r="Z360" i="2"/>
  <c r="Y360" i="2"/>
  <c r="P360" i="2"/>
  <c r="BO359" i="2"/>
  <c r="BN359" i="2"/>
  <c r="BM359" i="2"/>
  <c r="Y359" i="2"/>
  <c r="BP359" i="2" s="1"/>
  <c r="P359" i="2"/>
  <c r="X356" i="2"/>
  <c r="X355" i="2"/>
  <c r="BO354" i="2"/>
  <c r="BN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X349" i="2"/>
  <c r="X348" i="2"/>
  <c r="BP347" i="2"/>
  <c r="BO347" i="2"/>
  <c r="BM347" i="2"/>
  <c r="Y347" i="2"/>
  <c r="P347" i="2"/>
  <c r="BO346" i="2"/>
  <c r="BN346" i="2"/>
  <c r="BM346" i="2"/>
  <c r="Y346" i="2"/>
  <c r="Z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Z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N333" i="2"/>
  <c r="BM333" i="2"/>
  <c r="Y333" i="2"/>
  <c r="BP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N324" i="2"/>
  <c r="BM324" i="2"/>
  <c r="Y324" i="2"/>
  <c r="BP324" i="2" s="1"/>
  <c r="P324" i="2"/>
  <c r="BO323" i="2"/>
  <c r="BM323" i="2"/>
  <c r="Y323" i="2"/>
  <c r="P323" i="2"/>
  <c r="BO322" i="2"/>
  <c r="BN322" i="2"/>
  <c r="BM322" i="2"/>
  <c r="Y322" i="2"/>
  <c r="Y328" i="2" s="1"/>
  <c r="P322" i="2"/>
  <c r="X319" i="2"/>
  <c r="X318" i="2"/>
  <c r="BO317" i="2"/>
  <c r="BM317" i="2"/>
  <c r="Y317" i="2"/>
  <c r="P317" i="2"/>
  <c r="BO316" i="2"/>
  <c r="BM316" i="2"/>
  <c r="Y316" i="2"/>
  <c r="Z316" i="2" s="1"/>
  <c r="P316" i="2"/>
  <c r="BO315" i="2"/>
  <c r="BM315" i="2"/>
  <c r="Y315" i="2"/>
  <c r="BP315" i="2" s="1"/>
  <c r="P315" i="2"/>
  <c r="X313" i="2"/>
  <c r="X312" i="2"/>
  <c r="BP311" i="2"/>
  <c r="BO311" i="2"/>
  <c r="BM311" i="2"/>
  <c r="Y311" i="2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P299" i="2"/>
  <c r="BO299" i="2"/>
  <c r="BM299" i="2"/>
  <c r="Z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P297" i="2"/>
  <c r="Y294" i="2"/>
  <c r="X294" i="2"/>
  <c r="X293" i="2"/>
  <c r="BO292" i="2"/>
  <c r="BM292" i="2"/>
  <c r="Y292" i="2"/>
  <c r="BP292" i="2" s="1"/>
  <c r="P292" i="2"/>
  <c r="BO291" i="2"/>
  <c r="BM291" i="2"/>
  <c r="Y291" i="2"/>
  <c r="Y293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N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N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N270" i="2"/>
  <c r="BM270" i="2"/>
  <c r="Y270" i="2"/>
  <c r="BP270" i="2" s="1"/>
  <c r="P270" i="2"/>
  <c r="BO269" i="2"/>
  <c r="BM269" i="2"/>
  <c r="Y269" i="2"/>
  <c r="P269" i="2"/>
  <c r="BO268" i="2"/>
  <c r="BN268" i="2"/>
  <c r="BM268" i="2"/>
  <c r="Y268" i="2"/>
  <c r="BP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Z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N260" i="2"/>
  <c r="BM260" i="2"/>
  <c r="Y260" i="2"/>
  <c r="BP260" i="2" s="1"/>
  <c r="P260" i="2"/>
  <c r="X258" i="2"/>
  <c r="X257" i="2"/>
  <c r="BO256" i="2"/>
  <c r="BM256" i="2"/>
  <c r="Y256" i="2"/>
  <c r="Z256" i="2" s="1"/>
  <c r="P256" i="2"/>
  <c r="BO255" i="2"/>
  <c r="BN255" i="2"/>
  <c r="BM255" i="2"/>
  <c r="Y255" i="2"/>
  <c r="BP255" i="2" s="1"/>
  <c r="P255" i="2"/>
  <c r="X252" i="2"/>
  <c r="X251" i="2"/>
  <c r="BO250" i="2"/>
  <c r="BM250" i="2"/>
  <c r="Z250" i="2"/>
  <c r="Z251" i="2" s="1"/>
  <c r="Y250" i="2"/>
  <c r="BN250" i="2" s="1"/>
  <c r="P250" i="2"/>
  <c r="X248" i="2"/>
  <c r="X247" i="2"/>
  <c r="BO246" i="2"/>
  <c r="BM246" i="2"/>
  <c r="Z246" i="2"/>
  <c r="Y246" i="2"/>
  <c r="BN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N236" i="2"/>
  <c r="BM236" i="2"/>
  <c r="Z236" i="2"/>
  <c r="Y236" i="2"/>
  <c r="BP236" i="2" s="1"/>
  <c r="P236" i="2"/>
  <c r="X234" i="2"/>
  <c r="X233" i="2"/>
  <c r="BO232" i="2"/>
  <c r="BN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N227" i="2"/>
  <c r="BM227" i="2"/>
  <c r="Y227" i="2"/>
  <c r="P227" i="2"/>
  <c r="BO226" i="2"/>
  <c r="BM226" i="2"/>
  <c r="Z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P222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X217" i="2"/>
  <c r="Y216" i="2"/>
  <c r="X216" i="2"/>
  <c r="BO215" i="2"/>
  <c r="BN215" i="2"/>
  <c r="BM215" i="2"/>
  <c r="Y215" i="2"/>
  <c r="P215" i="2"/>
  <c r="X212" i="2"/>
  <c r="X211" i="2"/>
  <c r="BO210" i="2"/>
  <c r="BM210" i="2"/>
  <c r="Y210" i="2"/>
  <c r="BP210" i="2" s="1"/>
  <c r="P210" i="2"/>
  <c r="BO209" i="2"/>
  <c r="BN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P206" i="2"/>
  <c r="BO206" i="2"/>
  <c r="BN206" i="2"/>
  <c r="BM206" i="2"/>
  <c r="Z206" i="2"/>
  <c r="Y206" i="2"/>
  <c r="P206" i="2"/>
  <c r="BO205" i="2"/>
  <c r="BN205" i="2"/>
  <c r="BM205" i="2"/>
  <c r="Y205" i="2"/>
  <c r="P205" i="2"/>
  <c r="BO204" i="2"/>
  <c r="BN204" i="2"/>
  <c r="BM204" i="2"/>
  <c r="Y204" i="2"/>
  <c r="BP204" i="2" s="1"/>
  <c r="P204" i="2"/>
  <c r="X200" i="2"/>
  <c r="X199" i="2"/>
  <c r="BO198" i="2"/>
  <c r="BM198" i="2"/>
  <c r="Y198" i="2"/>
  <c r="Y200" i="2" s="1"/>
  <c r="P198" i="2"/>
  <c r="X196" i="2"/>
  <c r="X195" i="2"/>
  <c r="BO194" i="2"/>
  <c r="BM194" i="2"/>
  <c r="Y194" i="2"/>
  <c r="P194" i="2"/>
  <c r="X192" i="2"/>
  <c r="X191" i="2"/>
  <c r="BP190" i="2"/>
  <c r="BO190" i="2"/>
  <c r="BM190" i="2"/>
  <c r="Z190" i="2"/>
  <c r="Y190" i="2"/>
  <c r="BN190" i="2" s="1"/>
  <c r="P190" i="2"/>
  <c r="BP189" i="2"/>
  <c r="BO189" i="2"/>
  <c r="BM189" i="2"/>
  <c r="Y189" i="2"/>
  <c r="BN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N182" i="2"/>
  <c r="BM182" i="2"/>
  <c r="Y182" i="2"/>
  <c r="P182" i="2"/>
  <c r="BO181" i="2"/>
  <c r="BM181" i="2"/>
  <c r="Z181" i="2"/>
  <c r="Y181" i="2"/>
  <c r="BP181" i="2" s="1"/>
  <c r="P181" i="2"/>
  <c r="BO180" i="2"/>
  <c r="BM180" i="2"/>
  <c r="Z180" i="2"/>
  <c r="Y180" i="2"/>
  <c r="BN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Z175" i="2"/>
  <c r="Y175" i="2"/>
  <c r="BN175" i="2" s="1"/>
  <c r="P175" i="2"/>
  <c r="BO174" i="2"/>
  <c r="BN174" i="2"/>
  <c r="BM174" i="2"/>
  <c r="Z174" i="2"/>
  <c r="Y174" i="2"/>
  <c r="BP174" i="2" s="1"/>
  <c r="P174" i="2"/>
  <c r="X172" i="2"/>
  <c r="Y171" i="2"/>
  <c r="X171" i="2"/>
  <c r="BO170" i="2"/>
  <c r="BN170" i="2"/>
  <c r="BM170" i="2"/>
  <c r="Y170" i="2"/>
  <c r="P170" i="2"/>
  <c r="BO169" i="2"/>
  <c r="BM169" i="2"/>
  <c r="Y169" i="2"/>
  <c r="BP169" i="2" s="1"/>
  <c r="P169" i="2"/>
  <c r="X167" i="2"/>
  <c r="X166" i="2"/>
  <c r="BP165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P163" i="2"/>
  <c r="X160" i="2"/>
  <c r="Y159" i="2"/>
  <c r="X159" i="2"/>
  <c r="BO158" i="2"/>
  <c r="BM158" i="2"/>
  <c r="Z158" i="2"/>
  <c r="Z159" i="2" s="1"/>
  <c r="Y158" i="2"/>
  <c r="P158" i="2"/>
  <c r="X156" i="2"/>
  <c r="X155" i="2"/>
  <c r="BO154" i="2"/>
  <c r="BM154" i="2"/>
  <c r="Z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N137" i="2"/>
  <c r="BM137" i="2"/>
  <c r="Z137" i="2"/>
  <c r="Y137" i="2"/>
  <c r="BP137" i="2" s="1"/>
  <c r="P137" i="2"/>
  <c r="BO136" i="2"/>
  <c r="BM136" i="2"/>
  <c r="Y136" i="2"/>
  <c r="BN136" i="2" s="1"/>
  <c r="P136" i="2"/>
  <c r="BP135" i="2"/>
  <c r="BO135" i="2"/>
  <c r="BM135" i="2"/>
  <c r="Y135" i="2"/>
  <c r="BN135" i="2" s="1"/>
  <c r="P135" i="2"/>
  <c r="BO134" i="2"/>
  <c r="BM134" i="2"/>
  <c r="Y134" i="2"/>
  <c r="P134" i="2"/>
  <c r="X132" i="2"/>
  <c r="X131" i="2"/>
  <c r="BO130" i="2"/>
  <c r="BM130" i="2"/>
  <c r="Y130" i="2"/>
  <c r="BP130" i="2" s="1"/>
  <c r="P130" i="2"/>
  <c r="BO129" i="2"/>
  <c r="BM129" i="2"/>
  <c r="Y129" i="2"/>
  <c r="Y131" i="2" s="1"/>
  <c r="P129" i="2"/>
  <c r="BP128" i="2"/>
  <c r="BO128" i="2"/>
  <c r="BN128" i="2"/>
  <c r="BM128" i="2"/>
  <c r="Z128" i="2"/>
  <c r="Y128" i="2"/>
  <c r="P128" i="2"/>
  <c r="X125" i="2"/>
  <c r="X124" i="2"/>
  <c r="BO123" i="2"/>
  <c r="BM123" i="2"/>
  <c r="Y123" i="2"/>
  <c r="Z123" i="2" s="1"/>
  <c r="Z124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Y121" i="2" s="1"/>
  <c r="P116" i="2"/>
  <c r="X114" i="2"/>
  <c r="X113" i="2"/>
  <c r="BP112" i="2"/>
  <c r="BO112" i="2"/>
  <c r="BM112" i="2"/>
  <c r="Y112" i="2"/>
  <c r="BN112" i="2" s="1"/>
  <c r="P112" i="2"/>
  <c r="BO111" i="2"/>
  <c r="BM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Y113" i="2" s="1"/>
  <c r="P108" i="2"/>
  <c r="X106" i="2"/>
  <c r="X105" i="2"/>
  <c r="BO104" i="2"/>
  <c r="BN104" i="2"/>
  <c r="BM104" i="2"/>
  <c r="Z104" i="2"/>
  <c r="Y104" i="2"/>
  <c r="BP104" i="2" s="1"/>
  <c r="P104" i="2"/>
  <c r="BO103" i="2"/>
  <c r="BM103" i="2"/>
  <c r="Y103" i="2"/>
  <c r="BN103" i="2" s="1"/>
  <c r="P103" i="2"/>
  <c r="BP102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Z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N93" i="2"/>
  <c r="BM93" i="2"/>
  <c r="Z93" i="2"/>
  <c r="Y93" i="2"/>
  <c r="BP93" i="2" s="1"/>
  <c r="P93" i="2"/>
  <c r="BO92" i="2"/>
  <c r="BM92" i="2"/>
  <c r="Y92" i="2"/>
  <c r="BP92" i="2" s="1"/>
  <c r="P92" i="2"/>
  <c r="BP91" i="2"/>
  <c r="BO91" i="2"/>
  <c r="BM91" i="2"/>
  <c r="Y91" i="2"/>
  <c r="BN91" i="2" s="1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P84" i="2"/>
  <c r="BO84" i="2"/>
  <c r="BN84" i="2"/>
  <c r="BM84" i="2"/>
  <c r="Z84" i="2"/>
  <c r="Y84" i="2"/>
  <c r="P84" i="2"/>
  <c r="BO83" i="2"/>
  <c r="BN83" i="2"/>
  <c r="BM83" i="2"/>
  <c r="Z83" i="2"/>
  <c r="Y83" i="2"/>
  <c r="P83" i="2"/>
  <c r="X80" i="2"/>
  <c r="Y79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Y74" i="2"/>
  <c r="X74" i="2"/>
  <c r="BP73" i="2"/>
  <c r="BO73" i="2"/>
  <c r="BN73" i="2"/>
  <c r="BM73" i="2"/>
  <c r="Z73" i="2"/>
  <c r="Y73" i="2"/>
  <c r="P73" i="2"/>
  <c r="BO72" i="2"/>
  <c r="BN72" i="2"/>
  <c r="BM72" i="2"/>
  <c r="Z72" i="2"/>
  <c r="Z74" i="2" s="1"/>
  <c r="Y72" i="2"/>
  <c r="BP72" i="2" s="1"/>
  <c r="P72" i="2"/>
  <c r="X70" i="2"/>
  <c r="X69" i="2"/>
  <c r="BP68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Z66" i="2"/>
  <c r="Y66" i="2"/>
  <c r="BN66" i="2" s="1"/>
  <c r="P66" i="2"/>
  <c r="BO65" i="2"/>
  <c r="BM65" i="2"/>
  <c r="Y65" i="2"/>
  <c r="Y69" i="2" s="1"/>
  <c r="P65" i="2"/>
  <c r="X63" i="2"/>
  <c r="X62" i="2"/>
  <c r="BP61" i="2"/>
  <c r="BO61" i="2"/>
  <c r="BN61" i="2"/>
  <c r="BM61" i="2"/>
  <c r="Z61" i="2"/>
  <c r="Y61" i="2"/>
  <c r="P61" i="2"/>
  <c r="BO60" i="2"/>
  <c r="BN60" i="2"/>
  <c r="BM60" i="2"/>
  <c r="Z60" i="2"/>
  <c r="Y60" i="2"/>
  <c r="BP60" i="2" s="1"/>
  <c r="P60" i="2"/>
  <c r="BO59" i="2"/>
  <c r="BM59" i="2"/>
  <c r="Y59" i="2"/>
  <c r="BP59" i="2" s="1"/>
  <c r="P59" i="2"/>
  <c r="BP58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Z56" i="2"/>
  <c r="Y56" i="2"/>
  <c r="BN56" i="2" s="1"/>
  <c r="P56" i="2"/>
  <c r="X53" i="2"/>
  <c r="X52" i="2"/>
  <c r="BO51" i="2"/>
  <c r="BM51" i="2"/>
  <c r="Y51" i="2"/>
  <c r="BP51" i="2" s="1"/>
  <c r="P51" i="2"/>
  <c r="BO50" i="2"/>
  <c r="BM50" i="2"/>
  <c r="Y50" i="2"/>
  <c r="BP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Y43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Z27" i="2" s="1"/>
  <c r="P27" i="2"/>
  <c r="Y25" i="2"/>
  <c r="X25" i="2"/>
  <c r="X24" i="2"/>
  <c r="BO23" i="2"/>
  <c r="BM23" i="2"/>
  <c r="Y23" i="2"/>
  <c r="BP23" i="2" s="1"/>
  <c r="P23" i="2"/>
  <c r="BO22" i="2"/>
  <c r="X554" i="2" s="1"/>
  <c r="BM22" i="2"/>
  <c r="Y22" i="2"/>
  <c r="Y24" i="2" s="1"/>
  <c r="P22" i="2"/>
  <c r="H10" i="2"/>
  <c r="A9" i="2"/>
  <c r="F10" i="2" s="1"/>
  <c r="D7" i="2"/>
  <c r="Q6" i="2"/>
  <c r="P2" i="2"/>
  <c r="BP225" i="2" l="1"/>
  <c r="Z230" i="2"/>
  <c r="BN230" i="2"/>
  <c r="BN332" i="2"/>
  <c r="BP332" i="2"/>
  <c r="BN431" i="2"/>
  <c r="Z431" i="2"/>
  <c r="BP543" i="2"/>
  <c r="Y545" i="2"/>
  <c r="Z543" i="2"/>
  <c r="Y32" i="2"/>
  <c r="Z37" i="2"/>
  <c r="BN38" i="2"/>
  <c r="Y44" i="2"/>
  <c r="BP41" i="2"/>
  <c r="Y53" i="2"/>
  <c r="Z49" i="2"/>
  <c r="BN50" i="2"/>
  <c r="BN59" i="2"/>
  <c r="BP66" i="2"/>
  <c r="Y70" i="2"/>
  <c r="Y87" i="2"/>
  <c r="Y95" i="2"/>
  <c r="BN92" i="2"/>
  <c r="BP100" i="2"/>
  <c r="Z103" i="2"/>
  <c r="BP103" i="2"/>
  <c r="Z116" i="2"/>
  <c r="BN117" i="2"/>
  <c r="H562" i="2"/>
  <c r="Y132" i="2"/>
  <c r="Z136" i="2"/>
  <c r="BP136" i="2"/>
  <c r="BN150" i="2"/>
  <c r="Z151" i="2"/>
  <c r="BP151" i="2"/>
  <c r="Y233" i="2"/>
  <c r="BP219" i="2"/>
  <c r="Z219" i="2"/>
  <c r="Z225" i="2"/>
  <c r="BN267" i="2"/>
  <c r="BP267" i="2"/>
  <c r="Y288" i="2"/>
  <c r="BN277" i="2"/>
  <c r="BP277" i="2"/>
  <c r="Y327" i="2"/>
  <c r="BN323" i="2"/>
  <c r="Z323" i="2"/>
  <c r="BN410" i="2"/>
  <c r="BP410" i="2"/>
  <c r="Y413" i="2"/>
  <c r="Y420" i="2"/>
  <c r="BN416" i="2"/>
  <c r="BP416" i="2"/>
  <c r="Z416" i="2"/>
  <c r="W562" i="2"/>
  <c r="Y432" i="2"/>
  <c r="Z424" i="2"/>
  <c r="Y546" i="2"/>
  <c r="BN245" i="2"/>
  <c r="BP245" i="2"/>
  <c r="Z245" i="2"/>
  <c r="X556" i="2"/>
  <c r="BP29" i="2"/>
  <c r="BN31" i="2"/>
  <c r="Y62" i="2"/>
  <c r="BN149" i="2"/>
  <c r="BN169" i="2"/>
  <c r="Y172" i="2"/>
  <c r="BN177" i="2"/>
  <c r="Z177" i="2"/>
  <c r="BP182" i="2"/>
  <c r="Z182" i="2"/>
  <c r="Y195" i="2"/>
  <c r="BN194" i="2"/>
  <c r="Y196" i="2"/>
  <c r="BP194" i="2"/>
  <c r="Y211" i="2"/>
  <c r="Z205" i="2"/>
  <c r="BN237" i="2"/>
  <c r="BP237" i="2"/>
  <c r="Z237" i="2"/>
  <c r="BP269" i="2"/>
  <c r="BN269" i="2"/>
  <c r="Z269" i="2"/>
  <c r="BP279" i="2"/>
  <c r="BN279" i="2"/>
  <c r="Z279" i="2"/>
  <c r="BN301" i="2"/>
  <c r="BP301" i="2"/>
  <c r="Z301" i="2"/>
  <c r="Z352" i="2"/>
  <c r="Y355" i="2"/>
  <c r="BN352" i="2"/>
  <c r="BP393" i="2"/>
  <c r="Z393" i="2"/>
  <c r="Z405" i="2"/>
  <c r="BN405" i="2"/>
  <c r="Y412" i="2"/>
  <c r="BN427" i="2"/>
  <c r="Z427" i="2"/>
  <c r="BP447" i="2"/>
  <c r="Y450" i="2"/>
  <c r="BN447" i="2"/>
  <c r="X562" i="2"/>
  <c r="Y455" i="2"/>
  <c r="BN453" i="2"/>
  <c r="Y456" i="2"/>
  <c r="Z453" i="2"/>
  <c r="BP149" i="2"/>
  <c r="Y400" i="2"/>
  <c r="Z398" i="2"/>
  <c r="BN437" i="2"/>
  <c r="Z437" i="2"/>
  <c r="A10" i="2"/>
  <c r="X553" i="2"/>
  <c r="X555" i="2" s="1"/>
  <c r="Z23" i="2"/>
  <c r="X552" i="2"/>
  <c r="BN37" i="2"/>
  <c r="Z38" i="2"/>
  <c r="BN41" i="2"/>
  <c r="BN49" i="2"/>
  <c r="Z50" i="2"/>
  <c r="BP56" i="2"/>
  <c r="Z59" i="2"/>
  <c r="Y75" i="2"/>
  <c r="BN78" i="2"/>
  <c r="Y88" i="2"/>
  <c r="Z92" i="2"/>
  <c r="BP110" i="2"/>
  <c r="BN116" i="2"/>
  <c r="Z117" i="2"/>
  <c r="Y139" i="2"/>
  <c r="BP143" i="2"/>
  <c r="I562" i="2"/>
  <c r="Z150" i="2"/>
  <c r="BP154" i="2"/>
  <c r="BP158" i="2"/>
  <c r="Y160" i="2"/>
  <c r="J562" i="2"/>
  <c r="Z165" i="2"/>
  <c r="BN165" i="2"/>
  <c r="BP170" i="2"/>
  <c r="Z170" i="2"/>
  <c r="BP180" i="2"/>
  <c r="Z194" i="2"/>
  <c r="Z195" i="2" s="1"/>
  <c r="BN219" i="2"/>
  <c r="Z220" i="2"/>
  <c r="BN222" i="2"/>
  <c r="Z222" i="2"/>
  <c r="BP227" i="2"/>
  <c r="Z227" i="2"/>
  <c r="BP230" i="2"/>
  <c r="BP287" i="2"/>
  <c r="Z287" i="2"/>
  <c r="Y305" i="2"/>
  <c r="Z311" i="2"/>
  <c r="Z312" i="2" s="1"/>
  <c r="Y313" i="2"/>
  <c r="BN311" i="2"/>
  <c r="BN347" i="2"/>
  <c r="Z347" i="2"/>
  <c r="BP431" i="2"/>
  <c r="BP437" i="2"/>
  <c r="Z441" i="2"/>
  <c r="BN441" i="2"/>
  <c r="Y449" i="2"/>
  <c r="BN240" i="2"/>
  <c r="BN280" i="2"/>
  <c r="BP283" i="2"/>
  <c r="BN285" i="2"/>
  <c r="BP298" i="2"/>
  <c r="BN300" i="2"/>
  <c r="BP316" i="2"/>
  <c r="BN338" i="2"/>
  <c r="BP367" i="2"/>
  <c r="BP377" i="2"/>
  <c r="BP385" i="2"/>
  <c r="BP390" i="2"/>
  <c r="BN397" i="2"/>
  <c r="BP454" i="2"/>
  <c r="Y460" i="2"/>
  <c r="BP531" i="2"/>
  <c r="BP179" i="2"/>
  <c r="BN181" i="2"/>
  <c r="Y212" i="2"/>
  <c r="BP209" i="2"/>
  <c r="L562" i="2"/>
  <c r="BP224" i="2"/>
  <c r="BN226" i="2"/>
  <c r="Z260" i="2"/>
  <c r="Z262" i="2" s="1"/>
  <c r="BP265" i="2"/>
  <c r="Z268" i="2"/>
  <c r="Y274" i="2"/>
  <c r="Z278" i="2"/>
  <c r="Y304" i="2"/>
  <c r="Z322" i="2"/>
  <c r="BP322" i="2"/>
  <c r="Z333" i="2"/>
  <c r="BP341" i="2"/>
  <c r="Z348" i="2"/>
  <c r="BP346" i="2"/>
  <c r="BP363" i="2"/>
  <c r="BP373" i="2"/>
  <c r="Y381" i="2"/>
  <c r="Y388" i="2"/>
  <c r="Z385" i="2"/>
  <c r="Z392" i="2"/>
  <c r="Z394" i="2" s="1"/>
  <c r="Z399" i="2"/>
  <c r="Z411" i="2"/>
  <c r="Z425" i="2"/>
  <c r="BP426" i="2"/>
  <c r="Z435" i="2"/>
  <c r="BP436" i="2"/>
  <c r="Z448" i="2"/>
  <c r="Y476" i="2"/>
  <c r="Z562" i="2"/>
  <c r="BP485" i="2"/>
  <c r="BP489" i="2"/>
  <c r="AA562" i="2"/>
  <c r="Z504" i="2"/>
  <c r="Y513" i="2"/>
  <c r="BP521" i="2"/>
  <c r="Z531" i="2"/>
  <c r="Z532" i="2" s="1"/>
  <c r="Y536" i="2"/>
  <c r="Y541" i="2"/>
  <c r="Z204" i="2"/>
  <c r="Z215" i="2"/>
  <c r="Z216" i="2" s="1"/>
  <c r="BP215" i="2"/>
  <c r="Y217" i="2"/>
  <c r="BP240" i="2"/>
  <c r="Y247" i="2"/>
  <c r="Y248" i="2"/>
  <c r="Z270" i="2"/>
  <c r="Z280" i="2"/>
  <c r="Z300" i="2"/>
  <c r="BN316" i="2"/>
  <c r="Y319" i="2"/>
  <c r="Z324" i="2"/>
  <c r="Z338" i="2"/>
  <c r="Z341" i="2"/>
  <c r="BP391" i="2"/>
  <c r="Y419" i="2"/>
  <c r="BN429" i="2"/>
  <c r="BP464" i="2"/>
  <c r="BP501" i="2"/>
  <c r="BP511" i="2"/>
  <c r="BN544" i="2"/>
  <c r="O562" i="2"/>
  <c r="Z438" i="2"/>
  <c r="Y289" i="2"/>
  <c r="Y401" i="2"/>
  <c r="Y507" i="2"/>
  <c r="K562" i="2"/>
  <c r="Z417" i="2"/>
  <c r="Z419" i="2" s="1"/>
  <c r="Z429" i="2"/>
  <c r="Z432" i="2" s="1"/>
  <c r="Y444" i="2"/>
  <c r="Y477" i="2"/>
  <c r="Y492" i="2"/>
  <c r="BN521" i="2"/>
  <c r="BN535" i="2"/>
  <c r="Y114" i="2"/>
  <c r="Y482" i="2"/>
  <c r="M562" i="2"/>
  <c r="Y186" i="2"/>
  <c r="Z51" i="2"/>
  <c r="Z52" i="2" s="1"/>
  <c r="BN220" i="2"/>
  <c r="BN393" i="2"/>
  <c r="BN22" i="2"/>
  <c r="Y33" i="2"/>
  <c r="Z57" i="2"/>
  <c r="Z67" i="2"/>
  <c r="Y80" i="2"/>
  <c r="Z90" i="2"/>
  <c r="Z101" i="2"/>
  <c r="Z111" i="2"/>
  <c r="BN123" i="2"/>
  <c r="Z134" i="2"/>
  <c r="Z178" i="2"/>
  <c r="Z188" i="2"/>
  <c r="Z223" i="2"/>
  <c r="Y234" i="2"/>
  <c r="BN256" i="2"/>
  <c r="Z266" i="2"/>
  <c r="Z273" i="2" s="1"/>
  <c r="Z276" i="2"/>
  <c r="BN286" i="2"/>
  <c r="Z297" i="2"/>
  <c r="Z307" i="2"/>
  <c r="Z308" i="2" s="1"/>
  <c r="Y312" i="2"/>
  <c r="Z331" i="2"/>
  <c r="Z342" i="2"/>
  <c r="Y356" i="2"/>
  <c r="Z386" i="2"/>
  <c r="Z387" i="2" s="1"/>
  <c r="BN398" i="2"/>
  <c r="BN424" i="2"/>
  <c r="Y445" i="2"/>
  <c r="Z479" i="2"/>
  <c r="Y493" i="2"/>
  <c r="P562" i="2"/>
  <c r="BN152" i="2"/>
  <c r="BP141" i="2"/>
  <c r="BP175" i="2"/>
  <c r="BN228" i="2"/>
  <c r="BN238" i="2"/>
  <c r="Y241" i="2"/>
  <c r="BP250" i="2"/>
  <c r="BN291" i="2"/>
  <c r="BN302" i="2"/>
  <c r="BN325" i="2"/>
  <c r="Y364" i="2"/>
  <c r="Y374" i="2"/>
  <c r="BN403" i="2"/>
  <c r="Y406" i="2"/>
  <c r="BP417" i="2"/>
  <c r="BN462" i="2"/>
  <c r="Y465" i="2"/>
  <c r="BN474" i="2"/>
  <c r="BN499" i="2"/>
  <c r="BN509" i="2"/>
  <c r="Y512" i="2"/>
  <c r="BN519" i="2"/>
  <c r="Q562" i="2"/>
  <c r="Z98" i="2"/>
  <c r="Z141" i="2"/>
  <c r="Y63" i="2"/>
  <c r="BP152" i="2"/>
  <c r="BN163" i="2"/>
  <c r="Y166" i="2"/>
  <c r="BN183" i="2"/>
  <c r="BN207" i="2"/>
  <c r="BN261" i="2"/>
  <c r="BN271" i="2"/>
  <c r="BN281" i="2"/>
  <c r="BP339" i="2"/>
  <c r="BN361" i="2"/>
  <c r="BN371" i="2"/>
  <c r="Y522" i="2"/>
  <c r="BP22" i="2"/>
  <c r="Z30" i="2"/>
  <c r="Z42" i="2"/>
  <c r="BN57" i="2"/>
  <c r="BN67" i="2"/>
  <c r="Z77" i="2"/>
  <c r="BN90" i="2"/>
  <c r="BN101" i="2"/>
  <c r="BN111" i="2"/>
  <c r="BP123" i="2"/>
  <c r="BN134" i="2"/>
  <c r="Y145" i="2"/>
  <c r="Y156" i="2"/>
  <c r="BN178" i="2"/>
  <c r="BN188" i="2"/>
  <c r="Y191" i="2"/>
  <c r="Z198" i="2"/>
  <c r="Z199" i="2" s="1"/>
  <c r="Z210" i="2"/>
  <c r="BN223" i="2"/>
  <c r="Z231" i="2"/>
  <c r="BP256" i="2"/>
  <c r="BN266" i="2"/>
  <c r="BN276" i="2"/>
  <c r="Z284" i="2"/>
  <c r="BP286" i="2"/>
  <c r="BN297" i="2"/>
  <c r="BN307" i="2"/>
  <c r="Z317" i="2"/>
  <c r="BN331" i="2"/>
  <c r="Y334" i="2"/>
  <c r="BN342" i="2"/>
  <c r="Z353" i="2"/>
  <c r="BN386" i="2"/>
  <c r="BP398" i="2"/>
  <c r="BP424" i="2"/>
  <c r="Y433" i="2"/>
  <c r="Z442" i="2"/>
  <c r="BN479" i="2"/>
  <c r="Z490" i="2"/>
  <c r="Z502" i="2"/>
  <c r="Z549" i="2"/>
  <c r="Z550" i="2" s="1"/>
  <c r="R562" i="2"/>
  <c r="BP325" i="2"/>
  <c r="Z359" i="2"/>
  <c r="BP361" i="2"/>
  <c r="Z369" i="2"/>
  <c r="BP371" i="2"/>
  <c r="Z379" i="2"/>
  <c r="Y394" i="2"/>
  <c r="BP403" i="2"/>
  <c r="Z447" i="2"/>
  <c r="Z449" i="2" s="1"/>
  <c r="BP462" i="2"/>
  <c r="Z472" i="2"/>
  <c r="BP474" i="2"/>
  <c r="BN485" i="2"/>
  <c r="Z497" i="2"/>
  <c r="BP509" i="2"/>
  <c r="Z517" i="2"/>
  <c r="BN531" i="2"/>
  <c r="BN543" i="2"/>
  <c r="S562" i="2"/>
  <c r="Z281" i="2"/>
  <c r="BN51" i="2"/>
  <c r="BP261" i="2"/>
  <c r="BP271" i="2"/>
  <c r="BP291" i="2"/>
  <c r="BN30" i="2"/>
  <c r="BN42" i="2"/>
  <c r="Z65" i="2"/>
  <c r="BN77" i="2"/>
  <c r="BP90" i="2"/>
  <c r="Z99" i="2"/>
  <c r="Z109" i="2"/>
  <c r="Z119" i="2"/>
  <c r="Y124" i="2"/>
  <c r="BP134" i="2"/>
  <c r="Z142" i="2"/>
  <c r="Z153" i="2"/>
  <c r="Y167" i="2"/>
  <c r="Z176" i="2"/>
  <c r="BP188" i="2"/>
  <c r="BN198" i="2"/>
  <c r="BN210" i="2"/>
  <c r="Z221" i="2"/>
  <c r="BN231" i="2"/>
  <c r="Y242" i="2"/>
  <c r="Y257" i="2"/>
  <c r="BP276" i="2"/>
  <c r="BN284" i="2"/>
  <c r="BP297" i="2"/>
  <c r="BP307" i="2"/>
  <c r="BN317" i="2"/>
  <c r="BP331" i="2"/>
  <c r="Z340" i="2"/>
  <c r="BN353" i="2"/>
  <c r="Y365" i="2"/>
  <c r="Y375" i="2"/>
  <c r="Y407" i="2"/>
  <c r="BN442" i="2"/>
  <c r="Y466" i="2"/>
  <c r="BP479" i="2"/>
  <c r="BN490" i="2"/>
  <c r="BN502" i="2"/>
  <c r="Y523" i="2"/>
  <c r="Y537" i="2"/>
  <c r="BN549" i="2"/>
  <c r="T562" i="2"/>
  <c r="BN118" i="2"/>
  <c r="Z207" i="2"/>
  <c r="Z211" i="2" s="1"/>
  <c r="Z238" i="2"/>
  <c r="BN417" i="2"/>
  <c r="BP163" i="2"/>
  <c r="Y52" i="2"/>
  <c r="B562" i="2"/>
  <c r="U562" i="2"/>
  <c r="Z118" i="2"/>
  <c r="Z163" i="2"/>
  <c r="Z166" i="2" s="1"/>
  <c r="BN27" i="2"/>
  <c r="BN39" i="2"/>
  <c r="BN85" i="2"/>
  <c r="BP108" i="2"/>
  <c r="Y251" i="2"/>
  <c r="Y262" i="2"/>
  <c r="BN65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N221" i="2"/>
  <c r="Z229" i="2"/>
  <c r="Z239" i="2"/>
  <c r="Y252" i="2"/>
  <c r="Z272" i="2"/>
  <c r="Z282" i="2"/>
  <c r="Z292" i="2"/>
  <c r="Z303" i="2"/>
  <c r="Y308" i="2"/>
  <c r="Z315" i="2"/>
  <c r="BP317" i="2"/>
  <c r="Z326" i="2"/>
  <c r="BN340" i="2"/>
  <c r="Y343" i="2"/>
  <c r="Z362" i="2"/>
  <c r="Z372" i="2"/>
  <c r="Y387" i="2"/>
  <c r="Y395" i="2"/>
  <c r="Z404" i="2"/>
  <c r="Z406" i="2" s="1"/>
  <c r="Z463" i="2"/>
  <c r="Z465" i="2" s="1"/>
  <c r="Z475" i="2"/>
  <c r="Z500" i="2"/>
  <c r="Z510" i="2"/>
  <c r="Z512" i="2" s="1"/>
  <c r="Z520" i="2"/>
  <c r="BP549" i="2"/>
  <c r="C562" i="2"/>
  <c r="V562" i="2"/>
  <c r="Z22" i="2"/>
  <c r="Z24" i="2" s="1"/>
  <c r="BP302" i="2"/>
  <c r="BN23" i="2"/>
  <c r="BP37" i="2"/>
  <c r="Z58" i="2"/>
  <c r="Z68" i="2"/>
  <c r="BP83" i="2"/>
  <c r="Z91" i="2"/>
  <c r="Z102" i="2"/>
  <c r="Z112" i="2"/>
  <c r="Y125" i="2"/>
  <c r="Z135" i="2"/>
  <c r="BN148" i="2"/>
  <c r="BN158" i="2"/>
  <c r="Z169" i="2"/>
  <c r="Z179" i="2"/>
  <c r="Z189" i="2"/>
  <c r="BP205" i="2"/>
  <c r="Z224" i="2"/>
  <c r="Z244" i="2"/>
  <c r="Z247" i="2" s="1"/>
  <c r="BP246" i="2"/>
  <c r="Y258" i="2"/>
  <c r="Z267" i="2"/>
  <c r="Z277" i="2"/>
  <c r="BN287" i="2"/>
  <c r="Z298" i="2"/>
  <c r="BP323" i="2"/>
  <c r="Z332" i="2"/>
  <c r="Y348" i="2"/>
  <c r="Z367" i="2"/>
  <c r="Z374" i="2" s="1"/>
  <c r="Z377" i="2"/>
  <c r="BN399" i="2"/>
  <c r="Z410" i="2"/>
  <c r="Z412" i="2" s="1"/>
  <c r="BN425" i="2"/>
  <c r="BN435" i="2"/>
  <c r="Y438" i="2"/>
  <c r="BN458" i="2"/>
  <c r="Z470" i="2"/>
  <c r="BP472" i="2"/>
  <c r="Z480" i="2"/>
  <c r="Y486" i="2"/>
  <c r="BP497" i="2"/>
  <c r="BN505" i="2"/>
  <c r="Z515" i="2"/>
  <c r="Z522" i="2" s="1"/>
  <c r="Z527" i="2"/>
  <c r="Z528" i="2" s="1"/>
  <c r="Y532" i="2"/>
  <c r="Z539" i="2"/>
  <c r="Z540" i="2" s="1"/>
  <c r="D562" i="2"/>
  <c r="Z129" i="2"/>
  <c r="BP129" i="2"/>
  <c r="BP207" i="2"/>
  <c r="BP116" i="2"/>
  <c r="BN40" i="2"/>
  <c r="BP65" i="2"/>
  <c r="BN86" i="2"/>
  <c r="BN130" i="2"/>
  <c r="BN164" i="2"/>
  <c r="BN184" i="2"/>
  <c r="Y199" i="2"/>
  <c r="BN208" i="2"/>
  <c r="BN229" i="2"/>
  <c r="BN239" i="2"/>
  <c r="Y263" i="2"/>
  <c r="BN272" i="2"/>
  <c r="BN282" i="2"/>
  <c r="BN292" i="2"/>
  <c r="BN303" i="2"/>
  <c r="BN315" i="2"/>
  <c r="Y318" i="2"/>
  <c r="BN326" i="2"/>
  <c r="BN362" i="2"/>
  <c r="BN372" i="2"/>
  <c r="BN404" i="2"/>
  <c r="BP453" i="2"/>
  <c r="BN463" i="2"/>
  <c r="BN475" i="2"/>
  <c r="BN500" i="2"/>
  <c r="BN510" i="2"/>
  <c r="BN520" i="2"/>
  <c r="Z544" i="2"/>
  <c r="Z545" i="2" s="1"/>
  <c r="Y550" i="2"/>
  <c r="E562" i="2"/>
  <c r="Z39" i="2"/>
  <c r="BP27" i="2"/>
  <c r="BP183" i="2"/>
  <c r="Z28" i="2"/>
  <c r="Z40" i="2"/>
  <c r="F9" i="2"/>
  <c r="BN28" i="2"/>
  <c r="H9" i="2"/>
  <c r="Z31" i="2"/>
  <c r="Z78" i="2"/>
  <c r="Y94" i="2"/>
  <c r="Y105" i="2"/>
  <c r="Y138" i="2"/>
  <c r="BP148" i="2"/>
  <c r="Z232" i="2"/>
  <c r="BN244" i="2"/>
  <c r="Z255" i="2"/>
  <c r="Z257" i="2" s="1"/>
  <c r="Z285" i="2"/>
  <c r="Y344" i="2"/>
  <c r="Z354" i="2"/>
  <c r="Z397" i="2"/>
  <c r="Z443" i="2"/>
  <c r="BP458" i="2"/>
  <c r="BN470" i="2"/>
  <c r="BN480" i="2"/>
  <c r="Z491" i="2"/>
  <c r="Z492" i="2" s="1"/>
  <c r="Z503" i="2"/>
  <c r="BN515" i="2"/>
  <c r="BN527" i="2"/>
  <c r="BN539" i="2"/>
  <c r="F562" i="2"/>
  <c r="Y562" i="2"/>
  <c r="Z291" i="2"/>
  <c r="BP228" i="2"/>
  <c r="J9" i="2"/>
  <c r="Y120" i="2"/>
  <c r="Y349" i="2"/>
  <c r="Y439" i="2"/>
  <c r="Y487" i="2"/>
  <c r="G562" i="2"/>
  <c r="BN108" i="2"/>
  <c r="BN141" i="2"/>
  <c r="BN443" i="2"/>
  <c r="Z454" i="2"/>
  <c r="Z455" i="2" s="1"/>
  <c r="BN491" i="2"/>
  <c r="BN503" i="2"/>
  <c r="Y506" i="2"/>
  <c r="BP527" i="2"/>
  <c r="BP539" i="2"/>
  <c r="Y551" i="2"/>
  <c r="Z85" i="2"/>
  <c r="Z87" i="2" s="1"/>
  <c r="Y155" i="2"/>
  <c r="BN129" i="2"/>
  <c r="BP39" i="2"/>
  <c r="Y106" i="2"/>
  <c r="Y185" i="2"/>
  <c r="Y273" i="2"/>
  <c r="AB562" i="2"/>
  <c r="Z108" i="2"/>
  <c r="BN98" i="2"/>
  <c r="Z293" i="2" l="1"/>
  <c r="Z400" i="2"/>
  <c r="Z32" i="2"/>
  <c r="Z43" i="2"/>
  <c r="Z171" i="2"/>
  <c r="Z241" i="2"/>
  <c r="Z343" i="2"/>
  <c r="Z155" i="2"/>
  <c r="Y556" i="2"/>
  <c r="Z444" i="2"/>
  <c r="Z94" i="2"/>
  <c r="Z355" i="2"/>
  <c r="Z131" i="2"/>
  <c r="Z327" i="2"/>
  <c r="Z120" i="2"/>
  <c r="Z233" i="2"/>
  <c r="Z185" i="2"/>
  <c r="Z364" i="2"/>
  <c r="Y552" i="2"/>
  <c r="Z138" i="2"/>
  <c r="Z334" i="2"/>
  <c r="Z79" i="2"/>
  <c r="Z62" i="2"/>
  <c r="Z144" i="2"/>
  <c r="Z105" i="2"/>
  <c r="Z304" i="2"/>
  <c r="Y553" i="2"/>
  <c r="Z476" i="2"/>
  <c r="Z318" i="2"/>
  <c r="Z506" i="2"/>
  <c r="Z288" i="2"/>
  <c r="Y554" i="2"/>
  <c r="Z113" i="2"/>
  <c r="Z69" i="2"/>
  <c r="Z191" i="2"/>
  <c r="Z381" i="2"/>
  <c r="Z481" i="2"/>
  <c r="Z557" i="2" l="1"/>
  <c r="Y555" i="2"/>
</calcChain>
</file>

<file path=xl/sharedStrings.xml><?xml version="1.0" encoding="utf-8"?>
<sst xmlns="http://schemas.openxmlformats.org/spreadsheetml/2006/main" count="4234" uniqueCount="908">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</sst>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F2" zoomScaleNormal="100" zoomScaleSheetLayoutView="100" workbookViewId="0">
      <selection activeCell="Q8" sqref="Q8:R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46258</v>
      </c>
      <c r="R5" s="996"/>
      <c r="T5" s="997" t="s">
        <v>3</v>
      </c>
      <c r="U5" s="998"/>
      <c r="V5" s="999" t="s">
        <v>868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/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2" t="s">
        <v>45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54"/>
      <c r="AB34" s="54"/>
      <c r="AC34" s="54"/>
    </row>
    <row r="35" spans="1:68" ht="16.5" customHeight="1" x14ac:dyDescent="0.25">
      <c r="A35" s="655" t="s">
        <v>104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"/>
      <c r="AB35" s="65"/>
      <c r="AC35" s="79"/>
    </row>
    <row r="36" spans="1:68" ht="14.25" customHeight="1" x14ac:dyDescent="0.25">
      <c r="A36" s="656" t="s">
        <v>86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651">
        <v>4680115889590</v>
      </c>
      <c r="E37" s="65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53"/>
      <c r="R37" s="653"/>
      <c r="S37" s="653"/>
      <c r="T37" s="65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651">
        <v>4680115889354</v>
      </c>
      <c r="E38" s="65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53"/>
      <c r="R38" s="653"/>
      <c r="S38" s="653"/>
      <c r="T38" s="65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651">
        <v>4680115888463</v>
      </c>
      <c r="E39" s="65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53"/>
      <c r="R39" s="653"/>
      <c r="S39" s="653"/>
      <c r="T39" s="65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651">
        <v>4680115888494</v>
      </c>
      <c r="E40" s="65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3"/>
      <c r="R40" s="653"/>
      <c r="S40" s="653"/>
      <c r="T40" s="65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651">
        <v>4680115888272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651">
        <v>4680115888364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645"/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6"/>
      <c r="P43" s="642" t="s">
        <v>40</v>
      </c>
      <c r="Q43" s="643"/>
      <c r="R43" s="643"/>
      <c r="S43" s="643"/>
      <c r="T43" s="643"/>
      <c r="U43" s="643"/>
      <c r="V43" s="64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45"/>
      <c r="B44" s="645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6"/>
      <c r="P44" s="642" t="s">
        <v>40</v>
      </c>
      <c r="Q44" s="643"/>
      <c r="R44" s="643"/>
      <c r="S44" s="643"/>
      <c r="T44" s="643"/>
      <c r="U44" s="643"/>
      <c r="V44" s="64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662" t="s">
        <v>123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54"/>
      <c r="AB45" s="54"/>
      <c r="AC45" s="54"/>
    </row>
    <row r="46" spans="1:68" ht="16.5" customHeight="1" x14ac:dyDescent="0.25">
      <c r="A46" s="655" t="s">
        <v>124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"/>
      <c r="AB46" s="65"/>
      <c r="AC46" s="79"/>
    </row>
    <row r="47" spans="1:68" ht="14.25" customHeight="1" x14ac:dyDescent="0.25">
      <c r="A47" s="656" t="s">
        <v>125</v>
      </c>
      <c r="B47" s="656"/>
      <c r="C47" s="656"/>
      <c r="D47" s="656"/>
      <c r="E47" s="656"/>
      <c r="F47" s="656"/>
      <c r="G47" s="656"/>
      <c r="H47" s="656"/>
      <c r="I47" s="656"/>
      <c r="J47" s="656"/>
      <c r="K47" s="656"/>
      <c r="L47" s="656"/>
      <c r="M47" s="656"/>
      <c r="N47" s="656"/>
      <c r="O47" s="656"/>
      <c r="P47" s="656"/>
      <c r="Q47" s="656"/>
      <c r="R47" s="656"/>
      <c r="S47" s="656"/>
      <c r="T47" s="656"/>
      <c r="U47" s="656"/>
      <c r="V47" s="656"/>
      <c r="W47" s="656"/>
      <c r="X47" s="656"/>
      <c r="Y47" s="656"/>
      <c r="Z47" s="656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51">
        <v>4607091385670</v>
      </c>
      <c r="E48" s="65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3"/>
      <c r="R48" s="653"/>
      <c r="S48" s="653"/>
      <c r="T48" s="65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651">
        <v>4680115887725</v>
      </c>
      <c r="E49" s="65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3"/>
      <c r="R49" s="653"/>
      <c r="S49" s="653"/>
      <c r="T49" s="65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651">
        <v>4607091385687</v>
      </c>
      <c r="E50" s="65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1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3"/>
      <c r="R50" s="653"/>
      <c r="S50" s="653"/>
      <c r="T50" s="65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651">
        <v>4680115882539</v>
      </c>
      <c r="E51" s="65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5"/>
      <c r="B52" s="645"/>
      <c r="C52" s="645"/>
      <c r="D52" s="645"/>
      <c r="E52" s="645"/>
      <c r="F52" s="645"/>
      <c r="G52" s="645"/>
      <c r="H52" s="645"/>
      <c r="I52" s="645"/>
      <c r="J52" s="645"/>
      <c r="K52" s="645"/>
      <c r="L52" s="645"/>
      <c r="M52" s="645"/>
      <c r="N52" s="645"/>
      <c r="O52" s="646"/>
      <c r="P52" s="642" t="s">
        <v>40</v>
      </c>
      <c r="Q52" s="643"/>
      <c r="R52" s="643"/>
      <c r="S52" s="643"/>
      <c r="T52" s="643"/>
      <c r="U52" s="643"/>
      <c r="V52" s="64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645"/>
      <c r="B53" s="645"/>
      <c r="C53" s="645"/>
      <c r="D53" s="645"/>
      <c r="E53" s="645"/>
      <c r="F53" s="645"/>
      <c r="G53" s="645"/>
      <c r="H53" s="645"/>
      <c r="I53" s="645"/>
      <c r="J53" s="645"/>
      <c r="K53" s="645"/>
      <c r="L53" s="645"/>
      <c r="M53" s="645"/>
      <c r="N53" s="645"/>
      <c r="O53" s="646"/>
      <c r="P53" s="642" t="s">
        <v>40</v>
      </c>
      <c r="Q53" s="643"/>
      <c r="R53" s="643"/>
      <c r="S53" s="643"/>
      <c r="T53" s="643"/>
      <c r="U53" s="643"/>
      <c r="V53" s="64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5" t="s">
        <v>140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"/>
      <c r="AB54" s="65"/>
      <c r="AC54" s="79"/>
    </row>
    <row r="55" spans="1:68" ht="14.25" customHeight="1" x14ac:dyDescent="0.25">
      <c r="A55" s="656" t="s">
        <v>125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656"/>
      <c r="N55" s="656"/>
      <c r="O55" s="656"/>
      <c r="P55" s="656"/>
      <c r="Q55" s="656"/>
      <c r="R55" s="656"/>
      <c r="S55" s="656"/>
      <c r="T55" s="656"/>
      <c r="U55" s="656"/>
      <c r="V55" s="656"/>
      <c r="W55" s="656"/>
      <c r="X55" s="656"/>
      <c r="Y55" s="656"/>
      <c r="Z55" s="656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651">
        <v>4680115885882</v>
      </c>
      <c r="E56" s="65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9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3"/>
      <c r="R56" s="653"/>
      <c r="S56" s="653"/>
      <c r="T56" s="65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51">
        <v>4680115881426</v>
      </c>
      <c r="E57" s="65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3"/>
      <c r="R57" s="653"/>
      <c r="S57" s="653"/>
      <c r="T57" s="65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651">
        <v>4680115880283</v>
      </c>
      <c r="E58" s="65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9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651">
        <v>4680115881525</v>
      </c>
      <c r="E59" s="65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651">
        <v>4680115885899</v>
      </c>
      <c r="E60" s="65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51">
        <v>4680115881419</v>
      </c>
      <c r="E61" s="65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9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5"/>
      <c r="B62" s="645"/>
      <c r="C62" s="645"/>
      <c r="D62" s="645"/>
      <c r="E62" s="645"/>
      <c r="F62" s="645"/>
      <c r="G62" s="645"/>
      <c r="H62" s="645"/>
      <c r="I62" s="645"/>
      <c r="J62" s="645"/>
      <c r="K62" s="645"/>
      <c r="L62" s="645"/>
      <c r="M62" s="645"/>
      <c r="N62" s="645"/>
      <c r="O62" s="646"/>
      <c r="P62" s="642" t="s">
        <v>40</v>
      </c>
      <c r="Q62" s="643"/>
      <c r="R62" s="643"/>
      <c r="S62" s="643"/>
      <c r="T62" s="643"/>
      <c r="U62" s="643"/>
      <c r="V62" s="64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45"/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5"/>
      <c r="N63" s="645"/>
      <c r="O63" s="646"/>
      <c r="P63" s="642" t="s">
        <v>40</v>
      </c>
      <c r="Q63" s="643"/>
      <c r="R63" s="643"/>
      <c r="S63" s="643"/>
      <c r="T63" s="643"/>
      <c r="U63" s="643"/>
      <c r="V63" s="64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6" t="s">
        <v>158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651">
        <v>4680115881440</v>
      </c>
      <c r="E65" s="65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9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651">
        <v>4680115885950</v>
      </c>
      <c r="E66" s="65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651">
        <v>4680115887688</v>
      </c>
      <c r="E67" s="65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9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3"/>
      <c r="R67" s="653"/>
      <c r="S67" s="653"/>
      <c r="T67" s="65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651">
        <v>4680115881433</v>
      </c>
      <c r="E68" s="65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9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3"/>
      <c r="R68" s="653"/>
      <c r="S68" s="653"/>
      <c r="T68" s="65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5"/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6"/>
      <c r="P69" s="642" t="s">
        <v>40</v>
      </c>
      <c r="Q69" s="643"/>
      <c r="R69" s="643"/>
      <c r="S69" s="643"/>
      <c r="T69" s="643"/>
      <c r="U69" s="643"/>
      <c r="V69" s="6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45"/>
      <c r="B70" s="645"/>
      <c r="C70" s="645"/>
      <c r="D70" s="645"/>
      <c r="E70" s="645"/>
      <c r="F70" s="645"/>
      <c r="G70" s="645"/>
      <c r="H70" s="645"/>
      <c r="I70" s="645"/>
      <c r="J70" s="645"/>
      <c r="K70" s="645"/>
      <c r="L70" s="645"/>
      <c r="M70" s="645"/>
      <c r="N70" s="645"/>
      <c r="O70" s="646"/>
      <c r="P70" s="642" t="s">
        <v>40</v>
      </c>
      <c r="Q70" s="643"/>
      <c r="R70" s="643"/>
      <c r="S70" s="643"/>
      <c r="T70" s="643"/>
      <c r="U70" s="643"/>
      <c r="V70" s="6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6" t="s">
        <v>86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651">
        <v>4680115884311</v>
      </c>
      <c r="E72" s="65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651">
        <v>4680115884403</v>
      </c>
      <c r="E73" s="65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6" t="s">
        <v>175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651">
        <v>4680115881532</v>
      </c>
      <c r="E77" s="65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9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651">
        <v>4680115881464</v>
      </c>
      <c r="E78" s="65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9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5" t="s">
        <v>182</v>
      </c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"/>
      <c r="AB81" s="65"/>
      <c r="AC81" s="79"/>
    </row>
    <row r="82" spans="1:68" ht="14.25" customHeight="1" x14ac:dyDescent="0.25">
      <c r="A82" s="656" t="s">
        <v>125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651">
        <v>4680115881327</v>
      </c>
      <c r="E83" s="65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9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651">
        <v>4680115887732</v>
      </c>
      <c r="E84" s="65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3"/>
      <c r="R84" s="653"/>
      <c r="S84" s="653"/>
      <c r="T84" s="65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651">
        <v>4680115881518</v>
      </c>
      <c r="E85" s="65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8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3"/>
      <c r="R85" s="653"/>
      <c r="S85" s="653"/>
      <c r="T85" s="65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51">
        <v>4680115881303</v>
      </c>
      <c r="E86" s="65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89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3"/>
      <c r="R86" s="653"/>
      <c r="S86" s="653"/>
      <c r="T86" s="65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5"/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6"/>
      <c r="P87" s="642" t="s">
        <v>40</v>
      </c>
      <c r="Q87" s="643"/>
      <c r="R87" s="643"/>
      <c r="S87" s="643"/>
      <c r="T87" s="643"/>
      <c r="U87" s="643"/>
      <c r="V87" s="64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45"/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6"/>
      <c r="P88" s="642" t="s">
        <v>40</v>
      </c>
      <c r="Q88" s="643"/>
      <c r="R88" s="643"/>
      <c r="S88" s="643"/>
      <c r="T88" s="643"/>
      <c r="U88" s="643"/>
      <c r="V88" s="64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6" t="s">
        <v>86</v>
      </c>
      <c r="B89" s="656"/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656"/>
      <c r="Z89" s="656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51">
        <v>4607091386967</v>
      </c>
      <c r="E90" s="65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651">
        <v>4680115884953</v>
      </c>
      <c r="E91" s="65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51">
        <v>4607091385731</v>
      </c>
      <c r="E92" s="65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3"/>
      <c r="R92" s="653"/>
      <c r="S92" s="653"/>
      <c r="T92" s="65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651">
        <v>4680115880894</v>
      </c>
      <c r="E93" s="65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3"/>
      <c r="R93" s="653"/>
      <c r="S93" s="653"/>
      <c r="T93" s="65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5"/>
      <c r="B94" s="645"/>
      <c r="C94" s="645"/>
      <c r="D94" s="645"/>
      <c r="E94" s="645"/>
      <c r="F94" s="645"/>
      <c r="G94" s="645"/>
      <c r="H94" s="645"/>
      <c r="I94" s="645"/>
      <c r="J94" s="645"/>
      <c r="K94" s="645"/>
      <c r="L94" s="645"/>
      <c r="M94" s="645"/>
      <c r="N94" s="645"/>
      <c r="O94" s="646"/>
      <c r="P94" s="642" t="s">
        <v>40</v>
      </c>
      <c r="Q94" s="643"/>
      <c r="R94" s="643"/>
      <c r="S94" s="643"/>
      <c r="T94" s="643"/>
      <c r="U94" s="643"/>
      <c r="V94" s="64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45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42" t="s">
        <v>40</v>
      </c>
      <c r="Q95" s="643"/>
      <c r="R95" s="643"/>
      <c r="S95" s="643"/>
      <c r="T95" s="643"/>
      <c r="U95" s="643"/>
      <c r="V95" s="64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5" t="s">
        <v>203</v>
      </c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"/>
      <c r="AB96" s="65"/>
      <c r="AC96" s="79"/>
    </row>
    <row r="97" spans="1:68" ht="14.25" customHeight="1" x14ac:dyDescent="0.25">
      <c r="A97" s="656" t="s">
        <v>125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651">
        <v>4680115882133</v>
      </c>
      <c r="E98" s="65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651">
        <v>4680115887718</v>
      </c>
      <c r="E99" s="65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9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3"/>
      <c r="R99" s="653"/>
      <c r="S99" s="653"/>
      <c r="T99" s="65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651">
        <v>4680115887718</v>
      </c>
      <c r="E100" s="65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3"/>
      <c r="R100" s="653"/>
      <c r="S100" s="653"/>
      <c r="T100" s="65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651">
        <v>4680115887718</v>
      </c>
      <c r="E101" s="65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3"/>
      <c r="R101" s="653"/>
      <c r="S101" s="653"/>
      <c r="T101" s="65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651">
        <v>4680115880269</v>
      </c>
      <c r="E102" s="65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3"/>
      <c r="R102" s="653"/>
      <c r="S102" s="653"/>
      <c r="T102" s="65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651">
        <v>4680115880429</v>
      </c>
      <c r="E103" s="65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8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651">
        <v>4680115881457</v>
      </c>
      <c r="E104" s="65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5"/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6"/>
      <c r="P105" s="642" t="s">
        <v>40</v>
      </c>
      <c r="Q105" s="643"/>
      <c r="R105" s="643"/>
      <c r="S105" s="643"/>
      <c r="T105" s="643"/>
      <c r="U105" s="643"/>
      <c r="V105" s="64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5"/>
      <c r="B106" s="645"/>
      <c r="C106" s="645"/>
      <c r="D106" s="645"/>
      <c r="E106" s="645"/>
      <c r="F106" s="645"/>
      <c r="G106" s="645"/>
      <c r="H106" s="645"/>
      <c r="I106" s="645"/>
      <c r="J106" s="645"/>
      <c r="K106" s="645"/>
      <c r="L106" s="645"/>
      <c r="M106" s="645"/>
      <c r="N106" s="645"/>
      <c r="O106" s="646"/>
      <c r="P106" s="642" t="s">
        <v>40</v>
      </c>
      <c r="Q106" s="643"/>
      <c r="R106" s="643"/>
      <c r="S106" s="643"/>
      <c r="T106" s="643"/>
      <c r="U106" s="643"/>
      <c r="V106" s="64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6" t="s">
        <v>158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6"/>
      <c r="N107" s="656"/>
      <c r="O107" s="656"/>
      <c r="P107" s="656"/>
      <c r="Q107" s="656"/>
      <c r="R107" s="656"/>
      <c r="S107" s="656"/>
      <c r="T107" s="656"/>
      <c r="U107" s="656"/>
      <c r="V107" s="656"/>
      <c r="W107" s="656"/>
      <c r="X107" s="656"/>
      <c r="Y107" s="656"/>
      <c r="Z107" s="656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651">
        <v>4680115881488</v>
      </c>
      <c r="E108" s="65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651">
        <v>4680115887664</v>
      </c>
      <c r="E109" s="65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3"/>
      <c r="R109" s="653"/>
      <c r="S109" s="653"/>
      <c r="T109" s="65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651">
        <v>4680115887664</v>
      </c>
      <c r="E110" s="65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3"/>
      <c r="R110" s="653"/>
      <c r="S110" s="653"/>
      <c r="T110" s="65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651">
        <v>4680115882775</v>
      </c>
      <c r="E111" s="65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3"/>
      <c r="R111" s="653"/>
      <c r="S111" s="653"/>
      <c r="T111" s="65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651">
        <v>4680115880658</v>
      </c>
      <c r="E112" s="65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8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5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42" t="s">
        <v>40</v>
      </c>
      <c r="Q113" s="643"/>
      <c r="R113" s="643"/>
      <c r="S113" s="643"/>
      <c r="T113" s="643"/>
      <c r="U113" s="643"/>
      <c r="V113" s="64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42" t="s">
        <v>40</v>
      </c>
      <c r="Q114" s="643"/>
      <c r="R114" s="643"/>
      <c r="S114" s="643"/>
      <c r="T114" s="643"/>
      <c r="U114" s="643"/>
      <c r="V114" s="64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6" t="s">
        <v>86</v>
      </c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51">
        <v>4607091385168</v>
      </c>
      <c r="E116" s="65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651">
        <v>4607091383256</v>
      </c>
      <c r="E117" s="65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3"/>
      <c r="R117" s="653"/>
      <c r="S117" s="653"/>
      <c r="T117" s="65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51">
        <v>4607091385748</v>
      </c>
      <c r="E118" s="65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3"/>
      <c r="R118" s="653"/>
      <c r="S118" s="653"/>
      <c r="T118" s="65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651">
        <v>4680115884533</v>
      </c>
      <c r="E119" s="65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3"/>
      <c r="R119" s="653"/>
      <c r="S119" s="653"/>
      <c r="T119" s="65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5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42" t="s">
        <v>40</v>
      </c>
      <c r="Q120" s="643"/>
      <c r="R120" s="643"/>
      <c r="S120" s="643"/>
      <c r="T120" s="643"/>
      <c r="U120" s="643"/>
      <c r="V120" s="64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42" t="s">
        <v>40</v>
      </c>
      <c r="Q121" s="643"/>
      <c r="R121" s="643"/>
      <c r="S121" s="643"/>
      <c r="T121" s="643"/>
      <c r="U121" s="643"/>
      <c r="V121" s="64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6" t="s">
        <v>175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6"/>
      <c r="P122" s="656"/>
      <c r="Q122" s="656"/>
      <c r="R122" s="656"/>
      <c r="S122" s="656"/>
      <c r="T122" s="656"/>
      <c r="U122" s="656"/>
      <c r="V122" s="656"/>
      <c r="W122" s="656"/>
      <c r="X122" s="656"/>
      <c r="Y122" s="656"/>
      <c r="Z122" s="656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651">
        <v>4680115880238</v>
      </c>
      <c r="E123" s="65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5" t="s">
        <v>243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"/>
      <c r="AB126" s="65"/>
      <c r="AC126" s="79"/>
    </row>
    <row r="127" spans="1:68" ht="14.25" customHeight="1" x14ac:dyDescent="0.25">
      <c r="A127" s="656" t="s">
        <v>125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651">
        <v>4680115888784</v>
      </c>
      <c r="E128" s="65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3"/>
      <c r="R128" s="653"/>
      <c r="S128" s="653"/>
      <c r="T128" s="65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249</v>
      </c>
      <c r="C129" s="36">
        <v>4301011562</v>
      </c>
      <c r="D129" s="651">
        <v>4680115882577</v>
      </c>
      <c r="E129" s="65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3"/>
      <c r="R129" s="653"/>
      <c r="S129" s="653"/>
      <c r="T129" s="65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651">
        <v>4680115882577</v>
      </c>
      <c r="E130" s="65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3"/>
      <c r="R130" s="653"/>
      <c r="S130" s="653"/>
      <c r="T130" s="65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5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42" t="s">
        <v>40</v>
      </c>
      <c r="Q131" s="643"/>
      <c r="R131" s="643"/>
      <c r="S131" s="643"/>
      <c r="T131" s="643"/>
      <c r="U131" s="643"/>
      <c r="V131" s="644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42" t="s">
        <v>40</v>
      </c>
      <c r="Q132" s="643"/>
      <c r="R132" s="643"/>
      <c r="S132" s="643"/>
      <c r="T132" s="643"/>
      <c r="U132" s="643"/>
      <c r="V132" s="644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6" t="s">
        <v>77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6"/>
      <c r="P133" s="656"/>
      <c r="Q133" s="656"/>
      <c r="R133" s="656"/>
      <c r="S133" s="656"/>
      <c r="T133" s="656"/>
      <c r="U133" s="656"/>
      <c r="V133" s="656"/>
      <c r="W133" s="656"/>
      <c r="X133" s="656"/>
      <c r="Y133" s="656"/>
      <c r="Z133" s="656"/>
      <c r="AA133" s="66"/>
      <c r="AB133" s="66"/>
      <c r="AC133" s="80"/>
    </row>
    <row r="134" spans="1:68" ht="16.5" customHeight="1" x14ac:dyDescent="0.25">
      <c r="A134" s="63" t="s">
        <v>253</v>
      </c>
      <c r="B134" s="63" t="s">
        <v>254</v>
      </c>
      <c r="C134" s="36">
        <v>4301031506</v>
      </c>
      <c r="D134" s="651">
        <v>4680115888913</v>
      </c>
      <c r="E134" s="65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8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651">
        <v>4680115883444</v>
      </c>
      <c r="E135" s="65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259</v>
      </c>
      <c r="C136" s="36">
        <v>4301031235</v>
      </c>
      <c r="D136" s="651">
        <v>4680115883444</v>
      </c>
      <c r="E136" s="65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3"/>
      <c r="R136" s="653"/>
      <c r="S136" s="653"/>
      <c r="T136" s="65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260</v>
      </c>
      <c r="B137" s="63" t="s">
        <v>261</v>
      </c>
      <c r="C137" s="36">
        <v>4301031504</v>
      </c>
      <c r="D137" s="651">
        <v>4680115888920</v>
      </c>
      <c r="E137" s="65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3"/>
      <c r="R137" s="653"/>
      <c r="S137" s="653"/>
      <c r="T137" s="65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42" t="s">
        <v>40</v>
      </c>
      <c r="Q138" s="643"/>
      <c r="R138" s="643"/>
      <c r="S138" s="643"/>
      <c r="T138" s="643"/>
      <c r="U138" s="643"/>
      <c r="V138" s="644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645"/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6"/>
      <c r="P139" s="642" t="s">
        <v>40</v>
      </c>
      <c r="Q139" s="643"/>
      <c r="R139" s="643"/>
      <c r="S139" s="643"/>
      <c r="T139" s="643"/>
      <c r="U139" s="643"/>
      <c r="V139" s="644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6" t="s">
        <v>86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6"/>
      <c r="AB140" s="66"/>
      <c r="AC140" s="80"/>
    </row>
    <row r="141" spans="1:68" ht="16.5" customHeight="1" x14ac:dyDescent="0.25">
      <c r="A141" s="63" t="s">
        <v>262</v>
      </c>
      <c r="B141" s="63" t="s">
        <v>263</v>
      </c>
      <c r="C141" s="36">
        <v>4301052219</v>
      </c>
      <c r="D141" s="651">
        <v>4680115888944</v>
      </c>
      <c r="E141" s="65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87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651">
        <v>4680115882584</v>
      </c>
      <c r="E142" s="65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6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266</v>
      </c>
      <c r="C143" s="36">
        <v>4301051477</v>
      </c>
      <c r="D143" s="651">
        <v>4680115882584</v>
      </c>
      <c r="E143" s="65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6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3"/>
      <c r="R143" s="653"/>
      <c r="S143" s="653"/>
      <c r="T143" s="65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645"/>
      <c r="B145" s="645"/>
      <c r="C145" s="645"/>
      <c r="D145" s="645"/>
      <c r="E145" s="645"/>
      <c r="F145" s="645"/>
      <c r="G145" s="645"/>
      <c r="H145" s="645"/>
      <c r="I145" s="645"/>
      <c r="J145" s="645"/>
      <c r="K145" s="645"/>
      <c r="L145" s="645"/>
      <c r="M145" s="645"/>
      <c r="N145" s="645"/>
      <c r="O145" s="646"/>
      <c r="P145" s="642" t="s">
        <v>40</v>
      </c>
      <c r="Q145" s="643"/>
      <c r="R145" s="643"/>
      <c r="S145" s="643"/>
      <c r="T145" s="643"/>
      <c r="U145" s="643"/>
      <c r="V145" s="644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5" t="s">
        <v>267</v>
      </c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"/>
      <c r="AB146" s="65"/>
      <c r="AC146" s="79"/>
    </row>
    <row r="147" spans="1:68" ht="14.25" customHeight="1" x14ac:dyDescent="0.25">
      <c r="A147" s="656" t="s">
        <v>86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6"/>
      <c r="AB147" s="66"/>
      <c r="AC147" s="80"/>
    </row>
    <row r="148" spans="1:68" ht="27" customHeight="1" x14ac:dyDescent="0.25">
      <c r="A148" s="63" t="s">
        <v>268</v>
      </c>
      <c r="B148" s="63" t="s">
        <v>269</v>
      </c>
      <c r="C148" s="36">
        <v>4301052254</v>
      </c>
      <c r="D148" s="651">
        <v>4680115888203</v>
      </c>
      <c r="E148" s="65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6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271</v>
      </c>
      <c r="B149" s="63" t="s">
        <v>272</v>
      </c>
      <c r="C149" s="36">
        <v>4301052172</v>
      </c>
      <c r="D149" s="651">
        <v>4680115888180</v>
      </c>
      <c r="E149" s="65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271</v>
      </c>
      <c r="B150" s="63" t="s">
        <v>274</v>
      </c>
      <c r="C150" s="36">
        <v>4301052252</v>
      </c>
      <c r="D150" s="651">
        <v>4680115888180</v>
      </c>
      <c r="E150" s="65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3"/>
      <c r="R150" s="653"/>
      <c r="S150" s="653"/>
      <c r="T150" s="65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275</v>
      </c>
      <c r="B151" s="63" t="s">
        <v>276</v>
      </c>
      <c r="C151" s="36">
        <v>4301052173</v>
      </c>
      <c r="D151" s="651">
        <v>4680115888197</v>
      </c>
      <c r="E151" s="65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3"/>
      <c r="R151" s="653"/>
      <c r="S151" s="653"/>
      <c r="T151" s="65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275</v>
      </c>
      <c r="B152" s="63" t="s">
        <v>278</v>
      </c>
      <c r="C152" s="36">
        <v>4301052253</v>
      </c>
      <c r="D152" s="651">
        <v>4680115888197</v>
      </c>
      <c r="E152" s="65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6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3"/>
      <c r="R152" s="653"/>
      <c r="S152" s="653"/>
      <c r="T152" s="65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651">
        <v>4680115888210</v>
      </c>
      <c r="E153" s="65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3"/>
      <c r="R153" s="653"/>
      <c r="S153" s="653"/>
      <c r="T153" s="65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279</v>
      </c>
      <c r="B154" s="63" t="s">
        <v>282</v>
      </c>
      <c r="C154" s="36">
        <v>4301052255</v>
      </c>
      <c r="D154" s="651">
        <v>4680115888210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645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42" t="s">
        <v>40</v>
      </c>
      <c r="Q155" s="643"/>
      <c r="R155" s="643"/>
      <c r="S155" s="643"/>
      <c r="T155" s="643"/>
      <c r="U155" s="643"/>
      <c r="V155" s="644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42" t="s">
        <v>40</v>
      </c>
      <c r="Q156" s="643"/>
      <c r="R156" s="643"/>
      <c r="S156" s="643"/>
      <c r="T156" s="643"/>
      <c r="U156" s="643"/>
      <c r="V156" s="644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6" t="s">
        <v>283</v>
      </c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6"/>
      <c r="P157" s="656"/>
      <c r="Q157" s="656"/>
      <c r="R157" s="656"/>
      <c r="S157" s="656"/>
      <c r="T157" s="656"/>
      <c r="U157" s="656"/>
      <c r="V157" s="656"/>
      <c r="W157" s="656"/>
      <c r="X157" s="656"/>
      <c r="Y157" s="656"/>
      <c r="Z157" s="656"/>
      <c r="AA157" s="66"/>
      <c r="AB157" s="66"/>
      <c r="AC157" s="80"/>
    </row>
    <row r="158" spans="1:68" ht="27" customHeight="1" x14ac:dyDescent="0.25">
      <c r="A158" s="63" t="s">
        <v>284</v>
      </c>
      <c r="B158" s="63" t="s">
        <v>285</v>
      </c>
      <c r="C158" s="36">
        <v>4301032067</v>
      </c>
      <c r="D158" s="651">
        <v>4680115889132</v>
      </c>
      <c r="E158" s="65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3"/>
      <c r="R158" s="653"/>
      <c r="S158" s="653"/>
      <c r="T158" s="65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42" t="s">
        <v>40</v>
      </c>
      <c r="Q160" s="643"/>
      <c r="R160" s="643"/>
      <c r="S160" s="643"/>
      <c r="T160" s="643"/>
      <c r="U160" s="643"/>
      <c r="V160" s="644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5" t="s">
        <v>123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"/>
      <c r="AB161" s="65"/>
      <c r="AC161" s="79"/>
    </row>
    <row r="162" spans="1:68" ht="14.25" customHeight="1" x14ac:dyDescent="0.25">
      <c r="A162" s="656" t="s">
        <v>125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6"/>
      <c r="AB162" s="66"/>
      <c r="AC162" s="80"/>
    </row>
    <row r="163" spans="1:68" ht="27" customHeight="1" x14ac:dyDescent="0.25">
      <c r="A163" s="63" t="s">
        <v>290</v>
      </c>
      <c r="B163" s="63" t="s">
        <v>291</v>
      </c>
      <c r="C163" s="36">
        <v>4301012338</v>
      </c>
      <c r="D163" s="651">
        <v>4680115887374</v>
      </c>
      <c r="E163" s="65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85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3"/>
      <c r="R163" s="653"/>
      <c r="S163" s="653"/>
      <c r="T163" s="65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293</v>
      </c>
      <c r="B164" s="63" t="s">
        <v>294</v>
      </c>
      <c r="C164" s="36">
        <v>4301011705</v>
      </c>
      <c r="D164" s="651">
        <v>4607091384604</v>
      </c>
      <c r="E164" s="65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3"/>
      <c r="R164" s="653"/>
      <c r="S164" s="653"/>
      <c r="T164" s="65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296</v>
      </c>
      <c r="B165" s="63" t="s">
        <v>297</v>
      </c>
      <c r="C165" s="36">
        <v>4301012344</v>
      </c>
      <c r="D165" s="651">
        <v>4680115888876</v>
      </c>
      <c r="E165" s="65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3"/>
      <c r="R165" s="653"/>
      <c r="S165" s="653"/>
      <c r="T165" s="65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45"/>
      <c r="B166" s="645"/>
      <c r="C166" s="645"/>
      <c r="D166" s="645"/>
      <c r="E166" s="645"/>
      <c r="F166" s="645"/>
      <c r="G166" s="645"/>
      <c r="H166" s="645"/>
      <c r="I166" s="645"/>
      <c r="J166" s="645"/>
      <c r="K166" s="645"/>
      <c r="L166" s="645"/>
      <c r="M166" s="645"/>
      <c r="N166" s="645"/>
      <c r="O166" s="646"/>
      <c r="P166" s="642" t="s">
        <v>40</v>
      </c>
      <c r="Q166" s="643"/>
      <c r="R166" s="643"/>
      <c r="S166" s="643"/>
      <c r="T166" s="643"/>
      <c r="U166" s="643"/>
      <c r="V166" s="644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645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42" t="s">
        <v>40</v>
      </c>
      <c r="Q167" s="643"/>
      <c r="R167" s="643"/>
      <c r="S167" s="643"/>
      <c r="T167" s="643"/>
      <c r="U167" s="643"/>
      <c r="V167" s="644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6" t="s">
        <v>158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651">
        <v>4680115887695</v>
      </c>
      <c r="E169" s="65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85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3"/>
      <c r="R169" s="653"/>
      <c r="S169" s="653"/>
      <c r="T169" s="65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302</v>
      </c>
      <c r="B170" s="63" t="s">
        <v>303</v>
      </c>
      <c r="C170" s="36">
        <v>4301020439</v>
      </c>
      <c r="D170" s="651">
        <v>4680115889491</v>
      </c>
      <c r="E170" s="65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85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3"/>
      <c r="R170" s="653"/>
      <c r="S170" s="653"/>
      <c r="T170" s="65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45"/>
      <c r="B171" s="645"/>
      <c r="C171" s="645"/>
      <c r="D171" s="645"/>
      <c r="E171" s="645"/>
      <c r="F171" s="645"/>
      <c r="G171" s="645"/>
      <c r="H171" s="645"/>
      <c r="I171" s="645"/>
      <c r="J171" s="645"/>
      <c r="K171" s="645"/>
      <c r="L171" s="645"/>
      <c r="M171" s="645"/>
      <c r="N171" s="645"/>
      <c r="O171" s="646"/>
      <c r="P171" s="642" t="s">
        <v>40</v>
      </c>
      <c r="Q171" s="643"/>
      <c r="R171" s="643"/>
      <c r="S171" s="643"/>
      <c r="T171" s="643"/>
      <c r="U171" s="643"/>
      <c r="V171" s="644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45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42" t="s">
        <v>40</v>
      </c>
      <c r="Q172" s="643"/>
      <c r="R172" s="643"/>
      <c r="S172" s="643"/>
      <c r="T172" s="643"/>
      <c r="U172" s="643"/>
      <c r="V172" s="644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6" t="s">
        <v>77</v>
      </c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6"/>
      <c r="P173" s="656"/>
      <c r="Q173" s="656"/>
      <c r="R173" s="656"/>
      <c r="S173" s="656"/>
      <c r="T173" s="656"/>
      <c r="U173" s="656"/>
      <c r="V173" s="656"/>
      <c r="W173" s="656"/>
      <c r="X173" s="656"/>
      <c r="Y173" s="656"/>
      <c r="Z173" s="656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651">
        <v>4680115887428</v>
      </c>
      <c r="E174" s="65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3"/>
      <c r="R174" s="653"/>
      <c r="S174" s="653"/>
      <c r="T174" s="65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4301031509</v>
      </c>
      <c r="D175" s="651">
        <v>4680115889170</v>
      </c>
      <c r="E175" s="65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8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3"/>
      <c r="R175" s="653"/>
      <c r="S175" s="653"/>
      <c r="T175" s="65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651">
        <v>4680115887398</v>
      </c>
      <c r="E176" s="65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5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3"/>
      <c r="R176" s="653"/>
      <c r="S176" s="653"/>
      <c r="T176" s="65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651">
        <v>4680115887336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4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651">
        <v>4680115887787</v>
      </c>
      <c r="E178" s="65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651">
        <v>4680115887503</v>
      </c>
      <c r="E179" s="65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4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4301031389</v>
      </c>
      <c r="D180" s="651">
        <v>4680115887763</v>
      </c>
      <c r="E180" s="65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322</v>
      </c>
      <c r="B181" s="63" t="s">
        <v>325</v>
      </c>
      <c r="C181" s="36">
        <v>4301031510</v>
      </c>
      <c r="D181" s="651">
        <v>4680115887763</v>
      </c>
      <c r="E181" s="65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651">
        <v>4680115887480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328</v>
      </c>
      <c r="B183" s="63" t="s">
        <v>329</v>
      </c>
      <c r="C183" s="36">
        <v>4301031434</v>
      </c>
      <c r="D183" s="651">
        <v>4680115888067</v>
      </c>
      <c r="E183" s="65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651">
        <v>4680115887435</v>
      </c>
      <c r="E184" s="65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4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5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42" t="s">
        <v>40</v>
      </c>
      <c r="Q185" s="643"/>
      <c r="R185" s="643"/>
      <c r="S185" s="643"/>
      <c r="T185" s="643"/>
      <c r="U185" s="643"/>
      <c r="V185" s="644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42" t="s">
        <v>40</v>
      </c>
      <c r="Q186" s="643"/>
      <c r="R186" s="643"/>
      <c r="S186" s="643"/>
      <c r="T186" s="643"/>
      <c r="U186" s="643"/>
      <c r="V186" s="644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6" t="s">
        <v>86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/>
      <c r="Z187" s="656"/>
      <c r="AA187" s="66"/>
      <c r="AB187" s="66"/>
      <c r="AC187" s="80"/>
    </row>
    <row r="188" spans="1:68" ht="16.5" customHeight="1" x14ac:dyDescent="0.25">
      <c r="A188" s="63" t="s">
        <v>334</v>
      </c>
      <c r="B188" s="63" t="s">
        <v>335</v>
      </c>
      <c r="C188" s="36">
        <v>4301052193</v>
      </c>
      <c r="D188" s="651">
        <v>4680115888395</v>
      </c>
      <c r="E188" s="65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3"/>
      <c r="R188" s="653"/>
      <c r="S188" s="653"/>
      <c r="T188" s="65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651">
        <v>4680115888371</v>
      </c>
      <c r="E189" s="65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3"/>
      <c r="R189" s="653"/>
      <c r="S189" s="653"/>
      <c r="T189" s="65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340</v>
      </c>
      <c r="B190" s="63" t="s">
        <v>341</v>
      </c>
      <c r="C190" s="36">
        <v>4301052064</v>
      </c>
      <c r="D190" s="651">
        <v>4680115887459</v>
      </c>
      <c r="E190" s="65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3"/>
      <c r="R190" s="653"/>
      <c r="S190" s="653"/>
      <c r="T190" s="65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42" t="s">
        <v>40</v>
      </c>
      <c r="Q191" s="643"/>
      <c r="R191" s="643"/>
      <c r="S191" s="643"/>
      <c r="T191" s="643"/>
      <c r="U191" s="643"/>
      <c r="V191" s="644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645"/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6"/>
      <c r="P192" s="642" t="s">
        <v>40</v>
      </c>
      <c r="Q192" s="643"/>
      <c r="R192" s="643"/>
      <c r="S192" s="643"/>
      <c r="T192" s="643"/>
      <c r="U192" s="643"/>
      <c r="V192" s="644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6" t="s">
        <v>283</v>
      </c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6"/>
      <c r="P193" s="656"/>
      <c r="Q193" s="656"/>
      <c r="R193" s="656"/>
      <c r="S193" s="656"/>
      <c r="T193" s="656"/>
      <c r="U193" s="656"/>
      <c r="V193" s="656"/>
      <c r="W193" s="656"/>
      <c r="X193" s="656"/>
      <c r="Y193" s="656"/>
      <c r="Z193" s="656"/>
      <c r="AA193" s="66"/>
      <c r="AB193" s="66"/>
      <c r="AC193" s="80"/>
    </row>
    <row r="194" spans="1:68" ht="16.5" customHeight="1" x14ac:dyDescent="0.25">
      <c r="A194" s="63" t="s">
        <v>343</v>
      </c>
      <c r="B194" s="63" t="s">
        <v>344</v>
      </c>
      <c r="C194" s="36">
        <v>4301032058</v>
      </c>
      <c r="D194" s="651">
        <v>4680115889026</v>
      </c>
      <c r="E194" s="65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3"/>
      <c r="R194" s="653"/>
      <c r="S194" s="653"/>
      <c r="T194" s="65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645"/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6"/>
      <c r="P196" s="642" t="s">
        <v>40</v>
      </c>
      <c r="Q196" s="643"/>
      <c r="R196" s="643"/>
      <c r="S196" s="643"/>
      <c r="T196" s="643"/>
      <c r="U196" s="643"/>
      <c r="V196" s="644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6" t="s">
        <v>347</v>
      </c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/>
      <c r="Z197" s="656"/>
      <c r="AA197" s="66"/>
      <c r="AB197" s="66"/>
      <c r="AC197" s="80"/>
    </row>
    <row r="198" spans="1:68" ht="27" customHeight="1" x14ac:dyDescent="0.25">
      <c r="A198" s="63" t="s">
        <v>348</v>
      </c>
      <c r="B198" s="63" t="s">
        <v>349</v>
      </c>
      <c r="C198" s="36">
        <v>4301041009</v>
      </c>
      <c r="D198" s="651">
        <v>4680115889033</v>
      </c>
      <c r="E198" s="65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662" t="s">
        <v>351</v>
      </c>
      <c r="B201" s="662"/>
      <c r="C201" s="662"/>
      <c r="D201" s="662"/>
      <c r="E201" s="662"/>
      <c r="F201" s="662"/>
      <c r="G201" s="662"/>
      <c r="H201" s="662"/>
      <c r="I201" s="662"/>
      <c r="J201" s="662"/>
      <c r="K201" s="662"/>
      <c r="L201" s="662"/>
      <c r="M201" s="662"/>
      <c r="N201" s="662"/>
      <c r="O201" s="662"/>
      <c r="P201" s="662"/>
      <c r="Q201" s="662"/>
      <c r="R201" s="662"/>
      <c r="S201" s="662"/>
      <c r="T201" s="662"/>
      <c r="U201" s="662"/>
      <c r="V201" s="662"/>
      <c r="W201" s="662"/>
      <c r="X201" s="662"/>
      <c r="Y201" s="662"/>
      <c r="Z201" s="662"/>
      <c r="AA201" s="54"/>
      <c r="AB201" s="54"/>
      <c r="AC201" s="54"/>
    </row>
    <row r="202" spans="1:68" ht="16.5" customHeight="1" x14ac:dyDescent="0.25">
      <c r="A202" s="655" t="s">
        <v>352</v>
      </c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"/>
      <c r="AB202" s="65"/>
      <c r="AC202" s="79"/>
    </row>
    <row r="203" spans="1:68" ht="14.25" customHeight="1" x14ac:dyDescent="0.25">
      <c r="A203" s="656" t="s">
        <v>125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/>
      <c r="V203" s="656"/>
      <c r="W203" s="656"/>
      <c r="X203" s="656"/>
      <c r="Y203" s="656"/>
      <c r="Z203" s="656"/>
      <c r="AA203" s="66"/>
      <c r="AB203" s="66"/>
      <c r="AC203" s="80"/>
    </row>
    <row r="204" spans="1:68" ht="27" customHeight="1" x14ac:dyDescent="0.25">
      <c r="A204" s="63" t="s">
        <v>353</v>
      </c>
      <c r="B204" s="63" t="s">
        <v>354</v>
      </c>
      <c r="C204" s="36">
        <v>4301011223</v>
      </c>
      <c r="D204" s="651">
        <v>4607091383423</v>
      </c>
      <c r="E204" s="65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3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3"/>
      <c r="R204" s="653"/>
      <c r="S204" s="653"/>
      <c r="T204" s="65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4301012340</v>
      </c>
      <c r="D205" s="651">
        <v>4680115888760</v>
      </c>
      <c r="E205" s="65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3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3"/>
      <c r="R205" s="653"/>
      <c r="S205" s="653"/>
      <c r="T205" s="65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358</v>
      </c>
      <c r="B206" s="63" t="s">
        <v>359</v>
      </c>
      <c r="C206" s="36">
        <v>4301012341</v>
      </c>
      <c r="D206" s="651">
        <v>4680115888807</v>
      </c>
      <c r="E206" s="65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3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3"/>
      <c r="R206" s="653"/>
      <c r="S206" s="653"/>
      <c r="T206" s="65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4301012342</v>
      </c>
      <c r="D207" s="651">
        <v>4680115888852</v>
      </c>
      <c r="E207" s="65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3"/>
      <c r="R207" s="653"/>
      <c r="S207" s="653"/>
      <c r="T207" s="65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364</v>
      </c>
      <c r="B208" s="63" t="s">
        <v>365</v>
      </c>
      <c r="C208" s="36">
        <v>4301012370</v>
      </c>
      <c r="D208" s="651">
        <v>4680115886957</v>
      </c>
      <c r="E208" s="65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3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651">
        <v>4680115885660</v>
      </c>
      <c r="E209" s="65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3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370</v>
      </c>
      <c r="B210" s="63" t="s">
        <v>371</v>
      </c>
      <c r="C210" s="36">
        <v>4301012369</v>
      </c>
      <c r="D210" s="651">
        <v>4680115886773</v>
      </c>
      <c r="E210" s="65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3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42" t="s">
        <v>40</v>
      </c>
      <c r="Q211" s="643"/>
      <c r="R211" s="643"/>
      <c r="S211" s="643"/>
      <c r="T211" s="643"/>
      <c r="U211" s="643"/>
      <c r="V211" s="644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45"/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6"/>
      <c r="P212" s="642" t="s">
        <v>40</v>
      </c>
      <c r="Q212" s="643"/>
      <c r="R212" s="643"/>
      <c r="S212" s="643"/>
      <c r="T212" s="643"/>
      <c r="U212" s="643"/>
      <c r="V212" s="644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5" t="s">
        <v>373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"/>
      <c r="AB213" s="65"/>
      <c r="AC213" s="79"/>
    </row>
    <row r="214" spans="1:68" ht="14.25" customHeight="1" x14ac:dyDescent="0.25">
      <c r="A214" s="656" t="s">
        <v>158</v>
      </c>
      <c r="B214" s="656"/>
      <c r="C214" s="656"/>
      <c r="D214" s="656"/>
      <c r="E214" s="656"/>
      <c r="F214" s="656"/>
      <c r="G214" s="656"/>
      <c r="H214" s="656"/>
      <c r="I214" s="656"/>
      <c r="J214" s="656"/>
      <c r="K214" s="656"/>
      <c r="L214" s="656"/>
      <c r="M214" s="656"/>
      <c r="N214" s="656"/>
      <c r="O214" s="656"/>
      <c r="P214" s="656"/>
      <c r="Q214" s="656"/>
      <c r="R214" s="656"/>
      <c r="S214" s="656"/>
      <c r="T214" s="656"/>
      <c r="U214" s="656"/>
      <c r="V214" s="656"/>
      <c r="W214" s="656"/>
      <c r="X214" s="656"/>
      <c r="Y214" s="656"/>
      <c r="Z214" s="656"/>
      <c r="AA214" s="66"/>
      <c r="AB214" s="66"/>
      <c r="AC214" s="80"/>
    </row>
    <row r="215" spans="1:68" ht="27" customHeight="1" x14ac:dyDescent="0.25">
      <c r="A215" s="63" t="s">
        <v>374</v>
      </c>
      <c r="B215" s="63" t="s">
        <v>375</v>
      </c>
      <c r="C215" s="36">
        <v>4301020323</v>
      </c>
      <c r="D215" s="651">
        <v>4680115886223</v>
      </c>
      <c r="E215" s="65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3"/>
      <c r="R215" s="653"/>
      <c r="S215" s="653"/>
      <c r="T215" s="65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645"/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6"/>
      <c r="P217" s="642" t="s">
        <v>40</v>
      </c>
      <c r="Q217" s="643"/>
      <c r="R217" s="643"/>
      <c r="S217" s="643"/>
      <c r="T217" s="643"/>
      <c r="U217" s="643"/>
      <c r="V217" s="644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6" t="s">
        <v>77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377</v>
      </c>
      <c r="B219" s="63" t="s">
        <v>378</v>
      </c>
      <c r="C219" s="36">
        <v>4301031191</v>
      </c>
      <c r="D219" s="651">
        <v>4680115880993</v>
      </c>
      <c r="E219" s="65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4301031204</v>
      </c>
      <c r="D220" s="651">
        <v>4680115881761</v>
      </c>
      <c r="E220" s="65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3"/>
      <c r="R220" s="653"/>
      <c r="S220" s="653"/>
      <c r="T220" s="65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4301031201</v>
      </c>
      <c r="D221" s="651">
        <v>4680115881563</v>
      </c>
      <c r="E221" s="65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3"/>
      <c r="R221" s="653"/>
      <c r="S221" s="653"/>
      <c r="T221" s="65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651">
        <v>4680115887565</v>
      </c>
      <c r="E222" s="65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3"/>
      <c r="R222" s="653"/>
      <c r="S222" s="653"/>
      <c r="T222" s="65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651">
        <v>4680115880986</v>
      </c>
      <c r="E223" s="65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391</v>
      </c>
      <c r="B224" s="63" t="s">
        <v>392</v>
      </c>
      <c r="C224" s="36">
        <v>4301031443</v>
      </c>
      <c r="D224" s="651">
        <v>4680115887213</v>
      </c>
      <c r="E224" s="65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651">
        <v>4680115881785</v>
      </c>
      <c r="E225" s="65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4301031499</v>
      </c>
      <c r="D226" s="651">
        <v>4680115888432</v>
      </c>
      <c r="E226" s="65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399</v>
      </c>
      <c r="B227" s="63" t="s">
        <v>400</v>
      </c>
      <c r="C227" s="36">
        <v>4301031427</v>
      </c>
      <c r="D227" s="651">
        <v>4680115888104</v>
      </c>
      <c r="E227" s="65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402</v>
      </c>
      <c r="B228" s="63" t="s">
        <v>403</v>
      </c>
      <c r="C228" s="36">
        <v>4301031399</v>
      </c>
      <c r="D228" s="651">
        <v>4680115886537</v>
      </c>
      <c r="E228" s="65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651">
        <v>4680115887596</v>
      </c>
      <c r="E229" s="65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1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651">
        <v>4680115881679</v>
      </c>
      <c r="E230" s="65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410</v>
      </c>
      <c r="B231" s="63" t="s">
        <v>411</v>
      </c>
      <c r="C231" s="36">
        <v>4301031158</v>
      </c>
      <c r="D231" s="651">
        <v>4680115880191</v>
      </c>
      <c r="E231" s="65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412</v>
      </c>
      <c r="B232" s="63" t="s">
        <v>413</v>
      </c>
      <c r="C232" s="36">
        <v>4301031245</v>
      </c>
      <c r="D232" s="651">
        <v>4680115883963</v>
      </c>
      <c r="E232" s="65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42" t="s">
        <v>40</v>
      </c>
      <c r="Q233" s="643"/>
      <c r="R233" s="643"/>
      <c r="S233" s="643"/>
      <c r="T233" s="643"/>
      <c r="U233" s="643"/>
      <c r="V233" s="644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45"/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6"/>
      <c r="P234" s="642" t="s">
        <v>40</v>
      </c>
      <c r="Q234" s="643"/>
      <c r="R234" s="643"/>
      <c r="S234" s="643"/>
      <c r="T234" s="643"/>
      <c r="U234" s="643"/>
      <c r="V234" s="644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6" t="s">
        <v>86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6"/>
      <c r="AB235" s="66"/>
      <c r="AC235" s="80"/>
    </row>
    <row r="236" spans="1:68" ht="16.5" customHeight="1" x14ac:dyDescent="0.25">
      <c r="A236" s="63" t="s">
        <v>415</v>
      </c>
      <c r="B236" s="63" t="s">
        <v>416</v>
      </c>
      <c r="C236" s="36">
        <v>4301052209</v>
      </c>
      <c r="D236" s="651">
        <v>4680115888692</v>
      </c>
      <c r="E236" s="65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418</v>
      </c>
      <c r="B237" s="63" t="s">
        <v>419</v>
      </c>
      <c r="C237" s="36">
        <v>4301052213</v>
      </c>
      <c r="D237" s="651">
        <v>4680115888722</v>
      </c>
      <c r="E237" s="65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1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3"/>
      <c r="R237" s="653"/>
      <c r="S237" s="653"/>
      <c r="T237" s="65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421</v>
      </c>
      <c r="B238" s="63" t="s">
        <v>422</v>
      </c>
      <c r="C238" s="36">
        <v>4301052177</v>
      </c>
      <c r="D238" s="651">
        <v>4680115888951</v>
      </c>
      <c r="E238" s="65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3"/>
      <c r="R238" s="653"/>
      <c r="S238" s="653"/>
      <c r="T238" s="65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424</v>
      </c>
      <c r="B239" s="63" t="s">
        <v>425</v>
      </c>
      <c r="C239" s="36">
        <v>4301052178</v>
      </c>
      <c r="D239" s="651">
        <v>4680115888975</v>
      </c>
      <c r="E239" s="65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3"/>
      <c r="R239" s="653"/>
      <c r="S239" s="653"/>
      <c r="T239" s="65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427</v>
      </c>
      <c r="B240" s="63" t="s">
        <v>428</v>
      </c>
      <c r="C240" s="36">
        <v>4301052176</v>
      </c>
      <c r="D240" s="651">
        <v>4680115888982</v>
      </c>
      <c r="E240" s="65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42" t="s">
        <v>40</v>
      </c>
      <c r="Q241" s="643"/>
      <c r="R241" s="643"/>
      <c r="S241" s="643"/>
      <c r="T241" s="643"/>
      <c r="U241" s="643"/>
      <c r="V241" s="644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45"/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6"/>
      <c r="P242" s="642" t="s">
        <v>40</v>
      </c>
      <c r="Q242" s="643"/>
      <c r="R242" s="643"/>
      <c r="S242" s="643"/>
      <c r="T242" s="643"/>
      <c r="U242" s="643"/>
      <c r="V242" s="644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6" t="s">
        <v>283</v>
      </c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6"/>
      <c r="P243" s="656"/>
      <c r="Q243" s="656"/>
      <c r="R243" s="656"/>
      <c r="S243" s="656"/>
      <c r="T243" s="656"/>
      <c r="U243" s="656"/>
      <c r="V243" s="656"/>
      <c r="W243" s="656"/>
      <c r="X243" s="656"/>
      <c r="Y243" s="656"/>
      <c r="Z243" s="656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651">
        <v>4680115886780</v>
      </c>
      <c r="E244" s="65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651">
        <v>4680115886742</v>
      </c>
      <c r="E245" s="65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3"/>
      <c r="R245" s="653"/>
      <c r="S245" s="653"/>
      <c r="T245" s="65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651">
        <v>4680115886766</v>
      </c>
      <c r="E246" s="65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0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3"/>
      <c r="R246" s="653"/>
      <c r="S246" s="653"/>
      <c r="T246" s="65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42" t="s">
        <v>40</v>
      </c>
      <c r="Q247" s="643"/>
      <c r="R247" s="643"/>
      <c r="S247" s="643"/>
      <c r="T247" s="643"/>
      <c r="U247" s="643"/>
      <c r="V247" s="644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645"/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6"/>
      <c r="P248" s="642" t="s">
        <v>40</v>
      </c>
      <c r="Q248" s="643"/>
      <c r="R248" s="643"/>
      <c r="S248" s="643"/>
      <c r="T248" s="643"/>
      <c r="U248" s="643"/>
      <c r="V248" s="644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6" t="s">
        <v>437</v>
      </c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6"/>
      <c r="P249" s="656"/>
      <c r="Q249" s="656"/>
      <c r="R249" s="656"/>
      <c r="S249" s="656"/>
      <c r="T249" s="656"/>
      <c r="U249" s="656"/>
      <c r="V249" s="656"/>
      <c r="W249" s="656"/>
      <c r="X249" s="656"/>
      <c r="Y249" s="656"/>
      <c r="Z249" s="656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651">
        <v>4680115886797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5" t="s">
        <v>440</v>
      </c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"/>
      <c r="AB253" s="65"/>
      <c r="AC253" s="79"/>
    </row>
    <row r="254" spans="1:68" ht="14.25" customHeight="1" x14ac:dyDescent="0.25">
      <c r="A254" s="656" t="s">
        <v>125</v>
      </c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6"/>
      <c r="P254" s="656"/>
      <c r="Q254" s="656"/>
      <c r="R254" s="656"/>
      <c r="S254" s="656"/>
      <c r="T254" s="656"/>
      <c r="U254" s="656"/>
      <c r="V254" s="656"/>
      <c r="W254" s="656"/>
      <c r="X254" s="656"/>
      <c r="Y254" s="656"/>
      <c r="Z254" s="656"/>
      <c r="AA254" s="66"/>
      <c r="AB254" s="66"/>
      <c r="AC254" s="80"/>
    </row>
    <row r="255" spans="1:68" ht="27" customHeight="1" x14ac:dyDescent="0.25">
      <c r="A255" s="63" t="s">
        <v>441</v>
      </c>
      <c r="B255" s="63" t="s">
        <v>442</v>
      </c>
      <c r="C255" s="36">
        <v>4301011450</v>
      </c>
      <c r="D255" s="651">
        <v>4680115881402</v>
      </c>
      <c r="E255" s="65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3"/>
      <c r="R255" s="653"/>
      <c r="S255" s="653"/>
      <c r="T255" s="65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444</v>
      </c>
      <c r="B256" s="63" t="s">
        <v>445</v>
      </c>
      <c r="C256" s="36">
        <v>4301011768</v>
      </c>
      <c r="D256" s="651">
        <v>4680115881396</v>
      </c>
      <c r="E256" s="65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3"/>
      <c r="R256" s="653"/>
      <c r="S256" s="653"/>
      <c r="T256" s="65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42" t="s">
        <v>40</v>
      </c>
      <c r="Q257" s="643"/>
      <c r="R257" s="643"/>
      <c r="S257" s="643"/>
      <c r="T257" s="643"/>
      <c r="U257" s="643"/>
      <c r="V257" s="644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45"/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6"/>
      <c r="P258" s="642" t="s">
        <v>40</v>
      </c>
      <c r="Q258" s="643"/>
      <c r="R258" s="643"/>
      <c r="S258" s="643"/>
      <c r="T258" s="643"/>
      <c r="U258" s="643"/>
      <c r="V258" s="644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6" t="s">
        <v>158</v>
      </c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6"/>
      <c r="P259" s="656"/>
      <c r="Q259" s="656"/>
      <c r="R259" s="656"/>
      <c r="S259" s="656"/>
      <c r="T259" s="656"/>
      <c r="U259" s="656"/>
      <c r="V259" s="656"/>
      <c r="W259" s="656"/>
      <c r="X259" s="656"/>
      <c r="Y259" s="656"/>
      <c r="Z259" s="656"/>
      <c r="AA259" s="66"/>
      <c r="AB259" s="66"/>
      <c r="AC259" s="80"/>
    </row>
    <row r="260" spans="1:68" ht="16.5" customHeight="1" x14ac:dyDescent="0.25">
      <c r="A260" s="63" t="s">
        <v>446</v>
      </c>
      <c r="B260" s="63" t="s">
        <v>447</v>
      </c>
      <c r="C260" s="36">
        <v>4301020261</v>
      </c>
      <c r="D260" s="651">
        <v>4680115882935</v>
      </c>
      <c r="E260" s="65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449</v>
      </c>
      <c r="B261" s="63" t="s">
        <v>450</v>
      </c>
      <c r="C261" s="36">
        <v>4301020220</v>
      </c>
      <c r="D261" s="651">
        <v>4680115880764</v>
      </c>
      <c r="E261" s="65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3"/>
      <c r="R261" s="653"/>
      <c r="S261" s="653"/>
      <c r="T261" s="65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645"/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6"/>
      <c r="P263" s="642" t="s">
        <v>40</v>
      </c>
      <c r="Q263" s="643"/>
      <c r="R263" s="643"/>
      <c r="S263" s="643"/>
      <c r="T263" s="643"/>
      <c r="U263" s="643"/>
      <c r="V263" s="644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6" t="s">
        <v>77</v>
      </c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6"/>
      <c r="P264" s="656"/>
      <c r="Q264" s="656"/>
      <c r="R264" s="656"/>
      <c r="S264" s="656"/>
      <c r="T264" s="656"/>
      <c r="U264" s="656"/>
      <c r="V264" s="656"/>
      <c r="W264" s="656"/>
      <c r="X264" s="656"/>
      <c r="Y264" s="656"/>
      <c r="Z264" s="656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651">
        <v>4680115882683</v>
      </c>
      <c r="E265" s="65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651">
        <v>4680115882690</v>
      </c>
      <c r="E266" s="65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3"/>
      <c r="R266" s="653"/>
      <c r="S266" s="653"/>
      <c r="T266" s="65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651">
        <v>4680115882669</v>
      </c>
      <c r="E267" s="65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3"/>
      <c r="R267" s="653"/>
      <c r="S267" s="653"/>
      <c r="T267" s="65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651">
        <v>4680115882676</v>
      </c>
      <c r="E268" s="65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3"/>
      <c r="R268" s="653"/>
      <c r="S268" s="653"/>
      <c r="T268" s="65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651">
        <v>4680115884014</v>
      </c>
      <c r="E269" s="65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651">
        <v>4680115884007</v>
      </c>
      <c r="E270" s="65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651">
        <v>4680115884038</v>
      </c>
      <c r="E271" s="65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651">
        <v>4680115884021</v>
      </c>
      <c r="E272" s="65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42" t="s">
        <v>40</v>
      </c>
      <c r="Q273" s="643"/>
      <c r="R273" s="643"/>
      <c r="S273" s="643"/>
      <c r="T273" s="643"/>
      <c r="U273" s="643"/>
      <c r="V273" s="644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45"/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6"/>
      <c r="P274" s="642" t="s">
        <v>40</v>
      </c>
      <c r="Q274" s="643"/>
      <c r="R274" s="643"/>
      <c r="S274" s="643"/>
      <c r="T274" s="643"/>
      <c r="U274" s="643"/>
      <c r="V274" s="644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6" t="s">
        <v>86</v>
      </c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6"/>
      <c r="P275" s="656"/>
      <c r="Q275" s="656"/>
      <c r="R275" s="656"/>
      <c r="S275" s="656"/>
      <c r="T275" s="656"/>
      <c r="U275" s="656"/>
      <c r="V275" s="656"/>
      <c r="W275" s="656"/>
      <c r="X275" s="656"/>
      <c r="Y275" s="656"/>
      <c r="Z275" s="656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651">
        <v>4680115881594</v>
      </c>
      <c r="E276" s="65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651">
        <v>4680115881617</v>
      </c>
      <c r="E277" s="65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3"/>
      <c r="R277" s="653"/>
      <c r="S277" s="653"/>
      <c r="T277" s="65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477</v>
      </c>
      <c r="B278" s="63" t="s">
        <v>478</v>
      </c>
      <c r="C278" s="36">
        <v>4301051656</v>
      </c>
      <c r="D278" s="651">
        <v>4680115880573</v>
      </c>
      <c r="E278" s="65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3"/>
      <c r="R278" s="653"/>
      <c r="S278" s="653"/>
      <c r="T278" s="65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651">
        <v>4680115882195</v>
      </c>
      <c r="E279" s="65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3"/>
      <c r="R279" s="653"/>
      <c r="S279" s="653"/>
      <c r="T279" s="65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4301051752</v>
      </c>
      <c r="D280" s="651">
        <v>4680115882607</v>
      </c>
      <c r="E280" s="65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4301052143</v>
      </c>
      <c r="D281" s="651">
        <v>4680115882607</v>
      </c>
      <c r="E281" s="65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651">
        <v>4680115880092</v>
      </c>
      <c r="E282" s="65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489</v>
      </c>
      <c r="B283" s="63" t="s">
        <v>490</v>
      </c>
      <c r="C283" s="36">
        <v>4301052214</v>
      </c>
      <c r="D283" s="651">
        <v>4680115889064</v>
      </c>
      <c r="E283" s="65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491</v>
      </c>
      <c r="B284" s="63" t="s">
        <v>492</v>
      </c>
      <c r="C284" s="36">
        <v>4301051668</v>
      </c>
      <c r="D284" s="651">
        <v>4680115880221</v>
      </c>
      <c r="E284" s="65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651">
        <v>4680115880504</v>
      </c>
      <c r="E285" s="65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496</v>
      </c>
      <c r="B286" s="63" t="s">
        <v>497</v>
      </c>
      <c r="C286" s="36">
        <v>4301051410</v>
      </c>
      <c r="D286" s="651">
        <v>4680115882164</v>
      </c>
      <c r="E286" s="65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499</v>
      </c>
      <c r="B287" s="63" t="s">
        <v>500</v>
      </c>
      <c r="C287" s="36">
        <v>4301052180</v>
      </c>
      <c r="D287" s="651">
        <v>4680115888340</v>
      </c>
      <c r="E287" s="65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5"/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6"/>
      <c r="P288" s="642" t="s">
        <v>40</v>
      </c>
      <c r="Q288" s="643"/>
      <c r="R288" s="643"/>
      <c r="S288" s="643"/>
      <c r="T288" s="643"/>
      <c r="U288" s="643"/>
      <c r="V288" s="644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645"/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6"/>
      <c r="P289" s="642" t="s">
        <v>40</v>
      </c>
      <c r="Q289" s="643"/>
      <c r="R289" s="643"/>
      <c r="S289" s="643"/>
      <c r="T289" s="643"/>
      <c r="U289" s="643"/>
      <c r="V289" s="644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6" t="s">
        <v>175</v>
      </c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6"/>
      <c r="P290" s="656"/>
      <c r="Q290" s="656"/>
      <c r="R290" s="656"/>
      <c r="S290" s="656"/>
      <c r="T290" s="656"/>
      <c r="U290" s="656"/>
      <c r="V290" s="656"/>
      <c r="W290" s="656"/>
      <c r="X290" s="656"/>
      <c r="Y290" s="656"/>
      <c r="Z290" s="656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651">
        <v>4680115880818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651">
        <v>4680115880801</v>
      </c>
      <c r="E292" s="65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7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3"/>
      <c r="R292" s="653"/>
      <c r="S292" s="653"/>
      <c r="T292" s="65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45"/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6"/>
      <c r="P294" s="642" t="s">
        <v>40</v>
      </c>
      <c r="Q294" s="643"/>
      <c r="R294" s="643"/>
      <c r="S294" s="643"/>
      <c r="T294" s="643"/>
      <c r="U294" s="643"/>
      <c r="V294" s="64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5" t="s">
        <v>508</v>
      </c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"/>
      <c r="AB295" s="65"/>
      <c r="AC295" s="79"/>
    </row>
    <row r="296" spans="1:68" ht="14.25" customHeight="1" x14ac:dyDescent="0.25">
      <c r="A296" s="656" t="s">
        <v>125</v>
      </c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6"/>
      <c r="P296" s="656"/>
      <c r="Q296" s="656"/>
      <c r="R296" s="656"/>
      <c r="S296" s="656"/>
      <c r="T296" s="656"/>
      <c r="U296" s="656"/>
      <c r="V296" s="656"/>
      <c r="W296" s="656"/>
      <c r="X296" s="656"/>
      <c r="Y296" s="656"/>
      <c r="Z296" s="656"/>
      <c r="AA296" s="66"/>
      <c r="AB296" s="66"/>
      <c r="AC296" s="80"/>
    </row>
    <row r="297" spans="1:68" ht="27" customHeight="1" x14ac:dyDescent="0.25">
      <c r="A297" s="63" t="s">
        <v>509</v>
      </c>
      <c r="B297" s="63" t="s">
        <v>510</v>
      </c>
      <c r="C297" s="36">
        <v>4301011826</v>
      </c>
      <c r="D297" s="651">
        <v>4680115884137</v>
      </c>
      <c r="E297" s="65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3"/>
      <c r="R297" s="653"/>
      <c r="S297" s="653"/>
      <c r="T297" s="65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512</v>
      </c>
      <c r="B298" s="63" t="s">
        <v>513</v>
      </c>
      <c r="C298" s="36">
        <v>4301011724</v>
      </c>
      <c r="D298" s="651">
        <v>4680115884236</v>
      </c>
      <c r="E298" s="65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7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3"/>
      <c r="R298" s="653"/>
      <c r="S298" s="653"/>
      <c r="T298" s="65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515</v>
      </c>
      <c r="B299" s="63" t="s">
        <v>516</v>
      </c>
      <c r="C299" s="36">
        <v>4301011721</v>
      </c>
      <c r="D299" s="651">
        <v>4680115884175</v>
      </c>
      <c r="E299" s="65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3"/>
      <c r="R299" s="653"/>
      <c r="S299" s="653"/>
      <c r="T299" s="65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651">
        <v>4680115884144</v>
      </c>
      <c r="E300" s="65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7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3"/>
      <c r="R300" s="653"/>
      <c r="S300" s="653"/>
      <c r="T300" s="65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519</v>
      </c>
      <c r="B301" s="63" t="s">
        <v>520</v>
      </c>
      <c r="C301" s="36">
        <v>4301012149</v>
      </c>
      <c r="D301" s="651">
        <v>4680115886551</v>
      </c>
      <c r="E301" s="65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7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522</v>
      </c>
      <c r="B302" s="63" t="s">
        <v>523</v>
      </c>
      <c r="C302" s="36">
        <v>4301012228</v>
      </c>
      <c r="D302" s="651">
        <v>4680115887282</v>
      </c>
      <c r="E302" s="65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651">
        <v>4680115884205</v>
      </c>
      <c r="E303" s="65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7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645"/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6"/>
      <c r="P304" s="642" t="s">
        <v>40</v>
      </c>
      <c r="Q304" s="643"/>
      <c r="R304" s="643"/>
      <c r="S304" s="643"/>
      <c r="T304" s="643"/>
      <c r="U304" s="643"/>
      <c r="V304" s="644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5"/>
      <c r="B305" s="645"/>
      <c r="C305" s="645"/>
      <c r="D305" s="645"/>
      <c r="E305" s="645"/>
      <c r="F305" s="645"/>
      <c r="G305" s="645"/>
      <c r="H305" s="645"/>
      <c r="I305" s="645"/>
      <c r="J305" s="645"/>
      <c r="K305" s="645"/>
      <c r="L305" s="645"/>
      <c r="M305" s="645"/>
      <c r="N305" s="645"/>
      <c r="O305" s="646"/>
      <c r="P305" s="642" t="s">
        <v>40</v>
      </c>
      <c r="Q305" s="643"/>
      <c r="R305" s="643"/>
      <c r="S305" s="643"/>
      <c r="T305" s="643"/>
      <c r="U305" s="643"/>
      <c r="V305" s="644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6" t="s">
        <v>158</v>
      </c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6"/>
      <c r="P306" s="656"/>
      <c r="Q306" s="656"/>
      <c r="R306" s="656"/>
      <c r="S306" s="656"/>
      <c r="T306" s="656"/>
      <c r="U306" s="656"/>
      <c r="V306" s="656"/>
      <c r="W306" s="656"/>
      <c r="X306" s="656"/>
      <c r="Y306" s="656"/>
      <c r="Z306" s="656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651">
        <v>4680115885981</v>
      </c>
      <c r="E307" s="65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7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530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651">
        <v>4680115886803</v>
      </c>
      <c r="E311" s="65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347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4301041004</v>
      </c>
      <c r="D315" s="651">
        <v>4680115886704</v>
      </c>
      <c r="E315" s="65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7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651">
        <v>4680115886681</v>
      </c>
      <c r="E316" s="65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77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3"/>
      <c r="R316" s="653"/>
      <c r="S316" s="653"/>
      <c r="T316" s="65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651">
        <v>4680115886735</v>
      </c>
      <c r="E317" s="65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3"/>
      <c r="R317" s="653"/>
      <c r="S317" s="653"/>
      <c r="T317" s="65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42" t="s">
        <v>40</v>
      </c>
      <c r="Q318" s="643"/>
      <c r="R318" s="643"/>
      <c r="S318" s="643"/>
      <c r="T318" s="643"/>
      <c r="U318" s="643"/>
      <c r="V318" s="644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45"/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6"/>
      <c r="P319" s="642" t="s">
        <v>40</v>
      </c>
      <c r="Q319" s="643"/>
      <c r="R319" s="643"/>
      <c r="S319" s="643"/>
      <c r="T319" s="643"/>
      <c r="U319" s="643"/>
      <c r="V319" s="644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5" t="s">
        <v>541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"/>
      <c r="AB320" s="65"/>
      <c r="AC320" s="79"/>
    </row>
    <row r="321" spans="1:68" ht="14.25" customHeight="1" x14ac:dyDescent="0.25">
      <c r="A321" s="656" t="s">
        <v>125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6"/>
      <c r="AB321" s="66"/>
      <c r="AC321" s="80"/>
    </row>
    <row r="322" spans="1:68" ht="27" customHeight="1" x14ac:dyDescent="0.25">
      <c r="A322" s="63" t="s">
        <v>542</v>
      </c>
      <c r="B322" s="63" t="s">
        <v>543</v>
      </c>
      <c r="C322" s="36">
        <v>4301011855</v>
      </c>
      <c r="D322" s="651">
        <v>4680115885837</v>
      </c>
      <c r="E322" s="65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3"/>
      <c r="R322" s="653"/>
      <c r="S322" s="653"/>
      <c r="T322" s="65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545</v>
      </c>
      <c r="B323" s="63" t="s">
        <v>546</v>
      </c>
      <c r="C323" s="36">
        <v>4301012234</v>
      </c>
      <c r="D323" s="651">
        <v>4680115887237</v>
      </c>
      <c r="E323" s="65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76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3"/>
      <c r="R323" s="653"/>
      <c r="S323" s="653"/>
      <c r="T323" s="65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651">
        <v>4680115885806</v>
      </c>
      <c r="E324" s="65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3"/>
      <c r="R324" s="653"/>
      <c r="S324" s="653"/>
      <c r="T324" s="65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551</v>
      </c>
      <c r="B325" s="63" t="s">
        <v>552</v>
      </c>
      <c r="C325" s="36">
        <v>4301011852</v>
      </c>
      <c r="D325" s="651">
        <v>4680115885844</v>
      </c>
      <c r="E325" s="65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3"/>
      <c r="R325" s="653"/>
      <c r="S325" s="653"/>
      <c r="T325" s="65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554</v>
      </c>
      <c r="B326" s="63" t="s">
        <v>555</v>
      </c>
      <c r="C326" s="36">
        <v>4301011851</v>
      </c>
      <c r="D326" s="651">
        <v>4680115885820</v>
      </c>
      <c r="E326" s="65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5"/>
      <c r="B327" s="645"/>
      <c r="C327" s="645"/>
      <c r="D327" s="645"/>
      <c r="E327" s="645"/>
      <c r="F327" s="645"/>
      <c r="G327" s="645"/>
      <c r="H327" s="645"/>
      <c r="I327" s="645"/>
      <c r="J327" s="645"/>
      <c r="K327" s="645"/>
      <c r="L327" s="645"/>
      <c r="M327" s="645"/>
      <c r="N327" s="645"/>
      <c r="O327" s="646"/>
      <c r="P327" s="642" t="s">
        <v>40</v>
      </c>
      <c r="Q327" s="643"/>
      <c r="R327" s="643"/>
      <c r="S327" s="643"/>
      <c r="T327" s="643"/>
      <c r="U327" s="643"/>
      <c r="V327" s="644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645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42" t="s">
        <v>40</v>
      </c>
      <c r="Q328" s="643"/>
      <c r="R328" s="643"/>
      <c r="S328" s="643"/>
      <c r="T328" s="643"/>
      <c r="U328" s="643"/>
      <c r="V328" s="644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5" t="s">
        <v>557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"/>
      <c r="AB329" s="65"/>
      <c r="AC329" s="79"/>
    </row>
    <row r="330" spans="1:68" ht="14.25" customHeight="1" x14ac:dyDescent="0.25">
      <c r="A330" s="656" t="s">
        <v>86</v>
      </c>
      <c r="B330" s="656"/>
      <c r="C330" s="656"/>
      <c r="D330" s="656"/>
      <c r="E330" s="656"/>
      <c r="F330" s="656"/>
      <c r="G330" s="656"/>
      <c r="H330" s="656"/>
      <c r="I330" s="656"/>
      <c r="J330" s="656"/>
      <c r="K330" s="656"/>
      <c r="L330" s="656"/>
      <c r="M330" s="656"/>
      <c r="N330" s="656"/>
      <c r="O330" s="656"/>
      <c r="P330" s="656"/>
      <c r="Q330" s="656"/>
      <c r="R330" s="656"/>
      <c r="S330" s="656"/>
      <c r="T330" s="656"/>
      <c r="U330" s="656"/>
      <c r="V330" s="656"/>
      <c r="W330" s="656"/>
      <c r="X330" s="656"/>
      <c r="Y330" s="656"/>
      <c r="Z330" s="656"/>
      <c r="AA330" s="66"/>
      <c r="AB330" s="66"/>
      <c r="AC330" s="80"/>
    </row>
    <row r="331" spans="1:68" ht="27" customHeight="1" x14ac:dyDescent="0.25">
      <c r="A331" s="63" t="s">
        <v>558</v>
      </c>
      <c r="B331" s="63" t="s">
        <v>559</v>
      </c>
      <c r="C331" s="36">
        <v>4301051893</v>
      </c>
      <c r="D331" s="651">
        <v>4680115886186</v>
      </c>
      <c r="E331" s="65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3"/>
      <c r="R331" s="653"/>
      <c r="S331" s="653"/>
      <c r="T331" s="65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651">
        <v>4680115881228</v>
      </c>
      <c r="E332" s="65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3"/>
      <c r="R332" s="653"/>
      <c r="S332" s="653"/>
      <c r="T332" s="65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651">
        <v>4680115881211</v>
      </c>
      <c r="E333" s="65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3"/>
      <c r="R333" s="653"/>
      <c r="S333" s="653"/>
      <c r="T333" s="65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45"/>
      <c r="B334" s="645"/>
      <c r="C334" s="645"/>
      <c r="D334" s="645"/>
      <c r="E334" s="645"/>
      <c r="F334" s="645"/>
      <c r="G334" s="645"/>
      <c r="H334" s="645"/>
      <c r="I334" s="645"/>
      <c r="J334" s="645"/>
      <c r="K334" s="645"/>
      <c r="L334" s="645"/>
      <c r="M334" s="645"/>
      <c r="N334" s="645"/>
      <c r="O334" s="646"/>
      <c r="P334" s="642" t="s">
        <v>40</v>
      </c>
      <c r="Q334" s="643"/>
      <c r="R334" s="643"/>
      <c r="S334" s="643"/>
      <c r="T334" s="643"/>
      <c r="U334" s="643"/>
      <c r="V334" s="644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45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42" t="s">
        <v>40</v>
      </c>
      <c r="Q335" s="643"/>
      <c r="R335" s="643"/>
      <c r="S335" s="643"/>
      <c r="T335" s="643"/>
      <c r="U335" s="643"/>
      <c r="V335" s="644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5" t="s">
        <v>566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"/>
      <c r="AB336" s="65"/>
      <c r="AC336" s="79"/>
    </row>
    <row r="337" spans="1:68" ht="14.25" customHeight="1" x14ac:dyDescent="0.25">
      <c r="A337" s="656" t="s">
        <v>77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4301031445</v>
      </c>
      <c r="D338" s="651">
        <v>4680115888319</v>
      </c>
      <c r="E338" s="65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3"/>
      <c r="R338" s="653"/>
      <c r="S338" s="653"/>
      <c r="T338" s="65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569</v>
      </c>
      <c r="B339" s="63" t="s">
        <v>570</v>
      </c>
      <c r="C339" s="36">
        <v>4301031502</v>
      </c>
      <c r="D339" s="651">
        <v>4680115884700</v>
      </c>
      <c r="E339" s="65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5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3"/>
      <c r="R339" s="653"/>
      <c r="S339" s="653"/>
      <c r="T339" s="65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572</v>
      </c>
      <c r="B340" s="63" t="s">
        <v>573</v>
      </c>
      <c r="C340" s="36">
        <v>4301031307</v>
      </c>
      <c r="D340" s="651">
        <v>4680115880344</v>
      </c>
      <c r="E340" s="65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3"/>
      <c r="R340" s="653"/>
      <c r="S340" s="653"/>
      <c r="T340" s="65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575</v>
      </c>
      <c r="B341" s="63" t="s">
        <v>576</v>
      </c>
      <c r="C341" s="36">
        <v>4301031501</v>
      </c>
      <c r="D341" s="651">
        <v>4680115886919</v>
      </c>
      <c r="E341" s="65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3"/>
      <c r="R341" s="653"/>
      <c r="S341" s="653"/>
      <c r="T341" s="65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578</v>
      </c>
      <c r="B342" s="63" t="s">
        <v>579</v>
      </c>
      <c r="C342" s="36">
        <v>4301031246</v>
      </c>
      <c r="D342" s="651">
        <v>4680115883970</v>
      </c>
      <c r="E342" s="65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5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42" t="s">
        <v>40</v>
      </c>
      <c r="Q343" s="643"/>
      <c r="R343" s="643"/>
      <c r="S343" s="643"/>
      <c r="T343" s="643"/>
      <c r="U343" s="643"/>
      <c r="V343" s="644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42" t="s">
        <v>40</v>
      </c>
      <c r="Q344" s="643"/>
      <c r="R344" s="643"/>
      <c r="S344" s="643"/>
      <c r="T344" s="643"/>
      <c r="U344" s="643"/>
      <c r="V344" s="644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6" t="s">
        <v>86</v>
      </c>
      <c r="B345" s="656"/>
      <c r="C345" s="656"/>
      <c r="D345" s="656"/>
      <c r="E345" s="656"/>
      <c r="F345" s="656"/>
      <c r="G345" s="656"/>
      <c r="H345" s="656"/>
      <c r="I345" s="656"/>
      <c r="J345" s="656"/>
      <c r="K345" s="656"/>
      <c r="L345" s="656"/>
      <c r="M345" s="656"/>
      <c r="N345" s="656"/>
      <c r="O345" s="656"/>
      <c r="P345" s="656"/>
      <c r="Q345" s="656"/>
      <c r="R345" s="656"/>
      <c r="S345" s="656"/>
      <c r="T345" s="656"/>
      <c r="U345" s="656"/>
      <c r="V345" s="656"/>
      <c r="W345" s="656"/>
      <c r="X345" s="656"/>
      <c r="Y345" s="656"/>
      <c r="Z345" s="656"/>
      <c r="AA345" s="66"/>
      <c r="AB345" s="66"/>
      <c r="AC345" s="80"/>
    </row>
    <row r="346" spans="1:68" ht="27" customHeight="1" x14ac:dyDescent="0.25">
      <c r="A346" s="63" t="s">
        <v>581</v>
      </c>
      <c r="B346" s="63" t="s">
        <v>582</v>
      </c>
      <c r="C346" s="36">
        <v>4301051782</v>
      </c>
      <c r="D346" s="651">
        <v>4680115884618</v>
      </c>
      <c r="E346" s="65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7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584</v>
      </c>
      <c r="B347" s="63" t="s">
        <v>585</v>
      </c>
      <c r="C347" s="36">
        <v>4301052057</v>
      </c>
      <c r="D347" s="651">
        <v>4680115887114</v>
      </c>
      <c r="E347" s="65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3"/>
      <c r="R347" s="653"/>
      <c r="S347" s="653"/>
      <c r="T347" s="65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45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42" t="s">
        <v>40</v>
      </c>
      <c r="Q349" s="643"/>
      <c r="R349" s="643"/>
      <c r="S349" s="643"/>
      <c r="T349" s="643"/>
      <c r="U349" s="643"/>
      <c r="V349" s="644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5" t="s">
        <v>587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"/>
      <c r="AB350" s="65"/>
      <c r="AC350" s="79"/>
    </row>
    <row r="351" spans="1:68" ht="14.25" customHeight="1" x14ac:dyDescent="0.25">
      <c r="A351" s="656" t="s">
        <v>125</v>
      </c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6"/>
      <c r="P351" s="656"/>
      <c r="Q351" s="656"/>
      <c r="R351" s="656"/>
      <c r="S351" s="656"/>
      <c r="T351" s="656"/>
      <c r="U351" s="656"/>
      <c r="V351" s="656"/>
      <c r="W351" s="656"/>
      <c r="X351" s="656"/>
      <c r="Y351" s="656"/>
      <c r="Z351" s="656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651">
        <v>4680115887947</v>
      </c>
      <c r="E352" s="65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7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3"/>
      <c r="R352" s="653"/>
      <c r="S352" s="653"/>
      <c r="T352" s="65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651">
        <v>4680115887978</v>
      </c>
      <c r="E353" s="65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3"/>
      <c r="R353" s="653"/>
      <c r="S353" s="653"/>
      <c r="T353" s="65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651">
        <v>4680115887992</v>
      </c>
      <c r="E354" s="65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75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3"/>
      <c r="R354" s="653"/>
      <c r="S354" s="653"/>
      <c r="T354" s="65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42" t="s">
        <v>40</v>
      </c>
      <c r="Q355" s="643"/>
      <c r="R355" s="643"/>
      <c r="S355" s="643"/>
      <c r="T355" s="643"/>
      <c r="U355" s="643"/>
      <c r="V355" s="644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45"/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6"/>
      <c r="P356" s="642" t="s">
        <v>40</v>
      </c>
      <c r="Q356" s="643"/>
      <c r="R356" s="643"/>
      <c r="S356" s="643"/>
      <c r="T356" s="643"/>
      <c r="U356" s="643"/>
      <c r="V356" s="644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5" t="s">
        <v>596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"/>
      <c r="AB357" s="65"/>
      <c r="AC357" s="79"/>
    </row>
    <row r="358" spans="1:68" ht="14.25" customHeight="1" x14ac:dyDescent="0.25">
      <c r="A358" s="656" t="s">
        <v>125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4301012235</v>
      </c>
      <c r="D359" s="651">
        <v>4680115887190</v>
      </c>
      <c r="E359" s="65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7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53"/>
      <c r="R359" s="653"/>
      <c r="S359" s="653"/>
      <c r="T359" s="654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600</v>
      </c>
      <c r="B360" s="63" t="s">
        <v>601</v>
      </c>
      <c r="C360" s="36">
        <v>4301012233</v>
      </c>
      <c r="D360" s="651">
        <v>4680115887138</v>
      </c>
      <c r="E360" s="65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74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53"/>
      <c r="R360" s="653"/>
      <c r="S360" s="653"/>
      <c r="T360" s="654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603</v>
      </c>
      <c r="B361" s="63" t="s">
        <v>604</v>
      </c>
      <c r="C361" s="36">
        <v>4301012016</v>
      </c>
      <c r="D361" s="651">
        <v>4680115885554</v>
      </c>
      <c r="E361" s="65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90</v>
      </c>
      <c r="N361" s="38"/>
      <c r="O361" s="37">
        <v>55</v>
      </c>
      <c r="P361" s="7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53"/>
      <c r="R361" s="653"/>
      <c r="S361" s="653"/>
      <c r="T361" s="654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606</v>
      </c>
      <c r="B362" s="63" t="s">
        <v>607</v>
      </c>
      <c r="C362" s="36">
        <v>4301012236</v>
      </c>
      <c r="D362" s="651">
        <v>4680115887220</v>
      </c>
      <c r="E362" s="651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137</v>
      </c>
      <c r="L362" s="37" t="s">
        <v>46</v>
      </c>
      <c r="M362" s="38" t="s">
        <v>129</v>
      </c>
      <c r="N362" s="38"/>
      <c r="O362" s="37">
        <v>55</v>
      </c>
      <c r="P362" s="7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53"/>
      <c r="R362" s="653"/>
      <c r="S362" s="653"/>
      <c r="T362" s="654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599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608</v>
      </c>
      <c r="B363" s="63" t="s">
        <v>609</v>
      </c>
      <c r="C363" s="36">
        <v>4301011859</v>
      </c>
      <c r="D363" s="651">
        <v>4680115885608</v>
      </c>
      <c r="E363" s="65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610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45"/>
      <c r="B364" s="645"/>
      <c r="C364" s="645"/>
      <c r="D364" s="645"/>
      <c r="E364" s="645"/>
      <c r="F364" s="645"/>
      <c r="G364" s="645"/>
      <c r="H364" s="645"/>
      <c r="I364" s="645"/>
      <c r="J364" s="645"/>
      <c r="K364" s="645"/>
      <c r="L364" s="645"/>
      <c r="M364" s="645"/>
      <c r="N364" s="645"/>
      <c r="O364" s="646"/>
      <c r="P364" s="642" t="s">
        <v>40</v>
      </c>
      <c r="Q364" s="643"/>
      <c r="R364" s="643"/>
      <c r="S364" s="643"/>
      <c r="T364" s="643"/>
      <c r="U364" s="643"/>
      <c r="V364" s="644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645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42" t="s">
        <v>40</v>
      </c>
      <c r="Q365" s="643"/>
      <c r="R365" s="643"/>
      <c r="S365" s="643"/>
      <c r="T365" s="643"/>
      <c r="U365" s="643"/>
      <c r="V365" s="644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customHeight="1" x14ac:dyDescent="0.25">
      <c r="A366" s="656" t="s">
        <v>77</v>
      </c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6"/>
      <c r="P366" s="656"/>
      <c r="Q366" s="656"/>
      <c r="R366" s="656"/>
      <c r="S366" s="656"/>
      <c r="T366" s="656"/>
      <c r="U366" s="656"/>
      <c r="V366" s="656"/>
      <c r="W366" s="656"/>
      <c r="X366" s="656"/>
      <c r="Y366" s="656"/>
      <c r="Z366" s="656"/>
      <c r="AA366" s="66"/>
      <c r="AB366" s="66"/>
      <c r="AC366" s="80"/>
    </row>
    <row r="367" spans="1:68" ht="27" customHeight="1" x14ac:dyDescent="0.25">
      <c r="A367" s="63" t="s">
        <v>611</v>
      </c>
      <c r="B367" s="63" t="s">
        <v>612</v>
      </c>
      <c r="C367" s="36">
        <v>4301030878</v>
      </c>
      <c r="D367" s="651">
        <v>4607091387193</v>
      </c>
      <c r="E367" s="651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137</v>
      </c>
      <c r="L367" s="37" t="s">
        <v>46</v>
      </c>
      <c r="M367" s="38" t="s">
        <v>81</v>
      </c>
      <c r="N367" s="38"/>
      <c r="O367" s="37">
        <v>35</v>
      </c>
      <c r="P367" s="7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613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customHeight="1" x14ac:dyDescent="0.25">
      <c r="A368" s="63" t="s">
        <v>614</v>
      </c>
      <c r="B368" s="63" t="s">
        <v>615</v>
      </c>
      <c r="C368" s="36">
        <v>4301031153</v>
      </c>
      <c r="D368" s="651">
        <v>4607091387230</v>
      </c>
      <c r="E368" s="65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40</v>
      </c>
      <c r="P368" s="7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4301031154</v>
      </c>
      <c r="D369" s="651">
        <v>4607091387292</v>
      </c>
      <c r="E369" s="651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45</v>
      </c>
      <c r="P369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53"/>
      <c r="R369" s="653"/>
      <c r="S369" s="653"/>
      <c r="T369" s="65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customHeight="1" x14ac:dyDescent="0.25">
      <c r="A370" s="63" t="s">
        <v>620</v>
      </c>
      <c r="B370" s="63" t="s">
        <v>621</v>
      </c>
      <c r="C370" s="36">
        <v>4301031152</v>
      </c>
      <c r="D370" s="651">
        <v>4607091387285</v>
      </c>
      <c r="E370" s="651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82</v>
      </c>
      <c r="L370" s="37" t="s">
        <v>46</v>
      </c>
      <c r="M370" s="38" t="s">
        <v>81</v>
      </c>
      <c r="N370" s="38"/>
      <c r="O370" s="37">
        <v>40</v>
      </c>
      <c r="P370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53"/>
      <c r="R370" s="653"/>
      <c r="S370" s="653"/>
      <c r="T370" s="65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616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customHeight="1" x14ac:dyDescent="0.25">
      <c r="A371" s="63" t="s">
        <v>622</v>
      </c>
      <c r="B371" s="63" t="s">
        <v>623</v>
      </c>
      <c r="C371" s="36">
        <v>4301031305</v>
      </c>
      <c r="D371" s="651">
        <v>4607091389845</v>
      </c>
      <c r="E371" s="651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53"/>
      <c r="R371" s="653"/>
      <c r="S371" s="653"/>
      <c r="T371" s="65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624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4301031460</v>
      </c>
      <c r="D372" s="651">
        <v>4680115887442</v>
      </c>
      <c r="E372" s="65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137</v>
      </c>
      <c r="L372" s="37" t="s">
        <v>46</v>
      </c>
      <c r="M372" s="38" t="s">
        <v>81</v>
      </c>
      <c r="N372" s="38"/>
      <c r="O372" s="37">
        <v>45</v>
      </c>
      <c r="P372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619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customHeight="1" x14ac:dyDescent="0.25">
      <c r="A373" s="63" t="s">
        <v>627</v>
      </c>
      <c r="B373" s="63" t="s">
        <v>628</v>
      </c>
      <c r="C373" s="36">
        <v>4301031066</v>
      </c>
      <c r="D373" s="651">
        <v>4607091383836</v>
      </c>
      <c r="E373" s="651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91</v>
      </c>
      <c r="L373" s="37" t="s">
        <v>46</v>
      </c>
      <c r="M373" s="38" t="s">
        <v>81</v>
      </c>
      <c r="N373" s="38"/>
      <c r="O373" s="37">
        <v>40</v>
      </c>
      <c r="P373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629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x14ac:dyDescent="0.2">
      <c r="A374" s="645"/>
      <c r="B374" s="645"/>
      <c r="C374" s="645"/>
      <c r="D374" s="645"/>
      <c r="E374" s="645"/>
      <c r="F374" s="645"/>
      <c r="G374" s="645"/>
      <c r="H374" s="645"/>
      <c r="I374" s="645"/>
      <c r="J374" s="645"/>
      <c r="K374" s="645"/>
      <c r="L374" s="645"/>
      <c r="M374" s="645"/>
      <c r="N374" s="645"/>
      <c r="O374" s="646"/>
      <c r="P374" s="642" t="s">
        <v>40</v>
      </c>
      <c r="Q374" s="643"/>
      <c r="R374" s="643"/>
      <c r="S374" s="643"/>
      <c r="T374" s="643"/>
      <c r="U374" s="643"/>
      <c r="V374" s="644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645"/>
      <c r="B375" s="645"/>
      <c r="C375" s="645"/>
      <c r="D375" s="645"/>
      <c r="E375" s="645"/>
      <c r="F375" s="645"/>
      <c r="G375" s="645"/>
      <c r="H375" s="645"/>
      <c r="I375" s="645"/>
      <c r="J375" s="645"/>
      <c r="K375" s="645"/>
      <c r="L375" s="645"/>
      <c r="M375" s="645"/>
      <c r="N375" s="645"/>
      <c r="O375" s="646"/>
      <c r="P375" s="642" t="s">
        <v>40</v>
      </c>
      <c r="Q375" s="643"/>
      <c r="R375" s="643"/>
      <c r="S375" s="643"/>
      <c r="T375" s="643"/>
      <c r="U375" s="643"/>
      <c r="V375" s="644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656" t="s">
        <v>86</v>
      </c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6"/>
      <c r="P376" s="656"/>
      <c r="Q376" s="656"/>
      <c r="R376" s="656"/>
      <c r="S376" s="656"/>
      <c r="T376" s="656"/>
      <c r="U376" s="656"/>
      <c r="V376" s="656"/>
      <c r="W376" s="656"/>
      <c r="X376" s="656"/>
      <c r="Y376" s="656"/>
      <c r="Z376" s="656"/>
      <c r="AA376" s="66"/>
      <c r="AB376" s="66"/>
      <c r="AC376" s="80"/>
    </row>
    <row r="377" spans="1:68" ht="27" customHeight="1" x14ac:dyDescent="0.25">
      <c r="A377" s="63" t="s">
        <v>630</v>
      </c>
      <c r="B377" s="63" t="s">
        <v>631</v>
      </c>
      <c r="C377" s="36">
        <v>4301051100</v>
      </c>
      <c r="D377" s="651">
        <v>4607091387766</v>
      </c>
      <c r="E377" s="651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130</v>
      </c>
      <c r="L377" s="37" t="s">
        <v>46</v>
      </c>
      <c r="M377" s="38" t="s">
        <v>90</v>
      </c>
      <c r="N377" s="38"/>
      <c r="O377" s="37">
        <v>40</v>
      </c>
      <c r="P377" s="7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632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633</v>
      </c>
      <c r="B378" s="63" t="s">
        <v>634</v>
      </c>
      <c r="C378" s="36">
        <v>4301051818</v>
      </c>
      <c r="D378" s="651">
        <v>4607091387957</v>
      </c>
      <c r="E378" s="651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7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636</v>
      </c>
      <c r="B379" s="63" t="s">
        <v>637</v>
      </c>
      <c r="C379" s="36">
        <v>4301051819</v>
      </c>
      <c r="D379" s="651">
        <v>4607091387964</v>
      </c>
      <c r="E379" s="651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7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53"/>
      <c r="R379" s="653"/>
      <c r="S379" s="653"/>
      <c r="T379" s="65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639</v>
      </c>
      <c r="B380" s="63" t="s">
        <v>640</v>
      </c>
      <c r="C380" s="36">
        <v>4301051734</v>
      </c>
      <c r="D380" s="651">
        <v>4680115884588</v>
      </c>
      <c r="E380" s="651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91</v>
      </c>
      <c r="L380" s="37" t="s">
        <v>46</v>
      </c>
      <c r="M380" s="38" t="s">
        <v>90</v>
      </c>
      <c r="N380" s="38"/>
      <c r="O380" s="37">
        <v>40</v>
      </c>
      <c r="P380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53"/>
      <c r="R380" s="653"/>
      <c r="S380" s="653"/>
      <c r="T380" s="65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632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45"/>
      <c r="B381" s="645"/>
      <c r="C381" s="645"/>
      <c r="D381" s="645"/>
      <c r="E381" s="645"/>
      <c r="F381" s="645"/>
      <c r="G381" s="645"/>
      <c r="H381" s="645"/>
      <c r="I381" s="645"/>
      <c r="J381" s="645"/>
      <c r="K381" s="645"/>
      <c r="L381" s="645"/>
      <c r="M381" s="645"/>
      <c r="N381" s="645"/>
      <c r="O381" s="646"/>
      <c r="P381" s="642" t="s">
        <v>40</v>
      </c>
      <c r="Q381" s="643"/>
      <c r="R381" s="643"/>
      <c r="S381" s="643"/>
      <c r="T381" s="643"/>
      <c r="U381" s="643"/>
      <c r="V381" s="644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45"/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6"/>
      <c r="P382" s="642" t="s">
        <v>40</v>
      </c>
      <c r="Q382" s="643"/>
      <c r="R382" s="643"/>
      <c r="S382" s="643"/>
      <c r="T382" s="643"/>
      <c r="U382" s="643"/>
      <c r="V382" s="644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656" t="s">
        <v>175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6"/>
      <c r="AB383" s="66"/>
      <c r="AC383" s="80"/>
    </row>
    <row r="384" spans="1:68" ht="27" customHeight="1" x14ac:dyDescent="0.25">
      <c r="A384" s="63" t="s">
        <v>641</v>
      </c>
      <c r="B384" s="63" t="s">
        <v>642</v>
      </c>
      <c r="C384" s="36">
        <v>4301060387</v>
      </c>
      <c r="D384" s="651">
        <v>4607091380880</v>
      </c>
      <c r="E384" s="651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130</v>
      </c>
      <c r="L384" s="37" t="s">
        <v>46</v>
      </c>
      <c r="M384" s="38" t="s">
        <v>90</v>
      </c>
      <c r="N384" s="38"/>
      <c r="O384" s="37">
        <v>30</v>
      </c>
      <c r="P384" s="7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643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644</v>
      </c>
      <c r="B385" s="63" t="s">
        <v>645</v>
      </c>
      <c r="C385" s="36">
        <v>4301060406</v>
      </c>
      <c r="D385" s="651">
        <v>4607091384482</v>
      </c>
      <c r="E385" s="651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4301060484</v>
      </c>
      <c r="D386" s="651">
        <v>4607091380897</v>
      </c>
      <c r="E386" s="651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130</v>
      </c>
      <c r="L386" s="37" t="s">
        <v>46</v>
      </c>
      <c r="M386" s="38" t="s">
        <v>97</v>
      </c>
      <c r="N386" s="38"/>
      <c r="O386" s="37">
        <v>30</v>
      </c>
      <c r="P386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53"/>
      <c r="R386" s="653"/>
      <c r="S386" s="653"/>
      <c r="T386" s="65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45"/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6"/>
      <c r="P388" s="642" t="s">
        <v>40</v>
      </c>
      <c r="Q388" s="643"/>
      <c r="R388" s="643"/>
      <c r="S388" s="643"/>
      <c r="T388" s="643"/>
      <c r="U388" s="643"/>
      <c r="V388" s="64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customHeight="1" x14ac:dyDescent="0.25">
      <c r="A389" s="656" t="s">
        <v>283</v>
      </c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6"/>
      <c r="P389" s="656"/>
      <c r="Q389" s="656"/>
      <c r="R389" s="656"/>
      <c r="S389" s="656"/>
      <c r="T389" s="656"/>
      <c r="U389" s="656"/>
      <c r="V389" s="656"/>
      <c r="W389" s="656"/>
      <c r="X389" s="656"/>
      <c r="Y389" s="656"/>
      <c r="Z389" s="656"/>
      <c r="AA389" s="66"/>
      <c r="AB389" s="66"/>
      <c r="AC389" s="80"/>
    </row>
    <row r="390" spans="1:68" ht="27" customHeight="1" x14ac:dyDescent="0.25">
      <c r="A390" s="63" t="s">
        <v>650</v>
      </c>
      <c r="B390" s="63" t="s">
        <v>651</v>
      </c>
      <c r="C390" s="36">
        <v>4301030235</v>
      </c>
      <c r="D390" s="651">
        <v>4607091388381</v>
      </c>
      <c r="E390" s="651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137</v>
      </c>
      <c r="L390" s="37" t="s">
        <v>46</v>
      </c>
      <c r="M390" s="38" t="s">
        <v>251</v>
      </c>
      <c r="N390" s="38"/>
      <c r="O390" s="37">
        <v>180</v>
      </c>
      <c r="P390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652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653</v>
      </c>
      <c r="B391" s="63" t="s">
        <v>654</v>
      </c>
      <c r="C391" s="36">
        <v>4301030232</v>
      </c>
      <c r="D391" s="651">
        <v>4607091388374</v>
      </c>
      <c r="E391" s="651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652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655</v>
      </c>
      <c r="B392" s="63" t="s">
        <v>656</v>
      </c>
      <c r="C392" s="36">
        <v>4301032015</v>
      </c>
      <c r="D392" s="651">
        <v>4607091383102</v>
      </c>
      <c r="E392" s="651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91</v>
      </c>
      <c r="L392" s="37" t="s">
        <v>46</v>
      </c>
      <c r="M392" s="38" t="s">
        <v>251</v>
      </c>
      <c r="N392" s="38"/>
      <c r="O392" s="37">
        <v>180</v>
      </c>
      <c r="P392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53"/>
      <c r="R392" s="653"/>
      <c r="S392" s="653"/>
      <c r="T392" s="65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652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657</v>
      </c>
      <c r="B393" s="63" t="s">
        <v>658</v>
      </c>
      <c r="C393" s="36">
        <v>4301030233</v>
      </c>
      <c r="D393" s="651">
        <v>4607091388404</v>
      </c>
      <c r="E393" s="651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53"/>
      <c r="R393" s="653"/>
      <c r="S393" s="653"/>
      <c r="T393" s="65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652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42" t="s">
        <v>40</v>
      </c>
      <c r="Q394" s="643"/>
      <c r="R394" s="643"/>
      <c r="S394" s="643"/>
      <c r="T394" s="643"/>
      <c r="U394" s="643"/>
      <c r="V394" s="644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45"/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6"/>
      <c r="P395" s="642" t="s">
        <v>40</v>
      </c>
      <c r="Q395" s="643"/>
      <c r="R395" s="643"/>
      <c r="S395" s="643"/>
      <c r="T395" s="643"/>
      <c r="U395" s="643"/>
      <c r="V395" s="644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customHeight="1" x14ac:dyDescent="0.25">
      <c r="A396" s="656" t="s">
        <v>659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6"/>
      <c r="AB396" s="66"/>
      <c r="AC396" s="80"/>
    </row>
    <row r="397" spans="1:68" ht="16.5" customHeight="1" x14ac:dyDescent="0.25">
      <c r="A397" s="63" t="s">
        <v>660</v>
      </c>
      <c r="B397" s="63" t="s">
        <v>661</v>
      </c>
      <c r="C397" s="36">
        <v>4301180007</v>
      </c>
      <c r="D397" s="651">
        <v>4680115881808</v>
      </c>
      <c r="E397" s="651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91</v>
      </c>
      <c r="L397" s="37" t="s">
        <v>46</v>
      </c>
      <c r="M397" s="38" t="s">
        <v>663</v>
      </c>
      <c r="N397" s="38"/>
      <c r="O397" s="37">
        <v>731</v>
      </c>
      <c r="P397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664</v>
      </c>
      <c r="B398" s="63" t="s">
        <v>665</v>
      </c>
      <c r="C398" s="36">
        <v>4301180006</v>
      </c>
      <c r="D398" s="651">
        <v>4680115881822</v>
      </c>
      <c r="E398" s="65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663</v>
      </c>
      <c r="N398" s="38"/>
      <c r="O398" s="37">
        <v>731</v>
      </c>
      <c r="P398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666</v>
      </c>
      <c r="B399" s="63" t="s">
        <v>667</v>
      </c>
      <c r="C399" s="36">
        <v>4301180001</v>
      </c>
      <c r="D399" s="651">
        <v>4680115880016</v>
      </c>
      <c r="E399" s="65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663</v>
      </c>
      <c r="N399" s="38"/>
      <c r="O399" s="37">
        <v>731</v>
      </c>
      <c r="P399" s="7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53"/>
      <c r="R399" s="653"/>
      <c r="S399" s="653"/>
      <c r="T399" s="65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662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45"/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6"/>
      <c r="P401" s="642" t="s">
        <v>40</v>
      </c>
      <c r="Q401" s="643"/>
      <c r="R401" s="643"/>
      <c r="S401" s="643"/>
      <c r="T401" s="643"/>
      <c r="U401" s="643"/>
      <c r="V401" s="644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customHeight="1" x14ac:dyDescent="0.25">
      <c r="A402" s="656" t="s">
        <v>668</v>
      </c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6"/>
      <c r="P402" s="656"/>
      <c r="Q402" s="656"/>
      <c r="R402" s="656"/>
      <c r="S402" s="656"/>
      <c r="T402" s="656"/>
      <c r="U402" s="656"/>
      <c r="V402" s="656"/>
      <c r="W402" s="656"/>
      <c r="X402" s="656"/>
      <c r="Y402" s="656"/>
      <c r="Z402" s="656"/>
      <c r="AA402" s="66"/>
      <c r="AB402" s="66"/>
      <c r="AC402" s="80"/>
    </row>
    <row r="403" spans="1:68" ht="27" customHeight="1" x14ac:dyDescent="0.25">
      <c r="A403" s="63" t="s">
        <v>669</v>
      </c>
      <c r="B403" s="63" t="s">
        <v>670</v>
      </c>
      <c r="C403" s="36">
        <v>4301220003</v>
      </c>
      <c r="D403" s="651">
        <v>4680115888678</v>
      </c>
      <c r="E403" s="651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91</v>
      </c>
      <c r="L403" s="37" t="s">
        <v>46</v>
      </c>
      <c r="M403" s="38" t="s">
        <v>663</v>
      </c>
      <c r="N403" s="38"/>
      <c r="O403" s="37">
        <v>1096</v>
      </c>
      <c r="P403" s="7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672</v>
      </c>
      <c r="B404" s="63" t="s">
        <v>673</v>
      </c>
      <c r="C404" s="36">
        <v>4301220001</v>
      </c>
      <c r="D404" s="651">
        <v>4680115888654</v>
      </c>
      <c r="E404" s="651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137</v>
      </c>
      <c r="L404" s="37" t="s">
        <v>46</v>
      </c>
      <c r="M404" s="38" t="s">
        <v>663</v>
      </c>
      <c r="N404" s="38"/>
      <c r="O404" s="37">
        <v>1096</v>
      </c>
      <c r="P404" s="7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675</v>
      </c>
      <c r="B405" s="63" t="s">
        <v>676</v>
      </c>
      <c r="C405" s="36">
        <v>4301220002</v>
      </c>
      <c r="D405" s="651">
        <v>4680115888753</v>
      </c>
      <c r="E405" s="651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663</v>
      </c>
      <c r="N405" s="38"/>
      <c r="O405" s="37">
        <v>1096</v>
      </c>
      <c r="P405" s="7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53"/>
      <c r="R405" s="653"/>
      <c r="S405" s="653"/>
      <c r="T405" s="65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671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42" t="s">
        <v>40</v>
      </c>
      <c r="Q407" s="643"/>
      <c r="R407" s="643"/>
      <c r="S407" s="643"/>
      <c r="T407" s="643"/>
      <c r="U407" s="643"/>
      <c r="V407" s="644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customHeight="1" x14ac:dyDescent="0.25">
      <c r="A408" s="655" t="s">
        <v>677</v>
      </c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"/>
      <c r="AB408" s="65"/>
      <c r="AC408" s="79"/>
    </row>
    <row r="409" spans="1:68" ht="14.25" customHeight="1" x14ac:dyDescent="0.25">
      <c r="A409" s="656" t="s">
        <v>86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6"/>
      <c r="AB409" s="66"/>
      <c r="AC409" s="80"/>
    </row>
    <row r="410" spans="1:68" ht="16.5" customHeight="1" x14ac:dyDescent="0.25">
      <c r="A410" s="63" t="s">
        <v>678</v>
      </c>
      <c r="B410" s="63" t="s">
        <v>679</v>
      </c>
      <c r="C410" s="36">
        <v>4301052235</v>
      </c>
      <c r="D410" s="651">
        <v>4680115889415</v>
      </c>
      <c r="E410" s="651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130</v>
      </c>
      <c r="L410" s="37" t="s">
        <v>46</v>
      </c>
      <c r="M410" s="38" t="s">
        <v>90</v>
      </c>
      <c r="N410" s="38"/>
      <c r="O410" s="37">
        <v>40</v>
      </c>
      <c r="P410" s="7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108</v>
      </c>
      <c r="AC410" s="508" t="s">
        <v>680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customHeight="1" x14ac:dyDescent="0.25">
      <c r="A411" s="63" t="s">
        <v>681</v>
      </c>
      <c r="B411" s="63" t="s">
        <v>682</v>
      </c>
      <c r="C411" s="36">
        <v>4301052236</v>
      </c>
      <c r="D411" s="651">
        <v>4680115889422</v>
      </c>
      <c r="E411" s="65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71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53"/>
      <c r="R411" s="653"/>
      <c r="S411" s="653"/>
      <c r="T411" s="65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42" t="s">
        <v>40</v>
      </c>
      <c r="Q413" s="643"/>
      <c r="R413" s="643"/>
      <c r="S413" s="643"/>
      <c r="T413" s="643"/>
      <c r="U413" s="643"/>
      <c r="V413" s="644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customHeight="1" x14ac:dyDescent="0.25">
      <c r="A414" s="655" t="s">
        <v>684</v>
      </c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"/>
      <c r="AB414" s="65"/>
      <c r="AC414" s="79"/>
    </row>
    <row r="415" spans="1:68" ht="14.25" customHeight="1" x14ac:dyDescent="0.25">
      <c r="A415" s="656" t="s">
        <v>86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6"/>
      <c r="AB415" s="66"/>
      <c r="AC415" s="80"/>
    </row>
    <row r="416" spans="1:68" ht="27" customHeight="1" x14ac:dyDescent="0.25">
      <c r="A416" s="63" t="s">
        <v>685</v>
      </c>
      <c r="B416" s="63" t="s">
        <v>686</v>
      </c>
      <c r="C416" s="36">
        <v>4301051489</v>
      </c>
      <c r="D416" s="651">
        <v>4607091387919</v>
      </c>
      <c r="E416" s="651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130</v>
      </c>
      <c r="L416" s="37" t="s">
        <v>46</v>
      </c>
      <c r="M416" s="38" t="s">
        <v>97</v>
      </c>
      <c r="N416" s="38"/>
      <c r="O416" s="37">
        <v>45</v>
      </c>
      <c r="P416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687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688</v>
      </c>
      <c r="B417" s="63" t="s">
        <v>689</v>
      </c>
      <c r="C417" s="36">
        <v>4301051461</v>
      </c>
      <c r="D417" s="651">
        <v>4680115883604</v>
      </c>
      <c r="E417" s="651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91</v>
      </c>
      <c r="L417" s="37" t="s">
        <v>46</v>
      </c>
      <c r="M417" s="38" t="s">
        <v>90</v>
      </c>
      <c r="N417" s="38"/>
      <c r="O417" s="37">
        <v>45</v>
      </c>
      <c r="P417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4301051864</v>
      </c>
      <c r="D418" s="651">
        <v>4680115883567</v>
      </c>
      <c r="E418" s="651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91</v>
      </c>
      <c r="L418" s="37" t="s">
        <v>46</v>
      </c>
      <c r="M418" s="38" t="s">
        <v>97</v>
      </c>
      <c r="N418" s="38"/>
      <c r="O418" s="37">
        <v>40</v>
      </c>
      <c r="P418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53"/>
      <c r="R418" s="653"/>
      <c r="S418" s="653"/>
      <c r="T418" s="65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5"/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6"/>
      <c r="P420" s="642" t="s">
        <v>40</v>
      </c>
      <c r="Q420" s="643"/>
      <c r="R420" s="643"/>
      <c r="S420" s="643"/>
      <c r="T420" s="643"/>
      <c r="U420" s="643"/>
      <c r="V420" s="644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customHeight="1" x14ac:dyDescent="0.2">
      <c r="A421" s="662" t="s">
        <v>694</v>
      </c>
      <c r="B421" s="662"/>
      <c r="C421" s="662"/>
      <c r="D421" s="662"/>
      <c r="E421" s="662"/>
      <c r="F421" s="662"/>
      <c r="G421" s="662"/>
      <c r="H421" s="662"/>
      <c r="I421" s="662"/>
      <c r="J421" s="662"/>
      <c r="K421" s="662"/>
      <c r="L421" s="662"/>
      <c r="M421" s="662"/>
      <c r="N421" s="662"/>
      <c r="O421" s="662"/>
      <c r="P421" s="662"/>
      <c r="Q421" s="662"/>
      <c r="R421" s="662"/>
      <c r="S421" s="662"/>
      <c r="T421" s="662"/>
      <c r="U421" s="662"/>
      <c r="V421" s="662"/>
      <c r="W421" s="662"/>
      <c r="X421" s="662"/>
      <c r="Y421" s="662"/>
      <c r="Z421" s="662"/>
      <c r="AA421" s="54"/>
      <c r="AB421" s="54"/>
      <c r="AC421" s="54"/>
    </row>
    <row r="422" spans="1:68" ht="16.5" customHeight="1" x14ac:dyDescent="0.25">
      <c r="A422" s="655" t="s">
        <v>695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"/>
      <c r="AB422" s="65"/>
      <c r="AC422" s="79"/>
    </row>
    <row r="423" spans="1:68" ht="14.25" customHeight="1" x14ac:dyDescent="0.25">
      <c r="A423" s="656" t="s">
        <v>125</v>
      </c>
      <c r="B423" s="656"/>
      <c r="C423" s="656"/>
      <c r="D423" s="656"/>
      <c r="E423" s="656"/>
      <c r="F423" s="656"/>
      <c r="G423" s="656"/>
      <c r="H423" s="656"/>
      <c r="I423" s="656"/>
      <c r="J423" s="656"/>
      <c r="K423" s="656"/>
      <c r="L423" s="656"/>
      <c r="M423" s="656"/>
      <c r="N423" s="656"/>
      <c r="O423" s="656"/>
      <c r="P423" s="656"/>
      <c r="Q423" s="656"/>
      <c r="R423" s="656"/>
      <c r="S423" s="656"/>
      <c r="T423" s="656"/>
      <c r="U423" s="656"/>
      <c r="V423" s="656"/>
      <c r="W423" s="656"/>
      <c r="X423" s="656"/>
      <c r="Y423" s="656"/>
      <c r="Z423" s="656"/>
      <c r="AA423" s="66"/>
      <c r="AB423" s="66"/>
      <c r="AC423" s="80"/>
    </row>
    <row r="424" spans="1:68" ht="27" customHeight="1" x14ac:dyDescent="0.25">
      <c r="A424" s="63" t="s">
        <v>696</v>
      </c>
      <c r="B424" s="63" t="s">
        <v>697</v>
      </c>
      <c r="C424" s="36">
        <v>4301012332</v>
      </c>
      <c r="D424" s="651">
        <v>4680115888401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130</v>
      </c>
      <c r="L424" s="37" t="s">
        <v>46</v>
      </c>
      <c r="M424" s="38" t="s">
        <v>97</v>
      </c>
      <c r="N424" s="38"/>
      <c r="O424" s="37">
        <v>60</v>
      </c>
      <c r="P424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698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699</v>
      </c>
      <c r="B425" s="63" t="s">
        <v>700</v>
      </c>
      <c r="C425" s="36">
        <v>4301011869</v>
      </c>
      <c r="D425" s="651">
        <v>4680115884847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9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0</v>
      </c>
      <c r="BN425" s="78">
        <f t="shared" si="61"/>
        <v>0</v>
      </c>
      <c r="BO425" s="78">
        <f t="shared" si="62"/>
        <v>0</v>
      </c>
      <c r="BP425" s="78">
        <f t="shared" si="63"/>
        <v>0</v>
      </c>
    </row>
    <row r="426" spans="1:68" ht="27" customHeight="1" x14ac:dyDescent="0.25">
      <c r="A426" s="63" t="s">
        <v>702</v>
      </c>
      <c r="B426" s="63" t="s">
        <v>703</v>
      </c>
      <c r="C426" s="36">
        <v>4301012083</v>
      </c>
      <c r="D426" s="651">
        <v>4680115884854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129</v>
      </c>
      <c r="N426" s="38"/>
      <c r="O426" s="37">
        <v>60</v>
      </c>
      <c r="P426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4301011867</v>
      </c>
      <c r="D427" s="651">
        <v>4680115884830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81</v>
      </c>
      <c r="N427" s="38"/>
      <c r="O427" s="37">
        <v>60</v>
      </c>
      <c r="P427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customHeight="1" x14ac:dyDescent="0.25">
      <c r="A428" s="63" t="s">
        <v>708</v>
      </c>
      <c r="B428" s="63" t="s">
        <v>709</v>
      </c>
      <c r="C428" s="36">
        <v>4301012356</v>
      </c>
      <c r="D428" s="651">
        <v>4680115889231</v>
      </c>
      <c r="E428" s="65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97</v>
      </c>
      <c r="N428" s="38"/>
      <c r="O428" s="37">
        <v>60</v>
      </c>
      <c r="P428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customHeight="1" x14ac:dyDescent="0.25">
      <c r="A429" s="63" t="s">
        <v>711</v>
      </c>
      <c r="B429" s="63" t="s">
        <v>712</v>
      </c>
      <c r="C429" s="36">
        <v>4301011433</v>
      </c>
      <c r="D429" s="651">
        <v>4680115882638</v>
      </c>
      <c r="E429" s="651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137</v>
      </c>
      <c r="L429" s="37" t="s">
        <v>46</v>
      </c>
      <c r="M429" s="38" t="s">
        <v>129</v>
      </c>
      <c r="N429" s="38"/>
      <c r="O429" s="37">
        <v>90</v>
      </c>
      <c r="P429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customHeight="1" x14ac:dyDescent="0.25">
      <c r="A430" s="63" t="s">
        <v>714</v>
      </c>
      <c r="B430" s="63" t="s">
        <v>715</v>
      </c>
      <c r="C430" s="36">
        <v>4301011952</v>
      </c>
      <c r="D430" s="651">
        <v>4680115884922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137</v>
      </c>
      <c r="L430" s="37" t="s">
        <v>46</v>
      </c>
      <c r="M430" s="38" t="s">
        <v>81</v>
      </c>
      <c r="N430" s="38"/>
      <c r="O430" s="37">
        <v>60</v>
      </c>
      <c r="P430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customHeight="1" x14ac:dyDescent="0.25">
      <c r="A431" s="63" t="s">
        <v>717</v>
      </c>
      <c r="B431" s="63" t="s">
        <v>718</v>
      </c>
      <c r="C431" s="36">
        <v>4301011868</v>
      </c>
      <c r="D431" s="651">
        <v>4680115884861</v>
      </c>
      <c r="E431" s="65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53"/>
      <c r="R431" s="653"/>
      <c r="S431" s="653"/>
      <c r="T431" s="65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0</v>
      </c>
      <c r="Y432" s="43">
        <f>IFERROR(Y424/H424,"0")+IFERROR(Y425/H425,"0")+IFERROR(Y426/H426,"0")+IFERROR(Y427/H427,"0")+IFERROR(Y428/H428,"0")+IFERROR(Y429/H429,"0")+IFERROR(Y430/H430,"0")+IFERROR(Y431/H431,"0")</f>
        <v>0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45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42" t="s">
        <v>40</v>
      </c>
      <c r="Q433" s="643"/>
      <c r="R433" s="643"/>
      <c r="S433" s="643"/>
      <c r="T433" s="643"/>
      <c r="U433" s="643"/>
      <c r="V433" s="644"/>
      <c r="W433" s="42" t="s">
        <v>0</v>
      </c>
      <c r="X433" s="43">
        <f>IFERROR(SUM(X424:X431),"0")</f>
        <v>0</v>
      </c>
      <c r="Y433" s="43">
        <f>IFERROR(SUM(Y424:Y431),"0")</f>
        <v>0</v>
      </c>
      <c r="Z433" s="42"/>
      <c r="AA433" s="67"/>
      <c r="AB433" s="67"/>
      <c r="AC433" s="67"/>
    </row>
    <row r="434" spans="1:68" ht="14.25" customHeight="1" x14ac:dyDescent="0.25">
      <c r="A434" s="656" t="s">
        <v>158</v>
      </c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6"/>
      <c r="P434" s="656"/>
      <c r="Q434" s="656"/>
      <c r="R434" s="656"/>
      <c r="S434" s="656"/>
      <c r="T434" s="656"/>
      <c r="U434" s="656"/>
      <c r="V434" s="656"/>
      <c r="W434" s="656"/>
      <c r="X434" s="656"/>
      <c r="Y434" s="656"/>
      <c r="Z434" s="656"/>
      <c r="AA434" s="66"/>
      <c r="AB434" s="66"/>
      <c r="AC434" s="80"/>
    </row>
    <row r="435" spans="1:68" ht="27" customHeight="1" x14ac:dyDescent="0.25">
      <c r="A435" s="63" t="s">
        <v>720</v>
      </c>
      <c r="B435" s="63" t="s">
        <v>721</v>
      </c>
      <c r="C435" s="36">
        <v>4301020178</v>
      </c>
      <c r="D435" s="651">
        <v>4607091383980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130</v>
      </c>
      <c r="L435" s="37" t="s">
        <v>46</v>
      </c>
      <c r="M435" s="38" t="s">
        <v>129</v>
      </c>
      <c r="N435" s="38"/>
      <c r="O435" s="37">
        <v>50</v>
      </c>
      <c r="P435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722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723</v>
      </c>
      <c r="B436" s="63" t="s">
        <v>724</v>
      </c>
      <c r="C436" s="36">
        <v>4301020355</v>
      </c>
      <c r="D436" s="651">
        <v>4680115888425</v>
      </c>
      <c r="E436" s="65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726</v>
      </c>
      <c r="B437" s="63" t="s">
        <v>727</v>
      </c>
      <c r="C437" s="36">
        <v>4301020179</v>
      </c>
      <c r="D437" s="651">
        <v>4607091384178</v>
      </c>
      <c r="E437" s="651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137</v>
      </c>
      <c r="L437" s="37" t="s">
        <v>46</v>
      </c>
      <c r="M437" s="38" t="s">
        <v>129</v>
      </c>
      <c r="N437" s="38"/>
      <c r="O437" s="37">
        <v>50</v>
      </c>
      <c r="P437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53"/>
      <c r="R437" s="653"/>
      <c r="S437" s="653"/>
      <c r="T437" s="65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45"/>
      <c r="B439" s="645"/>
      <c r="C439" s="645"/>
      <c r="D439" s="645"/>
      <c r="E439" s="645"/>
      <c r="F439" s="645"/>
      <c r="G439" s="645"/>
      <c r="H439" s="645"/>
      <c r="I439" s="645"/>
      <c r="J439" s="645"/>
      <c r="K439" s="645"/>
      <c r="L439" s="645"/>
      <c r="M439" s="645"/>
      <c r="N439" s="645"/>
      <c r="O439" s="646"/>
      <c r="P439" s="642" t="s">
        <v>40</v>
      </c>
      <c r="Q439" s="643"/>
      <c r="R439" s="643"/>
      <c r="S439" s="643"/>
      <c r="T439" s="643"/>
      <c r="U439" s="643"/>
      <c r="V439" s="644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56" t="s">
        <v>86</v>
      </c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6"/>
      <c r="P440" s="656"/>
      <c r="Q440" s="656"/>
      <c r="R440" s="656"/>
      <c r="S440" s="656"/>
      <c r="T440" s="656"/>
      <c r="U440" s="656"/>
      <c r="V440" s="656"/>
      <c r="W440" s="656"/>
      <c r="X440" s="656"/>
      <c r="Y440" s="656"/>
      <c r="Z440" s="656"/>
      <c r="AA440" s="66"/>
      <c r="AB440" s="66"/>
      <c r="AC440" s="80"/>
    </row>
    <row r="441" spans="1:68" ht="27" customHeight="1" x14ac:dyDescent="0.25">
      <c r="A441" s="63" t="s">
        <v>729</v>
      </c>
      <c r="B441" s="63" t="s">
        <v>730</v>
      </c>
      <c r="C441" s="36">
        <v>4301051903</v>
      </c>
      <c r="D441" s="651">
        <v>4607091383928</v>
      </c>
      <c r="E441" s="651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130</v>
      </c>
      <c r="L441" s="37" t="s">
        <v>46</v>
      </c>
      <c r="M441" s="38" t="s">
        <v>90</v>
      </c>
      <c r="N441" s="38"/>
      <c r="O441" s="37">
        <v>40</v>
      </c>
      <c r="P441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731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732</v>
      </c>
      <c r="B442" s="63" t="s">
        <v>733</v>
      </c>
      <c r="C442" s="36">
        <v>4301051897</v>
      </c>
      <c r="D442" s="651">
        <v>4607091384260</v>
      </c>
      <c r="E442" s="651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4301052220</v>
      </c>
      <c r="D443" s="651">
        <v>4680115889538</v>
      </c>
      <c r="E443" s="651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130</v>
      </c>
      <c r="L443" s="37" t="s">
        <v>46</v>
      </c>
      <c r="M443" s="38" t="s">
        <v>90</v>
      </c>
      <c r="N443" s="38"/>
      <c r="O443" s="37">
        <v>45</v>
      </c>
      <c r="P443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53"/>
      <c r="R443" s="653"/>
      <c r="S443" s="653"/>
      <c r="T443" s="65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45"/>
      <c r="B445" s="645"/>
      <c r="C445" s="645"/>
      <c r="D445" s="645"/>
      <c r="E445" s="645"/>
      <c r="F445" s="645"/>
      <c r="G445" s="645"/>
      <c r="H445" s="645"/>
      <c r="I445" s="645"/>
      <c r="J445" s="645"/>
      <c r="K445" s="645"/>
      <c r="L445" s="645"/>
      <c r="M445" s="645"/>
      <c r="N445" s="645"/>
      <c r="O445" s="646"/>
      <c r="P445" s="642" t="s">
        <v>40</v>
      </c>
      <c r="Q445" s="643"/>
      <c r="R445" s="643"/>
      <c r="S445" s="643"/>
      <c r="T445" s="643"/>
      <c r="U445" s="643"/>
      <c r="V445" s="64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56" t="s">
        <v>175</v>
      </c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6"/>
      <c r="P446" s="656"/>
      <c r="Q446" s="656"/>
      <c r="R446" s="656"/>
      <c r="S446" s="656"/>
      <c r="T446" s="656"/>
      <c r="U446" s="656"/>
      <c r="V446" s="656"/>
      <c r="W446" s="656"/>
      <c r="X446" s="656"/>
      <c r="Y446" s="656"/>
      <c r="Z446" s="656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4301060537</v>
      </c>
      <c r="D447" s="651">
        <v>4680115889545</v>
      </c>
      <c r="E447" s="651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130</v>
      </c>
      <c r="L447" s="37" t="s">
        <v>46</v>
      </c>
      <c r="M447" s="38" t="s">
        <v>90</v>
      </c>
      <c r="N447" s="38"/>
      <c r="O447" s="37">
        <v>30</v>
      </c>
      <c r="P447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740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customHeight="1" x14ac:dyDescent="0.25">
      <c r="A448" s="63" t="s">
        <v>741</v>
      </c>
      <c r="B448" s="63" t="s">
        <v>742</v>
      </c>
      <c r="C448" s="36">
        <v>4301060524</v>
      </c>
      <c r="D448" s="651">
        <v>4607091384673</v>
      </c>
      <c r="E448" s="651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130</v>
      </c>
      <c r="L448" s="37" t="s">
        <v>46</v>
      </c>
      <c r="M448" s="38" t="s">
        <v>90</v>
      </c>
      <c r="N448" s="38"/>
      <c r="O448" s="37">
        <v>40</v>
      </c>
      <c r="P448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53"/>
      <c r="R448" s="653"/>
      <c r="S448" s="653"/>
      <c r="T448" s="65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x14ac:dyDescent="0.2">
      <c r="A450" s="645"/>
      <c r="B450" s="645"/>
      <c r="C450" s="645"/>
      <c r="D450" s="645"/>
      <c r="E450" s="645"/>
      <c r="F450" s="645"/>
      <c r="G450" s="645"/>
      <c r="H450" s="645"/>
      <c r="I450" s="645"/>
      <c r="J450" s="645"/>
      <c r="K450" s="645"/>
      <c r="L450" s="645"/>
      <c r="M450" s="645"/>
      <c r="N450" s="645"/>
      <c r="O450" s="646"/>
      <c r="P450" s="642" t="s">
        <v>40</v>
      </c>
      <c r="Q450" s="643"/>
      <c r="R450" s="643"/>
      <c r="S450" s="643"/>
      <c r="T450" s="643"/>
      <c r="U450" s="643"/>
      <c r="V450" s="644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customHeight="1" x14ac:dyDescent="0.25">
      <c r="A451" s="655" t="s">
        <v>744</v>
      </c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"/>
      <c r="AB451" s="65"/>
      <c r="AC451" s="79"/>
    </row>
    <row r="452" spans="1:68" ht="14.25" customHeight="1" x14ac:dyDescent="0.25">
      <c r="A452" s="656" t="s">
        <v>125</v>
      </c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6"/>
      <c r="P452" s="656"/>
      <c r="Q452" s="656"/>
      <c r="R452" s="656"/>
      <c r="S452" s="656"/>
      <c r="T452" s="656"/>
      <c r="U452" s="656"/>
      <c r="V452" s="656"/>
      <c r="W452" s="656"/>
      <c r="X452" s="656"/>
      <c r="Y452" s="656"/>
      <c r="Z452" s="656"/>
      <c r="AA452" s="66"/>
      <c r="AB452" s="66"/>
      <c r="AC452" s="80"/>
    </row>
    <row r="453" spans="1:68" ht="27" customHeight="1" x14ac:dyDescent="0.25">
      <c r="A453" s="63" t="s">
        <v>745</v>
      </c>
      <c r="B453" s="63" t="s">
        <v>746</v>
      </c>
      <c r="C453" s="36">
        <v>4301011875</v>
      </c>
      <c r="D453" s="651">
        <v>4680115884885</v>
      </c>
      <c r="E453" s="651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130</v>
      </c>
      <c r="L453" s="37" t="s">
        <v>46</v>
      </c>
      <c r="M453" s="38" t="s">
        <v>81</v>
      </c>
      <c r="N453" s="38"/>
      <c r="O453" s="37">
        <v>60</v>
      </c>
      <c r="P453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747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customHeight="1" x14ac:dyDescent="0.25">
      <c r="A454" s="63" t="s">
        <v>748</v>
      </c>
      <c r="B454" s="63" t="s">
        <v>749</v>
      </c>
      <c r="C454" s="36">
        <v>4301011871</v>
      </c>
      <c r="D454" s="651">
        <v>4680115884908</v>
      </c>
      <c r="E454" s="651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137</v>
      </c>
      <c r="L454" s="37" t="s">
        <v>46</v>
      </c>
      <c r="M454" s="38" t="s">
        <v>81</v>
      </c>
      <c r="N454" s="38"/>
      <c r="O454" s="37">
        <v>60</v>
      </c>
      <c r="P454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53"/>
      <c r="R454" s="653"/>
      <c r="S454" s="653"/>
      <c r="T454" s="65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747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645"/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6"/>
      <c r="P456" s="642" t="s">
        <v>40</v>
      </c>
      <c r="Q456" s="643"/>
      <c r="R456" s="643"/>
      <c r="S456" s="643"/>
      <c r="T456" s="643"/>
      <c r="U456" s="643"/>
      <c r="V456" s="644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656" t="s">
        <v>77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6"/>
      <c r="AB457" s="66"/>
      <c r="AC457" s="80"/>
    </row>
    <row r="458" spans="1:68" ht="27" customHeight="1" x14ac:dyDescent="0.25">
      <c r="A458" s="63" t="s">
        <v>750</v>
      </c>
      <c r="B458" s="63" t="s">
        <v>751</v>
      </c>
      <c r="C458" s="36">
        <v>4301031457</v>
      </c>
      <c r="D458" s="651">
        <v>4607091384802</v>
      </c>
      <c r="E458" s="651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137</v>
      </c>
      <c r="L458" s="37" t="s">
        <v>46</v>
      </c>
      <c r="M458" s="38" t="s">
        <v>81</v>
      </c>
      <c r="N458" s="38"/>
      <c r="O458" s="37">
        <v>50</v>
      </c>
      <c r="P458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53"/>
      <c r="R458" s="653"/>
      <c r="S458" s="653"/>
      <c r="T458" s="65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752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45"/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6"/>
      <c r="P460" s="642" t="s">
        <v>40</v>
      </c>
      <c r="Q460" s="643"/>
      <c r="R460" s="643"/>
      <c r="S460" s="643"/>
      <c r="T460" s="643"/>
      <c r="U460" s="643"/>
      <c r="V460" s="644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656" t="s">
        <v>86</v>
      </c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6"/>
      <c r="P461" s="656"/>
      <c r="Q461" s="656"/>
      <c r="R461" s="656"/>
      <c r="S461" s="656"/>
      <c r="T461" s="656"/>
      <c r="U461" s="656"/>
      <c r="V461" s="656"/>
      <c r="W461" s="656"/>
      <c r="X461" s="656"/>
      <c r="Y461" s="656"/>
      <c r="Z461" s="656"/>
      <c r="AA461" s="66"/>
      <c r="AB461" s="66"/>
      <c r="AC461" s="80"/>
    </row>
    <row r="462" spans="1:68" ht="27" customHeight="1" x14ac:dyDescent="0.25">
      <c r="A462" s="63" t="s">
        <v>753</v>
      </c>
      <c r="B462" s="63" t="s">
        <v>754</v>
      </c>
      <c r="C462" s="36">
        <v>4301051899</v>
      </c>
      <c r="D462" s="651">
        <v>4607091384246</v>
      </c>
      <c r="E462" s="651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130</v>
      </c>
      <c r="L462" s="37" t="s">
        <v>46</v>
      </c>
      <c r="M462" s="38" t="s">
        <v>90</v>
      </c>
      <c r="N462" s="38"/>
      <c r="O462" s="37">
        <v>40</v>
      </c>
      <c r="P462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755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4301051660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755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756</v>
      </c>
      <c r="B464" s="63" t="s">
        <v>758</v>
      </c>
      <c r="C464" s="36">
        <v>4301052069</v>
      </c>
      <c r="D464" s="651">
        <v>4607091384253</v>
      </c>
      <c r="E464" s="65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53"/>
      <c r="R464" s="653"/>
      <c r="S464" s="653"/>
      <c r="T464" s="65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45"/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6"/>
      <c r="P466" s="642" t="s">
        <v>40</v>
      </c>
      <c r="Q466" s="643"/>
      <c r="R466" s="643"/>
      <c r="S466" s="643"/>
      <c r="T466" s="643"/>
      <c r="U466" s="643"/>
      <c r="V466" s="644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">
      <c r="A467" s="662" t="s">
        <v>760</v>
      </c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2"/>
      <c r="P467" s="662"/>
      <c r="Q467" s="662"/>
      <c r="R467" s="662"/>
      <c r="S467" s="662"/>
      <c r="T467" s="662"/>
      <c r="U467" s="662"/>
      <c r="V467" s="662"/>
      <c r="W467" s="662"/>
      <c r="X467" s="662"/>
      <c r="Y467" s="662"/>
      <c r="Z467" s="662"/>
      <c r="AA467" s="54"/>
      <c r="AB467" s="54"/>
      <c r="AC467" s="54"/>
    </row>
    <row r="468" spans="1:68" ht="16.5" customHeight="1" x14ac:dyDescent="0.25">
      <c r="A468" s="655" t="s">
        <v>761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"/>
      <c r="AB468" s="65"/>
      <c r="AC468" s="79"/>
    </row>
    <row r="469" spans="1:68" ht="14.25" customHeight="1" x14ac:dyDescent="0.25">
      <c r="A469" s="656" t="s">
        <v>77</v>
      </c>
      <c r="B469" s="656"/>
      <c r="C469" s="656"/>
      <c r="D469" s="656"/>
      <c r="E469" s="656"/>
      <c r="F469" s="656"/>
      <c r="G469" s="656"/>
      <c r="H469" s="656"/>
      <c r="I469" s="656"/>
      <c r="J469" s="656"/>
      <c r="K469" s="656"/>
      <c r="L469" s="656"/>
      <c r="M469" s="656"/>
      <c r="N469" s="656"/>
      <c r="O469" s="656"/>
      <c r="P469" s="656"/>
      <c r="Q469" s="656"/>
      <c r="R469" s="656"/>
      <c r="S469" s="656"/>
      <c r="T469" s="656"/>
      <c r="U469" s="656"/>
      <c r="V469" s="656"/>
      <c r="W469" s="656"/>
      <c r="X469" s="656"/>
      <c r="Y469" s="656"/>
      <c r="Z469" s="656"/>
      <c r="AA469" s="66"/>
      <c r="AB469" s="66"/>
      <c r="AC469" s="80"/>
    </row>
    <row r="470" spans="1:68" ht="27" customHeight="1" x14ac:dyDescent="0.25">
      <c r="A470" s="63" t="s">
        <v>762</v>
      </c>
      <c r="B470" s="63" t="s">
        <v>763</v>
      </c>
      <c r="C470" s="36">
        <v>4301031405</v>
      </c>
      <c r="D470" s="651">
        <v>4680115886100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137</v>
      </c>
      <c r="L470" s="37" t="s">
        <v>46</v>
      </c>
      <c r="M470" s="38" t="s">
        <v>81</v>
      </c>
      <c r="N470" s="38"/>
      <c r="O470" s="37">
        <v>50</v>
      </c>
      <c r="P470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764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customHeight="1" x14ac:dyDescent="0.25">
      <c r="A471" s="63" t="s">
        <v>765</v>
      </c>
      <c r="B471" s="63" t="s">
        <v>766</v>
      </c>
      <c r="C471" s="36">
        <v>4301031402</v>
      </c>
      <c r="D471" s="651">
        <v>4680115886124</v>
      </c>
      <c r="E471" s="65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customHeight="1" x14ac:dyDescent="0.25">
      <c r="A472" s="63" t="s">
        <v>768</v>
      </c>
      <c r="B472" s="63" t="s">
        <v>769</v>
      </c>
      <c r="C472" s="36">
        <v>4301031362</v>
      </c>
      <c r="D472" s="651">
        <v>4607091384338</v>
      </c>
      <c r="E472" s="65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764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4301031364</v>
      </c>
      <c r="D473" s="651">
        <v>4680115883161</v>
      </c>
      <c r="E473" s="651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4301031358</v>
      </c>
      <c r="D474" s="651">
        <v>4607091389531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customHeight="1" x14ac:dyDescent="0.25">
      <c r="A475" s="63" t="s">
        <v>776</v>
      </c>
      <c r="B475" s="63" t="s">
        <v>777</v>
      </c>
      <c r="C475" s="36">
        <v>4301031360</v>
      </c>
      <c r="D475" s="651">
        <v>4607091384345</v>
      </c>
      <c r="E475" s="65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53"/>
      <c r="R475" s="653"/>
      <c r="S475" s="653"/>
      <c r="T475" s="65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645"/>
      <c r="B477" s="645"/>
      <c r="C477" s="645"/>
      <c r="D477" s="645"/>
      <c r="E477" s="645"/>
      <c r="F477" s="645"/>
      <c r="G477" s="645"/>
      <c r="H477" s="645"/>
      <c r="I477" s="645"/>
      <c r="J477" s="645"/>
      <c r="K477" s="645"/>
      <c r="L477" s="645"/>
      <c r="M477" s="645"/>
      <c r="N477" s="645"/>
      <c r="O477" s="646"/>
      <c r="P477" s="642" t="s">
        <v>40</v>
      </c>
      <c r="Q477" s="643"/>
      <c r="R477" s="643"/>
      <c r="S477" s="643"/>
      <c r="T477" s="643"/>
      <c r="U477" s="643"/>
      <c r="V477" s="644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customHeight="1" x14ac:dyDescent="0.25">
      <c r="A478" s="656" t="s">
        <v>86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66"/>
      <c r="AB478" s="66"/>
      <c r="AC478" s="80"/>
    </row>
    <row r="479" spans="1:68" ht="27" customHeight="1" x14ac:dyDescent="0.25">
      <c r="A479" s="63" t="s">
        <v>778</v>
      </c>
      <c r="B479" s="63" t="s">
        <v>779</v>
      </c>
      <c r="C479" s="36">
        <v>4301051284</v>
      </c>
      <c r="D479" s="651">
        <v>4607091384352</v>
      </c>
      <c r="E479" s="651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137</v>
      </c>
      <c r="L479" s="37" t="s">
        <v>46</v>
      </c>
      <c r="M479" s="38" t="s">
        <v>90</v>
      </c>
      <c r="N479" s="38"/>
      <c r="O479" s="37">
        <v>45</v>
      </c>
      <c r="P479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780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781</v>
      </c>
      <c r="B480" s="63" t="s">
        <v>782</v>
      </c>
      <c r="C480" s="36">
        <v>4301051431</v>
      </c>
      <c r="D480" s="651">
        <v>4607091389654</v>
      </c>
      <c r="E480" s="651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45</v>
      </c>
      <c r="P480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53"/>
      <c r="R480" s="653"/>
      <c r="S480" s="653"/>
      <c r="T480" s="65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45"/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6"/>
      <c r="P482" s="642" t="s">
        <v>40</v>
      </c>
      <c r="Q482" s="643"/>
      <c r="R482" s="643"/>
      <c r="S482" s="643"/>
      <c r="T482" s="643"/>
      <c r="U482" s="643"/>
      <c r="V482" s="64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55" t="s">
        <v>784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"/>
      <c r="AB483" s="65"/>
      <c r="AC483" s="79"/>
    </row>
    <row r="484" spans="1:68" ht="14.25" customHeight="1" x14ac:dyDescent="0.25">
      <c r="A484" s="656" t="s">
        <v>158</v>
      </c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6"/>
      <c r="P484" s="656"/>
      <c r="Q484" s="656"/>
      <c r="R484" s="656"/>
      <c r="S484" s="656"/>
      <c r="T484" s="656"/>
      <c r="U484" s="656"/>
      <c r="V484" s="656"/>
      <c r="W484" s="656"/>
      <c r="X484" s="656"/>
      <c r="Y484" s="656"/>
      <c r="Z484" s="656"/>
      <c r="AA484" s="66"/>
      <c r="AB484" s="66"/>
      <c r="AC484" s="80"/>
    </row>
    <row r="485" spans="1:68" ht="27" customHeight="1" x14ac:dyDescent="0.25">
      <c r="A485" s="63" t="s">
        <v>785</v>
      </c>
      <c r="B485" s="63" t="s">
        <v>786</v>
      </c>
      <c r="C485" s="36">
        <v>4301020416</v>
      </c>
      <c r="D485" s="651">
        <v>4680115885240</v>
      </c>
      <c r="E485" s="651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91</v>
      </c>
      <c r="L485" s="37" t="s">
        <v>46</v>
      </c>
      <c r="M485" s="38" t="s">
        <v>81</v>
      </c>
      <c r="N485" s="38"/>
      <c r="O485" s="37">
        <v>40</v>
      </c>
      <c r="P485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53"/>
      <c r="R485" s="653"/>
      <c r="S485" s="653"/>
      <c r="T485" s="65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787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45"/>
      <c r="B487" s="645"/>
      <c r="C487" s="645"/>
      <c r="D487" s="645"/>
      <c r="E487" s="645"/>
      <c r="F487" s="645"/>
      <c r="G487" s="645"/>
      <c r="H487" s="645"/>
      <c r="I487" s="645"/>
      <c r="J487" s="645"/>
      <c r="K487" s="645"/>
      <c r="L487" s="645"/>
      <c r="M487" s="645"/>
      <c r="N487" s="645"/>
      <c r="O487" s="646"/>
      <c r="P487" s="642" t="s">
        <v>40</v>
      </c>
      <c r="Q487" s="643"/>
      <c r="R487" s="643"/>
      <c r="S487" s="643"/>
      <c r="T487" s="643"/>
      <c r="U487" s="643"/>
      <c r="V487" s="64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56" t="s">
        <v>77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6"/>
      <c r="AB488" s="66"/>
      <c r="AC488" s="80"/>
    </row>
    <row r="489" spans="1:68" ht="27" customHeight="1" x14ac:dyDescent="0.25">
      <c r="A489" s="63" t="s">
        <v>788</v>
      </c>
      <c r="B489" s="63" t="s">
        <v>789</v>
      </c>
      <c r="C489" s="36">
        <v>4301031407</v>
      </c>
      <c r="D489" s="651">
        <v>4680115886094</v>
      </c>
      <c r="E489" s="651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137</v>
      </c>
      <c r="L489" s="37" t="s">
        <v>46</v>
      </c>
      <c r="M489" s="38" t="s">
        <v>81</v>
      </c>
      <c r="N489" s="38"/>
      <c r="O489" s="37">
        <v>50</v>
      </c>
      <c r="P489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790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791</v>
      </c>
      <c r="B490" s="63" t="s">
        <v>792</v>
      </c>
      <c r="C490" s="36">
        <v>4301031373</v>
      </c>
      <c r="D490" s="651">
        <v>4680115880771</v>
      </c>
      <c r="E490" s="651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4301031359</v>
      </c>
      <c r="D491" s="651">
        <v>4607091389500</v>
      </c>
      <c r="E491" s="651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53"/>
      <c r="R491" s="653"/>
      <c r="S491" s="653"/>
      <c r="T491" s="65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793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645"/>
      <c r="B493" s="645"/>
      <c r="C493" s="645"/>
      <c r="D493" s="645"/>
      <c r="E493" s="645"/>
      <c r="F493" s="645"/>
      <c r="G493" s="645"/>
      <c r="H493" s="645"/>
      <c r="I493" s="645"/>
      <c r="J493" s="645"/>
      <c r="K493" s="645"/>
      <c r="L493" s="645"/>
      <c r="M493" s="645"/>
      <c r="N493" s="645"/>
      <c r="O493" s="646"/>
      <c r="P493" s="642" t="s">
        <v>40</v>
      </c>
      <c r="Q493" s="643"/>
      <c r="R493" s="643"/>
      <c r="S493" s="643"/>
      <c r="T493" s="643"/>
      <c r="U493" s="643"/>
      <c r="V493" s="644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customHeight="1" x14ac:dyDescent="0.2">
      <c r="A494" s="662" t="s">
        <v>796</v>
      </c>
      <c r="B494" s="662"/>
      <c r="C494" s="662"/>
      <c r="D494" s="662"/>
      <c r="E494" s="662"/>
      <c r="F494" s="662"/>
      <c r="G494" s="662"/>
      <c r="H494" s="662"/>
      <c r="I494" s="662"/>
      <c r="J494" s="662"/>
      <c r="K494" s="662"/>
      <c r="L494" s="662"/>
      <c r="M494" s="662"/>
      <c r="N494" s="662"/>
      <c r="O494" s="662"/>
      <c r="P494" s="662"/>
      <c r="Q494" s="662"/>
      <c r="R494" s="662"/>
      <c r="S494" s="662"/>
      <c r="T494" s="662"/>
      <c r="U494" s="662"/>
      <c r="V494" s="662"/>
      <c r="W494" s="662"/>
      <c r="X494" s="662"/>
      <c r="Y494" s="662"/>
      <c r="Z494" s="662"/>
      <c r="AA494" s="54"/>
      <c r="AB494" s="54"/>
      <c r="AC494" s="54"/>
    </row>
    <row r="495" spans="1:68" ht="16.5" customHeight="1" x14ac:dyDescent="0.25">
      <c r="A495" s="655" t="s">
        <v>796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"/>
      <c r="AB495" s="65"/>
      <c r="AC495" s="79"/>
    </row>
    <row r="496" spans="1:68" ht="14.25" customHeight="1" x14ac:dyDescent="0.25">
      <c r="A496" s="656" t="s">
        <v>125</v>
      </c>
      <c r="B496" s="656"/>
      <c r="C496" s="656"/>
      <c r="D496" s="656"/>
      <c r="E496" s="656"/>
      <c r="F496" s="656"/>
      <c r="G496" s="656"/>
      <c r="H496" s="656"/>
      <c r="I496" s="656"/>
      <c r="J496" s="656"/>
      <c r="K496" s="656"/>
      <c r="L496" s="656"/>
      <c r="M496" s="656"/>
      <c r="N496" s="656"/>
      <c r="O496" s="656"/>
      <c r="P496" s="656"/>
      <c r="Q496" s="656"/>
      <c r="R496" s="656"/>
      <c r="S496" s="656"/>
      <c r="T496" s="656"/>
      <c r="U496" s="656"/>
      <c r="V496" s="656"/>
      <c r="W496" s="656"/>
      <c r="X496" s="656"/>
      <c r="Y496" s="656"/>
      <c r="Z496" s="656"/>
      <c r="AA496" s="66"/>
      <c r="AB496" s="66"/>
      <c r="AC496" s="80"/>
    </row>
    <row r="497" spans="1:68" ht="27" customHeight="1" x14ac:dyDescent="0.25">
      <c r="A497" s="63" t="s">
        <v>797</v>
      </c>
      <c r="B497" s="63" t="s">
        <v>798</v>
      </c>
      <c r="C497" s="36">
        <v>4301011769</v>
      </c>
      <c r="D497" s="651">
        <v>4607091389067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130</v>
      </c>
      <c r="L497" s="37" t="s">
        <v>46</v>
      </c>
      <c r="M497" s="38" t="s">
        <v>90</v>
      </c>
      <c r="N497" s="38"/>
      <c r="O497" s="37">
        <v>60</v>
      </c>
      <c r="P497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128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customHeight="1" x14ac:dyDescent="0.25">
      <c r="A498" s="63" t="s">
        <v>799</v>
      </c>
      <c r="B498" s="63" t="s">
        <v>800</v>
      </c>
      <c r="C498" s="36">
        <v>4301012380</v>
      </c>
      <c r="D498" s="651">
        <v>4680115889576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129</v>
      </c>
      <c r="N498" s="38"/>
      <c r="O498" s="37">
        <v>60</v>
      </c>
      <c r="P498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801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4301011961</v>
      </c>
      <c r="D499" s="651">
        <v>4680115885271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805</v>
      </c>
      <c r="B500" s="63" t="s">
        <v>806</v>
      </c>
      <c r="C500" s="36">
        <v>4301011369</v>
      </c>
      <c r="D500" s="651">
        <v>4680115885226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customHeight="1" x14ac:dyDescent="0.25">
      <c r="A501" s="63" t="s">
        <v>808</v>
      </c>
      <c r="B501" s="63" t="s">
        <v>809</v>
      </c>
      <c r="C501" s="36">
        <v>4301011797</v>
      </c>
      <c r="D501" s="651">
        <v>4680115884502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customHeight="1" x14ac:dyDescent="0.25">
      <c r="A502" s="63" t="s">
        <v>811</v>
      </c>
      <c r="B502" s="63" t="s">
        <v>812</v>
      </c>
      <c r="C502" s="36">
        <v>4301011771</v>
      </c>
      <c r="D502" s="651">
        <v>4607091389104</v>
      </c>
      <c r="E502" s="65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129</v>
      </c>
      <c r="N502" s="38"/>
      <c r="O502" s="37">
        <v>60</v>
      </c>
      <c r="P502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4301012125</v>
      </c>
      <c r="D503" s="651">
        <v>4680115886391</v>
      </c>
      <c r="E503" s="651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91</v>
      </c>
      <c r="L503" s="37" t="s">
        <v>46</v>
      </c>
      <c r="M503" s="38" t="s">
        <v>90</v>
      </c>
      <c r="N503" s="38"/>
      <c r="O503" s="37">
        <v>60</v>
      </c>
      <c r="P503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128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4301012048</v>
      </c>
      <c r="D504" s="651">
        <v>4680115880603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137</v>
      </c>
      <c r="L504" s="37" t="s">
        <v>46</v>
      </c>
      <c r="M504" s="38" t="s">
        <v>90</v>
      </c>
      <c r="N504" s="38"/>
      <c r="O504" s="37">
        <v>60</v>
      </c>
      <c r="P504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customHeight="1" x14ac:dyDescent="0.25">
      <c r="A505" s="63" t="s">
        <v>818</v>
      </c>
      <c r="B505" s="63" t="s">
        <v>819</v>
      </c>
      <c r="C505" s="36">
        <v>4301012034</v>
      </c>
      <c r="D505" s="651">
        <v>4607091389982</v>
      </c>
      <c r="E505" s="65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129</v>
      </c>
      <c r="N505" s="38"/>
      <c r="O505" s="37">
        <v>60</v>
      </c>
      <c r="P505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53"/>
      <c r="R505" s="653"/>
      <c r="S505" s="653"/>
      <c r="T505" s="65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813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645"/>
      <c r="B507" s="645"/>
      <c r="C507" s="645"/>
      <c r="D507" s="645"/>
      <c r="E507" s="645"/>
      <c r="F507" s="645"/>
      <c r="G507" s="645"/>
      <c r="H507" s="645"/>
      <c r="I507" s="645"/>
      <c r="J507" s="645"/>
      <c r="K507" s="645"/>
      <c r="L507" s="645"/>
      <c r="M507" s="645"/>
      <c r="N507" s="645"/>
      <c r="O507" s="646"/>
      <c r="P507" s="642" t="s">
        <v>40</v>
      </c>
      <c r="Q507" s="643"/>
      <c r="R507" s="643"/>
      <c r="S507" s="643"/>
      <c r="T507" s="643"/>
      <c r="U507" s="643"/>
      <c r="V507" s="644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customHeight="1" x14ac:dyDescent="0.25">
      <c r="A508" s="656" t="s">
        <v>158</v>
      </c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6"/>
      <c r="P508" s="656"/>
      <c r="Q508" s="656"/>
      <c r="R508" s="656"/>
      <c r="S508" s="656"/>
      <c r="T508" s="656"/>
      <c r="U508" s="656"/>
      <c r="V508" s="656"/>
      <c r="W508" s="656"/>
      <c r="X508" s="656"/>
      <c r="Y508" s="656"/>
      <c r="Z508" s="656"/>
      <c r="AA508" s="66"/>
      <c r="AB508" s="66"/>
      <c r="AC508" s="80"/>
    </row>
    <row r="509" spans="1:68" ht="16.5" customHeight="1" x14ac:dyDescent="0.25">
      <c r="A509" s="63" t="s">
        <v>820</v>
      </c>
      <c r="B509" s="63" t="s">
        <v>821</v>
      </c>
      <c r="C509" s="36">
        <v>4301020334</v>
      </c>
      <c r="D509" s="651">
        <v>4607091388930</v>
      </c>
      <c r="E509" s="65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130</v>
      </c>
      <c r="L509" s="37" t="s">
        <v>46</v>
      </c>
      <c r="M509" s="38" t="s">
        <v>90</v>
      </c>
      <c r="N509" s="38"/>
      <c r="O509" s="37">
        <v>70</v>
      </c>
      <c r="P509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822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823</v>
      </c>
      <c r="B510" s="63" t="s">
        <v>824</v>
      </c>
      <c r="C510" s="36">
        <v>4301020374</v>
      </c>
      <c r="D510" s="651">
        <v>4680115886407</v>
      </c>
      <c r="E510" s="651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129</v>
      </c>
      <c r="N510" s="38"/>
      <c r="O510" s="37">
        <v>70</v>
      </c>
      <c r="P510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822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825</v>
      </c>
      <c r="B511" s="63" t="s">
        <v>826</v>
      </c>
      <c r="C511" s="36">
        <v>4301020385</v>
      </c>
      <c r="D511" s="651">
        <v>4680115880054</v>
      </c>
      <c r="E511" s="651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137</v>
      </c>
      <c r="L511" s="37" t="s">
        <v>46</v>
      </c>
      <c r="M511" s="38" t="s">
        <v>129</v>
      </c>
      <c r="N511" s="38"/>
      <c r="O511" s="37">
        <v>70</v>
      </c>
      <c r="P511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53"/>
      <c r="R511" s="653"/>
      <c r="S511" s="653"/>
      <c r="T511" s="65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822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x14ac:dyDescent="0.2">
      <c r="A513" s="645"/>
      <c r="B513" s="645"/>
      <c r="C513" s="645"/>
      <c r="D513" s="645"/>
      <c r="E513" s="645"/>
      <c r="F513" s="645"/>
      <c r="G513" s="645"/>
      <c r="H513" s="645"/>
      <c r="I513" s="645"/>
      <c r="J513" s="645"/>
      <c r="K513" s="645"/>
      <c r="L513" s="645"/>
      <c r="M513" s="645"/>
      <c r="N513" s="645"/>
      <c r="O513" s="646"/>
      <c r="P513" s="642" t="s">
        <v>40</v>
      </c>
      <c r="Q513" s="643"/>
      <c r="R513" s="643"/>
      <c r="S513" s="643"/>
      <c r="T513" s="643"/>
      <c r="U513" s="643"/>
      <c r="V513" s="644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customHeight="1" x14ac:dyDescent="0.25">
      <c r="A514" s="656" t="s">
        <v>77</v>
      </c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6"/>
      <c r="P514" s="656"/>
      <c r="Q514" s="656"/>
      <c r="R514" s="656"/>
      <c r="S514" s="656"/>
      <c r="T514" s="656"/>
      <c r="U514" s="656"/>
      <c r="V514" s="656"/>
      <c r="W514" s="656"/>
      <c r="X514" s="656"/>
      <c r="Y514" s="656"/>
      <c r="Z514" s="656"/>
      <c r="AA514" s="66"/>
      <c r="AB514" s="66"/>
      <c r="AC514" s="80"/>
    </row>
    <row r="515" spans="1:68" ht="27" customHeight="1" x14ac:dyDescent="0.25">
      <c r="A515" s="63" t="s">
        <v>827</v>
      </c>
      <c r="B515" s="63" t="s">
        <v>828</v>
      </c>
      <c r="C515" s="36">
        <v>4301031349</v>
      </c>
      <c r="D515" s="651">
        <v>4680115883116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130</v>
      </c>
      <c r="L515" s="37" t="s">
        <v>46</v>
      </c>
      <c r="M515" s="38" t="s">
        <v>129</v>
      </c>
      <c r="N515" s="38"/>
      <c r="O515" s="37">
        <v>70</v>
      </c>
      <c r="P515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829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customHeight="1" x14ac:dyDescent="0.25">
      <c r="A516" s="63" t="s">
        <v>830</v>
      </c>
      <c r="B516" s="63" t="s">
        <v>831</v>
      </c>
      <c r="C516" s="36">
        <v>4301031350</v>
      </c>
      <c r="D516" s="651">
        <v>4680115883093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81</v>
      </c>
      <c r="N516" s="38"/>
      <c r="O516" s="37">
        <v>70</v>
      </c>
      <c r="P516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833</v>
      </c>
      <c r="B517" s="63" t="s">
        <v>834</v>
      </c>
      <c r="C517" s="36">
        <v>4301031353</v>
      </c>
      <c r="D517" s="651">
        <v>4680115883109</v>
      </c>
      <c r="E517" s="65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customHeight="1" x14ac:dyDescent="0.25">
      <c r="A518" s="63" t="s">
        <v>836</v>
      </c>
      <c r="B518" s="63" t="s">
        <v>837</v>
      </c>
      <c r="C518" s="36">
        <v>4301031419</v>
      </c>
      <c r="D518" s="651">
        <v>4680115882072</v>
      </c>
      <c r="E518" s="651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137</v>
      </c>
      <c r="L518" s="37" t="s">
        <v>46</v>
      </c>
      <c r="M518" s="38" t="s">
        <v>129</v>
      </c>
      <c r="N518" s="38"/>
      <c r="O518" s="37">
        <v>70</v>
      </c>
      <c r="P518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829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4301031352</v>
      </c>
      <c r="D519" s="651">
        <v>4680115882102</v>
      </c>
      <c r="E519" s="651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137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customHeight="1" x14ac:dyDescent="0.25">
      <c r="A520" s="63" t="s">
        <v>838</v>
      </c>
      <c r="B520" s="63" t="s">
        <v>840</v>
      </c>
      <c r="C520" s="36">
        <v>4301031418</v>
      </c>
      <c r="D520" s="651">
        <v>4680115882102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customHeight="1" x14ac:dyDescent="0.25">
      <c r="A521" s="63" t="s">
        <v>841</v>
      </c>
      <c r="B521" s="63" t="s">
        <v>842</v>
      </c>
      <c r="C521" s="36">
        <v>4301031417</v>
      </c>
      <c r="D521" s="651">
        <v>4680115882096</v>
      </c>
      <c r="E521" s="65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53"/>
      <c r="R521" s="653"/>
      <c r="S521" s="653"/>
      <c r="T521" s="65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645"/>
      <c r="B523" s="645"/>
      <c r="C523" s="645"/>
      <c r="D523" s="645"/>
      <c r="E523" s="645"/>
      <c r="F523" s="645"/>
      <c r="G523" s="645"/>
      <c r="H523" s="645"/>
      <c r="I523" s="645"/>
      <c r="J523" s="645"/>
      <c r="K523" s="645"/>
      <c r="L523" s="645"/>
      <c r="M523" s="645"/>
      <c r="N523" s="645"/>
      <c r="O523" s="646"/>
      <c r="P523" s="642" t="s">
        <v>40</v>
      </c>
      <c r="Q523" s="643"/>
      <c r="R523" s="643"/>
      <c r="S523" s="643"/>
      <c r="T523" s="643"/>
      <c r="U523" s="643"/>
      <c r="V523" s="644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customHeight="1" x14ac:dyDescent="0.2">
      <c r="A524" s="662" t="s">
        <v>843</v>
      </c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2"/>
      <c r="P524" s="662"/>
      <c r="Q524" s="662"/>
      <c r="R524" s="662"/>
      <c r="S524" s="662"/>
      <c r="T524" s="662"/>
      <c r="U524" s="662"/>
      <c r="V524" s="662"/>
      <c r="W524" s="662"/>
      <c r="X524" s="662"/>
      <c r="Y524" s="662"/>
      <c r="Z524" s="662"/>
      <c r="AA524" s="54"/>
      <c r="AB524" s="54"/>
      <c r="AC524" s="54"/>
    </row>
    <row r="525" spans="1:68" ht="16.5" customHeight="1" x14ac:dyDescent="0.25">
      <c r="A525" s="655" t="s">
        <v>843</v>
      </c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"/>
      <c r="AB525" s="65"/>
      <c r="AC525" s="79"/>
    </row>
    <row r="526" spans="1:68" ht="14.25" customHeight="1" x14ac:dyDescent="0.25">
      <c r="A526" s="656" t="s">
        <v>125</v>
      </c>
      <c r="B526" s="656"/>
      <c r="C526" s="656"/>
      <c r="D526" s="656"/>
      <c r="E526" s="656"/>
      <c r="F526" s="656"/>
      <c r="G526" s="656"/>
      <c r="H526" s="656"/>
      <c r="I526" s="656"/>
      <c r="J526" s="656"/>
      <c r="K526" s="656"/>
      <c r="L526" s="656"/>
      <c r="M526" s="656"/>
      <c r="N526" s="656"/>
      <c r="O526" s="656"/>
      <c r="P526" s="656"/>
      <c r="Q526" s="656"/>
      <c r="R526" s="656"/>
      <c r="S526" s="656"/>
      <c r="T526" s="656"/>
      <c r="U526" s="656"/>
      <c r="V526" s="656"/>
      <c r="W526" s="656"/>
      <c r="X526" s="656"/>
      <c r="Y526" s="656"/>
      <c r="Z526" s="656"/>
      <c r="AA526" s="66"/>
      <c r="AB526" s="66"/>
      <c r="AC526" s="80"/>
    </row>
    <row r="527" spans="1:68" ht="27" customHeight="1" x14ac:dyDescent="0.25">
      <c r="A527" s="63" t="s">
        <v>844</v>
      </c>
      <c r="B527" s="63" t="s">
        <v>845</v>
      </c>
      <c r="C527" s="36">
        <v>4301011584</v>
      </c>
      <c r="D527" s="651">
        <v>4640242180564</v>
      </c>
      <c r="E527" s="651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130</v>
      </c>
      <c r="L527" s="37" t="s">
        <v>46</v>
      </c>
      <c r="M527" s="38" t="s">
        <v>129</v>
      </c>
      <c r="N527" s="38"/>
      <c r="O527" s="37">
        <v>50</v>
      </c>
      <c r="P527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53"/>
      <c r="R527" s="653"/>
      <c r="S527" s="653"/>
      <c r="T527" s="654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846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x14ac:dyDescent="0.2">
      <c r="A529" s="645"/>
      <c r="B529" s="645"/>
      <c r="C529" s="645"/>
      <c r="D529" s="645"/>
      <c r="E529" s="645"/>
      <c r="F529" s="645"/>
      <c r="G529" s="645"/>
      <c r="H529" s="645"/>
      <c r="I529" s="645"/>
      <c r="J529" s="645"/>
      <c r="K529" s="645"/>
      <c r="L529" s="645"/>
      <c r="M529" s="645"/>
      <c r="N529" s="645"/>
      <c r="O529" s="646"/>
      <c r="P529" s="642" t="s">
        <v>40</v>
      </c>
      <c r="Q529" s="643"/>
      <c r="R529" s="643"/>
      <c r="S529" s="643"/>
      <c r="T529" s="643"/>
      <c r="U529" s="643"/>
      <c r="V529" s="644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customHeight="1" x14ac:dyDescent="0.25">
      <c r="A530" s="656" t="s">
        <v>158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6"/>
      <c r="AB530" s="66"/>
      <c r="AC530" s="80"/>
    </row>
    <row r="531" spans="1:68" ht="27" customHeight="1" x14ac:dyDescent="0.25">
      <c r="A531" s="63" t="s">
        <v>847</v>
      </c>
      <c r="B531" s="63" t="s">
        <v>848</v>
      </c>
      <c r="C531" s="36">
        <v>4301020400</v>
      </c>
      <c r="D531" s="651">
        <v>4640242180519</v>
      </c>
      <c r="E531" s="65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130</v>
      </c>
      <c r="L531" s="37" t="s">
        <v>46</v>
      </c>
      <c r="M531" s="38" t="s">
        <v>129</v>
      </c>
      <c r="N531" s="38"/>
      <c r="O531" s="37">
        <v>50</v>
      </c>
      <c r="P531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53"/>
      <c r="R531" s="653"/>
      <c r="S531" s="653"/>
      <c r="T531" s="65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849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45"/>
      <c r="B533" s="645"/>
      <c r="C533" s="645"/>
      <c r="D533" s="645"/>
      <c r="E533" s="645"/>
      <c r="F533" s="645"/>
      <c r="G533" s="645"/>
      <c r="H533" s="645"/>
      <c r="I533" s="645"/>
      <c r="J533" s="645"/>
      <c r="K533" s="645"/>
      <c r="L533" s="645"/>
      <c r="M533" s="645"/>
      <c r="N533" s="645"/>
      <c r="O533" s="646"/>
      <c r="P533" s="642" t="s">
        <v>40</v>
      </c>
      <c r="Q533" s="643"/>
      <c r="R533" s="643"/>
      <c r="S533" s="643"/>
      <c r="T533" s="643"/>
      <c r="U533" s="643"/>
      <c r="V533" s="64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customHeight="1" x14ac:dyDescent="0.25">
      <c r="A534" s="656" t="s">
        <v>77</v>
      </c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6"/>
      <c r="P534" s="656"/>
      <c r="Q534" s="656"/>
      <c r="R534" s="656"/>
      <c r="S534" s="656"/>
      <c r="T534" s="656"/>
      <c r="U534" s="656"/>
      <c r="V534" s="656"/>
      <c r="W534" s="656"/>
      <c r="X534" s="656"/>
      <c r="Y534" s="656"/>
      <c r="Z534" s="656"/>
      <c r="AA534" s="66"/>
      <c r="AB534" s="66"/>
      <c r="AC534" s="80"/>
    </row>
    <row r="535" spans="1:68" ht="27" customHeight="1" x14ac:dyDescent="0.25">
      <c r="A535" s="63" t="s">
        <v>850</v>
      </c>
      <c r="B535" s="63" t="s">
        <v>851</v>
      </c>
      <c r="C535" s="36">
        <v>4301031500</v>
      </c>
      <c r="D535" s="651">
        <v>4640242180595</v>
      </c>
      <c r="E535" s="651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137</v>
      </c>
      <c r="L535" s="37" t="s">
        <v>46</v>
      </c>
      <c r="M535" s="38" t="s">
        <v>81</v>
      </c>
      <c r="N535" s="38"/>
      <c r="O535" s="37">
        <v>40</v>
      </c>
      <c r="P535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53"/>
      <c r="R535" s="653"/>
      <c r="S535" s="653"/>
      <c r="T535" s="654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852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645"/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6"/>
      <c r="P537" s="642" t="s">
        <v>40</v>
      </c>
      <c r="Q537" s="643"/>
      <c r="R537" s="643"/>
      <c r="S537" s="643"/>
      <c r="T537" s="643"/>
      <c r="U537" s="643"/>
      <c r="V537" s="644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56" t="s">
        <v>86</v>
      </c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6"/>
      <c r="P538" s="656"/>
      <c r="Q538" s="656"/>
      <c r="R538" s="656"/>
      <c r="S538" s="656"/>
      <c r="T538" s="656"/>
      <c r="U538" s="656"/>
      <c r="V538" s="656"/>
      <c r="W538" s="656"/>
      <c r="X538" s="656"/>
      <c r="Y538" s="656"/>
      <c r="Z538" s="656"/>
      <c r="AA538" s="66"/>
      <c r="AB538" s="66"/>
      <c r="AC538" s="80"/>
    </row>
    <row r="539" spans="1:68" ht="27" customHeight="1" x14ac:dyDescent="0.25">
      <c r="A539" s="63" t="s">
        <v>853</v>
      </c>
      <c r="B539" s="63" t="s">
        <v>854</v>
      </c>
      <c r="C539" s="36">
        <v>4301052043</v>
      </c>
      <c r="D539" s="651">
        <v>4640242180533</v>
      </c>
      <c r="E539" s="651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130</v>
      </c>
      <c r="L539" s="37" t="s">
        <v>46</v>
      </c>
      <c r="M539" s="38" t="s">
        <v>90</v>
      </c>
      <c r="N539" s="38"/>
      <c r="O539" s="37">
        <v>45</v>
      </c>
      <c r="P53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53"/>
      <c r="R539" s="653"/>
      <c r="S539" s="653"/>
      <c r="T539" s="65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855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42" t="s">
        <v>40</v>
      </c>
      <c r="Q541" s="643"/>
      <c r="R541" s="643"/>
      <c r="S541" s="643"/>
      <c r="T541" s="643"/>
      <c r="U541" s="643"/>
      <c r="V541" s="64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6" t="s">
        <v>175</v>
      </c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6"/>
      <c r="P542" s="656"/>
      <c r="Q542" s="656"/>
      <c r="R542" s="656"/>
      <c r="S542" s="656"/>
      <c r="T542" s="656"/>
      <c r="U542" s="656"/>
      <c r="V542" s="656"/>
      <c r="W542" s="656"/>
      <c r="X542" s="656"/>
      <c r="Y542" s="656"/>
      <c r="Z542" s="656"/>
      <c r="AA542" s="66"/>
      <c r="AB542" s="66"/>
      <c r="AC542" s="80"/>
    </row>
    <row r="543" spans="1:68" ht="27" customHeight="1" x14ac:dyDescent="0.25">
      <c r="A543" s="63" t="s">
        <v>856</v>
      </c>
      <c r="B543" s="63" t="s">
        <v>857</v>
      </c>
      <c r="C543" s="36">
        <v>4301060535</v>
      </c>
      <c r="D543" s="651">
        <v>4640242180120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130</v>
      </c>
      <c r="L543" s="37" t="s">
        <v>46</v>
      </c>
      <c r="M543" s="38" t="s">
        <v>90</v>
      </c>
      <c r="N543" s="38"/>
      <c r="O543" s="37">
        <v>40</v>
      </c>
      <c r="P543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858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859</v>
      </c>
      <c r="B544" s="63" t="s">
        <v>860</v>
      </c>
      <c r="C544" s="36">
        <v>4301060536</v>
      </c>
      <c r="D544" s="651">
        <v>4640242180137</v>
      </c>
      <c r="E544" s="65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53"/>
      <c r="R544" s="653"/>
      <c r="S544" s="653"/>
      <c r="T544" s="65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x14ac:dyDescent="0.2">
      <c r="A546" s="645"/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6"/>
      <c r="P546" s="642" t="s">
        <v>40</v>
      </c>
      <c r="Q546" s="643"/>
      <c r="R546" s="643"/>
      <c r="S546" s="643"/>
      <c r="T546" s="643"/>
      <c r="U546" s="643"/>
      <c r="V546" s="644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customHeight="1" x14ac:dyDescent="0.25">
      <c r="A547" s="655" t="s">
        <v>862</v>
      </c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"/>
      <c r="AB547" s="65"/>
      <c r="AC547" s="79"/>
    </row>
    <row r="548" spans="1:68" ht="14.25" customHeight="1" x14ac:dyDescent="0.25">
      <c r="A548" s="656" t="s">
        <v>158</v>
      </c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6"/>
      <c r="P548" s="656"/>
      <c r="Q548" s="656"/>
      <c r="R548" s="656"/>
      <c r="S548" s="656"/>
      <c r="T548" s="656"/>
      <c r="U548" s="656"/>
      <c r="V548" s="656"/>
      <c r="W548" s="656"/>
      <c r="X548" s="656"/>
      <c r="Y548" s="656"/>
      <c r="Z548" s="656"/>
      <c r="AA548" s="66"/>
      <c r="AB548" s="66"/>
      <c r="AC548" s="80"/>
    </row>
    <row r="549" spans="1:68" ht="27" customHeight="1" x14ac:dyDescent="0.25">
      <c r="A549" s="63" t="s">
        <v>863</v>
      </c>
      <c r="B549" s="63" t="s">
        <v>864</v>
      </c>
      <c r="C549" s="36">
        <v>4301020428</v>
      </c>
      <c r="D549" s="651">
        <v>4640242180090</v>
      </c>
      <c r="E549" s="651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130</v>
      </c>
      <c r="L549" s="37" t="s">
        <v>46</v>
      </c>
      <c r="M549" s="38" t="s">
        <v>129</v>
      </c>
      <c r="N549" s="38"/>
      <c r="O549" s="37">
        <v>50</v>
      </c>
      <c r="P549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53"/>
      <c r="R549" s="653"/>
      <c r="S549" s="653"/>
      <c r="T549" s="65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865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46"/>
      <c r="P551" s="642" t="s">
        <v>40</v>
      </c>
      <c r="Q551" s="643"/>
      <c r="R551" s="643"/>
      <c r="S551" s="643"/>
      <c r="T551" s="643"/>
      <c r="U551" s="643"/>
      <c r="V551" s="644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33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0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34</v>
      </c>
      <c r="Q553" s="648"/>
      <c r="R553" s="648"/>
      <c r="S553" s="648"/>
      <c r="T553" s="648"/>
      <c r="U553" s="648"/>
      <c r="V553" s="649"/>
      <c r="W553" s="42" t="s">
        <v>0</v>
      </c>
      <c r="X553" s="43">
        <f>IFERROR(SUM(BM22:BM549),"0")</f>
        <v>0</v>
      </c>
      <c r="Y553" s="43">
        <f>IFERROR(SUM(BN22:BN549),"0")</f>
        <v>0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35</v>
      </c>
      <c r="Q554" s="648"/>
      <c r="R554" s="648"/>
      <c r="S554" s="648"/>
      <c r="T554" s="648"/>
      <c r="U554" s="648"/>
      <c r="V554" s="649"/>
      <c r="W554" s="42" t="s">
        <v>20</v>
      </c>
      <c r="X554" s="44">
        <f>ROUNDUP(SUM(BO22:BO549),0)</f>
        <v>0</v>
      </c>
      <c r="Y554" s="44">
        <f>ROUNDUP(SUM(BP22:BP549),0)</f>
        <v>0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36</v>
      </c>
      <c r="Q555" s="648"/>
      <c r="R555" s="648"/>
      <c r="S555" s="648"/>
      <c r="T555" s="648"/>
      <c r="U555" s="648"/>
      <c r="V555" s="649"/>
      <c r="W555" s="42" t="s">
        <v>0</v>
      </c>
      <c r="X555" s="43">
        <f>GrossWeightTotal+PalletQtyTotal*25</f>
        <v>0</v>
      </c>
      <c r="Y555" s="43">
        <f>GrossWeightTotalR+PalletQtyTotalR*25</f>
        <v>0</v>
      </c>
      <c r="Z555" s="42"/>
      <c r="AA555" s="67"/>
      <c r="AB555" s="67"/>
      <c r="AC555" s="67"/>
    </row>
    <row r="556" spans="1:68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37</v>
      </c>
      <c r="Q556" s="648"/>
      <c r="R556" s="648"/>
      <c r="S556" s="648"/>
      <c r="T556" s="648"/>
      <c r="U556" s="648"/>
      <c r="V556" s="649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0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0</v>
      </c>
      <c r="Z556" s="42"/>
      <c r="AA556" s="67"/>
      <c r="AB556" s="67"/>
      <c r="AC556" s="67"/>
    </row>
    <row r="557" spans="1:68" ht="14.25" x14ac:dyDescent="0.2">
      <c r="A557" s="645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50"/>
      <c r="P557" s="647" t="s">
        <v>38</v>
      </c>
      <c r="Q557" s="648"/>
      <c r="R557" s="648"/>
      <c r="S557" s="648"/>
      <c r="T557" s="648"/>
      <c r="U557" s="648"/>
      <c r="V557" s="649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76</v>
      </c>
      <c r="C559" s="85" t="s">
        <v>45</v>
      </c>
      <c r="D559" s="638" t="s">
        <v>123</v>
      </c>
      <c r="E559" s="638" t="s">
        <v>123</v>
      </c>
      <c r="F559" s="638" t="s">
        <v>123</v>
      </c>
      <c r="G559" s="638" t="s">
        <v>123</v>
      </c>
      <c r="H559" s="638" t="s">
        <v>123</v>
      </c>
      <c r="I559" s="638" t="s">
        <v>123</v>
      </c>
      <c r="J559" s="638" t="s">
        <v>123</v>
      </c>
      <c r="K559" s="638" t="s">
        <v>351</v>
      </c>
      <c r="L559" s="638" t="s">
        <v>351</v>
      </c>
      <c r="M559" s="638" t="s">
        <v>351</v>
      </c>
      <c r="N559" s="639"/>
      <c r="O559" s="638" t="s">
        <v>351</v>
      </c>
      <c r="P559" s="638" t="s">
        <v>351</v>
      </c>
      <c r="Q559" s="638" t="s">
        <v>351</v>
      </c>
      <c r="R559" s="638" t="s">
        <v>351</v>
      </c>
      <c r="S559" s="638" t="s">
        <v>351</v>
      </c>
      <c r="T559" s="638" t="s">
        <v>351</v>
      </c>
      <c r="U559" s="638" t="s">
        <v>351</v>
      </c>
      <c r="V559" s="638" t="s">
        <v>351</v>
      </c>
      <c r="W559" s="638" t="s">
        <v>694</v>
      </c>
      <c r="X559" s="638" t="s">
        <v>694</v>
      </c>
      <c r="Y559" s="638" t="s">
        <v>760</v>
      </c>
      <c r="Z559" s="638" t="s">
        <v>760</v>
      </c>
      <c r="AA559" s="85" t="s">
        <v>796</v>
      </c>
      <c r="AB559" s="638" t="s">
        <v>843</v>
      </c>
      <c r="AC559" s="638" t="s">
        <v>843</v>
      </c>
      <c r="AF559" s="1"/>
    </row>
    <row r="560" spans="1:68" ht="14.25" customHeight="1" thickTop="1" x14ac:dyDescent="0.2">
      <c r="A560" s="640" t="s">
        <v>10</v>
      </c>
      <c r="B560" s="638" t="s">
        <v>76</v>
      </c>
      <c r="C560" s="638" t="s">
        <v>104</v>
      </c>
      <c r="D560" s="638" t="s">
        <v>124</v>
      </c>
      <c r="E560" s="638" t="s">
        <v>140</v>
      </c>
      <c r="F560" s="638" t="s">
        <v>182</v>
      </c>
      <c r="G560" s="638" t="s">
        <v>203</v>
      </c>
      <c r="H560" s="638" t="s">
        <v>243</v>
      </c>
      <c r="I560" s="638" t="s">
        <v>267</v>
      </c>
      <c r="J560" s="638" t="s">
        <v>123</v>
      </c>
      <c r="K560" s="638" t="s">
        <v>352</v>
      </c>
      <c r="L560" s="638" t="s">
        <v>373</v>
      </c>
      <c r="M560" s="638" t="s">
        <v>440</v>
      </c>
      <c r="N560" s="1"/>
      <c r="O560" s="638" t="s">
        <v>508</v>
      </c>
      <c r="P560" s="638" t="s">
        <v>541</v>
      </c>
      <c r="Q560" s="638" t="s">
        <v>557</v>
      </c>
      <c r="R560" s="638" t="s">
        <v>566</v>
      </c>
      <c r="S560" s="638" t="s">
        <v>587</v>
      </c>
      <c r="T560" s="638" t="s">
        <v>596</v>
      </c>
      <c r="U560" s="638" t="s">
        <v>677</v>
      </c>
      <c r="V560" s="638" t="s">
        <v>684</v>
      </c>
      <c r="W560" s="638" t="s">
        <v>695</v>
      </c>
      <c r="X560" s="638" t="s">
        <v>744</v>
      </c>
      <c r="Y560" s="638" t="s">
        <v>761</v>
      </c>
      <c r="Z560" s="638" t="s">
        <v>784</v>
      </c>
      <c r="AA560" s="638" t="s">
        <v>796</v>
      </c>
      <c r="AB560" s="638" t="s">
        <v>843</v>
      </c>
      <c r="AC560" s="638" t="s">
        <v>862</v>
      </c>
      <c r="AF560" s="1"/>
    </row>
    <row r="561" spans="1:32" ht="13.5" thickBot="1" x14ac:dyDescent="0.25">
      <c r="A561" s="641"/>
      <c r="B561" s="63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38"/>
      <c r="N561" s="1"/>
      <c r="O561" s="638"/>
      <c r="P561" s="638"/>
      <c r="Q561" s="638"/>
      <c r="R561" s="638"/>
      <c r="S561" s="638"/>
      <c r="T561" s="638"/>
      <c r="U561" s="638"/>
      <c r="V561" s="638"/>
      <c r="W561" s="638"/>
      <c r="X561" s="638"/>
      <c r="Y561" s="638"/>
      <c r="Z561" s="638"/>
      <c r="AA561" s="638"/>
      <c r="AB561" s="638"/>
      <c r="AC561" s="638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0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gvrPMip6QX0qvr2dYYWfuVUoLXnnDx0tjS90BQupCOmbKY4mFQGB/yGkYrFT2ze6XQ+ONnBuae3vaPkyQTBqYA==" saltValue="egQFqHwzE7M9tOve92YSt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5VwNMziC5LrREx4Mu8prs7KU020MwQgR/JgW+OLkvNE0EGarctLzMkG92SWUelF7utNh5W5tiDu3+PxAH2j2Aw==" saltValue="JUxKy3LB4hqWNQq7IB4Sr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2026-08-19T10:53:25Z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