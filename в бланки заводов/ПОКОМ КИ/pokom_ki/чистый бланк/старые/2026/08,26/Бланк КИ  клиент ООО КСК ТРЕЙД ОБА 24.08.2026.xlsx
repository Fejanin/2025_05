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DF6A03D0-2B81-4596-947E-28226C9B17C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Y547" i="2"/>
  <c r="X547" i="2"/>
  <c r="X546" i="2"/>
  <c r="BO545" i="2"/>
  <c r="BM545" i="2"/>
  <c r="Y545" i="2"/>
  <c r="BP545" i="2" s="1"/>
  <c r="P545" i="2"/>
  <c r="BO544" i="2"/>
  <c r="BM544" i="2"/>
  <c r="Y544" i="2"/>
  <c r="P544" i="2"/>
  <c r="Y542" i="2"/>
  <c r="X542" i="2"/>
  <c r="X541" i="2"/>
  <c r="BO540" i="2"/>
  <c r="BM540" i="2"/>
  <c r="Y540" i="2"/>
  <c r="Y541" i="2" s="1"/>
  <c r="P540" i="2"/>
  <c r="X538" i="2"/>
  <c r="Y537" i="2"/>
  <c r="X537" i="2"/>
  <c r="BO536" i="2"/>
  <c r="BN536" i="2"/>
  <c r="BM536" i="2"/>
  <c r="Y536" i="2"/>
  <c r="Z536" i="2" s="1"/>
  <c r="Z537" i="2" s="1"/>
  <c r="P536" i="2"/>
  <c r="X534" i="2"/>
  <c r="X533" i="2"/>
  <c r="BO532" i="2"/>
  <c r="BM532" i="2"/>
  <c r="Y532" i="2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N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P512" i="2"/>
  <c r="BO511" i="2"/>
  <c r="BM511" i="2"/>
  <c r="Y511" i="2"/>
  <c r="BP511" i="2" s="1"/>
  <c r="P511" i="2"/>
  <c r="BO510" i="2"/>
  <c r="BM510" i="2"/>
  <c r="Z510" i="2"/>
  <c r="Y510" i="2"/>
  <c r="P510" i="2"/>
  <c r="X508" i="2"/>
  <c r="X507" i="2"/>
  <c r="BO506" i="2"/>
  <c r="BM506" i="2"/>
  <c r="Y506" i="2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Z503" i="2"/>
  <c r="Y503" i="2"/>
  <c r="BP503" i="2" s="1"/>
  <c r="P503" i="2"/>
  <c r="BP502" i="2"/>
  <c r="BO502" i="2"/>
  <c r="BM502" i="2"/>
  <c r="Z502" i="2"/>
  <c r="Y502" i="2"/>
  <c r="BN502" i="2" s="1"/>
  <c r="P502" i="2"/>
  <c r="BO501" i="2"/>
  <c r="BM501" i="2"/>
  <c r="Y501" i="2"/>
  <c r="BP501" i="2" s="1"/>
  <c r="P501" i="2"/>
  <c r="BO500" i="2"/>
  <c r="BM500" i="2"/>
  <c r="Z500" i="2"/>
  <c r="Y500" i="2"/>
  <c r="BP500" i="2" s="1"/>
  <c r="P500" i="2"/>
  <c r="BO499" i="2"/>
  <c r="BM499" i="2"/>
  <c r="Y499" i="2"/>
  <c r="P499" i="2"/>
  <c r="BO498" i="2"/>
  <c r="BM498" i="2"/>
  <c r="Y498" i="2"/>
  <c r="AA563" i="2" s="1"/>
  <c r="P498" i="2"/>
  <c r="X494" i="2"/>
  <c r="Y493" i="2"/>
  <c r="X493" i="2"/>
  <c r="BO492" i="2"/>
  <c r="BM492" i="2"/>
  <c r="Y492" i="2"/>
  <c r="BN492" i="2" s="1"/>
  <c r="P492" i="2"/>
  <c r="BO491" i="2"/>
  <c r="BM491" i="2"/>
  <c r="Z491" i="2"/>
  <c r="Y491" i="2"/>
  <c r="BP491" i="2" s="1"/>
  <c r="P491" i="2"/>
  <c r="BP490" i="2"/>
  <c r="BO490" i="2"/>
  <c r="BM490" i="2"/>
  <c r="Z490" i="2"/>
  <c r="Y490" i="2"/>
  <c r="Y494" i="2" s="1"/>
  <c r="P490" i="2"/>
  <c r="X488" i="2"/>
  <c r="X487" i="2"/>
  <c r="BO486" i="2"/>
  <c r="BM486" i="2"/>
  <c r="Y486" i="2"/>
  <c r="P486" i="2"/>
  <c r="X483" i="2"/>
  <c r="X482" i="2"/>
  <c r="BP481" i="2"/>
  <c r="BO481" i="2"/>
  <c r="BM481" i="2"/>
  <c r="Y481" i="2"/>
  <c r="BN481" i="2" s="1"/>
  <c r="P481" i="2"/>
  <c r="BO480" i="2"/>
  <c r="BM480" i="2"/>
  <c r="Y480" i="2"/>
  <c r="P480" i="2"/>
  <c r="X478" i="2"/>
  <c r="X477" i="2"/>
  <c r="BO476" i="2"/>
  <c r="BM476" i="2"/>
  <c r="Y476" i="2"/>
  <c r="BP476" i="2" s="1"/>
  <c r="P476" i="2"/>
  <c r="BO475" i="2"/>
  <c r="BM475" i="2"/>
  <c r="Z475" i="2"/>
  <c r="Y475" i="2"/>
  <c r="BP475" i="2" s="1"/>
  <c r="P475" i="2"/>
  <c r="BO474" i="2"/>
  <c r="BM474" i="2"/>
  <c r="Y474" i="2"/>
  <c r="P474" i="2"/>
  <c r="BO473" i="2"/>
  <c r="BM473" i="2"/>
  <c r="Y473" i="2"/>
  <c r="BP473" i="2" s="1"/>
  <c r="P473" i="2"/>
  <c r="BO472" i="2"/>
  <c r="BN472" i="2"/>
  <c r="BM472" i="2"/>
  <c r="Y472" i="2"/>
  <c r="P472" i="2"/>
  <c r="BP471" i="2"/>
  <c r="BO471" i="2"/>
  <c r="BM471" i="2"/>
  <c r="Y471" i="2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Z463" i="2"/>
  <c r="Y463" i="2"/>
  <c r="P463" i="2"/>
  <c r="X461" i="2"/>
  <c r="Y460" i="2"/>
  <c r="X460" i="2"/>
  <c r="BO459" i="2"/>
  <c r="BM459" i="2"/>
  <c r="Z459" i="2"/>
  <c r="Z460" i="2" s="1"/>
  <c r="Y459" i="2"/>
  <c r="BP459" i="2" s="1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Y450" i="2"/>
  <c r="X450" i="2"/>
  <c r="BO449" i="2"/>
  <c r="BN449" i="2"/>
  <c r="BM449" i="2"/>
  <c r="Y449" i="2"/>
  <c r="Z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P443" i="2"/>
  <c r="BO442" i="2"/>
  <c r="BN442" i="2"/>
  <c r="BM442" i="2"/>
  <c r="Y442" i="2"/>
  <c r="Y445" i="2" s="1"/>
  <c r="P442" i="2"/>
  <c r="X440" i="2"/>
  <c r="X439" i="2"/>
  <c r="BO438" i="2"/>
  <c r="BM438" i="2"/>
  <c r="Y438" i="2"/>
  <c r="P438" i="2"/>
  <c r="BO437" i="2"/>
  <c r="BM437" i="2"/>
  <c r="Y437" i="2"/>
  <c r="BN437" i="2" s="1"/>
  <c r="P437" i="2"/>
  <c r="BO436" i="2"/>
  <c r="BM436" i="2"/>
  <c r="Y436" i="2"/>
  <c r="P436" i="2"/>
  <c r="X434" i="2"/>
  <c r="X433" i="2"/>
  <c r="BP432" i="2"/>
  <c r="BO432" i="2"/>
  <c r="BN432" i="2"/>
  <c r="BM432" i="2"/>
  <c r="Z432" i="2"/>
  <c r="Y432" i="2"/>
  <c r="P432" i="2"/>
  <c r="BO431" i="2"/>
  <c r="BM431" i="2"/>
  <c r="Y431" i="2"/>
  <c r="BP431" i="2" s="1"/>
  <c r="P431" i="2"/>
  <c r="BP430" i="2"/>
  <c r="BO430" i="2"/>
  <c r="BN430" i="2"/>
  <c r="BM430" i="2"/>
  <c r="Z430" i="2"/>
  <c r="Y430" i="2"/>
  <c r="P430" i="2"/>
  <c r="BP429" i="2"/>
  <c r="BO429" i="2"/>
  <c r="BM429" i="2"/>
  <c r="Y429" i="2"/>
  <c r="P429" i="2"/>
  <c r="BO428" i="2"/>
  <c r="BM428" i="2"/>
  <c r="Y428" i="2"/>
  <c r="P428" i="2"/>
  <c r="BO427" i="2"/>
  <c r="BM427" i="2"/>
  <c r="Z427" i="2"/>
  <c r="Y427" i="2"/>
  <c r="BN427" i="2" s="1"/>
  <c r="P427" i="2"/>
  <c r="BO426" i="2"/>
  <c r="BM426" i="2"/>
  <c r="Y426" i="2"/>
  <c r="BP426" i="2" s="1"/>
  <c r="P426" i="2"/>
  <c r="BO425" i="2"/>
  <c r="BM425" i="2"/>
  <c r="Y425" i="2"/>
  <c r="Y433" i="2" s="1"/>
  <c r="P425" i="2"/>
  <c r="X421" i="2"/>
  <c r="X420" i="2"/>
  <c r="BO419" i="2"/>
  <c r="BM419" i="2"/>
  <c r="Y419" i="2"/>
  <c r="P419" i="2"/>
  <c r="BO418" i="2"/>
  <c r="BN418" i="2"/>
  <c r="BM418" i="2"/>
  <c r="Y418" i="2"/>
  <c r="BP418" i="2" s="1"/>
  <c r="P418" i="2"/>
  <c r="BO417" i="2"/>
  <c r="BM417" i="2"/>
  <c r="Z417" i="2"/>
  <c r="Y417" i="2"/>
  <c r="P417" i="2"/>
  <c r="X414" i="2"/>
  <c r="X413" i="2"/>
  <c r="BO412" i="2"/>
  <c r="BN412" i="2"/>
  <c r="BM412" i="2"/>
  <c r="Y412" i="2"/>
  <c r="P412" i="2"/>
  <c r="BO411" i="2"/>
  <c r="BM411" i="2"/>
  <c r="Y411" i="2"/>
  <c r="BP411" i="2" s="1"/>
  <c r="P411" i="2"/>
  <c r="X408" i="2"/>
  <c r="X407" i="2"/>
  <c r="BP406" i="2"/>
  <c r="BO406" i="2"/>
  <c r="BN406" i="2"/>
  <c r="BM406" i="2"/>
  <c r="Z406" i="2"/>
  <c r="Y406" i="2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N399" i="2" s="1"/>
  <c r="P399" i="2"/>
  <c r="BO398" i="2"/>
  <c r="BN398" i="2"/>
  <c r="BM398" i="2"/>
  <c r="Y398" i="2"/>
  <c r="Z398" i="2" s="1"/>
  <c r="P398" i="2"/>
  <c r="X396" i="2"/>
  <c r="X395" i="2"/>
  <c r="BO394" i="2"/>
  <c r="BN394" i="2"/>
  <c r="BM394" i="2"/>
  <c r="Y394" i="2"/>
  <c r="BP394" i="2" s="1"/>
  <c r="P394" i="2"/>
  <c r="BO393" i="2"/>
  <c r="BM393" i="2"/>
  <c r="Z393" i="2"/>
  <c r="Y393" i="2"/>
  <c r="BN393" i="2" s="1"/>
  <c r="P393" i="2"/>
  <c r="BO392" i="2"/>
  <c r="BM392" i="2"/>
  <c r="Y392" i="2"/>
  <c r="P392" i="2"/>
  <c r="BO391" i="2"/>
  <c r="BM391" i="2"/>
  <c r="Y391" i="2"/>
  <c r="Y395" i="2" s="1"/>
  <c r="P391" i="2"/>
  <c r="X389" i="2"/>
  <c r="X388" i="2"/>
  <c r="BO387" i="2"/>
  <c r="BM387" i="2"/>
  <c r="Y387" i="2"/>
  <c r="P387" i="2"/>
  <c r="BO386" i="2"/>
  <c r="BM386" i="2"/>
  <c r="Y386" i="2"/>
  <c r="P386" i="2"/>
  <c r="BO385" i="2"/>
  <c r="BN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N379" i="2"/>
  <c r="BM379" i="2"/>
  <c r="Y379" i="2"/>
  <c r="Z379" i="2" s="1"/>
  <c r="P379" i="2"/>
  <c r="BO378" i="2"/>
  <c r="BM378" i="2"/>
  <c r="Y378" i="2"/>
  <c r="BP378" i="2" s="1"/>
  <c r="P378" i="2"/>
  <c r="X376" i="2"/>
  <c r="X375" i="2"/>
  <c r="BP374" i="2"/>
  <c r="BO374" i="2"/>
  <c r="BN374" i="2"/>
  <c r="BM374" i="2"/>
  <c r="Z374" i="2"/>
  <c r="Y374" i="2"/>
  <c r="P374" i="2"/>
  <c r="BO373" i="2"/>
  <c r="BM373" i="2"/>
  <c r="Y373" i="2"/>
  <c r="BP373" i="2" s="1"/>
  <c r="P373" i="2"/>
  <c r="BO372" i="2"/>
  <c r="BM372" i="2"/>
  <c r="Y372" i="2"/>
  <c r="P372" i="2"/>
  <c r="BO371" i="2"/>
  <c r="BN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Z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P364" i="2"/>
  <c r="BO363" i="2"/>
  <c r="BM363" i="2"/>
  <c r="Z363" i="2"/>
  <c r="Y363" i="2"/>
  <c r="BP363" i="2" s="1"/>
  <c r="P363" i="2"/>
  <c r="BO362" i="2"/>
  <c r="BM362" i="2"/>
  <c r="Z362" i="2"/>
  <c r="Y362" i="2"/>
  <c r="BP362" i="2" s="1"/>
  <c r="P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N359" i="2"/>
  <c r="BM359" i="2"/>
  <c r="Y359" i="2"/>
  <c r="BP359" i="2" s="1"/>
  <c r="P359" i="2"/>
  <c r="X356" i="2"/>
  <c r="X355" i="2"/>
  <c r="BO354" i="2"/>
  <c r="BM354" i="2"/>
  <c r="Z354" i="2"/>
  <c r="Y354" i="2"/>
  <c r="BN354" i="2" s="1"/>
  <c r="P354" i="2"/>
  <c r="BO353" i="2"/>
  <c r="BM353" i="2"/>
  <c r="Y353" i="2"/>
  <c r="P353" i="2"/>
  <c r="BO352" i="2"/>
  <c r="BM352" i="2"/>
  <c r="Z352" i="2"/>
  <c r="Y352" i="2"/>
  <c r="BP352" i="2" s="1"/>
  <c r="P352" i="2"/>
  <c r="X349" i="2"/>
  <c r="Y348" i="2"/>
  <c r="X348" i="2"/>
  <c r="BO347" i="2"/>
  <c r="BM347" i="2"/>
  <c r="Z347" i="2"/>
  <c r="Y347" i="2"/>
  <c r="BN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P342" i="2"/>
  <c r="BO341" i="2"/>
  <c r="BN341" i="2"/>
  <c r="BM341" i="2"/>
  <c r="Y341" i="2"/>
  <c r="BP341" i="2" s="1"/>
  <c r="P341" i="2"/>
  <c r="BO340" i="2"/>
  <c r="BN340" i="2"/>
  <c r="BM340" i="2"/>
  <c r="Z340" i="2"/>
  <c r="Y340" i="2"/>
  <c r="BP340" i="2" s="1"/>
  <c r="P340" i="2"/>
  <c r="BO339" i="2"/>
  <c r="BM339" i="2"/>
  <c r="Y339" i="2"/>
  <c r="P339" i="2"/>
  <c r="BO338" i="2"/>
  <c r="BM338" i="2"/>
  <c r="Y338" i="2"/>
  <c r="Y343" i="2" s="1"/>
  <c r="P338" i="2"/>
  <c r="X335" i="2"/>
  <c r="X334" i="2"/>
  <c r="BO333" i="2"/>
  <c r="BM333" i="2"/>
  <c r="Y333" i="2"/>
  <c r="BP333" i="2" s="1"/>
  <c r="P333" i="2"/>
  <c r="BO332" i="2"/>
  <c r="BM332" i="2"/>
  <c r="Y332" i="2"/>
  <c r="Z332" i="2" s="1"/>
  <c r="P332" i="2"/>
  <c r="BO331" i="2"/>
  <c r="BN331" i="2"/>
  <c r="BM331" i="2"/>
  <c r="Z331" i="2"/>
  <c r="Y331" i="2"/>
  <c r="BP331" i="2" s="1"/>
  <c r="P331" i="2"/>
  <c r="X328" i="2"/>
  <c r="X327" i="2"/>
  <c r="BO326" i="2"/>
  <c r="BM326" i="2"/>
  <c r="Z326" i="2"/>
  <c r="Y326" i="2"/>
  <c r="BP326" i="2" s="1"/>
  <c r="P326" i="2"/>
  <c r="BO325" i="2"/>
  <c r="BN325" i="2"/>
  <c r="BM325" i="2"/>
  <c r="Y325" i="2"/>
  <c r="Z325" i="2" s="1"/>
  <c r="P325" i="2"/>
  <c r="BO324" i="2"/>
  <c r="BM324" i="2"/>
  <c r="Y324" i="2"/>
  <c r="BP324" i="2" s="1"/>
  <c r="P324" i="2"/>
  <c r="BP323" i="2"/>
  <c r="BO323" i="2"/>
  <c r="BM323" i="2"/>
  <c r="Y323" i="2"/>
  <c r="P323" i="2"/>
  <c r="BO322" i="2"/>
  <c r="BM322" i="2"/>
  <c r="Y322" i="2"/>
  <c r="P322" i="2"/>
  <c r="X319" i="2"/>
  <c r="X318" i="2"/>
  <c r="BP317" i="2"/>
  <c r="BO317" i="2"/>
  <c r="BM317" i="2"/>
  <c r="Z317" i="2"/>
  <c r="Y317" i="2"/>
  <c r="BN317" i="2" s="1"/>
  <c r="P317" i="2"/>
  <c r="BO316" i="2"/>
  <c r="BN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2" i="2" s="1"/>
  <c r="P311" i="2"/>
  <c r="X309" i="2"/>
  <c r="X308" i="2"/>
  <c r="BP307" i="2"/>
  <c r="BO307" i="2"/>
  <c r="BM307" i="2"/>
  <c r="Z307" i="2"/>
  <c r="Z308" i="2" s="1"/>
  <c r="Y307" i="2"/>
  <c r="Y308" i="2" s="1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BP301" i="2" s="1"/>
  <c r="P301" i="2"/>
  <c r="BO300" i="2"/>
  <c r="BN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BO297" i="2"/>
  <c r="BN297" i="2"/>
  <c r="BM297" i="2"/>
  <c r="Y297" i="2"/>
  <c r="BP297" i="2" s="1"/>
  <c r="P297" i="2"/>
  <c r="X294" i="2"/>
  <c r="X293" i="2"/>
  <c r="BO292" i="2"/>
  <c r="BM292" i="2"/>
  <c r="Y292" i="2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P286" i="2"/>
  <c r="BO285" i="2"/>
  <c r="BN285" i="2"/>
  <c r="BM285" i="2"/>
  <c r="Y285" i="2"/>
  <c r="BP285" i="2" s="1"/>
  <c r="P285" i="2"/>
  <c r="BP284" i="2"/>
  <c r="BO284" i="2"/>
  <c r="BN284" i="2"/>
  <c r="BM284" i="2"/>
  <c r="Z284" i="2"/>
  <c r="Y284" i="2"/>
  <c r="P284" i="2"/>
  <c r="BO283" i="2"/>
  <c r="BM283" i="2"/>
  <c r="Y283" i="2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N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P277" i="2"/>
  <c r="BP276" i="2"/>
  <c r="BO276" i="2"/>
  <c r="BN276" i="2"/>
  <c r="BM276" i="2"/>
  <c r="Z276" i="2"/>
  <c r="Y276" i="2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P270" i="2" s="1"/>
  <c r="P270" i="2"/>
  <c r="BO269" i="2"/>
  <c r="BN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Z267" i="2" s="1"/>
  <c r="P267" i="2"/>
  <c r="BO266" i="2"/>
  <c r="BN266" i="2"/>
  <c r="BM266" i="2"/>
  <c r="Y266" i="2"/>
  <c r="BP266" i="2" s="1"/>
  <c r="P266" i="2"/>
  <c r="BP265" i="2"/>
  <c r="BO265" i="2"/>
  <c r="BN265" i="2"/>
  <c r="BM265" i="2"/>
  <c r="Z265" i="2"/>
  <c r="Y265" i="2"/>
  <c r="P265" i="2"/>
  <c r="X263" i="2"/>
  <c r="Y262" i="2"/>
  <c r="X262" i="2"/>
  <c r="BO261" i="2"/>
  <c r="BN261" i="2"/>
  <c r="BM261" i="2"/>
  <c r="Y261" i="2"/>
  <c r="Z261" i="2" s="1"/>
  <c r="P261" i="2"/>
  <c r="BO260" i="2"/>
  <c r="BM260" i="2"/>
  <c r="Y260" i="2"/>
  <c r="BP260" i="2" s="1"/>
  <c r="P260" i="2"/>
  <c r="Y258" i="2"/>
  <c r="X258" i="2"/>
  <c r="X257" i="2"/>
  <c r="BP256" i="2"/>
  <c r="BO256" i="2"/>
  <c r="BM256" i="2"/>
  <c r="Y256" i="2"/>
  <c r="BN256" i="2" s="1"/>
  <c r="P256" i="2"/>
  <c r="BP255" i="2"/>
  <c r="BO255" i="2"/>
  <c r="BN255" i="2"/>
  <c r="BM255" i="2"/>
  <c r="Z255" i="2"/>
  <c r="Y255" i="2"/>
  <c r="Y257" i="2" s="1"/>
  <c r="P255" i="2"/>
  <c r="Y252" i="2"/>
  <c r="X252" i="2"/>
  <c r="X251" i="2"/>
  <c r="BO250" i="2"/>
  <c r="BM250" i="2"/>
  <c r="Y250" i="2"/>
  <c r="BP250" i="2" s="1"/>
  <c r="P250" i="2"/>
  <c r="X248" i="2"/>
  <c r="X247" i="2"/>
  <c r="BP246" i="2"/>
  <c r="BO246" i="2"/>
  <c r="BM246" i="2"/>
  <c r="Y246" i="2"/>
  <c r="P246" i="2"/>
  <c r="BO245" i="2"/>
  <c r="BM245" i="2"/>
  <c r="Y245" i="2"/>
  <c r="BP245" i="2" s="1"/>
  <c r="P245" i="2"/>
  <c r="BO244" i="2"/>
  <c r="BM244" i="2"/>
  <c r="Z244" i="2"/>
  <c r="Y244" i="2"/>
  <c r="P244" i="2"/>
  <c r="X242" i="2"/>
  <c r="X241" i="2"/>
  <c r="BO240" i="2"/>
  <c r="BN240" i="2"/>
  <c r="BM240" i="2"/>
  <c r="Z240" i="2"/>
  <c r="Y240" i="2"/>
  <c r="BP240" i="2" s="1"/>
  <c r="P240" i="2"/>
  <c r="BO239" i="2"/>
  <c r="BM239" i="2"/>
  <c r="Y239" i="2"/>
  <c r="P239" i="2"/>
  <c r="BO238" i="2"/>
  <c r="BN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P231" i="2"/>
  <c r="BO230" i="2"/>
  <c r="BN230" i="2"/>
  <c r="BM230" i="2"/>
  <c r="Z230" i="2"/>
  <c r="Y230" i="2"/>
  <c r="BP230" i="2" s="1"/>
  <c r="P230" i="2"/>
  <c r="BO229" i="2"/>
  <c r="BM229" i="2"/>
  <c r="Y229" i="2"/>
  <c r="P229" i="2"/>
  <c r="BO228" i="2"/>
  <c r="BN228" i="2"/>
  <c r="BM228" i="2"/>
  <c r="Y228" i="2"/>
  <c r="Z228" i="2" s="1"/>
  <c r="P228" i="2"/>
  <c r="BO227" i="2"/>
  <c r="BM227" i="2"/>
  <c r="Y227" i="2"/>
  <c r="BP227" i="2" s="1"/>
  <c r="P227" i="2"/>
  <c r="BO226" i="2"/>
  <c r="BN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Z224" i="2"/>
  <c r="Y224" i="2"/>
  <c r="P224" i="2"/>
  <c r="BP223" i="2"/>
  <c r="BO223" i="2"/>
  <c r="BM223" i="2"/>
  <c r="Z223" i="2"/>
  <c r="Y223" i="2"/>
  <c r="BN223" i="2" s="1"/>
  <c r="P223" i="2"/>
  <c r="BO222" i="2"/>
  <c r="BM222" i="2"/>
  <c r="Y222" i="2"/>
  <c r="P222" i="2"/>
  <c r="BO221" i="2"/>
  <c r="BN221" i="2"/>
  <c r="BM221" i="2"/>
  <c r="Y221" i="2"/>
  <c r="BP221" i="2" s="1"/>
  <c r="P221" i="2"/>
  <c r="BO220" i="2"/>
  <c r="BM220" i="2"/>
  <c r="Z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BP215" i="2" s="1"/>
  <c r="P215" i="2"/>
  <c r="X212" i="2"/>
  <c r="X211" i="2"/>
  <c r="BO210" i="2"/>
  <c r="BM210" i="2"/>
  <c r="Y210" i="2"/>
  <c r="Z210" i="2" s="1"/>
  <c r="P210" i="2"/>
  <c r="BO209" i="2"/>
  <c r="BM209" i="2"/>
  <c r="Z209" i="2"/>
  <c r="Y209" i="2"/>
  <c r="BP209" i="2" s="1"/>
  <c r="P209" i="2"/>
  <c r="BO208" i="2"/>
  <c r="BM208" i="2"/>
  <c r="Y208" i="2"/>
  <c r="P208" i="2"/>
  <c r="BO207" i="2"/>
  <c r="BN207" i="2"/>
  <c r="BM207" i="2"/>
  <c r="Y207" i="2"/>
  <c r="Z207" i="2" s="1"/>
  <c r="P207" i="2"/>
  <c r="BO206" i="2"/>
  <c r="BM206" i="2"/>
  <c r="Y206" i="2"/>
  <c r="BP206" i="2" s="1"/>
  <c r="P206" i="2"/>
  <c r="BP205" i="2"/>
  <c r="BO205" i="2"/>
  <c r="BM205" i="2"/>
  <c r="Y205" i="2"/>
  <c r="BN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P188" i="2"/>
  <c r="BO188" i="2"/>
  <c r="BM188" i="2"/>
  <c r="Z188" i="2"/>
  <c r="Y188" i="2"/>
  <c r="BN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N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P179" i="2"/>
  <c r="BP178" i="2"/>
  <c r="BO178" i="2"/>
  <c r="BN178" i="2"/>
  <c r="BM178" i="2"/>
  <c r="Z178" i="2"/>
  <c r="Y178" i="2"/>
  <c r="P178" i="2"/>
  <c r="BP177" i="2"/>
  <c r="BO177" i="2"/>
  <c r="BM177" i="2"/>
  <c r="Z177" i="2"/>
  <c r="Y177" i="2"/>
  <c r="BN177" i="2" s="1"/>
  <c r="P177" i="2"/>
  <c r="BO176" i="2"/>
  <c r="BM176" i="2"/>
  <c r="Y176" i="2"/>
  <c r="P176" i="2"/>
  <c r="BO175" i="2"/>
  <c r="BM175" i="2"/>
  <c r="Z175" i="2"/>
  <c r="Y175" i="2"/>
  <c r="BN175" i="2" s="1"/>
  <c r="P175" i="2"/>
  <c r="BO174" i="2"/>
  <c r="BM174" i="2"/>
  <c r="Y174" i="2"/>
  <c r="P174" i="2"/>
  <c r="Y172" i="2"/>
  <c r="X172" i="2"/>
  <c r="X171" i="2"/>
  <c r="BO170" i="2"/>
  <c r="BM170" i="2"/>
  <c r="Y170" i="2"/>
  <c r="BP170" i="2" s="1"/>
  <c r="P170" i="2"/>
  <c r="BO169" i="2"/>
  <c r="BM169" i="2"/>
  <c r="Y169" i="2"/>
  <c r="P169" i="2"/>
  <c r="X167" i="2"/>
  <c r="X166" i="2"/>
  <c r="BO165" i="2"/>
  <c r="BN165" i="2"/>
  <c r="BM165" i="2"/>
  <c r="Y165" i="2"/>
  <c r="BP165" i="2" s="1"/>
  <c r="P165" i="2"/>
  <c r="BO164" i="2"/>
  <c r="BM164" i="2"/>
  <c r="Y164" i="2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N154" i="2"/>
  <c r="BM154" i="2"/>
  <c r="Y154" i="2"/>
  <c r="BP154" i="2" s="1"/>
  <c r="P154" i="2"/>
  <c r="BP153" i="2"/>
  <c r="BO153" i="2"/>
  <c r="BN153" i="2"/>
  <c r="BM153" i="2"/>
  <c r="Z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Z150" i="2"/>
  <c r="Y150" i="2"/>
  <c r="BN150" i="2" s="1"/>
  <c r="P150" i="2"/>
  <c r="BO149" i="2"/>
  <c r="BM149" i="2"/>
  <c r="Y149" i="2"/>
  <c r="BP149" i="2" s="1"/>
  <c r="P149" i="2"/>
  <c r="BO148" i="2"/>
  <c r="BM148" i="2"/>
  <c r="Y148" i="2"/>
  <c r="P148" i="2"/>
  <c r="Y145" i="2"/>
  <c r="X145" i="2"/>
  <c r="X144" i="2"/>
  <c r="BO143" i="2"/>
  <c r="BM143" i="2"/>
  <c r="Y143" i="2"/>
  <c r="P143" i="2"/>
  <c r="BO142" i="2"/>
  <c r="BN142" i="2"/>
  <c r="BM142" i="2"/>
  <c r="Y142" i="2"/>
  <c r="BP142" i="2" s="1"/>
  <c r="P142" i="2"/>
  <c r="BO141" i="2"/>
  <c r="BM141" i="2"/>
  <c r="Z141" i="2"/>
  <c r="Y141" i="2"/>
  <c r="P141" i="2"/>
  <c r="X139" i="2"/>
  <c r="X138" i="2"/>
  <c r="BO137" i="2"/>
  <c r="BN137" i="2"/>
  <c r="BM137" i="2"/>
  <c r="Y137" i="2"/>
  <c r="Z137" i="2" s="1"/>
  <c r="P137" i="2"/>
  <c r="BO136" i="2"/>
  <c r="BM136" i="2"/>
  <c r="Y136" i="2"/>
  <c r="BP136" i="2" s="1"/>
  <c r="P136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P123" i="2"/>
  <c r="X121" i="2"/>
  <c r="X120" i="2"/>
  <c r="BP119" i="2"/>
  <c r="BO119" i="2"/>
  <c r="BM119" i="2"/>
  <c r="Z119" i="2"/>
  <c r="Y119" i="2"/>
  <c r="BN119" i="2" s="1"/>
  <c r="P119" i="2"/>
  <c r="BO118" i="2"/>
  <c r="BM118" i="2"/>
  <c r="Y118" i="2"/>
  <c r="BN118" i="2" s="1"/>
  <c r="P118" i="2"/>
  <c r="BO117" i="2"/>
  <c r="BM117" i="2"/>
  <c r="Y117" i="2"/>
  <c r="P117" i="2"/>
  <c r="BO116" i="2"/>
  <c r="BM116" i="2"/>
  <c r="Z116" i="2"/>
  <c r="Y116" i="2"/>
  <c r="P116" i="2"/>
  <c r="X114" i="2"/>
  <c r="X113" i="2"/>
  <c r="BO112" i="2"/>
  <c r="BM112" i="2"/>
  <c r="Y112" i="2"/>
  <c r="P112" i="2"/>
  <c r="BO111" i="2"/>
  <c r="BN111" i="2"/>
  <c r="BM111" i="2"/>
  <c r="Y111" i="2"/>
  <c r="BP111" i="2" s="1"/>
  <c r="P111" i="2"/>
  <c r="BP110" i="2"/>
  <c r="BO110" i="2"/>
  <c r="BM110" i="2"/>
  <c r="Z110" i="2"/>
  <c r="Y110" i="2"/>
  <c r="BN110" i="2" s="1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Z104" i="2" s="1"/>
  <c r="P104" i="2"/>
  <c r="BO103" i="2"/>
  <c r="BM103" i="2"/>
  <c r="Y103" i="2"/>
  <c r="BP103" i="2" s="1"/>
  <c r="P103" i="2"/>
  <c r="BO102" i="2"/>
  <c r="BM102" i="2"/>
  <c r="Z102" i="2"/>
  <c r="Y102" i="2"/>
  <c r="P102" i="2"/>
  <c r="BP101" i="2"/>
  <c r="BO101" i="2"/>
  <c r="BM101" i="2"/>
  <c r="Z101" i="2"/>
  <c r="Y101" i="2"/>
  <c r="BN101" i="2" s="1"/>
  <c r="P101" i="2"/>
  <c r="BO100" i="2"/>
  <c r="BM100" i="2"/>
  <c r="Y100" i="2"/>
  <c r="P100" i="2"/>
  <c r="BO99" i="2"/>
  <c r="BN99" i="2"/>
  <c r="BM99" i="2"/>
  <c r="Y99" i="2"/>
  <c r="BP99" i="2" s="1"/>
  <c r="P99" i="2"/>
  <c r="BO98" i="2"/>
  <c r="BM98" i="2"/>
  <c r="Z98" i="2"/>
  <c r="Y98" i="2"/>
  <c r="BP98" i="2" s="1"/>
  <c r="P98" i="2"/>
  <c r="X95" i="2"/>
  <c r="X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P91" i="2"/>
  <c r="BO90" i="2"/>
  <c r="BN90" i="2"/>
  <c r="BM90" i="2"/>
  <c r="Y90" i="2"/>
  <c r="BP90" i="2" s="1"/>
  <c r="P90" i="2"/>
  <c r="X88" i="2"/>
  <c r="X87" i="2"/>
  <c r="BO86" i="2"/>
  <c r="BM86" i="2"/>
  <c r="Y86" i="2"/>
  <c r="P86" i="2"/>
  <c r="BO85" i="2"/>
  <c r="BN85" i="2"/>
  <c r="BM85" i="2"/>
  <c r="Y85" i="2"/>
  <c r="Z85" i="2" s="1"/>
  <c r="P85" i="2"/>
  <c r="BO84" i="2"/>
  <c r="BM84" i="2"/>
  <c r="Y84" i="2"/>
  <c r="BP84" i="2" s="1"/>
  <c r="P84" i="2"/>
  <c r="BO83" i="2"/>
  <c r="BM83" i="2"/>
  <c r="Y83" i="2"/>
  <c r="BN83" i="2" s="1"/>
  <c r="P83" i="2"/>
  <c r="X80" i="2"/>
  <c r="X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Z72" i="2" s="1"/>
  <c r="P72" i="2"/>
  <c r="X70" i="2"/>
  <c r="X69" i="2"/>
  <c r="BO68" i="2"/>
  <c r="BM68" i="2"/>
  <c r="Y68" i="2"/>
  <c r="Z68" i="2" s="1"/>
  <c r="P68" i="2"/>
  <c r="BP67" i="2"/>
  <c r="BO67" i="2"/>
  <c r="BN67" i="2"/>
  <c r="BM67" i="2"/>
  <c r="Z67" i="2"/>
  <c r="Y67" i="2"/>
  <c r="P67" i="2"/>
  <c r="BP66" i="2"/>
  <c r="BO66" i="2"/>
  <c r="BM66" i="2"/>
  <c r="Z66" i="2"/>
  <c r="Y66" i="2"/>
  <c r="BN66" i="2" s="1"/>
  <c r="P66" i="2"/>
  <c r="BO65" i="2"/>
  <c r="BM65" i="2"/>
  <c r="Y65" i="2"/>
  <c r="P65" i="2"/>
  <c r="X63" i="2"/>
  <c r="X62" i="2"/>
  <c r="BO61" i="2"/>
  <c r="BM61" i="2"/>
  <c r="Y61" i="2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Z58" i="2"/>
  <c r="Y58" i="2"/>
  <c r="P58" i="2"/>
  <c r="BP57" i="2"/>
  <c r="BO57" i="2"/>
  <c r="BM57" i="2"/>
  <c r="Z57" i="2"/>
  <c r="Y57" i="2"/>
  <c r="BN57" i="2" s="1"/>
  <c r="P57" i="2"/>
  <c r="BO56" i="2"/>
  <c r="BM56" i="2"/>
  <c r="Y56" i="2"/>
  <c r="P56" i="2"/>
  <c r="X53" i="2"/>
  <c r="X52" i="2"/>
  <c r="BO51" i="2"/>
  <c r="BM51" i="2"/>
  <c r="Y51" i="2"/>
  <c r="Z51" i="2" s="1"/>
  <c r="P51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BN48" i="2" s="1"/>
  <c r="P48" i="2"/>
  <c r="X44" i="2"/>
  <c r="X43" i="2"/>
  <c r="BO42" i="2"/>
  <c r="BM42" i="2"/>
  <c r="Y42" i="2"/>
  <c r="BP42" i="2" s="1"/>
  <c r="P42" i="2"/>
  <c r="BO41" i="2"/>
  <c r="BM41" i="2"/>
  <c r="Z41" i="2"/>
  <c r="Y41" i="2"/>
  <c r="BP41" i="2" s="1"/>
  <c r="P41" i="2"/>
  <c r="BO40" i="2"/>
  <c r="BM40" i="2"/>
  <c r="Y40" i="2"/>
  <c r="Z40" i="2" s="1"/>
  <c r="P40" i="2"/>
  <c r="BO39" i="2"/>
  <c r="BM39" i="2"/>
  <c r="Y39" i="2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N31" i="2"/>
  <c r="BM31" i="2"/>
  <c r="Y31" i="2"/>
  <c r="Z31" i="2" s="1"/>
  <c r="P31" i="2"/>
  <c r="BP30" i="2"/>
  <c r="BO30" i="2"/>
  <c r="BM30" i="2"/>
  <c r="Y30" i="2"/>
  <c r="P30" i="2"/>
  <c r="BO29" i="2"/>
  <c r="BN29" i="2"/>
  <c r="BM29" i="2"/>
  <c r="Z29" i="2"/>
  <c r="Y29" i="2"/>
  <c r="BP29" i="2" s="1"/>
  <c r="P29" i="2"/>
  <c r="BO28" i="2"/>
  <c r="BM28" i="2"/>
  <c r="Y28" i="2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A10" i="2" s="1"/>
  <c r="D7" i="2"/>
  <c r="Q6" i="2"/>
  <c r="P2" i="2"/>
  <c r="BN22" i="2" l="1"/>
  <c r="BN27" i="2"/>
  <c r="BP50" i="2"/>
  <c r="BN50" i="2"/>
  <c r="BN109" i="2"/>
  <c r="BP109" i="2"/>
  <c r="Z109" i="2"/>
  <c r="Y166" i="2"/>
  <c r="BN163" i="2"/>
  <c r="Y167" i="2"/>
  <c r="BN222" i="2"/>
  <c r="BP222" i="2"/>
  <c r="Z222" i="2"/>
  <c r="BP283" i="2"/>
  <c r="BN283" i="2"/>
  <c r="Z283" i="2"/>
  <c r="BN286" i="2"/>
  <c r="BP286" i="2"/>
  <c r="BN339" i="2"/>
  <c r="Z339" i="2"/>
  <c r="BN342" i="2"/>
  <c r="BP342" i="2"/>
  <c r="Z342" i="2"/>
  <c r="BP372" i="2"/>
  <c r="Z372" i="2"/>
  <c r="BP419" i="2"/>
  <c r="BN419" i="2"/>
  <c r="Z419" i="2"/>
  <c r="Y440" i="2"/>
  <c r="Z436" i="2"/>
  <c r="BN465" i="2"/>
  <c r="BP465" i="2"/>
  <c r="Z465" i="2"/>
  <c r="Z474" i="2"/>
  <c r="BN474" i="2"/>
  <c r="Z499" i="2"/>
  <c r="BN499" i="2"/>
  <c r="BN512" i="2"/>
  <c r="BP512" i="2"/>
  <c r="Z512" i="2"/>
  <c r="Z30" i="2"/>
  <c r="BN30" i="2"/>
  <c r="Z39" i="2"/>
  <c r="BN39" i="2"/>
  <c r="BP61" i="2"/>
  <c r="BN61" i="2"/>
  <c r="BP72" i="2"/>
  <c r="BP78" i="2"/>
  <c r="BN78" i="2"/>
  <c r="BN364" i="2"/>
  <c r="BP364" i="2"/>
  <c r="Z364" i="2"/>
  <c r="BN386" i="2"/>
  <c r="BP386" i="2"/>
  <c r="Z386" i="2"/>
  <c r="X563" i="2"/>
  <c r="Y456" i="2"/>
  <c r="Y457" i="2"/>
  <c r="BN455" i="2"/>
  <c r="BP455" i="2"/>
  <c r="Z455" i="2"/>
  <c r="BP506" i="2"/>
  <c r="Z506" i="2"/>
  <c r="BP22" i="2"/>
  <c r="E563" i="2"/>
  <c r="BN56" i="2"/>
  <c r="Y63" i="2"/>
  <c r="BP56" i="2"/>
  <c r="Z56" i="2"/>
  <c r="BN123" i="2"/>
  <c r="Y125" i="2"/>
  <c r="BP123" i="2"/>
  <c r="Y124" i="2"/>
  <c r="BN134" i="2"/>
  <c r="BP134" i="2"/>
  <c r="Z134" i="2"/>
  <c r="BN250" i="2"/>
  <c r="Z250" i="2"/>
  <c r="Z251" i="2" s="1"/>
  <c r="Z302" i="2"/>
  <c r="BN302" i="2"/>
  <c r="Y408" i="2"/>
  <c r="Z404" i="2"/>
  <c r="BN65" i="2"/>
  <c r="BP65" i="2"/>
  <c r="Z65" i="2"/>
  <c r="Z69" i="2" s="1"/>
  <c r="BN100" i="2"/>
  <c r="BP100" i="2"/>
  <c r="Z100" i="2"/>
  <c r="BN143" i="2"/>
  <c r="BP143" i="2"/>
  <c r="Z143" i="2"/>
  <c r="BN152" i="2"/>
  <c r="Z152" i="2"/>
  <c r="BN176" i="2"/>
  <c r="BP176" i="2"/>
  <c r="Z176" i="2"/>
  <c r="Z231" i="2"/>
  <c r="BP231" i="2"/>
  <c r="Z246" i="2"/>
  <c r="BN246" i="2"/>
  <c r="BP322" i="2"/>
  <c r="P563" i="2"/>
  <c r="Z323" i="2"/>
  <c r="BN323" i="2"/>
  <c r="BP339" i="2"/>
  <c r="Y356" i="2"/>
  <c r="BN353" i="2"/>
  <c r="BP353" i="2"/>
  <c r="Z353" i="2"/>
  <c r="Z355" i="2" s="1"/>
  <c r="BN429" i="2"/>
  <c r="Z429" i="2"/>
  <c r="BP443" i="2"/>
  <c r="Z443" i="2"/>
  <c r="BP474" i="2"/>
  <c r="Y478" i="2"/>
  <c r="BP499" i="2"/>
  <c r="BP520" i="2"/>
  <c r="Z520" i="2"/>
  <c r="BN38" i="2"/>
  <c r="BN41" i="2"/>
  <c r="BP48" i="2"/>
  <c r="BN49" i="2"/>
  <c r="BP118" i="2"/>
  <c r="H563" i="2"/>
  <c r="BP181" i="2"/>
  <c r="BN183" i="2"/>
  <c r="Y217" i="2"/>
  <c r="BN236" i="2"/>
  <c r="Y242" i="2"/>
  <c r="BP269" i="2"/>
  <c r="BN271" i="2"/>
  <c r="BP279" i="2"/>
  <c r="BN281" i="2"/>
  <c r="BN291" i="2"/>
  <c r="Y309" i="2"/>
  <c r="BP369" i="2"/>
  <c r="Y389" i="2"/>
  <c r="BP391" i="2"/>
  <c r="BP437" i="2"/>
  <c r="BP444" i="2"/>
  <c r="Y446" i="2"/>
  <c r="Y523" i="2"/>
  <c r="BP517" i="2"/>
  <c r="BP522" i="2"/>
  <c r="BP31" i="2"/>
  <c r="BP59" i="2"/>
  <c r="Z99" i="2"/>
  <c r="BP104" i="2"/>
  <c r="BP108" i="2"/>
  <c r="Z118" i="2"/>
  <c r="Z142" i="2"/>
  <c r="Z144" i="2" s="1"/>
  <c r="BP150" i="2"/>
  <c r="Z154" i="2"/>
  <c r="Z165" i="2"/>
  <c r="BP175" i="2"/>
  <c r="BN209" i="2"/>
  <c r="Z221" i="2"/>
  <c r="Z266" i="2"/>
  <c r="Z285" i="2"/>
  <c r="BP300" i="2"/>
  <c r="BN307" i="2"/>
  <c r="Z316" i="2"/>
  <c r="Z341" i="2"/>
  <c r="BP347" i="2"/>
  <c r="Z373" i="2"/>
  <c r="Y382" i="2"/>
  <c r="Z385" i="2"/>
  <c r="BP385" i="2"/>
  <c r="Z391" i="2"/>
  <c r="Z394" i="2"/>
  <c r="BP398" i="2"/>
  <c r="Z400" i="2"/>
  <c r="Z405" i="2"/>
  <c r="Z418" i="2"/>
  <c r="Z420" i="2" s="1"/>
  <c r="Z426" i="2"/>
  <c r="BP427" i="2"/>
  <c r="Z431" i="2"/>
  <c r="Z437" i="2"/>
  <c r="Z442" i="2"/>
  <c r="Z445" i="2" s="1"/>
  <c r="BP442" i="2"/>
  <c r="Y477" i="2"/>
  <c r="BP472" i="2"/>
  <c r="BN490" i="2"/>
  <c r="BP492" i="2"/>
  <c r="BP504" i="2"/>
  <c r="Y530" i="2"/>
  <c r="BP536" i="2"/>
  <c r="Z550" i="2"/>
  <c r="Z551" i="2" s="1"/>
  <c r="BN51" i="2"/>
  <c r="Z90" i="2"/>
  <c r="Z108" i="2"/>
  <c r="Z111" i="2"/>
  <c r="Y120" i="2"/>
  <c r="BP116" i="2"/>
  <c r="BN129" i="2"/>
  <c r="BP137" i="2"/>
  <c r="Y144" i="2"/>
  <c r="BP141" i="2"/>
  <c r="Y216" i="2"/>
  <c r="BP220" i="2"/>
  <c r="BP226" i="2"/>
  <c r="BP236" i="2"/>
  <c r="Z297" i="2"/>
  <c r="BP354" i="2"/>
  <c r="BN361" i="2"/>
  <c r="BN369" i="2"/>
  <c r="BP379" i="2"/>
  <c r="BN381" i="2"/>
  <c r="BP393" i="2"/>
  <c r="Y413" i="2"/>
  <c r="BP412" i="2"/>
  <c r="Y420" i="2"/>
  <c r="BP417" i="2"/>
  <c r="Y421" i="2"/>
  <c r="BN444" i="2"/>
  <c r="BP449" i="2"/>
  <c r="Y467" i="2"/>
  <c r="Y514" i="2"/>
  <c r="BN517" i="2"/>
  <c r="BN522" i="2"/>
  <c r="Y160" i="2"/>
  <c r="Y159" i="2"/>
  <c r="BP158" i="2"/>
  <c r="BP179" i="2"/>
  <c r="BN179" i="2"/>
  <c r="BP303" i="2"/>
  <c r="BN303" i="2"/>
  <c r="Z563" i="2"/>
  <c r="Y488" i="2"/>
  <c r="Y487" i="2"/>
  <c r="BP486" i="2"/>
  <c r="BN486" i="2"/>
  <c r="Z486" i="2"/>
  <c r="Z487" i="2" s="1"/>
  <c r="Z158" i="2"/>
  <c r="Z159" i="2" s="1"/>
  <c r="Z179" i="2"/>
  <c r="Y274" i="2"/>
  <c r="Y273" i="2"/>
  <c r="BP267" i="2"/>
  <c r="BN267" i="2"/>
  <c r="Z303" i="2"/>
  <c r="BP86" i="2"/>
  <c r="BN86" i="2"/>
  <c r="BP189" i="2"/>
  <c r="BN189" i="2"/>
  <c r="Y191" i="2"/>
  <c r="Y200" i="2"/>
  <c r="Y199" i="2"/>
  <c r="Z198" i="2"/>
  <c r="Z199" i="2" s="1"/>
  <c r="Y234" i="2"/>
  <c r="Y233" i="2"/>
  <c r="BP219" i="2"/>
  <c r="BN219" i="2"/>
  <c r="Z219" i="2"/>
  <c r="L563" i="2"/>
  <c r="Y248" i="2"/>
  <c r="BP244" i="2"/>
  <c r="Y247" i="2"/>
  <c r="BN244" i="2"/>
  <c r="BP73" i="2"/>
  <c r="BN73" i="2"/>
  <c r="Z73" i="2"/>
  <c r="Z86" i="2"/>
  <c r="BN158" i="2"/>
  <c r="Z189" i="2"/>
  <c r="BP229" i="2"/>
  <c r="BN229" i="2"/>
  <c r="Y289" i="2"/>
  <c r="Y288" i="2"/>
  <c r="BP277" i="2"/>
  <c r="BN277" i="2"/>
  <c r="X554" i="2"/>
  <c r="BN198" i="2"/>
  <c r="Z229" i="2"/>
  <c r="Z277" i="2"/>
  <c r="Z287" i="2"/>
  <c r="Y186" i="2"/>
  <c r="Y185" i="2"/>
  <c r="BP174" i="2"/>
  <c r="BN174" i="2"/>
  <c r="Z174" i="2"/>
  <c r="BP239" i="2"/>
  <c r="BN239" i="2"/>
  <c r="Z42" i="2"/>
  <c r="Y106" i="2"/>
  <c r="BP102" i="2"/>
  <c r="Y105" i="2"/>
  <c r="BN102" i="2"/>
  <c r="BP184" i="2"/>
  <c r="BN184" i="2"/>
  <c r="BP198" i="2"/>
  <c r="BN210" i="2"/>
  <c r="Z239" i="2"/>
  <c r="BN287" i="2"/>
  <c r="Y334" i="2"/>
  <c r="BP332" i="2"/>
  <c r="BN332" i="2"/>
  <c r="Y335" i="2"/>
  <c r="Y482" i="2"/>
  <c r="BP480" i="2"/>
  <c r="BN480" i="2"/>
  <c r="Y483" i="2"/>
  <c r="BP49" i="2"/>
  <c r="X555" i="2"/>
  <c r="Y139" i="2"/>
  <c r="BP135" i="2"/>
  <c r="BN135" i="2"/>
  <c r="Y138" i="2"/>
  <c r="BP272" i="2"/>
  <c r="BN272" i="2"/>
  <c r="Y319" i="2"/>
  <c r="BP315" i="2"/>
  <c r="Y318" i="2"/>
  <c r="BN315" i="2"/>
  <c r="BP428" i="2"/>
  <c r="BN428" i="2"/>
  <c r="Z428" i="2"/>
  <c r="Z480" i="2"/>
  <c r="BN42" i="2"/>
  <c r="Y70" i="2"/>
  <c r="Y69" i="2"/>
  <c r="BP68" i="2"/>
  <c r="BN68" i="2"/>
  <c r="Z135" i="2"/>
  <c r="J563" i="2"/>
  <c r="BP210" i="2"/>
  <c r="Z272" i="2"/>
  <c r="Z315" i="2"/>
  <c r="Z318" i="2" s="1"/>
  <c r="Y80" i="2"/>
  <c r="Y79" i="2"/>
  <c r="BN93" i="2"/>
  <c r="Y121" i="2"/>
  <c r="BP117" i="2"/>
  <c r="BN117" i="2"/>
  <c r="Z117" i="2"/>
  <c r="Z120" i="2" s="1"/>
  <c r="BP151" i="2"/>
  <c r="BN151" i="2"/>
  <c r="Z151" i="2"/>
  <c r="BP282" i="2"/>
  <c r="BN282" i="2"/>
  <c r="Y396" i="2"/>
  <c r="BP392" i="2"/>
  <c r="BN392" i="2"/>
  <c r="Z392" i="2"/>
  <c r="Z395" i="2" s="1"/>
  <c r="W563" i="2"/>
  <c r="Y434" i="2"/>
  <c r="BP425" i="2"/>
  <c r="Z425" i="2"/>
  <c r="Z433" i="2" s="1"/>
  <c r="Y563" i="2"/>
  <c r="BP505" i="2"/>
  <c r="Z505" i="2"/>
  <c r="Y32" i="2"/>
  <c r="BP28" i="2"/>
  <c r="BN28" i="2"/>
  <c r="Z77" i="2"/>
  <c r="Z282" i="2"/>
  <c r="Y534" i="2"/>
  <c r="Y533" i="2"/>
  <c r="BP532" i="2"/>
  <c r="BN532" i="2"/>
  <c r="Z532" i="2"/>
  <c r="Z533" i="2" s="1"/>
  <c r="F563" i="2"/>
  <c r="Y88" i="2"/>
  <c r="Y87" i="2"/>
  <c r="Z83" i="2"/>
  <c r="Z28" i="2"/>
  <c r="Z32" i="2" s="1"/>
  <c r="BP93" i="2"/>
  <c r="Y132" i="2"/>
  <c r="BP130" i="2"/>
  <c r="BN130" i="2"/>
  <c r="I563" i="2"/>
  <c r="Y155" i="2"/>
  <c r="BP148" i="2"/>
  <c r="Y171" i="2"/>
  <c r="BP169" i="2"/>
  <c r="BN169" i="2"/>
  <c r="BP208" i="2"/>
  <c r="BN208" i="2"/>
  <c r="BN425" i="2"/>
  <c r="BN505" i="2"/>
  <c r="BP83" i="2"/>
  <c r="BN60" i="2"/>
  <c r="BN23" i="2"/>
  <c r="Y33" i="2"/>
  <c r="BP40" i="2"/>
  <c r="BN40" i="2"/>
  <c r="BN77" i="2"/>
  <c r="Z130" i="2"/>
  <c r="Z148" i="2"/>
  <c r="Z169" i="2"/>
  <c r="Y192" i="2"/>
  <c r="Z208" i="2"/>
  <c r="Y305" i="2"/>
  <c r="Y304" i="2"/>
  <c r="BP298" i="2"/>
  <c r="BN298" i="2"/>
  <c r="O563" i="2"/>
  <c r="BP164" i="2"/>
  <c r="BN164" i="2"/>
  <c r="T563" i="2"/>
  <c r="Z23" i="2"/>
  <c r="C563" i="2"/>
  <c r="Y44" i="2"/>
  <c r="Y43" i="2"/>
  <c r="Z37" i="2"/>
  <c r="BP77" i="2"/>
  <c r="Y113" i="2"/>
  <c r="BP112" i="2"/>
  <c r="BN112" i="2"/>
  <c r="BN148" i="2"/>
  <c r="Z164" i="2"/>
  <c r="Y196" i="2"/>
  <c r="Y195" i="2"/>
  <c r="BP194" i="2"/>
  <c r="BN194" i="2"/>
  <c r="Z194" i="2"/>
  <c r="Z195" i="2" s="1"/>
  <c r="Y211" i="2"/>
  <c r="Y388" i="2"/>
  <c r="BP387" i="2"/>
  <c r="BN387" i="2"/>
  <c r="BP544" i="2"/>
  <c r="BN544" i="2"/>
  <c r="Z544" i="2"/>
  <c r="Y546" i="2"/>
  <c r="Z24" i="2"/>
  <c r="Y24" i="2"/>
  <c r="Y75" i="2"/>
  <c r="G563" i="2"/>
  <c r="Z112" i="2"/>
  <c r="Z113" i="2" s="1"/>
  <c r="BP224" i="2"/>
  <c r="BN224" i="2"/>
  <c r="Z387" i="2"/>
  <c r="Z388" i="2" s="1"/>
  <c r="BP438" i="2"/>
  <c r="BN438" i="2"/>
  <c r="Z438" i="2"/>
  <c r="Z439" i="2" s="1"/>
  <c r="F10" i="2"/>
  <c r="J9" i="2"/>
  <c r="H9" i="2"/>
  <c r="X553" i="2"/>
  <c r="BN37" i="2"/>
  <c r="Y95" i="2"/>
  <c r="BP91" i="2"/>
  <c r="BN91" i="2"/>
  <c r="Y94" i="2"/>
  <c r="Y156" i="2"/>
  <c r="BN231" i="2"/>
  <c r="Y241" i="2"/>
  <c r="Y294" i="2"/>
  <c r="Y293" i="2"/>
  <c r="BP292" i="2"/>
  <c r="BN292" i="2"/>
  <c r="Y401" i="2"/>
  <c r="BP399" i="2"/>
  <c r="Z399" i="2"/>
  <c r="Z401" i="2" s="1"/>
  <c r="BP60" i="2"/>
  <c r="X557" i="2"/>
  <c r="Z74" i="2"/>
  <c r="F9" i="2"/>
  <c r="Y52" i="2"/>
  <c r="Y62" i="2"/>
  <c r="BP58" i="2"/>
  <c r="BN58" i="2"/>
  <c r="Z91" i="2"/>
  <c r="BN104" i="2"/>
  <c r="Z292" i="2"/>
  <c r="Z293" i="2" s="1"/>
  <c r="Q563" i="2"/>
  <c r="BP338" i="2"/>
  <c r="BN338" i="2"/>
  <c r="R563" i="2"/>
  <c r="Y344" i="2"/>
  <c r="Z338" i="2"/>
  <c r="Z343" i="2" s="1"/>
  <c r="BP27" i="2"/>
  <c r="BP39" i="2"/>
  <c r="BP51" i="2"/>
  <c r="BN72" i="2"/>
  <c r="BP85" i="2"/>
  <c r="BN116" i="2"/>
  <c r="BP129" i="2"/>
  <c r="BP163" i="2"/>
  <c r="BP183" i="2"/>
  <c r="Z205" i="2"/>
  <c r="BP207" i="2"/>
  <c r="BP228" i="2"/>
  <c r="BP238" i="2"/>
  <c r="Y251" i="2"/>
  <c r="BP261" i="2"/>
  <c r="BP271" i="2"/>
  <c r="BP281" i="2"/>
  <c r="BP291" i="2"/>
  <c r="BP302" i="2"/>
  <c r="Y313" i="2"/>
  <c r="BP325" i="2"/>
  <c r="Z359" i="2"/>
  <c r="BP361" i="2"/>
  <c r="BP371" i="2"/>
  <c r="BP381" i="2"/>
  <c r="BN391" i="2"/>
  <c r="Y402" i="2"/>
  <c r="Z412" i="2"/>
  <c r="Y461" i="2"/>
  <c r="Z472" i="2"/>
  <c r="Y508" i="2"/>
  <c r="Z517" i="2"/>
  <c r="BP519" i="2"/>
  <c r="K563" i="2"/>
  <c r="M563" i="2"/>
  <c r="Y263" i="2"/>
  <c r="BN326" i="2"/>
  <c r="BN362" i="2"/>
  <c r="Y365" i="2"/>
  <c r="BN372" i="2"/>
  <c r="Y375" i="2"/>
  <c r="Y383" i="2"/>
  <c r="BN404" i="2"/>
  <c r="Y407" i="2"/>
  <c r="Y451" i="2"/>
  <c r="BN463" i="2"/>
  <c r="Y466" i="2"/>
  <c r="BN475" i="2"/>
  <c r="BN500" i="2"/>
  <c r="BN510" i="2"/>
  <c r="Y513" i="2"/>
  <c r="BN520" i="2"/>
  <c r="Y53" i="2"/>
  <c r="Z78" i="2"/>
  <c r="Z232" i="2"/>
  <c r="Z38" i="2"/>
  <c r="Z50" i="2"/>
  <c r="Z61" i="2"/>
  <c r="Z84" i="2"/>
  <c r="Z128" i="2"/>
  <c r="Z131" i="2" s="1"/>
  <c r="Z182" i="2"/>
  <c r="Z206" i="2"/>
  <c r="Z227" i="2"/>
  <c r="Z237" i="2"/>
  <c r="Z241" i="2" s="1"/>
  <c r="Z260" i="2"/>
  <c r="Z262" i="2" s="1"/>
  <c r="Z270" i="2"/>
  <c r="Z280" i="2"/>
  <c r="Z301" i="2"/>
  <c r="Z304" i="2" s="1"/>
  <c r="Z324" i="2"/>
  <c r="Y349" i="2"/>
  <c r="Z360" i="2"/>
  <c r="Z370" i="2"/>
  <c r="Z380" i="2"/>
  <c r="BP404" i="2"/>
  <c r="Z448" i="2"/>
  <c r="Z450" i="2" s="1"/>
  <c r="BP463" i="2"/>
  <c r="Z473" i="2"/>
  <c r="Z498" i="2"/>
  <c r="BP510" i="2"/>
  <c r="Z518" i="2"/>
  <c r="S563" i="2"/>
  <c r="Y212" i="2"/>
  <c r="BN232" i="2"/>
  <c r="Y366" i="2"/>
  <c r="Y376" i="2"/>
  <c r="BN443" i="2"/>
  <c r="Z454" i="2"/>
  <c r="Z456" i="2" s="1"/>
  <c r="BN491" i="2"/>
  <c r="BN503" i="2"/>
  <c r="Y524" i="2"/>
  <c r="Y538" i="2"/>
  <c r="BN550" i="2"/>
  <c r="BN84" i="2"/>
  <c r="BN128" i="2"/>
  <c r="Y131" i="2"/>
  <c r="Z149" i="2"/>
  <c r="BN182" i="2"/>
  <c r="BN206" i="2"/>
  <c r="BN227" i="2"/>
  <c r="BN237" i="2"/>
  <c r="BN260" i="2"/>
  <c r="BN270" i="2"/>
  <c r="BN280" i="2"/>
  <c r="BN301" i="2"/>
  <c r="Z311" i="2"/>
  <c r="Z312" i="2" s="1"/>
  <c r="BN324" i="2"/>
  <c r="Y327" i="2"/>
  <c r="Z346" i="2"/>
  <c r="Z348" i="2" s="1"/>
  <c r="BN360" i="2"/>
  <c r="BN370" i="2"/>
  <c r="BN380" i="2"/>
  <c r="Y414" i="2"/>
  <c r="BN448" i="2"/>
  <c r="BN473" i="2"/>
  <c r="BN498" i="2"/>
  <c r="BN518" i="2"/>
  <c r="B563" i="2"/>
  <c r="U563" i="2"/>
  <c r="BN431" i="2"/>
  <c r="BN454" i="2"/>
  <c r="Z464" i="2"/>
  <c r="Z466" i="2" s="1"/>
  <c r="Z476" i="2"/>
  <c r="Z501" i="2"/>
  <c r="Z511" i="2"/>
  <c r="Z513" i="2" s="1"/>
  <c r="Z521" i="2"/>
  <c r="BP550" i="2"/>
  <c r="V563" i="2"/>
  <c r="Y25" i="2"/>
  <c r="Z48" i="2"/>
  <c r="Z52" i="2" s="1"/>
  <c r="Z59" i="2"/>
  <c r="Z62" i="2" s="1"/>
  <c r="Y74" i="2"/>
  <c r="Z92" i="2"/>
  <c r="Z103" i="2"/>
  <c r="Z105" i="2" s="1"/>
  <c r="BP128" i="2"/>
  <c r="Z136" i="2"/>
  <c r="Z138" i="2" s="1"/>
  <c r="BN149" i="2"/>
  <c r="Z170" i="2"/>
  <c r="Z180" i="2"/>
  <c r="Z190" i="2"/>
  <c r="Z191" i="2" s="1"/>
  <c r="Z204" i="2"/>
  <c r="Z211" i="2" s="1"/>
  <c r="Z215" i="2"/>
  <c r="Z216" i="2" s="1"/>
  <c r="Z225" i="2"/>
  <c r="Z245" i="2"/>
  <c r="Z247" i="2" s="1"/>
  <c r="Z268" i="2"/>
  <c r="Z273" i="2" s="1"/>
  <c r="Z278" i="2"/>
  <c r="Z299" i="2"/>
  <c r="BN311" i="2"/>
  <c r="Z322" i="2"/>
  <c r="Z333" i="2"/>
  <c r="Z334" i="2" s="1"/>
  <c r="BN346" i="2"/>
  <c r="Z368" i="2"/>
  <c r="Z378" i="2"/>
  <c r="Z382" i="2" s="1"/>
  <c r="BN400" i="2"/>
  <c r="Z411" i="2"/>
  <c r="Z413" i="2" s="1"/>
  <c r="BN426" i="2"/>
  <c r="BN436" i="2"/>
  <c r="Y439" i="2"/>
  <c r="BN459" i="2"/>
  <c r="Z471" i="2"/>
  <c r="Z477" i="2" s="1"/>
  <c r="Z481" i="2"/>
  <c r="BP498" i="2"/>
  <c r="BN506" i="2"/>
  <c r="Z516" i="2"/>
  <c r="Z528" i="2"/>
  <c r="Z529" i="2" s="1"/>
  <c r="Z540" i="2"/>
  <c r="Z541" i="2" s="1"/>
  <c r="D563" i="2"/>
  <c r="Y328" i="2"/>
  <c r="BN352" i="2"/>
  <c r="Y355" i="2"/>
  <c r="BN363" i="2"/>
  <c r="BN373" i="2"/>
  <c r="BN405" i="2"/>
  <c r="BP454" i="2"/>
  <c r="BN464" i="2"/>
  <c r="BN476" i="2"/>
  <c r="BN501" i="2"/>
  <c r="BN511" i="2"/>
  <c r="BN521" i="2"/>
  <c r="Z545" i="2"/>
  <c r="Y551" i="2"/>
  <c r="BN92" i="2"/>
  <c r="BN103" i="2"/>
  <c r="Y114" i="2"/>
  <c r="Z123" i="2"/>
  <c r="Z124" i="2" s="1"/>
  <c r="BN136" i="2"/>
  <c r="BN170" i="2"/>
  <c r="BN180" i="2"/>
  <c r="BN190" i="2"/>
  <c r="BN204" i="2"/>
  <c r="BN215" i="2"/>
  <c r="BN225" i="2"/>
  <c r="BN245" i="2"/>
  <c r="Z256" i="2"/>
  <c r="Z257" i="2" s="1"/>
  <c r="BN268" i="2"/>
  <c r="BN278" i="2"/>
  <c r="Z286" i="2"/>
  <c r="BN299" i="2"/>
  <c r="BP311" i="2"/>
  <c r="BN322" i="2"/>
  <c r="BN333" i="2"/>
  <c r="BN368" i="2"/>
  <c r="BN378" i="2"/>
  <c r="BN411" i="2"/>
  <c r="BP436" i="2"/>
  <c r="BN471" i="2"/>
  <c r="Z492" i="2"/>
  <c r="Z493" i="2" s="1"/>
  <c r="Z504" i="2"/>
  <c r="BN516" i="2"/>
  <c r="BN528" i="2"/>
  <c r="BN540" i="2"/>
  <c r="BN98" i="2"/>
  <c r="BN141" i="2"/>
  <c r="Z163" i="2"/>
  <c r="Z166" i="2" s="1"/>
  <c r="BN417" i="2"/>
  <c r="BN545" i="2"/>
  <c r="Y507" i="2"/>
  <c r="BP528" i="2"/>
  <c r="BP540" i="2"/>
  <c r="Y552" i="2"/>
  <c r="AB563" i="2"/>
  <c r="Z375" i="2" l="1"/>
  <c r="Z288" i="2"/>
  <c r="Z365" i="2"/>
  <c r="Z43" i="2"/>
  <c r="Z87" i="2"/>
  <c r="Z407" i="2"/>
  <c r="Y555" i="2"/>
  <c r="Z94" i="2"/>
  <c r="Z546" i="2"/>
  <c r="Y554" i="2"/>
  <c r="Z185" i="2"/>
  <c r="Y557" i="2"/>
  <c r="Z507" i="2"/>
  <c r="Z171" i="2"/>
  <c r="Z155" i="2"/>
  <c r="Z79" i="2"/>
  <c r="Z523" i="2"/>
  <c r="X556" i="2"/>
  <c r="Y553" i="2"/>
  <c r="Z482" i="2"/>
  <c r="Z233" i="2"/>
  <c r="Z327" i="2"/>
  <c r="Z558" i="2" l="1"/>
  <c r="Y556" i="2"/>
</calcChain>
</file>

<file path=xl/sharedStrings.xml><?xml version="1.0" encoding="utf-8"?>
<sst xmlns="http://schemas.openxmlformats.org/spreadsheetml/2006/main" count="4208" uniqueCount="890">
  <si>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</si>
  <si>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</si>
  <si>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</si>
  <si>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</si>
  <si>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</si>
  <si>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</si>
  <si>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</si>
  <si>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</si>
  <si>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</si>
  <si>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</si>
  <si>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</si>
  <si>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</si>
  <si>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</si>
  <si>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</si>
  <si>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</si>
  <si>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</si>
  <si>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</si>
  <si>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</si>
  <si>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</si>
  <si>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</si>
  <si>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</si>
  <si>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</si>
  <si>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</si>
  <si>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</si>
  <si>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</si>
  <si>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</si>
  <si>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</si>
  <si>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</si>
  <si>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</si>
  <si>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</si>
  <si>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</si>
  <si>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</si>
  <si>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</si>
  <si>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</si>
  <si>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</si>
  <si>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</si>
  <si>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</si>
  <si>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</si>
  <si>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</si>
  <si>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</si>
  <si>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</si>
  <si>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</si>
  <si>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</si>
  <si>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</si>
  <si>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</si>
  <si>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</si>
  <si>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</si>
  <si>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</si>
  <si>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</si>
  <si>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</si>
  <si>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</si>
  <si>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</si>
  <si>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</si>
  <si>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</si>
  <si>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</si>
  <si>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</si>
  <si>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</si>
  <si>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</si>
  <si>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</si>
  <si>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</si>
  <si>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</si>
  <si>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</si>
  <si>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</si>
  <si>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</si>
  <si>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</si>
  <si>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</si>
  <si>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</si>
  <si>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</si>
  <si>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24.08.2026</t>
  </si>
  <si>
    <t>19.08.2026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</si>
  <si>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</si>
  <si>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</si>
  <si>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</si>
  <si>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</si>
  <si>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</si>
  <si>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</si>
  <si>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</si>
  <si>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</si>
  <si>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</si>
  <si>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</si>
  <si>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</si>
  <si>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</si>
  <si>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</si>
  <si>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</si>
  <si>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</si>
  <si>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</si>
  <si>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</si>
  <si>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</si>
  <si>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</si>
  <si>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</si>
  <si>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</si>
  <si>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</si>
  <si>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</si>
  <si>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</si>
  <si>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</si>
  <si>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</si>
  <si>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</si>
  <si>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</si>
  <si>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</si>
  <si>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</si>
  <si>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</si>
  <si>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</si>
  <si>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</si>
  <si>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</si>
  <si>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</si>
  <si>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SU004313</t>
  </si>
  <si>
    <t>P005634</t>
  </si>
  <si>
    <t>ЕАЭС N RU Д-RU.РА02.В.13825/26</t>
  </si>
  <si>
    <t>Новинка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</si>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</sst>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/>
      <c r="I5" s="645"/>
      <c r="J5" s="645"/>
      <c r="K5" s="645"/>
      <c r="L5" s="645"/>
      <c r="M5" s="645"/>
      <c r="N5" s="72"/>
      <c r="P5" s="27" t="s">
        <v>4</v>
      </c>
      <c r="Q5" s="647">
        <v>46257</v>
      </c>
      <c r="R5" s="647"/>
      <c r="T5" s="648" t="s">
        <v>3</v>
      </c>
      <c r="U5" s="649"/>
      <c r="V5" s="650" t="s">
        <v>871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872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Воскресенье</v>
      </c>
      <c r="R6" s="653"/>
      <c r="T6" s="654" t="s">
        <v>5</v>
      </c>
      <c r="U6" s="655"/>
      <c r="V6" s="656" t="s">
        <v>70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1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0.375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71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72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73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74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75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customHeight="1" x14ac:dyDescent="0.2">
      <c r="A19" s="708" t="s">
        <v>76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customHeight="1" x14ac:dyDescent="0.25">
      <c r="A20" s="709" t="s">
        <v>76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customHeight="1" x14ac:dyDescent="0.25">
      <c r="A21" s="710" t="s">
        <v>77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10" t="s">
        <v>86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customHeight="1" x14ac:dyDescent="0.25">
      <c r="A35" s="709" t="s">
        <v>104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customHeight="1" x14ac:dyDescent="0.25">
      <c r="A36" s="710" t="s">
        <v>86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4301052259</v>
      </c>
      <c r="D37" s="711">
        <v>4680115889590</v>
      </c>
      <c r="E37" s="711"/>
      <c r="F37" s="62">
        <v>0.3</v>
      </c>
      <c r="G37" s="37">
        <v>4</v>
      </c>
      <c r="H37" s="62">
        <v>1.2</v>
      </c>
      <c r="I37" s="62">
        <v>6.18</v>
      </c>
      <c r="J37" s="37">
        <v>182</v>
      </c>
      <c r="K37" s="37" t="s">
        <v>91</v>
      </c>
      <c r="L37" s="37" t="s">
        <v>46</v>
      </c>
      <c r="M37" s="38" t="s">
        <v>90</v>
      </c>
      <c r="N37" s="38"/>
      <c r="O37" s="37">
        <v>40</v>
      </c>
      <c r="P37" s="72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108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customHeight="1" x14ac:dyDescent="0.25">
      <c r="A38" s="63" t="s">
        <v>109</v>
      </c>
      <c r="B38" s="63" t="s">
        <v>110</v>
      </c>
      <c r="C38" s="36">
        <v>4301052187</v>
      </c>
      <c r="D38" s="711">
        <v>4680115889354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97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111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customHeight="1" x14ac:dyDescent="0.25">
      <c r="A39" s="63" t="s">
        <v>112</v>
      </c>
      <c r="B39" s="63" t="s">
        <v>113</v>
      </c>
      <c r="C39" s="36">
        <v>4301052198</v>
      </c>
      <c r="D39" s="711">
        <v>4680115888463</v>
      </c>
      <c r="E39" s="711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114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107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122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customHeight="1" x14ac:dyDescent="0.2">
      <c r="A45" s="708" t="s">
        <v>123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customHeight="1" x14ac:dyDescent="0.25">
      <c r="A46" s="709" t="s">
        <v>124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customHeight="1" x14ac:dyDescent="0.25">
      <c r="A47" s="710" t="s">
        <v>125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customHeight="1" x14ac:dyDescent="0.25">
      <c r="A48" s="63" t="s">
        <v>126</v>
      </c>
      <c r="B48" s="63" t="s">
        <v>127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130</v>
      </c>
      <c r="L48" s="37" t="s">
        <v>46</v>
      </c>
      <c r="M48" s="38" t="s">
        <v>129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131</v>
      </c>
      <c r="B49" s="63" t="s">
        <v>132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134</v>
      </c>
      <c r="L49" s="37" t="s">
        <v>46</v>
      </c>
      <c r="M49" s="38" t="s">
        <v>81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133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137</v>
      </c>
      <c r="L50" s="37" t="s">
        <v>46</v>
      </c>
      <c r="M50" s="38" t="s">
        <v>90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128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138</v>
      </c>
      <c r="B51" s="63" t="s">
        <v>139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137</v>
      </c>
      <c r="L51" s="37" t="s">
        <v>46</v>
      </c>
      <c r="M51" s="38" t="s">
        <v>90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128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customHeight="1" x14ac:dyDescent="0.25">
      <c r="A54" s="709" t="s">
        <v>140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customHeight="1" x14ac:dyDescent="0.25">
      <c r="A55" s="710" t="s">
        <v>125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customHeight="1" x14ac:dyDescent="0.25">
      <c r="A56" s="63" t="s">
        <v>141</v>
      </c>
      <c r="B56" s="63" t="s">
        <v>142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130</v>
      </c>
      <c r="L56" s="37" t="s">
        <v>46</v>
      </c>
      <c r="M56" s="38" t="s">
        <v>129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130</v>
      </c>
      <c r="L57" s="37" t="s">
        <v>46</v>
      </c>
      <c r="M57" s="38" t="s">
        <v>129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129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129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152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153</v>
      </c>
      <c r="B60" s="63" t="s">
        <v>154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129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155</v>
      </c>
      <c r="B61" s="63" t="s">
        <v>156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137</v>
      </c>
      <c r="L61" s="37" t="s">
        <v>46</v>
      </c>
      <c r="M61" s="38" t="s">
        <v>129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157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customHeight="1" x14ac:dyDescent="0.25">
      <c r="A64" s="710" t="s">
        <v>158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customHeight="1" x14ac:dyDescent="0.25">
      <c r="A65" s="63" t="s">
        <v>159</v>
      </c>
      <c r="B65" s="63" t="s">
        <v>160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130</v>
      </c>
      <c r="L65" s="37" t="s">
        <v>46</v>
      </c>
      <c r="M65" s="38" t="s">
        <v>129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161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162</v>
      </c>
      <c r="B66" s="63" t="s">
        <v>163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164</v>
      </c>
      <c r="B67" s="63" t="s">
        <v>165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134</v>
      </c>
      <c r="L67" s="37" t="s">
        <v>46</v>
      </c>
      <c r="M67" s="38" t="s">
        <v>81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166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167</v>
      </c>
      <c r="B68" s="63" t="s">
        <v>168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129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161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710" t="s">
        <v>86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customHeight="1" x14ac:dyDescent="0.25">
      <c r="A72" s="63" t="s">
        <v>169</v>
      </c>
      <c r="B72" s="63" t="s">
        <v>170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172</v>
      </c>
      <c r="B73" s="63" t="s">
        <v>173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174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710" t="s">
        <v>175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customHeight="1" x14ac:dyDescent="0.25">
      <c r="A77" s="63" t="s">
        <v>176</v>
      </c>
      <c r="B77" s="63" t="s">
        <v>177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130</v>
      </c>
      <c r="L77" s="37" t="s">
        <v>46</v>
      </c>
      <c r="M77" s="38" t="s">
        <v>97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179</v>
      </c>
      <c r="B78" s="63" t="s">
        <v>180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137</v>
      </c>
      <c r="L78" s="37" t="s">
        <v>46</v>
      </c>
      <c r="M78" s="38" t="s">
        <v>90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181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709" t="s">
        <v>182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customHeight="1" x14ac:dyDescent="0.25">
      <c r="A82" s="710" t="s">
        <v>125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customHeight="1" x14ac:dyDescent="0.25">
      <c r="A83" s="63" t="s">
        <v>183</v>
      </c>
      <c r="B83" s="63" t="s">
        <v>184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130</v>
      </c>
      <c r="L83" s="37" t="s">
        <v>46</v>
      </c>
      <c r="M83" s="38" t="s">
        <v>97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185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186</v>
      </c>
      <c r="B84" s="63" t="s">
        <v>187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134</v>
      </c>
      <c r="L84" s="37" t="s">
        <v>46</v>
      </c>
      <c r="M84" s="38" t="s">
        <v>81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188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189</v>
      </c>
      <c r="B85" s="63" t="s">
        <v>190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137</v>
      </c>
      <c r="L85" s="37" t="s">
        <v>46</v>
      </c>
      <c r="M85" s="38" t="s">
        <v>90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191</v>
      </c>
      <c r="B86" s="63" t="s">
        <v>192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137</v>
      </c>
      <c r="L86" s="37" t="s">
        <v>46</v>
      </c>
      <c r="M86" s="38" t="s">
        <v>97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710" t="s">
        <v>86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customHeight="1" x14ac:dyDescent="0.25">
      <c r="A90" s="63" t="s">
        <v>193</v>
      </c>
      <c r="B90" s="63" t="s">
        <v>194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130</v>
      </c>
      <c r="L90" s="37" t="s">
        <v>46</v>
      </c>
      <c r="M90" s="38" t="s">
        <v>97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91</v>
      </c>
      <c r="L91" s="37" t="s">
        <v>46</v>
      </c>
      <c r="M91" s="38" t="s">
        <v>90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198</v>
      </c>
      <c r="B92" s="63" t="s">
        <v>199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91</v>
      </c>
      <c r="L92" s="37" t="s">
        <v>46</v>
      </c>
      <c r="M92" s="38" t="s">
        <v>97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200</v>
      </c>
      <c r="B93" s="63" t="s">
        <v>201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91</v>
      </c>
      <c r="L93" s="37" t="s">
        <v>46</v>
      </c>
      <c r="M93" s="38" t="s">
        <v>90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202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709" t="s">
        <v>203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customHeight="1" x14ac:dyDescent="0.25">
      <c r="A97" s="710" t="s">
        <v>125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customHeight="1" x14ac:dyDescent="0.25">
      <c r="A98" s="63" t="s">
        <v>204</v>
      </c>
      <c r="B98" s="63" t="s">
        <v>205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130</v>
      </c>
      <c r="L98" s="37" t="s">
        <v>46</v>
      </c>
      <c r="M98" s="38" t="s">
        <v>129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206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customHeight="1" x14ac:dyDescent="0.25">
      <c r="A99" s="63" t="s">
        <v>207</v>
      </c>
      <c r="B99" s="63" t="s">
        <v>208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134</v>
      </c>
      <c r="L99" s="37" t="s">
        <v>46</v>
      </c>
      <c r="M99" s="38" t="s">
        <v>81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209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customHeight="1" x14ac:dyDescent="0.25">
      <c r="A100" s="63" t="s">
        <v>207</v>
      </c>
      <c r="B100" s="63" t="s">
        <v>210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134</v>
      </c>
      <c r="L100" s="37" t="s">
        <v>46</v>
      </c>
      <c r="M100" s="38" t="s">
        <v>81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customHeight="1" x14ac:dyDescent="0.25">
      <c r="A101" s="63" t="s">
        <v>207</v>
      </c>
      <c r="B101" s="63" t="s">
        <v>211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134</v>
      </c>
      <c r="L101" s="37" t="s">
        <v>46</v>
      </c>
      <c r="M101" s="38" t="s">
        <v>81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customHeight="1" x14ac:dyDescent="0.25">
      <c r="A102" s="63" t="s">
        <v>212</v>
      </c>
      <c r="B102" s="63" t="s">
        <v>213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137</v>
      </c>
      <c r="L102" s="37" t="s">
        <v>46</v>
      </c>
      <c r="M102" s="38" t="s">
        <v>90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206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214</v>
      </c>
      <c r="B103" s="63" t="s">
        <v>215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137</v>
      </c>
      <c r="L103" s="37" t="s">
        <v>46</v>
      </c>
      <c r="M103" s="38" t="s">
        <v>90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customHeight="1" x14ac:dyDescent="0.25">
      <c r="A104" s="63" t="s">
        <v>216</v>
      </c>
      <c r="B104" s="63" t="s">
        <v>217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137</v>
      </c>
      <c r="L104" s="37" t="s">
        <v>46</v>
      </c>
      <c r="M104" s="38" t="s">
        <v>90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customHeight="1" x14ac:dyDescent="0.25">
      <c r="A107" s="710" t="s">
        <v>158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customHeight="1" x14ac:dyDescent="0.25">
      <c r="A108" s="63" t="s">
        <v>218</v>
      </c>
      <c r="B108" s="63" t="s">
        <v>219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130</v>
      </c>
      <c r="L108" s="37" t="s">
        <v>46</v>
      </c>
      <c r="M108" s="38" t="s">
        <v>129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220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221</v>
      </c>
      <c r="B109" s="63" t="s">
        <v>222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224</v>
      </c>
      <c r="L109" s="37" t="s">
        <v>46</v>
      </c>
      <c r="M109" s="38" t="s">
        <v>81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223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225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226</v>
      </c>
      <c r="B111" s="63" t="s">
        <v>227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82</v>
      </c>
      <c r="L111" s="37" t="s">
        <v>46</v>
      </c>
      <c r="M111" s="38" t="s">
        <v>129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228</v>
      </c>
      <c r="B112" s="63" t="s">
        <v>229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129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customHeight="1" x14ac:dyDescent="0.25">
      <c r="A115" s="710" t="s">
        <v>86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130</v>
      </c>
      <c r="L116" s="37" t="s">
        <v>46</v>
      </c>
      <c r="M116" s="38" t="s">
        <v>97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232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234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91</v>
      </c>
      <c r="L117" s="37" t="s">
        <v>46</v>
      </c>
      <c r="M117" s="38" t="s">
        <v>97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237</v>
      </c>
      <c r="B119" s="63" t="s">
        <v>238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91</v>
      </c>
      <c r="L119" s="37" t="s">
        <v>46</v>
      </c>
      <c r="M119" s="38" t="s">
        <v>90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710" t="s">
        <v>175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customHeight="1" x14ac:dyDescent="0.25">
      <c r="A123" s="63" t="s">
        <v>240</v>
      </c>
      <c r="B123" s="63" t="s">
        <v>241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709" t="s">
        <v>243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customHeight="1" x14ac:dyDescent="0.25">
      <c r="A127" s="710" t="s">
        <v>125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customHeight="1" x14ac:dyDescent="0.25">
      <c r="A128" s="63" t="s">
        <v>244</v>
      </c>
      <c r="B128" s="63" t="s">
        <v>245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130</v>
      </c>
      <c r="L128" s="37" t="s">
        <v>46</v>
      </c>
      <c r="M128" s="38" t="s">
        <v>247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246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248</v>
      </c>
      <c r="B129" s="63" t="s">
        <v>249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91</v>
      </c>
      <c r="L129" s="37" t="s">
        <v>46</v>
      </c>
      <c r="M129" s="38" t="s">
        <v>251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250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252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customHeight="1" x14ac:dyDescent="0.25">
      <c r="A133" s="710" t="s">
        <v>77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customHeight="1" x14ac:dyDescent="0.25">
      <c r="A134" s="63" t="s">
        <v>253</v>
      </c>
      <c r="B134" s="63" t="s">
        <v>254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130</v>
      </c>
      <c r="L134" s="37" t="s">
        <v>46</v>
      </c>
      <c r="M134" s="38" t="s">
        <v>247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257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91</v>
      </c>
      <c r="L135" s="37" t="s">
        <v>46</v>
      </c>
      <c r="M135" s="38" t="s">
        <v>251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259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260</v>
      </c>
      <c r="B137" s="63" t="s">
        <v>261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82</v>
      </c>
      <c r="L137" s="37" t="s">
        <v>46</v>
      </c>
      <c r="M137" s="38" t="s">
        <v>247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customHeight="1" x14ac:dyDescent="0.25">
      <c r="A140" s="710" t="s">
        <v>86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customHeight="1" x14ac:dyDescent="0.25">
      <c r="A141" s="63" t="s">
        <v>262</v>
      </c>
      <c r="B141" s="63" t="s">
        <v>263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91</v>
      </c>
      <c r="L141" s="37" t="s">
        <v>46</v>
      </c>
      <c r="M141" s="38" t="s">
        <v>247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246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264</v>
      </c>
      <c r="B142" s="63" t="s">
        <v>265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266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customHeight="1" x14ac:dyDescent="0.25">
      <c r="A146" s="709" t="s">
        <v>267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customHeight="1" x14ac:dyDescent="0.25">
      <c r="A147" s="710" t="s">
        <v>86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customHeight="1" x14ac:dyDescent="0.25">
      <c r="A148" s="63" t="s">
        <v>268</v>
      </c>
      <c r="B148" s="63" t="s">
        <v>269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270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customHeight="1" x14ac:dyDescent="0.25">
      <c r="A149" s="63" t="s">
        <v>271</v>
      </c>
      <c r="B149" s="63" t="s">
        <v>272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273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customHeight="1" x14ac:dyDescent="0.25">
      <c r="A150" s="63" t="s">
        <v>271</v>
      </c>
      <c r="B150" s="63" t="s">
        <v>274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customHeight="1" x14ac:dyDescent="0.25">
      <c r="A151" s="63" t="s">
        <v>275</v>
      </c>
      <c r="B151" s="63" t="s">
        <v>276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277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customHeight="1" x14ac:dyDescent="0.25">
      <c r="A152" s="63" t="s">
        <v>275</v>
      </c>
      <c r="B152" s="63" t="s">
        <v>278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customHeight="1" x14ac:dyDescent="0.25">
      <c r="A153" s="63" t="s">
        <v>279</v>
      </c>
      <c r="B153" s="63" t="s">
        <v>280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281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customHeight="1" x14ac:dyDescent="0.25">
      <c r="A154" s="63" t="s">
        <v>279</v>
      </c>
      <c r="B154" s="63" t="s">
        <v>282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customHeight="1" x14ac:dyDescent="0.25">
      <c r="A157" s="710" t="s">
        <v>283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customHeight="1" x14ac:dyDescent="0.25">
      <c r="A158" s="63" t="s">
        <v>284</v>
      </c>
      <c r="B158" s="63" t="s">
        <v>285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289</v>
      </c>
      <c r="L158" s="37" t="s">
        <v>46</v>
      </c>
      <c r="M158" s="38" t="s">
        <v>288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286</v>
      </c>
      <c r="AG158" s="78"/>
      <c r="AJ158" s="84" t="s">
        <v>46</v>
      </c>
      <c r="AK158" s="84">
        <v>0</v>
      </c>
      <c r="BB158" s="233" t="s">
        <v>287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709" t="s">
        <v>123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customHeight="1" x14ac:dyDescent="0.25">
      <c r="A162" s="710" t="s">
        <v>125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customHeight="1" x14ac:dyDescent="0.25">
      <c r="A163" s="63" t="s">
        <v>290</v>
      </c>
      <c r="B163" s="63" t="s">
        <v>291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130</v>
      </c>
      <c r="L163" s="37" t="s">
        <v>46</v>
      </c>
      <c r="M163" s="38" t="s">
        <v>129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292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293</v>
      </c>
      <c r="B164" s="63" t="s">
        <v>294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137</v>
      </c>
      <c r="L164" s="37" t="s">
        <v>46</v>
      </c>
      <c r="M164" s="38" t="s">
        <v>129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295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customHeight="1" x14ac:dyDescent="0.25">
      <c r="A165" s="63" t="s">
        <v>296</v>
      </c>
      <c r="B165" s="63" t="s">
        <v>297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91</v>
      </c>
      <c r="L165" s="37" t="s">
        <v>46</v>
      </c>
      <c r="M165" s="38" t="s">
        <v>90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298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customHeight="1" x14ac:dyDescent="0.25">
      <c r="A168" s="710" t="s">
        <v>158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customHeight="1" x14ac:dyDescent="0.25">
      <c r="A169" s="63" t="s">
        <v>299</v>
      </c>
      <c r="B169" s="63" t="s">
        <v>300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82</v>
      </c>
      <c r="L169" s="37" t="s">
        <v>46</v>
      </c>
      <c r="M169" s="38" t="s">
        <v>81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301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customHeight="1" x14ac:dyDescent="0.25">
      <c r="A170" s="63" t="s">
        <v>302</v>
      </c>
      <c r="B170" s="63" t="s">
        <v>303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82</v>
      </c>
      <c r="L170" s="37" t="s">
        <v>46</v>
      </c>
      <c r="M170" s="38" t="s">
        <v>129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304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customHeight="1" x14ac:dyDescent="0.25">
      <c r="A173" s="710" t="s">
        <v>77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customHeight="1" x14ac:dyDescent="0.25">
      <c r="A174" s="63" t="s">
        <v>305</v>
      </c>
      <c r="B174" s="63" t="s">
        <v>306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81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307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137</v>
      </c>
      <c r="L175" s="37" t="s">
        <v>46</v>
      </c>
      <c r="M175" s="38" t="s">
        <v>81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310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137</v>
      </c>
      <c r="L176" s="37" t="s">
        <v>46</v>
      </c>
      <c r="M176" s="38" t="s">
        <v>81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313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customHeight="1" x14ac:dyDescent="0.25">
      <c r="A177" s="63" t="s">
        <v>314</v>
      </c>
      <c r="B177" s="63" t="s">
        <v>315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137</v>
      </c>
      <c r="L177" s="37" t="s">
        <v>46</v>
      </c>
      <c r="M177" s="38" t="s">
        <v>81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customHeight="1" x14ac:dyDescent="0.25">
      <c r="A178" s="63" t="s">
        <v>317</v>
      </c>
      <c r="B178" s="63" t="s">
        <v>318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319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customHeight="1" x14ac:dyDescent="0.25">
      <c r="A179" s="63" t="s">
        <v>320</v>
      </c>
      <c r="B179" s="63" t="s">
        <v>321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307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customHeight="1" x14ac:dyDescent="0.25">
      <c r="A180" s="63" t="s">
        <v>322</v>
      </c>
      <c r="B180" s="63" t="s">
        <v>323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134</v>
      </c>
      <c r="L180" s="37" t="s">
        <v>46</v>
      </c>
      <c r="M180" s="38" t="s">
        <v>81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324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customHeight="1" x14ac:dyDescent="0.25">
      <c r="A181" s="63" t="s">
        <v>322</v>
      </c>
      <c r="B181" s="63" t="s">
        <v>325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326</v>
      </c>
      <c r="B182" s="63" t="s">
        <v>327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313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customHeight="1" x14ac:dyDescent="0.25">
      <c r="A183" s="63" t="s">
        <v>328</v>
      </c>
      <c r="B183" s="63" t="s">
        <v>329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330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331</v>
      </c>
      <c r="B184" s="63" t="s">
        <v>332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333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customHeight="1" x14ac:dyDescent="0.25">
      <c r="A187" s="710" t="s">
        <v>86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customHeight="1" x14ac:dyDescent="0.25">
      <c r="A188" s="63" t="s">
        <v>334</v>
      </c>
      <c r="B188" s="63" t="s">
        <v>335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336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337</v>
      </c>
      <c r="B189" s="63" t="s">
        <v>338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339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customHeight="1" x14ac:dyDescent="0.25">
      <c r="A190" s="63" t="s">
        <v>340</v>
      </c>
      <c r="B190" s="63" t="s">
        <v>341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342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customHeight="1" x14ac:dyDescent="0.25">
      <c r="A193" s="710" t="s">
        <v>283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customHeight="1" x14ac:dyDescent="0.25">
      <c r="A194" s="63" t="s">
        <v>343</v>
      </c>
      <c r="B194" s="63" t="s">
        <v>344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346</v>
      </c>
      <c r="L194" s="37" t="s">
        <v>46</v>
      </c>
      <c r="M194" s="38" t="s">
        <v>288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345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customHeight="1" x14ac:dyDescent="0.25">
      <c r="A197" s="710" t="s">
        <v>347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customHeight="1" x14ac:dyDescent="0.25">
      <c r="A198" s="63" t="s">
        <v>348</v>
      </c>
      <c r="B198" s="63" t="s">
        <v>349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346</v>
      </c>
      <c r="L198" s="37" t="s">
        <v>46</v>
      </c>
      <c r="M198" s="38" t="s">
        <v>288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350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customHeight="1" x14ac:dyDescent="0.2">
      <c r="A201" s="708" t="s">
        <v>351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customHeight="1" x14ac:dyDescent="0.25">
      <c r="A202" s="709" t="s">
        <v>352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customHeight="1" x14ac:dyDescent="0.25">
      <c r="A203" s="710" t="s">
        <v>125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customHeight="1" x14ac:dyDescent="0.25">
      <c r="A204" s="63" t="s">
        <v>353</v>
      </c>
      <c r="B204" s="63" t="s">
        <v>354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130</v>
      </c>
      <c r="L204" s="37" t="s">
        <v>46</v>
      </c>
      <c r="M204" s="38" t="s">
        <v>90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128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customHeight="1" x14ac:dyDescent="0.25">
      <c r="A205" s="63" t="s">
        <v>355</v>
      </c>
      <c r="B205" s="63" t="s">
        <v>356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130</v>
      </c>
      <c r="L205" s="37" t="s">
        <v>46</v>
      </c>
      <c r="M205" s="38" t="s">
        <v>90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357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customHeight="1" x14ac:dyDescent="0.25">
      <c r="A206" s="63" t="s">
        <v>358</v>
      </c>
      <c r="B206" s="63" t="s">
        <v>359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130</v>
      </c>
      <c r="L206" s="37" t="s">
        <v>46</v>
      </c>
      <c r="M206" s="38" t="s">
        <v>90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360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customHeight="1" x14ac:dyDescent="0.25">
      <c r="A207" s="63" t="s">
        <v>361</v>
      </c>
      <c r="B207" s="63" t="s">
        <v>362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130</v>
      </c>
      <c r="L207" s="37" t="s">
        <v>46</v>
      </c>
      <c r="M207" s="38" t="s">
        <v>90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363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customHeight="1" x14ac:dyDescent="0.25">
      <c r="A208" s="63" t="s">
        <v>364</v>
      </c>
      <c r="B208" s="63" t="s">
        <v>365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130</v>
      </c>
      <c r="L208" s="37" t="s">
        <v>46</v>
      </c>
      <c r="M208" s="38" t="s">
        <v>90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366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customHeight="1" x14ac:dyDescent="0.25">
      <c r="A209" s="63" t="s">
        <v>367</v>
      </c>
      <c r="B209" s="63" t="s">
        <v>368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130</v>
      </c>
      <c r="L209" s="37" t="s">
        <v>46</v>
      </c>
      <c r="M209" s="38" t="s">
        <v>90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369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customHeight="1" x14ac:dyDescent="0.25">
      <c r="A210" s="63" t="s">
        <v>370</v>
      </c>
      <c r="B210" s="63" t="s">
        <v>371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130</v>
      </c>
      <c r="L210" s="37" t="s">
        <v>46</v>
      </c>
      <c r="M210" s="38" t="s">
        <v>90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372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customHeight="1" x14ac:dyDescent="0.25">
      <c r="A213" s="709" t="s">
        <v>373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customHeight="1" x14ac:dyDescent="0.25">
      <c r="A214" s="710" t="s">
        <v>158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customHeight="1" x14ac:dyDescent="0.25">
      <c r="A215" s="63" t="s">
        <v>374</v>
      </c>
      <c r="B215" s="63" t="s">
        <v>375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376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customHeight="1" x14ac:dyDescent="0.25">
      <c r="A218" s="710" t="s">
        <v>77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customHeight="1" x14ac:dyDescent="0.25">
      <c r="A219" s="63" t="s">
        <v>377</v>
      </c>
      <c r="B219" s="63" t="s">
        <v>378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137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customHeight="1" x14ac:dyDescent="0.25">
      <c r="A220" s="63" t="s">
        <v>380</v>
      </c>
      <c r="B220" s="63" t="s">
        <v>381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137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137</v>
      </c>
      <c r="L221" s="37" t="s">
        <v>46</v>
      </c>
      <c r="M221" s="38" t="s">
        <v>81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customHeight="1" x14ac:dyDescent="0.25">
      <c r="A222" s="63" t="s">
        <v>386</v>
      </c>
      <c r="B222" s="63" t="s">
        <v>387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customHeight="1" x14ac:dyDescent="0.25">
      <c r="A224" s="63" t="s">
        <v>391</v>
      </c>
      <c r="B224" s="63" t="s">
        <v>392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393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394</v>
      </c>
      <c r="B225" s="63" t="s">
        <v>395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382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customHeight="1" x14ac:dyDescent="0.25">
      <c r="A226" s="63" t="s">
        <v>396</v>
      </c>
      <c r="B226" s="63" t="s">
        <v>397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customHeight="1" x14ac:dyDescent="0.25">
      <c r="A227" s="63" t="s">
        <v>399</v>
      </c>
      <c r="B227" s="63" t="s">
        <v>400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401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customHeight="1" x14ac:dyDescent="0.25">
      <c r="A228" s="63" t="s">
        <v>402</v>
      </c>
      <c r="B228" s="63" t="s">
        <v>403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404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405</v>
      </c>
      <c r="B229" s="63" t="s">
        <v>406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134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407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408</v>
      </c>
      <c r="B230" s="63" t="s">
        <v>409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385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customHeight="1" x14ac:dyDescent="0.25">
      <c r="A231" s="63" t="s">
        <v>410</v>
      </c>
      <c r="B231" s="63" t="s">
        <v>411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385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customHeight="1" x14ac:dyDescent="0.25">
      <c r="A232" s="63" t="s">
        <v>412</v>
      </c>
      <c r="B232" s="63" t="s">
        <v>413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414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customHeight="1" x14ac:dyDescent="0.25">
      <c r="A235" s="710" t="s">
        <v>86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customHeight="1" x14ac:dyDescent="0.25">
      <c r="A236" s="63" t="s">
        <v>415</v>
      </c>
      <c r="B236" s="63" t="s">
        <v>416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130</v>
      </c>
      <c r="L236" s="37" t="s">
        <v>46</v>
      </c>
      <c r="M236" s="38" t="s">
        <v>97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417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418</v>
      </c>
      <c r="B237" s="63" t="s">
        <v>419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130</v>
      </c>
      <c r="L237" s="37" t="s">
        <v>46</v>
      </c>
      <c r="M237" s="38" t="s">
        <v>97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420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421</v>
      </c>
      <c r="B238" s="63" t="s">
        <v>422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137</v>
      </c>
      <c r="L238" s="37" t="s">
        <v>46</v>
      </c>
      <c r="M238" s="38" t="s">
        <v>97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423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424</v>
      </c>
      <c r="B239" s="63" t="s">
        <v>425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137</v>
      </c>
      <c r="L239" s="37" t="s">
        <v>46</v>
      </c>
      <c r="M239" s="38" t="s">
        <v>97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426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427</v>
      </c>
      <c r="B240" s="63" t="s">
        <v>428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137</v>
      </c>
      <c r="L240" s="37" t="s">
        <v>46</v>
      </c>
      <c r="M240" s="38" t="s">
        <v>97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420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customHeight="1" x14ac:dyDescent="0.25">
      <c r="A243" s="710" t="s">
        <v>283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customHeight="1" x14ac:dyDescent="0.25">
      <c r="A244" s="63" t="s">
        <v>429</v>
      </c>
      <c r="B244" s="63" t="s">
        <v>430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346</v>
      </c>
      <c r="L244" s="37" t="s">
        <v>46</v>
      </c>
      <c r="M244" s="38" t="s">
        <v>288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431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432</v>
      </c>
      <c r="B245" s="63" t="s">
        <v>433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346</v>
      </c>
      <c r="L245" s="37" t="s">
        <v>46</v>
      </c>
      <c r="M245" s="38" t="s">
        <v>288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434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435</v>
      </c>
      <c r="B246" s="63" t="s">
        <v>436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346</v>
      </c>
      <c r="L246" s="37" t="s">
        <v>46</v>
      </c>
      <c r="M246" s="38" t="s">
        <v>288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434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customHeight="1" x14ac:dyDescent="0.25">
      <c r="A249" s="710" t="s">
        <v>437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customHeight="1" x14ac:dyDescent="0.25">
      <c r="A250" s="63" t="s">
        <v>438</v>
      </c>
      <c r="B250" s="63" t="s">
        <v>439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346</v>
      </c>
      <c r="L250" s="37" t="s">
        <v>46</v>
      </c>
      <c r="M250" s="38" t="s">
        <v>288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434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customHeight="1" x14ac:dyDescent="0.25">
      <c r="A253" s="709" t="s">
        <v>440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customHeight="1" x14ac:dyDescent="0.25">
      <c r="A254" s="710" t="s">
        <v>125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customHeight="1" x14ac:dyDescent="0.25">
      <c r="A255" s="63" t="s">
        <v>441</v>
      </c>
      <c r="B255" s="63" t="s">
        <v>442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130</v>
      </c>
      <c r="L255" s="37" t="s">
        <v>46</v>
      </c>
      <c r="M255" s="38" t="s">
        <v>129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443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444</v>
      </c>
      <c r="B256" s="63" t="s">
        <v>445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91</v>
      </c>
      <c r="L256" s="37" t="s">
        <v>46</v>
      </c>
      <c r="M256" s="38" t="s">
        <v>129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443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710" t="s">
        <v>158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customHeight="1" x14ac:dyDescent="0.25">
      <c r="A260" s="63" t="s">
        <v>446</v>
      </c>
      <c r="B260" s="63" t="s">
        <v>447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130</v>
      </c>
      <c r="L260" s="37" t="s">
        <v>46</v>
      </c>
      <c r="M260" s="38" t="s">
        <v>129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448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customHeight="1" x14ac:dyDescent="0.25">
      <c r="A261" s="63" t="s">
        <v>449</v>
      </c>
      <c r="B261" s="63" t="s">
        <v>450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91</v>
      </c>
      <c r="L261" s="37" t="s">
        <v>46</v>
      </c>
      <c r="M261" s="38" t="s">
        <v>129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448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customHeight="1" x14ac:dyDescent="0.25">
      <c r="A264" s="710" t="s">
        <v>77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customHeight="1" x14ac:dyDescent="0.25">
      <c r="A265" s="63" t="s">
        <v>451</v>
      </c>
      <c r="B265" s="63" t="s">
        <v>452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137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453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137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456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457</v>
      </c>
      <c r="B267" s="63" t="s">
        <v>458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137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459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customHeight="1" x14ac:dyDescent="0.25">
      <c r="A268" s="63" t="s">
        <v>460</v>
      </c>
      <c r="B268" s="63" t="s">
        <v>461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137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462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customHeight="1" x14ac:dyDescent="0.25">
      <c r="A269" s="63" t="s">
        <v>463</v>
      </c>
      <c r="B269" s="63" t="s">
        <v>464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customHeight="1" x14ac:dyDescent="0.25">
      <c r="A270" s="63" t="s">
        <v>465</v>
      </c>
      <c r="B270" s="63" t="s">
        <v>466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customHeight="1" x14ac:dyDescent="0.25">
      <c r="A271" s="63" t="s">
        <v>467</v>
      </c>
      <c r="B271" s="63" t="s">
        <v>468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customHeight="1" x14ac:dyDescent="0.25">
      <c r="A272" s="63" t="s">
        <v>469</v>
      </c>
      <c r="B272" s="63" t="s">
        <v>470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customHeight="1" x14ac:dyDescent="0.25">
      <c r="A275" s="710" t="s">
        <v>86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customHeight="1" x14ac:dyDescent="0.25">
      <c r="A276" s="63" t="s">
        <v>471</v>
      </c>
      <c r="B276" s="63" t="s">
        <v>472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130</v>
      </c>
      <c r="L276" s="37" t="s">
        <v>46</v>
      </c>
      <c r="M276" s="38" t="s">
        <v>90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130</v>
      </c>
      <c r="L277" s="37" t="s">
        <v>46</v>
      </c>
      <c r="M277" s="38" t="s">
        <v>90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customHeight="1" x14ac:dyDescent="0.25">
      <c r="A278" s="63" t="s">
        <v>477</v>
      </c>
      <c r="B278" s="63" t="s">
        <v>478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130</v>
      </c>
      <c r="L278" s="37" t="s">
        <v>46</v>
      </c>
      <c r="M278" s="38" t="s">
        <v>90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479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91</v>
      </c>
      <c r="L279" s="37" t="s">
        <v>46</v>
      </c>
      <c r="M279" s="38" t="s">
        <v>90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473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customHeight="1" x14ac:dyDescent="0.25">
      <c r="A280" s="63" t="s">
        <v>482</v>
      </c>
      <c r="B280" s="63" t="s">
        <v>483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91</v>
      </c>
      <c r="L280" s="37" t="s">
        <v>46</v>
      </c>
      <c r="M280" s="38" t="s">
        <v>97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479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137</v>
      </c>
      <c r="L281" s="37" t="s">
        <v>46</v>
      </c>
      <c r="M281" s="38" t="s">
        <v>90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487</v>
      </c>
      <c r="B282" s="63" t="s">
        <v>488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customHeight="1" x14ac:dyDescent="0.25">
      <c r="A283" s="63" t="s">
        <v>489</v>
      </c>
      <c r="B283" s="63" t="s">
        <v>490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130</v>
      </c>
      <c r="L283" s="37" t="s">
        <v>46</v>
      </c>
      <c r="M283" s="38" t="s">
        <v>90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486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customHeight="1" x14ac:dyDescent="0.25">
      <c r="A284" s="63" t="s">
        <v>491</v>
      </c>
      <c r="B284" s="63" t="s">
        <v>492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493</v>
      </c>
      <c r="B285" s="63" t="s">
        <v>494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495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customHeight="1" x14ac:dyDescent="0.25">
      <c r="A286" s="63" t="s">
        <v>496</v>
      </c>
      <c r="B286" s="63" t="s">
        <v>497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498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customHeight="1" x14ac:dyDescent="0.25">
      <c r="A287" s="63" t="s">
        <v>499</v>
      </c>
      <c r="B287" s="63" t="s">
        <v>500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501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customHeight="1" x14ac:dyDescent="0.25">
      <c r="A290" s="710" t="s">
        <v>175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customHeight="1" x14ac:dyDescent="0.25">
      <c r="A291" s="63" t="s">
        <v>502</v>
      </c>
      <c r="B291" s="63" t="s">
        <v>503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504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505</v>
      </c>
      <c r="B292" s="63" t="s">
        <v>506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507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709" t="s">
        <v>508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customHeight="1" x14ac:dyDescent="0.25">
      <c r="A296" s="710" t="s">
        <v>125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customHeight="1" x14ac:dyDescent="0.25">
      <c r="A297" s="63" t="s">
        <v>509</v>
      </c>
      <c r="B297" s="63" t="s">
        <v>510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130</v>
      </c>
      <c r="L297" s="37" t="s">
        <v>46</v>
      </c>
      <c r="M297" s="38" t="s">
        <v>129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511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customHeight="1" x14ac:dyDescent="0.25">
      <c r="A298" s="63" t="s">
        <v>512</v>
      </c>
      <c r="B298" s="63" t="s">
        <v>513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130</v>
      </c>
      <c r="L298" s="37" t="s">
        <v>46</v>
      </c>
      <c r="M298" s="38" t="s">
        <v>129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514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customHeight="1" x14ac:dyDescent="0.25">
      <c r="A299" s="63" t="s">
        <v>515</v>
      </c>
      <c r="B299" s="63" t="s">
        <v>516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130</v>
      </c>
      <c r="L299" s="37" t="s">
        <v>46</v>
      </c>
      <c r="M299" s="38" t="s">
        <v>129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369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customHeight="1" x14ac:dyDescent="0.25">
      <c r="A300" s="63" t="s">
        <v>517</v>
      </c>
      <c r="B300" s="63" t="s">
        <v>518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137</v>
      </c>
      <c r="L300" s="37" t="s">
        <v>46</v>
      </c>
      <c r="M300" s="38" t="s">
        <v>129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511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customHeight="1" x14ac:dyDescent="0.25">
      <c r="A301" s="63" t="s">
        <v>519</v>
      </c>
      <c r="B301" s="63" t="s">
        <v>520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137</v>
      </c>
      <c r="L301" s="37" t="s">
        <v>46</v>
      </c>
      <c r="M301" s="38" t="s">
        <v>129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521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customHeight="1" x14ac:dyDescent="0.25">
      <c r="A302" s="63" t="s">
        <v>522</v>
      </c>
      <c r="B302" s="63" t="s">
        <v>523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91</v>
      </c>
      <c r="L302" s="37" t="s">
        <v>46</v>
      </c>
      <c r="M302" s="38" t="s">
        <v>129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524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525</v>
      </c>
      <c r="B303" s="63" t="s">
        <v>526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137</v>
      </c>
      <c r="L303" s="37" t="s">
        <v>46</v>
      </c>
      <c r="M303" s="38" t="s">
        <v>129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369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710" t="s">
        <v>158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customHeight="1" x14ac:dyDescent="0.25">
      <c r="A307" s="63" t="s">
        <v>527</v>
      </c>
      <c r="B307" s="63" t="s">
        <v>528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90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529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customHeight="1" x14ac:dyDescent="0.25">
      <c r="A310" s="710" t="s">
        <v>530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customHeight="1" x14ac:dyDescent="0.25">
      <c r="A311" s="63" t="s">
        <v>531</v>
      </c>
      <c r="B311" s="63" t="s">
        <v>532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346</v>
      </c>
      <c r="L311" s="37" t="s">
        <v>46</v>
      </c>
      <c r="M311" s="38" t="s">
        <v>288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533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10" t="s">
        <v>347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customHeight="1" x14ac:dyDescent="0.25">
      <c r="A315" s="63" t="s">
        <v>534</v>
      </c>
      <c r="B315" s="63" t="s">
        <v>535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346</v>
      </c>
      <c r="L315" s="37" t="s">
        <v>46</v>
      </c>
      <c r="M315" s="38" t="s">
        <v>288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536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537</v>
      </c>
      <c r="B316" s="63" t="s">
        <v>538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346</v>
      </c>
      <c r="L316" s="37" t="s">
        <v>46</v>
      </c>
      <c r="M316" s="38" t="s">
        <v>288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536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539</v>
      </c>
      <c r="B317" s="63" t="s">
        <v>540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346</v>
      </c>
      <c r="L317" s="37" t="s">
        <v>46</v>
      </c>
      <c r="M317" s="38" t="s">
        <v>288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536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customHeight="1" x14ac:dyDescent="0.25">
      <c r="A320" s="709" t="s">
        <v>541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customHeight="1" x14ac:dyDescent="0.25">
      <c r="A321" s="710" t="s">
        <v>125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customHeight="1" x14ac:dyDescent="0.25">
      <c r="A322" s="63" t="s">
        <v>542</v>
      </c>
      <c r="B322" s="63" t="s">
        <v>543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130</v>
      </c>
      <c r="L322" s="37" t="s">
        <v>46</v>
      </c>
      <c r="M322" s="38" t="s">
        <v>129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544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customHeight="1" x14ac:dyDescent="0.25">
      <c r="A323" s="63" t="s">
        <v>545</v>
      </c>
      <c r="B323" s="63" t="s">
        <v>546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130</v>
      </c>
      <c r="L323" s="37" t="s">
        <v>46</v>
      </c>
      <c r="M323" s="38" t="s">
        <v>129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547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548</v>
      </c>
      <c r="B324" s="63" t="s">
        <v>549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130</v>
      </c>
      <c r="L324" s="37" t="s">
        <v>46</v>
      </c>
      <c r="M324" s="38" t="s">
        <v>129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550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551</v>
      </c>
      <c r="B325" s="63" t="s">
        <v>552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129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553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customHeight="1" x14ac:dyDescent="0.25">
      <c r="A326" s="63" t="s">
        <v>554</v>
      </c>
      <c r="B326" s="63" t="s">
        <v>555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137</v>
      </c>
      <c r="L326" s="37" t="s">
        <v>46</v>
      </c>
      <c r="M326" s="38" t="s">
        <v>129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556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customHeight="1" x14ac:dyDescent="0.25">
      <c r="A329" s="709" t="s">
        <v>557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customHeight="1" x14ac:dyDescent="0.25">
      <c r="A330" s="710" t="s">
        <v>86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customHeight="1" x14ac:dyDescent="0.25">
      <c r="A331" s="63" t="s">
        <v>558</v>
      </c>
      <c r="B331" s="63" t="s">
        <v>559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560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561</v>
      </c>
      <c r="B332" s="63" t="s">
        <v>562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563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564</v>
      </c>
      <c r="B333" s="63" t="s">
        <v>565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560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709" t="s">
        <v>566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customHeight="1" x14ac:dyDescent="0.25">
      <c r="A337" s="710" t="s">
        <v>77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customHeight="1" x14ac:dyDescent="0.25">
      <c r="A338" s="63" t="s">
        <v>567</v>
      </c>
      <c r="B338" s="63" t="s">
        <v>568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401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569</v>
      </c>
      <c r="B339" s="63" t="s">
        <v>570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571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572</v>
      </c>
      <c r="B340" s="63" t="s">
        <v>573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574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575</v>
      </c>
      <c r="B341" s="63" t="s">
        <v>576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577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578</v>
      </c>
      <c r="B342" s="63" t="s">
        <v>579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580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customHeight="1" x14ac:dyDescent="0.25">
      <c r="A345" s="710" t="s">
        <v>86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customHeight="1" x14ac:dyDescent="0.25">
      <c r="A346" s="63" t="s">
        <v>581</v>
      </c>
      <c r="B346" s="63" t="s">
        <v>582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137</v>
      </c>
      <c r="L346" s="37" t="s">
        <v>46</v>
      </c>
      <c r="M346" s="38" t="s">
        <v>90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583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584</v>
      </c>
      <c r="B347" s="63" t="s">
        <v>585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137</v>
      </c>
      <c r="L347" s="37" t="s">
        <v>46</v>
      </c>
      <c r="M347" s="38" t="s">
        <v>90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586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customHeight="1" x14ac:dyDescent="0.25">
      <c r="A350" s="709" t="s">
        <v>587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customHeight="1" x14ac:dyDescent="0.25">
      <c r="A351" s="710" t="s">
        <v>125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customHeight="1" x14ac:dyDescent="0.25">
      <c r="A352" s="63" t="s">
        <v>588</v>
      </c>
      <c r="B352" s="63" t="s">
        <v>589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130</v>
      </c>
      <c r="L352" s="37" t="s">
        <v>46</v>
      </c>
      <c r="M352" s="38" t="s">
        <v>90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360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590</v>
      </c>
      <c r="B353" s="63" t="s">
        <v>591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130</v>
      </c>
      <c r="L353" s="37" t="s">
        <v>46</v>
      </c>
      <c r="M353" s="38" t="s">
        <v>90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592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593</v>
      </c>
      <c r="B354" s="63" t="s">
        <v>594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130</v>
      </c>
      <c r="L354" s="37" t="s">
        <v>46</v>
      </c>
      <c r="M354" s="38" t="s">
        <v>90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595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customHeight="1" x14ac:dyDescent="0.25">
      <c r="A357" s="709" t="s">
        <v>596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customHeight="1" x14ac:dyDescent="0.25">
      <c r="A358" s="710" t="s">
        <v>125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customHeight="1" x14ac:dyDescent="0.25">
      <c r="A359" s="63" t="s">
        <v>597</v>
      </c>
      <c r="B359" s="63" t="s">
        <v>598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130</v>
      </c>
      <c r="L359" s="37" t="s">
        <v>46</v>
      </c>
      <c r="M359" s="38" t="s">
        <v>129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599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customHeight="1" x14ac:dyDescent="0.25">
      <c r="A360" s="63" t="s">
        <v>600</v>
      </c>
      <c r="B360" s="63" t="s">
        <v>601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130</v>
      </c>
      <c r="L360" s="37" t="s">
        <v>46</v>
      </c>
      <c r="M360" s="38" t="s">
        <v>129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602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customHeight="1" x14ac:dyDescent="0.25">
      <c r="A361" s="63" t="s">
        <v>603</v>
      </c>
      <c r="B361" s="63" t="s">
        <v>604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130</v>
      </c>
      <c r="L361" s="37" t="s">
        <v>46</v>
      </c>
      <c r="M361" s="38" t="s">
        <v>129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605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customHeight="1" x14ac:dyDescent="0.25">
      <c r="A362" s="63" t="s">
        <v>606</v>
      </c>
      <c r="B362" s="63" t="s">
        <v>607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130</v>
      </c>
      <c r="L362" s="37" t="s">
        <v>46</v>
      </c>
      <c r="M362" s="38" t="s">
        <v>90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608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customHeight="1" x14ac:dyDescent="0.25">
      <c r="A363" s="63" t="s">
        <v>609</v>
      </c>
      <c r="B363" s="63" t="s">
        <v>610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137</v>
      </c>
      <c r="L363" s="37" t="s">
        <v>46</v>
      </c>
      <c r="M363" s="38" t="s">
        <v>129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602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customHeight="1" x14ac:dyDescent="0.25">
      <c r="A364" s="63" t="s">
        <v>611</v>
      </c>
      <c r="B364" s="63" t="s">
        <v>612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137</v>
      </c>
      <c r="L364" s="37" t="s">
        <v>46</v>
      </c>
      <c r="M364" s="38" t="s">
        <v>129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613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customHeight="1" x14ac:dyDescent="0.25">
      <c r="A367" s="710" t="s">
        <v>77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customHeight="1" x14ac:dyDescent="0.25">
      <c r="A368" s="63" t="s">
        <v>614</v>
      </c>
      <c r="B368" s="63" t="s">
        <v>615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137</v>
      </c>
      <c r="L368" s="37" t="s">
        <v>46</v>
      </c>
      <c r="M368" s="38" t="s">
        <v>81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616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137</v>
      </c>
      <c r="L369" s="37" t="s">
        <v>46</v>
      </c>
      <c r="M369" s="38" t="s">
        <v>81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customHeight="1" x14ac:dyDescent="0.25">
      <c r="A370" s="63" t="s">
        <v>620</v>
      </c>
      <c r="B370" s="63" t="s">
        <v>621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137</v>
      </c>
      <c r="L370" s="37" t="s">
        <v>46</v>
      </c>
      <c r="M370" s="38" t="s">
        <v>81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622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customHeight="1" x14ac:dyDescent="0.25">
      <c r="A371" s="63" t="s">
        <v>623</v>
      </c>
      <c r="B371" s="63" t="s">
        <v>624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82</v>
      </c>
      <c r="L371" s="37" t="s">
        <v>46</v>
      </c>
      <c r="M371" s="38" t="s">
        <v>81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619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customHeight="1" x14ac:dyDescent="0.25">
      <c r="A372" s="63" t="s">
        <v>625</v>
      </c>
      <c r="B372" s="63" t="s">
        <v>626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627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customHeight="1" x14ac:dyDescent="0.25">
      <c r="A373" s="63" t="s">
        <v>628</v>
      </c>
      <c r="B373" s="63" t="s">
        <v>629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137</v>
      </c>
      <c r="L373" s="37" t="s">
        <v>46</v>
      </c>
      <c r="M373" s="38" t="s">
        <v>81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622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customHeight="1" x14ac:dyDescent="0.25">
      <c r="A374" s="63" t="s">
        <v>630</v>
      </c>
      <c r="B374" s="63" t="s">
        <v>631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91</v>
      </c>
      <c r="L374" s="37" t="s">
        <v>46</v>
      </c>
      <c r="M374" s="38" t="s">
        <v>81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632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customHeight="1" x14ac:dyDescent="0.25">
      <c r="A377" s="710" t="s">
        <v>86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customHeight="1" x14ac:dyDescent="0.25">
      <c r="A378" s="63" t="s">
        <v>633</v>
      </c>
      <c r="B378" s="63" t="s">
        <v>634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130</v>
      </c>
      <c r="L378" s="37" t="s">
        <v>46</v>
      </c>
      <c r="M378" s="38" t="s">
        <v>90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635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636</v>
      </c>
      <c r="B379" s="63" t="s">
        <v>637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130</v>
      </c>
      <c r="L379" s="37" t="s">
        <v>46</v>
      </c>
      <c r="M379" s="38" t="s">
        <v>90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638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639</v>
      </c>
      <c r="B380" s="63" t="s">
        <v>640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130</v>
      </c>
      <c r="L380" s="37" t="s">
        <v>46</v>
      </c>
      <c r="M380" s="38" t="s">
        <v>90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641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642</v>
      </c>
      <c r="B381" s="63" t="s">
        <v>643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91</v>
      </c>
      <c r="L381" s="37" t="s">
        <v>46</v>
      </c>
      <c r="M381" s="38" t="s">
        <v>90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635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customHeight="1" x14ac:dyDescent="0.25">
      <c r="A384" s="710" t="s">
        <v>175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customHeight="1" x14ac:dyDescent="0.25">
      <c r="A385" s="63" t="s">
        <v>644</v>
      </c>
      <c r="B385" s="63" t="s">
        <v>645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130</v>
      </c>
      <c r="L385" s="37" t="s">
        <v>46</v>
      </c>
      <c r="M385" s="38" t="s">
        <v>90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646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647</v>
      </c>
      <c r="B386" s="63" t="s">
        <v>648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130</v>
      </c>
      <c r="L386" s="37" t="s">
        <v>46</v>
      </c>
      <c r="M386" s="38" t="s">
        <v>90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649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650</v>
      </c>
      <c r="B387" s="63" t="s">
        <v>651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130</v>
      </c>
      <c r="L387" s="37" t="s">
        <v>46</v>
      </c>
      <c r="M387" s="38" t="s">
        <v>97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652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customHeight="1" x14ac:dyDescent="0.25">
      <c r="A390" s="710" t="s">
        <v>283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customHeight="1" x14ac:dyDescent="0.25">
      <c r="A391" s="63" t="s">
        <v>653</v>
      </c>
      <c r="B391" s="63" t="s">
        <v>654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137</v>
      </c>
      <c r="L391" s="37" t="s">
        <v>46</v>
      </c>
      <c r="M391" s="38" t="s">
        <v>251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655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656</v>
      </c>
      <c r="B392" s="63" t="s">
        <v>657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137</v>
      </c>
      <c r="L392" s="37" t="s">
        <v>46</v>
      </c>
      <c r="M392" s="38" t="s">
        <v>251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655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658</v>
      </c>
      <c r="B393" s="63" t="s">
        <v>659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91</v>
      </c>
      <c r="L393" s="37" t="s">
        <v>46</v>
      </c>
      <c r="M393" s="38" t="s">
        <v>251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655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660</v>
      </c>
      <c r="B394" s="63" t="s">
        <v>661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655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customHeight="1" x14ac:dyDescent="0.25">
      <c r="A397" s="710" t="s">
        <v>662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customHeight="1" x14ac:dyDescent="0.25">
      <c r="A398" s="63" t="s">
        <v>663</v>
      </c>
      <c r="B398" s="63" t="s">
        <v>664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91</v>
      </c>
      <c r="L398" s="37" t="s">
        <v>46</v>
      </c>
      <c r="M398" s="38" t="s">
        <v>666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665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667</v>
      </c>
      <c r="B399" s="63" t="s">
        <v>668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666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665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669</v>
      </c>
      <c r="B400" s="63" t="s">
        <v>670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666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665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customHeight="1" x14ac:dyDescent="0.25">
      <c r="A403" s="710" t="s">
        <v>671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customHeight="1" x14ac:dyDescent="0.25">
      <c r="A404" s="63" t="s">
        <v>672</v>
      </c>
      <c r="B404" s="63" t="s">
        <v>673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91</v>
      </c>
      <c r="L404" s="37" t="s">
        <v>46</v>
      </c>
      <c r="M404" s="38" t="s">
        <v>666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674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675</v>
      </c>
      <c r="B405" s="63" t="s">
        <v>676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137</v>
      </c>
      <c r="L405" s="37" t="s">
        <v>46</v>
      </c>
      <c r="M405" s="38" t="s">
        <v>666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677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678</v>
      </c>
      <c r="B406" s="63" t="s">
        <v>679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666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674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customHeight="1" x14ac:dyDescent="0.25">
      <c r="A409" s="709" t="s">
        <v>680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customHeight="1" x14ac:dyDescent="0.25">
      <c r="A410" s="710" t="s">
        <v>86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customHeight="1" x14ac:dyDescent="0.25">
      <c r="A411" s="63" t="s">
        <v>681</v>
      </c>
      <c r="B411" s="63" t="s">
        <v>682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130</v>
      </c>
      <c r="L411" s="37" t="s">
        <v>46</v>
      </c>
      <c r="M411" s="38" t="s">
        <v>90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108</v>
      </c>
      <c r="AC411" s="510" t="s">
        <v>683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customHeight="1" x14ac:dyDescent="0.25">
      <c r="A412" s="63" t="s">
        <v>684</v>
      </c>
      <c r="B412" s="63" t="s">
        <v>685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130</v>
      </c>
      <c r="L412" s="37" t="s">
        <v>46</v>
      </c>
      <c r="M412" s="38" t="s">
        <v>90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108</v>
      </c>
      <c r="AC412" s="512" t="s">
        <v>686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customHeight="1" x14ac:dyDescent="0.25">
      <c r="A415" s="709" t="s">
        <v>687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customHeight="1" x14ac:dyDescent="0.25">
      <c r="A416" s="710" t="s">
        <v>86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customHeight="1" x14ac:dyDescent="0.25">
      <c r="A417" s="63" t="s">
        <v>688</v>
      </c>
      <c r="B417" s="63" t="s">
        <v>689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130</v>
      </c>
      <c r="L417" s="37" t="s">
        <v>46</v>
      </c>
      <c r="M417" s="38" t="s">
        <v>97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690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691</v>
      </c>
      <c r="B418" s="63" t="s">
        <v>692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91</v>
      </c>
      <c r="L418" s="37" t="s">
        <v>46</v>
      </c>
      <c r="M418" s="38" t="s">
        <v>90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693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694</v>
      </c>
      <c r="B419" s="63" t="s">
        <v>695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91</v>
      </c>
      <c r="L419" s="37" t="s">
        <v>46</v>
      </c>
      <c r="M419" s="38" t="s">
        <v>97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696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customHeight="1" x14ac:dyDescent="0.2">
      <c r="A422" s="708" t="s">
        <v>697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customHeight="1" x14ac:dyDescent="0.25">
      <c r="A423" s="709" t="s">
        <v>698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customHeight="1" x14ac:dyDescent="0.25">
      <c r="A424" s="710" t="s">
        <v>125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customHeight="1" x14ac:dyDescent="0.25">
      <c r="A425" s="63" t="s">
        <v>699</v>
      </c>
      <c r="B425" s="63" t="s">
        <v>700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130</v>
      </c>
      <c r="L425" s="37" t="s">
        <v>46</v>
      </c>
      <c r="M425" s="38" t="s">
        <v>97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701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702</v>
      </c>
      <c r="B426" s="63" t="s">
        <v>703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130</v>
      </c>
      <c r="L426" s="37" t="s">
        <v>46</v>
      </c>
      <c r="M426" s="38" t="s">
        <v>81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704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customHeight="1" x14ac:dyDescent="0.25">
      <c r="A427" s="63" t="s">
        <v>705</v>
      </c>
      <c r="B427" s="63" t="s">
        <v>706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130</v>
      </c>
      <c r="L427" s="37" t="s">
        <v>46</v>
      </c>
      <c r="M427" s="38" t="s">
        <v>129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707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customHeight="1" x14ac:dyDescent="0.25">
      <c r="A428" s="63" t="s">
        <v>708</v>
      </c>
      <c r="B428" s="63" t="s">
        <v>709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130</v>
      </c>
      <c r="L428" s="37" t="s">
        <v>46</v>
      </c>
      <c r="M428" s="38" t="s">
        <v>81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710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customHeight="1" x14ac:dyDescent="0.25">
      <c r="A429" s="63" t="s">
        <v>711</v>
      </c>
      <c r="B429" s="63" t="s">
        <v>712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130</v>
      </c>
      <c r="L429" s="37" t="s">
        <v>46</v>
      </c>
      <c r="M429" s="38" t="s">
        <v>97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713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customHeight="1" x14ac:dyDescent="0.25">
      <c r="A430" s="63" t="s">
        <v>714</v>
      </c>
      <c r="B430" s="63" t="s">
        <v>715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137</v>
      </c>
      <c r="L430" s="37" t="s">
        <v>46</v>
      </c>
      <c r="M430" s="38" t="s">
        <v>129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716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customHeight="1" x14ac:dyDescent="0.25">
      <c r="A431" s="63" t="s">
        <v>717</v>
      </c>
      <c r="B431" s="63" t="s">
        <v>718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137</v>
      </c>
      <c r="L431" s="37" t="s">
        <v>46</v>
      </c>
      <c r="M431" s="38" t="s">
        <v>81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719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customHeight="1" x14ac:dyDescent="0.25">
      <c r="A432" s="63" t="s">
        <v>720</v>
      </c>
      <c r="B432" s="63" t="s">
        <v>721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137</v>
      </c>
      <c r="L432" s="37" t="s">
        <v>46</v>
      </c>
      <c r="M432" s="38" t="s">
        <v>81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722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customHeight="1" x14ac:dyDescent="0.25">
      <c r="A435" s="710" t="s">
        <v>158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customHeight="1" x14ac:dyDescent="0.25">
      <c r="A436" s="63" t="s">
        <v>723</v>
      </c>
      <c r="B436" s="63" t="s">
        <v>724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130</v>
      </c>
      <c r="L436" s="37" t="s">
        <v>46</v>
      </c>
      <c r="M436" s="38" t="s">
        <v>129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725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726</v>
      </c>
      <c r="B437" s="63" t="s">
        <v>727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130</v>
      </c>
      <c r="L437" s="37" t="s">
        <v>46</v>
      </c>
      <c r="M437" s="38" t="s">
        <v>129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728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729</v>
      </c>
      <c r="B438" s="63" t="s">
        <v>730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137</v>
      </c>
      <c r="L438" s="37" t="s">
        <v>46</v>
      </c>
      <c r="M438" s="38" t="s">
        <v>129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731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710" t="s">
        <v>86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customHeight="1" x14ac:dyDescent="0.25">
      <c r="A442" s="63" t="s">
        <v>732</v>
      </c>
      <c r="B442" s="63" t="s">
        <v>733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130</v>
      </c>
      <c r="L442" s="37" t="s">
        <v>46</v>
      </c>
      <c r="M442" s="38" t="s">
        <v>90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734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735</v>
      </c>
      <c r="B443" s="63" t="s">
        <v>736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130</v>
      </c>
      <c r="L443" s="37" t="s">
        <v>46</v>
      </c>
      <c r="M443" s="38" t="s">
        <v>90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737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738</v>
      </c>
      <c r="B444" s="63" t="s">
        <v>739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130</v>
      </c>
      <c r="L444" s="37" t="s">
        <v>46</v>
      </c>
      <c r="M444" s="38" t="s">
        <v>90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740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710" t="s">
        <v>175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customHeight="1" x14ac:dyDescent="0.25">
      <c r="A448" s="63" t="s">
        <v>741</v>
      </c>
      <c r="B448" s="63" t="s">
        <v>742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130</v>
      </c>
      <c r="L448" s="37" t="s">
        <v>46</v>
      </c>
      <c r="M448" s="38" t="s">
        <v>90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743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customHeight="1" x14ac:dyDescent="0.25">
      <c r="A449" s="63" t="s">
        <v>744</v>
      </c>
      <c r="B449" s="63" t="s">
        <v>745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130</v>
      </c>
      <c r="L449" s="37" t="s">
        <v>46</v>
      </c>
      <c r="M449" s="38" t="s">
        <v>90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746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customHeight="1" x14ac:dyDescent="0.25">
      <c r="A452" s="709" t="s">
        <v>747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customHeight="1" x14ac:dyDescent="0.25">
      <c r="A453" s="710" t="s">
        <v>125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customHeight="1" x14ac:dyDescent="0.25">
      <c r="A454" s="63" t="s">
        <v>748</v>
      </c>
      <c r="B454" s="63" t="s">
        <v>749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130</v>
      </c>
      <c r="L454" s="37" t="s">
        <v>46</v>
      </c>
      <c r="M454" s="38" t="s">
        <v>81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750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customHeight="1" x14ac:dyDescent="0.25">
      <c r="A455" s="63" t="s">
        <v>751</v>
      </c>
      <c r="B455" s="63" t="s">
        <v>752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137</v>
      </c>
      <c r="L455" s="37" t="s">
        <v>46</v>
      </c>
      <c r="M455" s="38" t="s">
        <v>81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750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customHeight="1" x14ac:dyDescent="0.25">
      <c r="A458" s="710" t="s">
        <v>77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customHeight="1" x14ac:dyDescent="0.25">
      <c r="A459" s="63" t="s">
        <v>753</v>
      </c>
      <c r="B459" s="63" t="s">
        <v>754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137</v>
      </c>
      <c r="L459" s="37" t="s">
        <v>46</v>
      </c>
      <c r="M459" s="38" t="s">
        <v>81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755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customHeight="1" x14ac:dyDescent="0.25">
      <c r="A462" s="710" t="s">
        <v>86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customHeight="1" x14ac:dyDescent="0.25">
      <c r="A463" s="63" t="s">
        <v>756</v>
      </c>
      <c r="B463" s="63" t="s">
        <v>757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130</v>
      </c>
      <c r="L463" s="37" t="s">
        <v>46</v>
      </c>
      <c r="M463" s="38" t="s">
        <v>90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758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759</v>
      </c>
      <c r="B464" s="63" t="s">
        <v>760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91</v>
      </c>
      <c r="L464" s="37" t="s">
        <v>46</v>
      </c>
      <c r="M464" s="38" t="s">
        <v>90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758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759</v>
      </c>
      <c r="B465" s="63" t="s">
        <v>761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762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customHeight="1" x14ac:dyDescent="0.2">
      <c r="A468" s="708" t="s">
        <v>763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customHeight="1" x14ac:dyDescent="0.25">
      <c r="A469" s="709" t="s">
        <v>764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customHeight="1" x14ac:dyDescent="0.25">
      <c r="A470" s="710" t="s">
        <v>77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customHeight="1" x14ac:dyDescent="0.25">
      <c r="A471" s="63" t="s">
        <v>765</v>
      </c>
      <c r="B471" s="63" t="s">
        <v>766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137</v>
      </c>
      <c r="L471" s="37" t="s">
        <v>46</v>
      </c>
      <c r="M471" s="38" t="s">
        <v>81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767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customHeight="1" x14ac:dyDescent="0.25">
      <c r="A472" s="63" t="s">
        <v>768</v>
      </c>
      <c r="B472" s="63" t="s">
        <v>769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137</v>
      </c>
      <c r="L472" s="37" t="s">
        <v>46</v>
      </c>
      <c r="M472" s="38" t="s">
        <v>81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770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customHeight="1" x14ac:dyDescent="0.25">
      <c r="A473" s="63" t="s">
        <v>771</v>
      </c>
      <c r="B473" s="63" t="s">
        <v>772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767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customHeight="1" x14ac:dyDescent="0.25">
      <c r="A475" s="63" t="s">
        <v>776</v>
      </c>
      <c r="B475" s="63" t="s">
        <v>777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778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customHeight="1" x14ac:dyDescent="0.25">
      <c r="A476" s="63" t="s">
        <v>779</v>
      </c>
      <c r="B476" s="63" t="s">
        <v>780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775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customHeight="1" x14ac:dyDescent="0.25">
      <c r="A479" s="710" t="s">
        <v>86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customHeight="1" x14ac:dyDescent="0.25">
      <c r="A480" s="63" t="s">
        <v>781</v>
      </c>
      <c r="B480" s="63" t="s">
        <v>782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137</v>
      </c>
      <c r="L480" s="37" t="s">
        <v>46</v>
      </c>
      <c r="M480" s="38" t="s">
        <v>90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783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784</v>
      </c>
      <c r="B481" s="63" t="s">
        <v>785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91</v>
      </c>
      <c r="L481" s="37" t="s">
        <v>46</v>
      </c>
      <c r="M481" s="38" t="s">
        <v>90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786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709" t="s">
        <v>787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customHeight="1" x14ac:dyDescent="0.25">
      <c r="A485" s="710" t="s">
        <v>158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customHeight="1" x14ac:dyDescent="0.25">
      <c r="A486" s="63" t="s">
        <v>788</v>
      </c>
      <c r="B486" s="63" t="s">
        <v>789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91</v>
      </c>
      <c r="L486" s="37" t="s">
        <v>46</v>
      </c>
      <c r="M486" s="38" t="s">
        <v>81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790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customHeight="1" x14ac:dyDescent="0.25">
      <c r="A489" s="710" t="s">
        <v>77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customHeight="1" x14ac:dyDescent="0.25">
      <c r="A490" s="63" t="s">
        <v>791</v>
      </c>
      <c r="B490" s="63" t="s">
        <v>792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137</v>
      </c>
      <c r="L490" s="37" t="s">
        <v>46</v>
      </c>
      <c r="M490" s="38" t="s">
        <v>81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793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82</v>
      </c>
      <c r="L491" s="37" t="s">
        <v>46</v>
      </c>
      <c r="M491" s="38" t="s">
        <v>81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796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797</v>
      </c>
      <c r="B492" s="63" t="s">
        <v>798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796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customHeight="1" x14ac:dyDescent="0.2">
      <c r="A495" s="708" t="s">
        <v>799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customHeight="1" x14ac:dyDescent="0.25">
      <c r="A496" s="709" t="s">
        <v>799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customHeight="1" x14ac:dyDescent="0.25">
      <c r="A497" s="710" t="s">
        <v>125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customHeight="1" x14ac:dyDescent="0.25">
      <c r="A498" s="63" t="s">
        <v>800</v>
      </c>
      <c r="B498" s="63" t="s">
        <v>801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130</v>
      </c>
      <c r="L498" s="37" t="s">
        <v>46</v>
      </c>
      <c r="M498" s="38" t="s">
        <v>90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128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customHeight="1" x14ac:dyDescent="0.25">
      <c r="A499" s="63" t="s">
        <v>802</v>
      </c>
      <c r="B499" s="63" t="s">
        <v>803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130</v>
      </c>
      <c r="L499" s="37" t="s">
        <v>46</v>
      </c>
      <c r="M499" s="38" t="s">
        <v>129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804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customHeight="1" x14ac:dyDescent="0.25">
      <c r="A500" s="63" t="s">
        <v>805</v>
      </c>
      <c r="B500" s="63" t="s">
        <v>806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130</v>
      </c>
      <c r="L500" s="37" t="s">
        <v>46</v>
      </c>
      <c r="M500" s="38" t="s">
        <v>129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807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808</v>
      </c>
      <c r="B501" s="63" t="s">
        <v>809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130</v>
      </c>
      <c r="L501" s="37" t="s">
        <v>46</v>
      </c>
      <c r="M501" s="38" t="s">
        <v>129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810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customHeight="1" x14ac:dyDescent="0.25">
      <c r="A502" s="63" t="s">
        <v>811</v>
      </c>
      <c r="B502" s="63" t="s">
        <v>812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130</v>
      </c>
      <c r="L502" s="37" t="s">
        <v>46</v>
      </c>
      <c r="M502" s="38" t="s">
        <v>90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813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814</v>
      </c>
      <c r="B503" s="63" t="s">
        <v>815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130</v>
      </c>
      <c r="L503" s="37" t="s">
        <v>46</v>
      </c>
      <c r="M503" s="38" t="s">
        <v>129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816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customHeight="1" x14ac:dyDescent="0.25">
      <c r="A504" s="63" t="s">
        <v>817</v>
      </c>
      <c r="B504" s="63" t="s">
        <v>818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91</v>
      </c>
      <c r="L504" s="37" t="s">
        <v>46</v>
      </c>
      <c r="M504" s="38" t="s">
        <v>90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128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137</v>
      </c>
      <c r="L505" s="37" t="s">
        <v>46</v>
      </c>
      <c r="M505" s="38" t="s">
        <v>90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128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137</v>
      </c>
      <c r="L506" s="37" t="s">
        <v>46</v>
      </c>
      <c r="M506" s="38" t="s">
        <v>129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816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customHeight="1" x14ac:dyDescent="0.25">
      <c r="A509" s="710" t="s">
        <v>158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customHeight="1" x14ac:dyDescent="0.25">
      <c r="A510" s="63" t="s">
        <v>823</v>
      </c>
      <c r="B510" s="63" t="s">
        <v>824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130</v>
      </c>
      <c r="L510" s="37" t="s">
        <v>46</v>
      </c>
      <c r="M510" s="38" t="s">
        <v>90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825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customHeight="1" x14ac:dyDescent="0.25">
      <c r="A511" s="63" t="s">
        <v>826</v>
      </c>
      <c r="B511" s="63" t="s">
        <v>827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129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825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828</v>
      </c>
      <c r="B512" s="63" t="s">
        <v>829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137</v>
      </c>
      <c r="L512" s="37" t="s">
        <v>46</v>
      </c>
      <c r="M512" s="38" t="s">
        <v>129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825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customHeight="1" x14ac:dyDescent="0.25">
      <c r="A515" s="710" t="s">
        <v>77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customHeight="1" x14ac:dyDescent="0.25">
      <c r="A516" s="63" t="s">
        <v>830</v>
      </c>
      <c r="B516" s="63" t="s">
        <v>831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130</v>
      </c>
      <c r="L516" s="37" t="s">
        <v>46</v>
      </c>
      <c r="M516" s="38" t="s">
        <v>129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832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customHeight="1" x14ac:dyDescent="0.25">
      <c r="A517" s="63" t="s">
        <v>833</v>
      </c>
      <c r="B517" s="63" t="s">
        <v>834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130</v>
      </c>
      <c r="L517" s="37" t="s">
        <v>46</v>
      </c>
      <c r="M517" s="38" t="s">
        <v>81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835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customHeight="1" x14ac:dyDescent="0.25">
      <c r="A518" s="63" t="s">
        <v>836</v>
      </c>
      <c r="B518" s="63" t="s">
        <v>837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130</v>
      </c>
      <c r="L518" s="37" t="s">
        <v>46</v>
      </c>
      <c r="M518" s="38" t="s">
        <v>81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838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customHeight="1" x14ac:dyDescent="0.25">
      <c r="A519" s="63" t="s">
        <v>839</v>
      </c>
      <c r="B519" s="63" t="s">
        <v>840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137</v>
      </c>
      <c r="L519" s="37" t="s">
        <v>46</v>
      </c>
      <c r="M519" s="38" t="s">
        <v>129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832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137</v>
      </c>
      <c r="L520" s="37" t="s">
        <v>46</v>
      </c>
      <c r="M520" s="38" t="s">
        <v>81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835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customHeight="1" x14ac:dyDescent="0.25">
      <c r="A521" s="63" t="s">
        <v>841</v>
      </c>
      <c r="B521" s="63" t="s">
        <v>843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137</v>
      </c>
      <c r="L521" s="37" t="s">
        <v>46</v>
      </c>
      <c r="M521" s="38" t="s">
        <v>81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customHeight="1" x14ac:dyDescent="0.25">
      <c r="A522" s="63" t="s">
        <v>844</v>
      </c>
      <c r="B522" s="63" t="s">
        <v>845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137</v>
      </c>
      <c r="L522" s="37" t="s">
        <v>46</v>
      </c>
      <c r="M522" s="38" t="s">
        <v>81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customHeight="1" x14ac:dyDescent="0.2">
      <c r="A525" s="708" t="s">
        <v>846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customHeight="1" x14ac:dyDescent="0.25">
      <c r="A526" s="709" t="s">
        <v>846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customHeight="1" x14ac:dyDescent="0.25">
      <c r="A527" s="710" t="s">
        <v>125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customHeight="1" x14ac:dyDescent="0.25">
      <c r="A528" s="63" t="s">
        <v>847</v>
      </c>
      <c r="B528" s="63" t="s">
        <v>848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130</v>
      </c>
      <c r="L528" s="37" t="s">
        <v>46</v>
      </c>
      <c r="M528" s="38" t="s">
        <v>129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849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customHeight="1" x14ac:dyDescent="0.25">
      <c r="A531" s="710" t="s">
        <v>158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customHeight="1" x14ac:dyDescent="0.25">
      <c r="A532" s="63" t="s">
        <v>850</v>
      </c>
      <c r="B532" s="63" t="s">
        <v>851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130</v>
      </c>
      <c r="L532" s="37" t="s">
        <v>46</v>
      </c>
      <c r="M532" s="38" t="s">
        <v>129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852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customHeight="1" x14ac:dyDescent="0.25">
      <c r="A535" s="710" t="s">
        <v>77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customHeight="1" x14ac:dyDescent="0.25">
      <c r="A536" s="63" t="s">
        <v>853</v>
      </c>
      <c r="B536" s="63" t="s">
        <v>854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137</v>
      </c>
      <c r="L536" s="37" t="s">
        <v>46</v>
      </c>
      <c r="M536" s="38" t="s">
        <v>81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855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customHeight="1" x14ac:dyDescent="0.25">
      <c r="A539" s="710" t="s">
        <v>86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customHeight="1" x14ac:dyDescent="0.25">
      <c r="A540" s="63" t="s">
        <v>856</v>
      </c>
      <c r="B540" s="63" t="s">
        <v>857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130</v>
      </c>
      <c r="L540" s="37" t="s">
        <v>46</v>
      </c>
      <c r="M540" s="38" t="s">
        <v>90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858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customHeight="1" x14ac:dyDescent="0.25">
      <c r="A543" s="710" t="s">
        <v>175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customHeight="1" x14ac:dyDescent="0.25">
      <c r="A544" s="63" t="s">
        <v>859</v>
      </c>
      <c r="B544" s="63" t="s">
        <v>860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130</v>
      </c>
      <c r="L544" s="37" t="s">
        <v>46</v>
      </c>
      <c r="M544" s="38" t="s">
        <v>90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861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customHeight="1" x14ac:dyDescent="0.25">
      <c r="A545" s="63" t="s">
        <v>862</v>
      </c>
      <c r="B545" s="63" t="s">
        <v>863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130</v>
      </c>
      <c r="L545" s="37" t="s">
        <v>46</v>
      </c>
      <c r="M545" s="38" t="s">
        <v>90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864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customHeight="1" x14ac:dyDescent="0.25">
      <c r="A548" s="709" t="s">
        <v>865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customHeight="1" x14ac:dyDescent="0.25">
      <c r="A549" s="710" t="s">
        <v>158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customHeight="1" x14ac:dyDescent="0.25">
      <c r="A550" s="63" t="s">
        <v>866</v>
      </c>
      <c r="B550" s="63" t="s">
        <v>867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130</v>
      </c>
      <c r="L550" s="37" t="s">
        <v>46</v>
      </c>
      <c r="M550" s="38" t="s">
        <v>129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868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0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0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0</v>
      </c>
      <c r="Y554" s="43">
        <f>IFERROR(SUM(BN22:BN550),"0")</f>
        <v>0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0</v>
      </c>
      <c r="Y555" s="44">
        <f>ROUNDUP(SUM(BP22:BP550),0)</f>
        <v>0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0</v>
      </c>
      <c r="Y556" s="43">
        <f>GrossWeightTotalR+PalletQtyTotalR*25</f>
        <v>0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0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0</v>
      </c>
      <c r="Z557" s="42"/>
      <c r="AA557" s="67"/>
      <c r="AB557" s="67"/>
      <c r="AC557" s="67"/>
    </row>
    <row r="558" spans="1:68" ht="14.25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0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76</v>
      </c>
      <c r="C560" s="85" t="s">
        <v>45</v>
      </c>
      <c r="D560" s="1000" t="s">
        <v>123</v>
      </c>
      <c r="E560" s="1000" t="s">
        <v>123</v>
      </c>
      <c r="F560" s="1000" t="s">
        <v>123</v>
      </c>
      <c r="G560" s="1000" t="s">
        <v>123</v>
      </c>
      <c r="H560" s="1000" t="s">
        <v>123</v>
      </c>
      <c r="I560" s="1000" t="s">
        <v>123</v>
      </c>
      <c r="J560" s="1000" t="s">
        <v>123</v>
      </c>
      <c r="K560" s="1000" t="s">
        <v>351</v>
      </c>
      <c r="L560" s="1000" t="s">
        <v>351</v>
      </c>
      <c r="M560" s="1000" t="s">
        <v>351</v>
      </c>
      <c r="N560" s="1001"/>
      <c r="O560" s="1000" t="s">
        <v>351</v>
      </c>
      <c r="P560" s="1000" t="s">
        <v>351</v>
      </c>
      <c r="Q560" s="1000" t="s">
        <v>351</v>
      </c>
      <c r="R560" s="1000" t="s">
        <v>351</v>
      </c>
      <c r="S560" s="1000" t="s">
        <v>351</v>
      </c>
      <c r="T560" s="1000" t="s">
        <v>351</v>
      </c>
      <c r="U560" s="1000" t="s">
        <v>351</v>
      </c>
      <c r="V560" s="1000" t="s">
        <v>351</v>
      </c>
      <c r="W560" s="1000" t="s">
        <v>697</v>
      </c>
      <c r="X560" s="1000" t="s">
        <v>697</v>
      </c>
      <c r="Y560" s="1000" t="s">
        <v>763</v>
      </c>
      <c r="Z560" s="1000" t="s">
        <v>763</v>
      </c>
      <c r="AA560" s="85" t="s">
        <v>799</v>
      </c>
      <c r="AB560" s="1000" t="s">
        <v>846</v>
      </c>
      <c r="AC560" s="1000" t="s">
        <v>846</v>
      </c>
      <c r="AF560" s="1"/>
    </row>
    <row r="561" spans="1:32" ht="14.25" customHeight="1" thickTop="1" x14ac:dyDescent="0.2">
      <c r="A561" s="1002" t="s">
        <v>10</v>
      </c>
      <c r="B561" s="1000" t="s">
        <v>76</v>
      </c>
      <c r="C561" s="1000" t="s">
        <v>104</v>
      </c>
      <c r="D561" s="1000" t="s">
        <v>124</v>
      </c>
      <c r="E561" s="1000" t="s">
        <v>140</v>
      </c>
      <c r="F561" s="1000" t="s">
        <v>182</v>
      </c>
      <c r="G561" s="1000" t="s">
        <v>203</v>
      </c>
      <c r="H561" s="1000" t="s">
        <v>243</v>
      </c>
      <c r="I561" s="1000" t="s">
        <v>267</v>
      </c>
      <c r="J561" s="1000" t="s">
        <v>123</v>
      </c>
      <c r="K561" s="1000" t="s">
        <v>352</v>
      </c>
      <c r="L561" s="1000" t="s">
        <v>373</v>
      </c>
      <c r="M561" s="1000" t="s">
        <v>440</v>
      </c>
      <c r="N561" s="1"/>
      <c r="O561" s="1000" t="s">
        <v>508</v>
      </c>
      <c r="P561" s="1000" t="s">
        <v>541</v>
      </c>
      <c r="Q561" s="1000" t="s">
        <v>557</v>
      </c>
      <c r="R561" s="1000" t="s">
        <v>566</v>
      </c>
      <c r="S561" s="1000" t="s">
        <v>587</v>
      </c>
      <c r="T561" s="1000" t="s">
        <v>596</v>
      </c>
      <c r="U561" s="1000" t="s">
        <v>680</v>
      </c>
      <c r="V561" s="1000" t="s">
        <v>687</v>
      </c>
      <c r="W561" s="1000" t="s">
        <v>698</v>
      </c>
      <c r="X561" s="1000" t="s">
        <v>747</v>
      </c>
      <c r="Y561" s="1000" t="s">
        <v>764</v>
      </c>
      <c r="Z561" s="1000" t="s">
        <v>787</v>
      </c>
      <c r="AA561" s="1000" t="s">
        <v>799</v>
      </c>
      <c r="AB561" s="1000" t="s">
        <v>846</v>
      </c>
      <c r="AC561" s="1000" t="s">
        <v>865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0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0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z81mfQ6avawcQernP/3XMEvU0G6UBXCc0mEM2rCATCfoId+LFQBVDhWCfrncn+sLzhFSz9EfOb475L+MT5J0jg==" saltValue="ukvrxBCSgnSZWLod514/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xaG3PqkulCPY6dP6DJ/RnPnzl0PGL2Cj38jqDCwk9Fjs2A9YNdgPB1wceUi0cb0EJ93ssaffd8iWY9BdzbJhfw==" saltValue="cBWEnvmcJ/jHTMiFZ3IWp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1152</vt:i4>
      </vt:variant>
    </vt:vector>
  </HeadingPairs>
  <TitlesOfParts>
    <vt:vector size="115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2026-08-20T10:57:06Z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